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2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QFTC\"/>
    </mc:Choice>
  </mc:AlternateContent>
  <bookViews>
    <workbookView xWindow="630" yWindow="900" windowWidth="19575" windowHeight="7020"/>
  </bookViews>
  <sheets>
    <sheet name="CURVA" sheetId="1" r:id="rId1"/>
    <sheet name="SWAPS" sheetId="2" r:id="rId2"/>
    <sheet name="CURVA DIARIA" sheetId="4" state="hidden" r:id="rId3"/>
  </sheets>
  <functionGroups builtInGroupCount="18"/>
  <definedNames>
    <definedName name="solver_adj" localSheetId="0" hidden="1">CURVA!$G$30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CURVA!$I$30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71027"/>
</workbook>
</file>

<file path=xl/calcChain.xml><?xml version="1.0" encoding="utf-8"?>
<calcChain xmlns="http://schemas.openxmlformats.org/spreadsheetml/2006/main">
  <c r="E4" i="2" l="1"/>
  <c r="E11" i="2" s="1"/>
  <c r="J35" i="2"/>
  <c r="J131" i="2"/>
  <c r="J227" i="2"/>
  <c r="J323" i="2"/>
  <c r="J419" i="2"/>
  <c r="J515" i="2"/>
  <c r="J588" i="2"/>
  <c r="J304" i="2"/>
  <c r="J65" i="2"/>
  <c r="J473" i="2"/>
  <c r="J498" i="2"/>
  <c r="J527" i="2"/>
  <c r="J601" i="2"/>
  <c r="J608" i="2"/>
  <c r="J34" i="2"/>
  <c r="J12" i="2"/>
  <c r="J108" i="2"/>
  <c r="J204" i="2"/>
  <c r="J300" i="2"/>
  <c r="J396" i="2"/>
  <c r="J492" i="2"/>
  <c r="J256" i="2"/>
  <c r="J281" i="2"/>
  <c r="J593" i="2"/>
  <c r="J547" i="2"/>
  <c r="J597" i="2"/>
  <c r="J144" i="2"/>
  <c r="J486" i="2"/>
  <c r="J584" i="2"/>
  <c r="J58" i="2"/>
  <c r="J61" i="2"/>
  <c r="J157" i="2"/>
  <c r="J253" i="2"/>
  <c r="J349" i="2"/>
  <c r="J445" i="2"/>
  <c r="J541" i="2"/>
  <c r="J136" i="2"/>
  <c r="J162" i="2"/>
  <c r="J93" i="2"/>
  <c r="J573" i="2"/>
  <c r="J120" i="2"/>
  <c r="J558" i="2"/>
  <c r="J128" i="2"/>
  <c r="J130" i="2"/>
  <c r="J62" i="2"/>
  <c r="J158" i="2"/>
  <c r="J254" i="2"/>
  <c r="J350" i="2"/>
  <c r="J446" i="2"/>
  <c r="J542" i="2"/>
  <c r="J184" i="2"/>
  <c r="J520" i="2"/>
  <c r="J401" i="2"/>
  <c r="J141" i="2"/>
  <c r="J71" i="2"/>
  <c r="J456" i="2"/>
  <c r="J433" i="2"/>
  <c r="J583" i="2"/>
  <c r="J15" i="2"/>
  <c r="J111" i="2"/>
  <c r="J207" i="2"/>
  <c r="J303" i="2"/>
  <c r="J399" i="2"/>
  <c r="J495" i="2"/>
  <c r="J591" i="2"/>
  <c r="J328" i="2"/>
  <c r="J89" i="2"/>
  <c r="J427" i="2"/>
  <c r="J429" i="2"/>
  <c r="J336" i="2"/>
  <c r="J385" i="2"/>
  <c r="J488" i="2"/>
  <c r="J442" i="2"/>
  <c r="J452" i="2"/>
  <c r="J525" i="2"/>
  <c r="J528" i="2"/>
  <c r="J319" i="2"/>
  <c r="J464" i="2"/>
  <c r="J514" i="2"/>
  <c r="J474" i="2"/>
  <c r="J549" i="2"/>
  <c r="J534" i="2"/>
  <c r="J56" i="2"/>
  <c r="J345" i="2"/>
  <c r="J42" i="2"/>
  <c r="J210" i="2"/>
  <c r="J570" i="2"/>
  <c r="J24" i="2"/>
  <c r="J553" i="2"/>
  <c r="J487" i="2"/>
  <c r="J81" i="2"/>
  <c r="J19" i="2"/>
  <c r="J115" i="2"/>
  <c r="J211" i="2"/>
  <c r="J307" i="2"/>
  <c r="J572" i="2"/>
  <c r="J168" i="2"/>
  <c r="J529" i="2"/>
  <c r="J320" i="2"/>
  <c r="J297" i="2"/>
  <c r="J44" i="2"/>
  <c r="J140" i="2"/>
  <c r="J236" i="2"/>
  <c r="J332" i="2"/>
  <c r="J428" i="2"/>
  <c r="J215" i="2"/>
  <c r="J409" i="2"/>
  <c r="J176" i="2"/>
  <c r="J538" i="2"/>
  <c r="J94" i="2"/>
  <c r="J190" i="2"/>
  <c r="J286" i="2"/>
  <c r="J382" i="2"/>
  <c r="J478" i="2"/>
  <c r="J574" i="2"/>
  <c r="J95" i="2"/>
  <c r="J431" i="2"/>
  <c r="J265" i="2"/>
  <c r="J559" i="2"/>
  <c r="J322" i="2"/>
  <c r="J74" i="2"/>
  <c r="J170" i="2"/>
  <c r="J266" i="2"/>
  <c r="J362" i="2"/>
  <c r="J458" i="2"/>
  <c r="J554" i="2"/>
  <c r="J59" i="2"/>
  <c r="J155" i="2"/>
  <c r="J251" i="2"/>
  <c r="J347" i="2"/>
  <c r="J443" i="2"/>
  <c r="J539" i="2"/>
  <c r="J88" i="2"/>
  <c r="J376" i="2"/>
  <c r="J185" i="2"/>
  <c r="J569" i="2"/>
  <c r="J21" i="2"/>
  <c r="J192" i="2"/>
  <c r="J510" i="2"/>
  <c r="J201" i="2"/>
  <c r="J178" i="2"/>
  <c r="J36" i="2"/>
  <c r="J132" i="2"/>
  <c r="J228" i="2"/>
  <c r="J324" i="2"/>
  <c r="J420" i="2"/>
  <c r="J516" i="2"/>
  <c r="J544" i="2"/>
  <c r="J329" i="2"/>
  <c r="J234" i="2"/>
  <c r="J45" i="2"/>
  <c r="J143" i="2"/>
  <c r="J384" i="2"/>
  <c r="J127" i="2"/>
  <c r="J177" i="2"/>
  <c r="J466" i="2"/>
  <c r="J85" i="2"/>
  <c r="J181" i="2"/>
  <c r="J277" i="2"/>
  <c r="J373" i="2"/>
  <c r="J469" i="2"/>
  <c r="J565" i="2"/>
  <c r="J161" i="2"/>
  <c r="J426" i="2"/>
  <c r="J261" i="2"/>
  <c r="J119" i="2"/>
  <c r="J408" i="2"/>
  <c r="J79" i="2"/>
  <c r="J440" i="2"/>
  <c r="J370" i="2"/>
  <c r="J86" i="2"/>
  <c r="J182" i="2"/>
  <c r="J278" i="2"/>
  <c r="J374" i="2"/>
  <c r="J470" i="2"/>
  <c r="J566" i="2"/>
  <c r="J280" i="2"/>
  <c r="J41" i="2"/>
  <c r="J521" i="2"/>
  <c r="J237" i="2"/>
  <c r="J407" i="2"/>
  <c r="J49" i="2"/>
  <c r="J414" i="2"/>
  <c r="J152" i="2"/>
  <c r="J39" i="2"/>
  <c r="J135" i="2"/>
  <c r="J231" i="2"/>
  <c r="J327" i="2"/>
  <c r="J423" i="2"/>
  <c r="J519" i="2"/>
  <c r="J40" i="2"/>
  <c r="J400" i="2"/>
  <c r="J233" i="2"/>
  <c r="J499" i="2"/>
  <c r="J191" i="2"/>
  <c r="J480" i="2"/>
  <c r="J318" i="2"/>
  <c r="J129" i="2"/>
  <c r="J448" i="2"/>
  <c r="J500" i="2"/>
  <c r="J335" i="2"/>
  <c r="J97" i="2"/>
  <c r="J439" i="2"/>
  <c r="J33" i="2"/>
  <c r="J17" i="2"/>
  <c r="J594" i="2"/>
  <c r="J48" i="2"/>
  <c r="J103" i="2"/>
  <c r="J368" i="2"/>
  <c r="J298" i="2"/>
  <c r="J66" i="2"/>
  <c r="J282" i="2"/>
  <c r="J475" i="2"/>
  <c r="J264" i="2"/>
  <c r="J462" i="2"/>
  <c r="J32" i="2"/>
  <c r="J321" i="2"/>
  <c r="J43" i="2"/>
  <c r="J139" i="2"/>
  <c r="J235" i="2"/>
  <c r="J331" i="2"/>
  <c r="J165" i="2"/>
  <c r="J360" i="2"/>
  <c r="J55" i="2"/>
  <c r="J416" i="2"/>
  <c r="J274" i="2"/>
  <c r="J68" i="2"/>
  <c r="J164" i="2"/>
  <c r="J260" i="2"/>
  <c r="J356" i="2"/>
  <c r="J476" i="2"/>
  <c r="J240" i="2"/>
  <c r="J390" i="2"/>
  <c r="J417" i="2"/>
  <c r="J22" i="2"/>
  <c r="J83" i="2"/>
  <c r="J179" i="2"/>
  <c r="J275" i="2"/>
  <c r="J371" i="2"/>
  <c r="J467" i="2"/>
  <c r="J563" i="2"/>
  <c r="J160" i="2"/>
  <c r="J472" i="2"/>
  <c r="J257" i="2"/>
  <c r="J186" i="2"/>
  <c r="J333" i="2"/>
  <c r="J432" i="2"/>
  <c r="J199" i="2"/>
  <c r="J393" i="2"/>
  <c r="J202" i="2"/>
  <c r="J60" i="2"/>
  <c r="J156" i="2"/>
  <c r="J252" i="2"/>
  <c r="J348" i="2"/>
  <c r="J444" i="2"/>
  <c r="J540" i="2"/>
  <c r="J113" i="2"/>
  <c r="J425" i="2"/>
  <c r="J402" i="2"/>
  <c r="J285" i="2"/>
  <c r="J359" i="2"/>
  <c r="J193" i="2"/>
  <c r="J463" i="2"/>
  <c r="J465" i="2"/>
  <c r="J13" i="2"/>
  <c r="J109" i="2"/>
  <c r="J205" i="2"/>
  <c r="J301" i="2"/>
  <c r="J397" i="2"/>
  <c r="J493" i="2"/>
  <c r="J589" i="2"/>
  <c r="J377" i="2"/>
  <c r="J355" i="2"/>
  <c r="J381" i="2"/>
  <c r="J383" i="2"/>
  <c r="J121" i="2"/>
  <c r="J343" i="2"/>
  <c r="J153" i="2"/>
  <c r="J14" i="2"/>
  <c r="J110" i="2"/>
  <c r="J206" i="2"/>
  <c r="J302" i="2"/>
  <c r="J398" i="2"/>
  <c r="J494" i="2"/>
  <c r="J590" i="2"/>
  <c r="J352" i="2"/>
  <c r="J137" i="2"/>
  <c r="J114" i="2"/>
  <c r="J357" i="2"/>
  <c r="J72" i="2"/>
  <c r="J289" i="2"/>
  <c r="J606" i="2"/>
  <c r="J273" i="2"/>
  <c r="J63" i="2"/>
  <c r="J159" i="2"/>
  <c r="J255" i="2"/>
  <c r="J351" i="2"/>
  <c r="J447" i="2"/>
  <c r="J543" i="2"/>
  <c r="J112" i="2"/>
  <c r="J496" i="2"/>
  <c r="J306" i="2"/>
  <c r="J524" i="2"/>
  <c r="J599" i="2"/>
  <c r="J25" i="2"/>
  <c r="J223" i="2"/>
  <c r="J441" i="2"/>
  <c r="J258" i="2"/>
  <c r="J596" i="2"/>
  <c r="J479" i="2"/>
  <c r="J481" i="2"/>
  <c r="J80" i="2"/>
  <c r="J369" i="2"/>
  <c r="J449" i="2"/>
  <c r="J403" i="2"/>
  <c r="J217" i="2"/>
  <c r="J415" i="2"/>
  <c r="J536" i="2"/>
  <c r="J490" i="2"/>
  <c r="J90" i="2"/>
  <c r="J354" i="2"/>
  <c r="J595" i="2"/>
  <c r="J552" i="2"/>
  <c r="J151" i="2"/>
  <c r="J392" i="2"/>
  <c r="J226" i="2"/>
  <c r="J67" i="2"/>
  <c r="J163" i="2"/>
  <c r="J259" i="2"/>
  <c r="J451" i="2"/>
  <c r="J287" i="2"/>
  <c r="J600" i="2"/>
  <c r="J391" i="2"/>
  <c r="J512" i="2"/>
  <c r="J10" i="2"/>
  <c r="J92" i="2"/>
  <c r="J188" i="2"/>
  <c r="J284" i="2"/>
  <c r="J380" i="2"/>
  <c r="J309" i="2"/>
  <c r="J504" i="2"/>
  <c r="J247" i="2"/>
  <c r="J561" i="2"/>
  <c r="J46" i="2"/>
  <c r="J142" i="2"/>
  <c r="J238" i="2"/>
  <c r="J334" i="2"/>
  <c r="J430" i="2"/>
  <c r="J526" i="2"/>
  <c r="J23" i="2"/>
  <c r="J263" i="2"/>
  <c r="J96" i="2"/>
  <c r="J366" i="2"/>
  <c r="J225" i="2"/>
  <c r="J26" i="2"/>
  <c r="J122" i="2"/>
  <c r="J218" i="2"/>
  <c r="J314" i="2"/>
  <c r="J410" i="2"/>
  <c r="J506" i="2"/>
  <c r="J602" i="2"/>
  <c r="J11" i="2"/>
  <c r="J395" i="2"/>
  <c r="J568" i="2"/>
  <c r="J145" i="2"/>
  <c r="J84" i="2"/>
  <c r="J468" i="2"/>
  <c r="J379" i="2"/>
  <c r="J272" i="2"/>
  <c r="J229" i="2"/>
  <c r="J16" i="2"/>
  <c r="J551" i="2"/>
  <c r="J38" i="2"/>
  <c r="J422" i="2"/>
  <c r="J305" i="2"/>
  <c r="J337" i="2"/>
  <c r="J183" i="2"/>
  <c r="J567" i="2"/>
  <c r="J213" i="2"/>
  <c r="J82" i="2"/>
  <c r="J31" i="2"/>
  <c r="J69" i="2"/>
  <c r="J18" i="2"/>
  <c r="J169" i="2"/>
  <c r="J91" i="2"/>
  <c r="J455" i="2"/>
  <c r="J20" i="2"/>
  <c r="J404" i="2"/>
  <c r="J154" i="2"/>
  <c r="J214" i="2"/>
  <c r="J406" i="2"/>
  <c r="J598" i="2"/>
  <c r="J575" i="2"/>
  <c r="J248" i="2"/>
  <c r="J98" i="2"/>
  <c r="J290" i="2"/>
  <c r="J482" i="2"/>
  <c r="J51" i="2"/>
  <c r="J147" i="2"/>
  <c r="J243" i="2"/>
  <c r="J339" i="2"/>
  <c r="J435" i="2"/>
  <c r="J531" i="2"/>
  <c r="J28" i="2"/>
  <c r="J124" i="2"/>
  <c r="J220" i="2"/>
  <c r="J316" i="2"/>
  <c r="J412" i="2"/>
  <c r="J508" i="2"/>
  <c r="J604" i="2"/>
  <c r="J101" i="2"/>
  <c r="J197" i="2"/>
  <c r="J293" i="2"/>
  <c r="J389" i="2"/>
  <c r="J485" i="2"/>
  <c r="J581" i="2"/>
  <c r="J78" i="2"/>
  <c r="J174" i="2"/>
  <c r="J270" i="2"/>
  <c r="J582" i="2"/>
  <c r="J513" i="2"/>
  <c r="J107" i="2"/>
  <c r="J491" i="2"/>
  <c r="J353" i="2"/>
  <c r="J224" i="2"/>
  <c r="J180" i="2"/>
  <c r="J564" i="2"/>
  <c r="J405" i="2"/>
  <c r="J585" i="2"/>
  <c r="J325" i="2"/>
  <c r="J545" i="2"/>
  <c r="J577" i="2"/>
  <c r="J134" i="2"/>
  <c r="J518" i="2"/>
  <c r="J548" i="2"/>
  <c r="J295" i="2"/>
  <c r="J279" i="2"/>
  <c r="J208" i="2"/>
  <c r="J216" i="2"/>
  <c r="J546" i="2"/>
  <c r="J344" i="2"/>
  <c r="J505" i="2"/>
  <c r="J138" i="2"/>
  <c r="J367" i="2"/>
  <c r="J187" i="2"/>
  <c r="J73" i="2"/>
  <c r="J116" i="2"/>
  <c r="J477" i="2"/>
  <c r="J70" i="2"/>
  <c r="J262" i="2"/>
  <c r="J454" i="2"/>
  <c r="J47" i="2"/>
  <c r="J576" i="2"/>
  <c r="J609" i="2"/>
  <c r="J146" i="2"/>
  <c r="J338" i="2"/>
  <c r="J530" i="2"/>
  <c r="J75" i="2"/>
  <c r="J171" i="2"/>
  <c r="J267" i="2"/>
  <c r="J363" i="2"/>
  <c r="J459" i="2"/>
  <c r="J555" i="2"/>
  <c r="J52" i="2"/>
  <c r="J148" i="2"/>
  <c r="J244" i="2"/>
  <c r="J340" i="2"/>
  <c r="J436" i="2"/>
  <c r="J532" i="2"/>
  <c r="J29" i="2"/>
  <c r="J125" i="2"/>
  <c r="J221" i="2"/>
  <c r="J317" i="2"/>
  <c r="J413" i="2"/>
  <c r="J509" i="2"/>
  <c r="J605" i="2"/>
  <c r="J102" i="2"/>
  <c r="J198" i="2"/>
  <c r="J294" i="2"/>
  <c r="J175" i="2"/>
  <c r="J106" i="2"/>
  <c r="J203" i="2"/>
  <c r="J587" i="2"/>
  <c r="J330" i="2"/>
  <c r="J537" i="2"/>
  <c r="J276" i="2"/>
  <c r="J209" i="2"/>
  <c r="J503" i="2"/>
  <c r="J37" i="2"/>
  <c r="J421" i="2"/>
  <c r="J571" i="2"/>
  <c r="J607" i="2"/>
  <c r="J230" i="2"/>
  <c r="J64" i="2"/>
  <c r="J501" i="2"/>
  <c r="J418" i="2"/>
  <c r="J375" i="2"/>
  <c r="J592" i="2"/>
  <c r="J313" i="2"/>
  <c r="J189" i="2"/>
  <c r="J250" i="2"/>
  <c r="J535" i="2"/>
  <c r="J450" i="2"/>
  <c r="J560" i="2"/>
  <c r="J283" i="2"/>
  <c r="J104" i="2"/>
  <c r="J212" i="2"/>
  <c r="J241" i="2"/>
  <c r="J118" i="2"/>
  <c r="J310" i="2"/>
  <c r="J502" i="2"/>
  <c r="J167" i="2"/>
  <c r="J361" i="2"/>
  <c r="J586" i="2"/>
  <c r="J194" i="2"/>
  <c r="J386" i="2"/>
  <c r="J578" i="2"/>
  <c r="J99" i="2"/>
  <c r="J195" i="2"/>
  <c r="J291" i="2"/>
  <c r="J387" i="2"/>
  <c r="J483" i="2"/>
  <c r="J579" i="2"/>
  <c r="J76" i="2"/>
  <c r="J172" i="2"/>
  <c r="J268" i="2"/>
  <c r="J364" i="2"/>
  <c r="J460" i="2"/>
  <c r="J556" i="2"/>
  <c r="J53" i="2"/>
  <c r="J149" i="2"/>
  <c r="J245" i="2"/>
  <c r="J341" i="2"/>
  <c r="J437" i="2"/>
  <c r="J533" i="2"/>
  <c r="J30" i="2"/>
  <c r="J126" i="2"/>
  <c r="J222" i="2"/>
  <c r="J342" i="2"/>
  <c r="J200" i="2"/>
  <c r="J394" i="2"/>
  <c r="J299" i="2"/>
  <c r="J372" i="2"/>
  <c r="J517" i="2"/>
  <c r="J424" i="2"/>
  <c r="J522" i="2"/>
  <c r="J105" i="2"/>
  <c r="J57" i="2"/>
  <c r="J358" i="2"/>
  <c r="J50" i="2"/>
  <c r="J123" i="2"/>
  <c r="J507" i="2"/>
  <c r="J292" i="2"/>
  <c r="J77" i="2"/>
  <c r="J461" i="2"/>
  <c r="J246" i="2"/>
  <c r="J232" i="2"/>
  <c r="J497" i="2"/>
  <c r="J453" i="2"/>
  <c r="J312" i="2"/>
  <c r="J296" i="2"/>
  <c r="J117" i="2"/>
  <c r="J308" i="2"/>
  <c r="J550" i="2"/>
  <c r="J242" i="2"/>
  <c r="J219" i="2"/>
  <c r="J603" i="2"/>
  <c r="J388" i="2"/>
  <c r="J173" i="2"/>
  <c r="J557" i="2"/>
  <c r="J438" i="2"/>
  <c r="J239" i="2"/>
  <c r="J457" i="2"/>
  <c r="J489" i="2"/>
  <c r="J87" i="2"/>
  <c r="J288" i="2"/>
  <c r="J562" i="2"/>
  <c r="J511" i="2"/>
  <c r="J311" i="2"/>
  <c r="J434" i="2"/>
  <c r="J315" i="2"/>
  <c r="J100" i="2"/>
  <c r="J484" i="2"/>
  <c r="J269" i="2"/>
  <c r="J54" i="2"/>
  <c r="J249" i="2"/>
  <c r="J346" i="2"/>
  <c r="J378" i="2"/>
  <c r="J27" i="2"/>
  <c r="J365" i="2"/>
  <c r="J580" i="2"/>
  <c r="J133" i="2"/>
  <c r="J523" i="2"/>
  <c r="J411" i="2"/>
  <c r="J150" i="2"/>
  <c r="J271" i="2"/>
  <c r="J326" i="2"/>
  <c r="J166" i="2"/>
  <c r="J196" i="2"/>
  <c r="J471" i="2"/>
  <c r="M11" i="2"/>
  <c r="N11" i="2" l="1"/>
  <c r="A609" i="2"/>
  <c r="A608" i="2"/>
  <c r="K608" i="2" s="1"/>
  <c r="P608" i="2" s="1"/>
  <c r="A607" i="2"/>
  <c r="K607" i="2" s="1"/>
  <c r="A606" i="2"/>
  <c r="K606" i="2" s="1"/>
  <c r="O606" i="2" s="1"/>
  <c r="A605" i="2"/>
  <c r="K605" i="2" s="1"/>
  <c r="A604" i="2"/>
  <c r="K604" i="2" s="1"/>
  <c r="P604" i="2" s="1"/>
  <c r="A603" i="2"/>
  <c r="K603" i="2" s="1"/>
  <c r="A602" i="2"/>
  <c r="K602" i="2" s="1"/>
  <c r="A601" i="2"/>
  <c r="K601" i="2" s="1"/>
  <c r="O601" i="2" s="1"/>
  <c r="A600" i="2"/>
  <c r="K600" i="2" s="1"/>
  <c r="A599" i="2"/>
  <c r="K599" i="2" s="1"/>
  <c r="O599" i="2" s="1"/>
  <c r="A598" i="2"/>
  <c r="K598" i="2" s="1"/>
  <c r="A597" i="2"/>
  <c r="K597" i="2" s="1"/>
  <c r="A596" i="2"/>
  <c r="K596" i="2" s="1"/>
  <c r="A595" i="2"/>
  <c r="K595" i="2" s="1"/>
  <c r="A594" i="2"/>
  <c r="K594" i="2" s="1"/>
  <c r="A593" i="2"/>
  <c r="K593" i="2" s="1"/>
  <c r="P593" i="2" s="1"/>
  <c r="A592" i="2"/>
  <c r="K592" i="2" s="1"/>
  <c r="P592" i="2" s="1"/>
  <c r="A591" i="2"/>
  <c r="K591" i="2" s="1"/>
  <c r="A590" i="2"/>
  <c r="K590" i="2" s="1"/>
  <c r="A589" i="2"/>
  <c r="K589" i="2" s="1"/>
  <c r="P589" i="2" s="1"/>
  <c r="A588" i="2"/>
  <c r="K588" i="2" s="1"/>
  <c r="P588" i="2" s="1"/>
  <c r="A587" i="2"/>
  <c r="K587" i="2" s="1"/>
  <c r="A586" i="2"/>
  <c r="K586" i="2" s="1"/>
  <c r="A585" i="2"/>
  <c r="K585" i="2" s="1"/>
  <c r="P585" i="2" s="1"/>
  <c r="A584" i="2"/>
  <c r="K584" i="2" s="1"/>
  <c r="A583" i="2"/>
  <c r="K583" i="2" s="1"/>
  <c r="P583" i="2" s="1"/>
  <c r="A582" i="2"/>
  <c r="K582" i="2" s="1"/>
  <c r="P582" i="2" s="1"/>
  <c r="A581" i="2"/>
  <c r="K581" i="2" s="1"/>
  <c r="A580" i="2"/>
  <c r="K580" i="2" s="1"/>
  <c r="A579" i="2"/>
  <c r="K579" i="2" s="1"/>
  <c r="A578" i="2"/>
  <c r="K578" i="2" s="1"/>
  <c r="P578" i="2" s="1"/>
  <c r="A577" i="2"/>
  <c r="K577" i="2" s="1"/>
  <c r="A576" i="2"/>
  <c r="K576" i="2" s="1"/>
  <c r="O576" i="2" s="1"/>
  <c r="A575" i="2"/>
  <c r="K575" i="2" s="1"/>
  <c r="A574" i="2"/>
  <c r="K574" i="2" s="1"/>
  <c r="A573" i="2"/>
  <c r="K573" i="2" s="1"/>
  <c r="P573" i="2" s="1"/>
  <c r="A572" i="2"/>
  <c r="K572" i="2" s="1"/>
  <c r="A571" i="2"/>
  <c r="K571" i="2" s="1"/>
  <c r="A570" i="2"/>
  <c r="K570" i="2" s="1"/>
  <c r="P570" i="2" s="1"/>
  <c r="A569" i="2"/>
  <c r="K569" i="2" s="1"/>
  <c r="P569" i="2" s="1"/>
  <c r="A568" i="2"/>
  <c r="K568" i="2" s="1"/>
  <c r="A567" i="2"/>
  <c r="K567" i="2" s="1"/>
  <c r="A566" i="2"/>
  <c r="K566" i="2" s="1"/>
  <c r="A565" i="2"/>
  <c r="K565" i="2" s="1"/>
  <c r="P565" i="2" s="1"/>
  <c r="A564" i="2"/>
  <c r="K564" i="2" s="1"/>
  <c r="P564" i="2" s="1"/>
  <c r="A563" i="2"/>
  <c r="K563" i="2" s="1"/>
  <c r="O563" i="2" s="1"/>
  <c r="A562" i="2"/>
  <c r="K562" i="2" s="1"/>
  <c r="A561" i="2"/>
  <c r="K561" i="2" s="1"/>
  <c r="A560" i="2"/>
  <c r="K560" i="2" s="1"/>
  <c r="A559" i="2"/>
  <c r="K559" i="2" s="1"/>
  <c r="P559" i="2" s="1"/>
  <c r="A558" i="2"/>
  <c r="K558" i="2" s="1"/>
  <c r="A557" i="2"/>
  <c r="K557" i="2" s="1"/>
  <c r="O557" i="2" s="1"/>
  <c r="A556" i="2"/>
  <c r="K556" i="2" s="1"/>
  <c r="A555" i="2"/>
  <c r="K555" i="2" s="1"/>
  <c r="O555" i="2" s="1"/>
  <c r="A554" i="2"/>
  <c r="K554" i="2" s="1"/>
  <c r="P554" i="2" s="1"/>
  <c r="A553" i="2"/>
  <c r="K553" i="2" s="1"/>
  <c r="O553" i="2" s="1"/>
  <c r="A552" i="2"/>
  <c r="K552" i="2" s="1"/>
  <c r="A551" i="2"/>
  <c r="K551" i="2" s="1"/>
  <c r="A550" i="2"/>
  <c r="K550" i="2" s="1"/>
  <c r="A549" i="2"/>
  <c r="K549" i="2" s="1"/>
  <c r="A548" i="2"/>
  <c r="K548" i="2" s="1"/>
  <c r="A547" i="2"/>
  <c r="K547" i="2" s="1"/>
  <c r="A546" i="2"/>
  <c r="K546" i="2" s="1"/>
  <c r="P546" i="2" s="1"/>
  <c r="A545" i="2"/>
  <c r="K545" i="2" s="1"/>
  <c r="P545" i="2" s="1"/>
  <c r="A544" i="2"/>
  <c r="K544" i="2" s="1"/>
  <c r="A543" i="2"/>
  <c r="K543" i="2" s="1"/>
  <c r="A542" i="2"/>
  <c r="K542" i="2" s="1"/>
  <c r="P542" i="2" s="1"/>
  <c r="A541" i="2"/>
  <c r="K541" i="2" s="1"/>
  <c r="A540" i="2"/>
  <c r="K540" i="2" s="1"/>
  <c r="P540" i="2" s="1"/>
  <c r="A539" i="2"/>
  <c r="K539" i="2" s="1"/>
  <c r="A538" i="2"/>
  <c r="K538" i="2" s="1"/>
  <c r="A537" i="2"/>
  <c r="K537" i="2" s="1"/>
  <c r="O537" i="2" s="1"/>
  <c r="A536" i="2"/>
  <c r="K536" i="2" s="1"/>
  <c r="A535" i="2"/>
  <c r="K535" i="2" s="1"/>
  <c r="A534" i="2"/>
  <c r="K534" i="2" s="1"/>
  <c r="P534" i="2" s="1"/>
  <c r="A533" i="2"/>
  <c r="K533" i="2" s="1"/>
  <c r="A532" i="2"/>
  <c r="K532" i="2" s="1"/>
  <c r="A531" i="2"/>
  <c r="K531" i="2" s="1"/>
  <c r="A530" i="2"/>
  <c r="K530" i="2" s="1"/>
  <c r="A529" i="2"/>
  <c r="K529" i="2" s="1"/>
  <c r="A528" i="2"/>
  <c r="K528" i="2" s="1"/>
  <c r="O528" i="2" s="1"/>
  <c r="A527" i="2"/>
  <c r="K527" i="2" s="1"/>
  <c r="P527" i="2" s="1"/>
  <c r="A526" i="2"/>
  <c r="K526" i="2" s="1"/>
  <c r="A525" i="2"/>
  <c r="K525" i="2" s="1"/>
  <c r="A524" i="2"/>
  <c r="K524" i="2" s="1"/>
  <c r="O524" i="2" s="1"/>
  <c r="A523" i="2"/>
  <c r="K523" i="2" s="1"/>
  <c r="A522" i="2"/>
  <c r="K522" i="2" s="1"/>
  <c r="A521" i="2"/>
  <c r="K521" i="2" s="1"/>
  <c r="P521" i="2" s="1"/>
  <c r="A520" i="2"/>
  <c r="K520" i="2" s="1"/>
  <c r="A519" i="2"/>
  <c r="K519" i="2" s="1"/>
  <c r="A518" i="2"/>
  <c r="K518" i="2" s="1"/>
  <c r="A517" i="2"/>
  <c r="K517" i="2" s="1"/>
  <c r="A516" i="2"/>
  <c r="K516" i="2" s="1"/>
  <c r="P516" i="2" s="1"/>
  <c r="A515" i="2"/>
  <c r="K515" i="2" s="1"/>
  <c r="P515" i="2" s="1"/>
  <c r="A514" i="2"/>
  <c r="K514" i="2" s="1"/>
  <c r="A513" i="2"/>
  <c r="K513" i="2" s="1"/>
  <c r="A512" i="2"/>
  <c r="K512" i="2" s="1"/>
  <c r="P512" i="2" s="1"/>
  <c r="A511" i="2"/>
  <c r="K511" i="2" s="1"/>
  <c r="A510" i="2"/>
  <c r="K510" i="2" s="1"/>
  <c r="P510" i="2" s="1"/>
  <c r="A509" i="2"/>
  <c r="K509" i="2" s="1"/>
  <c r="P509" i="2" s="1"/>
  <c r="A508" i="2"/>
  <c r="K508" i="2" s="1"/>
  <c r="A507" i="2"/>
  <c r="K507" i="2" s="1"/>
  <c r="O507" i="2" s="1"/>
  <c r="A506" i="2"/>
  <c r="K506" i="2" s="1"/>
  <c r="A505" i="2"/>
  <c r="K505" i="2" s="1"/>
  <c r="A504" i="2"/>
  <c r="K504" i="2" s="1"/>
  <c r="P504" i="2" s="1"/>
  <c r="A503" i="2"/>
  <c r="K503" i="2" s="1"/>
  <c r="O503" i="2" s="1"/>
  <c r="A502" i="2"/>
  <c r="K502" i="2" s="1"/>
  <c r="A501" i="2"/>
  <c r="K501" i="2" s="1"/>
  <c r="A500" i="2"/>
  <c r="K500" i="2" s="1"/>
  <c r="A499" i="2"/>
  <c r="K499" i="2" s="1"/>
  <c r="A498" i="2"/>
  <c r="K498" i="2" s="1"/>
  <c r="A497" i="2"/>
  <c r="K497" i="2" s="1"/>
  <c r="O497" i="2" s="1"/>
  <c r="A496" i="2"/>
  <c r="K496" i="2" s="1"/>
  <c r="A495" i="2"/>
  <c r="K495" i="2" s="1"/>
  <c r="A494" i="2"/>
  <c r="K494" i="2" s="1"/>
  <c r="P494" i="2" s="1"/>
  <c r="A493" i="2"/>
  <c r="K493" i="2" s="1"/>
  <c r="A492" i="2"/>
  <c r="K492" i="2" s="1"/>
  <c r="P492" i="2" s="1"/>
  <c r="A491" i="2"/>
  <c r="K491" i="2" s="1"/>
  <c r="A490" i="2"/>
  <c r="K490" i="2" s="1"/>
  <c r="A489" i="2"/>
  <c r="A488" i="2"/>
  <c r="K488" i="2" s="1"/>
  <c r="A487" i="2"/>
  <c r="K487" i="2" s="1"/>
  <c r="A486" i="2"/>
  <c r="K486" i="2" s="1"/>
  <c r="A485" i="2"/>
  <c r="K485" i="2" s="1"/>
  <c r="O485" i="2" s="1"/>
  <c r="A484" i="2"/>
  <c r="K484" i="2" s="1"/>
  <c r="O484" i="2" s="1"/>
  <c r="A483" i="2"/>
  <c r="K483" i="2" s="1"/>
  <c r="A482" i="2"/>
  <c r="K482" i="2" s="1"/>
  <c r="A481" i="2"/>
  <c r="K481" i="2" s="1"/>
  <c r="A480" i="2"/>
  <c r="K480" i="2" s="1"/>
  <c r="P480" i="2" s="1"/>
  <c r="A479" i="2"/>
  <c r="K479" i="2" s="1"/>
  <c r="O479" i="2" s="1"/>
  <c r="A478" i="2"/>
  <c r="K478" i="2" s="1"/>
  <c r="A477" i="2"/>
  <c r="K477" i="2" s="1"/>
  <c r="A476" i="2"/>
  <c r="K476" i="2" s="1"/>
  <c r="A475" i="2"/>
  <c r="K475" i="2" s="1"/>
  <c r="A474" i="2"/>
  <c r="K474" i="2" s="1"/>
  <c r="P474" i="2" s="1"/>
  <c r="A473" i="2"/>
  <c r="K473" i="2" s="1"/>
  <c r="A472" i="2"/>
  <c r="K472" i="2" s="1"/>
  <c r="A471" i="2"/>
  <c r="K471" i="2" s="1"/>
  <c r="A470" i="2"/>
  <c r="K470" i="2" s="1"/>
  <c r="P470" i="2" s="1"/>
  <c r="A469" i="2"/>
  <c r="K469" i="2" s="1"/>
  <c r="A468" i="2"/>
  <c r="K468" i="2" s="1"/>
  <c r="A467" i="2"/>
  <c r="K467" i="2" s="1"/>
  <c r="O467" i="2" s="1"/>
  <c r="A466" i="2"/>
  <c r="K466" i="2" s="1"/>
  <c r="A465" i="2"/>
  <c r="K465" i="2" s="1"/>
  <c r="A464" i="2"/>
  <c r="K464" i="2" s="1"/>
  <c r="A463" i="2"/>
  <c r="K463" i="2" s="1"/>
  <c r="A462" i="2"/>
  <c r="K462" i="2" s="1"/>
  <c r="A461" i="2"/>
  <c r="K461" i="2" s="1"/>
  <c r="A460" i="2"/>
  <c r="K460" i="2" s="1"/>
  <c r="O460" i="2" s="1"/>
  <c r="A459" i="2"/>
  <c r="K459" i="2" s="1"/>
  <c r="P459" i="2" s="1"/>
  <c r="A458" i="2"/>
  <c r="K458" i="2" s="1"/>
  <c r="O458" i="2" s="1"/>
  <c r="A457" i="2"/>
  <c r="K457" i="2" s="1"/>
  <c r="A456" i="2"/>
  <c r="K456" i="2" s="1"/>
  <c r="A455" i="2"/>
  <c r="K455" i="2" s="1"/>
  <c r="A454" i="2"/>
  <c r="K454" i="2" s="1"/>
  <c r="A453" i="2"/>
  <c r="K453" i="2" s="1"/>
  <c r="A452" i="2"/>
  <c r="K452" i="2" s="1"/>
  <c r="A451" i="2"/>
  <c r="K451" i="2" s="1"/>
  <c r="O451" i="2" s="1"/>
  <c r="A450" i="2"/>
  <c r="K450" i="2" s="1"/>
  <c r="A449" i="2"/>
  <c r="K449" i="2" s="1"/>
  <c r="A448" i="2"/>
  <c r="K448" i="2" s="1"/>
  <c r="A447" i="2"/>
  <c r="K447" i="2" s="1"/>
  <c r="P447" i="2" s="1"/>
  <c r="A446" i="2"/>
  <c r="K446" i="2" s="1"/>
  <c r="A445" i="2"/>
  <c r="K445" i="2" s="1"/>
  <c r="O445" i="2" s="1"/>
  <c r="A444" i="2"/>
  <c r="K444" i="2" s="1"/>
  <c r="O444" i="2" s="1"/>
  <c r="A443" i="2"/>
  <c r="K443" i="2" s="1"/>
  <c r="A442" i="2"/>
  <c r="K442" i="2" s="1"/>
  <c r="P442" i="2" s="1"/>
  <c r="A441" i="2"/>
  <c r="K441" i="2" s="1"/>
  <c r="A440" i="2"/>
  <c r="K440" i="2" s="1"/>
  <c r="O440" i="2" s="1"/>
  <c r="A439" i="2"/>
  <c r="K439" i="2" s="1"/>
  <c r="A438" i="2"/>
  <c r="K438" i="2" s="1"/>
  <c r="A437" i="2"/>
  <c r="K437" i="2" s="1"/>
  <c r="A436" i="2"/>
  <c r="K436" i="2" s="1"/>
  <c r="P436" i="2" s="1"/>
  <c r="A435" i="2"/>
  <c r="K435" i="2" s="1"/>
  <c r="P435" i="2" s="1"/>
  <c r="A434" i="2"/>
  <c r="K434" i="2" s="1"/>
  <c r="O434" i="2" s="1"/>
  <c r="A433" i="2"/>
  <c r="K433" i="2" s="1"/>
  <c r="A432" i="2"/>
  <c r="K432" i="2" s="1"/>
  <c r="A431" i="2"/>
  <c r="K431" i="2" s="1"/>
  <c r="A430" i="2"/>
  <c r="K430" i="2" s="1"/>
  <c r="A429" i="2"/>
  <c r="K429" i="2" s="1"/>
  <c r="P429" i="2" s="1"/>
  <c r="A428" i="2"/>
  <c r="K428" i="2" s="1"/>
  <c r="A427" i="2"/>
  <c r="K427" i="2" s="1"/>
  <c r="A426" i="2"/>
  <c r="K426" i="2" s="1"/>
  <c r="A425" i="2"/>
  <c r="K425" i="2" s="1"/>
  <c r="A424" i="2"/>
  <c r="K424" i="2" s="1"/>
  <c r="A423" i="2"/>
  <c r="K423" i="2" s="1"/>
  <c r="O423" i="2" s="1"/>
  <c r="A422" i="2"/>
  <c r="K422" i="2" s="1"/>
  <c r="A421" i="2"/>
  <c r="K421" i="2" s="1"/>
  <c r="O421" i="2" s="1"/>
  <c r="A420" i="2"/>
  <c r="K420" i="2" s="1"/>
  <c r="P420" i="2" s="1"/>
  <c r="A419" i="2"/>
  <c r="K419" i="2" s="1"/>
  <c r="A418" i="2"/>
  <c r="K418" i="2" s="1"/>
  <c r="A417" i="2"/>
  <c r="K417" i="2" s="1"/>
  <c r="A416" i="2"/>
  <c r="K416" i="2" s="1"/>
  <c r="P416" i="2" s="1"/>
  <c r="A415" i="2"/>
  <c r="K415" i="2" s="1"/>
  <c r="A414" i="2"/>
  <c r="K414" i="2" s="1"/>
  <c r="A413" i="2"/>
  <c r="K413" i="2" s="1"/>
  <c r="P413" i="2" s="1"/>
  <c r="A412" i="2"/>
  <c r="K412" i="2" s="1"/>
  <c r="P412" i="2" s="1"/>
  <c r="A411" i="2"/>
  <c r="K411" i="2" s="1"/>
  <c r="A410" i="2"/>
  <c r="K410" i="2" s="1"/>
  <c r="P410" i="2" s="1"/>
  <c r="A409" i="2"/>
  <c r="K409" i="2" s="1"/>
  <c r="A408" i="2"/>
  <c r="K408" i="2" s="1"/>
  <c r="A407" i="2"/>
  <c r="K407" i="2" s="1"/>
  <c r="A406" i="2"/>
  <c r="K406" i="2" s="1"/>
  <c r="P406" i="2" s="1"/>
  <c r="A405" i="2"/>
  <c r="K405" i="2" s="1"/>
  <c r="A404" i="2"/>
  <c r="K404" i="2" s="1"/>
  <c r="P404" i="2" s="1"/>
  <c r="A403" i="2"/>
  <c r="K403" i="2" s="1"/>
  <c r="P403" i="2" s="1"/>
  <c r="A402" i="2"/>
  <c r="K402" i="2" s="1"/>
  <c r="A401" i="2"/>
  <c r="K401" i="2" s="1"/>
  <c r="P401" i="2" s="1"/>
  <c r="A400" i="2"/>
  <c r="K400" i="2" s="1"/>
  <c r="O400" i="2" s="1"/>
  <c r="A399" i="2"/>
  <c r="K399" i="2" s="1"/>
  <c r="A398" i="2"/>
  <c r="K398" i="2" s="1"/>
  <c r="A397" i="2"/>
  <c r="K397" i="2" s="1"/>
  <c r="O397" i="2" s="1"/>
  <c r="A396" i="2"/>
  <c r="K396" i="2" s="1"/>
  <c r="A395" i="2"/>
  <c r="K395" i="2" s="1"/>
  <c r="A394" i="2"/>
  <c r="K394" i="2" s="1"/>
  <c r="A393" i="2"/>
  <c r="K393" i="2" s="1"/>
  <c r="P393" i="2" s="1"/>
  <c r="A392" i="2"/>
  <c r="K392" i="2" s="1"/>
  <c r="A391" i="2"/>
  <c r="K391" i="2" s="1"/>
  <c r="P391" i="2" s="1"/>
  <c r="A390" i="2"/>
  <c r="K390" i="2" s="1"/>
  <c r="A389" i="2"/>
  <c r="K389" i="2" s="1"/>
  <c r="P389" i="2" s="1"/>
  <c r="A388" i="2"/>
  <c r="K388" i="2" s="1"/>
  <c r="A387" i="2"/>
  <c r="K387" i="2" s="1"/>
  <c r="P387" i="2" s="1"/>
  <c r="A386" i="2"/>
  <c r="K386" i="2" s="1"/>
  <c r="A385" i="2"/>
  <c r="K385" i="2" s="1"/>
  <c r="O385" i="2" s="1"/>
  <c r="A384" i="2"/>
  <c r="K384" i="2" s="1"/>
  <c r="P384" i="2" s="1"/>
  <c r="A383" i="2"/>
  <c r="K383" i="2" s="1"/>
  <c r="A382" i="2"/>
  <c r="K382" i="2" s="1"/>
  <c r="A381" i="2"/>
  <c r="K381" i="2" s="1"/>
  <c r="A380" i="2"/>
  <c r="K380" i="2" s="1"/>
  <c r="P380" i="2" s="1"/>
  <c r="A379" i="2"/>
  <c r="K379" i="2" s="1"/>
  <c r="A378" i="2"/>
  <c r="K378" i="2" s="1"/>
  <c r="A377" i="2"/>
  <c r="K377" i="2" s="1"/>
  <c r="A376" i="2"/>
  <c r="K376" i="2" s="1"/>
  <c r="P376" i="2" s="1"/>
  <c r="A375" i="2"/>
  <c r="K375" i="2" s="1"/>
  <c r="A374" i="2"/>
  <c r="K374" i="2" s="1"/>
  <c r="O374" i="2" s="1"/>
  <c r="A373" i="2"/>
  <c r="K373" i="2" s="1"/>
  <c r="A372" i="2"/>
  <c r="K372" i="2" s="1"/>
  <c r="A371" i="2"/>
  <c r="K371" i="2" s="1"/>
  <c r="A370" i="2"/>
  <c r="K370" i="2" s="1"/>
  <c r="P370" i="2" s="1"/>
  <c r="A369" i="2"/>
  <c r="A368" i="2"/>
  <c r="K368" i="2" s="1"/>
  <c r="P368" i="2" s="1"/>
  <c r="A367" i="2"/>
  <c r="K367" i="2" s="1"/>
  <c r="P367" i="2" s="1"/>
  <c r="A366" i="2"/>
  <c r="K366" i="2" s="1"/>
  <c r="A365" i="2"/>
  <c r="K365" i="2" s="1"/>
  <c r="A364" i="2"/>
  <c r="K364" i="2" s="1"/>
  <c r="O364" i="2" s="1"/>
  <c r="A363" i="2"/>
  <c r="K363" i="2" s="1"/>
  <c r="A362" i="2"/>
  <c r="K362" i="2" s="1"/>
  <c r="O362" i="2" s="1"/>
  <c r="A361" i="2"/>
  <c r="K361" i="2" s="1"/>
  <c r="A360" i="2"/>
  <c r="K360" i="2" s="1"/>
  <c r="P360" i="2" s="1"/>
  <c r="A359" i="2"/>
  <c r="K359" i="2" s="1"/>
  <c r="A358" i="2"/>
  <c r="K358" i="2" s="1"/>
  <c r="A357" i="2"/>
  <c r="K357" i="2" s="1"/>
  <c r="P357" i="2" s="1"/>
  <c r="A356" i="2"/>
  <c r="K356" i="2" s="1"/>
  <c r="P356" i="2" s="1"/>
  <c r="A355" i="2"/>
  <c r="K355" i="2" s="1"/>
  <c r="P355" i="2" s="1"/>
  <c r="A354" i="2"/>
  <c r="K354" i="2" s="1"/>
  <c r="A353" i="2"/>
  <c r="K353" i="2" s="1"/>
  <c r="P353" i="2" s="1"/>
  <c r="A352" i="2"/>
  <c r="K352" i="2" s="1"/>
  <c r="P352" i="2" s="1"/>
  <c r="A351" i="2"/>
  <c r="K351" i="2" s="1"/>
  <c r="P351" i="2" s="1"/>
  <c r="A350" i="2"/>
  <c r="K350" i="2" s="1"/>
  <c r="A349" i="2"/>
  <c r="K349" i="2" s="1"/>
  <c r="O349" i="2" s="1"/>
  <c r="A348" i="2"/>
  <c r="K348" i="2" s="1"/>
  <c r="A347" i="2"/>
  <c r="K347" i="2" s="1"/>
  <c r="A346" i="2"/>
  <c r="K346" i="2" s="1"/>
  <c r="A345" i="2"/>
  <c r="K345" i="2" s="1"/>
  <c r="P345" i="2" s="1"/>
  <c r="A344" i="2"/>
  <c r="K344" i="2" s="1"/>
  <c r="A343" i="2"/>
  <c r="K343" i="2" s="1"/>
  <c r="P343" i="2" s="1"/>
  <c r="A342" i="2"/>
  <c r="K342" i="2" s="1"/>
  <c r="A341" i="2"/>
  <c r="K341" i="2" s="1"/>
  <c r="P341" i="2" s="1"/>
  <c r="A340" i="2"/>
  <c r="K340" i="2" s="1"/>
  <c r="O340" i="2" s="1"/>
  <c r="A339" i="2"/>
  <c r="K339" i="2" s="1"/>
  <c r="O339" i="2" s="1"/>
  <c r="A338" i="2"/>
  <c r="K338" i="2" s="1"/>
  <c r="A337" i="2"/>
  <c r="K337" i="2" s="1"/>
  <c r="O337" i="2" s="1"/>
  <c r="A336" i="2"/>
  <c r="K336" i="2" s="1"/>
  <c r="A335" i="2"/>
  <c r="K335" i="2" s="1"/>
  <c r="A334" i="2"/>
  <c r="K334" i="2" s="1"/>
  <c r="P334" i="2" s="1"/>
  <c r="A333" i="2"/>
  <c r="K333" i="2" s="1"/>
  <c r="A332" i="2"/>
  <c r="K332" i="2" s="1"/>
  <c r="P332" i="2" s="1"/>
  <c r="A331" i="2"/>
  <c r="K331" i="2" s="1"/>
  <c r="A330" i="2"/>
  <c r="K330" i="2" s="1"/>
  <c r="A329" i="2"/>
  <c r="K329" i="2" s="1"/>
  <c r="A328" i="2"/>
  <c r="K328" i="2" s="1"/>
  <c r="O328" i="2" s="1"/>
  <c r="A327" i="2"/>
  <c r="K327" i="2" s="1"/>
  <c r="A326" i="2"/>
  <c r="K326" i="2" s="1"/>
  <c r="A325" i="2"/>
  <c r="K325" i="2" s="1"/>
  <c r="A324" i="2"/>
  <c r="K324" i="2" s="1"/>
  <c r="P324" i="2" s="1"/>
  <c r="A323" i="2"/>
  <c r="K323" i="2" s="1"/>
  <c r="A322" i="2"/>
  <c r="K322" i="2" s="1"/>
  <c r="A321" i="2"/>
  <c r="K321" i="2" s="1"/>
  <c r="A320" i="2"/>
  <c r="K320" i="2" s="1"/>
  <c r="P320" i="2" s="1"/>
  <c r="A319" i="2"/>
  <c r="K319" i="2" s="1"/>
  <c r="P319" i="2" s="1"/>
  <c r="A318" i="2"/>
  <c r="K318" i="2" s="1"/>
  <c r="A317" i="2"/>
  <c r="K317" i="2" s="1"/>
  <c r="O317" i="2" s="1"/>
  <c r="A316" i="2"/>
  <c r="K316" i="2" s="1"/>
  <c r="A315" i="2"/>
  <c r="K315" i="2" s="1"/>
  <c r="O315" i="2" s="1"/>
  <c r="A314" i="2"/>
  <c r="K314" i="2" s="1"/>
  <c r="P314" i="2" s="1"/>
  <c r="A313" i="2"/>
  <c r="K313" i="2" s="1"/>
  <c r="O313" i="2" s="1"/>
  <c r="A312" i="2"/>
  <c r="K312" i="2" s="1"/>
  <c r="A311" i="2"/>
  <c r="K311" i="2" s="1"/>
  <c r="A310" i="2"/>
  <c r="K310" i="2" s="1"/>
  <c r="A309" i="2"/>
  <c r="K309" i="2" s="1"/>
  <c r="A308" i="2"/>
  <c r="K308" i="2" s="1"/>
  <c r="A307" i="2"/>
  <c r="K307" i="2" s="1"/>
  <c r="A306" i="2"/>
  <c r="K306" i="2" s="1"/>
  <c r="A305" i="2"/>
  <c r="K305" i="2" s="1"/>
  <c r="P305" i="2" s="1"/>
  <c r="A304" i="2"/>
  <c r="K304" i="2" s="1"/>
  <c r="A303" i="2"/>
  <c r="K303" i="2" s="1"/>
  <c r="O303" i="2" s="1"/>
  <c r="A302" i="2"/>
  <c r="K302" i="2" s="1"/>
  <c r="P302" i="2" s="1"/>
  <c r="A301" i="2"/>
  <c r="K301" i="2" s="1"/>
  <c r="O301" i="2" s="1"/>
  <c r="A300" i="2"/>
  <c r="K300" i="2" s="1"/>
  <c r="A299" i="2"/>
  <c r="K299" i="2" s="1"/>
  <c r="A298" i="2"/>
  <c r="K298" i="2" s="1"/>
  <c r="P298" i="2" s="1"/>
  <c r="A297" i="2"/>
  <c r="K297" i="2" s="1"/>
  <c r="A296" i="2"/>
  <c r="K296" i="2" s="1"/>
  <c r="O296" i="2" s="1"/>
  <c r="A295" i="2"/>
  <c r="K295" i="2" s="1"/>
  <c r="A294" i="2"/>
  <c r="K294" i="2" s="1"/>
  <c r="A293" i="2"/>
  <c r="K293" i="2" s="1"/>
  <c r="A292" i="2"/>
  <c r="K292" i="2" s="1"/>
  <c r="A291" i="2"/>
  <c r="K291" i="2" s="1"/>
  <c r="A290" i="2"/>
  <c r="K290" i="2" s="1"/>
  <c r="A289" i="2"/>
  <c r="K289" i="2" s="1"/>
  <c r="A288" i="2"/>
  <c r="K288" i="2" s="1"/>
  <c r="A287" i="2"/>
  <c r="K287" i="2" s="1"/>
  <c r="A286" i="2"/>
  <c r="K286" i="2" s="1"/>
  <c r="A285" i="2"/>
  <c r="K285" i="2" s="1"/>
  <c r="P285" i="2" s="1"/>
  <c r="A284" i="2"/>
  <c r="K284" i="2" s="1"/>
  <c r="O284" i="2" s="1"/>
  <c r="A283" i="2"/>
  <c r="K283" i="2" s="1"/>
  <c r="A282" i="2"/>
  <c r="K282" i="2" s="1"/>
  <c r="A281" i="2"/>
  <c r="K281" i="2" s="1"/>
  <c r="A280" i="2"/>
  <c r="K280" i="2" s="1"/>
  <c r="A279" i="2"/>
  <c r="K279" i="2" s="1"/>
  <c r="O279" i="2" s="1"/>
  <c r="A278" i="2"/>
  <c r="K278" i="2" s="1"/>
  <c r="A277" i="2"/>
  <c r="K277" i="2" s="1"/>
  <c r="O277" i="2" s="1"/>
  <c r="A276" i="2"/>
  <c r="K276" i="2" s="1"/>
  <c r="A275" i="2"/>
  <c r="K275" i="2" s="1"/>
  <c r="A274" i="2"/>
  <c r="K274" i="2" s="1"/>
  <c r="A273" i="2"/>
  <c r="K273" i="2" s="1"/>
  <c r="A272" i="2"/>
  <c r="K272" i="2" s="1"/>
  <c r="A271" i="2"/>
  <c r="K271" i="2" s="1"/>
  <c r="A270" i="2"/>
  <c r="K270" i="2" s="1"/>
  <c r="A269" i="2"/>
  <c r="K269" i="2" s="1"/>
  <c r="O269" i="2" s="1"/>
  <c r="A268" i="2"/>
  <c r="K268" i="2" s="1"/>
  <c r="O268" i="2" s="1"/>
  <c r="A267" i="2"/>
  <c r="K267" i="2" s="1"/>
  <c r="P267" i="2" s="1"/>
  <c r="A266" i="2"/>
  <c r="K266" i="2" s="1"/>
  <c r="O266" i="2" s="1"/>
  <c r="A265" i="2"/>
  <c r="K265" i="2" s="1"/>
  <c r="O265" i="2" s="1"/>
  <c r="A264" i="2"/>
  <c r="K264" i="2" s="1"/>
  <c r="A263" i="2"/>
  <c r="K263" i="2" s="1"/>
  <c r="A262" i="2"/>
  <c r="K262" i="2" s="1"/>
  <c r="A261" i="2"/>
  <c r="K261" i="2" s="1"/>
  <c r="A260" i="2"/>
  <c r="K260" i="2" s="1"/>
  <c r="P260" i="2" s="1"/>
  <c r="A259" i="2"/>
  <c r="K259" i="2" s="1"/>
  <c r="A258" i="2"/>
  <c r="K258" i="2" s="1"/>
  <c r="A257" i="2"/>
  <c r="K257" i="2" s="1"/>
  <c r="A256" i="2"/>
  <c r="K256" i="2" s="1"/>
  <c r="A255" i="2"/>
  <c r="K255" i="2" s="1"/>
  <c r="A254" i="2"/>
  <c r="K254" i="2" s="1"/>
  <c r="A253" i="2"/>
  <c r="K253" i="2" s="1"/>
  <c r="A252" i="2"/>
  <c r="K252" i="2" s="1"/>
  <c r="A251" i="2"/>
  <c r="K251" i="2" s="1"/>
  <c r="A250" i="2"/>
  <c r="K250" i="2" s="1"/>
  <c r="A249" i="2"/>
  <c r="K249" i="2" s="1"/>
  <c r="A248" i="2"/>
  <c r="K248" i="2" s="1"/>
  <c r="A247" i="2"/>
  <c r="K247" i="2" s="1"/>
  <c r="P247" i="2" s="1"/>
  <c r="A246" i="2"/>
  <c r="K246" i="2" s="1"/>
  <c r="A245" i="2"/>
  <c r="K245" i="2" s="1"/>
  <c r="P245" i="2" s="1"/>
  <c r="A244" i="2"/>
  <c r="K244" i="2" s="1"/>
  <c r="A243" i="2"/>
  <c r="K243" i="2" s="1"/>
  <c r="P243" i="2" s="1"/>
  <c r="A242" i="2"/>
  <c r="K242" i="2" s="1"/>
  <c r="P242" i="2" s="1"/>
  <c r="A241" i="2"/>
  <c r="K241" i="2" s="1"/>
  <c r="O241" i="2" s="1"/>
  <c r="A240" i="2"/>
  <c r="K240" i="2" s="1"/>
  <c r="A239" i="2"/>
  <c r="K239" i="2" s="1"/>
  <c r="A238" i="2"/>
  <c r="K238" i="2" s="1"/>
  <c r="A237" i="2"/>
  <c r="K237" i="2" s="1"/>
  <c r="A236" i="2"/>
  <c r="K236" i="2" s="1"/>
  <c r="K235" i="2"/>
  <c r="P235" i="2" s="1"/>
  <c r="A235" i="2"/>
  <c r="A234" i="2"/>
  <c r="K234" i="2" s="1"/>
  <c r="A233" i="2"/>
  <c r="K233" i="2" s="1"/>
  <c r="A232" i="2"/>
  <c r="K232" i="2" s="1"/>
  <c r="P232" i="2" s="1"/>
  <c r="A231" i="2"/>
  <c r="K231" i="2" s="1"/>
  <c r="P231" i="2" s="1"/>
  <c r="A230" i="2"/>
  <c r="K230" i="2" s="1"/>
  <c r="A229" i="2"/>
  <c r="K229" i="2" s="1"/>
  <c r="O229" i="2" s="1"/>
  <c r="A228" i="2"/>
  <c r="K228" i="2" s="1"/>
  <c r="P228" i="2" s="1"/>
  <c r="A227" i="2"/>
  <c r="K227" i="2" s="1"/>
  <c r="A226" i="2"/>
  <c r="K226" i="2" s="1"/>
  <c r="A225" i="2"/>
  <c r="K225" i="2" s="1"/>
  <c r="P225" i="2" s="1"/>
  <c r="A224" i="2"/>
  <c r="K224" i="2" s="1"/>
  <c r="P224" i="2" s="1"/>
  <c r="A223" i="2"/>
  <c r="K223" i="2" s="1"/>
  <c r="A222" i="2"/>
  <c r="K222" i="2" s="1"/>
  <c r="A221" i="2"/>
  <c r="K221" i="2" s="1"/>
  <c r="A220" i="2"/>
  <c r="K220" i="2" s="1"/>
  <c r="A219" i="2"/>
  <c r="K219" i="2" s="1"/>
  <c r="A218" i="2"/>
  <c r="K218" i="2" s="1"/>
  <c r="O218" i="2" s="1"/>
  <c r="A217" i="2"/>
  <c r="K217" i="2" s="1"/>
  <c r="A216" i="2"/>
  <c r="K216" i="2" s="1"/>
  <c r="P216" i="2" s="1"/>
  <c r="A215" i="2"/>
  <c r="K215" i="2" s="1"/>
  <c r="A214" i="2"/>
  <c r="K214" i="2" s="1"/>
  <c r="P214" i="2" s="1"/>
  <c r="A213" i="2"/>
  <c r="K213" i="2" s="1"/>
  <c r="A212" i="2"/>
  <c r="K212" i="2" s="1"/>
  <c r="O212" i="2" s="1"/>
  <c r="A211" i="2"/>
  <c r="K211" i="2" s="1"/>
  <c r="A210" i="2"/>
  <c r="K210" i="2" s="1"/>
  <c r="A209" i="2"/>
  <c r="K209" i="2" s="1"/>
  <c r="A208" i="2"/>
  <c r="K208" i="2" s="1"/>
  <c r="O208" i="2" s="1"/>
  <c r="A207" i="2"/>
  <c r="K207" i="2" s="1"/>
  <c r="P207" i="2" s="1"/>
  <c r="A206" i="2"/>
  <c r="K206" i="2" s="1"/>
  <c r="A205" i="2"/>
  <c r="K205" i="2" s="1"/>
  <c r="O205" i="2" s="1"/>
  <c r="A204" i="2"/>
  <c r="K204" i="2" s="1"/>
  <c r="P204" i="2" s="1"/>
  <c r="A203" i="2"/>
  <c r="K203" i="2" s="1"/>
  <c r="A202" i="2"/>
  <c r="K202" i="2" s="1"/>
  <c r="P202" i="2" s="1"/>
  <c r="A201" i="2"/>
  <c r="K201" i="2" s="1"/>
  <c r="O201" i="2" s="1"/>
  <c r="A200" i="2"/>
  <c r="K200" i="2" s="1"/>
  <c r="A199" i="2"/>
  <c r="K199" i="2" s="1"/>
  <c r="O199" i="2" s="1"/>
  <c r="E198" i="2"/>
  <c r="A198" i="2"/>
  <c r="K198" i="2" s="1"/>
  <c r="O198" i="2" s="1"/>
  <c r="A197" i="2"/>
  <c r="K197" i="2" s="1"/>
  <c r="A196" i="2"/>
  <c r="K196" i="2" s="1"/>
  <c r="A195" i="2"/>
  <c r="K195" i="2" s="1"/>
  <c r="P195" i="2" s="1"/>
  <c r="A194" i="2"/>
  <c r="K194" i="2" s="1"/>
  <c r="P194" i="2" s="1"/>
  <c r="A193" i="2"/>
  <c r="K193" i="2" s="1"/>
  <c r="O193" i="2" s="1"/>
  <c r="A192" i="2"/>
  <c r="K192" i="2" s="1"/>
  <c r="A191" i="2"/>
  <c r="K191" i="2" s="1"/>
  <c r="A190" i="2"/>
  <c r="K190" i="2" s="1"/>
  <c r="A189" i="2"/>
  <c r="K189" i="2" s="1"/>
  <c r="A188" i="2"/>
  <c r="K188" i="2" s="1"/>
  <c r="A187" i="2"/>
  <c r="K187" i="2" s="1"/>
  <c r="A186" i="2"/>
  <c r="K186" i="2" s="1"/>
  <c r="P186" i="2" s="1"/>
  <c r="A185" i="2"/>
  <c r="K185" i="2" s="1"/>
  <c r="A184" i="2"/>
  <c r="K184" i="2" s="1"/>
  <c r="P184" i="2" s="1"/>
  <c r="A183" i="2"/>
  <c r="K183" i="2" s="1"/>
  <c r="P183" i="2" s="1"/>
  <c r="A182" i="2"/>
  <c r="K182" i="2" s="1"/>
  <c r="A181" i="2"/>
  <c r="K181" i="2" s="1"/>
  <c r="A180" i="2"/>
  <c r="K180" i="2" s="1"/>
  <c r="A179" i="2"/>
  <c r="K179" i="2" s="1"/>
  <c r="A178" i="2"/>
  <c r="K178" i="2" s="1"/>
  <c r="A177" i="2"/>
  <c r="K177" i="2" s="1"/>
  <c r="A176" i="2"/>
  <c r="K176" i="2" s="1"/>
  <c r="O176" i="2" s="1"/>
  <c r="A175" i="2"/>
  <c r="K175" i="2" s="1"/>
  <c r="P175" i="2" s="1"/>
  <c r="A174" i="2"/>
  <c r="K174" i="2" s="1"/>
  <c r="P174" i="2" s="1"/>
  <c r="A173" i="2"/>
  <c r="K173" i="2" s="1"/>
  <c r="A172" i="2"/>
  <c r="K172" i="2" s="1"/>
  <c r="A171" i="2"/>
  <c r="K171" i="2" s="1"/>
  <c r="A170" i="2"/>
  <c r="K170" i="2" s="1"/>
  <c r="P170" i="2" s="1"/>
  <c r="A169" i="2"/>
  <c r="K169" i="2" s="1"/>
  <c r="A168" i="2"/>
  <c r="K168" i="2" s="1"/>
  <c r="A167" i="2"/>
  <c r="K167" i="2" s="1"/>
  <c r="A166" i="2"/>
  <c r="K166" i="2" s="1"/>
  <c r="P166" i="2" s="1"/>
  <c r="A165" i="2"/>
  <c r="K165" i="2" s="1"/>
  <c r="A164" i="2"/>
  <c r="K164" i="2" s="1"/>
  <c r="A163" i="2"/>
  <c r="K163" i="2" s="1"/>
  <c r="P163" i="2" s="1"/>
  <c r="A162" i="2"/>
  <c r="K162" i="2" s="1"/>
  <c r="P162" i="2" s="1"/>
  <c r="A161" i="2"/>
  <c r="K161" i="2" s="1"/>
  <c r="A160" i="2"/>
  <c r="K160" i="2" s="1"/>
  <c r="A159" i="2"/>
  <c r="K159" i="2" s="1"/>
  <c r="A158" i="2"/>
  <c r="K158" i="2" s="1"/>
  <c r="P158" i="2" s="1"/>
  <c r="A157" i="2"/>
  <c r="K157" i="2" s="1"/>
  <c r="A156" i="2"/>
  <c r="K156" i="2" s="1"/>
  <c r="A155" i="2"/>
  <c r="K155" i="2" s="1"/>
  <c r="A154" i="2"/>
  <c r="K154" i="2" s="1"/>
  <c r="P154" i="2" s="1"/>
  <c r="A153" i="2"/>
  <c r="K153" i="2" s="1"/>
  <c r="A152" i="2"/>
  <c r="K152" i="2" s="1"/>
  <c r="P152" i="2" s="1"/>
  <c r="A151" i="2"/>
  <c r="K151" i="2" s="1"/>
  <c r="A150" i="2"/>
  <c r="K150" i="2" s="1"/>
  <c r="P150" i="2" s="1"/>
  <c r="E149" i="2"/>
  <c r="A149" i="2"/>
  <c r="K149" i="2" s="1"/>
  <c r="A148" i="2"/>
  <c r="K148" i="2" s="1"/>
  <c r="A147" i="2"/>
  <c r="K147" i="2" s="1"/>
  <c r="P147" i="2" s="1"/>
  <c r="A146" i="2"/>
  <c r="K146" i="2" s="1"/>
  <c r="P146" i="2" s="1"/>
  <c r="A145" i="2"/>
  <c r="K145" i="2" s="1"/>
  <c r="A144" i="2"/>
  <c r="K144" i="2" s="1"/>
  <c r="A143" i="2"/>
  <c r="K143" i="2" s="1"/>
  <c r="P143" i="2" s="1"/>
  <c r="A142" i="2"/>
  <c r="K142" i="2" s="1"/>
  <c r="A141" i="2"/>
  <c r="K141" i="2" s="1"/>
  <c r="P141" i="2" s="1"/>
  <c r="A140" i="2"/>
  <c r="K140" i="2" s="1"/>
  <c r="P140" i="2" s="1"/>
  <c r="A139" i="2"/>
  <c r="K139" i="2" s="1"/>
  <c r="A138" i="2"/>
  <c r="K138" i="2" s="1"/>
  <c r="P138" i="2" s="1"/>
  <c r="A137" i="2"/>
  <c r="K137" i="2" s="1"/>
  <c r="A136" i="2"/>
  <c r="K136" i="2" s="1"/>
  <c r="A135" i="2"/>
  <c r="K135" i="2" s="1"/>
  <c r="A134" i="2"/>
  <c r="K134" i="2" s="1"/>
  <c r="A133" i="2"/>
  <c r="K133" i="2" s="1"/>
  <c r="A132" i="2"/>
  <c r="K132" i="2" s="1"/>
  <c r="A131" i="2"/>
  <c r="K131" i="2" s="1"/>
  <c r="A130" i="2"/>
  <c r="K130" i="2" s="1"/>
  <c r="A129" i="2"/>
  <c r="K129" i="2" s="1"/>
  <c r="A128" i="2"/>
  <c r="K128" i="2" s="1"/>
  <c r="A127" i="2"/>
  <c r="K127" i="2" s="1"/>
  <c r="P127" i="2" s="1"/>
  <c r="A126" i="2"/>
  <c r="K126" i="2" s="1"/>
  <c r="A125" i="2"/>
  <c r="K125" i="2" s="1"/>
  <c r="A124" i="2"/>
  <c r="K124" i="2" s="1"/>
  <c r="A123" i="2"/>
  <c r="K123" i="2" s="1"/>
  <c r="A122" i="2"/>
  <c r="K122" i="2" s="1"/>
  <c r="P122" i="2" s="1"/>
  <c r="A121" i="2"/>
  <c r="K121" i="2" s="1"/>
  <c r="A120" i="2"/>
  <c r="K120" i="2" s="1"/>
  <c r="A119" i="2"/>
  <c r="K119" i="2" s="1"/>
  <c r="A118" i="2"/>
  <c r="K118" i="2" s="1"/>
  <c r="A117" i="2"/>
  <c r="K117" i="2" s="1"/>
  <c r="A116" i="2"/>
  <c r="K116" i="2" s="1"/>
  <c r="A115" i="2"/>
  <c r="K115" i="2" s="1"/>
  <c r="A114" i="2"/>
  <c r="K114" i="2" s="1"/>
  <c r="A113" i="2"/>
  <c r="K113" i="2" s="1"/>
  <c r="A112" i="2"/>
  <c r="K112" i="2" s="1"/>
  <c r="O112" i="2" s="1"/>
  <c r="A111" i="2"/>
  <c r="K111" i="2" s="1"/>
  <c r="P111" i="2" s="1"/>
  <c r="A110" i="2"/>
  <c r="K110" i="2" s="1"/>
  <c r="A109" i="2"/>
  <c r="K109" i="2" s="1"/>
  <c r="O109" i="2" s="1"/>
  <c r="A108" i="2"/>
  <c r="K108" i="2" s="1"/>
  <c r="A107" i="2"/>
  <c r="K107" i="2" s="1"/>
  <c r="A106" i="2"/>
  <c r="K106" i="2" s="1"/>
  <c r="A105" i="2"/>
  <c r="K105" i="2" s="1"/>
  <c r="A104" i="2"/>
  <c r="K104" i="2" s="1"/>
  <c r="A103" i="2"/>
  <c r="K103" i="2" s="1"/>
  <c r="P103" i="2" s="1"/>
  <c r="A102" i="2"/>
  <c r="K102" i="2" s="1"/>
  <c r="A101" i="2"/>
  <c r="K101" i="2" s="1"/>
  <c r="A100" i="2"/>
  <c r="K100" i="2" s="1"/>
  <c r="A99" i="2"/>
  <c r="K99" i="2" s="1"/>
  <c r="A98" i="2"/>
  <c r="K98" i="2" s="1"/>
  <c r="P98" i="2" s="1"/>
  <c r="A97" i="2"/>
  <c r="K97" i="2" s="1"/>
  <c r="A96" i="2"/>
  <c r="K96" i="2" s="1"/>
  <c r="A95" i="2"/>
  <c r="K95" i="2" s="1"/>
  <c r="A94" i="2"/>
  <c r="K94" i="2" s="1"/>
  <c r="A93" i="2"/>
  <c r="K93" i="2" s="1"/>
  <c r="A92" i="2"/>
  <c r="K92" i="2" s="1"/>
  <c r="A91" i="2"/>
  <c r="K91" i="2" s="1"/>
  <c r="P91" i="2" s="1"/>
  <c r="A90" i="2"/>
  <c r="K90" i="2" s="1"/>
  <c r="P90" i="2" s="1"/>
  <c r="A89" i="2"/>
  <c r="K89" i="2" s="1"/>
  <c r="A88" i="2"/>
  <c r="K88" i="2" s="1"/>
  <c r="E87" i="2"/>
  <c r="A87" i="2"/>
  <c r="K87" i="2" s="1"/>
  <c r="P87" i="2" s="1"/>
  <c r="A86" i="2"/>
  <c r="K86" i="2" s="1"/>
  <c r="P86" i="2" s="1"/>
  <c r="A85" i="2"/>
  <c r="K85" i="2" s="1"/>
  <c r="A84" i="2"/>
  <c r="K84" i="2" s="1"/>
  <c r="A83" i="2"/>
  <c r="K83" i="2" s="1"/>
  <c r="P83" i="2" s="1"/>
  <c r="A82" i="2"/>
  <c r="K82" i="2" s="1"/>
  <c r="A81" i="2"/>
  <c r="K81" i="2" s="1"/>
  <c r="A80" i="2"/>
  <c r="K80" i="2" s="1"/>
  <c r="A79" i="2"/>
  <c r="K79" i="2" s="1"/>
  <c r="A78" i="2"/>
  <c r="K78" i="2" s="1"/>
  <c r="A77" i="2"/>
  <c r="K77" i="2" s="1"/>
  <c r="A76" i="2"/>
  <c r="K76" i="2" s="1"/>
  <c r="O76" i="2" s="1"/>
  <c r="A75" i="2"/>
  <c r="K75" i="2" s="1"/>
  <c r="P75" i="2" s="1"/>
  <c r="A74" i="2"/>
  <c r="K74" i="2" s="1"/>
  <c r="P74" i="2" s="1"/>
  <c r="A73" i="2"/>
  <c r="K73" i="2" s="1"/>
  <c r="A72" i="2"/>
  <c r="K72" i="2" s="1"/>
  <c r="A71" i="2"/>
  <c r="K71" i="2" s="1"/>
  <c r="A70" i="2"/>
  <c r="K70" i="2" s="1"/>
  <c r="E69" i="2"/>
  <c r="A69" i="2"/>
  <c r="K69" i="2" s="1"/>
  <c r="E68" i="2"/>
  <c r="A68" i="2"/>
  <c r="K68" i="2" s="1"/>
  <c r="P68" i="2" s="1"/>
  <c r="A67" i="2"/>
  <c r="K67" i="2" s="1"/>
  <c r="A66" i="2"/>
  <c r="K66" i="2" s="1"/>
  <c r="A65" i="2"/>
  <c r="K65" i="2" s="1"/>
  <c r="A64" i="2"/>
  <c r="K64" i="2" s="1"/>
  <c r="A63" i="2"/>
  <c r="K63" i="2" s="1"/>
  <c r="A62" i="2"/>
  <c r="K62" i="2" s="1"/>
  <c r="A61" i="2"/>
  <c r="K61" i="2" s="1"/>
  <c r="O61" i="2" s="1"/>
  <c r="A60" i="2"/>
  <c r="K60" i="2" s="1"/>
  <c r="A59" i="2"/>
  <c r="K59" i="2" s="1"/>
  <c r="P59" i="2" s="1"/>
  <c r="A58" i="2"/>
  <c r="K58" i="2" s="1"/>
  <c r="P58" i="2" s="1"/>
  <c r="A57" i="2"/>
  <c r="K57" i="2" s="1"/>
  <c r="A56" i="2"/>
  <c r="K56" i="2" s="1"/>
  <c r="P56" i="2" s="1"/>
  <c r="A55" i="2"/>
  <c r="K55" i="2" s="1"/>
  <c r="P55" i="2" s="1"/>
  <c r="A54" i="2"/>
  <c r="K54" i="2" s="1"/>
  <c r="A53" i="2"/>
  <c r="K53" i="2" s="1"/>
  <c r="A52" i="2"/>
  <c r="K52" i="2" s="1"/>
  <c r="A51" i="2"/>
  <c r="K51" i="2" s="1"/>
  <c r="P51" i="2" s="1"/>
  <c r="A50" i="2"/>
  <c r="K50" i="2" s="1"/>
  <c r="O50" i="2" s="1"/>
  <c r="A49" i="2"/>
  <c r="K49" i="2" s="1"/>
  <c r="A48" i="2"/>
  <c r="K48" i="2" s="1"/>
  <c r="A47" i="2"/>
  <c r="K47" i="2" s="1"/>
  <c r="A46" i="2"/>
  <c r="K46" i="2" s="1"/>
  <c r="P46" i="2" s="1"/>
  <c r="E45" i="2"/>
  <c r="A45" i="2"/>
  <c r="K45" i="2" s="1"/>
  <c r="A44" i="2"/>
  <c r="K44" i="2" s="1"/>
  <c r="A43" i="2"/>
  <c r="K43" i="2" s="1"/>
  <c r="P43" i="2" s="1"/>
  <c r="A42" i="2"/>
  <c r="K42" i="2" s="1"/>
  <c r="A41" i="2"/>
  <c r="K41" i="2" s="1"/>
  <c r="A40" i="2"/>
  <c r="K40" i="2" s="1"/>
  <c r="A39" i="2"/>
  <c r="K39" i="2" s="1"/>
  <c r="O39" i="2" s="1"/>
  <c r="A38" i="2"/>
  <c r="K38" i="2" s="1"/>
  <c r="P38" i="2" s="1"/>
  <c r="A37" i="2"/>
  <c r="K37" i="2" s="1"/>
  <c r="A36" i="2"/>
  <c r="K36" i="2" s="1"/>
  <c r="A35" i="2"/>
  <c r="K35" i="2" s="1"/>
  <c r="A34" i="2"/>
  <c r="K34" i="2" s="1"/>
  <c r="P34" i="2" s="1"/>
  <c r="A33" i="2"/>
  <c r="K33" i="2" s="1"/>
  <c r="A32" i="2"/>
  <c r="K32" i="2" s="1"/>
  <c r="O32" i="2" s="1"/>
  <c r="A31" i="2"/>
  <c r="K31" i="2" s="1"/>
  <c r="P31" i="2" s="1"/>
  <c r="A30" i="2"/>
  <c r="K30" i="2" s="1"/>
  <c r="A29" i="2"/>
  <c r="K29" i="2" s="1"/>
  <c r="A28" i="2"/>
  <c r="K28" i="2" s="1"/>
  <c r="P28" i="2" s="1"/>
  <c r="A27" i="2"/>
  <c r="K27" i="2" s="1"/>
  <c r="A26" i="2"/>
  <c r="K26" i="2" s="1"/>
  <c r="O26" i="2" s="1"/>
  <c r="A25" i="2"/>
  <c r="K25" i="2" s="1"/>
  <c r="E24" i="2"/>
  <c r="A24" i="2"/>
  <c r="K24" i="2" s="1"/>
  <c r="A23" i="2"/>
  <c r="K23" i="2" s="1"/>
  <c r="A22" i="2"/>
  <c r="K22" i="2" s="1"/>
  <c r="P22" i="2" s="1"/>
  <c r="A21" i="2"/>
  <c r="K21" i="2" s="1"/>
  <c r="A20" i="2"/>
  <c r="K20" i="2" s="1"/>
  <c r="A19" i="2"/>
  <c r="K19" i="2" s="1"/>
  <c r="P19" i="2" s="1"/>
  <c r="A18" i="2"/>
  <c r="K18" i="2" s="1"/>
  <c r="A17" i="2"/>
  <c r="K17" i="2" s="1"/>
  <c r="A16" i="2"/>
  <c r="K16" i="2" s="1"/>
  <c r="A15" i="2"/>
  <c r="K15" i="2" s="1"/>
  <c r="A14" i="2"/>
  <c r="K14" i="2" s="1"/>
  <c r="A13" i="2"/>
  <c r="A12" i="2"/>
  <c r="K12" i="2" s="1"/>
  <c r="A11" i="2"/>
  <c r="K11" i="2" s="1"/>
  <c r="K10" i="2"/>
  <c r="A10" i="2"/>
  <c r="E320" i="2"/>
  <c r="H30" i="1"/>
  <c r="F30" i="1"/>
  <c r="K609" i="2" s="1"/>
  <c r="A30" i="1"/>
  <c r="H29" i="1"/>
  <c r="F29" i="1"/>
  <c r="A29" i="1"/>
  <c r="H28" i="1"/>
  <c r="F28" i="1"/>
  <c r="A28" i="1"/>
  <c r="H27" i="1"/>
  <c r="A27" i="1"/>
  <c r="H26" i="1"/>
  <c r="A26" i="1"/>
  <c r="H25" i="1"/>
  <c r="A25" i="1"/>
  <c r="H24" i="1"/>
  <c r="A24" i="1"/>
  <c r="H23" i="1"/>
  <c r="A23" i="1"/>
  <c r="H22" i="1"/>
  <c r="A22" i="1"/>
  <c r="H21" i="1"/>
  <c r="A21" i="1"/>
  <c r="H20" i="1"/>
  <c r="A20" i="1"/>
  <c r="H19" i="1"/>
  <c r="A19" i="1"/>
  <c r="H18" i="1"/>
  <c r="A18" i="1"/>
  <c r="H17" i="1"/>
  <c r="A17" i="1"/>
  <c r="H16" i="1"/>
  <c r="A16" i="1"/>
  <c r="H15" i="1"/>
  <c r="A15" i="1"/>
  <c r="H14" i="1"/>
  <c r="A14" i="1"/>
  <c r="H13" i="1"/>
  <c r="A13" i="1"/>
  <c r="H12" i="1"/>
  <c r="A12" i="1"/>
  <c r="H11" i="1"/>
  <c r="A11" i="1"/>
  <c r="H10" i="1"/>
  <c r="A10" i="1"/>
  <c r="H9" i="1"/>
  <c r="A9" i="1"/>
  <c r="H8" i="1"/>
  <c r="A8" i="1"/>
  <c r="H7" i="1"/>
  <c r="A7" i="1"/>
  <c r="H6" i="1"/>
  <c r="G6" i="1" s="1"/>
  <c r="D25" i="2" l="1"/>
  <c r="D69" i="2"/>
  <c r="K489" i="2"/>
  <c r="O163" i="2"/>
  <c r="P284" i="2"/>
  <c r="E362" i="2"/>
  <c r="E13" i="2"/>
  <c r="E227" i="2"/>
  <c r="E70" i="2"/>
  <c r="E31" i="2"/>
  <c r="E72" i="2"/>
  <c r="O98" i="2"/>
  <c r="E14" i="2"/>
  <c r="E99" i="2"/>
  <c r="E210" i="2"/>
  <c r="E231" i="2"/>
  <c r="E251" i="2"/>
  <c r="E381" i="2"/>
  <c r="E146" i="2"/>
  <c r="E232" i="2"/>
  <c r="E452" i="2"/>
  <c r="E113" i="2"/>
  <c r="E41" i="2"/>
  <c r="E212" i="2"/>
  <c r="E133" i="2"/>
  <c r="E301" i="2"/>
  <c r="E166" i="2"/>
  <c r="E42" i="2"/>
  <c r="E104" i="2"/>
  <c r="E169" i="2"/>
  <c r="P112" i="2"/>
  <c r="O459" i="2"/>
  <c r="P176" i="2"/>
  <c r="E326" i="2"/>
  <c r="P484" i="2"/>
  <c r="E283" i="2"/>
  <c r="E178" i="2"/>
  <c r="E25" i="2"/>
  <c r="E43" i="2"/>
  <c r="E163" i="2"/>
  <c r="E180" i="2"/>
  <c r="E201" i="2"/>
  <c r="E242" i="2"/>
  <c r="E422" i="2"/>
  <c r="P109" i="2"/>
  <c r="E26" i="2"/>
  <c r="E44" i="2"/>
  <c r="E85" i="2"/>
  <c r="E103" i="2"/>
  <c r="E539" i="2"/>
  <c r="E183" i="2"/>
  <c r="P572" i="2"/>
  <c r="O572" i="2"/>
  <c r="P300" i="2"/>
  <c r="O300" i="2"/>
  <c r="O237" i="2"/>
  <c r="P237" i="2"/>
  <c r="P417" i="2"/>
  <c r="O417" i="2"/>
  <c r="O281" i="2"/>
  <c r="P281" i="2"/>
  <c r="O580" i="2"/>
  <c r="P580" i="2"/>
  <c r="O209" i="2"/>
  <c r="P209" i="2"/>
  <c r="P114" i="2"/>
  <c r="O114" i="2"/>
  <c r="O102" i="2"/>
  <c r="P102" i="2"/>
  <c r="O381" i="2"/>
  <c r="P381" i="2"/>
  <c r="P290" i="2"/>
  <c r="O290" i="2"/>
  <c r="O516" i="2"/>
  <c r="P458" i="2"/>
  <c r="E117" i="2"/>
  <c r="E135" i="2"/>
  <c r="E168" i="2"/>
  <c r="E200" i="2"/>
  <c r="O267" i="2"/>
  <c r="O351" i="2"/>
  <c r="P266" i="2"/>
  <c r="O58" i="2"/>
  <c r="P385" i="2"/>
  <c r="E32" i="2"/>
  <c r="E60" i="2"/>
  <c r="E137" i="2"/>
  <c r="E337" i="2"/>
  <c r="O368" i="2"/>
  <c r="O521" i="2"/>
  <c r="P563" i="2"/>
  <c r="P601" i="2"/>
  <c r="E18" i="2"/>
  <c r="E171" i="2"/>
  <c r="E302" i="2"/>
  <c r="O183" i="2"/>
  <c r="E77" i="2"/>
  <c r="E92" i="2"/>
  <c r="P32" i="2"/>
  <c r="O345" i="2"/>
  <c r="P313" i="2"/>
  <c r="E272" i="2"/>
  <c r="O565" i="2"/>
  <c r="O55" i="2"/>
  <c r="O158" i="2"/>
  <c r="E94" i="2"/>
  <c r="E123" i="2"/>
  <c r="P205" i="2"/>
  <c r="O355" i="2"/>
  <c r="E545" i="2"/>
  <c r="O91" i="2"/>
  <c r="E78" i="2"/>
  <c r="E20" i="2"/>
  <c r="E33" i="2"/>
  <c r="E48" i="2"/>
  <c r="E63" i="2"/>
  <c r="E159" i="2"/>
  <c r="E371" i="2"/>
  <c r="E428" i="2"/>
  <c r="O545" i="2"/>
  <c r="P279" i="2"/>
  <c r="P440" i="2"/>
  <c r="E96" i="2"/>
  <c r="E142" i="2"/>
  <c r="E175" i="2"/>
  <c r="O224" i="2"/>
  <c r="E323" i="2"/>
  <c r="O391" i="2"/>
  <c r="P467" i="2"/>
  <c r="P434" i="2"/>
  <c r="O59" i="2"/>
  <c r="E50" i="2"/>
  <c r="E126" i="2"/>
  <c r="P208" i="2"/>
  <c r="E291" i="2"/>
  <c r="E510" i="2"/>
  <c r="E162" i="2"/>
  <c r="O510" i="2"/>
  <c r="E51" i="2"/>
  <c r="E98" i="2"/>
  <c r="E176" i="2"/>
  <c r="E392" i="2"/>
  <c r="P167" i="2"/>
  <c r="O167" i="2"/>
  <c r="P498" i="2"/>
  <c r="O498" i="2"/>
  <c r="P597" i="2"/>
  <c r="O597" i="2"/>
  <c r="P511" i="2"/>
  <c r="O511" i="2"/>
  <c r="O42" i="2"/>
  <c r="P42" i="2"/>
  <c r="P336" i="2"/>
  <c r="O336" i="2"/>
  <c r="P95" i="2"/>
  <c r="O95" i="2"/>
  <c r="O85" i="2"/>
  <c r="P85" i="2"/>
  <c r="O561" i="2"/>
  <c r="P561" i="2"/>
  <c r="O292" i="2"/>
  <c r="P292" i="2"/>
  <c r="P23" i="2"/>
  <c r="O23" i="2"/>
  <c r="P482" i="2"/>
  <c r="O482" i="2"/>
  <c r="P500" i="2"/>
  <c r="O500" i="2"/>
  <c r="P595" i="2"/>
  <c r="O595" i="2"/>
  <c r="P50" i="2"/>
  <c r="P199" i="2"/>
  <c r="O228" i="2"/>
  <c r="P398" i="2"/>
  <c r="O398" i="2"/>
  <c r="O487" i="2"/>
  <c r="P487" i="2"/>
  <c r="P80" i="2"/>
  <c r="O80" i="2"/>
  <c r="P211" i="2"/>
  <c r="O211" i="2"/>
  <c r="P301" i="2"/>
  <c r="P454" i="2"/>
  <c r="O454" i="2"/>
  <c r="P525" i="2"/>
  <c r="O525" i="2"/>
  <c r="P70" i="2"/>
  <c r="O70" i="2"/>
  <c r="P472" i="2"/>
  <c r="O472" i="2"/>
  <c r="P307" i="2"/>
  <c r="O307" i="2"/>
  <c r="O456" i="2"/>
  <c r="P456" i="2"/>
  <c r="P415" i="2"/>
  <c r="O415" i="2"/>
  <c r="P126" i="2"/>
  <c r="O126" i="2"/>
  <c r="P172" i="2"/>
  <c r="O172" i="2"/>
  <c r="P229" i="2"/>
  <c r="O260" i="2"/>
  <c r="P71" i="2"/>
  <c r="O71" i="2"/>
  <c r="O186" i="2"/>
  <c r="P556" i="2"/>
  <c r="O556" i="2"/>
  <c r="O465" i="2"/>
  <c r="P465" i="2"/>
  <c r="P218" i="2"/>
  <c r="P449" i="2"/>
  <c r="O449" i="2"/>
  <c r="P273" i="2"/>
  <c r="O273" i="2"/>
  <c r="O247" i="2"/>
  <c r="O264" i="2"/>
  <c r="P264" i="2"/>
  <c r="O432" i="2"/>
  <c r="P432" i="2"/>
  <c r="O396" i="2"/>
  <c r="P396" i="2"/>
  <c r="P485" i="2"/>
  <c r="P14" i="2"/>
  <c r="O14" i="2"/>
  <c r="O100" i="2"/>
  <c r="P100" i="2"/>
  <c r="P131" i="2"/>
  <c r="O131" i="2"/>
  <c r="P233" i="2"/>
  <c r="O233" i="2"/>
  <c r="O548" i="2"/>
  <c r="P548" i="2"/>
  <c r="P104" i="2"/>
  <c r="O104" i="2"/>
  <c r="P544" i="2"/>
  <c r="O544" i="2"/>
  <c r="O220" i="2"/>
  <c r="P220" i="2"/>
  <c r="P326" i="2"/>
  <c r="O326" i="2"/>
  <c r="O404" i="2"/>
  <c r="P476" i="2"/>
  <c r="O476" i="2"/>
  <c r="P513" i="2"/>
  <c r="O513" i="2"/>
  <c r="P502" i="2"/>
  <c r="O502" i="2"/>
  <c r="I198" i="2"/>
  <c r="D382" i="2"/>
  <c r="O477" i="2"/>
  <c r="P477" i="2"/>
  <c r="P532" i="2"/>
  <c r="O532" i="2"/>
  <c r="O587" i="2"/>
  <c r="P587" i="2"/>
  <c r="P288" i="2"/>
  <c r="O288" i="2"/>
  <c r="P451" i="2"/>
  <c r="P190" i="2"/>
  <c r="O190" i="2"/>
  <c r="P47" i="2"/>
  <c r="O47" i="2"/>
  <c r="P116" i="2"/>
  <c r="O116" i="2"/>
  <c r="P425" i="2"/>
  <c r="O425" i="2"/>
  <c r="P66" i="2"/>
  <c r="O66" i="2"/>
  <c r="P379" i="2"/>
  <c r="O379" i="2"/>
  <c r="O283" i="2"/>
  <c r="P283" i="2"/>
  <c r="O357" i="2"/>
  <c r="P372" i="2"/>
  <c r="O372" i="2"/>
  <c r="P461" i="2"/>
  <c r="O461" i="2"/>
  <c r="P427" i="2"/>
  <c r="O427" i="2"/>
  <c r="O534" i="2"/>
  <c r="O254" i="2"/>
  <c r="P254" i="2"/>
  <c r="P35" i="2"/>
  <c r="O35" i="2"/>
  <c r="O78" i="2"/>
  <c r="P78" i="2"/>
  <c r="P118" i="2"/>
  <c r="O118" i="2"/>
  <c r="P134" i="2"/>
  <c r="O134" i="2"/>
  <c r="P252" i="2"/>
  <c r="O252" i="2"/>
  <c r="P408" i="2"/>
  <c r="O408" i="2"/>
  <c r="P315" i="2"/>
  <c r="P349" i="2"/>
  <c r="D88" i="2"/>
  <c r="O147" i="2"/>
  <c r="O170" i="2"/>
  <c r="P201" i="2"/>
  <c r="O231" i="2"/>
  <c r="P241" i="2"/>
  <c r="E304" i="2"/>
  <c r="P421" i="2"/>
  <c r="E53" i="2"/>
  <c r="E62" i="2"/>
  <c r="E79" i="2"/>
  <c r="O87" i="2"/>
  <c r="E106" i="2"/>
  <c r="E338" i="2"/>
  <c r="P445" i="2"/>
  <c r="E488" i="2"/>
  <c r="O127" i="2"/>
  <c r="P317" i="2"/>
  <c r="O447" i="2"/>
  <c r="P479" i="2"/>
  <c r="O564" i="2"/>
  <c r="E182" i="2"/>
  <c r="P212" i="2"/>
  <c r="O243" i="2"/>
  <c r="P296" i="2"/>
  <c r="O387" i="2"/>
  <c r="P423" i="2"/>
  <c r="O435" i="2"/>
  <c r="E469" i="2"/>
  <c r="P528" i="2"/>
  <c r="O540" i="2"/>
  <c r="P303" i="2"/>
  <c r="O406" i="2"/>
  <c r="P339" i="2"/>
  <c r="P362" i="2"/>
  <c r="P576" i="2"/>
  <c r="E17" i="2"/>
  <c r="E108" i="2"/>
  <c r="E36" i="2"/>
  <c r="E55" i="2"/>
  <c r="E128" i="2"/>
  <c r="P277" i="2"/>
  <c r="E287" i="2"/>
  <c r="O376" i="2"/>
  <c r="E552" i="2"/>
  <c r="E448" i="2"/>
  <c r="E529" i="2"/>
  <c r="E65" i="2"/>
  <c r="O90" i="2"/>
  <c r="O138" i="2"/>
  <c r="O214" i="2"/>
  <c r="E255" i="2"/>
  <c r="O298" i="2"/>
  <c r="O319" i="2"/>
  <c r="O353" i="2"/>
  <c r="P364" i="2"/>
  <c r="E388" i="2"/>
  <c r="O470" i="2"/>
  <c r="O492" i="2"/>
  <c r="P553" i="2"/>
  <c r="O593" i="2"/>
  <c r="E81" i="2"/>
  <c r="E206" i="2"/>
  <c r="E267" i="2"/>
  <c r="E309" i="2"/>
  <c r="P599" i="2"/>
  <c r="I180" i="2"/>
  <c r="I163" i="2"/>
  <c r="I231" i="2"/>
  <c r="E74" i="2"/>
  <c r="O74" i="2"/>
  <c r="E139" i="2"/>
  <c r="E153" i="2"/>
  <c r="E164" i="2"/>
  <c r="O174" i="2"/>
  <c r="O184" i="2"/>
  <c r="E195" i="2"/>
  <c r="O207" i="2"/>
  <c r="O225" i="2"/>
  <c r="O245" i="2"/>
  <c r="E379" i="2"/>
  <c r="O389" i="2"/>
  <c r="O19" i="2"/>
  <c r="E38" i="2"/>
  <c r="E111" i="2"/>
  <c r="P268" i="2"/>
  <c r="E280" i="2"/>
  <c r="E321" i="2"/>
  <c r="O332" i="2"/>
  <c r="D138" i="2"/>
  <c r="E19" i="2"/>
  <c r="E29" i="2"/>
  <c r="E91" i="2"/>
  <c r="E110" i="2"/>
  <c r="E30" i="2"/>
  <c r="E39" i="2"/>
  <c r="E58" i="2"/>
  <c r="E140" i="2"/>
  <c r="E185" i="2"/>
  <c r="E217" i="2"/>
  <c r="E237" i="2"/>
  <c r="E495" i="2"/>
  <c r="I11" i="2"/>
  <c r="E67" i="2"/>
  <c r="P76" i="2"/>
  <c r="O122" i="2"/>
  <c r="E132" i="2"/>
  <c r="E186" i="2"/>
  <c r="E218" i="2"/>
  <c r="P557" i="2"/>
  <c r="P173" i="2"/>
  <c r="O173" i="2"/>
  <c r="O334" i="2"/>
  <c r="P82" i="2"/>
  <c r="O82" i="2"/>
  <c r="O352" i="2"/>
  <c r="O133" i="2"/>
  <c r="P133" i="2"/>
  <c r="P193" i="2"/>
  <c r="P17" i="2"/>
  <c r="O17" i="2"/>
  <c r="P44" i="2"/>
  <c r="O44" i="2"/>
  <c r="P72" i="2"/>
  <c r="O72" i="2"/>
  <c r="P128" i="2"/>
  <c r="O128" i="2"/>
  <c r="O169" i="2"/>
  <c r="P169" i="2"/>
  <c r="P148" i="2"/>
  <c r="O148" i="2"/>
  <c r="I237" i="2"/>
  <c r="P312" i="2"/>
  <c r="O312" i="2"/>
  <c r="P321" i="2"/>
  <c r="O321" i="2"/>
  <c r="P469" i="2"/>
  <c r="O469" i="2"/>
  <c r="O531" i="2"/>
  <c r="P531" i="2"/>
  <c r="P159" i="2"/>
  <c r="O159" i="2"/>
  <c r="P240" i="2"/>
  <c r="O240" i="2"/>
  <c r="P37" i="2"/>
  <c r="O37" i="2"/>
  <c r="P106" i="2"/>
  <c r="O106" i="2"/>
  <c r="P179" i="2"/>
  <c r="O179" i="2"/>
  <c r="P358" i="2"/>
  <c r="O358" i="2"/>
  <c r="P181" i="2"/>
  <c r="O181" i="2"/>
  <c r="P295" i="2"/>
  <c r="O295" i="2"/>
  <c r="P107" i="2"/>
  <c r="O107" i="2"/>
  <c r="D389" i="2"/>
  <c r="I388" i="2"/>
  <c r="P29" i="2"/>
  <c r="O29" i="2"/>
  <c r="P39" i="2"/>
  <c r="P61" i="2"/>
  <c r="P110" i="2"/>
  <c r="O110" i="2"/>
  <c r="P123" i="2"/>
  <c r="O123" i="2"/>
  <c r="P142" i="2"/>
  <c r="O142" i="2"/>
  <c r="O202" i="2"/>
  <c r="P282" i="2"/>
  <c r="O282" i="2"/>
  <c r="P145" i="2"/>
  <c r="O145" i="2"/>
  <c r="O463" i="2"/>
  <c r="P463" i="2"/>
  <c r="I320" i="2"/>
  <c r="P121" i="2"/>
  <c r="O121" i="2"/>
  <c r="P40" i="2"/>
  <c r="O40" i="2"/>
  <c r="P62" i="2"/>
  <c r="O62" i="2"/>
  <c r="O97" i="2"/>
  <c r="P97" i="2"/>
  <c r="P156" i="2"/>
  <c r="O156" i="2"/>
  <c r="P164" i="2"/>
  <c r="O164" i="2"/>
  <c r="P230" i="2"/>
  <c r="O230" i="2"/>
  <c r="P244" i="2"/>
  <c r="O244" i="2"/>
  <c r="O410" i="2"/>
  <c r="O433" i="2"/>
  <c r="P433" i="2"/>
  <c r="D489" i="2"/>
  <c r="I488" i="2"/>
  <c r="P577" i="2"/>
  <c r="O577" i="2"/>
  <c r="P271" i="2"/>
  <c r="O271" i="2"/>
  <c r="P49" i="2"/>
  <c r="O49" i="2"/>
  <c r="K13" i="2"/>
  <c r="P157" i="2"/>
  <c r="O157" i="2"/>
  <c r="P171" i="2"/>
  <c r="O171" i="2"/>
  <c r="P197" i="2"/>
  <c r="O197" i="2"/>
  <c r="P322" i="2"/>
  <c r="O322" i="2"/>
  <c r="D423" i="2"/>
  <c r="I422" i="2"/>
  <c r="P113" i="2"/>
  <c r="O113" i="2"/>
  <c r="P377" i="2"/>
  <c r="O377" i="2"/>
  <c r="P20" i="2"/>
  <c r="O20" i="2"/>
  <c r="P388" i="2"/>
  <c r="O388" i="2"/>
  <c r="P428" i="2"/>
  <c r="O428" i="2"/>
  <c r="P182" i="2"/>
  <c r="O182" i="2"/>
  <c r="D73" i="2"/>
  <c r="I72" i="2"/>
  <c r="O141" i="2"/>
  <c r="O34" i="2"/>
  <c r="P124" i="2"/>
  <c r="O124" i="2"/>
  <c r="O136" i="2"/>
  <c r="P136" i="2"/>
  <c r="P291" i="2"/>
  <c r="O291" i="2"/>
  <c r="P132" i="2"/>
  <c r="O132" i="2"/>
  <c r="O200" i="2"/>
  <c r="P200" i="2"/>
  <c r="P280" i="2"/>
  <c r="O280" i="2"/>
  <c r="D496" i="2"/>
  <c r="I495" i="2"/>
  <c r="P63" i="2"/>
  <c r="O63" i="2"/>
  <c r="P177" i="2"/>
  <c r="O177" i="2"/>
  <c r="P348" i="2"/>
  <c r="O348" i="2"/>
  <c r="O452" i="2"/>
  <c r="P452" i="2"/>
  <c r="P566" i="2"/>
  <c r="O566" i="2"/>
  <c r="P602" i="2"/>
  <c r="O602" i="2"/>
  <c r="P161" i="2"/>
  <c r="O161" i="2"/>
  <c r="P530" i="2"/>
  <c r="O530" i="2"/>
  <c r="P441" i="2"/>
  <c r="O441" i="2"/>
  <c r="P130" i="2"/>
  <c r="O130" i="2"/>
  <c r="P206" i="2"/>
  <c r="O206" i="2"/>
  <c r="P493" i="2"/>
  <c r="O493" i="2"/>
  <c r="D201" i="2"/>
  <c r="I200" i="2"/>
  <c r="P562" i="2"/>
  <c r="O562" i="2"/>
  <c r="O343" i="2"/>
  <c r="O22" i="2"/>
  <c r="P188" i="2"/>
  <c r="O188" i="2"/>
  <c r="O25" i="2"/>
  <c r="P25" i="2"/>
  <c r="O56" i="2"/>
  <c r="P36" i="2"/>
  <c r="O36" i="2"/>
  <c r="O46" i="2"/>
  <c r="O51" i="2"/>
  <c r="I69" i="2"/>
  <c r="D70" i="2"/>
  <c r="P99" i="2"/>
  <c r="O99" i="2"/>
  <c r="O150" i="2"/>
  <c r="P165" i="2"/>
  <c r="O165" i="2"/>
  <c r="P185" i="2"/>
  <c r="O185" i="2"/>
  <c r="P261" i="2"/>
  <c r="O261" i="2"/>
  <c r="P299" i="2"/>
  <c r="O299" i="2"/>
  <c r="O480" i="2"/>
  <c r="P77" i="2"/>
  <c r="O77" i="2"/>
  <c r="P168" i="2"/>
  <c r="O168" i="2"/>
  <c r="P101" i="2"/>
  <c r="O101" i="2"/>
  <c r="P54" i="2"/>
  <c r="O54" i="2"/>
  <c r="O457" i="2"/>
  <c r="P457" i="2"/>
  <c r="O304" i="2"/>
  <c r="P304" i="2"/>
  <c r="P439" i="2"/>
  <c r="O439" i="2"/>
  <c r="P399" i="2"/>
  <c r="O399" i="2"/>
  <c r="P178" i="2"/>
  <c r="O178" i="2"/>
  <c r="P125" i="2"/>
  <c r="O125" i="2"/>
  <c r="P246" i="2"/>
  <c r="O246" i="2"/>
  <c r="P262" i="2"/>
  <c r="O262" i="2"/>
  <c r="P481" i="2"/>
  <c r="O481" i="2"/>
  <c r="P568" i="2"/>
  <c r="O568" i="2"/>
  <c r="P48" i="2"/>
  <c r="O48" i="2"/>
  <c r="O139" i="2"/>
  <c r="P139" i="2"/>
  <c r="P88" i="2"/>
  <c r="O88" i="2"/>
  <c r="D169" i="2"/>
  <c r="I168" i="2"/>
  <c r="P222" i="2"/>
  <c r="O222" i="2"/>
  <c r="P135" i="2"/>
  <c r="O135" i="2"/>
  <c r="P73" i="2"/>
  <c r="O73" i="2"/>
  <c r="D14" i="2"/>
  <c r="I13" i="2"/>
  <c r="P92" i="2"/>
  <c r="O92" i="2"/>
  <c r="P52" i="2"/>
  <c r="O52" i="2"/>
  <c r="O64" i="2"/>
  <c r="P64" i="2"/>
  <c r="P394" i="2"/>
  <c r="O394" i="2"/>
  <c r="P94" i="2"/>
  <c r="O94" i="2"/>
  <c r="D207" i="2"/>
  <c r="I206" i="2"/>
  <c r="O250" i="2"/>
  <c r="P250" i="2"/>
  <c r="O67" i="2"/>
  <c r="P67" i="2"/>
  <c r="D321" i="2"/>
  <c r="P53" i="2"/>
  <c r="O53" i="2"/>
  <c r="P219" i="2"/>
  <c r="O219" i="2"/>
  <c r="O226" i="2"/>
  <c r="P226" i="2"/>
  <c r="I255" i="2"/>
  <c r="P234" i="2"/>
  <c r="O234" i="2"/>
  <c r="P344" i="2"/>
  <c r="O344" i="2"/>
  <c r="E105" i="2"/>
  <c r="E157" i="2"/>
  <c r="O162" i="2"/>
  <c r="E177" i="2"/>
  <c r="P223" i="2"/>
  <c r="O223" i="2"/>
  <c r="E248" i="2"/>
  <c r="P272" i="2"/>
  <c r="O272" i="2"/>
  <c r="E318" i="2"/>
  <c r="P323" i="2"/>
  <c r="O323" i="2"/>
  <c r="E335" i="2"/>
  <c r="E340" i="2"/>
  <c r="E411" i="2"/>
  <c r="E441" i="2"/>
  <c r="O464" i="2"/>
  <c r="P464" i="2"/>
  <c r="O495" i="2"/>
  <c r="P495" i="2"/>
  <c r="E504" i="2"/>
  <c r="P96" i="2"/>
  <c r="O96" i="2"/>
  <c r="P203" i="2"/>
  <c r="O203" i="2"/>
  <c r="P248" i="2"/>
  <c r="O248" i="2"/>
  <c r="P263" i="2"/>
  <c r="O263" i="2"/>
  <c r="D268" i="2"/>
  <c r="P275" i="2"/>
  <c r="O275" i="2"/>
  <c r="P335" i="2"/>
  <c r="O335" i="2"/>
  <c r="P411" i="2"/>
  <c r="O411" i="2"/>
  <c r="I452" i="2"/>
  <c r="D453" i="2"/>
  <c r="P151" i="2"/>
  <c r="O151" i="2"/>
  <c r="P213" i="2"/>
  <c r="O213" i="2"/>
  <c r="P318" i="2"/>
  <c r="O318" i="2"/>
  <c r="P555" i="2"/>
  <c r="P180" i="2"/>
  <c r="O180" i="2"/>
  <c r="P191" i="2"/>
  <c r="O191" i="2"/>
  <c r="O194" i="2"/>
  <c r="O216" i="2"/>
  <c r="P227" i="2"/>
  <c r="O227" i="2"/>
  <c r="E234" i="2"/>
  <c r="E75" i="2"/>
  <c r="E97" i="2"/>
  <c r="P108" i="2"/>
  <c r="O108" i="2"/>
  <c r="E114" i="2"/>
  <c r="E134" i="2"/>
  <c r="E151" i="2"/>
  <c r="E213" i="2"/>
  <c r="P331" i="2"/>
  <c r="O331" i="2"/>
  <c r="E459" i="2"/>
  <c r="E464" i="2"/>
  <c r="E556" i="2"/>
  <c r="E572" i="2"/>
  <c r="E589" i="2"/>
  <c r="P395" i="2"/>
  <c r="O395" i="2"/>
  <c r="O519" i="2"/>
  <c r="P519" i="2"/>
  <c r="P418" i="2"/>
  <c r="O418" i="2"/>
  <c r="E189" i="2"/>
  <c r="E253" i="2"/>
  <c r="E306" i="2"/>
  <c r="E350" i="2"/>
  <c r="P354" i="2"/>
  <c r="O354" i="2"/>
  <c r="E407" i="2"/>
  <c r="O429" i="2"/>
  <c r="P535" i="2"/>
  <c r="O535" i="2"/>
  <c r="P160" i="2"/>
  <c r="O160" i="2"/>
  <c r="I65" i="2"/>
  <c r="O75" i="2"/>
  <c r="O86" i="2"/>
  <c r="I195" i="2"/>
  <c r="E235" i="2"/>
  <c r="P238" i="2"/>
  <c r="O238" i="2"/>
  <c r="E273" i="2"/>
  <c r="P490" i="2"/>
  <c r="O490" i="2"/>
  <c r="O504" i="2"/>
  <c r="P340" i="2"/>
  <c r="O28" i="2"/>
  <c r="P41" i="2"/>
  <c r="O41" i="2"/>
  <c r="I68" i="2"/>
  <c r="P89" i="2"/>
  <c r="O89" i="2"/>
  <c r="I146" i="2"/>
  <c r="D147" i="2"/>
  <c r="P149" i="2"/>
  <c r="O149" i="2"/>
  <c r="O154" i="2"/>
  <c r="I201" i="2"/>
  <c r="P210" i="2"/>
  <c r="O210" i="2"/>
  <c r="E261" i="2"/>
  <c r="P293" i="2"/>
  <c r="O293" i="2"/>
  <c r="P430" i="2"/>
  <c r="O430" i="2"/>
  <c r="P473" i="2"/>
  <c r="O473" i="2"/>
  <c r="E490" i="2"/>
  <c r="P505" i="2"/>
  <c r="O505" i="2"/>
  <c r="E520" i="2"/>
  <c r="E535" i="2"/>
  <c r="D71" i="2"/>
  <c r="P65" i="2"/>
  <c r="O65" i="2"/>
  <c r="I81" i="2"/>
  <c r="D82" i="2"/>
  <c r="O83" i="2"/>
  <c r="P137" i="2"/>
  <c r="O137" i="2"/>
  <c r="D150" i="2"/>
  <c r="I149" i="2"/>
  <c r="P192" i="2"/>
  <c r="O192" i="2"/>
  <c r="P310" i="2"/>
  <c r="O310" i="2"/>
  <c r="O314" i="2"/>
  <c r="E355" i="2"/>
  <c r="E391" i="2"/>
  <c r="O413" i="2"/>
  <c r="P460" i="2"/>
  <c r="E473" i="2"/>
  <c r="P520" i="2"/>
  <c r="O520" i="2"/>
  <c r="P529" i="2"/>
  <c r="O529" i="2"/>
  <c r="D228" i="2"/>
  <c r="D243" i="2"/>
  <c r="P350" i="2"/>
  <c r="O350" i="2"/>
  <c r="P453" i="2"/>
  <c r="O453" i="2"/>
  <c r="O38" i="2"/>
  <c r="P60" i="2"/>
  <c r="O60" i="2"/>
  <c r="O111" i="2"/>
  <c r="O140" i="2"/>
  <c r="D164" i="2"/>
  <c r="D232" i="2"/>
  <c r="E254" i="2"/>
  <c r="E285" i="2"/>
  <c r="D302" i="2"/>
  <c r="E307" i="2"/>
  <c r="P346" i="2"/>
  <c r="O346" i="2"/>
  <c r="P374" i="2"/>
  <c r="O436" i="2"/>
  <c r="P443" i="2"/>
  <c r="O443" i="2"/>
  <c r="P606" i="2"/>
  <c r="P448" i="2"/>
  <c r="O448" i="2"/>
  <c r="P407" i="2"/>
  <c r="O407" i="2"/>
  <c r="P221" i="2"/>
  <c r="O221" i="2"/>
  <c r="P375" i="2"/>
  <c r="O375" i="2"/>
  <c r="P414" i="2"/>
  <c r="O414" i="2"/>
  <c r="P499" i="2"/>
  <c r="O499" i="2"/>
  <c r="P591" i="2"/>
  <c r="O591" i="2"/>
  <c r="P607" i="2"/>
  <c r="O607" i="2"/>
  <c r="E12" i="2"/>
  <c r="P26" i="2"/>
  <c r="I31" i="2"/>
  <c r="P79" i="2"/>
  <c r="O79" i="2"/>
  <c r="E90" i="2"/>
  <c r="O166" i="2"/>
  <c r="E193" i="2"/>
  <c r="P198" i="2"/>
  <c r="E208" i="2"/>
  <c r="P239" i="2"/>
  <c r="O239" i="2"/>
  <c r="O242" i="2"/>
  <c r="P311" i="2"/>
  <c r="O311" i="2"/>
  <c r="P328" i="2"/>
  <c r="O360" i="2"/>
  <c r="P551" i="2"/>
  <c r="O551" i="2"/>
  <c r="P560" i="2"/>
  <c r="O560" i="2"/>
  <c r="I169" i="2"/>
  <c r="P508" i="2"/>
  <c r="O508" i="2"/>
  <c r="E609" i="2"/>
  <c r="E597" i="2"/>
  <c r="E585" i="2"/>
  <c r="E573" i="2"/>
  <c r="E561" i="2"/>
  <c r="E549" i="2"/>
  <c r="E537" i="2"/>
  <c r="E525" i="2"/>
  <c r="E513" i="2"/>
  <c r="E602" i="2"/>
  <c r="E590" i="2"/>
  <c r="E578" i="2"/>
  <c r="E566" i="2"/>
  <c r="E554" i="2"/>
  <c r="E542" i="2"/>
  <c r="E530" i="2"/>
  <c r="E518" i="2"/>
  <c r="E506" i="2"/>
  <c r="E494" i="2"/>
  <c r="E482" i="2"/>
  <c r="E470" i="2"/>
  <c r="E606" i="2"/>
  <c r="E593" i="2"/>
  <c r="E591" i="2"/>
  <c r="E548" i="2"/>
  <c r="E519" i="2"/>
  <c r="E487" i="2"/>
  <c r="E456" i="2"/>
  <c r="E444" i="2"/>
  <c r="E432" i="2"/>
  <c r="E420" i="2"/>
  <c r="E408" i="2"/>
  <c r="E396" i="2"/>
  <c r="E384" i="2"/>
  <c r="E372" i="2"/>
  <c r="E360" i="2"/>
  <c r="E348" i="2"/>
  <c r="E336" i="2"/>
  <c r="E324" i="2"/>
  <c r="E312" i="2"/>
  <c r="E300" i="2"/>
  <c r="E288" i="2"/>
  <c r="E276" i="2"/>
  <c r="E264" i="2"/>
  <c r="E252" i="2"/>
  <c r="E240" i="2"/>
  <c r="E228" i="2"/>
  <c r="E216" i="2"/>
  <c r="E608" i="2"/>
  <c r="E595" i="2"/>
  <c r="E546" i="2"/>
  <c r="E517" i="2"/>
  <c r="E500" i="2"/>
  <c r="E474" i="2"/>
  <c r="E544" i="2"/>
  <c r="E540" i="2"/>
  <c r="E515" i="2"/>
  <c r="E511" i="2"/>
  <c r="E485" i="2"/>
  <c r="E461" i="2"/>
  <c r="E449" i="2"/>
  <c r="E437" i="2"/>
  <c r="E425" i="2"/>
  <c r="E413" i="2"/>
  <c r="E401" i="2"/>
  <c r="E389" i="2"/>
  <c r="E377" i="2"/>
  <c r="E365" i="2"/>
  <c r="E353" i="2"/>
  <c r="E341" i="2"/>
  <c r="E329" i="2"/>
  <c r="E317" i="2"/>
  <c r="E305" i="2"/>
  <c r="E293" i="2"/>
  <c r="E281" i="2"/>
  <c r="E269" i="2"/>
  <c r="E257" i="2"/>
  <c r="E245" i="2"/>
  <c r="E233" i="2"/>
  <c r="E221" i="2"/>
  <c r="E209" i="2"/>
  <c r="E538" i="2"/>
  <c r="E498" i="2"/>
  <c r="E472" i="2"/>
  <c r="E509" i="2"/>
  <c r="E483" i="2"/>
  <c r="E454" i="2"/>
  <c r="E442" i="2"/>
  <c r="E430" i="2"/>
  <c r="E418" i="2"/>
  <c r="E406" i="2"/>
  <c r="E394" i="2"/>
  <c r="E382" i="2"/>
  <c r="E370" i="2"/>
  <c r="E358" i="2"/>
  <c r="E346" i="2"/>
  <c r="E334" i="2"/>
  <c r="E322" i="2"/>
  <c r="E310" i="2"/>
  <c r="E298" i="2"/>
  <c r="E286" i="2"/>
  <c r="E274" i="2"/>
  <c r="E262" i="2"/>
  <c r="E250" i="2"/>
  <c r="E238" i="2"/>
  <c r="E226" i="2"/>
  <c r="E214" i="2"/>
  <c r="E580" i="2"/>
  <c r="E536" i="2"/>
  <c r="E582" i="2"/>
  <c r="E599" i="2"/>
  <c r="E586" i="2"/>
  <c r="E584" i="2"/>
  <c r="E571" i="2"/>
  <c r="E569" i="2"/>
  <c r="E557" i="2"/>
  <c r="E532" i="2"/>
  <c r="E528" i="2"/>
  <c r="E492" i="2"/>
  <c r="E601" i="2"/>
  <c r="E588" i="2"/>
  <c r="E567" i="2"/>
  <c r="E565" i="2"/>
  <c r="E563" i="2"/>
  <c r="E526" i="2"/>
  <c r="E505" i="2"/>
  <c r="E605" i="2"/>
  <c r="E603" i="2"/>
  <c r="E555" i="2"/>
  <c r="E607" i="2"/>
  <c r="E553" i="2"/>
  <c r="E524" i="2"/>
  <c r="E503" i="2"/>
  <c r="E592" i="2"/>
  <c r="E577" i="2"/>
  <c r="E543" i="2"/>
  <c r="E486" i="2"/>
  <c r="E455" i="2"/>
  <c r="E443" i="2"/>
  <c r="E431" i="2"/>
  <c r="E575" i="2"/>
  <c r="E558" i="2"/>
  <c r="E541" i="2"/>
  <c r="E445" i="2"/>
  <c r="E421" i="2"/>
  <c r="E419" i="2"/>
  <c r="E404" i="2"/>
  <c r="E402" i="2"/>
  <c r="E400" i="2"/>
  <c r="E385" i="2"/>
  <c r="E383" i="2"/>
  <c r="E368" i="2"/>
  <c r="E366" i="2"/>
  <c r="E364" i="2"/>
  <c r="E349" i="2"/>
  <c r="E347" i="2"/>
  <c r="E332" i="2"/>
  <c r="E330" i="2"/>
  <c r="E328" i="2"/>
  <c r="E313" i="2"/>
  <c r="E311" i="2"/>
  <c r="E296" i="2"/>
  <c r="E294" i="2"/>
  <c r="E292" i="2"/>
  <c r="E277" i="2"/>
  <c r="E275" i="2"/>
  <c r="E260" i="2"/>
  <c r="E258" i="2"/>
  <c r="E256" i="2"/>
  <c r="E241" i="2"/>
  <c r="E239" i="2"/>
  <c r="E224" i="2"/>
  <c r="E222" i="2"/>
  <c r="E220" i="2"/>
  <c r="E594" i="2"/>
  <c r="E587" i="2"/>
  <c r="E547" i="2"/>
  <c r="E477" i="2"/>
  <c r="E434" i="2"/>
  <c r="E423" i="2"/>
  <c r="E387" i="2"/>
  <c r="E351" i="2"/>
  <c r="E315" i="2"/>
  <c r="E279" i="2"/>
  <c r="E243" i="2"/>
  <c r="E207" i="2"/>
  <c r="E205" i="2"/>
  <c r="E191" i="2"/>
  <c r="E179" i="2"/>
  <c r="E167" i="2"/>
  <c r="E155" i="2"/>
  <c r="E143" i="2"/>
  <c r="E131" i="2"/>
  <c r="E119" i="2"/>
  <c r="E107" i="2"/>
  <c r="E95" i="2"/>
  <c r="E83" i="2"/>
  <c r="E71" i="2"/>
  <c r="E59" i="2"/>
  <c r="E47" i="2"/>
  <c r="E35" i="2"/>
  <c r="E23" i="2"/>
  <c r="E568" i="2"/>
  <c r="E489" i="2"/>
  <c r="E465" i="2"/>
  <c r="E447" i="2"/>
  <c r="E564" i="2"/>
  <c r="E534" i="2"/>
  <c r="E436" i="2"/>
  <c r="E196" i="2"/>
  <c r="E184" i="2"/>
  <c r="E172" i="2"/>
  <c r="E160" i="2"/>
  <c r="E148" i="2"/>
  <c r="E136" i="2"/>
  <c r="E124" i="2"/>
  <c r="E112" i="2"/>
  <c r="E100" i="2"/>
  <c r="E88" i="2"/>
  <c r="E76" i="2"/>
  <c r="E64" i="2"/>
  <c r="E52" i="2"/>
  <c r="E40" i="2"/>
  <c r="E28" i="2"/>
  <c r="E16" i="2"/>
  <c r="E531" i="2"/>
  <c r="E438" i="2"/>
  <c r="E203" i="2"/>
  <c r="E479" i="2"/>
  <c r="E458" i="2"/>
  <c r="E440" i="2"/>
  <c r="E512" i="2"/>
  <c r="E497" i="2"/>
  <c r="E484" i="2"/>
  <c r="E427" i="2"/>
  <c r="E550" i="2"/>
  <c r="E467" i="2"/>
  <c r="E460" i="2"/>
  <c r="E429" i="2"/>
  <c r="E410" i="2"/>
  <c r="E393" i="2"/>
  <c r="E374" i="2"/>
  <c r="E574" i="2"/>
  <c r="E462" i="2"/>
  <c r="E451" i="2"/>
  <c r="E416" i="2"/>
  <c r="E414" i="2"/>
  <c r="E412" i="2"/>
  <c r="E397" i="2"/>
  <c r="E395" i="2"/>
  <c r="E380" i="2"/>
  <c r="E378" i="2"/>
  <c r="E376" i="2"/>
  <c r="E560" i="2"/>
  <c r="E521" i="2"/>
  <c r="E481" i="2"/>
  <c r="E399" i="2"/>
  <c r="E363" i="2"/>
  <c r="E600" i="2"/>
  <c r="E581" i="2"/>
  <c r="E533" i="2"/>
  <c r="E491" i="2"/>
  <c r="E453" i="2"/>
  <c r="E433" i="2"/>
  <c r="E604" i="2"/>
  <c r="E559" i="2"/>
  <c r="E514" i="2"/>
  <c r="E508" i="2"/>
  <c r="E502" i="2"/>
  <c r="E499" i="2"/>
  <c r="E476" i="2"/>
  <c r="E466" i="2"/>
  <c r="E457" i="2"/>
  <c r="E403" i="2"/>
  <c r="E367" i="2"/>
  <c r="E331" i="2"/>
  <c r="E295" i="2"/>
  <c r="E259" i="2"/>
  <c r="E223" i="2"/>
  <c r="D10" i="2"/>
  <c r="E583" i="2"/>
  <c r="E493" i="2"/>
  <c r="E463" i="2"/>
  <c r="E409" i="2"/>
  <c r="E373" i="2"/>
  <c r="E357" i="2"/>
  <c r="E424" i="2"/>
  <c r="E417" i="2"/>
  <c r="E354" i="2"/>
  <c r="E263" i="2"/>
  <c r="E236" i="2"/>
  <c r="E204" i="2"/>
  <c r="E197" i="2"/>
  <c r="E188" i="2"/>
  <c r="E161" i="2"/>
  <c r="E152" i="2"/>
  <c r="E125" i="2"/>
  <c r="E116" i="2"/>
  <c r="E89" i="2"/>
  <c r="E80" i="2"/>
  <c r="E471" i="2"/>
  <c r="E435" i="2"/>
  <c r="E405" i="2"/>
  <c r="E439" i="2"/>
  <c r="E398" i="2"/>
  <c r="E390" i="2"/>
  <c r="E342" i="2"/>
  <c r="E339" i="2"/>
  <c r="E314" i="2"/>
  <c r="E290" i="2"/>
  <c r="E284" i="2"/>
  <c r="E244" i="2"/>
  <c r="E199" i="2"/>
  <c r="E190" i="2"/>
  <c r="E154" i="2"/>
  <c r="E118" i="2"/>
  <c r="E82" i="2"/>
  <c r="E46" i="2"/>
  <c r="E303" i="2"/>
  <c r="E249" i="2"/>
  <c r="E225" i="2"/>
  <c r="E181" i="2"/>
  <c r="E129" i="2"/>
  <c r="E109" i="2"/>
  <c r="E73" i="2"/>
  <c r="E21" i="2"/>
  <c r="E576" i="2"/>
  <c r="E570" i="2"/>
  <c r="E527" i="2"/>
  <c r="E522" i="2"/>
  <c r="E475" i="2"/>
  <c r="E369" i="2"/>
  <c r="E165" i="2"/>
  <c r="E145" i="2"/>
  <c r="E93" i="2"/>
  <c r="E57" i="2"/>
  <c r="E37" i="2"/>
  <c r="E507" i="2"/>
  <c r="E319" i="2"/>
  <c r="E271" i="2"/>
  <c r="E268" i="2"/>
  <c r="E192" i="2"/>
  <c r="E156" i="2"/>
  <c r="E120" i="2"/>
  <c r="E84" i="2"/>
  <c r="E450" i="2"/>
  <c r="E446" i="2"/>
  <c r="E345" i="2"/>
  <c r="E333" i="2"/>
  <c r="E265" i="2"/>
  <c r="E598" i="2"/>
  <c r="E478" i="2"/>
  <c r="E386" i="2"/>
  <c r="E308" i="2"/>
  <c r="E246" i="2"/>
  <c r="E230" i="2"/>
  <c r="E211" i="2"/>
  <c r="E194" i="2"/>
  <c r="E174" i="2"/>
  <c r="E158" i="2"/>
  <c r="E138" i="2"/>
  <c r="E122" i="2"/>
  <c r="E102" i="2"/>
  <c r="E86" i="2"/>
  <c r="E516" i="2"/>
  <c r="E496" i="2"/>
  <c r="E359" i="2"/>
  <c r="E356" i="2"/>
  <c r="E327" i="2"/>
  <c r="E289" i="2"/>
  <c r="E219" i="2"/>
  <c r="E501" i="2"/>
  <c r="E316" i="2"/>
  <c r="E344" i="2"/>
  <c r="E297" i="2"/>
  <c r="E596" i="2"/>
  <c r="E579" i="2"/>
  <c r="E562" i="2"/>
  <c r="E22" i="2"/>
  <c r="O31" i="2"/>
  <c r="E34" i="2"/>
  <c r="I36" i="2"/>
  <c r="D39" i="2"/>
  <c r="E56" i="2"/>
  <c r="E61" i="2"/>
  <c r="E66" i="2"/>
  <c r="I87" i="2"/>
  <c r="E101" i="2"/>
  <c r="O103" i="2"/>
  <c r="P115" i="2"/>
  <c r="O115" i="2"/>
  <c r="O143" i="2"/>
  <c r="O146" i="2"/>
  <c r="E150" i="2"/>
  <c r="E170" i="2"/>
  <c r="E187" i="2"/>
  <c r="O195" i="2"/>
  <c r="E202" i="2"/>
  <c r="O204" i="2"/>
  <c r="E215" i="2"/>
  <c r="P269" i="2"/>
  <c r="P278" i="2"/>
  <c r="O278" i="2"/>
  <c r="P333" i="2"/>
  <c r="O333" i="2"/>
  <c r="E352" i="2"/>
  <c r="E375" i="2"/>
  <c r="E415" i="2"/>
  <c r="P468" i="2"/>
  <c r="O468" i="2"/>
  <c r="E480" i="2"/>
  <c r="P514" i="2"/>
  <c r="O514" i="2"/>
  <c r="O583" i="2"/>
  <c r="P600" i="2"/>
  <c r="O600" i="2"/>
  <c r="P297" i="2"/>
  <c r="O297" i="2"/>
  <c r="P16" i="2"/>
  <c r="O16" i="2"/>
  <c r="O43" i="2"/>
  <c r="P120" i="2"/>
  <c r="O120" i="2"/>
  <c r="I17" i="2"/>
  <c r="I24" i="2"/>
  <c r="O68" i="2"/>
  <c r="E121" i="2"/>
  <c r="P155" i="2"/>
  <c r="O155" i="2"/>
  <c r="E266" i="2"/>
  <c r="P270" i="2"/>
  <c r="O270" i="2"/>
  <c r="P274" i="2"/>
  <c r="O274" i="2"/>
  <c r="E282" i="2"/>
  <c r="O285" i="2"/>
  <c r="E325" i="2"/>
  <c r="E343" i="2"/>
  <c r="O361" i="2"/>
  <c r="P361" i="2"/>
  <c r="O370" i="2"/>
  <c r="P426" i="2"/>
  <c r="O426" i="2"/>
  <c r="P437" i="2"/>
  <c r="O437" i="2"/>
  <c r="E551" i="2"/>
  <c r="P584" i="2"/>
  <c r="O584" i="2"/>
  <c r="P119" i="2"/>
  <c r="O119" i="2"/>
  <c r="O256" i="2"/>
  <c r="P256" i="2"/>
  <c r="P215" i="2"/>
  <c r="O215" i="2"/>
  <c r="I232" i="2"/>
  <c r="P84" i="2"/>
  <c r="O84" i="2"/>
  <c r="E141" i="2"/>
  <c r="O175" i="2"/>
  <c r="E10" i="2"/>
  <c r="E15" i="2"/>
  <c r="E27" i="2"/>
  <c r="E115" i="2"/>
  <c r="O152" i="2"/>
  <c r="P196" i="2"/>
  <c r="O196" i="2"/>
  <c r="E247" i="2"/>
  <c r="E278" i="2"/>
  <c r="E299" i="2"/>
  <c r="P316" i="2"/>
  <c r="O316" i="2"/>
  <c r="P337" i="2"/>
  <c r="E361" i="2"/>
  <c r="I381" i="2"/>
  <c r="E468" i="2"/>
  <c r="O552" i="2"/>
  <c r="P552" i="2"/>
  <c r="I45" i="2"/>
  <c r="D46" i="2"/>
  <c r="O253" i="2"/>
  <c r="P253" i="2"/>
  <c r="D199" i="2"/>
  <c r="P187" i="2"/>
  <c r="O187" i="2"/>
  <c r="P402" i="2"/>
  <c r="O402" i="2"/>
  <c r="P144" i="2"/>
  <c r="O144" i="2"/>
  <c r="E173" i="2"/>
  <c r="E49" i="2"/>
  <c r="D32" i="2"/>
  <c r="E54" i="2"/>
  <c r="E127" i="2"/>
  <c r="E130" i="2"/>
  <c r="E144" i="2"/>
  <c r="E147" i="2"/>
  <c r="E229" i="2"/>
  <c r="O232" i="2"/>
  <c r="P251" i="2"/>
  <c r="O251" i="2"/>
  <c r="P258" i="2"/>
  <c r="O258" i="2"/>
  <c r="E270" i="2"/>
  <c r="P286" i="2"/>
  <c r="O286" i="2"/>
  <c r="O320" i="2"/>
  <c r="P329" i="2"/>
  <c r="O329" i="2"/>
  <c r="P338" i="2"/>
  <c r="O338" i="2"/>
  <c r="P366" i="2"/>
  <c r="O366" i="2"/>
  <c r="P371" i="2"/>
  <c r="O371" i="2"/>
  <c r="P392" i="2"/>
  <c r="O392" i="2"/>
  <c r="E426" i="2"/>
  <c r="P486" i="2"/>
  <c r="O486" i="2"/>
  <c r="E523" i="2"/>
  <c r="P378" i="2"/>
  <c r="O378" i="2"/>
  <c r="P422" i="2"/>
  <c r="O422" i="2"/>
  <c r="O289" i="2"/>
  <c r="P289" i="2"/>
  <c r="P327" i="2"/>
  <c r="O327" i="2"/>
  <c r="P382" i="2"/>
  <c r="O382" i="2"/>
  <c r="P536" i="2"/>
  <c r="O536" i="2"/>
  <c r="P308" i="2"/>
  <c r="O308" i="2"/>
  <c r="P359" i="2"/>
  <c r="O359" i="2"/>
  <c r="P386" i="2"/>
  <c r="O386" i="2"/>
  <c r="P478" i="2"/>
  <c r="O478" i="2"/>
  <c r="P491" i="2"/>
  <c r="O491" i="2"/>
  <c r="P496" i="2"/>
  <c r="O496" i="2"/>
  <c r="P526" i="2"/>
  <c r="O526" i="2"/>
  <c r="P603" i="2"/>
  <c r="O603" i="2"/>
  <c r="P259" i="2"/>
  <c r="O259" i="2"/>
  <c r="P294" i="2"/>
  <c r="O294" i="2"/>
  <c r="O302" i="2"/>
  <c r="P347" i="2"/>
  <c r="O347" i="2"/>
  <c r="P446" i="2"/>
  <c r="O446" i="2"/>
  <c r="P365" i="2"/>
  <c r="O365" i="2"/>
  <c r="P419" i="2"/>
  <c r="O419" i="2"/>
  <c r="P438" i="2"/>
  <c r="O438" i="2"/>
  <c r="P501" i="2"/>
  <c r="O501" i="2"/>
  <c r="O305" i="2"/>
  <c r="O324" i="2"/>
  <c r="O341" i="2"/>
  <c r="K369" i="2"/>
  <c r="O235" i="2"/>
  <c r="P390" i="2"/>
  <c r="O390" i="2"/>
  <c r="P400" i="2"/>
  <c r="P466" i="2"/>
  <c r="O466" i="2"/>
  <c r="O542" i="2"/>
  <c r="P581" i="2"/>
  <c r="O581" i="2"/>
  <c r="P287" i="2"/>
  <c r="O287" i="2"/>
  <c r="P306" i="2"/>
  <c r="O306" i="2"/>
  <c r="O325" i="2"/>
  <c r="P325" i="2"/>
  <c r="P330" i="2"/>
  <c r="O330" i="2"/>
  <c r="P342" i="2"/>
  <c r="O342" i="2"/>
  <c r="O356" i="2"/>
  <c r="O393" i="2"/>
  <c r="P405" i="2"/>
  <c r="O405" i="2"/>
  <c r="O412" i="2"/>
  <c r="O471" i="2"/>
  <c r="P471" i="2"/>
  <c r="O217" i="2"/>
  <c r="P217" i="2"/>
  <c r="P236" i="2"/>
  <c r="O236" i="2"/>
  <c r="P257" i="2"/>
  <c r="O257" i="2"/>
  <c r="P424" i="2"/>
  <c r="O424" i="2"/>
  <c r="P431" i="2"/>
  <c r="O431" i="2"/>
  <c r="P538" i="2"/>
  <c r="O538" i="2"/>
  <c r="O543" i="2"/>
  <c r="P543" i="2"/>
  <c r="O373" i="2"/>
  <c r="P373" i="2"/>
  <c r="P383" i="2"/>
  <c r="O383" i="2"/>
  <c r="O409" i="2"/>
  <c r="P409" i="2"/>
  <c r="O483" i="2"/>
  <c r="P483" i="2"/>
  <c r="P522" i="2"/>
  <c r="O522" i="2"/>
  <c r="P255" i="2"/>
  <c r="O255" i="2"/>
  <c r="P265" i="2"/>
  <c r="P276" i="2"/>
  <c r="O276" i="2"/>
  <c r="P363" i="2"/>
  <c r="O363" i="2"/>
  <c r="P450" i="2"/>
  <c r="O450" i="2"/>
  <c r="O523" i="2"/>
  <c r="P523" i="2"/>
  <c r="O554" i="2"/>
  <c r="O559" i="2"/>
  <c r="P475" i="2"/>
  <c r="O475" i="2"/>
  <c r="P507" i="2"/>
  <c r="P517" i="2"/>
  <c r="O517" i="2"/>
  <c r="P533" i="2"/>
  <c r="O533" i="2"/>
  <c r="P539" i="2"/>
  <c r="O539" i="2"/>
  <c r="P596" i="2"/>
  <c r="O596" i="2"/>
  <c r="P549" i="2"/>
  <c r="O549" i="2"/>
  <c r="P455" i="2"/>
  <c r="O455" i="2"/>
  <c r="P506" i="2"/>
  <c r="O506" i="2"/>
  <c r="P518" i="2"/>
  <c r="O518" i="2"/>
  <c r="P488" i="2"/>
  <c r="O488" i="2"/>
  <c r="P567" i="2"/>
  <c r="O567" i="2"/>
  <c r="P524" i="2"/>
  <c r="O585" i="2"/>
  <c r="O604" i="2"/>
  <c r="O367" i="2"/>
  <c r="O384" i="2"/>
  <c r="O401" i="2"/>
  <c r="O403" i="2"/>
  <c r="O420" i="2"/>
  <c r="O546" i="2"/>
  <c r="P586" i="2"/>
  <c r="O586" i="2"/>
  <c r="O608" i="2"/>
  <c r="O380" i="2"/>
  <c r="O416" i="2"/>
  <c r="P444" i="2"/>
  <c r="O494" i="2"/>
  <c r="O527" i="2"/>
  <c r="P547" i="2"/>
  <c r="O547" i="2"/>
  <c r="O570" i="2"/>
  <c r="O578" i="2"/>
  <c r="O589" i="2"/>
  <c r="P594" i="2"/>
  <c r="O594" i="2"/>
  <c r="P605" i="2"/>
  <c r="O605" i="2"/>
  <c r="P397" i="2"/>
  <c r="O442" i="2"/>
  <c r="P462" i="2"/>
  <c r="O462" i="2"/>
  <c r="O509" i="2"/>
  <c r="P541" i="2"/>
  <c r="O541" i="2"/>
  <c r="P558" i="2"/>
  <c r="O558" i="2"/>
  <c r="P574" i="2"/>
  <c r="O574" i="2"/>
  <c r="O582" i="2"/>
  <c r="O474" i="2"/>
  <c r="P497" i="2"/>
  <c r="P503" i="2"/>
  <c r="O512" i="2"/>
  <c r="O515" i="2"/>
  <c r="P550" i="2"/>
  <c r="O550" i="2"/>
  <c r="P571" i="2"/>
  <c r="O571" i="2"/>
  <c r="P575" i="2"/>
  <c r="O575" i="2"/>
  <c r="P579" i="2"/>
  <c r="O579" i="2"/>
  <c r="P590" i="2"/>
  <c r="O590" i="2"/>
  <c r="P537" i="2"/>
  <c r="P598" i="2"/>
  <c r="O598" i="2"/>
  <c r="O592" i="2"/>
  <c r="O588" i="2"/>
  <c r="O573" i="2"/>
  <c r="O569" i="2"/>
  <c r="M149" i="2"/>
  <c r="M68" i="2"/>
  <c r="M45" i="2"/>
  <c r="E10917" i="4"/>
  <c r="E10456" i="4"/>
  <c r="B10640" i="4"/>
  <c r="B10817" i="4"/>
  <c r="B9771" i="4"/>
  <c r="E9992" i="4"/>
  <c r="E10468" i="4"/>
  <c r="E10784" i="4"/>
  <c r="E9625" i="4"/>
  <c r="E10149" i="4"/>
  <c r="B10032" i="4"/>
  <c r="B10069" i="4"/>
  <c r="B10630" i="4"/>
  <c r="B10752" i="4"/>
  <c r="E10026" i="4"/>
  <c r="B9570" i="4"/>
  <c r="E9931" i="4"/>
  <c r="B9699" i="4"/>
  <c r="E8281" i="4"/>
  <c r="B9247" i="4"/>
  <c r="E9885" i="4"/>
  <c r="B9809" i="4"/>
  <c r="E8850" i="4"/>
  <c r="E7922" i="4"/>
  <c r="E9373" i="4"/>
  <c r="E9684" i="4"/>
  <c r="B10651" i="4"/>
  <c r="B8914" i="4"/>
  <c r="E8825" i="4"/>
  <c r="E9745" i="4"/>
  <c r="B10455" i="4"/>
  <c r="B10617" i="4"/>
  <c r="B10310" i="4"/>
  <c r="E10331" i="4"/>
  <c r="E10298" i="4"/>
  <c r="E10592" i="4"/>
  <c r="B10584" i="4"/>
  <c r="B10777" i="4"/>
  <c r="E9699" i="4"/>
  <c r="B9923" i="4"/>
  <c r="E9076" i="4"/>
  <c r="E9593" i="4"/>
  <c r="E9573" i="4"/>
  <c r="E9986" i="4"/>
  <c r="B10751" i="4"/>
  <c r="B9914" i="4"/>
  <c r="E10728" i="4"/>
  <c r="B10392" i="4"/>
  <c r="B10348" i="4"/>
  <c r="E9590" i="4"/>
  <c r="E10103" i="4"/>
  <c r="B9550" i="4"/>
  <c r="B8987" i="4"/>
  <c r="B9811" i="4"/>
  <c r="E9859" i="4"/>
  <c r="B8815" i="4"/>
  <c r="E9382" i="4"/>
  <c r="E9686" i="4"/>
  <c r="E9521" i="4"/>
  <c r="B8764" i="4"/>
  <c r="B9077" i="4"/>
  <c r="B10351" i="4"/>
  <c r="E10508" i="4"/>
  <c r="E10711" i="4"/>
  <c r="B10919" i="4"/>
  <c r="E10889" i="4"/>
  <c r="B10812" i="4"/>
  <c r="B10774" i="4"/>
  <c r="E10735" i="4"/>
  <c r="E10390" i="4"/>
  <c r="E10863" i="4"/>
  <c r="E10857" i="4"/>
  <c r="B9960" i="4"/>
  <c r="E10391" i="4"/>
  <c r="E9822" i="4"/>
  <c r="B8904" i="4"/>
  <c r="E10179" i="4"/>
  <c r="B9831" i="4"/>
  <c r="E10426" i="4"/>
  <c r="E9644" i="4"/>
  <c r="B10753" i="4"/>
  <c r="E9939" i="4"/>
  <c r="E10181" i="4"/>
  <c r="E10408" i="4"/>
  <c r="B10496" i="4"/>
  <c r="B8318" i="4"/>
  <c r="E9578" i="4"/>
  <c r="E9861" i="4"/>
  <c r="E9731" i="4"/>
  <c r="B10218" i="4"/>
  <c r="B8780" i="4"/>
  <c r="E9746" i="4"/>
  <c r="E9906" i="4"/>
  <c r="E9202" i="4"/>
  <c r="B9874" i="4"/>
  <c r="E8686" i="4"/>
  <c r="B9483" i="4"/>
  <c r="B10646" i="4"/>
  <c r="E9938" i="4"/>
  <c r="B9833" i="4"/>
  <c r="E9824" i="4"/>
  <c r="B10216" i="4"/>
  <c r="E10376" i="4"/>
  <c r="B10234" i="4"/>
  <c r="E9372" i="4"/>
  <c r="B10104" i="4"/>
  <c r="B10244" i="4"/>
  <c r="B8935" i="4"/>
  <c r="B8896" i="4"/>
  <c r="B10619" i="4"/>
  <c r="B10067" i="4"/>
  <c r="E10552" i="4"/>
  <c r="B10144" i="4"/>
  <c r="B10372" i="4"/>
  <c r="B9925" i="4"/>
  <c r="E9540" i="4"/>
  <c r="E10743" i="4"/>
  <c r="B10213" i="4"/>
  <c r="E10037" i="4"/>
  <c r="B9218" i="4"/>
  <c r="B8852" i="4"/>
  <c r="E10509" i="4"/>
  <c r="B7778" i="4"/>
  <c r="B9076" i="4"/>
  <c r="E9294" i="4"/>
  <c r="E10817" i="4"/>
  <c r="B10558" i="4"/>
  <c r="E10911" i="4"/>
  <c r="E10027" i="4"/>
  <c r="B9980" i="4"/>
  <c r="B10223" i="4"/>
  <c r="E10688" i="4"/>
  <c r="E10848" i="4"/>
  <c r="B10670" i="4"/>
  <c r="E10319" i="4"/>
  <c r="B10486" i="4"/>
  <c r="B10097" i="4"/>
  <c r="E9712" i="4"/>
  <c r="E10070" i="4"/>
  <c r="B10125" i="4"/>
  <c r="B9503" i="4"/>
  <c r="E10404" i="4"/>
  <c r="E10715" i="4"/>
  <c r="B10501" i="4"/>
  <c r="B10101" i="4"/>
  <c r="E10356" i="4"/>
  <c r="E8989" i="4"/>
  <c r="E8660" i="4"/>
  <c r="E10255" i="4"/>
  <c r="B9715" i="4"/>
  <c r="E8440" i="4"/>
  <c r="E8907" i="4"/>
  <c r="B9834" i="4"/>
  <c r="E8814" i="4"/>
  <c r="E10710" i="4"/>
  <c r="B10908" i="4"/>
  <c r="E10447" i="4"/>
  <c r="E10622" i="4"/>
  <c r="B10809" i="4"/>
  <c r="B9761" i="4"/>
  <c r="B10481" i="4"/>
  <c r="E10226" i="4"/>
  <c r="B10623" i="4"/>
  <c r="E9466" i="4"/>
  <c r="B10671" i="4"/>
  <c r="E10274" i="4"/>
  <c r="B10603" i="4"/>
  <c r="E10414" i="4"/>
  <c r="E9901" i="4"/>
  <c r="B10909" i="4"/>
  <c r="B10119" i="4"/>
  <c r="E10091" i="4"/>
  <c r="B8651" i="4"/>
  <c r="E10337" i="4"/>
  <c r="E8318" i="4"/>
  <c r="E9868" i="4"/>
  <c r="E9024" i="4"/>
  <c r="B8097" i="4"/>
  <c r="B8814" i="4"/>
  <c r="E9722" i="4"/>
  <c r="E9760" i="4"/>
  <c r="E10057" i="4"/>
  <c r="B9510" i="4"/>
  <c r="B9624" i="4"/>
  <c r="E10330" i="4"/>
  <c r="E8104" i="4"/>
  <c r="B10003" i="4"/>
  <c r="B10298" i="4"/>
  <c r="E10320" i="4"/>
  <c r="E10287" i="4"/>
  <c r="E10579" i="4"/>
  <c r="B10562" i="4"/>
  <c r="M198" i="2"/>
  <c r="M69" i="2"/>
  <c r="M24" i="2"/>
  <c r="B10374" i="4"/>
  <c r="B10248" i="4"/>
  <c r="B10132" i="4"/>
  <c r="B10338" i="4"/>
  <c r="B10142" i="4"/>
  <c r="E10525" i="4"/>
  <c r="B9623" i="4"/>
  <c r="B10081" i="4"/>
  <c r="E10061" i="4"/>
  <c r="B9433" i="4"/>
  <c r="B9238" i="4"/>
  <c r="B9630" i="4"/>
  <c r="B9213" i="4"/>
  <c r="B10422" i="4"/>
  <c r="B10773" i="4"/>
  <c r="E10196" i="4"/>
  <c r="E9620" i="4"/>
  <c r="B9337" i="4"/>
  <c r="E10171" i="4"/>
  <c r="B10078" i="4"/>
  <c r="B8070" i="4"/>
  <c r="E8812" i="4"/>
  <c r="E9347" i="4"/>
  <c r="B10678" i="4"/>
  <c r="B8052" i="4"/>
  <c r="B8754" i="4"/>
  <c r="E8652" i="4"/>
  <c r="B8841" i="4"/>
  <c r="E10366" i="4"/>
  <c r="E7634" i="4"/>
  <c r="E9013" i="4"/>
  <c r="E10550" i="4"/>
  <c r="B9855" i="4"/>
  <c r="B9494" i="4"/>
  <c r="B9261" i="4"/>
  <c r="B10414" i="4"/>
  <c r="B9866" i="4"/>
  <c r="E10630" i="4"/>
  <c r="E9146" i="4"/>
  <c r="B9792" i="4"/>
  <c r="B9850" i="4"/>
  <c r="B10576" i="4"/>
  <c r="E10760" i="4"/>
  <c r="E9556" i="4"/>
  <c r="B10259" i="4"/>
  <c r="B10231" i="4"/>
  <c r="B9927" i="4"/>
  <c r="E9956" i="4"/>
  <c r="E10609" i="4"/>
  <c r="E8517" i="4"/>
  <c r="B10278" i="4"/>
  <c r="B10272" i="4"/>
  <c r="E10516" i="4"/>
  <c r="E8311" i="4"/>
  <c r="B8784" i="4"/>
  <c r="B9370" i="4"/>
  <c r="B10464" i="4"/>
  <c r="B10004" i="4"/>
  <c r="E10461" i="4"/>
  <c r="B9937" i="4"/>
  <c r="B9228" i="4"/>
  <c r="E10289" i="4"/>
  <c r="E9619" i="4"/>
  <c r="B9612" i="4"/>
  <c r="E9807" i="4"/>
  <c r="B10746" i="4"/>
  <c r="E10841" i="4"/>
  <c r="E9180" i="4"/>
  <c r="E10387" i="4"/>
  <c r="B9908" i="4"/>
  <c r="E8629" i="4"/>
  <c r="B9813" i="4"/>
  <c r="B9719" i="4"/>
  <c r="B9546" i="4"/>
  <c r="E10721" i="4"/>
  <c r="B10871" i="4"/>
  <c r="B10531" i="4"/>
  <c r="B9552" i="4"/>
  <c r="B9706" i="4"/>
  <c r="B9969" i="4"/>
  <c r="E10355" i="4"/>
  <c r="B8797" i="4"/>
  <c r="B9617" i="4"/>
  <c r="B9440" i="4"/>
  <c r="B10262" i="4"/>
  <c r="B9718" i="4"/>
  <c r="B9487" i="4"/>
  <c r="E8888" i="4"/>
  <c r="E10343" i="4"/>
  <c r="B10792" i="4"/>
  <c r="E10716" i="4"/>
  <c r="B10717" i="4"/>
  <c r="B10382" i="4"/>
  <c r="B10859" i="4"/>
  <c r="B10051" i="4"/>
  <c r="E10427" i="4"/>
  <c r="E9122" i="4"/>
  <c r="B10337" i="4"/>
  <c r="B9372" i="4"/>
  <c r="B10238" i="4"/>
  <c r="E10281" i="4"/>
  <c r="B9205" i="4"/>
  <c r="E10543" i="4"/>
  <c r="E10135" i="4"/>
  <c r="E9886" i="4"/>
  <c r="B9500" i="4"/>
  <c r="B9932" i="4"/>
  <c r="B8663" i="4"/>
  <c r="E9430" i="4"/>
  <c r="B9194" i="4"/>
  <c r="B10197" i="4"/>
  <c r="B9499" i="4"/>
  <c r="B9147" i="4"/>
  <c r="B10336" i="4"/>
  <c r="E8510" i="4"/>
  <c r="B8230" i="4"/>
  <c r="E9150" i="4"/>
  <c r="B8572" i="4"/>
  <c r="E9568" i="4"/>
  <c r="E9923" i="4"/>
  <c r="B9667" i="4"/>
  <c r="B9929" i="4"/>
  <c r="E9815" i="4"/>
  <c r="B9816" i="4"/>
  <c r="E10172" i="4"/>
  <c r="E10832" i="4"/>
  <c r="M87" i="2"/>
  <c r="M320" i="2"/>
  <c r="E9108" i="4"/>
  <c r="B9830" i="4"/>
  <c r="B9453" i="4"/>
  <c r="B9735" i="4"/>
  <c r="E10180" i="4"/>
  <c r="E10292" i="4"/>
  <c r="B9482" i="4"/>
  <c r="B9402" i="4"/>
  <c r="B10566" i="4"/>
  <c r="E10265" i="4"/>
  <c r="B10865" i="4"/>
  <c r="B9215" i="4"/>
  <c r="B10731" i="4"/>
  <c r="B10892" i="4"/>
  <c r="B10564" i="4"/>
  <c r="B9640" i="4"/>
  <c r="B10028" i="4"/>
  <c r="E8754" i="4"/>
  <c r="E10065" i="4"/>
  <c r="E10723" i="4"/>
  <c r="E10730" i="4"/>
  <c r="E8676" i="4"/>
  <c r="B9233" i="4"/>
  <c r="E9506" i="4"/>
  <c r="B10675" i="4"/>
  <c r="E10153" i="4"/>
  <c r="E10133" i="4"/>
  <c r="B10901" i="4"/>
  <c r="B10154" i="4"/>
  <c r="B8674" i="4"/>
  <c r="E9020" i="4"/>
  <c r="B10639" i="4"/>
  <c r="B10868" i="4"/>
  <c r="B10352" i="4"/>
  <c r="E10888" i="4"/>
  <c r="B10514" i="4"/>
  <c r="B9621" i="4"/>
  <c r="E10144" i="4"/>
  <c r="E10500" i="4"/>
  <c r="E10838" i="4"/>
  <c r="E9509" i="4"/>
  <c r="B10375" i="4"/>
  <c r="E10241" i="4"/>
  <c r="E10655" i="4"/>
  <c r="B10891" i="4"/>
  <c r="B10819" i="4"/>
  <c r="B10346" i="4"/>
  <c r="E10380" i="4"/>
  <c r="E10117" i="4"/>
  <c r="E8018" i="4"/>
  <c r="E8938" i="4"/>
  <c r="E8979" i="4"/>
  <c r="B9141" i="4"/>
  <c r="E8378" i="4"/>
  <c r="E9120" i="4"/>
  <c r="B8775" i="4"/>
  <c r="B9101" i="4"/>
  <c r="B10175" i="4"/>
  <c r="B9497" i="4"/>
  <c r="B9379" i="4"/>
  <c r="E10089" i="4"/>
  <c r="B9511" i="4"/>
  <c r="E9292" i="4"/>
  <c r="E10726" i="4"/>
  <c r="E9765" i="4"/>
  <c r="B10371" i="4"/>
  <c r="E10342" i="4"/>
  <c r="B8862" i="4"/>
  <c r="E9464" i="4"/>
  <c r="B10782" i="4"/>
  <c r="B10709" i="4"/>
  <c r="B10457" i="4"/>
  <c r="E10432" i="4"/>
  <c r="B10421" i="4"/>
  <c r="E10714" i="4"/>
  <c r="B10017" i="4"/>
  <c r="B10737" i="4"/>
  <c r="E10169" i="4"/>
  <c r="E8325" i="4"/>
  <c r="B9610" i="4"/>
  <c r="E9852" i="4"/>
  <c r="B10855" i="4"/>
  <c r="E8000" i="4"/>
  <c r="E8501" i="4"/>
  <c r="E8966" i="4"/>
  <c r="B10776" i="4"/>
  <c r="E10119" i="4"/>
  <c r="E10746" i="4"/>
  <c r="B9919" i="4"/>
  <c r="E10350" i="4"/>
  <c r="E10230" i="4"/>
  <c r="B10121" i="4"/>
  <c r="B10327" i="4"/>
  <c r="B10761" i="4"/>
  <c r="B10088" i="4"/>
  <c r="B9820" i="4"/>
  <c r="B10431" i="4"/>
  <c r="E8437" i="4"/>
  <c r="E9195" i="4"/>
  <c r="E10722" i="4"/>
  <c r="E9236" i="4"/>
  <c r="E10250" i="4"/>
  <c r="E10870" i="4"/>
  <c r="B9906" i="4"/>
  <c r="B10224" i="4"/>
  <c r="E10547" i="4"/>
  <c r="B9603" i="4"/>
  <c r="E10093" i="4"/>
  <c r="B8432" i="4"/>
  <c r="E8899" i="4"/>
  <c r="E8956" i="4"/>
  <c r="B10568" i="4"/>
  <c r="E8600" i="4"/>
  <c r="B8833" i="4"/>
  <c r="E8595" i="4"/>
  <c r="E10267" i="4"/>
  <c r="B10546" i="4"/>
  <c r="E8175" i="4"/>
  <c r="E9700" i="4"/>
  <c r="E9367" i="4"/>
  <c r="B9468" i="4"/>
  <c r="E9840" i="4"/>
  <c r="B9477" i="4"/>
  <c r="B9253" i="4"/>
  <c r="B10366" i="4"/>
  <c r="E10675" i="4"/>
  <c r="B9899" i="4"/>
  <c r="B10745" i="4"/>
  <c r="E9706" i="4"/>
  <c r="E8492" i="4"/>
  <c r="B9071" i="4"/>
  <c r="B9445" i="4"/>
  <c r="B9470" i="4"/>
  <c r="B9506" i="4"/>
  <c r="E10818" i="4"/>
  <c r="B10260" i="4"/>
  <c r="B9710" i="4"/>
  <c r="B9902" i="4"/>
  <c r="B10917" i="4"/>
  <c r="E10880" i="4"/>
  <c r="E10706" i="4"/>
  <c r="B10230" i="4"/>
  <c r="E9777" i="4"/>
  <c r="B9495" i="4"/>
  <c r="B9124" i="4"/>
  <c r="E9673" i="4"/>
  <c r="E10010" i="4"/>
  <c r="E10032" i="4"/>
  <c r="B10657" i="4"/>
  <c r="E10851" i="4"/>
  <c r="E9976" i="4"/>
  <c r="B9414" i="4"/>
  <c r="E9989" i="4"/>
  <c r="E10733" i="4"/>
  <c r="E8078" i="4"/>
  <c r="B9696" i="4"/>
  <c r="B9202" i="4"/>
  <c r="E9106" i="4"/>
  <c r="E10523" i="4"/>
  <c r="B10011" i="4"/>
  <c r="E9675" i="4"/>
  <c r="E9642" i="4"/>
  <c r="B9276" i="4"/>
  <c r="E9493" i="4"/>
  <c r="E9284" i="4"/>
  <c r="E10653" i="4"/>
  <c r="B9754" i="4"/>
  <c r="E10836" i="4"/>
  <c r="B8975" i="4"/>
  <c r="B10674" i="4"/>
  <c r="E10701" i="4"/>
  <c r="B10887" i="4"/>
  <c r="B10439" i="4"/>
  <c r="B10614" i="4"/>
  <c r="B10793" i="4"/>
  <c r="B10102" i="4"/>
  <c r="E10719" i="4"/>
  <c r="E10415" i="4"/>
  <c r="B9995" i="4"/>
  <c r="B10287" i="4"/>
  <c r="B10277" i="4"/>
  <c r="B10265" i="4"/>
  <c r="E10369" i="4"/>
  <c r="B10475" i="4"/>
  <c r="B10829" i="4"/>
  <c r="E10049" i="4"/>
  <c r="B10247" i="4"/>
  <c r="E10214" i="4"/>
  <c r="E9603" i="4"/>
  <c r="B9596" i="4"/>
  <c r="E10639" i="4"/>
  <c r="B9156" i="4"/>
  <c r="E9592" i="4"/>
  <c r="E9742" i="4"/>
  <c r="B10410" i="4"/>
  <c r="E9774" i="4"/>
  <c r="E10583" i="4"/>
  <c r="E9796" i="4"/>
  <c r="E10786" i="4"/>
  <c r="E10843" i="4"/>
  <c r="E10506" i="4"/>
  <c r="E10682" i="4"/>
  <c r="E10876" i="4"/>
  <c r="E10595" i="4"/>
  <c r="B10818" i="4"/>
  <c r="B10293" i="4"/>
  <c r="B10607" i="4"/>
  <c r="E10290" i="4"/>
  <c r="B10589" i="4"/>
  <c r="B10403" i="4"/>
  <c r="E10625" i="4"/>
  <c r="E10811" i="4"/>
  <c r="E10003" i="4"/>
  <c r="B10543" i="4"/>
  <c r="B10471" i="4"/>
  <c r="B10425" i="4"/>
  <c r="B10309" i="4"/>
  <c r="E9504" i="4"/>
  <c r="E9720" i="4"/>
  <c r="B10133" i="4"/>
  <c r="B10449" i="4"/>
  <c r="E10651" i="4"/>
  <c r="E10216" i="4"/>
  <c r="E10707" i="4"/>
  <c r="E9436" i="4"/>
  <c r="E9893" i="4"/>
  <c r="B10453" i="4"/>
  <c r="E9174" i="4"/>
  <c r="B9171" i="4"/>
  <c r="E9462" i="4"/>
  <c r="E9536" i="4"/>
  <c r="E10731" i="4"/>
  <c r="B7595" i="4"/>
  <c r="E9282" i="4"/>
  <c r="E9123" i="4"/>
  <c r="B10763" i="4"/>
  <c r="E9262" i="4"/>
  <c r="E8779" i="4"/>
  <c r="E9629" i="4"/>
  <c r="E10124" i="4"/>
  <c r="E10278" i="4"/>
  <c r="E10520" i="4"/>
  <c r="E10190" i="4"/>
  <c r="B10585" i="4"/>
  <c r="B10356" i="4"/>
  <c r="E10354" i="4"/>
  <c r="B9977" i="4"/>
  <c r="E10401" i="4"/>
  <c r="B10559" i="4"/>
  <c r="B9573" i="4"/>
  <c r="B8671" i="4"/>
  <c r="E9567" i="4"/>
  <c r="B8331" i="4"/>
  <c r="B8732" i="4"/>
  <c r="B8717" i="4"/>
  <c r="B8704" i="4"/>
  <c r="B10557" i="4"/>
  <c r="E9646" i="4"/>
  <c r="B8628" i="4"/>
  <c r="B7887" i="4"/>
  <c r="B9281" i="4"/>
  <c r="E8149" i="4"/>
  <c r="B10130" i="4"/>
  <c r="B7807" i="4"/>
  <c r="B8155" i="4"/>
  <c r="B10452" i="4"/>
  <c r="B9046" i="4"/>
  <c r="B9993" i="4"/>
  <c r="B9444" i="4"/>
  <c r="E10915" i="4"/>
  <c r="B9615" i="4"/>
  <c r="B9595" i="4"/>
  <c r="E8800" i="4"/>
  <c r="B9283" i="4"/>
  <c r="B10041" i="4"/>
  <c r="E10136" i="4"/>
  <c r="B10622" i="4"/>
  <c r="B9744" i="4"/>
  <c r="E10504" i="4"/>
  <c r="B9010" i="4"/>
  <c r="E8992" i="4"/>
  <c r="B9382" i="4"/>
  <c r="B9338" i="4"/>
  <c r="B8940" i="4"/>
  <c r="E9065" i="4"/>
  <c r="B9619" i="4"/>
  <c r="E9378" i="4"/>
  <c r="E10820" i="4"/>
  <c r="B10551" i="4"/>
  <c r="E9604" i="4"/>
  <c r="B9170" i="4"/>
  <c r="B10903" i="4"/>
  <c r="E10365" i="4"/>
  <c r="E10791" i="4"/>
  <c r="B10900" i="4"/>
  <c r="E8721" i="4"/>
  <c r="E9056" i="4"/>
  <c r="E10638" i="4"/>
  <c r="E10392" i="4"/>
  <c r="B9590" i="4"/>
  <c r="B9189" i="4"/>
  <c r="E10073" i="4"/>
  <c r="E10022" i="4"/>
  <c r="B9701" i="4"/>
  <c r="E9232" i="4"/>
  <c r="E8285" i="4"/>
  <c r="E8802" i="4"/>
  <c r="E9161" i="4"/>
  <c r="B10076" i="4"/>
  <c r="B10060" i="4"/>
  <c r="B9255" i="4"/>
  <c r="E8855" i="4"/>
  <c r="E10548" i="4"/>
  <c r="B10055" i="4"/>
  <c r="B8546" i="4"/>
  <c r="B7552" i="4"/>
  <c r="E7983" i="4"/>
  <c r="B8867" i="4"/>
  <c r="E10087" i="4"/>
  <c r="E8452" i="4"/>
  <c r="E9166" i="4"/>
  <c r="B10388" i="4"/>
  <c r="E10572" i="4"/>
  <c r="E10286" i="4"/>
  <c r="E10048" i="4"/>
  <c r="B8494" i="4"/>
  <c r="B8705" i="4"/>
  <c r="E10664" i="4"/>
  <c r="E9971" i="4"/>
  <c r="E10488" i="4"/>
  <c r="B9978" i="4"/>
  <c r="B9716" i="4"/>
  <c r="B9347" i="4"/>
  <c r="B9418" i="4"/>
  <c r="B8803" i="4"/>
  <c r="E9218" i="4"/>
  <c r="E9187" i="4"/>
  <c r="E9548" i="4"/>
  <c r="B9138" i="4"/>
  <c r="E9946" i="4"/>
  <c r="B9424" i="4"/>
  <c r="E9134" i="4"/>
  <c r="E9918" i="4"/>
  <c r="B9886" i="4"/>
  <c r="B7700" i="4"/>
  <c r="E8645" i="4"/>
  <c r="B7667" i="4"/>
  <c r="E10294" i="4"/>
  <c r="E9562" i="4"/>
  <c r="E8053" i="4"/>
  <c r="E9465" i="4"/>
  <c r="E10312" i="4"/>
  <c r="E10201" i="4"/>
  <c r="B9971" i="4"/>
  <c r="E10519" i="4"/>
  <c r="B8302" i="4"/>
  <c r="B8486" i="4"/>
  <c r="B10710" i="4"/>
  <c r="E10494" i="4"/>
  <c r="B10801" i="4"/>
  <c r="E9452" i="4"/>
  <c r="E10374" i="4"/>
  <c r="B9026" i="4"/>
  <c r="E9847" i="4"/>
  <c r="E9351" i="4"/>
  <c r="E8783" i="4"/>
  <c r="B9582" i="4"/>
  <c r="B8856" i="4"/>
  <c r="B8721" i="4"/>
  <c r="B10166" i="4"/>
  <c r="B9849" i="4"/>
  <c r="E8761" i="4"/>
  <c r="E9234" i="4"/>
  <c r="E9585" i="4"/>
  <c r="E9851" i="4"/>
  <c r="B10539" i="4"/>
  <c r="E10573" i="4"/>
  <c r="B9997" i="4"/>
  <c r="E9461" i="4"/>
  <c r="B8294" i="4"/>
  <c r="B9587" i="4"/>
  <c r="B10701" i="4"/>
  <c r="E10697" i="4"/>
  <c r="E8558" i="4"/>
  <c r="B9320" i="4"/>
  <c r="E9795" i="4"/>
  <c r="B9714" i="4"/>
  <c r="B10743" i="4"/>
  <c r="E10612" i="4"/>
  <c r="E9875" i="4"/>
  <c r="B10895" i="4"/>
  <c r="E10747" i="4"/>
  <c r="B9752" i="4"/>
  <c r="E10621" i="4"/>
  <c r="E10458" i="4"/>
  <c r="E9622" i="4"/>
  <c r="B10033" i="4"/>
  <c r="E9995" i="4"/>
  <c r="B10300" i="4"/>
  <c r="E8869" i="4"/>
  <c r="E9416" i="4"/>
  <c r="E10109" i="4"/>
  <c r="E10403" i="4"/>
  <c r="E10695" i="4"/>
  <c r="E9997" i="4"/>
  <c r="E10212" i="4"/>
  <c r="E9011" i="4"/>
  <c r="E9500" i="4"/>
  <c r="B9542" i="4"/>
  <c r="E10584" i="4"/>
  <c r="B9639" i="4"/>
  <c r="B7803" i="4"/>
  <c r="B8518" i="4"/>
  <c r="E9484" i="4"/>
  <c r="E9953" i="4"/>
  <c r="E9197" i="4"/>
  <c r="E10533" i="4"/>
  <c r="E10333" i="4"/>
  <c r="B10500" i="4"/>
  <c r="E10702" i="4"/>
  <c r="E10918" i="4"/>
  <c r="E10873" i="4"/>
  <c r="E10527" i="4"/>
  <c r="B10491" i="4"/>
  <c r="B10221" i="4"/>
  <c r="B10331" i="4"/>
  <c r="E10754" i="4"/>
  <c r="E10698" i="4"/>
  <c r="B10699" i="4"/>
  <c r="E10657" i="4"/>
  <c r="B9739" i="4"/>
  <c r="E10623" i="4"/>
  <c r="E10633" i="4"/>
  <c r="B9659" i="4"/>
  <c r="E9909" i="4"/>
  <c r="B9807" i="4"/>
  <c r="E9798" i="4"/>
  <c r="B10243" i="4"/>
  <c r="B9348" i="4"/>
  <c r="B10180" i="4"/>
  <c r="B10362" i="4"/>
  <c r="B9268" i="4"/>
  <c r="B9485" i="4"/>
  <c r="E9276" i="4"/>
  <c r="B10586" i="4"/>
  <c r="B10767" i="4"/>
  <c r="E9026" i="4"/>
  <c r="E10875" i="4"/>
  <c r="B10664" i="4"/>
  <c r="E10692" i="4"/>
  <c r="E10867" i="4"/>
  <c r="E10421" i="4"/>
  <c r="B10588" i="4"/>
  <c r="B10625" i="4"/>
  <c r="E10700" i="4"/>
  <c r="B10220" i="4"/>
  <c r="B10391" i="4"/>
  <c r="B9987" i="4"/>
  <c r="E10276" i="4"/>
  <c r="E10264" i="4"/>
  <c r="E10806" i="4"/>
  <c r="E10155" i="4"/>
  <c r="E10053" i="4"/>
  <c r="B10071" i="4"/>
  <c r="E10039" i="4"/>
  <c r="B10228" i="4"/>
  <c r="E10197" i="4"/>
  <c r="E9595" i="4"/>
  <c r="B10404" i="4"/>
  <c r="E9881" i="4"/>
  <c r="E9601" i="4"/>
  <c r="B10202" i="4"/>
  <c r="E9736" i="4"/>
  <c r="E9438" i="4"/>
  <c r="E9226" i="4"/>
  <c r="E10084" i="4"/>
  <c r="B10672" i="4"/>
  <c r="B9951" i="4"/>
  <c r="E9444" i="4"/>
  <c r="B10877" i="4"/>
  <c r="E9002" i="4"/>
  <c r="E9843" i="4"/>
  <c r="E9959" i="4"/>
  <c r="B8854" i="4"/>
  <c r="E8810" i="4"/>
  <c r="B9367" i="4"/>
  <c r="E10667" i="4"/>
  <c r="E8239" i="4"/>
  <c r="B8744" i="4"/>
  <c r="E10656" i="4"/>
  <c r="B9948" i="4"/>
  <c r="B10451" i="4"/>
  <c r="E8410" i="4"/>
  <c r="E8541" i="4"/>
  <c r="E10606" i="4"/>
  <c r="E10297" i="4"/>
  <c r="B10242" i="4"/>
  <c r="B9861" i="4"/>
  <c r="B10781" i="4"/>
  <c r="E10704" i="4"/>
  <c r="E10101" i="4"/>
  <c r="B10692" i="4"/>
  <c r="B9332" i="4"/>
  <c r="E10782" i="4"/>
  <c r="E10557" i="4"/>
  <c r="B10360" i="4"/>
  <c r="B10534" i="4"/>
  <c r="B10600" i="4"/>
  <c r="E10582" i="4"/>
  <c r="B10574" i="4"/>
  <c r="B10522" i="4"/>
  <c r="B8800" i="4"/>
  <c r="B8636" i="4"/>
  <c r="E10072" i="4"/>
  <c r="E7840" i="4"/>
  <c r="B9905" i="4"/>
  <c r="B8634" i="4"/>
  <c r="B9002" i="4"/>
  <c r="E9891" i="4"/>
  <c r="E9182" i="4"/>
  <c r="B8869" i="4"/>
  <c r="E10505" i="4"/>
  <c r="E10379" i="4"/>
  <c r="E10253" i="4"/>
  <c r="E10282" i="4"/>
  <c r="B9067" i="4"/>
  <c r="B9586" i="4"/>
  <c r="B10447" i="4"/>
  <c r="B9884" i="4"/>
  <c r="E10006" i="4"/>
  <c r="B9429" i="4"/>
  <c r="E9910" i="4"/>
  <c r="B9009" i="4"/>
  <c r="E10235" i="4"/>
  <c r="E8293" i="4"/>
  <c r="E8509" i="4"/>
  <c r="B9314" i="4"/>
  <c r="B8793" i="4"/>
  <c r="E8477" i="4"/>
  <c r="B9627" i="4"/>
  <c r="B10090" i="4"/>
  <c r="E9248" i="4"/>
  <c r="E9952" i="4"/>
  <c r="E9296" i="4"/>
  <c r="E7845" i="4"/>
  <c r="E7883" i="4"/>
  <c r="E9418" i="4"/>
  <c r="B10237" i="4"/>
  <c r="E10882" i="4"/>
  <c r="E9087" i="4"/>
  <c r="E10765" i="4"/>
  <c r="B10045" i="4"/>
  <c r="B10636" i="4"/>
  <c r="E10206" i="4"/>
  <c r="B10100" i="4"/>
  <c r="E10436" i="4"/>
  <c r="B9839" i="4"/>
  <c r="E8833" i="4"/>
  <c r="E8902" i="4"/>
  <c r="E7754" i="4"/>
  <c r="B8061" i="4"/>
  <c r="E8043" i="4"/>
  <c r="B8035" i="4"/>
  <c r="E10210" i="4"/>
  <c r="B10138" i="4"/>
  <c r="E8579" i="4"/>
  <c r="B8577" i="4"/>
  <c r="E8933" i="4"/>
  <c r="E8567" i="4"/>
  <c r="B10241" i="4"/>
  <c r="E8119" i="4"/>
  <c r="B8409" i="4"/>
  <c r="E10892" i="4"/>
  <c r="E9409" i="4"/>
  <c r="B9405" i="4"/>
  <c r="B9120" i="4"/>
  <c r="E9816" i="4"/>
  <c r="E9721" i="4"/>
  <c r="B9753" i="4"/>
  <c r="B10842" i="4"/>
  <c r="E10831" i="4"/>
  <c r="E10222" i="4"/>
  <c r="B9889" i="4"/>
  <c r="B9664" i="4"/>
  <c r="B10869" i="4"/>
  <c r="E10645" i="4"/>
  <c r="B9435" i="4"/>
  <c r="E9313" i="4"/>
  <c r="E8606" i="4"/>
  <c r="E9718" i="4"/>
  <c r="E9904" i="4"/>
  <c r="E9801" i="4"/>
  <c r="E9638" i="4"/>
  <c r="B10476" i="4"/>
  <c r="E9264" i="4"/>
  <c r="B9086" i="4"/>
  <c r="B8221" i="4"/>
  <c r="E10001" i="4"/>
  <c r="B8027" i="4"/>
  <c r="E9724" i="4"/>
  <c r="E8667" i="4"/>
  <c r="B8050" i="4"/>
  <c r="B10754" i="4"/>
  <c r="E10164" i="4"/>
  <c r="E9428" i="4"/>
  <c r="E8942" i="4"/>
  <c r="B10799" i="4"/>
  <c r="B9975" i="4"/>
  <c r="B9436" i="4"/>
  <c r="B9480" i="4"/>
  <c r="E10364" i="4"/>
  <c r="B9900" i="4"/>
  <c r="E9571" i="4"/>
  <c r="E9962" i="4"/>
  <c r="E9960" i="4"/>
  <c r="E10681" i="4"/>
  <c r="B9742" i="4"/>
  <c r="E10762" i="4"/>
  <c r="E8414" i="4"/>
  <c r="E8760" i="4"/>
  <c r="B8778" i="4"/>
  <c r="E8743" i="4"/>
  <c r="E8731" i="4"/>
  <c r="B10784" i="4"/>
  <c r="E9437" i="4"/>
  <c r="E8710" i="4"/>
  <c r="B7904" i="4"/>
  <c r="B9122" i="4"/>
  <c r="B7699" i="4"/>
  <c r="E10913" i="4"/>
  <c r="B9553" i="4"/>
  <c r="B9244" i="4"/>
  <c r="E9811" i="4"/>
  <c r="B10458" i="4"/>
  <c r="B10418" i="4"/>
  <c r="E9386" i="4"/>
  <c r="B9881" i="4"/>
  <c r="B10240" i="4"/>
  <c r="E10170" i="4"/>
  <c r="E9412" i="4"/>
  <c r="E9364" i="4"/>
  <c r="B10884" i="4"/>
  <c r="B10720" i="4"/>
  <c r="B10747" i="4"/>
  <c r="B10870" i="4"/>
  <c r="E9459" i="4"/>
  <c r="E7746" i="4"/>
  <c r="B10186" i="4"/>
  <c r="E8683" i="4"/>
  <c r="B10847" i="4"/>
  <c r="E10455" i="4"/>
  <c r="E9278" i="4"/>
  <c r="E9117" i="4"/>
  <c r="B10446" i="4"/>
  <c r="B10822" i="4"/>
  <c r="B10807" i="4"/>
  <c r="E10302" i="4"/>
  <c r="E10629" i="4"/>
  <c r="E10229" i="4"/>
  <c r="B9614" i="4"/>
  <c r="E10378" i="4"/>
  <c r="B10008" i="4"/>
  <c r="B8291" i="4"/>
  <c r="E10839" i="4"/>
  <c r="E9489" i="4"/>
  <c r="B9554" i="4"/>
  <c r="B10029" i="4"/>
  <c r="E8599" i="4"/>
  <c r="E8535" i="4"/>
  <c r="B9305" i="4"/>
  <c r="E8262" i="4"/>
  <c r="E9112" i="4"/>
  <c r="E10696" i="4"/>
  <c r="B10852" i="4"/>
  <c r="E10019" i="4"/>
  <c r="B9972" i="4"/>
  <c r="E10213" i="4"/>
  <c r="B10268" i="4"/>
  <c r="E10040" i="4"/>
  <c r="E10318" i="4"/>
  <c r="B10502" i="4"/>
  <c r="B9898" i="4"/>
  <c r="E10311" i="4"/>
  <c r="E10198" i="4"/>
  <c r="B10107" i="4"/>
  <c r="B10544" i="4"/>
  <c r="E9582" i="4"/>
  <c r="B9285" i="4"/>
  <c r="E9752" i="4"/>
  <c r="B9460" i="4"/>
  <c r="E9829" i="4"/>
  <c r="E9468" i="4"/>
  <c r="B9245" i="4"/>
  <c r="B10647" i="4"/>
  <c r="E9403" i="4"/>
  <c r="B10411" i="4"/>
  <c r="B10525" i="4"/>
  <c r="B10317" i="4"/>
  <c r="E10482" i="4"/>
  <c r="E10693" i="4"/>
  <c r="B10888" i="4"/>
  <c r="B10342" i="4"/>
  <c r="B10739" i="4"/>
  <c r="B10624" i="4"/>
  <c r="B10212" i="4"/>
  <c r="B10320" i="4"/>
  <c r="E10734" i="4"/>
  <c r="E10679" i="4"/>
  <c r="B10430" i="4"/>
  <c r="B10092" i="4"/>
  <c r="B10399" i="4"/>
  <c r="B10742" i="4"/>
  <c r="E10564" i="4"/>
  <c r="B9651" i="4"/>
  <c r="E9888" i="4"/>
  <c r="E9789" i="4"/>
  <c r="E10749" i="4"/>
  <c r="E9553" i="4"/>
  <c r="E10238" i="4"/>
  <c r="B9571" i="4"/>
  <c r="B10316" i="4"/>
  <c r="B9260" i="4"/>
  <c r="E9476" i="4"/>
  <c r="E9268" i="4"/>
  <c r="E10240" i="4"/>
  <c r="E9043" i="4"/>
  <c r="B8922" i="4"/>
  <c r="E10014" i="4"/>
  <c r="E9987" i="4"/>
  <c r="B10257" i="4"/>
  <c r="E9219" i="4"/>
  <c r="B10783" i="4"/>
  <c r="B9740" i="4"/>
  <c r="B10014" i="4"/>
  <c r="E10906" i="4"/>
  <c r="E10890" i="4"/>
  <c r="E8781" i="4"/>
  <c r="B9543" i="4"/>
  <c r="B8870" i="4"/>
  <c r="B10715" i="4"/>
  <c r="E8069" i="4"/>
  <c r="E9655" i="4"/>
  <c r="B9052" i="4"/>
  <c r="B10590" i="4"/>
  <c r="E9683" i="4"/>
  <c r="B9654" i="4"/>
  <c r="E9958" i="4"/>
  <c r="E9369" i="4"/>
  <c r="E7656" i="4"/>
  <c r="E8555" i="4"/>
  <c r="B9733" i="4"/>
  <c r="E9762" i="4"/>
  <c r="B10620" i="4"/>
  <c r="E8826" i="4"/>
  <c r="B8818" i="4"/>
  <c r="B9098" i="4"/>
  <c r="E9473" i="4"/>
  <c r="E9555" i="4"/>
  <c r="B10680" i="4"/>
  <c r="E10517" i="4"/>
  <c r="B9117" i="4"/>
  <c r="B10074" i="4"/>
  <c r="B9406" i="4"/>
  <c r="E9392" i="4"/>
  <c r="E9515" i="4"/>
  <c r="B10555" i="4"/>
  <c r="B9350" i="4"/>
  <c r="E8745" i="4"/>
  <c r="B10902" i="4"/>
  <c r="B8834" i="4"/>
  <c r="B10157" i="4"/>
  <c r="B10465" i="4"/>
  <c r="B7677" i="4"/>
  <c r="E7722" i="4"/>
  <c r="E9305" i="4"/>
  <c r="E10237" i="4"/>
  <c r="E8473" i="4"/>
  <c r="E9680" i="4"/>
  <c r="B9722" i="4"/>
  <c r="B9796" i="4"/>
  <c r="B9427" i="4"/>
  <c r="B10718" i="4"/>
  <c r="E10443" i="4"/>
  <c r="B9764" i="4"/>
  <c r="E10058" i="4"/>
  <c r="E10676" i="4"/>
  <c r="E10208" i="4"/>
  <c r="E9805" i="4"/>
  <c r="E9201" i="4"/>
  <c r="E9393" i="4"/>
  <c r="B8018" i="4"/>
  <c r="E8351" i="4"/>
  <c r="E8330" i="4"/>
  <c r="B8321" i="4"/>
  <c r="B10427" i="4"/>
  <c r="E9572" i="4"/>
  <c r="E8865" i="4"/>
  <c r="E9028" i="4"/>
  <c r="E9934" i="4"/>
  <c r="E9914" i="4"/>
  <c r="B10140" i="4"/>
  <c r="B8668" i="4"/>
  <c r="E10555" i="4"/>
  <c r="E10607" i="4"/>
  <c r="B10769" i="4"/>
  <c r="E9919" i="4"/>
  <c r="E10007" i="4"/>
  <c r="B9998" i="4"/>
  <c r="E9838" i="4"/>
  <c r="E10232" i="4"/>
  <c r="E9610" i="4"/>
  <c r="E10143" i="4"/>
  <c r="B10494" i="4"/>
  <c r="B10749" i="4"/>
  <c r="B10916" i="4"/>
  <c r="E10069" i="4"/>
  <c r="B10053" i="4"/>
  <c r="E10044" i="4"/>
  <c r="B10012" i="4"/>
  <c r="E8851" i="4"/>
  <c r="B8876" i="4"/>
  <c r="B10105" i="4"/>
  <c r="E8620" i="4"/>
  <c r="B8392" i="4"/>
  <c r="E9141" i="4"/>
  <c r="E9301" i="4"/>
  <c r="E10285" i="4"/>
  <c r="E7726" i="4"/>
  <c r="B9275" i="4"/>
  <c r="B10915" i="4"/>
  <c r="B9012" i="4"/>
  <c r="E9188" i="4"/>
  <c r="E10175" i="4"/>
  <c r="B10911" i="4"/>
  <c r="E10840" i="4"/>
  <c r="E9635" i="4"/>
  <c r="E10090" i="4"/>
  <c r="E10080" i="4"/>
  <c r="E9450" i="4"/>
  <c r="E10532" i="4"/>
  <c r="B9854" i="4"/>
  <c r="B9763" i="4"/>
  <c r="B10660" i="4"/>
  <c r="E10796" i="4"/>
  <c r="E10593" i="4"/>
  <c r="B10204" i="4"/>
  <c r="B10195" i="4"/>
  <c r="B10178" i="4"/>
  <c r="B10128" i="4"/>
  <c r="E9439" i="4"/>
  <c r="E8587" i="4"/>
  <c r="E10347" i="4"/>
  <c r="B8072" i="4"/>
  <c r="E8087" i="4"/>
  <c r="B8459" i="4"/>
  <c r="E8573" i="4"/>
  <c r="B10295" i="4"/>
  <c r="B7444" i="4"/>
  <c r="B9767" i="4"/>
  <c r="B10020" i="4"/>
  <c r="E8421" i="4"/>
  <c r="B9592" i="4"/>
  <c r="E10463" i="4"/>
  <c r="E10910" i="4"/>
  <c r="E10847" i="4"/>
  <c r="E10145" i="4"/>
  <c r="E10301" i="4"/>
  <c r="B10258" i="4"/>
  <c r="B9711" i="4"/>
  <c r="B10682" i="4"/>
  <c r="E10025" i="4"/>
  <c r="B10373" i="4"/>
  <c r="B10510" i="4"/>
  <c r="E10777" i="4"/>
  <c r="B10609" i="4"/>
  <c r="B10344" i="4"/>
  <c r="E10231" i="4"/>
  <c r="E10221" i="4"/>
  <c r="E10194" i="4"/>
  <c r="B9000" i="4"/>
  <c r="E9171" i="4"/>
  <c r="B9848" i="4"/>
  <c r="B7405" i="4"/>
  <c r="B8875" i="4"/>
  <c r="E8084" i="4"/>
  <c r="E10883" i="4"/>
  <c r="E10329" i="4"/>
  <c r="B10553" i="4"/>
  <c r="E10634" i="4"/>
  <c r="E9694" i="4"/>
  <c r="E9772" i="4"/>
  <c r="B9957" i="4"/>
  <c r="E10323" i="4"/>
  <c r="E8875" i="4"/>
  <c r="B9519" i="4"/>
  <c r="E10248" i="4"/>
  <c r="E10830" i="4"/>
  <c r="B8832" i="4"/>
  <c r="E8240" i="4"/>
  <c r="E10268" i="4"/>
  <c r="B9799" i="4"/>
  <c r="B10519" i="4"/>
  <c r="B9437" i="4"/>
  <c r="B10896" i="4"/>
  <c r="E10864" i="4"/>
  <c r="B10643" i="4"/>
  <c r="E10769" i="4"/>
  <c r="E10472" i="4"/>
  <c r="E10351" i="4"/>
  <c r="B9743" i="4"/>
  <c r="E10515" i="4"/>
  <c r="E10507" i="4"/>
  <c r="B10143" i="4"/>
  <c r="E10326" i="4"/>
  <c r="B9653" i="4"/>
  <c r="E10242" i="4"/>
  <c r="E10575" i="4"/>
  <c r="B9217" i="4"/>
  <c r="E9949" i="4"/>
  <c r="B9887" i="4"/>
  <c r="B10170" i="4"/>
  <c r="B9359" i="4"/>
  <c r="E8772" i="4"/>
  <c r="B9557" i="4"/>
  <c r="B8273" i="4"/>
  <c r="B9633" i="4"/>
  <c r="E10783" i="4"/>
  <c r="E10585" i="4"/>
  <c r="E10560" i="4"/>
  <c r="E10195" i="4"/>
  <c r="E10130" i="4"/>
  <c r="B8422" i="4"/>
  <c r="B10611" i="4"/>
  <c r="B8825" i="4"/>
  <c r="E9388" i="4"/>
  <c r="B8984" i="4"/>
  <c r="E10154" i="4"/>
  <c r="E8279" i="4"/>
  <c r="E9329" i="4"/>
  <c r="B10065" i="4"/>
  <c r="E8887" i="4"/>
  <c r="B10254" i="4"/>
  <c r="E9136" i="4"/>
  <c r="E9088" i="4"/>
  <c r="B10091" i="4"/>
  <c r="E9422" i="4"/>
  <c r="E10844" i="4"/>
  <c r="B10872" i="4"/>
  <c r="E8374" i="4"/>
  <c r="E9743" i="4"/>
  <c r="B9116" i="4"/>
  <c r="E9340" i="4"/>
  <c r="E10720" i="4"/>
  <c r="B9267" i="4"/>
  <c r="E10611" i="4"/>
  <c r="E10060" i="4"/>
  <c r="E10736" i="4"/>
  <c r="B10658" i="4"/>
  <c r="E9804" i="4"/>
  <c r="B9712" i="4"/>
  <c r="E10254" i="4"/>
  <c r="E9862" i="4"/>
  <c r="E8904" i="4"/>
  <c r="E9666" i="4"/>
  <c r="B8804" i="4"/>
  <c r="E10266" i="4"/>
  <c r="E10850" i="4"/>
  <c r="B10249" i="4"/>
  <c r="B10193" i="4"/>
  <c r="E10648" i="4"/>
  <c r="B10821" i="4"/>
  <c r="B9237" i="4"/>
  <c r="E9537" i="4"/>
  <c r="B8792" i="4"/>
  <c r="E10381" i="4"/>
  <c r="E9426" i="4"/>
  <c r="B10920" i="4"/>
  <c r="E9402" i="4"/>
  <c r="E10151" i="4"/>
  <c r="E9705" i="4"/>
  <c r="B10275" i="4"/>
  <c r="B10264" i="4"/>
  <c r="E10565" i="4"/>
  <c r="B9356" i="4"/>
  <c r="B10862" i="4"/>
  <c r="E10269" i="4"/>
  <c r="B10350" i="4"/>
  <c r="E10539" i="4"/>
  <c r="B9349" i="4"/>
  <c r="B10487" i="4"/>
  <c r="B9066" i="4"/>
  <c r="B10803" i="4"/>
  <c r="B10772" i="4"/>
  <c r="E10576" i="4"/>
  <c r="E10877" i="4"/>
  <c r="E10896" i="4"/>
  <c r="E9630" i="4"/>
  <c r="E10086" i="4"/>
  <c r="B9226" i="4"/>
  <c r="E9687" i="4"/>
  <c r="B10056" i="4"/>
  <c r="B8470" i="4"/>
  <c r="E10038" i="4"/>
  <c r="B10726" i="4"/>
  <c r="B10282" i="4"/>
  <c r="E10397" i="4"/>
  <c r="E10833" i="4"/>
  <c r="E9784" i="4"/>
  <c r="B9132" i="4"/>
  <c r="B9501" i="4"/>
  <c r="E8860" i="4"/>
  <c r="B10169" i="4"/>
  <c r="E10603" i="4"/>
  <c r="B9632" i="4"/>
  <c r="E10475" i="4"/>
  <c r="B10429" i="4"/>
  <c r="E10859" i="4"/>
  <c r="E10245" i="4"/>
  <c r="B9133" i="4"/>
  <c r="E9396" i="4"/>
  <c r="E9967" i="4"/>
  <c r="E8773" i="4"/>
  <c r="B10161" i="4"/>
  <c r="B9187" i="4"/>
  <c r="B10345" i="4"/>
  <c r="E8674" i="4"/>
  <c r="B7197" i="4"/>
  <c r="B8524" i="4"/>
  <c r="E9874" i="4"/>
  <c r="E10751" i="4"/>
  <c r="B8763" i="4"/>
  <c r="E10013" i="4"/>
  <c r="B8443" i="4"/>
  <c r="B9439" i="4"/>
  <c r="B9286" i="4"/>
  <c r="B10794" i="4"/>
  <c r="B10824" i="4"/>
  <c r="E8398" i="4"/>
  <c r="E8574" i="4"/>
  <c r="B9467" i="4"/>
  <c r="B10652" i="4"/>
  <c r="E9427" i="4"/>
  <c r="B9826" i="4"/>
  <c r="E10211" i="4"/>
  <c r="E8857" i="4"/>
  <c r="E8795" i="4"/>
  <c r="E9250" i="4"/>
  <c r="B8974" i="4"/>
  <c r="B8587" i="4"/>
  <c r="E10034" i="4"/>
  <c r="E9756" i="4"/>
  <c r="B7260" i="4"/>
  <c r="E7436" i="4"/>
  <c r="E9432" i="4"/>
  <c r="B9625" i="4"/>
  <c r="B9783" i="4"/>
  <c r="B7634" i="4"/>
  <c r="B9322" i="4"/>
  <c r="B8239" i="4"/>
  <c r="E7635" i="4"/>
  <c r="E5468" i="4"/>
  <c r="B8420" i="4"/>
  <c r="B5721" i="4"/>
  <c r="B8855" i="4"/>
  <c r="E7942" i="4"/>
  <c r="E5880" i="4"/>
  <c r="B8226" i="4"/>
  <c r="E10344" i="4"/>
  <c r="E10462" i="4"/>
  <c r="E8206" i="4"/>
  <c r="E8382" i="4"/>
  <c r="B9805" i="4"/>
  <c r="B9316" i="4"/>
  <c r="B9044" i="4"/>
  <c r="B9102" i="4"/>
  <c r="E10741" i="4"/>
  <c r="B8526" i="4"/>
  <c r="B8431" i="4"/>
  <c r="B8462" i="4"/>
  <c r="B9647" i="4"/>
  <c r="E9071" i="4"/>
  <c r="B8308" i="4"/>
  <c r="E8367" i="4"/>
  <c r="E9600" i="4"/>
  <c r="E7244" i="4"/>
  <c r="E10299" i="4"/>
  <c r="B8639" i="4"/>
  <c r="B9598" i="4"/>
  <c r="B8522" i="4"/>
  <c r="E8459" i="4"/>
  <c r="E9016" i="4"/>
  <c r="B7017" i="4"/>
  <c r="E5190" i="4"/>
  <c r="E7899" i="4"/>
  <c r="B5529" i="4"/>
  <c r="E9007" i="4"/>
  <c r="E7358" i="4"/>
  <c r="E5509" i="4"/>
  <c r="E7817" i="4"/>
  <c r="B9988" i="4"/>
  <c r="E10258" i="4"/>
  <c r="E10118" i="4"/>
  <c r="E9943" i="4"/>
  <c r="E9519" i="4"/>
  <c r="B10606" i="4"/>
  <c r="E8932" i="4"/>
  <c r="E9819" i="4"/>
  <c r="B9266" i="4"/>
  <c r="B8250" i="4"/>
  <c r="E9964" i="4"/>
  <c r="B10415" i="4"/>
  <c r="E10886" i="4"/>
  <c r="E10416" i="4"/>
  <c r="B10023" i="4"/>
  <c r="B9535" i="4"/>
  <c r="B10116" i="4"/>
  <c r="B9818" i="4"/>
  <c r="B10707" i="4"/>
  <c r="E10359" i="4"/>
  <c r="B8920" i="4"/>
  <c r="B10570" i="4"/>
  <c r="E7707" i="4"/>
  <c r="B8485" i="4"/>
  <c r="B6753" i="4"/>
  <c r="E9317" i="4"/>
  <c r="E8496" i="4"/>
  <c r="E6056" i="4"/>
  <c r="E8019" i="4"/>
  <c r="E6125" i="4"/>
  <c r="B5833" i="4"/>
  <c r="E7221" i="4"/>
  <c r="B9825" i="4"/>
  <c r="B10048" i="4"/>
  <c r="E9111" i="4"/>
  <c r="B10252" i="4"/>
  <c r="E9212" i="4"/>
  <c r="B10693" i="4"/>
  <c r="E10273" i="4"/>
  <c r="E8856" i="4"/>
  <c r="E10615" i="4"/>
  <c r="B9944" i="4"/>
  <c r="E9189" i="4"/>
  <c r="E8713" i="4"/>
  <c r="E9594" i="4"/>
  <c r="B9315" i="4"/>
  <c r="E9623" i="4"/>
  <c r="B9819" i="4"/>
  <c r="E9925" i="4"/>
  <c r="E10334" i="4"/>
  <c r="E9741" i="4"/>
  <c r="E10694" i="4"/>
  <c r="B9804" i="4"/>
  <c r="B9377" i="4"/>
  <c r="B9548" i="4"/>
  <c r="B10269" i="4"/>
  <c r="B10838" i="4"/>
  <c r="B9785" i="4"/>
  <c r="E10542" i="4"/>
  <c r="B10613" i="4"/>
  <c r="B9883" i="4"/>
  <c r="B10831" i="4"/>
  <c r="B10861" i="4"/>
  <c r="E9878" i="4"/>
  <c r="B9897" i="4"/>
  <c r="B9452" i="4"/>
  <c r="E9391" i="4"/>
  <c r="E10308" i="4"/>
  <c r="B10594" i="4"/>
  <c r="B10022" i="4"/>
  <c r="E10594" i="4"/>
  <c r="B9203" i="4"/>
  <c r="B9447" i="4"/>
  <c r="B9666" i="4"/>
  <c r="B10184" i="4"/>
  <c r="E9698" i="4"/>
  <c r="E9670" i="4"/>
  <c r="E9864" i="4"/>
  <c r="B9264" i="4"/>
  <c r="B9087" i="4"/>
  <c r="E8394" i="4"/>
  <c r="B10211" i="4"/>
  <c r="E9848" i="4"/>
  <c r="B10582" i="4"/>
  <c r="B10876" i="4"/>
  <c r="B10162" i="4"/>
  <c r="B7534" i="4"/>
  <c r="E10921" i="4"/>
  <c r="B9198" i="4"/>
  <c r="E10373" i="4"/>
  <c r="E9879" i="4"/>
  <c r="E8834" i="4"/>
  <c r="E9451" i="4"/>
  <c r="B8463" i="4"/>
  <c r="E8842" i="4"/>
  <c r="E10205" i="4"/>
  <c r="B9177" i="4"/>
  <c r="E10368" i="4"/>
  <c r="B9127" i="4"/>
  <c r="E8822" i="4"/>
  <c r="B10512" i="4"/>
  <c r="B9491" i="4"/>
  <c r="E10912" i="4"/>
  <c r="E9769" i="4"/>
  <c r="E10448" i="4"/>
  <c r="E9969" i="4"/>
  <c r="E8947" i="4"/>
  <c r="E9449" i="4"/>
  <c r="E9410" i="4"/>
  <c r="E9247" i="4"/>
  <c r="B10073" i="4"/>
  <c r="E9511" i="4"/>
  <c r="E10215" i="4"/>
  <c r="B10199" i="4"/>
  <c r="B10159" i="4"/>
  <c r="E10891" i="4"/>
  <c r="B9556" i="4"/>
  <c r="E8955" i="4"/>
  <c r="B9250" i="4"/>
  <c r="E10558" i="4"/>
  <c r="E10185" i="4"/>
  <c r="B10604" i="4"/>
  <c r="B10370" i="4"/>
  <c r="B10723" i="4"/>
  <c r="B9959" i="4"/>
  <c r="E10406" i="4"/>
  <c r="E9216" i="4"/>
  <c r="B9836" i="4"/>
  <c r="E9185" i="4"/>
  <c r="B9521" i="4"/>
  <c r="B10445" i="4"/>
  <c r="E10167" i="4"/>
  <c r="E9833" i="4"/>
  <c r="E10522" i="4"/>
  <c r="E10360" i="4"/>
  <c r="E10781" i="4"/>
  <c r="B10160" i="4"/>
  <c r="B9229" i="4"/>
  <c r="E9542" i="4"/>
  <c r="E10893" i="4"/>
  <c r="B9661" i="4"/>
  <c r="B10649" i="4"/>
  <c r="E9793" i="4"/>
  <c r="E9692" i="4"/>
  <c r="E9224" i="4"/>
  <c r="B9915" i="4"/>
  <c r="B9907" i="4"/>
  <c r="B10669" i="4"/>
  <c r="E10724" i="4"/>
  <c r="B10031" i="4"/>
  <c r="E9841" i="4"/>
  <c r="E10233" i="4"/>
  <c r="B10176" i="4"/>
  <c r="B9157" i="4"/>
  <c r="E9265" i="4"/>
  <c r="E10296" i="4"/>
  <c r="E10338" i="4"/>
  <c r="E10159" i="4"/>
  <c r="E10224" i="4"/>
  <c r="B10426" i="4"/>
  <c r="E10854" i="4"/>
  <c r="E10674" i="4"/>
  <c r="E10713" i="4"/>
  <c r="E9507" i="4"/>
  <c r="E10685" i="4"/>
  <c r="B10547" i="4"/>
  <c r="E10797" i="4"/>
  <c r="B9537" i="4"/>
  <c r="B9781" i="4"/>
  <c r="E10111" i="4"/>
  <c r="E9750" i="4"/>
  <c r="B10323" i="4"/>
  <c r="E9389" i="4"/>
  <c r="B8959" i="4"/>
  <c r="B8936" i="4"/>
  <c r="E8925" i="4"/>
  <c r="E8891" i="4"/>
  <c r="B10854" i="4"/>
  <c r="E9481" i="4"/>
  <c r="E8978" i="4"/>
  <c r="B9560" i="4"/>
  <c r="B9180" i="4"/>
  <c r="B7946" i="4"/>
  <c r="E9498" i="4"/>
  <c r="B8720" i="4"/>
  <c r="E9411" i="4"/>
  <c r="E10871" i="4"/>
  <c r="B9371" i="4"/>
  <c r="B9381" i="4"/>
  <c r="B7984" i="4"/>
  <c r="B8602" i="4"/>
  <c r="E10755" i="4"/>
  <c r="B10816" i="4"/>
  <c r="B9910" i="4"/>
  <c r="B10802" i="4"/>
  <c r="E9220" i="4"/>
  <c r="E10142" i="4"/>
  <c r="B8661" i="4"/>
  <c r="B10283" i="4"/>
  <c r="B8534" i="4"/>
  <c r="B10219" i="4"/>
  <c r="B10082" i="4"/>
  <c r="B9963" i="4"/>
  <c r="B10899" i="4"/>
  <c r="B10484" i="4"/>
  <c r="E9044" i="4"/>
  <c r="B10066" i="4"/>
  <c r="E9707" i="4"/>
  <c r="B9843" i="4"/>
  <c r="B10229" i="4"/>
  <c r="E8026" i="4"/>
  <c r="E9173" i="4"/>
  <c r="B8725" i="4"/>
  <c r="B8551" i="4"/>
  <c r="E8786" i="4"/>
  <c r="B8125" i="4"/>
  <c r="B8992" i="4"/>
  <c r="E8010" i="4"/>
  <c r="B6944" i="4"/>
  <c r="B8396" i="4"/>
  <c r="E6688" i="4"/>
  <c r="E7586" i="4"/>
  <c r="E8424" i="4"/>
  <c r="E10310" i="4"/>
  <c r="E10551" i="4"/>
  <c r="E9587" i="4"/>
  <c r="E9652" i="4"/>
  <c r="E10047" i="4"/>
  <c r="B10365" i="4"/>
  <c r="E9330" i="4"/>
  <c r="E10187" i="4"/>
  <c r="B8278" i="4"/>
  <c r="E8624" i="4"/>
  <c r="E10498" i="4"/>
  <c r="B10527" i="4"/>
  <c r="B10561" i="4"/>
  <c r="E10608" i="4"/>
  <c r="E9496" i="4"/>
  <c r="B9681" i="4"/>
  <c r="E9999" i="4"/>
  <c r="B9694" i="4"/>
  <c r="B9991" i="4"/>
  <c r="B10227" i="4"/>
  <c r="E8611" i="4"/>
  <c r="B10665" i="4"/>
  <c r="B8043" i="4"/>
  <c r="B8093" i="4"/>
  <c r="E7096" i="4"/>
  <c r="E9812" i="4"/>
  <c r="E7400" i="4"/>
  <c r="E6441" i="4"/>
  <c r="B8790" i="4"/>
  <c r="B6417" i="4"/>
  <c r="E6333" i="4"/>
  <c r="E7629" i="4"/>
  <c r="B10233" i="4"/>
  <c r="B10571" i="4"/>
  <c r="B9251" i="4"/>
  <c r="E10418" i="4"/>
  <c r="B10397" i="4"/>
  <c r="B10552" i="4"/>
  <c r="B10355" i="4"/>
  <c r="B9282" i="4"/>
  <c r="B9005" i="4"/>
  <c r="B9528" i="4"/>
  <c r="E9162" i="4"/>
  <c r="E9205" i="4"/>
  <c r="E8948" i="4"/>
  <c r="E9768" i="4"/>
  <c r="B8513" i="4"/>
  <c r="E9074" i="4"/>
  <c r="E9549" i="4"/>
  <c r="E8752" i="4"/>
  <c r="E8533" i="4"/>
  <c r="E9523" i="4"/>
  <c r="E9710" i="4"/>
  <c r="B10147" i="4"/>
  <c r="B10592" i="4"/>
  <c r="B6644" i="4"/>
  <c r="E6119" i="4"/>
  <c r="B8702" i="4"/>
  <c r="E6963" i="4"/>
  <c r="E5149" i="4"/>
  <c r="E8905" i="4"/>
  <c r="E7010" i="4"/>
  <c r="E9759" i="4"/>
  <c r="B8305" i="4"/>
  <c r="E10764" i="4"/>
  <c r="E9857" i="4"/>
  <c r="E9252" i="4"/>
  <c r="B10381" i="4"/>
  <c r="E10243" i="4"/>
  <c r="E10324" i="4"/>
  <c r="B9481" i="4"/>
  <c r="E8450" i="4"/>
  <c r="E9975" i="4"/>
  <c r="E9616" i="4"/>
  <c r="E9945" i="4"/>
  <c r="E10402" i="4"/>
  <c r="B9821" i="4"/>
  <c r="B9407" i="4"/>
  <c r="E9505" i="4"/>
  <c r="B9689" i="4"/>
  <c r="E8277" i="4"/>
  <c r="E10127" i="4"/>
  <c r="E9898" i="4"/>
  <c r="E9485" i="4"/>
  <c r="E10481" i="4"/>
  <c r="B9525" i="4"/>
  <c r="E9184" i="4"/>
  <c r="E9611" i="4"/>
  <c r="E10029" i="4"/>
  <c r="E10803" i="4"/>
  <c r="E10098" i="4"/>
  <c r="E10827" i="4"/>
  <c r="B10758" i="4"/>
  <c r="E10011" i="4"/>
  <c r="B10167" i="4"/>
  <c r="B10290" i="4"/>
  <c r="E9308" i="4"/>
  <c r="E9818" i="4"/>
  <c r="E10804" i="4"/>
  <c r="B10474" i="4"/>
  <c r="E8847" i="4"/>
  <c r="E10914" i="4"/>
  <c r="E10689" i="4"/>
  <c r="E8813" i="4"/>
  <c r="B8746" i="4"/>
  <c r="B9463" i="4"/>
  <c r="B10203" i="4"/>
  <c r="B8837" i="4"/>
  <c r="B9885" i="4"/>
  <c r="E8525" i="4"/>
  <c r="B8738" i="4"/>
  <c r="E9105" i="4"/>
  <c r="E9406" i="4"/>
  <c r="B9979" i="4"/>
  <c r="E9839" i="4"/>
  <c r="E10009" i="4"/>
  <c r="E10277" i="4"/>
  <c r="B9328" i="4"/>
  <c r="E8838" i="4"/>
  <c r="B9562" i="4"/>
  <c r="E9186" i="4"/>
  <c r="B9852" i="4"/>
  <c r="B9814" i="4"/>
  <c r="E9633" i="4"/>
  <c r="E10900" i="4"/>
  <c r="E9664" i="4"/>
  <c r="E10709" i="4"/>
  <c r="E10717" i="4"/>
  <c r="E8566" i="4"/>
  <c r="E9140" i="4"/>
  <c r="B9770" i="4"/>
  <c r="E10413" i="4"/>
  <c r="E7776" i="4"/>
  <c r="B8412" i="4"/>
  <c r="B9671" i="4"/>
  <c r="B9750" i="4"/>
  <c r="E9947" i="4"/>
  <c r="B8783" i="4"/>
  <c r="E10191" i="4"/>
  <c r="E10435" i="4"/>
  <c r="B10177" i="4"/>
  <c r="B9685" i="4"/>
  <c r="E10099" i="4"/>
  <c r="E10708" i="4"/>
  <c r="B9459" i="4"/>
  <c r="B10833" i="4"/>
  <c r="E10045" i="4"/>
  <c r="B10179" i="4"/>
  <c r="E10016" i="4"/>
  <c r="E10574" i="4"/>
  <c r="B10545" i="4"/>
  <c r="E10502" i="4"/>
  <c r="E9545" i="4"/>
  <c r="E10503" i="4"/>
  <c r="B9851" i="4"/>
  <c r="B10438" i="4"/>
  <c r="B10851" i="4"/>
  <c r="E9932" i="4"/>
  <c r="B8638" i="4"/>
  <c r="B8857" i="4"/>
  <c r="B10700" i="4"/>
  <c r="B9891" i="4"/>
  <c r="B10621" i="4"/>
  <c r="E10740" i="4"/>
  <c r="E10905" i="4"/>
  <c r="E9535" i="4"/>
  <c r="B10087" i="4"/>
  <c r="E8895" i="4"/>
  <c r="B9207" i="4"/>
  <c r="E8886" i="4"/>
  <c r="E9012" i="4"/>
  <c r="E10819" i="4"/>
  <c r="E10389" i="4"/>
  <c r="E10157" i="4"/>
  <c r="E10150" i="4"/>
  <c r="B10759" i="4"/>
  <c r="E10668" i="4"/>
  <c r="B9574" i="4"/>
  <c r="E10134" i="4"/>
  <c r="E9157" i="4"/>
  <c r="E10161" i="4"/>
  <c r="B9992" i="4"/>
  <c r="B10361" i="4"/>
  <c r="B10650" i="4"/>
  <c r="B9926" i="4"/>
  <c r="B9589" i="4"/>
  <c r="B10308" i="4"/>
  <c r="B10297" i="4"/>
  <c r="B10305" i="4"/>
  <c r="E9631" i="4"/>
  <c r="B10328" i="4"/>
  <c r="B9776" i="4"/>
  <c r="E10129" i="4"/>
  <c r="B9859" i="4"/>
  <c r="B9817" i="4"/>
  <c r="B10492" i="4"/>
  <c r="B10466" i="4"/>
  <c r="B10406" i="4"/>
  <c r="E9869" i="4"/>
  <c r="E10370" i="4"/>
  <c r="E10580" i="4"/>
  <c r="B9413" i="4"/>
  <c r="E9658" i="4"/>
  <c r="B9257" i="4"/>
  <c r="B8568" i="4"/>
  <c r="B8556" i="4"/>
  <c r="E9199" i="4"/>
  <c r="B8483" i="4"/>
  <c r="E10881" i="4"/>
  <c r="E9937" i="4"/>
  <c r="E8704" i="4"/>
  <c r="B7931" i="4"/>
  <c r="B8558" i="4"/>
  <c r="E8954" i="4"/>
  <c r="B10618" i="4"/>
  <c r="E7993" i="4"/>
  <c r="B8838" i="4"/>
  <c r="B7975" i="4"/>
  <c r="E9255" i="4"/>
  <c r="B10894" i="4"/>
  <c r="B8912" i="4"/>
  <c r="B8440" i="4"/>
  <c r="B9192" i="4"/>
  <c r="B10408" i="4"/>
  <c r="B9970" i="4"/>
  <c r="E8390" i="4"/>
  <c r="E10793" i="4"/>
  <c r="E10348" i="4"/>
  <c r="B10878" i="4"/>
  <c r="B10136" i="4"/>
  <c r="B8542" i="4"/>
  <c r="E8649" i="4"/>
  <c r="B9125" i="4"/>
  <c r="B8478" i="4"/>
  <c r="E8502" i="4"/>
  <c r="E9837" i="4"/>
  <c r="B8957" i="4"/>
  <c r="E7778" i="4"/>
  <c r="B10485" i="4"/>
  <c r="E9175" i="4"/>
  <c r="E8943" i="4"/>
  <c r="E8945" i="4"/>
  <c r="B9278" i="4"/>
  <c r="E10409" i="4"/>
  <c r="E9207" i="4"/>
  <c r="E10578" i="4"/>
  <c r="E7159" i="4"/>
  <c r="E7416" i="4"/>
  <c r="B8241" i="4"/>
  <c r="B5958" i="4"/>
  <c r="B5782" i="4"/>
  <c r="E8444" i="4"/>
  <c r="B6725" i="4"/>
  <c r="B9508" i="4"/>
  <c r="E8266" i="4"/>
  <c r="E10627" i="4"/>
  <c r="B9700" i="4"/>
  <c r="E8198" i="4"/>
  <c r="B10330" i="4"/>
  <c r="E10209" i="4"/>
  <c r="B10343" i="4"/>
  <c r="B9939" i="4"/>
  <c r="B8286" i="4"/>
  <c r="E8268" i="4"/>
  <c r="B9765" i="4"/>
  <c r="B8246" i="4"/>
  <c r="E8254" i="4"/>
  <c r="E10346" i="4"/>
  <c r="E9017" i="4"/>
  <c r="E9225" i="4"/>
  <c r="E8780" i="4"/>
  <c r="E8565" i="4"/>
  <c r="B9934" i="4"/>
  <c r="B8382" i="4"/>
  <c r="E9835" i="4"/>
  <c r="E9701" i="4"/>
  <c r="E9525" i="4"/>
  <c r="B10324" i="4"/>
  <c r="B6875" i="4"/>
  <c r="E6411" i="4"/>
  <c r="B7746" i="4"/>
  <c r="B7605" i="4"/>
  <c r="E5434" i="4"/>
  <c r="B7871" i="4"/>
  <c r="E7561" i="4"/>
  <c r="B10433" i="4"/>
  <c r="B7565" i="4"/>
  <c r="E10725" i="4"/>
  <c r="E10102" i="4"/>
  <c r="B10706" i="4"/>
  <c r="E10561" i="4"/>
  <c r="B9844" i="4"/>
  <c r="E10062" i="4"/>
  <c r="B9806" i="4"/>
  <c r="E9027" i="4"/>
  <c r="B9775" i="4"/>
  <c r="B9190" i="4"/>
  <c r="B10420" i="4"/>
  <c r="E10493" i="4"/>
  <c r="B8923" i="4"/>
  <c r="E8995" i="4"/>
  <c r="B8299" i="4"/>
  <c r="E8936" i="4"/>
  <c r="B10616" i="4"/>
  <c r="B9704" i="4"/>
  <c r="B10329" i="4"/>
  <c r="B7905" i="4"/>
  <c r="E9872" i="4"/>
  <c r="E8788" i="4"/>
  <c r="B8932" i="4"/>
  <c r="B7985" i="4"/>
  <c r="E5902" i="4"/>
  <c r="B8282" i="4"/>
  <c r="E7701" i="4"/>
  <c r="E10239" i="4"/>
  <c r="B7846" i="4"/>
  <c r="B5592" i="4"/>
  <c r="B9256" i="4"/>
  <c r="E9627" i="4"/>
  <c r="E10492" i="4"/>
  <c r="B8880" i="4"/>
  <c r="E10431" i="4"/>
  <c r="B10524" i="4"/>
  <c r="E9591" i="4"/>
  <c r="B9921" i="4"/>
  <c r="B8510" i="4"/>
  <c r="E9993" i="4"/>
  <c r="B8877" i="4"/>
  <c r="E8575" i="4"/>
  <c r="E8729" i="4"/>
  <c r="E8794" i="4"/>
  <c r="E8258" i="4"/>
  <c r="E8915" i="4"/>
  <c r="E9915" i="4"/>
  <c r="E8067" i="4"/>
  <c r="B10605" i="4"/>
  <c r="B9588" i="4"/>
  <c r="E10325" i="4"/>
  <c r="E10790" i="4"/>
  <c r="B10396" i="4"/>
  <c r="E8461" i="4"/>
  <c r="B9773" i="4"/>
  <c r="E10647" i="4"/>
  <c r="B9604" i="4"/>
  <c r="B9565" i="4"/>
  <c r="E9808" i="4"/>
  <c r="E10691" i="4"/>
  <c r="B10318" i="4"/>
  <c r="E10440" i="4"/>
  <c r="B9964" i="4"/>
  <c r="B10226" i="4"/>
  <c r="B10185" i="4"/>
  <c r="E10012" i="4"/>
  <c r="E9460" i="4"/>
  <c r="E10393" i="4"/>
  <c r="E10865" i="4"/>
  <c r="B9107" i="4"/>
  <c r="E9860" i="4"/>
  <c r="B9365" i="4"/>
  <c r="E9524" i="4"/>
  <c r="E9472" i="4"/>
  <c r="B8622" i="4"/>
  <c r="B10716" i="4"/>
  <c r="B10284" i="4"/>
  <c r="E10712" i="4"/>
  <c r="E8793" i="4"/>
  <c r="E9771" i="4"/>
  <c r="E9096" i="4"/>
  <c r="B9488" i="4"/>
  <c r="E10849" i="4"/>
  <c r="B9492" i="4"/>
  <c r="E10043" i="4"/>
  <c r="E10204" i="4"/>
  <c r="B9280" i="4"/>
  <c r="E8191" i="4"/>
  <c r="B9252" i="4"/>
  <c r="B9577" i="4"/>
  <c r="B10768" i="4"/>
  <c r="E9792" i="4"/>
  <c r="E9431" i="4"/>
  <c r="B10914" i="4"/>
  <c r="E9640" i="4"/>
  <c r="B10841" i="4"/>
  <c r="B8905" i="4"/>
  <c r="E9797" i="4"/>
  <c r="B10863" i="4"/>
  <c r="E9415" i="4"/>
  <c r="B9346" i="4"/>
  <c r="E8017" i="4"/>
  <c r="E9557" i="4"/>
  <c r="E9702" i="4"/>
  <c r="B8879" i="4"/>
  <c r="B10569" i="4"/>
  <c r="B8766" i="4"/>
  <c r="E9514" i="4"/>
  <c r="E10110" i="4"/>
  <c r="E10530" i="4"/>
  <c r="B9729" i="4"/>
  <c r="E8182" i="4"/>
  <c r="E10598" i="4"/>
  <c r="E10405" i="4"/>
  <c r="B10363" i="4"/>
  <c r="B10556" i="4"/>
  <c r="E10259" i="4"/>
  <c r="E9928" i="4"/>
  <c r="B9555" i="4"/>
  <c r="E9996" i="4"/>
  <c r="B9089" i="4"/>
  <c r="E10321" i="4"/>
  <c r="B9794" i="4"/>
  <c r="E10904" i="4"/>
  <c r="B9650" i="4"/>
  <c r="B9693" i="4"/>
  <c r="E9377" i="4"/>
  <c r="B10094" i="4"/>
  <c r="E10085" i="4"/>
  <c r="E9823" i="4"/>
  <c r="B9682" i="4"/>
  <c r="E9850" i="4"/>
  <c r="B9628" i="4"/>
  <c r="E10862" i="4"/>
  <c r="B10319" i="4"/>
  <c r="B9593" i="4"/>
  <c r="E8445" i="4"/>
  <c r="B9697" i="4"/>
  <c r="E10737" i="4"/>
  <c r="E10263" i="4"/>
  <c r="B10683" i="4"/>
  <c r="E10465" i="4"/>
  <c r="B10825" i="4"/>
  <c r="E10008" i="4"/>
  <c r="E10495" i="4"/>
  <c r="E9708" i="4"/>
  <c r="B8887" i="4"/>
  <c r="E9575" i="4"/>
  <c r="B8680" i="4"/>
  <c r="E9957" i="4"/>
  <c r="E10658" i="4"/>
  <c r="B9842" i="4"/>
  <c r="B10401" i="4"/>
  <c r="E10412" i="4"/>
  <c r="B10820" i="4"/>
  <c r="E9260" i="4"/>
  <c r="E9564" i="4"/>
  <c r="E8861" i="4"/>
  <c r="B9868" i="4"/>
  <c r="E9580" i="4"/>
  <c r="B10904" i="4"/>
  <c r="B10638" i="4"/>
  <c r="E10570" i="4"/>
  <c r="E10434" i="4"/>
  <c r="E10158" i="4"/>
  <c r="E10789" i="4"/>
  <c r="B10110" i="4"/>
  <c r="B9690" i="4"/>
  <c r="E10420" i="4"/>
  <c r="B10151" i="4"/>
  <c r="B10463" i="4"/>
  <c r="B8973" i="4"/>
  <c r="E10002" i="4"/>
  <c r="B8279" i="4"/>
  <c r="E8623" i="4"/>
  <c r="B8369" i="4"/>
  <c r="E8041" i="4"/>
  <c r="B9713" i="4"/>
  <c r="E9935" i="4"/>
  <c r="E9883" i="4"/>
  <c r="B9069" i="4"/>
  <c r="E9261" i="4"/>
  <c r="B7738" i="4"/>
  <c r="B8965" i="4"/>
  <c r="E9275" i="4"/>
  <c r="E9084" i="4"/>
  <c r="B9631" i="4"/>
  <c r="E9293" i="4"/>
  <c r="E8816" i="4"/>
  <c r="E10812" i="4"/>
  <c r="E10453" i="4"/>
  <c r="E8315" i="4"/>
  <c r="B10875" i="4"/>
  <c r="E10052" i="4"/>
  <c r="B9841" i="4"/>
  <c r="E10744" i="4"/>
  <c r="B10662" i="4"/>
  <c r="E9715" i="4"/>
  <c r="B9404" i="4"/>
  <c r="E8675" i="4"/>
  <c r="E9734" i="4"/>
  <c r="E8493" i="4"/>
  <c r="B10072" i="4"/>
  <c r="E10094" i="4"/>
  <c r="E8988" i="4"/>
  <c r="B9484" i="4"/>
  <c r="B7397" i="4"/>
  <c r="B8586" i="4"/>
  <c r="B8026" i="4"/>
  <c r="E10071" i="4"/>
  <c r="B10698" i="4"/>
  <c r="B9074" i="4"/>
  <c r="B9432" i="4"/>
  <c r="B9547" i="4"/>
  <c r="E9350" i="4"/>
  <c r="E7439" i="4"/>
  <c r="E6188" i="4"/>
  <c r="E7300" i="4"/>
  <c r="B7702" i="4"/>
  <c r="E10483" i="4"/>
  <c r="B6628" i="4"/>
  <c r="E6088" i="4"/>
  <c r="E8564" i="4"/>
  <c r="E6921" i="4"/>
  <c r="B10593" i="4"/>
  <c r="B10591" i="4"/>
  <c r="B10599" i="4"/>
  <c r="E10430" i="4"/>
  <c r="B10120" i="4"/>
  <c r="B9824" i="4"/>
  <c r="B9164" i="4"/>
  <c r="B8280" i="4"/>
  <c r="E9404" i="4"/>
  <c r="E10763" i="4"/>
  <c r="B9958" i="4"/>
  <c r="B9955" i="4"/>
  <c r="E9457" i="4"/>
  <c r="E9719" i="4"/>
  <c r="E9242" i="4"/>
  <c r="E8163" i="4"/>
  <c r="B7714" i="4"/>
  <c r="B9946" i="4"/>
  <c r="B10542" i="4"/>
  <c r="E8371" i="4"/>
  <c r="B9249" i="4"/>
  <c r="E10394" i="4"/>
  <c r="E9121" i="4"/>
  <c r="B7096" i="4"/>
  <c r="B6570" i="4"/>
  <c r="E9973" i="4"/>
  <c r="E7026" i="4"/>
  <c r="B10468" i="4"/>
  <c r="E9679" i="4"/>
  <c r="E5792" i="4"/>
  <c r="B9169" i="4"/>
  <c r="B10036" i="4"/>
  <c r="B10738" i="4"/>
  <c r="B9270" i="4"/>
  <c r="E8190" i="4"/>
  <c r="E9434" i="4"/>
  <c r="B10127" i="4"/>
  <c r="B10690" i="4"/>
  <c r="E8746" i="4"/>
  <c r="E10112" i="4"/>
  <c r="B8270" i="4"/>
  <c r="E9443" i="4"/>
  <c r="B8238" i="4"/>
  <c r="B9608" i="4"/>
  <c r="B8624" i="4"/>
  <c r="B8016" i="4"/>
  <c r="B7837" i="4"/>
  <c r="E8207" i="4"/>
  <c r="B10407" i="4"/>
  <c r="B10164" i="4"/>
  <c r="E10798" i="4"/>
  <c r="B9208" i="4"/>
  <c r="E9360" i="4"/>
  <c r="E8050" i="4"/>
  <c r="E8426" i="4"/>
  <c r="E6708" i="4"/>
  <c r="B7875" i="4"/>
  <c r="B8592" i="4"/>
  <c r="E7194" i="4"/>
  <c r="E8140" i="4"/>
  <c r="B7003" i="4"/>
  <c r="E5208" i="4"/>
  <c r="E7478" i="4"/>
  <c r="B9620" i="4"/>
  <c r="B10788" i="4"/>
  <c r="B10207" i="4"/>
  <c r="E9709" i="4"/>
  <c r="E10388" i="4"/>
  <c r="E9763" i="4"/>
  <c r="E8627" i="4"/>
  <c r="B9149" i="4"/>
  <c r="E9333" i="4"/>
  <c r="B8961" i="4"/>
  <c r="B9882" i="4"/>
  <c r="B9933" i="4"/>
  <c r="E10895" i="4"/>
  <c r="E10262" i="4"/>
  <c r="E8755" i="4"/>
  <c r="B8105" i="4"/>
  <c r="B9803" i="4"/>
  <c r="B8646" i="4"/>
  <c r="B9031" i="4"/>
  <c r="B9778" i="4"/>
  <c r="E10433" i="4"/>
  <c r="E9588" i="4"/>
  <c r="B8817" i="4"/>
  <c r="B10511" i="4"/>
  <c r="B6452" i="4"/>
  <c r="E5817" i="4"/>
  <c r="B9290" i="4"/>
  <c r="B6632" i="4"/>
  <c r="E4920" i="4"/>
  <c r="B8081" i="4"/>
  <c r="B6637" i="4"/>
  <c r="E8422" i="4"/>
  <c r="E7484" i="4"/>
  <c r="B9869" i="4"/>
  <c r="B9808" i="4"/>
  <c r="B9672" i="4"/>
  <c r="E9963" i="4"/>
  <c r="B10811" i="4"/>
  <c r="B10632" i="4"/>
  <c r="B9158" i="4"/>
  <c r="B8481" i="4"/>
  <c r="E9671" i="4"/>
  <c r="E9054" i="4"/>
  <c r="E9663" i="4"/>
  <c r="B10117" i="4"/>
  <c r="E8986" i="4"/>
  <c r="E8615" i="4"/>
  <c r="E7461" i="4"/>
  <c r="E8058" i="4"/>
  <c r="E9004" i="4"/>
  <c r="B10206" i="4"/>
  <c r="E9950" i="4"/>
  <c r="B9007" i="4"/>
  <c r="E9160" i="4"/>
  <c r="E8167" i="4"/>
  <c r="E8176" i="4"/>
  <c r="E7020" i="4"/>
  <c r="B5226" i="4"/>
  <c r="B7505" i="4"/>
  <c r="E6668" i="4"/>
  <c r="E10092" i="4"/>
  <c r="E7049" i="4"/>
  <c r="E6738" i="4"/>
  <c r="E8758" i="4"/>
  <c r="B9917" i="4"/>
  <c r="B9879" i="4"/>
  <c r="B10881" i="4"/>
  <c r="E10186" i="4"/>
  <c r="E10773" i="4"/>
  <c r="E9853" i="4"/>
  <c r="E9314" i="4"/>
  <c r="E9299" i="4"/>
  <c r="E10650" i="4"/>
  <c r="B8703" i="4"/>
  <c r="B8795" i="4"/>
  <c r="E10004" i="4"/>
  <c r="E8246" i="4"/>
  <c r="E8409" i="4"/>
  <c r="B8103" i="4"/>
  <c r="B10597" i="4"/>
  <c r="B10183" i="4"/>
  <c r="E10776" i="4"/>
  <c r="B9892" i="4"/>
  <c r="B10313" i="4"/>
  <c r="B9443" i="4"/>
  <c r="B9810" i="4"/>
  <c r="E8911" i="4"/>
  <c r="B10236" i="4"/>
  <c r="B9431" i="4"/>
  <c r="B8348" i="4"/>
  <c r="E9100" i="4"/>
  <c r="B9191" i="4"/>
  <c r="E8094" i="4"/>
  <c r="E9091" i="4"/>
  <c r="B10808" i="4"/>
  <c r="B9635" i="4"/>
  <c r="E9681" i="4"/>
  <c r="E9647" i="4"/>
  <c r="B10612" i="4"/>
  <c r="B9755" i="4"/>
  <c r="E9455" i="4"/>
  <c r="B10047" i="4"/>
  <c r="E8976" i="4"/>
  <c r="B8059" i="4"/>
  <c r="E9770" i="4"/>
  <c r="B9428" i="4"/>
  <c r="E10590" i="4"/>
  <c r="B9870" i="4"/>
  <c r="B8438" i="4"/>
  <c r="B10530" i="4"/>
  <c r="B10913" i="4"/>
  <c r="B10013" i="4"/>
  <c r="B9176" i="4"/>
  <c r="E10567" i="4"/>
  <c r="B10349" i="4"/>
  <c r="B8666" i="4"/>
  <c r="B9774" i="4"/>
  <c r="B8644" i="4"/>
  <c r="E8980" i="4"/>
  <c r="E8603" i="4"/>
  <c r="B8696" i="4"/>
  <c r="E9277" i="4"/>
  <c r="E8614" i="4"/>
  <c r="B8330" i="4"/>
  <c r="B10245" i="4"/>
  <c r="B9581" i="4"/>
  <c r="E10300" i="4"/>
  <c r="B9815" i="4"/>
  <c r="E9828" i="4"/>
  <c r="E10549" i="4"/>
  <c r="E9651" i="4"/>
  <c r="B8728" i="4"/>
  <c r="B10741" i="4"/>
  <c r="B9496" i="4"/>
  <c r="B9200" i="4"/>
  <c r="B9162" i="4"/>
  <c r="B9345" i="4"/>
  <c r="E8334" i="4"/>
  <c r="B8743" i="4"/>
  <c r="E10632" i="4"/>
  <c r="B9895" i="4"/>
  <c r="E9639" i="4"/>
  <c r="E10270" i="4"/>
  <c r="B9930" i="4"/>
  <c r="E9510" i="4"/>
  <c r="E9297" i="4"/>
  <c r="B8085" i="4"/>
  <c r="B9061" i="4"/>
  <c r="E8194" i="4"/>
  <c r="E9338" i="4"/>
  <c r="B9420" i="4"/>
  <c r="E9809" i="4"/>
  <c r="B9448" i="4"/>
  <c r="B10526" i="4"/>
  <c r="E9394" i="4"/>
  <c r="E8912" i="4"/>
  <c r="B10256" i="4"/>
  <c r="E10899" i="4"/>
  <c r="E10305" i="4"/>
  <c r="E9732" i="4"/>
  <c r="B9540" i="4"/>
  <c r="B10077" i="4"/>
  <c r="B10839" i="4"/>
  <c r="B9199" i="4"/>
  <c r="B9541" i="4"/>
  <c r="B9922" i="4"/>
  <c r="B8898" i="4"/>
  <c r="B8461" i="4"/>
  <c r="E8145" i="4"/>
  <c r="E7444" i="4"/>
  <c r="B7863" i="4"/>
  <c r="B10039" i="4"/>
  <c r="B9386" i="4"/>
  <c r="E10083" i="4"/>
  <c r="B8948" i="4"/>
  <c r="B9791" i="4"/>
  <c r="E8922" i="4"/>
  <c r="E8678" i="4"/>
  <c r="B7487" i="4"/>
  <c r="E10807" i="4"/>
  <c r="E8637" i="4"/>
  <c r="B10906" i="4"/>
  <c r="B9018" i="4"/>
  <c r="B10577" i="4"/>
  <c r="E10802" i="4"/>
  <c r="E7743" i="4"/>
  <c r="B5812" i="4"/>
  <c r="B7963" i="4"/>
  <c r="B5460" i="4"/>
  <c r="B7391" i="4"/>
  <c r="B5133" i="4"/>
  <c r="E7370" i="4"/>
  <c r="B6377" i="4"/>
  <c r="E9118" i="4"/>
  <c r="E8357" i="4"/>
  <c r="B10575" i="4"/>
  <c r="B6588" i="4"/>
  <c r="E8386" i="4"/>
  <c r="E7428" i="4"/>
  <c r="B8777" i="4"/>
  <c r="B8967" i="4"/>
  <c r="B7577" i="4"/>
  <c r="B10194" i="4"/>
  <c r="E9728" i="4"/>
  <c r="B9724" i="4"/>
  <c r="E9921" i="4"/>
  <c r="B10826" i="4"/>
  <c r="B9751" i="4"/>
  <c r="B10280" i="4"/>
  <c r="B9947" i="4"/>
  <c r="B8414" i="4"/>
  <c r="B10099" i="4"/>
  <c r="B10002" i="4"/>
  <c r="B10533" i="4"/>
  <c r="E9138" i="4"/>
  <c r="E8259" i="4"/>
  <c r="B7038" i="4"/>
  <c r="E8158" i="4"/>
  <c r="B8075" i="4"/>
  <c r="E9740" i="4"/>
  <c r="B7315" i="4"/>
  <c r="E10064" i="4"/>
  <c r="E6435" i="4"/>
  <c r="B6123" i="4"/>
  <c r="E7452" i="4"/>
  <c r="E8015" i="4"/>
  <c r="B8819" i="4"/>
  <c r="E9124" i="4"/>
  <c r="E6531" i="4"/>
  <c r="B8170" i="4"/>
  <c r="E8016" i="4"/>
  <c r="B9605" i="4"/>
  <c r="B7203" i="4"/>
  <c r="E10887" i="4"/>
  <c r="B9425" i="4"/>
  <c r="B9173" i="4"/>
  <c r="E9078" i="4"/>
  <c r="E10795" i="4"/>
  <c r="E10357" i="4"/>
  <c r="E9854" i="4"/>
  <c r="B10296" i="4"/>
  <c r="E10485" i="4"/>
  <c r="E8957" i="4"/>
  <c r="E8661" i="4"/>
  <c r="E10619" i="4"/>
  <c r="B8550" i="4"/>
  <c r="B7762" i="4"/>
  <c r="E7740" i="4"/>
  <c r="E8639" i="4"/>
  <c r="E7070" i="4"/>
  <c r="B8254" i="4"/>
  <c r="E6775" i="4"/>
  <c r="E9924" i="4"/>
  <c r="E6151" i="4"/>
  <c r="B5751" i="4"/>
  <c r="E8192" i="4"/>
  <c r="B8623" i="4"/>
  <c r="B7888" i="4"/>
  <c r="B10085" i="4"/>
  <c r="B7945" i="4"/>
  <c r="E7763" i="4"/>
  <c r="E7872" i="4"/>
  <c r="E8418" i="4"/>
  <c r="E8701" i="4"/>
  <c r="E9682" i="4"/>
  <c r="B10210" i="4"/>
  <c r="B7587" i="4"/>
  <c r="E8801" i="4"/>
  <c r="B8692" i="4"/>
  <c r="B8751" i="4"/>
  <c r="E7387" i="4"/>
  <c r="B5550" i="4"/>
  <c r="E7849" i="4"/>
  <c r="E6939" i="4"/>
  <c r="B10333" i="4"/>
  <c r="B7382" i="4"/>
  <c r="E7558" i="4"/>
  <c r="E8369" i="4"/>
  <c r="B10347" i="4"/>
  <c r="E10247" i="4"/>
  <c r="E8998" i="4"/>
  <c r="E10036" i="4"/>
  <c r="E10699" i="4"/>
  <c r="E9817" i="4"/>
  <c r="B9918" i="4"/>
  <c r="E8269" i="4"/>
  <c r="B9762" i="4"/>
  <c r="B9065" i="4"/>
  <c r="E9636" i="4"/>
  <c r="E8469" i="4"/>
  <c r="E8494" i="4"/>
  <c r="B8894" i="4"/>
  <c r="E8428" i="4"/>
  <c r="E7271" i="4"/>
  <c r="B7624" i="4"/>
  <c r="B7981" i="4"/>
  <c r="B8933" i="4"/>
  <c r="E8924" i="4"/>
  <c r="E8817" i="4"/>
  <c r="E8715" i="4"/>
  <c r="B8210" i="4"/>
  <c r="B8046" i="4"/>
  <c r="E6150" i="4"/>
  <c r="B5856" i="4"/>
  <c r="E7250" i="4"/>
  <c r="E6172" i="4"/>
  <c r="B7747" i="4"/>
  <c r="E7457" i="4"/>
  <c r="B6042" i="4"/>
  <c r="B7696" i="4"/>
  <c r="B10704" i="4"/>
  <c r="B10517" i="4"/>
  <c r="E9733" i="4"/>
  <c r="E9791" i="4"/>
  <c r="B10395" i="4"/>
  <c r="B10000" i="4"/>
  <c r="E8821" i="4"/>
  <c r="E9882" i="4"/>
  <c r="E8719" i="4"/>
  <c r="E9716" i="4"/>
  <c r="E10202" i="4"/>
  <c r="E9348" i="4"/>
  <c r="E10853" i="4"/>
  <c r="E10183" i="4"/>
  <c r="B8969" i="4"/>
  <c r="B10059" i="4"/>
  <c r="E10907" i="4"/>
  <c r="B9380" i="4"/>
  <c r="B9186" i="4"/>
  <c r="E10586" i="4"/>
  <c r="B10131" i="4"/>
  <c r="E9605" i="4"/>
  <c r="B9563" i="4"/>
  <c r="E9547" i="4"/>
  <c r="B8831" i="4"/>
  <c r="B10007" i="4"/>
  <c r="E9693" i="4"/>
  <c r="B10627" i="4"/>
  <c r="B10064" i="4"/>
  <c r="B9113" i="4"/>
  <c r="E9905" i="4"/>
  <c r="E9491" i="4"/>
  <c r="E10613" i="4"/>
  <c r="E9563" i="4"/>
  <c r="B10152" i="4"/>
  <c r="E10775" i="4"/>
  <c r="B10201" i="4"/>
  <c r="E9821" i="4"/>
  <c r="E8267" i="4"/>
  <c r="E9814" i="4"/>
  <c r="B8899" i="4"/>
  <c r="E9089" i="4"/>
  <c r="E10097" i="4"/>
  <c r="B10188" i="4"/>
  <c r="E8917" i="4"/>
  <c r="B10049" i="4"/>
  <c r="B10025" i="4"/>
  <c r="E10898" i="4"/>
  <c r="B10063" i="4"/>
  <c r="B9601" i="4"/>
  <c r="B10358" i="4"/>
  <c r="B10424" i="4"/>
  <c r="B9099" i="4"/>
  <c r="B9800" i="4"/>
  <c r="E10076" i="4"/>
  <c r="B9867" i="4"/>
  <c r="E9667" i="4"/>
  <c r="E8352" i="4"/>
  <c r="E7852" i="4"/>
  <c r="B8017" i="4"/>
  <c r="E10115" i="4"/>
  <c r="E9581" i="4"/>
  <c r="B10124" i="4"/>
  <c r="E10116" i="4"/>
  <c r="E10750" i="4"/>
  <c r="E10132" i="4"/>
  <c r="B9837" i="4"/>
  <c r="E8399" i="4"/>
  <c r="B10848" i="4"/>
  <c r="E9230" i="4"/>
  <c r="B10580" i="4"/>
  <c r="E9672" i="4"/>
  <c r="E8062" i="4"/>
  <c r="B7635" i="4"/>
  <c r="B9277" i="4"/>
  <c r="B10472" i="4"/>
  <c r="E10665" i="4"/>
  <c r="B10273" i="4"/>
  <c r="B10368" i="4"/>
  <c r="E10541" i="4"/>
  <c r="E8680" i="4"/>
  <c r="E9021" i="4"/>
  <c r="B8861" i="4"/>
  <c r="B8801" i="4"/>
  <c r="B10326" i="4"/>
  <c r="E8735" i="4"/>
  <c r="B8446" i="4"/>
  <c r="B8288" i="4"/>
  <c r="E10538" i="4"/>
  <c r="B10722" i="4"/>
  <c r="B9527" i="4"/>
  <c r="B10830" i="4"/>
  <c r="B10633" i="4"/>
  <c r="B9789" i="4"/>
  <c r="E10626" i="4"/>
  <c r="E9190" i="4"/>
  <c r="B10311" i="4"/>
  <c r="B9812" i="4"/>
  <c r="B7603" i="4"/>
  <c r="B10019" i="4"/>
  <c r="B10276" i="4"/>
  <c r="B9935" i="4"/>
  <c r="B7213" i="4"/>
  <c r="B9877" i="4"/>
  <c r="B10469" i="4"/>
  <c r="B7824" i="4"/>
  <c r="B10443" i="4"/>
  <c r="E10759" i="4"/>
  <c r="E9920" i="4"/>
  <c r="B9584" i="4"/>
  <c r="B8983" i="4"/>
  <c r="E10490" i="4"/>
  <c r="E9942" i="4"/>
  <c r="B9602" i="4"/>
  <c r="E9899" i="4"/>
  <c r="B8990" i="4"/>
  <c r="B9360" i="4"/>
  <c r="B9737" i="4"/>
  <c r="B10856" i="4"/>
  <c r="B9034" i="4"/>
  <c r="E8940" i="4"/>
  <c r="B7741" i="4"/>
  <c r="B9121" i="4"/>
  <c r="B6134" i="4"/>
  <c r="E8438" i="4"/>
  <c r="B9114" i="4"/>
  <c r="B9172" i="4"/>
  <c r="B6699" i="4"/>
  <c r="E6958" i="4"/>
  <c r="B7798" i="4"/>
  <c r="E8552" i="4"/>
  <c r="E8668" i="4"/>
  <c r="E9546" i="4"/>
  <c r="E6723" i="4"/>
  <c r="E9211" i="4"/>
  <c r="B8995" i="4"/>
  <c r="B8388" i="4"/>
  <c r="B8253" i="4"/>
  <c r="E10474" i="4"/>
  <c r="E10138" i="4"/>
  <c r="E9855" i="4"/>
  <c r="B9594" i="4"/>
  <c r="B9096" i="4"/>
  <c r="B10409" i="4"/>
  <c r="B8352" i="4"/>
  <c r="B9111" i="4"/>
  <c r="B8893" i="4"/>
  <c r="E8482" i="4"/>
  <c r="B9994" i="4"/>
  <c r="E9782" i="4"/>
  <c r="B8148" i="4"/>
  <c r="E8408" i="4"/>
  <c r="E5624" i="4"/>
  <c r="B7205" i="4"/>
  <c r="B6722" i="4"/>
  <c r="E8209" i="4"/>
  <c r="E7064" i="4"/>
  <c r="B8138" i="4"/>
  <c r="E6774" i="4"/>
  <c r="B10541" i="4"/>
  <c r="B7191" i="4"/>
  <c r="E8372" i="4"/>
  <c r="B8621" i="4"/>
  <c r="B7844" i="4"/>
  <c r="B10191" i="4"/>
  <c r="E7789" i="4"/>
  <c r="E7951" i="4"/>
  <c r="E8314" i="4"/>
  <c r="E7327" i="4"/>
  <c r="B10174" i="4"/>
  <c r="B9748" i="4"/>
  <c r="E10581" i="4"/>
  <c r="E10779" i="4"/>
  <c r="E8079" i="4"/>
  <c r="E9894" i="4"/>
  <c r="B8044" i="4"/>
  <c r="B8132" i="4"/>
  <c r="B8807" i="4"/>
  <c r="E8061" i="4"/>
  <c r="E9527" i="4"/>
  <c r="B10006" i="4"/>
  <c r="B7754" i="4"/>
  <c r="B7767" i="4"/>
  <c r="B8217" i="4"/>
  <c r="E8908" i="4"/>
  <c r="B6291" i="4"/>
  <c r="E8951" i="4"/>
  <c r="E6548" i="4"/>
  <c r="E8726" i="4"/>
  <c r="E7631" i="4"/>
  <c r="B10853" i="4"/>
  <c r="E8143" i="4"/>
  <c r="E7766" i="4"/>
  <c r="B7917" i="4"/>
  <c r="B9195" i="4"/>
  <c r="E9235" i="4"/>
  <c r="E7279" i="4"/>
  <c r="B7423" i="4"/>
  <c r="E9129" i="4"/>
  <c r="E6864" i="4"/>
  <c r="B9680" i="4"/>
  <c r="E10537" i="4"/>
  <c r="B10880" i="4"/>
  <c r="B10483" i="4"/>
  <c r="B7795" i="4"/>
  <c r="B9730" i="4"/>
  <c r="E7770" i="4"/>
  <c r="E7511" i="4"/>
  <c r="E8014" i="4"/>
  <c r="E8393" i="4"/>
  <c r="B8695" i="4"/>
  <c r="B8672" i="4"/>
  <c r="B9455" i="4"/>
  <c r="E8500" i="4"/>
  <c r="B8715" i="4"/>
  <c r="B8915" i="4"/>
  <c r="B6443" i="4"/>
  <c r="E6415" i="4"/>
  <c r="B7680" i="4"/>
  <c r="B6503" i="4"/>
  <c r="B8626" i="4"/>
  <c r="B8077" i="4"/>
  <c r="B6959" i="4"/>
  <c r="B8297" i="4"/>
  <c r="E10140" i="4"/>
  <c r="E10778" i="4"/>
  <c r="B9583" i="4"/>
  <c r="E8878" i="4"/>
  <c r="E10846" i="4"/>
  <c r="B10744" i="4"/>
  <c r="E9363" i="4"/>
  <c r="E9420" i="4"/>
  <c r="E9086" i="4"/>
  <c r="B8249" i="4"/>
  <c r="B10724" i="4"/>
  <c r="B10521" i="4"/>
  <c r="E10471" i="4"/>
  <c r="E10641" i="4"/>
  <c r="E8326" i="4"/>
  <c r="B9634" i="4"/>
  <c r="E10207" i="4"/>
  <c r="E9529" i="4"/>
  <c r="E10059" i="4"/>
  <c r="E10894" i="4"/>
  <c r="E7992" i="4"/>
  <c r="E10192" i="4"/>
  <c r="E7797" i="4"/>
  <c r="E8993" i="4"/>
  <c r="E7034" i="4"/>
  <c r="E9825" i="4"/>
  <c r="B8378" i="4"/>
  <c r="B6558" i="4"/>
  <c r="B8489" i="4"/>
  <c r="B7054" i="4"/>
  <c r="B6211" i="4"/>
  <c r="E7540" i="4"/>
  <c r="E10531" i="4"/>
  <c r="B9702" i="4"/>
  <c r="B10873" i="4"/>
  <c r="B9756" i="4"/>
  <c r="E9641" i="4"/>
  <c r="B10886" i="4"/>
  <c r="B10659" i="4"/>
  <c r="B9656" i="4"/>
  <c r="B8460" i="4"/>
  <c r="B10516" i="4"/>
  <c r="E8669" i="4"/>
  <c r="B8713" i="4"/>
  <c r="B10057" i="4"/>
  <c r="E9831" i="4"/>
  <c r="E8588" i="4"/>
  <c r="B10018" i="4"/>
  <c r="E10799" i="4"/>
  <c r="E10768" i="4"/>
  <c r="B10601" i="4"/>
  <c r="B9324" i="4"/>
  <c r="E10814" i="4"/>
  <c r="E10909" i="4"/>
  <c r="E8910" i="4"/>
  <c r="E9565" i="4"/>
  <c r="B10149" i="4"/>
  <c r="E9312" i="4"/>
  <c r="E8453" i="4"/>
  <c r="B9106" i="4"/>
  <c r="B9224" i="4"/>
  <c r="B8122" i="4"/>
  <c r="B10668" i="4"/>
  <c r="B10026" i="4"/>
  <c r="B9865" i="4"/>
  <c r="B9875" i="4"/>
  <c r="B10377" i="4"/>
  <c r="E9494" i="4"/>
  <c r="B9227" i="4"/>
  <c r="B9903" i="4"/>
  <c r="E9826" i="4"/>
  <c r="E8953" i="4"/>
  <c r="B9476" i="4"/>
  <c r="B9580" i="4"/>
  <c r="B10760" i="4"/>
  <c r="B8149" i="4"/>
  <c r="E8507" i="4"/>
  <c r="E9998" i="4"/>
  <c r="E10176" i="4"/>
  <c r="E9458" i="4"/>
  <c r="B10253" i="4"/>
  <c r="B10641" i="4"/>
  <c r="E9713" i="4"/>
  <c r="B8931" i="4"/>
  <c r="B8873" i="4"/>
  <c r="E10122" i="4"/>
  <c r="E8619" i="4"/>
  <c r="B9175" i="4"/>
  <c r="E9177" i="4"/>
  <c r="B8182" i="4"/>
  <c r="E10872" i="4"/>
  <c r="B9469" i="4"/>
  <c r="E10372" i="4"/>
  <c r="E10473" i="4"/>
  <c r="B10168" i="4"/>
  <c r="B9860" i="4"/>
  <c r="E10577" i="4"/>
  <c r="E9586" i="4"/>
  <c r="B9873" i="4"/>
  <c r="E9379" i="4"/>
  <c r="E9279" i="4"/>
  <c r="B10703" i="4"/>
  <c r="B9021" i="4"/>
  <c r="B8755" i="4"/>
  <c r="E9441" i="4"/>
  <c r="E10452" i="4"/>
  <c r="B10732" i="4"/>
  <c r="E10792" i="4"/>
  <c r="E9660" i="4"/>
  <c r="B9558" i="4"/>
  <c r="B10663" i="4"/>
  <c r="E10244" i="4"/>
  <c r="B7707" i="4"/>
  <c r="E9541" i="4"/>
  <c r="B9505" i="4"/>
  <c r="B10702" i="4"/>
  <c r="E8808" i="4"/>
  <c r="E9974" i="4"/>
  <c r="B10910" i="4"/>
  <c r="B9293" i="4"/>
  <c r="E9737" i="4"/>
  <c r="E10919" i="4"/>
  <c r="B9876" i="4"/>
  <c r="E9206" i="4"/>
  <c r="B10857" i="4"/>
  <c r="E10828" i="4"/>
  <c r="E9196" i="4"/>
  <c r="E10718" i="4"/>
  <c r="B9890" i="4"/>
  <c r="B9145" i="4"/>
  <c r="B10052" i="4"/>
  <c r="B9629" i="4"/>
  <c r="E8782" i="4"/>
  <c r="B9512" i="4"/>
  <c r="E10046" i="4"/>
  <c r="B8564" i="4"/>
  <c r="E8730" i="4"/>
  <c r="E10139" i="4"/>
  <c r="B8689" i="4"/>
  <c r="E9474" i="4"/>
  <c r="E9981" i="4"/>
  <c r="B9220" i="4"/>
  <c r="E9047" i="4"/>
  <c r="B7914" i="4"/>
  <c r="B9829" i="4"/>
  <c r="E8747" i="4"/>
  <c r="E8736" i="4"/>
  <c r="E8562" i="4"/>
  <c r="E9073" i="4"/>
  <c r="E10842" i="4"/>
  <c r="E8486" i="4"/>
  <c r="E8612" i="4"/>
  <c r="B7514" i="4"/>
  <c r="B5835" i="4"/>
  <c r="E7470" i="4"/>
  <c r="E8005" i="4"/>
  <c r="E8714" i="4"/>
  <c r="E7972" i="4"/>
  <c r="B7706" i="4"/>
  <c r="E7222" i="4"/>
  <c r="B10827" i="4"/>
  <c r="E7582" i="4"/>
  <c r="B7140" i="4"/>
  <c r="E8305" i="4"/>
  <c r="E8577" i="4"/>
  <c r="E9035" i="4"/>
  <c r="E9154" i="4"/>
  <c r="B7099" i="4"/>
  <c r="B9599" i="4"/>
  <c r="E6542" i="4"/>
  <c r="B9827" i="4"/>
  <c r="B10270" i="4"/>
  <c r="B9928" i="4"/>
  <c r="B9262" i="4"/>
  <c r="B8913" i="4"/>
  <c r="E10021" i="4"/>
  <c r="B8955" i="4"/>
  <c r="B7381" i="4"/>
  <c r="E10772" i="4"/>
  <c r="E9387" i="4"/>
  <c r="E8963" i="4"/>
  <c r="B8897" i="4"/>
  <c r="E7284" i="4"/>
  <c r="E7538" i="4"/>
  <c r="B7049" i="4"/>
  <c r="E7567" i="4"/>
  <c r="E6464" i="4"/>
  <c r="E8692" i="4"/>
  <c r="E6387" i="4"/>
  <c r="E8055" i="4"/>
  <c r="B5943" i="4"/>
  <c r="B9658" i="4"/>
  <c r="E8197" i="4"/>
  <c r="E8064" i="4"/>
  <c r="B7745" i="4"/>
  <c r="B7365" i="4"/>
  <c r="B8000" i="4"/>
  <c r="B9741" i="4"/>
  <c r="B10728" i="4"/>
  <c r="E6979" i="4"/>
  <c r="B9269" i="4"/>
  <c r="E9448" i="4"/>
  <c r="E10304" i="4"/>
  <c r="E10526" i="4"/>
  <c r="B8213" i="4"/>
  <c r="B9454" i="4"/>
  <c r="B10146" i="4"/>
  <c r="E8771" i="4"/>
  <c r="B7181" i="4"/>
  <c r="E10261" i="4"/>
  <c r="B9949" i="4"/>
  <c r="B9211" i="4"/>
  <c r="B8311" i="4"/>
  <c r="E7092" i="4"/>
  <c r="B7411" i="4"/>
  <c r="B6073" i="4"/>
  <c r="E7219" i="4"/>
  <c r="B6158" i="4"/>
  <c r="B7989" i="4"/>
  <c r="E6066" i="4"/>
  <c r="B8426" i="4"/>
  <c r="B5705" i="4"/>
  <c r="E8366" i="4"/>
  <c r="B10921" i="4"/>
  <c r="B7442" i="4"/>
  <c r="E8693" i="4"/>
  <c r="B7125" i="4"/>
  <c r="B7650" i="4"/>
  <c r="E8803" i="4"/>
  <c r="E10774" i="4"/>
  <c r="B6716" i="4"/>
  <c r="B10804" i="4"/>
  <c r="B9441" i="4"/>
  <c r="B10357" i="4"/>
  <c r="B10750" i="4"/>
  <c r="B7940" i="4"/>
  <c r="E9008" i="4"/>
  <c r="B10503" i="4"/>
  <c r="B9893" i="4"/>
  <c r="B10115" i="4"/>
  <c r="B9863" i="4"/>
  <c r="B9747" i="4"/>
  <c r="E10885" i="4"/>
  <c r="B8393" i="4"/>
  <c r="E10568" i="4"/>
  <c r="E9968" i="4"/>
  <c r="E7902" i="4"/>
  <c r="B7653" i="4"/>
  <c r="E9345" i="4"/>
  <c r="E7592" i="4"/>
  <c r="B7090" i="4"/>
  <c r="B7580" i="4"/>
  <c r="B8023" i="4"/>
  <c r="B7323" i="4"/>
  <c r="B8204" i="4"/>
  <c r="E10422" i="4"/>
  <c r="E10236" i="4"/>
  <c r="E8987" i="4"/>
  <c r="B10291" i="4"/>
  <c r="B10725" i="4"/>
  <c r="B10482" i="4"/>
  <c r="B10379" i="4"/>
  <c r="B9232" i="4"/>
  <c r="E8831" i="4"/>
  <c r="B9662" i="4"/>
  <c r="E9031" i="4"/>
  <c r="B8454" i="4"/>
  <c r="B9062" i="4"/>
  <c r="B9438" i="4"/>
  <c r="E9258" i="4"/>
  <c r="E10291" i="4"/>
  <c r="B8890" i="4"/>
  <c r="B9641" i="4"/>
  <c r="B10075" i="4"/>
  <c r="B9539" i="4"/>
  <c r="E9167" i="4"/>
  <c r="B9126" i="4"/>
  <c r="B10677" i="4"/>
  <c r="B7886" i="4"/>
  <c r="B5608" i="4"/>
  <c r="B9398" i="4"/>
  <c r="B6261" i="4"/>
  <c r="E7046" i="4"/>
  <c r="E7644" i="4"/>
  <c r="B7234" i="4"/>
  <c r="B9551" i="4"/>
  <c r="E9676" i="4"/>
  <c r="B9643" i="4"/>
  <c r="B9388" i="4"/>
  <c r="B9961" i="4"/>
  <c r="E10454" i="4"/>
  <c r="E10677" i="4"/>
  <c r="B10883" i="4"/>
  <c r="B8853" i="4"/>
  <c r="B9637" i="4"/>
  <c r="B10581" i="4"/>
  <c r="E8694" i="4"/>
  <c r="B9093" i="4"/>
  <c r="B10450" i="4"/>
  <c r="E10631" i="4"/>
  <c r="E8251" i="4"/>
  <c r="E7268" i="4"/>
  <c r="B10214" i="4"/>
  <c r="B9140" i="4"/>
  <c r="B10126" i="4"/>
  <c r="B10044" i="4"/>
  <c r="E10829" i="4"/>
  <c r="B10050" i="4"/>
  <c r="B9649" i="4"/>
  <c r="E8648" i="4"/>
  <c r="E10174" i="4"/>
  <c r="E9407" i="4"/>
  <c r="E9356" i="4"/>
  <c r="E10601" i="4"/>
  <c r="E9107" i="4"/>
  <c r="E7966" i="4"/>
  <c r="E7076" i="4"/>
  <c r="E10501" i="4"/>
  <c r="B10631" i="4"/>
  <c r="E9979" i="4"/>
  <c r="B10834" i="4"/>
  <c r="E9751" i="4"/>
  <c r="E9304" i="4"/>
  <c r="B9112" i="4"/>
  <c r="B9838" i="4"/>
  <c r="B8964" i="4"/>
  <c r="E8959" i="4"/>
  <c r="E8712" i="4"/>
  <c r="B8697" i="4"/>
  <c r="E8520" i="4"/>
  <c r="B8575" i="4"/>
  <c r="B9797" i="4"/>
  <c r="E10182" i="4"/>
  <c r="B10918" i="4"/>
  <c r="B10528" i="4"/>
  <c r="B10145" i="4"/>
  <c r="B10459" i="4"/>
  <c r="B9782" i="4"/>
  <c r="B8729" i="4"/>
  <c r="E10165" i="4"/>
  <c r="E8635" i="4"/>
  <c r="E9985" i="4"/>
  <c r="B9840" i="4"/>
  <c r="E10510" i="4"/>
  <c r="E9940" i="4"/>
  <c r="B9411" i="4"/>
  <c r="B9766" i="4"/>
  <c r="B10721" i="4"/>
  <c r="E10148" i="4"/>
  <c r="B8878" i="4"/>
  <c r="B10454" i="4"/>
  <c r="E10288" i="4"/>
  <c r="E7939" i="4"/>
  <c r="B9392" i="4"/>
  <c r="B9384" i="4"/>
  <c r="E10395" i="4"/>
  <c r="B9288" i="4"/>
  <c r="E10459" i="4"/>
  <c r="E10524" i="4"/>
  <c r="E10088" i="4"/>
  <c r="E8589" i="4"/>
  <c r="B9896" i="4"/>
  <c r="E10024" i="4"/>
  <c r="E10464" i="4"/>
  <c r="E10535" i="4"/>
  <c r="B9912" i="4"/>
  <c r="E10540" i="4"/>
  <c r="E10742" i="4"/>
  <c r="B9568" i="4"/>
  <c r="B10413" i="4"/>
  <c r="E9748" i="4"/>
  <c r="E9343" i="4"/>
  <c r="E9042" i="4"/>
  <c r="B9128" i="4"/>
  <c r="B8925" i="4"/>
  <c r="E9093" i="4"/>
  <c r="E10897" i="4"/>
  <c r="B10889" i="4"/>
  <c r="E10810" i="4"/>
  <c r="E9895" i="4"/>
  <c r="B10535" i="4"/>
  <c r="B10493" i="4"/>
  <c r="E10553" i="4"/>
  <c r="E8513" i="4"/>
  <c r="E10068" i="4"/>
  <c r="E9335" i="4"/>
  <c r="B10666" i="4"/>
  <c r="B8719" i="4"/>
  <c r="B10303" i="4"/>
  <c r="B8836" i="4"/>
  <c r="E8866" i="4"/>
  <c r="E8034" i="4"/>
  <c r="E9144" i="4"/>
  <c r="B9786" i="4"/>
  <c r="B9394" i="4"/>
  <c r="E10690" i="4"/>
  <c r="B10905" i="4"/>
  <c r="B8929" i="4"/>
  <c r="E9337" i="4"/>
  <c r="E10339" i="4"/>
  <c r="B8813" i="4"/>
  <c r="E7627" i="4"/>
  <c r="B10912" i="4"/>
  <c r="B9686" i="4"/>
  <c r="E8702" i="4"/>
  <c r="E7895" i="4"/>
  <c r="E7487" i="4"/>
  <c r="B8385" i="4"/>
  <c r="E6630" i="4"/>
  <c r="E8312" i="4"/>
  <c r="B7337" i="4"/>
  <c r="B7654" i="4"/>
  <c r="B7033" i="4"/>
  <c r="E8617" i="4"/>
  <c r="E6257" i="4"/>
  <c r="E9492" i="4"/>
  <c r="B7510" i="4"/>
  <c r="E6814" i="4"/>
  <c r="E8295" i="4"/>
  <c r="E7748" i="4"/>
  <c r="E8636" i="4"/>
  <c r="E9102" i="4"/>
  <c r="E10858" i="4"/>
  <c r="E7301" i="4"/>
  <c r="B9461" i="4"/>
  <c r="E9779" i="4"/>
  <c r="E10652" i="4"/>
  <c r="E10808" i="4"/>
  <c r="E9834" i="4"/>
  <c r="B9513" i="4"/>
  <c r="E8300" i="4"/>
  <c r="B7276" i="4"/>
  <c r="B10378" i="4"/>
  <c r="E8711" i="4"/>
  <c r="B10635" i="4"/>
  <c r="E10256" i="4"/>
  <c r="B10086" i="4"/>
  <c r="E9884" i="4"/>
  <c r="B7072" i="4"/>
  <c r="E8604" i="4"/>
  <c r="B7430" i="4"/>
  <c r="B5174" i="4"/>
  <c r="E8379" i="4"/>
  <c r="E4912" i="4"/>
  <c r="E7040" i="4"/>
  <c r="B9531" i="4"/>
  <c r="E9142" i="4"/>
  <c r="B9409" i="4"/>
  <c r="B10380" i="4"/>
  <c r="B8539" i="4"/>
  <c r="B7958" i="4"/>
  <c r="E7204" i="4"/>
  <c r="E8229" i="4"/>
  <c r="B8620" i="4"/>
  <c r="E7226" i="4"/>
  <c r="E9876" i="4"/>
  <c r="E10878" i="4"/>
  <c r="E10399" i="4"/>
  <c r="E8921" i="4"/>
  <c r="E9788" i="4"/>
  <c r="E9079" i="4"/>
  <c r="B7691" i="4"/>
  <c r="B7084" i="4"/>
  <c r="E10845" i="4"/>
  <c r="E9820" i="4"/>
  <c r="B9691" i="4"/>
  <c r="B9465" i="4"/>
  <c r="E10478" i="4"/>
  <c r="B9212" i="4"/>
  <c r="E6737" i="4"/>
  <c r="E10534" i="4"/>
  <c r="B7066" i="4"/>
  <c r="B7721" i="4"/>
  <c r="E7580" i="4"/>
  <c r="E6999" i="4"/>
  <c r="E6763" i="4"/>
  <c r="E6904" i="4"/>
  <c r="E8348" i="4"/>
  <c r="B9515" i="4"/>
  <c r="B10537" i="4"/>
  <c r="E7712" i="4"/>
  <c r="B7576" i="4"/>
  <c r="B8908" i="4"/>
  <c r="B8500" i="4"/>
  <c r="E9933" i="4"/>
  <c r="E8415" i="4"/>
  <c r="B10419" i="4"/>
  <c r="B9430" i="4"/>
  <c r="B9772" i="4"/>
  <c r="B9749" i="4"/>
  <c r="B10189" i="4"/>
  <c r="E10147" i="4"/>
  <c r="B7499" i="4"/>
  <c r="E7577" i="4"/>
  <c r="E9726" i="4"/>
  <c r="B9329" i="4"/>
  <c r="B10306" i="4"/>
  <c r="B9042" i="4"/>
  <c r="E9155" i="4"/>
  <c r="B8889" i="4"/>
  <c r="B10736" i="4"/>
  <c r="E9621" i="4"/>
  <c r="E8777" i="4"/>
  <c r="E6971" i="4"/>
  <c r="B7755" i="4"/>
  <c r="B6727" i="4"/>
  <c r="E8413" i="4"/>
  <c r="E6443" i="4"/>
  <c r="E9328" i="4"/>
  <c r="B5942" i="4"/>
  <c r="B5417" i="4"/>
  <c r="E7655" i="4"/>
  <c r="E8128" i="4"/>
  <c r="E8271" i="4"/>
  <c r="E9689" i="4"/>
  <c r="B7401" i="4"/>
  <c r="B8144" i="4"/>
  <c r="B7324" i="4"/>
  <c r="B8198" i="4"/>
  <c r="B6526" i="4"/>
  <c r="B10858" i="4"/>
  <c r="B9746" i="4"/>
  <c r="B10281" i="4"/>
  <c r="E9887" i="4"/>
  <c r="B9705" i="4"/>
  <c r="B9687" i="4"/>
  <c r="B8452" i="4"/>
  <c r="E7828" i="4"/>
  <c r="B10548" i="4"/>
  <c r="B8106" i="4"/>
  <c r="B9857" i="4"/>
  <c r="E9463" i="4"/>
  <c r="B9901" i="4"/>
  <c r="E10199" i="4"/>
  <c r="B6185" i="4"/>
  <c r="E10562" i="4"/>
  <c r="B7378" i="4"/>
  <c r="B5845" i="4"/>
  <c r="E7509" i="4"/>
  <c r="B5620" i="4"/>
  <c r="E8089" i="4"/>
  <c r="E6035" i="4"/>
  <c r="B8112" i="4"/>
  <c r="B8998" i="4"/>
  <c r="E10246" i="4"/>
  <c r="B6997" i="4"/>
  <c r="B7901" i="4"/>
  <c r="E7736" i="4"/>
  <c r="B8490" i="4"/>
  <c r="E8402" i="4"/>
  <c r="E7166" i="4"/>
  <c r="E5330" i="4"/>
  <c r="B10810" i="4"/>
  <c r="B10448" i="4"/>
  <c r="B10461" i="4"/>
  <c r="E10336" i="4"/>
  <c r="E9723" i="4"/>
  <c r="B8843" i="4"/>
  <c r="B10200" i="4"/>
  <c r="E9755" i="4"/>
  <c r="B8771" i="4"/>
  <c r="B9985" i="4"/>
  <c r="B8711" i="4"/>
  <c r="B10405" i="4"/>
  <c r="B9823" i="4"/>
  <c r="E9445" i="4"/>
  <c r="B10755" i="4"/>
  <c r="B10434" i="4"/>
  <c r="E10066" i="4"/>
  <c r="E9559" i="4"/>
  <c r="E10635" i="4"/>
  <c r="E7974" i="4"/>
  <c r="E8896" i="4"/>
  <c r="E8759" i="4"/>
  <c r="B7675" i="4"/>
  <c r="B7543" i="4"/>
  <c r="E10340" i="4"/>
  <c r="B9258" i="4"/>
  <c r="E8389" i="4"/>
  <c r="E9168" i="4"/>
  <c r="B7882" i="4"/>
  <c r="B10489" i="4"/>
  <c r="E9538" i="4"/>
  <c r="E10821" i="4"/>
  <c r="B10795" i="4"/>
  <c r="B7611" i="4"/>
  <c r="E8518" i="4"/>
  <c r="E10801" i="4"/>
  <c r="B8760" i="4"/>
  <c r="E7060" i="4"/>
  <c r="B9967" i="4"/>
  <c r="E8920" i="4"/>
  <c r="E10837" i="4"/>
  <c r="B9092" i="4"/>
  <c r="B7849" i="4"/>
  <c r="E7498" i="4"/>
  <c r="E10916" i="4"/>
  <c r="B10389" i="4"/>
  <c r="B9181" i="4"/>
  <c r="E9645" i="4"/>
  <c r="E8302" i="4"/>
  <c r="E9285" i="4"/>
  <c r="B8492" i="4"/>
  <c r="B7645" i="4"/>
  <c r="E9703" i="4"/>
  <c r="E9095" i="4"/>
  <c r="E10314" i="4"/>
  <c r="B9942" i="4"/>
  <c r="B10181" i="4"/>
  <c r="B9391" i="4"/>
  <c r="E6650" i="4"/>
  <c r="E10605" i="4"/>
  <c r="B10550" i="4"/>
  <c r="E10407" i="4"/>
  <c r="B8858" i="4"/>
  <c r="E10017" i="4"/>
  <c r="E9877" i="4"/>
  <c r="B9248" i="4"/>
  <c r="E9009" i="4"/>
  <c r="B8514" i="4"/>
  <c r="B8664" i="4"/>
  <c r="B9230" i="4"/>
  <c r="E10398" i="4"/>
  <c r="B8921" i="4"/>
  <c r="B8937" i="4"/>
  <c r="B10602" i="4"/>
  <c r="B8848" i="4"/>
  <c r="B9780" i="4"/>
  <c r="E10077" i="4"/>
  <c r="B7794" i="4"/>
  <c r="E9269" i="4"/>
  <c r="E9499" i="4"/>
  <c r="B8555" i="4"/>
  <c r="B9378" i="4"/>
  <c r="B9167" i="4"/>
  <c r="B9008" i="4"/>
  <c r="B10832" i="4"/>
  <c r="B8267" i="4"/>
  <c r="B8906" i="4"/>
  <c r="E8036" i="4"/>
  <c r="B10814" i="4"/>
  <c r="B9475" i="4"/>
  <c r="E10251" i="4"/>
  <c r="B8123" i="4"/>
  <c r="E9685" i="4"/>
  <c r="B9311" i="4"/>
  <c r="E8309" i="4"/>
  <c r="B9787" i="4"/>
  <c r="E8451" i="4"/>
  <c r="B9777" i="4"/>
  <c r="B10679" i="4"/>
  <c r="E9000" i="4"/>
  <c r="E9803" i="4"/>
  <c r="B7229" i="4"/>
  <c r="E9554" i="4"/>
  <c r="E9889" i="4"/>
  <c r="B10504" i="4"/>
  <c r="E10902" i="4"/>
  <c r="E9643" i="4"/>
  <c r="B8963" i="4"/>
  <c r="B8859" i="4"/>
  <c r="B5017" i="4"/>
  <c r="E8103" i="4"/>
  <c r="E9098" i="4"/>
  <c r="B5713" i="4"/>
  <c r="B7633" i="4"/>
  <c r="E6137" i="4"/>
  <c r="E7775" i="4"/>
  <c r="B7594" i="4"/>
  <c r="B8274" i="4"/>
  <c r="B6797" i="4"/>
  <c r="E8457" i="4"/>
  <c r="E7824" i="4"/>
  <c r="B9154" i="4"/>
  <c r="B4897" i="4"/>
  <c r="B7829" i="4"/>
  <c r="B7014" i="4"/>
  <c r="B9123" i="4"/>
  <c r="E9508" i="4"/>
  <c r="B6761" i="4"/>
  <c r="B4374" i="4"/>
  <c r="E7038" i="4"/>
  <c r="B5096" i="4"/>
  <c r="E5973" i="4"/>
  <c r="B5484" i="4"/>
  <c r="E10114" i="4"/>
  <c r="B6500" i="4"/>
  <c r="B9303" i="4"/>
  <c r="B7959" i="4"/>
  <c r="B7542" i="4"/>
  <c r="E7798" i="4"/>
  <c r="B6669" i="4"/>
  <c r="E8180" i="4"/>
  <c r="E7136" i="4"/>
  <c r="B7644" i="4"/>
  <c r="B4375" i="4"/>
  <c r="E3689" i="4"/>
  <c r="B6237" i="4"/>
  <c r="E5438" i="4"/>
  <c r="E9424" i="4"/>
  <c r="E5637" i="4"/>
  <c r="E4120" i="4"/>
  <c r="E5751" i="4"/>
  <c r="E7614" i="4"/>
  <c r="E10745" i="4"/>
  <c r="E9936" i="4"/>
  <c r="E8310" i="4"/>
  <c r="B8954" i="4"/>
  <c r="B8828" i="4"/>
  <c r="E9558" i="4"/>
  <c r="B7922" i="4"/>
  <c r="B7262" i="4"/>
  <c r="B9204" i="4"/>
  <c r="B7774" i="4"/>
  <c r="B7496" i="4"/>
  <c r="E6156" i="4"/>
  <c r="E7047" i="4"/>
  <c r="B6315" i="4"/>
  <c r="B8037" i="4"/>
  <c r="E8168" i="4"/>
  <c r="E10545" i="4"/>
  <c r="E9116" i="4"/>
  <c r="E9135" i="4"/>
  <c r="B9334" i="4"/>
  <c r="E6286" i="4"/>
  <c r="E6658" i="4"/>
  <c r="E7261" i="4"/>
  <c r="B8519" i="4"/>
  <c r="B8445" i="4"/>
  <c r="E7404" i="4"/>
  <c r="B6387" i="4"/>
  <c r="E8221" i="4"/>
  <c r="B6908" i="4"/>
  <c r="B9613" i="4"/>
  <c r="E7251" i="4"/>
  <c r="B4550" i="4"/>
  <c r="E7027" i="4"/>
  <c r="E6234" i="4"/>
  <c r="E6984" i="4"/>
  <c r="B9153" i="4"/>
  <c r="B7329" i="4"/>
  <c r="E8063" i="4"/>
  <c r="B8450" i="4"/>
  <c r="B5869" i="4"/>
  <c r="E6649" i="4"/>
  <c r="B6835" i="4"/>
  <c r="B6164" i="4"/>
  <c r="E3849" i="4"/>
  <c r="E6732" i="4"/>
  <c r="B6712" i="4"/>
  <c r="E8970" i="4"/>
  <c r="E5159" i="4"/>
  <c r="E9215" i="4"/>
  <c r="E5931" i="4"/>
  <c r="E6459" i="4"/>
  <c r="B10387" i="4"/>
  <c r="B10791" i="4"/>
  <c r="B8411" i="4"/>
  <c r="B10299" i="4"/>
  <c r="B8714" i="4"/>
  <c r="B9023" i="4"/>
  <c r="B9679" i="4"/>
  <c r="E8127" i="4"/>
  <c r="E8972" i="4"/>
  <c r="B7091" i="4"/>
  <c r="E8115" i="4"/>
  <c r="B10312" i="4"/>
  <c r="E6364" i="4"/>
  <c r="B9318" i="4"/>
  <c r="B10488" i="4"/>
  <c r="E8601" i="4"/>
  <c r="E8008" i="4"/>
  <c r="B8531" i="4"/>
  <c r="E8657" i="4"/>
  <c r="B7309" i="4"/>
  <c r="E6990" i="4"/>
  <c r="E8654" i="4"/>
  <c r="B7473" i="4"/>
  <c r="B6190" i="4"/>
  <c r="B7729" i="4"/>
  <c r="B7249" i="4"/>
  <c r="B5660" i="4"/>
  <c r="E8975" i="4"/>
  <c r="E5947" i="4"/>
  <c r="B8394" i="4"/>
  <c r="B7122" i="4"/>
  <c r="E9127" i="4"/>
  <c r="E10303" i="4"/>
  <c r="E6599" i="4"/>
  <c r="E7331" i="4"/>
  <c r="B7632" i="4"/>
  <c r="E6200" i="4"/>
  <c r="B6661" i="4"/>
  <c r="B8976" i="4"/>
  <c r="E8185" i="4"/>
  <c r="E6324" i="4"/>
  <c r="E6511" i="4"/>
  <c r="B4175" i="4"/>
  <c r="B8176" i="4"/>
  <c r="B6437" i="4"/>
  <c r="E4207" i="4"/>
  <c r="B6225" i="4"/>
  <c r="E5427" i="4"/>
  <c r="B7217" i="4"/>
  <c r="B6971" i="4"/>
  <c r="B7196" i="4"/>
  <c r="B9790" i="4"/>
  <c r="B9457" i="4"/>
  <c r="B9798" i="4"/>
  <c r="B9670" i="4"/>
  <c r="B10393" i="4"/>
  <c r="E8876" i="4"/>
  <c r="B8355" i="4"/>
  <c r="B6515" i="4"/>
  <c r="E7575" i="4"/>
  <c r="E7395" i="4"/>
  <c r="E6993" i="4"/>
  <c r="E8376" i="4"/>
  <c r="E5600" i="4"/>
  <c r="E8787" i="4"/>
  <c r="E7777" i="4"/>
  <c r="E7220" i="4"/>
  <c r="E7605" i="4"/>
  <c r="E10383" i="4"/>
  <c r="E8313" i="4"/>
  <c r="E7671" i="4"/>
  <c r="E6202" i="4"/>
  <c r="E8228" i="4"/>
  <c r="B6480" i="4"/>
  <c r="B6416" i="4"/>
  <c r="E6208" i="4"/>
  <c r="B7134" i="4"/>
  <c r="E6616" i="4"/>
  <c r="E8578" i="4"/>
  <c r="E6308" i="4"/>
  <c r="B8683" i="4"/>
  <c r="E6195" i="4"/>
  <c r="B7244" i="4"/>
  <c r="B7277" i="4"/>
  <c r="B9048" i="4"/>
  <c r="E7658" i="4"/>
  <c r="B9368" i="4"/>
  <c r="E8930" i="4"/>
  <c r="E6777" i="4"/>
  <c r="E8483" i="4"/>
  <c r="B7685" i="4"/>
  <c r="E9094" i="4"/>
  <c r="E7246" i="4"/>
  <c r="E4225" i="4"/>
  <c r="B7590" i="4"/>
  <c r="E5021" i="4"/>
  <c r="E4005" i="4"/>
  <c r="B6633" i="4"/>
  <c r="E6584" i="4"/>
  <c r="B7621" i="4"/>
  <c r="E7144" i="4"/>
  <c r="E6856" i="4"/>
  <c r="B9364" i="4"/>
  <c r="E10227" i="4"/>
  <c r="E10177" i="4"/>
  <c r="E10410" i="4"/>
  <c r="E9836" i="4"/>
  <c r="B10828" i="4"/>
  <c r="B7983" i="4"/>
  <c r="B5792" i="4"/>
  <c r="E7055" i="4"/>
  <c r="E8522" i="4"/>
  <c r="E6140" i="4"/>
  <c r="E8345" i="4"/>
  <c r="E6486" i="4"/>
  <c r="B8465" i="4"/>
  <c r="E8253" i="4"/>
  <c r="B7476" i="4"/>
  <c r="B6772" i="4"/>
  <c r="E6715" i="4"/>
  <c r="B7732" i="4"/>
  <c r="E7672" i="4"/>
  <c r="B5580" i="4"/>
  <c r="E7936" i="4"/>
  <c r="E6812" i="4"/>
  <c r="B7539" i="4"/>
  <c r="E9624" i="4"/>
  <c r="B6608" i="4"/>
  <c r="E5816" i="4"/>
  <c r="E6744" i="4"/>
  <c r="E6095" i="4"/>
  <c r="B8403" i="4"/>
  <c r="B4735" i="4"/>
  <c r="E7460" i="4"/>
  <c r="E7239" i="4"/>
  <c r="E7643" i="4"/>
  <c r="E8065" i="4"/>
  <c r="E8160" i="4"/>
  <c r="E8208" i="4"/>
  <c r="E10419" i="4"/>
  <c r="B6855" i="4"/>
  <c r="E7266" i="4"/>
  <c r="E8037" i="4"/>
  <c r="E4674" i="4"/>
  <c r="E5428" i="4"/>
  <c r="E5752" i="4"/>
  <c r="E4332" i="4"/>
  <c r="B8167" i="4"/>
  <c r="B6414" i="4"/>
  <c r="E4198" i="4"/>
  <c r="B5175" i="4"/>
  <c r="B7962" i="4"/>
  <c r="B6738" i="4"/>
  <c r="E6267" i="4"/>
  <c r="B6948" i="4"/>
  <c r="E10476" i="4"/>
  <c r="B10712" i="4"/>
  <c r="B9725" i="4"/>
  <c r="E9454" i="4"/>
  <c r="E8442" i="4"/>
  <c r="E7913" i="4"/>
  <c r="B8588" i="4"/>
  <c r="B6408" i="4"/>
  <c r="E8031" i="4"/>
  <c r="E6431" i="4"/>
  <c r="E6804" i="4"/>
  <c r="E9332" i="4"/>
  <c r="E6919" i="4"/>
  <c r="E9584" i="4"/>
  <c r="E7896" i="4"/>
  <c r="E8380" i="4"/>
  <c r="B8917" i="4"/>
  <c r="B10034" i="4"/>
  <c r="E7808" i="4"/>
  <c r="B7808" i="4"/>
  <c r="E5818" i="4"/>
  <c r="E9384" i="4"/>
  <c r="B7484" i="4"/>
  <c r="B10470" i="4"/>
  <c r="B9451" i="4"/>
  <c r="B10711" i="4"/>
  <c r="E8705" i="4"/>
  <c r="E7747" i="4"/>
  <c r="E9577" i="4"/>
  <c r="B8632" i="4"/>
  <c r="E7421" i="4"/>
  <c r="B9878" i="4"/>
  <c r="E6743" i="4"/>
  <c r="E8506" i="4"/>
  <c r="B4809" i="4"/>
  <c r="E7447" i="4"/>
  <c r="E6292" i="4"/>
  <c r="E7350" i="4"/>
  <c r="E10662" i="4"/>
  <c r="E9097" i="4"/>
  <c r="E10173" i="4"/>
  <c r="B8781" i="4"/>
  <c r="E8241" i="4"/>
  <c r="E6233" i="4"/>
  <c r="E10349" i="4"/>
  <c r="E6892" i="4"/>
  <c r="B6456" i="4"/>
  <c r="B10286" i="4"/>
  <c r="B9294" i="4"/>
  <c r="E8811" i="4"/>
  <c r="B10840" i="4"/>
  <c r="B8398" i="4"/>
  <c r="B9357" i="4"/>
  <c r="E8551" i="4"/>
  <c r="E4928" i="4"/>
  <c r="E6176" i="4"/>
  <c r="E8231" i="4"/>
  <c r="B7998" i="4"/>
  <c r="B6858" i="4"/>
  <c r="B5192" i="4"/>
  <c r="E8568" i="4"/>
  <c r="B7568" i="4"/>
  <c r="E8038" i="4"/>
  <c r="B7679" i="4"/>
  <c r="E7381" i="4"/>
  <c r="B7431" i="4"/>
  <c r="E8519" i="4"/>
  <c r="E4808" i="4"/>
  <c r="E8547" i="4"/>
  <c r="E6782" i="4"/>
  <c r="B10719" i="4"/>
  <c r="B10155" i="4"/>
  <c r="B10685" i="4"/>
  <c r="B8429" i="4"/>
  <c r="E10189" i="4"/>
  <c r="E10411" i="4"/>
  <c r="B7969" i="4"/>
  <c r="B6323" i="4"/>
  <c r="E10123" i="4"/>
  <c r="E8047" i="4"/>
  <c r="E7256" i="4"/>
  <c r="B7820" i="4"/>
  <c r="E7158" i="4"/>
  <c r="B8413" i="4"/>
  <c r="E7514" i="4"/>
  <c r="B8135" i="4"/>
  <c r="B8487" i="4"/>
  <c r="B9757" i="4"/>
  <c r="E9109" i="4"/>
  <c r="E7361" i="4"/>
  <c r="B6752" i="4"/>
  <c r="E9139" i="4"/>
  <c r="E6461" i="4"/>
  <c r="E9456" i="4"/>
  <c r="E8594" i="4"/>
  <c r="E9930" i="4"/>
  <c r="B9148" i="4"/>
  <c r="B9569" i="4"/>
  <c r="E8447" i="4"/>
  <c r="E10309" i="4"/>
  <c r="B9943" i="4"/>
  <c r="E8671" i="4"/>
  <c r="B9028" i="4"/>
  <c r="B7412" i="4"/>
  <c r="E6776" i="4"/>
  <c r="B8045" i="4"/>
  <c r="B5961" i="4"/>
  <c r="B7830" i="4"/>
  <c r="B6111" i="4"/>
  <c r="E8111" i="4"/>
  <c r="E7002" i="4"/>
  <c r="B10027" i="4"/>
  <c r="E7512" i="4"/>
  <c r="B8548" i="4"/>
  <c r="B7497" i="4"/>
  <c r="B8300" i="4"/>
  <c r="B9952" i="4"/>
  <c r="B8089" i="4"/>
  <c r="B7070" i="4"/>
  <c r="E8066" i="4"/>
  <c r="B9222" i="4"/>
  <c r="B10354" i="4"/>
  <c r="E10752" i="4"/>
  <c r="E9944" i="4"/>
  <c r="E9858" i="4"/>
  <c r="B9668" i="4"/>
  <c r="B9307" i="4"/>
  <c r="B9591" i="4"/>
  <c r="E10063" i="4"/>
  <c r="B10294" i="4"/>
  <c r="E9668" i="4"/>
  <c r="E9365" i="4"/>
  <c r="E10152" i="4"/>
  <c r="E8613" i="4"/>
  <c r="B9446" i="4"/>
  <c r="B6678" i="4"/>
  <c r="B8839" i="4"/>
  <c r="E6390" i="4"/>
  <c r="E8835" i="4"/>
  <c r="B6151" i="4"/>
  <c r="B8966" i="4"/>
  <c r="E7547" i="4"/>
  <c r="E5124" i="4"/>
  <c r="B7372" i="4"/>
  <c r="E8769" i="4"/>
  <c r="B7579" i="4"/>
  <c r="E9238" i="4"/>
  <c r="B7023" i="4"/>
  <c r="B7513" i="4"/>
  <c r="B7092" i="4"/>
  <c r="B8320" i="4"/>
  <c r="B6260" i="4"/>
  <c r="B10628" i="4"/>
  <c r="B10139" i="4"/>
  <c r="E9228" i="4"/>
  <c r="E9972" i="4"/>
  <c r="B10285" i="4"/>
  <c r="B8281" i="4"/>
  <c r="E9309" i="4"/>
  <c r="B7626" i="4"/>
  <c r="B8001" i="4"/>
  <c r="B8376" i="4"/>
  <c r="E10805" i="4"/>
  <c r="B9648" i="4"/>
  <c r="E8901" i="4"/>
  <c r="B8874" i="4"/>
  <c r="B8594" i="4"/>
  <c r="E10384" i="4"/>
  <c r="B9607" i="4"/>
  <c r="E10424" i="4"/>
  <c r="B10835" i="4"/>
  <c r="B7811" i="4"/>
  <c r="E9551" i="4"/>
  <c r="E9148" i="4"/>
  <c r="E10042" i="4"/>
  <c r="E7252" i="4"/>
  <c r="E10081" i="4"/>
  <c r="B8670" i="4"/>
  <c r="E7965" i="4"/>
  <c r="B8183" i="4"/>
  <c r="B8354" i="4"/>
  <c r="E8199" i="4"/>
  <c r="E10855" i="4"/>
  <c r="B9522" i="4"/>
  <c r="B9421" i="4"/>
  <c r="E9214" i="4"/>
  <c r="E8542" i="4"/>
  <c r="E10188" i="4"/>
  <c r="B9050" i="4"/>
  <c r="E8040" i="4"/>
  <c r="E10051" i="4"/>
  <c r="B7659" i="4"/>
  <c r="B9545" i="4"/>
  <c r="E8526" i="4"/>
  <c r="E10860" i="4"/>
  <c r="B10339" i="4"/>
  <c r="B7007" i="4"/>
  <c r="B10520" i="4"/>
  <c r="E10429" i="4"/>
  <c r="B10108" i="4"/>
  <c r="B10173" i="4"/>
  <c r="B10182" i="4"/>
  <c r="B9524" i="4"/>
  <c r="E9922" i="4"/>
  <c r="B10261" i="4"/>
  <c r="B10068" i="4"/>
  <c r="E10546" i="4"/>
  <c r="E9513" i="4"/>
  <c r="B9708" i="4"/>
  <c r="B8988" i="4"/>
  <c r="B8173" i="4"/>
  <c r="B10813" i="4"/>
  <c r="E9336" i="4"/>
  <c r="B9622" i="4"/>
  <c r="E9349" i="4"/>
  <c r="E9739" i="4"/>
  <c r="E8391" i="4"/>
  <c r="E9176" i="4"/>
  <c r="B8491" i="4"/>
  <c r="E8096" i="4"/>
  <c r="E7606" i="4"/>
  <c r="B10734" i="4"/>
  <c r="E9115" i="4"/>
  <c r="E10761" i="4"/>
  <c r="E8102" i="4"/>
  <c r="B8667" i="4"/>
  <c r="B10655" i="4"/>
  <c r="E9302" i="4"/>
  <c r="E9204" i="4"/>
  <c r="B9335" i="4"/>
  <c r="E8784" i="4"/>
  <c r="B9235" i="4"/>
  <c r="B8895" i="4"/>
  <c r="E7594" i="4"/>
  <c r="E9912" i="4"/>
  <c r="E8070" i="4"/>
  <c r="B9669" i="4"/>
  <c r="E8696" i="4"/>
  <c r="E9913" i="4"/>
  <c r="B9973" i="4"/>
  <c r="B10866" i="4"/>
  <c r="E10306" i="4"/>
  <c r="B10423" i="4"/>
  <c r="E8836" i="4"/>
  <c r="B9726" i="4"/>
  <c r="B10440" i="4"/>
  <c r="B9022" i="4"/>
  <c r="B10890" i="4"/>
  <c r="E9025" i="4"/>
  <c r="B7252" i="4"/>
  <c r="E9288" i="4"/>
  <c r="B8358" i="4"/>
  <c r="B7861" i="4"/>
  <c r="B8872" i="4"/>
  <c r="E10610" i="4"/>
  <c r="E10780" i="4"/>
  <c r="E8550" i="4"/>
  <c r="B9408" i="4"/>
  <c r="E8388" i="4"/>
  <c r="B9146" i="4"/>
  <c r="E8361" i="4"/>
  <c r="E7718" i="4"/>
  <c r="E9785" i="4"/>
  <c r="E6629" i="4"/>
  <c r="E7839" i="4"/>
  <c r="E6568" i="4"/>
  <c r="B7409" i="4"/>
  <c r="E7480" i="4"/>
  <c r="E6555" i="4"/>
  <c r="E7329" i="4"/>
  <c r="B10654" i="4"/>
  <c r="B9538" i="4"/>
  <c r="E9892" i="4"/>
  <c r="E8890" i="4"/>
  <c r="B6565" i="4"/>
  <c r="B5567" i="4"/>
  <c r="E7679" i="4"/>
  <c r="E5640" i="4"/>
  <c r="B8147" i="4"/>
  <c r="B8428" i="4"/>
  <c r="B7226" i="4"/>
  <c r="E7762" i="4"/>
  <c r="E5528" i="4"/>
  <c r="E10470" i="4"/>
  <c r="E6647" i="4"/>
  <c r="B4798" i="4"/>
  <c r="B8128" i="4"/>
  <c r="E6766" i="4"/>
  <c r="B8084" i="4"/>
  <c r="E7521" i="4"/>
  <c r="B8629" i="4"/>
  <c r="E6755" i="4"/>
  <c r="E8728" i="4"/>
  <c r="E6235" i="4"/>
  <c r="B7184" i="4"/>
  <c r="B7239" i="4"/>
  <c r="E4940" i="4"/>
  <c r="E4287" i="4"/>
  <c r="B5304" i="4"/>
  <c r="B4322" i="4"/>
  <c r="E7731" i="4"/>
  <c r="E5593" i="4"/>
  <c r="B8206" i="4"/>
  <c r="B6914" i="4"/>
  <c r="B5771" i="4"/>
  <c r="E10666" i="4"/>
  <c r="B10232" i="4"/>
  <c r="E7738" i="4"/>
  <c r="E10757" i="4"/>
  <c r="B9832" i="4"/>
  <c r="B8366" i="4"/>
  <c r="B9983" i="4"/>
  <c r="B6176" i="4"/>
  <c r="B8219" i="4"/>
  <c r="B6311" i="4"/>
  <c r="E6579" i="4"/>
  <c r="E10108" i="4"/>
  <c r="B6707" i="4"/>
  <c r="B8826" i="4"/>
  <c r="B9302" i="4"/>
  <c r="B8910" i="4"/>
  <c r="B8650" i="4"/>
  <c r="B8289" i="4"/>
  <c r="B8024" i="4"/>
  <c r="E7579" i="4"/>
  <c r="B5819" i="4"/>
  <c r="B8502" i="4"/>
  <c r="E8138" i="4"/>
  <c r="E6499" i="4"/>
  <c r="B7048" i="4"/>
  <c r="E8884" i="4"/>
  <c r="B6273" i="4"/>
  <c r="B8332" i="4"/>
  <c r="E8072" i="4"/>
  <c r="B7317" i="4"/>
  <c r="B6223" i="4"/>
  <c r="E9856" i="4"/>
  <c r="E10146" i="4"/>
  <c r="B7036" i="4"/>
  <c r="E9341" i="4"/>
  <c r="E6068" i="4"/>
  <c r="B6554" i="4"/>
  <c r="B7427" i="4"/>
  <c r="E7382" i="4"/>
  <c r="B8943" i="4"/>
  <c r="E6851" i="4"/>
  <c r="E8707" i="4"/>
  <c r="E4533" i="4"/>
  <c r="B8272" i="4"/>
  <c r="B5547" i="4"/>
  <c r="E4521" i="4"/>
  <c r="B7195" i="4"/>
  <c r="E6019" i="4"/>
  <c r="E7115" i="4"/>
  <c r="B6989" i="4"/>
  <c r="B7524" i="4"/>
  <c r="B10400" i="4"/>
  <c r="B9216" i="4"/>
  <c r="E9691" i="4"/>
  <c r="B9410" i="4"/>
  <c r="B10836" i="4"/>
  <c r="B8653" i="4"/>
  <c r="B9478" i="4"/>
  <c r="B7345" i="4"/>
  <c r="E8001" i="4"/>
  <c r="B5813" i="4"/>
  <c r="E7573" i="4"/>
  <c r="B8886" i="4"/>
  <c r="E5801" i="4"/>
  <c r="B8146" i="4"/>
  <c r="E8375" i="4"/>
  <c r="B7479" i="4"/>
  <c r="E8068" i="4"/>
  <c r="B8466" i="4"/>
  <c r="B9471" i="4"/>
  <c r="B8038" i="4"/>
  <c r="E6684" i="4"/>
  <c r="B8981" i="4"/>
  <c r="E6826" i="4"/>
  <c r="E5057" i="4"/>
  <c r="E6621" i="4"/>
  <c r="B8561" i="4"/>
  <c r="B4754" i="4"/>
  <c r="B7417" i="4"/>
  <c r="B5432" i="4"/>
  <c r="E7310" i="4"/>
  <c r="E5082" i="4"/>
  <c r="E7926" i="4"/>
  <c r="B7982" i="4"/>
  <c r="B9223" i="4"/>
  <c r="E8985" i="4"/>
  <c r="E8679" i="4"/>
  <c r="B9894" i="4"/>
  <c r="B6521" i="4"/>
  <c r="B6102" i="4"/>
  <c r="B9038" i="4"/>
  <c r="B8194" i="4"/>
  <c r="B6627" i="4"/>
  <c r="B4553" i="4"/>
  <c r="E7287" i="4"/>
  <c r="B5487" i="4"/>
  <c r="B4530" i="4"/>
  <c r="E5286" i="4"/>
  <c r="B4292" i="4"/>
  <c r="B5697" i="4"/>
  <c r="E6981" i="4"/>
  <c r="B6184" i="4"/>
  <c r="B9703" i="4"/>
  <c r="B9731" i="4"/>
  <c r="B10103" i="4"/>
  <c r="E10866" i="4"/>
  <c r="E9482" i="4"/>
  <c r="B7563" i="4"/>
  <c r="E8554" i="4"/>
  <c r="E6177" i="4"/>
  <c r="E7709" i="4"/>
  <c r="E10223" i="4"/>
  <c r="E6491" i="4"/>
  <c r="E7557" i="4"/>
  <c r="E6124" i="4"/>
  <c r="B7477" i="4"/>
  <c r="E7529" i="4"/>
  <c r="B8091" i="4"/>
  <c r="B7059" i="4"/>
  <c r="E6970" i="4"/>
  <c r="E8971" i="4"/>
  <c r="E8455" i="4"/>
  <c r="E5912" i="4"/>
  <c r="E8697" i="4"/>
  <c r="E7162" i="4"/>
  <c r="B7853" i="4"/>
  <c r="E10252" i="4"/>
  <c r="E5785" i="4"/>
  <c r="B5063" i="4"/>
  <c r="E7235" i="4"/>
  <c r="E4318" i="4"/>
  <c r="E6382" i="4"/>
  <c r="E5054" i="4"/>
  <c r="E8377" i="4"/>
  <c r="E8583" i="4"/>
  <c r="B6954" i="4"/>
  <c r="E7734" i="4"/>
  <c r="B7947" i="4"/>
  <c r="E7260" i="4"/>
  <c r="E6222" i="4"/>
  <c r="E7405" i="4"/>
  <c r="B8137" i="4"/>
  <c r="B7250" i="4"/>
  <c r="B5054" i="4"/>
  <c r="E2781" i="4"/>
  <c r="E6389" i="4"/>
  <c r="E4819" i="4"/>
  <c r="B8261" i="4"/>
  <c r="E5535" i="4"/>
  <c r="B4512" i="4"/>
  <c r="E5670" i="4"/>
  <c r="E6363" i="4"/>
  <c r="B10255" i="4"/>
  <c r="B9520" i="4"/>
  <c r="B8868" i="4"/>
  <c r="B10689" i="4"/>
  <c r="E8045" i="4"/>
  <c r="E9626" i="4"/>
  <c r="E8250" i="4"/>
  <c r="B7231" i="4"/>
  <c r="E9381" i="4"/>
  <c r="B8073" i="4"/>
  <c r="B7396" i="4"/>
  <c r="E5277" i="4"/>
  <c r="E9871" i="4"/>
  <c r="E6191" i="4"/>
  <c r="E10121" i="4"/>
  <c r="B10897" i="4"/>
  <c r="B9981" i="4"/>
  <c r="E9217" i="4"/>
  <c r="B9100" i="4"/>
  <c r="B8062" i="4"/>
  <c r="E6846" i="4"/>
  <c r="E7245" i="4"/>
  <c r="B7582" i="4"/>
  <c r="B6018" i="4"/>
  <c r="E9597" i="4"/>
  <c r="E8003" i="4"/>
  <c r="B6116" i="4"/>
  <c r="B8635" i="4"/>
  <c r="B6546" i="4"/>
  <c r="B10549" i="4"/>
  <c r="B6346" i="4"/>
  <c r="B5410" i="4"/>
  <c r="B8186" i="4"/>
  <c r="B6737" i="4"/>
  <c r="B5926" i="4"/>
  <c r="B7978" i="4"/>
  <c r="E8681" i="4"/>
  <c r="B8234" i="4"/>
  <c r="B8608" i="4"/>
  <c r="E6388" i="4"/>
  <c r="E7114" i="4"/>
  <c r="E7465" i="4"/>
  <c r="E4873" i="4"/>
  <c r="B6186" i="4"/>
  <c r="B4873" i="4"/>
  <c r="E4392" i="4"/>
  <c r="B7278" i="4"/>
  <c r="E5471" i="4"/>
  <c r="E8703" i="4"/>
  <c r="B9309" i="4"/>
  <c r="B7105" i="4"/>
  <c r="B5539" i="4"/>
  <c r="B5701" i="4"/>
  <c r="B5692" i="4"/>
  <c r="E8582" i="4"/>
  <c r="E10643" i="4"/>
  <c r="B8794" i="4"/>
  <c r="B8140" i="4"/>
  <c r="B9688" i="4"/>
  <c r="E10203" i="4"/>
  <c r="E8092" i="4"/>
  <c r="B5988" i="4"/>
  <c r="B7150" i="4"/>
  <c r="B8048" i="4"/>
  <c r="B6382" i="4"/>
  <c r="B8005" i="4"/>
  <c r="E6687" i="4"/>
  <c r="E8673" i="4"/>
  <c r="B7141" i="4"/>
  <c r="B8162" i="4"/>
  <c r="B7124" i="4"/>
  <c r="B7716" i="4"/>
  <c r="B7549" i="4"/>
  <c r="E7413" i="4"/>
  <c r="B6653" i="4"/>
  <c r="E8276" i="4"/>
  <c r="B7742" i="4"/>
  <c r="E9618" i="4"/>
  <c r="E10556" i="4"/>
  <c r="E9790" i="4"/>
  <c r="E9433" i="4"/>
  <c r="B8523" i="4"/>
  <c r="B7627" i="4"/>
  <c r="E8844" i="4"/>
  <c r="B6117" i="4"/>
  <c r="B7598" i="4"/>
  <c r="E6087" i="4"/>
  <c r="E7986" i="4"/>
  <c r="E9358" i="4"/>
  <c r="E6648" i="4"/>
  <c r="B8934" i="4"/>
  <c r="B8341" i="4"/>
  <c r="B7878" i="4"/>
  <c r="E8960" i="4"/>
  <c r="E8585" i="4"/>
  <c r="E9615" i="4"/>
  <c r="E7380" i="4"/>
  <c r="B5609" i="4"/>
  <c r="B9185" i="4"/>
  <c r="E7126" i="4"/>
  <c r="E9744" i="4"/>
  <c r="E9783" i="4"/>
  <c r="B10508" i="4"/>
  <c r="E8430" i="4"/>
  <c r="B7461" i="4"/>
  <c r="B8464" i="4"/>
  <c r="B8296" i="4"/>
  <c r="E8537" i="4"/>
  <c r="B8342" i="4"/>
  <c r="E7620" i="4"/>
  <c r="B7859" i="4"/>
  <c r="E7000" i="4"/>
  <c r="B7104" i="4"/>
  <c r="E5739" i="4"/>
  <c r="B8199" i="4"/>
  <c r="E9574" i="4"/>
  <c r="E10341" i="4"/>
  <c r="E9125" i="4"/>
  <c r="B8669" i="4"/>
  <c r="E7698" i="4"/>
  <c r="E5996" i="4"/>
  <c r="E10078" i="4"/>
  <c r="B6660" i="4"/>
  <c r="E6139" i="4"/>
  <c r="B10598" i="4"/>
  <c r="E8223" i="4"/>
  <c r="E9486" i="4"/>
  <c r="E9326" i="4"/>
  <c r="E9066" i="4"/>
  <c r="E9440" i="4"/>
  <c r="B7894" i="4"/>
  <c r="B7111" i="4"/>
  <c r="E6021" i="4"/>
  <c r="B7730" i="4"/>
  <c r="E6740" i="4"/>
  <c r="B8202" i="4"/>
  <c r="E6922" i="4"/>
  <c r="B7935" i="4"/>
  <c r="E7179" i="4"/>
  <c r="E7422" i="4"/>
  <c r="E7299" i="4"/>
  <c r="E7005" i="4"/>
  <c r="B10158" i="4"/>
  <c r="B7705" i="4"/>
  <c r="B6294" i="4"/>
  <c r="B7925" i="4"/>
  <c r="E7838" i="4"/>
  <c r="B10629" i="4"/>
  <c r="B6847" i="4"/>
  <c r="B9835" i="4"/>
  <c r="E9149" i="4"/>
  <c r="E9133" i="4"/>
  <c r="E10041" i="4"/>
  <c r="E8655" i="4"/>
  <c r="B9330" i="4"/>
  <c r="E7912" i="4"/>
  <c r="E7504" i="4"/>
  <c r="B7068" i="4"/>
  <c r="B5611" i="4"/>
  <c r="B6884" i="4"/>
  <c r="E7438" i="4"/>
  <c r="E7566" i="4"/>
  <c r="B6924" i="4"/>
  <c r="B7838" i="4"/>
  <c r="B5513" i="4"/>
  <c r="B9393" i="4"/>
  <c r="B10797" i="4"/>
  <c r="B7079" i="4"/>
  <c r="E7935" i="4"/>
  <c r="B8645" i="4"/>
  <c r="E8460" i="4"/>
  <c r="E9518" i="4"/>
  <c r="E9907" i="4"/>
  <c r="B6524" i="4"/>
  <c r="E10497" i="4"/>
  <c r="E9608" i="4"/>
  <c r="E9528" i="4"/>
  <c r="B9474" i="4"/>
  <c r="B10642" i="4"/>
  <c r="E8625" i="4"/>
  <c r="B10271" i="4"/>
  <c r="E7826" i="4"/>
  <c r="E8463" i="4"/>
  <c r="E9497" i="4"/>
  <c r="E10569" i="4"/>
  <c r="B10314" i="4"/>
  <c r="B8310" i="4"/>
  <c r="B8351" i="4"/>
  <c r="B7188" i="4"/>
  <c r="E6334" i="4"/>
  <c r="E7646" i="4"/>
  <c r="E5826" i="4"/>
  <c r="B7462" i="4"/>
  <c r="B7920" i="4"/>
  <c r="B8700" i="4"/>
  <c r="B7491" i="4"/>
  <c r="B10850" i="4"/>
  <c r="B7160" i="4"/>
  <c r="B8015" i="4"/>
  <c r="E8316" i="4"/>
  <c r="B7869" i="4"/>
  <c r="B9234" i="4"/>
  <c r="B7463" i="4"/>
  <c r="B9695" i="4"/>
  <c r="E7595" i="4"/>
  <c r="B7194" i="4"/>
  <c r="E10673" i="4"/>
  <c r="B9265" i="4"/>
  <c r="B9732" i="4"/>
  <c r="E10628" i="4"/>
  <c r="E8105" i="4"/>
  <c r="B9938" i="4"/>
  <c r="E9753" i="4"/>
  <c r="B9456" i="4"/>
  <c r="B7850" i="4"/>
  <c r="B9990" i="4"/>
  <c r="E8688" i="4"/>
  <c r="B8423" i="4"/>
  <c r="E8700" i="4"/>
  <c r="B7100" i="4"/>
  <c r="E6595" i="4"/>
  <c r="B10292" i="4"/>
  <c r="E9569" i="4"/>
  <c r="B9871" i="4"/>
  <c r="B9665" i="4"/>
  <c r="B9745" i="4"/>
  <c r="B9626" i="4"/>
  <c r="E7835" i="4"/>
  <c r="B8823" i="4"/>
  <c r="B9931" i="4"/>
  <c r="B8433" i="4"/>
  <c r="E9653" i="4"/>
  <c r="E9221" i="4"/>
  <c r="B10093" i="4"/>
  <c r="B9053" i="4"/>
  <c r="B7671" i="4"/>
  <c r="B10192" i="4"/>
  <c r="E10275" i="4"/>
  <c r="B9308" i="4"/>
  <c r="E9766" i="4"/>
  <c r="B9707" i="4"/>
  <c r="E8982" i="4"/>
  <c r="B9036" i="4"/>
  <c r="E10362" i="4"/>
  <c r="B9760" i="4"/>
  <c r="B9400" i="4"/>
  <c r="E9227" i="4"/>
  <c r="E10640" i="4"/>
  <c r="B8978" i="4"/>
  <c r="B8851" i="4"/>
  <c r="B10266" i="4"/>
  <c r="E9274" i="4"/>
  <c r="B9340" i="4"/>
  <c r="B8949" i="4"/>
  <c r="B9684" i="4"/>
  <c r="E9399" i="4"/>
  <c r="E10023" i="4"/>
  <c r="B9072" i="4"/>
  <c r="B8535" i="4"/>
  <c r="E8004" i="4"/>
  <c r="B10095" i="4"/>
  <c r="E8852" i="4"/>
  <c r="E9487" i="4"/>
  <c r="B8480" i="4"/>
  <c r="E7673" i="4"/>
  <c r="E10884" i="4"/>
  <c r="E9320" i="4"/>
  <c r="E10156" i="4"/>
  <c r="E10460" i="4"/>
  <c r="E8420" i="4"/>
  <c r="E8738" i="4"/>
  <c r="B9509" i="4"/>
  <c r="B9645" i="4"/>
  <c r="B7656" i="4"/>
  <c r="E8983" i="4"/>
  <c r="E8727" i="4"/>
  <c r="B10756" i="4"/>
  <c r="B8687" i="4"/>
  <c r="B8177" i="4"/>
  <c r="B6831" i="4"/>
  <c r="B10001" i="4"/>
  <c r="B10691" i="4"/>
  <c r="B10681" i="4"/>
  <c r="E9371" i="4"/>
  <c r="E10067" i="4"/>
  <c r="B9490" i="4"/>
  <c r="B8809" i="4"/>
  <c r="B9416" i="4"/>
  <c r="E8114" i="4"/>
  <c r="E8174" i="4"/>
  <c r="B8383" i="4"/>
  <c r="B10289" i="4"/>
  <c r="B9174" i="4"/>
  <c r="E8172" i="4"/>
  <c r="E10683" i="4"/>
  <c r="E10184" i="4"/>
  <c r="B10648" i="4"/>
  <c r="B10135" i="4"/>
  <c r="B10696" i="4"/>
  <c r="E10446" i="4"/>
  <c r="E9033" i="4"/>
  <c r="B8488" i="4"/>
  <c r="E7485" i="4"/>
  <c r="E9787" i="4"/>
  <c r="B7957" i="4"/>
  <c r="E10423" i="4"/>
  <c r="B7728" i="4"/>
  <c r="B8693" i="4"/>
  <c r="E10284" i="4"/>
  <c r="B10874" i="4"/>
  <c r="B7992" i="4"/>
  <c r="E10739" i="4"/>
  <c r="B10687" i="4"/>
  <c r="E9376" i="4"/>
  <c r="B9523" i="4"/>
  <c r="B6462" i="4"/>
  <c r="E8741" i="4"/>
  <c r="B6758" i="4"/>
  <c r="E6771" i="4"/>
  <c r="B10442" i="4"/>
  <c r="E7016" i="4"/>
  <c r="E9307" i="4"/>
  <c r="E8358" i="4"/>
  <c r="B9135" i="4"/>
  <c r="B7571" i="4"/>
  <c r="E8937" i="4"/>
  <c r="B8509" i="4"/>
  <c r="E8150" i="4"/>
  <c r="E6291" i="4"/>
  <c r="B8647" i="4"/>
  <c r="B7187" i="4"/>
  <c r="B7455" i="4"/>
  <c r="E7639" i="4"/>
  <c r="E7339" i="4"/>
  <c r="E5107" i="4"/>
  <c r="B7868" i="4"/>
  <c r="B5374" i="4"/>
  <c r="E8162" i="4"/>
  <c r="B6886" i="4"/>
  <c r="B9862" i="4"/>
  <c r="B10153" i="4"/>
  <c r="E6513" i="4"/>
  <c r="B7114" i="4"/>
  <c r="E6515" i="4"/>
  <c r="E6941" i="4"/>
  <c r="E5901" i="4"/>
  <c r="E7050" i="4"/>
  <c r="B9366" i="4"/>
  <c r="B5561" i="4"/>
  <c r="B6618" i="4"/>
  <c r="B4860" i="4"/>
  <c r="E10163" i="4"/>
  <c r="E5955" i="4"/>
  <c r="B4995" i="4"/>
  <c r="B6281" i="4"/>
  <c r="E4882" i="4"/>
  <c r="E8734" i="4"/>
  <c r="E7392" i="4"/>
  <c r="E7316" i="4"/>
  <c r="B10042" i="4"/>
  <c r="B9090" i="4"/>
  <c r="B9644" i="4"/>
  <c r="E9599" i="4"/>
  <c r="B10369" i="4"/>
  <c r="B9822" i="4"/>
  <c r="B7221" i="4"/>
  <c r="B5537" i="4"/>
  <c r="B8749" i="4"/>
  <c r="E6352" i="4"/>
  <c r="E6013" i="4"/>
  <c r="E8181" i="4"/>
  <c r="B6099" i="4"/>
  <c r="E8633" i="4"/>
  <c r="B7506" i="4"/>
  <c r="E7960" i="4"/>
  <c r="B9473" i="4"/>
  <c r="B7736" i="4"/>
  <c r="B7848" i="4"/>
  <c r="E8889" i="4"/>
  <c r="B7557" i="4"/>
  <c r="B8201" i="4"/>
  <c r="B7448" i="4"/>
  <c r="B5347" i="4"/>
  <c r="B7004" i="4"/>
  <c r="E6408" i="4"/>
  <c r="E5076" i="4"/>
  <c r="B8292" i="4"/>
  <c r="B5770" i="4"/>
  <c r="B8972" i="4"/>
  <c r="E5451" i="4"/>
  <c r="B7578" i="4"/>
  <c r="E7687" i="4"/>
  <c r="B8512" i="4"/>
  <c r="B8748" i="4"/>
  <c r="E8958" i="4"/>
  <c r="B10882" i="4"/>
  <c r="B7047" i="4"/>
  <c r="E6498" i="4"/>
  <c r="B8506" i="4"/>
  <c r="B8322" i="4"/>
  <c r="E5812" i="4"/>
  <c r="B4960" i="4"/>
  <c r="B7267" i="4"/>
  <c r="E6495" i="4"/>
  <c r="B6350" i="4"/>
  <c r="B5763" i="4"/>
  <c r="E4767" i="4"/>
  <c r="B6215" i="4"/>
  <c r="B6763" i="4"/>
  <c r="B6931" i="4"/>
  <c r="B9564" i="4"/>
  <c r="E9747" i="4"/>
  <c r="B9956" i="4"/>
  <c r="E10386" i="4"/>
  <c r="B9795" i="4"/>
  <c r="B7870" i="4"/>
  <c r="E7610" i="4"/>
  <c r="B7112" i="4"/>
  <c r="E7134" i="4"/>
  <c r="E7930" i="4"/>
  <c r="E7094" i="4"/>
  <c r="E7978" i="4"/>
  <c r="B6522" i="4"/>
  <c r="B7990" i="4"/>
  <c r="B7924" i="4"/>
  <c r="B7170" i="4"/>
  <c r="E7401" i="4"/>
  <c r="B7290" i="4"/>
  <c r="E6987" i="4"/>
  <c r="E7288" i="4"/>
  <c r="B6396" i="4"/>
  <c r="B7204" i="4"/>
  <c r="E8020" i="4"/>
  <c r="B10225" i="4"/>
  <c r="B9115" i="4"/>
  <c r="B6369" i="4"/>
  <c r="B5445" i="4"/>
  <c r="B6972" i="4"/>
  <c r="E4510" i="4"/>
  <c r="E6858" i="4"/>
  <c r="E5344" i="4"/>
  <c r="B7379" i="4"/>
  <c r="B6866" i="4"/>
  <c r="B7752" i="4"/>
  <c r="E8820" i="4"/>
  <c r="B7212" i="4"/>
  <c r="B7994" i="4"/>
  <c r="B6770" i="4"/>
  <c r="E6561" i="4"/>
  <c r="B7238" i="4"/>
  <c r="B7302" i="4"/>
  <c r="E5574" i="4"/>
  <c r="E3066" i="4"/>
  <c r="E7919" i="4"/>
  <c r="B5501" i="4"/>
  <c r="B9579" i="4"/>
  <c r="B5945" i="4"/>
  <c r="B4958" i="4"/>
  <c r="B6601" i="4"/>
  <c r="B7832" i="4"/>
  <c r="B10645" i="4"/>
  <c r="E9994" i="4"/>
  <c r="E9352" i="4"/>
  <c r="E8830" i="4"/>
  <c r="E10033" i="4"/>
  <c r="B8860" i="4"/>
  <c r="E8858" i="4"/>
  <c r="B7612" i="4"/>
  <c r="E9991" i="4"/>
  <c r="E6762" i="4"/>
  <c r="E7705" i="4"/>
  <c r="B5590" i="4"/>
  <c r="E7337" i="4"/>
  <c r="B7247" i="4"/>
  <c r="B7088" i="4"/>
  <c r="B8139" i="4"/>
  <c r="B10436" i="4"/>
  <c r="B9561" i="4"/>
  <c r="E10335" i="4"/>
  <c r="E9725" i="4"/>
  <c r="E7334" i="4"/>
  <c r="B5628" i="4"/>
  <c r="E8498" i="4"/>
  <c r="E6357" i="4"/>
  <c r="E8505" i="4"/>
  <c r="E7665" i="4"/>
  <c r="E6665" i="4"/>
  <c r="E9566" i="4"/>
  <c r="E8709" i="4"/>
  <c r="B9954" i="4"/>
  <c r="B7012" i="4"/>
  <c r="E6001" i="4"/>
  <c r="B6251" i="4"/>
  <c r="B7709" i="4"/>
  <c r="E6252" i="4"/>
  <c r="E7095" i="4"/>
  <c r="E7349" i="4"/>
  <c r="E7925" i="4"/>
  <c r="E8439" i="4"/>
  <c r="E7033" i="4"/>
  <c r="B9105" i="4"/>
  <c r="E7273" i="4"/>
  <c r="B5156" i="4"/>
  <c r="E3134" i="4"/>
  <c r="B5200" i="4"/>
  <c r="B4701" i="4"/>
  <c r="E7247" i="4"/>
  <c r="E6405" i="4"/>
  <c r="B7896" i="4"/>
  <c r="E10589" i="4"/>
  <c r="E5888" i="4"/>
  <c r="E10438" i="4"/>
  <c r="E10771" i="4"/>
  <c r="B7786" i="4"/>
  <c r="E10852" i="4"/>
  <c r="E8935" i="4"/>
  <c r="E10075" i="4"/>
  <c r="E8350" i="4"/>
  <c r="E6745" i="4"/>
  <c r="B8830" i="4"/>
  <c r="B7060" i="4"/>
  <c r="B7138" i="4"/>
  <c r="B10208" i="4"/>
  <c r="B8399" i="4"/>
  <c r="E8365" i="4"/>
  <c r="E8839" i="4"/>
  <c r="B9259" i="4"/>
  <c r="B8472" i="4"/>
  <c r="B8511" i="4"/>
  <c r="B8530" i="4"/>
  <c r="E8336" i="4"/>
  <c r="E6120" i="4"/>
  <c r="E9331" i="4"/>
  <c r="E8059" i="4"/>
  <c r="E6663" i="4"/>
  <c r="B7880" i="4"/>
  <c r="B7450" i="4"/>
  <c r="E7248" i="4"/>
  <c r="E7442" i="4"/>
  <c r="E5066" i="4"/>
  <c r="E8698" i="4"/>
  <c r="E7995" i="4"/>
  <c r="E9617" i="4"/>
  <c r="B10040" i="4"/>
  <c r="E6607" i="4"/>
  <c r="E7630" i="4"/>
  <c r="E7544" i="4"/>
  <c r="B6868" i="4"/>
  <c r="B7670" i="4"/>
  <c r="B6724" i="4"/>
  <c r="B8114" i="4"/>
  <c r="E5560" i="4"/>
  <c r="E6430" i="4"/>
  <c r="E3760" i="4"/>
  <c r="B9801" i="4"/>
  <c r="E7365" i="4"/>
  <c r="E4957" i="4"/>
  <c r="B7689" i="4"/>
  <c r="E5439" i="4"/>
  <c r="E7506" i="4"/>
  <c r="E8806" i="4"/>
  <c r="B8133" i="4"/>
  <c r="E8670" i="4"/>
  <c r="B10165" i="4"/>
  <c r="E6692" i="4"/>
  <c r="B10727" i="4"/>
  <c r="E8880" i="4"/>
  <c r="E8804" i="4"/>
  <c r="B9769" i="4"/>
  <c r="B8747" i="4"/>
  <c r="E9917" i="4"/>
  <c r="E8757" i="4"/>
  <c r="B5452" i="4"/>
  <c r="B6719" i="4"/>
  <c r="B7965" i="4"/>
  <c r="B5810" i="4"/>
  <c r="B7856" i="4"/>
  <c r="B5868" i="4"/>
  <c r="E7989" i="4"/>
  <c r="B7804" i="4"/>
  <c r="E7119" i="4"/>
  <c r="B6580" i="4"/>
  <c r="E6523" i="4"/>
  <c r="E7258" i="4"/>
  <c r="B7227" i="4"/>
  <c r="E5268" i="4"/>
  <c r="E9038" i="4"/>
  <c r="E8322" i="4"/>
  <c r="B10656" i="4"/>
  <c r="E9927" i="4"/>
  <c r="B8864" i="4"/>
  <c r="E8531" i="4"/>
  <c r="E10056" i="4"/>
  <c r="B10416" i="4"/>
  <c r="E7675" i="4"/>
  <c r="E7685" i="4"/>
  <c r="E6857" i="4"/>
  <c r="B6331" i="4"/>
  <c r="E6100" i="4"/>
  <c r="B7561" i="4"/>
  <c r="B6280" i="4"/>
  <c r="E7971" i="4"/>
  <c r="B8699" i="4"/>
  <c r="E7757" i="4"/>
  <c r="E8261" i="4"/>
  <c r="B8547" i="4"/>
  <c r="B8425" i="4"/>
  <c r="E7041" i="4"/>
  <c r="E6232" i="4"/>
  <c r="E9060" i="4"/>
  <c r="E7039" i="4"/>
  <c r="B10844" i="4"/>
  <c r="E10794" i="4"/>
  <c r="E9767" i="4"/>
  <c r="B8902" i="4"/>
  <c r="B8088" i="4"/>
  <c r="B9030" i="4"/>
  <c r="E10249" i="4"/>
  <c r="B8657" i="4"/>
  <c r="E8529" i="4"/>
  <c r="B6170" i="4"/>
  <c r="B10114" i="4"/>
  <c r="B8214" i="4"/>
  <c r="B7517" i="4"/>
  <c r="E9200" i="4"/>
  <c r="B7683" i="4"/>
  <c r="E8664" i="4"/>
  <c r="E8298" i="4"/>
  <c r="B8076" i="4"/>
  <c r="E8244" i="4"/>
  <c r="E7156" i="4"/>
  <c r="B7841" i="4"/>
  <c r="B9214" i="4"/>
  <c r="B8111" i="4"/>
  <c r="E10521" i="4"/>
  <c r="E9649" i="4"/>
  <c r="E10835" i="4"/>
  <c r="E10513" i="4"/>
  <c r="E8484" i="4"/>
  <c r="B8080" i="4"/>
  <c r="E8756" i="4"/>
  <c r="E7608" i="4"/>
  <c r="E8581" i="4"/>
  <c r="E7022" i="4"/>
  <c r="B8642" i="4"/>
  <c r="E6143" i="4"/>
  <c r="B7575" i="4"/>
  <c r="B7720" i="4"/>
  <c r="E10591" i="4"/>
  <c r="E9132" i="4"/>
  <c r="E9256" i="4"/>
  <c r="B10579" i="4"/>
  <c r="B10567" i="4"/>
  <c r="E8296" i="4"/>
  <c r="B10402" i="4"/>
  <c r="B8493" i="4"/>
  <c r="E9977" i="4"/>
  <c r="E9522" i="4"/>
  <c r="E10588" i="4"/>
  <c r="E9526" i="4"/>
  <c r="E6462" i="4"/>
  <c r="B10757" i="4"/>
  <c r="E7962" i="4"/>
  <c r="E6372" i="4"/>
  <c r="B8344" i="4"/>
  <c r="E5958" i="4"/>
  <c r="E6571" i="4"/>
  <c r="B6410" i="4"/>
  <c r="B8660" i="4"/>
  <c r="B9161" i="4"/>
  <c r="B10010" i="4"/>
  <c r="B7311" i="4"/>
  <c r="B8484" i="4"/>
  <c r="E8121" i="4"/>
  <c r="E9354" i="4"/>
  <c r="B9040" i="4"/>
  <c r="E7535" i="4"/>
  <c r="E10646" i="4"/>
  <c r="B9788" i="4"/>
  <c r="B10096" i="4"/>
  <c r="E10315" i="4"/>
  <c r="B8504" i="4"/>
  <c r="E9606" i="4"/>
  <c r="B9373" i="4"/>
  <c r="B8811" i="4"/>
  <c r="B8209" i="4"/>
  <c r="E9659" i="4"/>
  <c r="E8166" i="4"/>
  <c r="E8044" i="4"/>
  <c r="B8268" i="4"/>
  <c r="B7292" i="4"/>
  <c r="B6788" i="4"/>
  <c r="E5303" i="4"/>
  <c r="E8308" i="4"/>
  <c r="E6615" i="4"/>
  <c r="E8384" i="4"/>
  <c r="B6421" i="4"/>
  <c r="B8821" i="4"/>
  <c r="B7035" i="4"/>
  <c r="B10765" i="4"/>
  <c r="E10785" i="4"/>
  <c r="E6796" i="4"/>
  <c r="B10383" i="4"/>
  <c r="B7950" i="4"/>
  <c r="E8894" i="4"/>
  <c r="E8301" i="4"/>
  <c r="B10540" i="4"/>
  <c r="E8142" i="4"/>
  <c r="B5680" i="4"/>
  <c r="B10587" i="4"/>
  <c r="E9245" i="4"/>
  <c r="E9602" i="4"/>
  <c r="E9295" i="4"/>
  <c r="B10079" i="4"/>
  <c r="E9665" i="4"/>
  <c r="E8122" i="4"/>
  <c r="E8750" i="4"/>
  <c r="E10457" i="4"/>
  <c r="B9363" i="4"/>
  <c r="E9583" i="4"/>
  <c r="B9295" i="4"/>
  <c r="E10095" i="4"/>
  <c r="E9405" i="4"/>
  <c r="B5966" i="4"/>
  <c r="B10340" i="4"/>
  <c r="E10587" i="4"/>
  <c r="E9612" i="4"/>
  <c r="E9203" i="4"/>
  <c r="E9832" i="4"/>
  <c r="B9403" i="4"/>
  <c r="B9426" i="4"/>
  <c r="E10020" i="4"/>
  <c r="E9051" i="4"/>
  <c r="B9768" i="4"/>
  <c r="E8997" i="4"/>
  <c r="E10869" i="4"/>
  <c r="E8846" i="4"/>
  <c r="E8563" i="4"/>
  <c r="E10680" i="4"/>
  <c r="E9810" i="4"/>
  <c r="E9662" i="4"/>
  <c r="E9267" i="4"/>
  <c r="B9880" i="4"/>
  <c r="E7730" i="4"/>
  <c r="E9053" i="4"/>
  <c r="B8309" i="4"/>
  <c r="E9170" i="4"/>
  <c r="E8596" i="4"/>
  <c r="B10263" i="4"/>
  <c r="E9863" i="4"/>
  <c r="B9056" i="4"/>
  <c r="B8576" i="4"/>
  <c r="B8119" i="4"/>
  <c r="B10766" i="4"/>
  <c r="B10490" i="4"/>
  <c r="B10021" i="4"/>
  <c r="B10893" i="4"/>
  <c r="E9259" i="4"/>
  <c r="E8270" i="4"/>
  <c r="B9600" i="4"/>
  <c r="B8640" i="4"/>
  <c r="E8427" i="4"/>
  <c r="B10148" i="4"/>
  <c r="E9695" i="4"/>
  <c r="B10898" i="4"/>
  <c r="B10217" i="4"/>
  <c r="B8827" i="4"/>
  <c r="B7159" i="4"/>
  <c r="E10620" i="4"/>
  <c r="E9488" i="4"/>
  <c r="B9945" i="4"/>
  <c r="E8222" i="4"/>
  <c r="E9414" i="4"/>
  <c r="B9449" i="4"/>
  <c r="B7682" i="4"/>
  <c r="B8527" i="4"/>
  <c r="B10279" i="4"/>
  <c r="E8503" i="4"/>
  <c r="E10358" i="4"/>
  <c r="E10496" i="4"/>
  <c r="B9486" i="4"/>
  <c r="E9355" i="4"/>
  <c r="B10321" i="4"/>
  <c r="B8871" i="4"/>
  <c r="E9865" i="4"/>
  <c r="B9027" i="4"/>
  <c r="B9950" i="4"/>
  <c r="B8938" i="4"/>
  <c r="B8774" i="4"/>
  <c r="E8916" i="4"/>
  <c r="E9169" i="4"/>
  <c r="B7373" i="4"/>
  <c r="B10390" i="4"/>
  <c r="E9366" i="4"/>
  <c r="E8909" i="4"/>
  <c r="E8928" i="4"/>
  <c r="E8054" i="4"/>
  <c r="B10785" i="4"/>
  <c r="B9982" i="4"/>
  <c r="E10279" i="4"/>
  <c r="B10733" i="4"/>
  <c r="E9229" i="4"/>
  <c r="B10846" i="4"/>
  <c r="E10800" i="4"/>
  <c r="B10456" i="4"/>
  <c r="E9318" i="4"/>
  <c r="E10466" i="4"/>
  <c r="E9890" i="4"/>
  <c r="E9280" i="4"/>
  <c r="B9793" i="4"/>
  <c r="E9263" i="4"/>
  <c r="B10315" i="4"/>
  <c r="B10302" i="4"/>
  <c r="B10823" i="4"/>
  <c r="E9711" i="4"/>
  <c r="E10596" i="4"/>
  <c r="E9696" i="4"/>
  <c r="B7421" i="4"/>
  <c r="B5729" i="4"/>
  <c r="E7663" i="4"/>
  <c r="E8607" i="4"/>
  <c r="B6252" i="4"/>
  <c r="E8211" i="4"/>
  <c r="B6479" i="4"/>
  <c r="B8033" i="4"/>
  <c r="B7951" i="4"/>
  <c r="B8673" i="4"/>
  <c r="B7748" i="4"/>
  <c r="B8161" i="4"/>
  <c r="E8425" i="4"/>
  <c r="E7703" i="4"/>
  <c r="B6606" i="4"/>
  <c r="E8981" i="4"/>
  <c r="E5853" i="4"/>
  <c r="E5679" i="4"/>
  <c r="B9847" i="4"/>
  <c r="B6942" i="4"/>
  <c r="E5388" i="4"/>
  <c r="B7207" i="4"/>
  <c r="B6292" i="4"/>
  <c r="B6910" i="4"/>
  <c r="B5878" i="4"/>
  <c r="B8595" i="4"/>
  <c r="B8153" i="4"/>
  <c r="B9119" i="4"/>
  <c r="B8885" i="4"/>
  <c r="E9254" i="4"/>
  <c r="B10015" i="4"/>
  <c r="B8850" i="4"/>
  <c r="B6900" i="4"/>
  <c r="E8950" i="4"/>
  <c r="B8745" i="4"/>
  <c r="B6765" i="4"/>
  <c r="B5828" i="4"/>
  <c r="B7177" i="4"/>
  <c r="B4771" i="4"/>
  <c r="E2891" i="4"/>
  <c r="B7056" i="4"/>
  <c r="E5306" i="4"/>
  <c r="E7161" i="4"/>
  <c r="E6716" i="4"/>
  <c r="B6304" i="4"/>
  <c r="E9244" i="4"/>
  <c r="B9692" i="4"/>
  <c r="B10137" i="4"/>
  <c r="E10816" i="4"/>
  <c r="E9978" i="4"/>
  <c r="E8321" i="4"/>
  <c r="E7956" i="4"/>
  <c r="B4825" i="4"/>
  <c r="E7481" i="4"/>
  <c r="B8798" i="4"/>
  <c r="B5521" i="4"/>
  <c r="E8666" i="4"/>
  <c r="E7363" i="4"/>
  <c r="B8750" i="4"/>
  <c r="E8524" i="4"/>
  <c r="E7554" i="4"/>
  <c r="B8012" i="4"/>
  <c r="B7661" i="4"/>
  <c r="B7351" i="4"/>
  <c r="E7768" i="4"/>
  <c r="E8303" i="4"/>
  <c r="B7428" i="4"/>
  <c r="B6667" i="4"/>
  <c r="B8791" i="4"/>
  <c r="E10437" i="4"/>
  <c r="B7064" i="4"/>
  <c r="E6094" i="4"/>
  <c r="B7934" i="4"/>
  <c r="B4808" i="4"/>
  <c r="E7856" i="4"/>
  <c r="B5885" i="4"/>
  <c r="B8971" i="4"/>
  <c r="E7499" i="4"/>
  <c r="B7362" i="4"/>
  <c r="B8174" i="4"/>
  <c r="B7872" i="4"/>
  <c r="B7157" i="4"/>
  <c r="E6118" i="4"/>
  <c r="B7037" i="4"/>
  <c r="E7801" i="4"/>
  <c r="E7848" i="4"/>
  <c r="E6681" i="4"/>
  <c r="E3339" i="4"/>
  <c r="B5753" i="4"/>
  <c r="B5038" i="4"/>
  <c r="B8574" i="4"/>
  <c r="B6955" i="4"/>
  <c r="E5825" i="4"/>
  <c r="B5278" i="4"/>
  <c r="B6431" i="4"/>
  <c r="B10417" i="4"/>
  <c r="B9197" i="4"/>
  <c r="E8824" i="4"/>
  <c r="E9273" i="4"/>
  <c r="B8467" i="4"/>
  <c r="B9953" i="4"/>
  <c r="E7642" i="4"/>
  <c r="E8346" i="4"/>
  <c r="B9518" i="4"/>
  <c r="B7097" i="4"/>
  <c r="E8335" i="4"/>
  <c r="B6511" i="4"/>
  <c r="B7900" i="4"/>
  <c r="B5823" i="4"/>
  <c r="E7431" i="4"/>
  <c r="E7497" i="4"/>
  <c r="E10753" i="4"/>
  <c r="E9794" i="4"/>
  <c r="B9727" i="4"/>
  <c r="E8967" i="4"/>
  <c r="B6013" i="4"/>
  <c r="E5967" i="4"/>
  <c r="E6910" i="4"/>
  <c r="B6811" i="4"/>
  <c r="E8224" i="4"/>
  <c r="E8753" i="4"/>
  <c r="B8357" i="4"/>
  <c r="B8503" i="4"/>
  <c r="E6246" i="4"/>
  <c r="B9466" i="4"/>
  <c r="B6733" i="4"/>
  <c r="B4358" i="4"/>
  <c r="B6602" i="4"/>
  <c r="E5949" i="4"/>
  <c r="B6603" i="4"/>
  <c r="B7639" i="4"/>
  <c r="B8197" i="4"/>
  <c r="E7097" i="4"/>
  <c r="B8419" i="4"/>
  <c r="B5552" i="4"/>
  <c r="B6242" i="4"/>
  <c r="B6918" i="4"/>
  <c r="E5519" i="4"/>
  <c r="E3494" i="4"/>
  <c r="E5691" i="4"/>
  <c r="B5205" i="4"/>
  <c r="E7157" i="4"/>
  <c r="B4762" i="4"/>
  <c r="B8010" i="4"/>
  <c r="B5526" i="4"/>
  <c r="E6914" i="4"/>
  <c r="B10779" i="4"/>
  <c r="E10659" i="4"/>
  <c r="E8060" i="4"/>
  <c r="E10823" i="4"/>
  <c r="E8230" i="4"/>
  <c r="E8485" i="4"/>
  <c r="B8785" i="4"/>
  <c r="B7102" i="4"/>
  <c r="B8417" i="4"/>
  <c r="B6466" i="4"/>
  <c r="E7474" i="4"/>
  <c r="B10062" i="4"/>
  <c r="E6092" i="4"/>
  <c r="E10686" i="4"/>
  <c r="B8677" i="4"/>
  <c r="E7860" i="4"/>
  <c r="B7658" i="4"/>
  <c r="B8042" i="4"/>
  <c r="E8245" i="4"/>
  <c r="B7061" i="4"/>
  <c r="E6433" i="4"/>
  <c r="B8945" i="4"/>
  <c r="B7127" i="4"/>
  <c r="E7590" i="4"/>
  <c r="E7197" i="4"/>
  <c r="B9677" i="4"/>
  <c r="E5250" i="4"/>
  <c r="B7712" i="4"/>
  <c r="E5443" i="4"/>
  <c r="E7388" i="4"/>
  <c r="E6353" i="4"/>
  <c r="B8847" i="4"/>
  <c r="B9412" i="4"/>
  <c r="B7161" i="4"/>
  <c r="B6715" i="4"/>
  <c r="E6940" i="4"/>
  <c r="E7741" i="4"/>
  <c r="B6278" i="4"/>
  <c r="B7321" i="4"/>
  <c r="B7771" i="4"/>
  <c r="B5879" i="4"/>
  <c r="E8514" i="4"/>
  <c r="E3952" i="4"/>
  <c r="E9049" i="4"/>
  <c r="B5758" i="4"/>
  <c r="E5868" i="4"/>
  <c r="B5737" i="4"/>
  <c r="B5028" i="4"/>
  <c r="B7257" i="4"/>
  <c r="B7538" i="4"/>
  <c r="E8107" i="4"/>
  <c r="B10708" i="4"/>
  <c r="B8977" i="4"/>
  <c r="B9683" i="4"/>
  <c r="B8758" i="4"/>
  <c r="B10478" i="4"/>
  <c r="E9246" i="4"/>
  <c r="E7893" i="4"/>
  <c r="E6182" i="4"/>
  <c r="E7526" i="4"/>
  <c r="B6250" i="4"/>
  <c r="E6717" i="4"/>
  <c r="B8726" i="4"/>
  <c r="E7918" i="4"/>
  <c r="B8346" i="4"/>
  <c r="B7413" i="4"/>
  <c r="B9084" i="4"/>
  <c r="B7348" i="4"/>
  <c r="E8242" i="4"/>
  <c r="B7891" i="4"/>
  <c r="E7929" i="4"/>
  <c r="B7339" i="4"/>
  <c r="E8792" i="4"/>
  <c r="B6201" i="4"/>
  <c r="B5877" i="4"/>
  <c r="B8184" i="4"/>
  <c r="B6650" i="4"/>
  <c r="B5524" i="4"/>
  <c r="B7206" i="4"/>
  <c r="E5799" i="4"/>
  <c r="E7208" i="4"/>
  <c r="E5619" i="4"/>
  <c r="E8029" i="4"/>
  <c r="E8135" i="4"/>
  <c r="E9068" i="4"/>
  <c r="E8139" i="4"/>
  <c r="B9231" i="4"/>
  <c r="E9479" i="4"/>
  <c r="B6153" i="4"/>
  <c r="E7071" i="4"/>
  <c r="B8066" i="4"/>
  <c r="E10660" i="4"/>
  <c r="E6007" i="4"/>
  <c r="B5493" i="4"/>
  <c r="B7375" i="4"/>
  <c r="E4665" i="4"/>
  <c r="B3668" i="4"/>
  <c r="B5682" i="4"/>
  <c r="E5185" i="4"/>
  <c r="B6358" i="4"/>
  <c r="B7233" i="4"/>
  <c r="E6052" i="4"/>
  <c r="B7135" i="4"/>
  <c r="B7923" i="4"/>
  <c r="B10735" i="4"/>
  <c r="B10398" i="4"/>
  <c r="E10616" i="4"/>
  <c r="E9657" i="4"/>
  <c r="E8243" i="4"/>
  <c r="B9242" i="4"/>
  <c r="E9241" i="4"/>
  <c r="B6893" i="4"/>
  <c r="E8446" i="4"/>
  <c r="B7081" i="4"/>
  <c r="B7172" i="4"/>
  <c r="B5001" i="4"/>
  <c r="B8051" i="4"/>
  <c r="E7322" i="4"/>
  <c r="B7885" i="4"/>
  <c r="E10787" i="4"/>
  <c r="B10156" i="4"/>
  <c r="E9163" i="4"/>
  <c r="E9075" i="4"/>
  <c r="E10649" i="4"/>
  <c r="B6563" i="4"/>
  <c r="E10604" i="4"/>
  <c r="B7200" i="4"/>
  <c r="B7504" i="4"/>
  <c r="B10634" i="4"/>
  <c r="E8941" i="4"/>
  <c r="B9385" i="4"/>
  <c r="E10257" i="4"/>
  <c r="E8968" i="4"/>
  <c r="E10617" i="4"/>
  <c r="B7607" i="4"/>
  <c r="B5158" i="4"/>
  <c r="E6453" i="4"/>
  <c r="B8816" i="4"/>
  <c r="E5608" i="4"/>
  <c r="E7190" i="4"/>
  <c r="B5500" i="4"/>
  <c r="B7604" i="4"/>
  <c r="B8313" i="4"/>
  <c r="B6806" i="4"/>
  <c r="B8498" i="4"/>
  <c r="E7907" i="4"/>
  <c r="B7964" i="4"/>
  <c r="E8495" i="4"/>
  <c r="E5000" i="4"/>
  <c r="B8134" i="4"/>
  <c r="B7130" i="4"/>
  <c r="B10730" i="4"/>
  <c r="E9896" i="4"/>
  <c r="E9030" i="4"/>
  <c r="E9192" i="4"/>
  <c r="B8930" i="4"/>
  <c r="E10100" i="4"/>
  <c r="B8593" i="4"/>
  <c r="E6772" i="4"/>
  <c r="B6636" i="4"/>
  <c r="B5780" i="4"/>
  <c r="B8476" i="4"/>
  <c r="B8468" i="4"/>
  <c r="B5870" i="4"/>
  <c r="B7516" i="4"/>
  <c r="B7971" i="4"/>
  <c r="E9758" i="4"/>
  <c r="E7745" i="4"/>
  <c r="B7881" i="4"/>
  <c r="B7765" i="4"/>
  <c r="B7847" i="4"/>
  <c r="E7756" i="4"/>
  <c r="E8497" i="4"/>
  <c r="E6736" i="4"/>
  <c r="E9749" i="4"/>
  <c r="B10187" i="4"/>
  <c r="E9983" i="4"/>
  <c r="B8326" i="4"/>
  <c r="E7714" i="4"/>
  <c r="E8432" i="4"/>
  <c r="B8053" i="4"/>
  <c r="B7353" i="4"/>
  <c r="B7873" i="4"/>
  <c r="E6166" i="4"/>
  <c r="B8034" i="4"/>
  <c r="E8405" i="4"/>
  <c r="B6960" i="4"/>
  <c r="E9041" i="4"/>
  <c r="B8615" i="4"/>
  <c r="B8096" i="4"/>
  <c r="B8543" i="4"/>
  <c r="B8710" i="4"/>
  <c r="E7677" i="4"/>
  <c r="E8672" i="4"/>
  <c r="B6688" i="4"/>
  <c r="E8798" i="4"/>
  <c r="E7408" i="4"/>
  <c r="E9775" i="4"/>
  <c r="B9974" i="4"/>
  <c r="B9738" i="4"/>
  <c r="B10608" i="4"/>
  <c r="B10529" i="4"/>
  <c r="B10686" i="4"/>
  <c r="E9319" i="4"/>
  <c r="B9144" i="4"/>
  <c r="B9940" i="4"/>
  <c r="B7723" i="4"/>
  <c r="E6815" i="4"/>
  <c r="B8373" i="4"/>
  <c r="E6540" i="4"/>
  <c r="B7419" i="4"/>
  <c r="E8737" i="4"/>
  <c r="E6609" i="4"/>
  <c r="E8685" i="4"/>
  <c r="E7869" i="4"/>
  <c r="B7666" i="4"/>
  <c r="B8068" i="4"/>
  <c r="B8275" i="4"/>
  <c r="B7341" i="4"/>
  <c r="E8030" i="4"/>
  <c r="E6313" i="4"/>
  <c r="B8233" i="4"/>
  <c r="E7065" i="4"/>
  <c r="B10867" i="4"/>
  <c r="B10837" i="4"/>
  <c r="B10523" i="4"/>
  <c r="B8390" i="4"/>
  <c r="E8592" i="4"/>
  <c r="B7643" i="4"/>
  <c r="E9483" i="4"/>
  <c r="E7536" i="4"/>
  <c r="E9099" i="4"/>
  <c r="B7273" i="4"/>
  <c r="B8569" i="4"/>
  <c r="B5426" i="4"/>
  <c r="E6602" i="4"/>
  <c r="B10030" i="4"/>
  <c r="B10353" i="4"/>
  <c r="B9911" i="4"/>
  <c r="E9243" i="4"/>
  <c r="E9137" i="4"/>
  <c r="E7844" i="4"/>
  <c r="B9504" i="4"/>
  <c r="B8252" i="4"/>
  <c r="B9652" i="4"/>
  <c r="E7441" i="4"/>
  <c r="E7833" i="4"/>
  <c r="B10849" i="4"/>
  <c r="B7610" i="4"/>
  <c r="E10128" i="4"/>
  <c r="B8911" i="4"/>
  <c r="B7651" i="4"/>
  <c r="B9206" i="4"/>
  <c r="E7859" i="4"/>
  <c r="B6293" i="4"/>
  <c r="B6698" i="4"/>
  <c r="B8129" i="4"/>
  <c r="B6047" i="4"/>
  <c r="E7118" i="4"/>
  <c r="B5947" i="4"/>
  <c r="E7088" i="4"/>
  <c r="B7006" i="4"/>
  <c r="B9422" i="4"/>
  <c r="B10713" i="4"/>
  <c r="E10228" i="4"/>
  <c r="E9813" i="4"/>
  <c r="E8255" i="4"/>
  <c r="B5016" i="4"/>
  <c r="E8039" i="4"/>
  <c r="B6325" i="4"/>
  <c r="B8264" i="4"/>
  <c r="B8220" i="4"/>
  <c r="B6058" i="4"/>
  <c r="E10137" i="4"/>
  <c r="B9674" i="4"/>
  <c r="B8842" i="4"/>
  <c r="B7222" i="4"/>
  <c r="E4310" i="4"/>
  <c r="E10868" i="4"/>
  <c r="E8290" i="4"/>
  <c r="B8956" i="4"/>
  <c r="E9346" i="4"/>
  <c r="E8137" i="4"/>
  <c r="B6849" i="4"/>
  <c r="B7977" i="4"/>
  <c r="B9534" i="4"/>
  <c r="E8260" i="4"/>
  <c r="E9799" i="4"/>
  <c r="B6798" i="4"/>
  <c r="E7622" i="4"/>
  <c r="B7349" i="4"/>
  <c r="B9273" i="4"/>
  <c r="B5558" i="4"/>
  <c r="B6594" i="4"/>
  <c r="E7758" i="4"/>
  <c r="B6729" i="4"/>
  <c r="B5974" i="4"/>
  <c r="B9342" i="4"/>
  <c r="E9453" i="4"/>
  <c r="B7938" i="4"/>
  <c r="E7475" i="4"/>
  <c r="E7724" i="4"/>
  <c r="B7420" i="4"/>
  <c r="E8159" i="4"/>
  <c r="B5973" i="4"/>
  <c r="B8317" i="4"/>
  <c r="B5387" i="4"/>
  <c r="E8297" i="4"/>
  <c r="B5376" i="4"/>
  <c r="B6471" i="4"/>
  <c r="B6335" i="4"/>
  <c r="E6420" i="4"/>
  <c r="B7759" i="4"/>
  <c r="E6266" i="4"/>
  <c r="E7160" i="4"/>
  <c r="E6932" i="4"/>
  <c r="E5155" i="4"/>
  <c r="B3909" i="4"/>
  <c r="B5922" i="4"/>
  <c r="E4349" i="4"/>
  <c r="B7407" i="4"/>
  <c r="B5375" i="4"/>
  <c r="B8733" i="4"/>
  <c r="E7791" i="4"/>
  <c r="E6272" i="4"/>
  <c r="B6913" i="4"/>
  <c r="E3990" i="4"/>
  <c r="E4283" i="4"/>
  <c r="B6751" i="4"/>
  <c r="B6721" i="4"/>
  <c r="E8944" i="4"/>
  <c r="B6862" i="4"/>
  <c r="B10673" i="4"/>
  <c r="B5723" i="4"/>
  <c r="B6043" i="4"/>
  <c r="E6111" i="4"/>
  <c r="B3769" i="4"/>
  <c r="B4298" i="4"/>
  <c r="E6606" i="4"/>
  <c r="B10843" i="4"/>
  <c r="E9704" i="4"/>
  <c r="E9143" i="4"/>
  <c r="E8157" i="4"/>
  <c r="B7404" i="4"/>
  <c r="B7943" i="4"/>
  <c r="E7036" i="4"/>
  <c r="E8401" i="4"/>
  <c r="E10614" i="4"/>
  <c r="E8467" i="4"/>
  <c r="E5696" i="4"/>
  <c r="B7519" i="4"/>
  <c r="E8488" i="4"/>
  <c r="E8628" i="4"/>
  <c r="B5118" i="4"/>
  <c r="E6152" i="4"/>
  <c r="B7606" i="4"/>
  <c r="B5911" i="4"/>
  <c r="E7335" i="4"/>
  <c r="B7131" i="4"/>
  <c r="B9274" i="4"/>
  <c r="B7253" i="4"/>
  <c r="B6823" i="4"/>
  <c r="E8049" i="4"/>
  <c r="B8618" i="4"/>
  <c r="E6635" i="4"/>
  <c r="B5297" i="4"/>
  <c r="B8163" i="4"/>
  <c r="E6748" i="4"/>
  <c r="B8151" i="4"/>
  <c r="E6676" i="4"/>
  <c r="B7168" i="4"/>
  <c r="E5728" i="4"/>
  <c r="E7680" i="4"/>
  <c r="B6398" i="4"/>
  <c r="E6512" i="4"/>
  <c r="B6194" i="4"/>
  <c r="E6049" i="4"/>
  <c r="B7443" i="4"/>
  <c r="E10445" i="4"/>
  <c r="B6415" i="4"/>
  <c r="E6145" i="4"/>
  <c r="B7334" i="4"/>
  <c r="E4989" i="4"/>
  <c r="E10220" i="4"/>
  <c r="B5036" i="4"/>
  <c r="E6174" i="4"/>
  <c r="E6811" i="4"/>
  <c r="E4927" i="4"/>
  <c r="E5788" i="4"/>
  <c r="B5267" i="4"/>
  <c r="B5560" i="4"/>
  <c r="E8411" i="4"/>
  <c r="E6216" i="4"/>
  <c r="E9690" i="4"/>
  <c r="E5031" i="4"/>
  <c r="E4736" i="4"/>
  <c r="B3615" i="4"/>
  <c r="B3465" i="4"/>
  <c r="E3578" i="4"/>
  <c r="E7265" i="4"/>
  <c r="E10469" i="4"/>
  <c r="E8534" i="4"/>
  <c r="E8512" i="4"/>
  <c r="E7794" i="4"/>
  <c r="B7180" i="4"/>
  <c r="E7418" i="4"/>
  <c r="E6734" i="4"/>
  <c r="B7913" i="4"/>
  <c r="B8599" i="4"/>
  <c r="B7883" i="4"/>
  <c r="E5504" i="4"/>
  <c r="B7175" i="4"/>
  <c r="E7420" i="4"/>
  <c r="B7608" i="4"/>
  <c r="E4818" i="4"/>
  <c r="B5769" i="4"/>
  <c r="B7960" i="4"/>
  <c r="B7584" i="4"/>
  <c r="B6776" i="4"/>
  <c r="E9845" i="4"/>
  <c r="E9023" i="4"/>
  <c r="E8097" i="4"/>
  <c r="E8973" i="4"/>
  <c r="B7952" i="4"/>
  <c r="E8862" i="4"/>
  <c r="E6891" i="4"/>
  <c r="E4910" i="4"/>
  <c r="E7533" i="4"/>
  <c r="B5606" i="4"/>
  <c r="E7515" i="4"/>
  <c r="B5591" i="4"/>
  <c r="E6329" i="4"/>
  <c r="B7688" i="4"/>
  <c r="B6353" i="4"/>
  <c r="B7415" i="4"/>
  <c r="B6702" i="4"/>
  <c r="E7123" i="4"/>
  <c r="B6872" i="4"/>
  <c r="B5788" i="4"/>
  <c r="E9980" i="4"/>
  <c r="E5647" i="4"/>
  <c r="B5103" i="4"/>
  <c r="B6867" i="4"/>
  <c r="E6360" i="4"/>
  <c r="E8338" i="4"/>
  <c r="E4353" i="4"/>
  <c r="E5718" i="4"/>
  <c r="B5617" i="4"/>
  <c r="E4379" i="4"/>
  <c r="E4889" i="4"/>
  <c r="E4725" i="4"/>
  <c r="B7503" i="4"/>
  <c r="B8380" i="4"/>
  <c r="B5067" i="4"/>
  <c r="E8406" i="4"/>
  <c r="B6326" i="4"/>
  <c r="B4079" i="4"/>
  <c r="B3510" i="4"/>
  <c r="E5465" i="4"/>
  <c r="E3051" i="4"/>
  <c r="B6097" i="4"/>
  <c r="B10070" i="4"/>
  <c r="E8294" i="4"/>
  <c r="B8410" i="4"/>
  <c r="B9291" i="4"/>
  <c r="B8528" i="4"/>
  <c r="E7056" i="4"/>
  <c r="B7932" i="4"/>
  <c r="B8676" i="4"/>
  <c r="E8093" i="4"/>
  <c r="E7412" i="4"/>
  <c r="E6989" i="4"/>
  <c r="E7858" i="4"/>
  <c r="E8828" i="4"/>
  <c r="B7039" i="4"/>
  <c r="E4518" i="4"/>
  <c r="B5489" i="4"/>
  <c r="B7300" i="4"/>
  <c r="E6271" i="4"/>
  <c r="B6287" i="4"/>
  <c r="B7347" i="4"/>
  <c r="B8688" i="4"/>
  <c r="E7332" i="4"/>
  <c r="B7361" i="4"/>
  <c r="E8169" i="4"/>
  <c r="E7593" i="4"/>
  <c r="E7785" i="4"/>
  <c r="B6114" i="4"/>
  <c r="E7717" i="4"/>
  <c r="E6550" i="4"/>
  <c r="B7708" i="4"/>
  <c r="E6494" i="4"/>
  <c r="E7117" i="4"/>
  <c r="B6412" i="4"/>
  <c r="B7877" i="4"/>
  <c r="E6409" i="4"/>
  <c r="E7681" i="4"/>
  <c r="B6182" i="4"/>
  <c r="B6080" i="4"/>
  <c r="E5293" i="4"/>
  <c r="E9730" i="4"/>
  <c r="E6534" i="4"/>
  <c r="E4645" i="4"/>
  <c r="B7026" i="4"/>
  <c r="B5572" i="4"/>
  <c r="B8211" i="4"/>
  <c r="B6154" i="4"/>
  <c r="E5910" i="4"/>
  <c r="B6049" i="4"/>
  <c r="B6381" i="4"/>
  <c r="B4413" i="4"/>
  <c r="B4407" i="4"/>
  <c r="E6299" i="4"/>
  <c r="E8468" i="4"/>
  <c r="B5391" i="4"/>
  <c r="E8778" i="4"/>
  <c r="E5137" i="4"/>
  <c r="B3725" i="4"/>
  <c r="E3873" i="4"/>
  <c r="E4627" i="4"/>
  <c r="E2663" i="4"/>
  <c r="E6086" i="4"/>
  <c r="B10332" i="4"/>
  <c r="B8262" i="4"/>
  <c r="E9069" i="4"/>
  <c r="B8533" i="4"/>
  <c r="E7871" i="4"/>
  <c r="E7113" i="4"/>
  <c r="B7051" i="4"/>
  <c r="E8130" i="4"/>
  <c r="E8739" i="4"/>
  <c r="E7188" i="4"/>
  <c r="E6478" i="4"/>
  <c r="E7152" i="4"/>
  <c r="B7727" i="4"/>
  <c r="E7691" i="4"/>
  <c r="E4326" i="4"/>
  <c r="B6741" i="4"/>
  <c r="B8095" i="4"/>
  <c r="E5758" i="4"/>
  <c r="E5957" i="4"/>
  <c r="E6725" i="4"/>
  <c r="E9385" i="4"/>
  <c r="B8375" i="4"/>
  <c r="E8233" i="4"/>
  <c r="E7199" i="4"/>
  <c r="B7921" i="4"/>
  <c r="E9153" i="4"/>
  <c r="B5465" i="4"/>
  <c r="B7916" i="4"/>
  <c r="E5419" i="4"/>
  <c r="E7905" i="4"/>
  <c r="B5407" i="4"/>
  <c r="B6217" i="4"/>
  <c r="B7918" i="4"/>
  <c r="E6395" i="4"/>
  <c r="B7613" i="4"/>
  <c r="B6333" i="4"/>
  <c r="B5672" i="4"/>
  <c r="B5633" i="4"/>
  <c r="B6894" i="4"/>
  <c r="B9035" i="4"/>
  <c r="B5832" i="4"/>
  <c r="B4309" i="4"/>
  <c r="E7366" i="4"/>
  <c r="B5188" i="4"/>
  <c r="E7767" i="4"/>
  <c r="E4934" i="4"/>
  <c r="E6596" i="4"/>
  <c r="E6967" i="4"/>
  <c r="E4898" i="4"/>
  <c r="B4049" i="4"/>
  <c r="E10514" i="4"/>
  <c r="E6180" i="4"/>
  <c r="E7597" i="4"/>
  <c r="E7879" i="4"/>
  <c r="E7818" i="4"/>
  <c r="B4526" i="4"/>
  <c r="E3382" i="4"/>
  <c r="E3935" i="4"/>
  <c r="B4097" i="4"/>
  <c r="E2471" i="4"/>
  <c r="E5426" i="4"/>
  <c r="B4490" i="4"/>
  <c r="E3337" i="4"/>
  <c r="E6402" i="4"/>
  <c r="B9698" i="4"/>
  <c r="E10486" i="4"/>
  <c r="B7966" i="4"/>
  <c r="B8316" i="4"/>
  <c r="E7004" i="4"/>
  <c r="B6432" i="4"/>
  <c r="E6957" i="4"/>
  <c r="E7320" i="4"/>
  <c r="B8087" i="4"/>
  <c r="E9018" i="4"/>
  <c r="B5294" i="4"/>
  <c r="B6833" i="4"/>
  <c r="B7282" i="4"/>
  <c r="B6754" i="4"/>
  <c r="E7819" i="4"/>
  <c r="E5024" i="4"/>
  <c r="E7397" i="4"/>
  <c r="E5609" i="4"/>
  <c r="B9355" i="4"/>
  <c r="B7961" i="4"/>
  <c r="E6936" i="4"/>
  <c r="E7305" i="4"/>
  <c r="E6044" i="4"/>
  <c r="B6879" i="4"/>
  <c r="E6869" i="4"/>
  <c r="B9536" i="4"/>
  <c r="B3904" i="4"/>
  <c r="B6825" i="4"/>
  <c r="B4166" i="4"/>
  <c r="B9996" i="4"/>
  <c r="B9723" i="4"/>
  <c r="E8532" i="4"/>
  <c r="E9083" i="4"/>
  <c r="B8285" i="4"/>
  <c r="B7189" i="4"/>
  <c r="B6796" i="4"/>
  <c r="E6805" i="4"/>
  <c r="B7845" i="4"/>
  <c r="E9948" i="4"/>
  <c r="B7224" i="4"/>
  <c r="E7603" i="4"/>
  <c r="B10462" i="4"/>
  <c r="B7333" i="4"/>
  <c r="E5467" i="4"/>
  <c r="E6640" i="4"/>
  <c r="E10400" i="4"/>
  <c r="E6351" i="4"/>
  <c r="E6953" i="4"/>
  <c r="E8136" i="4"/>
  <c r="E6076" i="4"/>
  <c r="B9292" i="4"/>
  <c r="E8848" i="4"/>
  <c r="E7938" i="4"/>
  <c r="E8934" i="4"/>
  <c r="B9397" i="4"/>
  <c r="E6820" i="4"/>
  <c r="E3697" i="4"/>
  <c r="E5459" i="4"/>
  <c r="E4136" i="4"/>
  <c r="E9955" i="4"/>
  <c r="B8222" i="4"/>
  <c r="B9673" i="4"/>
  <c r="B8820" i="4"/>
  <c r="E6108" i="4"/>
  <c r="E6541" i="4"/>
  <c r="E5285" i="4"/>
  <c r="E6547" i="4"/>
  <c r="E10636" i="4"/>
  <c r="B10435" i="4"/>
  <c r="B6010" i="4"/>
  <c r="B5745" i="4"/>
  <c r="E6348" i="4"/>
  <c r="E8395" i="4"/>
  <c r="E8210" i="4"/>
  <c r="B5890" i="4"/>
  <c r="B6651" i="4"/>
  <c r="E7793" i="4"/>
  <c r="B8824" i="4"/>
  <c r="E8123" i="4"/>
  <c r="B6919" i="4"/>
  <c r="B6964" i="4"/>
  <c r="E6825" i="4"/>
  <c r="B6077" i="4"/>
  <c r="E6053" i="4"/>
  <c r="E5784" i="4"/>
  <c r="B3520" i="4"/>
  <c r="B7255" i="4"/>
  <c r="E3752" i="4"/>
  <c r="E9842" i="4"/>
  <c r="E8965" i="4"/>
  <c r="B7840" i="4"/>
  <c r="E8508" i="4"/>
  <c r="B8950" i="4"/>
  <c r="B6160" i="4"/>
  <c r="B7162" i="4"/>
  <c r="B8339" i="4"/>
  <c r="B8303" i="4"/>
  <c r="E7695" i="4"/>
  <c r="B5923" i="4"/>
  <c r="B7857" i="4"/>
  <c r="E8443" i="4"/>
  <c r="E8327" i="4"/>
  <c r="B7076" i="4"/>
  <c r="B5704" i="4"/>
  <c r="E9239" i="4"/>
  <c r="E6287" i="4"/>
  <c r="B6909" i="4"/>
  <c r="B10061" i="4"/>
  <c r="E8471" i="4"/>
  <c r="B7725" i="4"/>
  <c r="B8416" i="4"/>
  <c r="E7624" i="4"/>
  <c r="B8424" i="4"/>
  <c r="B7602" i="4"/>
  <c r="B4344" i="4"/>
  <c r="E8144" i="4"/>
  <c r="B4922" i="4"/>
  <c r="E8118" i="4"/>
  <c r="B9013" i="4"/>
  <c r="E10050" i="4"/>
  <c r="E8663" i="4"/>
  <c r="E8110" i="4"/>
  <c r="E6157" i="4"/>
  <c r="B10038" i="4"/>
  <c r="E9908" i="4"/>
  <c r="B6468" i="4"/>
  <c r="B10129" i="4"/>
  <c r="B10301" i="4"/>
  <c r="E8024" i="4"/>
  <c r="B9296" i="4"/>
  <c r="E9900" i="4"/>
  <c r="E7623" i="4"/>
  <c r="E7122" i="4"/>
  <c r="E7865" i="4"/>
  <c r="E10283" i="4"/>
  <c r="B6794" i="4"/>
  <c r="B7445" i="4"/>
  <c r="B6378" i="4"/>
  <c r="B7789" i="4"/>
  <c r="E7228" i="4"/>
  <c r="B7625" i="4"/>
  <c r="B7991" i="4"/>
  <c r="B8368" i="4"/>
  <c r="B8143" i="4"/>
  <c r="B6998" i="4"/>
  <c r="E6332" i="4"/>
  <c r="E8083" i="4"/>
  <c r="E6175" i="4"/>
  <c r="B10775" i="4"/>
  <c r="E10316" i="4"/>
  <c r="E10005" i="4"/>
  <c r="E9315" i="4"/>
  <c r="B8009" i="4"/>
  <c r="E10467" i="4"/>
  <c r="B8591" i="4"/>
  <c r="B7600" i="4"/>
  <c r="B7717" i="4"/>
  <c r="B5891" i="4"/>
  <c r="E7075" i="4"/>
  <c r="B8999" i="4"/>
  <c r="B7701" i="4"/>
  <c r="E8859" i="4"/>
  <c r="E9323" i="4"/>
  <c r="E8481" i="4"/>
  <c r="E8530" i="4"/>
  <c r="B8573" i="4"/>
  <c r="B7093" i="4"/>
  <c r="B7597" i="4"/>
  <c r="E5932" i="4"/>
  <c r="B8718" i="4"/>
  <c r="B8187" i="4"/>
  <c r="E10756" i="4"/>
  <c r="E10345" i="4"/>
  <c r="B10089" i="4"/>
  <c r="E9873" i="4"/>
  <c r="E8217" i="4"/>
  <c r="B10787" i="4"/>
  <c r="B10506" i="4"/>
  <c r="E8129" i="4"/>
  <c r="E8544" i="4"/>
  <c r="B6324" i="4"/>
  <c r="E8273" i="4"/>
  <c r="E5165" i="4"/>
  <c r="E6434" i="4"/>
  <c r="B10572" i="4"/>
  <c r="E10271" i="4"/>
  <c r="B9326" i="4"/>
  <c r="E9249" i="4"/>
  <c r="E7861" i="4"/>
  <c r="B8260" i="4"/>
  <c r="B8701" i="4"/>
  <c r="E7182" i="4"/>
  <c r="E9550" i="4"/>
  <c r="E7189" i="4"/>
  <c r="E6465" i="4"/>
  <c r="B6962" i="4"/>
  <c r="E7908" i="4"/>
  <c r="B4785" i="4"/>
  <c r="E7615" i="4"/>
  <c r="E6652" i="4"/>
  <c r="E9503" i="4"/>
  <c r="E8516" i="4"/>
  <c r="E9984" i="4"/>
  <c r="B9221" i="4"/>
  <c r="E10672" i="4"/>
  <c r="E10031" i="4"/>
  <c r="B7763" i="4"/>
  <c r="E7011" i="4"/>
  <c r="B5952" i="4"/>
  <c r="B6441" i="4"/>
  <c r="B7979" i="4"/>
  <c r="B7110" i="4"/>
  <c r="B9678" i="4"/>
  <c r="E5116" i="4"/>
  <c r="B7665" i="4"/>
  <c r="B8682" i="4"/>
  <c r="E8074" i="4"/>
  <c r="B9353" i="4"/>
  <c r="E5814" i="4"/>
  <c r="E7607" i="4"/>
  <c r="E6063" i="4"/>
  <c r="B7176" i="4"/>
  <c r="B8157" i="4"/>
  <c r="B8190" i="4"/>
  <c r="B7509" i="4"/>
  <c r="E6516" i="4"/>
  <c r="E5869" i="4"/>
  <c r="B7336" i="4"/>
  <c r="B6314" i="4"/>
  <c r="B6861" i="4"/>
  <c r="B6365" i="4"/>
  <c r="B3561" i="4"/>
  <c r="B6356" i="4"/>
  <c r="B3553" i="4"/>
  <c r="B8708" i="4"/>
  <c r="E4888" i="4"/>
  <c r="E6875" i="4"/>
  <c r="B6509" i="4"/>
  <c r="B6072" i="4"/>
  <c r="E6316" i="4"/>
  <c r="B6274" i="4"/>
  <c r="E6305" i="4"/>
  <c r="B8540" i="4"/>
  <c r="B5300" i="4"/>
  <c r="E2900" i="4"/>
  <c r="B6181" i="4"/>
  <c r="B6082" i="4"/>
  <c r="E7297" i="4"/>
  <c r="B5635" i="4"/>
  <c r="E5201" i="4"/>
  <c r="E5886" i="4"/>
  <c r="B6070" i="4"/>
  <c r="E8435" i="4"/>
  <c r="B6005" i="4"/>
  <c r="B5808" i="4"/>
  <c r="B6402" i="4"/>
  <c r="B4535" i="4"/>
  <c r="E7739" i="4"/>
  <c r="B3473" i="4"/>
  <c r="E3593" i="4"/>
  <c r="B2675" i="4"/>
  <c r="E4697" i="4"/>
  <c r="B3540" i="4"/>
  <c r="B4502" i="4"/>
  <c r="E9442" i="4"/>
  <c r="E10826" i="4"/>
  <c r="B9020" i="4"/>
  <c r="B8057" i="4"/>
  <c r="B6795" i="4"/>
  <c r="B7305" i="4"/>
  <c r="B5269" i="4"/>
  <c r="B7139" i="4"/>
  <c r="B7805" i="4"/>
  <c r="B9341" i="4"/>
  <c r="B5141" i="4"/>
  <c r="E7384" i="4"/>
  <c r="E7237" i="4"/>
  <c r="E7053" i="4"/>
  <c r="E9001" i="4"/>
  <c r="B4777" i="4"/>
  <c r="E7155" i="4"/>
  <c r="E5445" i="4"/>
  <c r="B6685" i="4"/>
  <c r="B8340" i="4"/>
  <c r="E8584" i="4"/>
  <c r="B9058" i="4"/>
  <c r="B6159" i="4"/>
  <c r="B7152" i="4"/>
  <c r="B6767" i="4"/>
  <c r="E5793" i="4"/>
  <c r="E5226" i="4"/>
  <c r="B7223" i="4"/>
  <c r="B3369" i="4"/>
  <c r="E7202" i="4"/>
  <c r="B3361" i="4"/>
  <c r="B6528" i="4"/>
  <c r="B6316" i="4"/>
  <c r="B5876" i="4"/>
  <c r="B5750" i="4"/>
  <c r="B5518" i="4"/>
  <c r="E5660" i="4"/>
  <c r="E6359" i="4"/>
  <c r="B5110" i="4"/>
  <c r="B6668" i="4"/>
  <c r="B4876" i="4"/>
  <c r="B6549" i="4"/>
  <c r="E6719" i="4"/>
  <c r="B4948" i="4"/>
  <c r="B7636" i="4"/>
  <c r="E4778" i="4"/>
  <c r="E4648" i="4"/>
  <c r="B6393" i="4"/>
  <c r="E6077" i="4"/>
  <c r="B4996" i="4"/>
  <c r="E8768" i="4"/>
  <c r="E6457" i="4"/>
  <c r="B9597" i="4"/>
  <c r="B4231" i="4"/>
  <c r="E9844" i="4"/>
  <c r="B5533" i="4"/>
  <c r="B3062" i="4"/>
  <c r="E2133" i="4"/>
  <c r="E4111" i="4"/>
  <c r="E3027" i="4"/>
  <c r="B5953" i="4"/>
  <c r="B10080" i="4"/>
  <c r="E10738" i="4"/>
  <c r="B9362" i="4"/>
  <c r="E7667" i="4"/>
  <c r="B6453" i="4"/>
  <c r="B6389" i="4"/>
  <c r="B4993" i="4"/>
  <c r="B6596" i="4"/>
  <c r="B7299" i="4"/>
  <c r="B9976" i="4"/>
  <c r="B6630" i="4"/>
  <c r="B6656" i="4"/>
  <c r="E8364" i="4"/>
  <c r="B8022" i="4"/>
  <c r="B9043" i="4"/>
  <c r="E6463" i="4"/>
  <c r="E7782" i="4"/>
  <c r="E5117" i="4"/>
  <c r="B10473" i="4"/>
  <c r="B9183" i="4"/>
  <c r="E9178" i="4"/>
  <c r="E7621" i="4"/>
  <c r="E7669" i="4"/>
  <c r="B6593" i="4"/>
  <c r="E6374" i="4"/>
  <c r="E7999" i="4"/>
  <c r="B4711" i="4"/>
  <c r="E6259" i="4"/>
  <c r="E5749" i="4"/>
  <c r="E6250" i="4"/>
  <c r="E5636" i="4"/>
  <c r="B7681" i="4"/>
  <c r="B5570" i="4"/>
  <c r="E7043" i="4"/>
  <c r="B6372" i="4"/>
  <c r="B5057" i="4"/>
  <c r="B5225" i="4"/>
  <c r="E5630" i="4"/>
  <c r="E4544" i="4"/>
  <c r="E7107" i="4"/>
  <c r="E4534" i="4"/>
  <c r="B4787" i="4"/>
  <c r="E5995" i="4"/>
  <c r="E4575" i="4"/>
  <c r="E6426" i="4"/>
  <c r="B4352" i="4"/>
  <c r="B4334" i="4"/>
  <c r="B7043" i="4"/>
  <c r="E6117" i="4"/>
  <c r="B6075" i="4"/>
  <c r="E7333" i="4"/>
  <c r="E5323" i="4"/>
  <c r="E5905" i="4"/>
  <c r="B5612" i="4"/>
  <c r="E8227" i="4"/>
  <c r="E4637" i="4"/>
  <c r="B2672" i="4"/>
  <c r="E1776" i="4"/>
  <c r="B5065" i="4"/>
  <c r="E2622" i="4"/>
  <c r="B5127" i="4"/>
  <c r="B9609" i="4"/>
  <c r="E10654" i="4"/>
  <c r="E9654" i="4"/>
  <c r="E7308" i="4"/>
  <c r="E6167" i="4"/>
  <c r="E6300" i="4"/>
  <c r="B4801" i="4"/>
  <c r="B8684" i="4"/>
  <c r="B8115" i="4"/>
  <c r="E9761" i="4"/>
  <c r="B5983" i="4"/>
  <c r="B6163" i="4"/>
  <c r="B7438" i="4"/>
  <c r="E6982" i="4"/>
  <c r="E8744" i="4"/>
  <c r="E5846" i="4"/>
  <c r="E7195" i="4"/>
  <c r="B4780" i="4"/>
  <c r="E9614" i="4"/>
  <c r="B9395" i="4"/>
  <c r="E7342" i="4"/>
  <c r="B7086" i="4"/>
  <c r="B6836" i="4"/>
  <c r="B6226" i="4"/>
  <c r="B6046" i="4"/>
  <c r="E6401" i="4"/>
  <c r="B4412" i="4"/>
  <c r="B7151" i="4"/>
  <c r="B4845" i="4"/>
  <c r="E7131" i="4"/>
  <c r="E4830" i="4"/>
  <c r="B6465" i="4"/>
  <c r="E5157" i="4"/>
  <c r="B6023" i="4"/>
  <c r="B6839" i="4"/>
  <c r="E6484" i="4"/>
  <c r="E4856" i="4"/>
  <c r="E5133" i="4"/>
  <c r="B4201" i="4"/>
  <c r="E7537" i="4"/>
  <c r="E4294" i="4"/>
  <c r="B4071" i="4"/>
  <c r="E6682" i="4"/>
  <c r="B4210" i="4"/>
  <c r="B6444" i="4"/>
  <c r="B5109" i="4"/>
  <c r="E5625" i="4"/>
  <c r="B5909" i="4"/>
  <c r="B6045" i="4"/>
  <c r="B4814" i="4"/>
  <c r="B8557" i="4"/>
  <c r="E4876" i="4"/>
  <c r="E6576" i="4"/>
  <c r="E4962" i="4"/>
  <c r="B5862" i="4"/>
  <c r="B4114" i="4"/>
  <c r="E2479" i="4"/>
  <c r="B1471" i="4"/>
  <c r="B4410" i="4"/>
  <c r="B4200" i="4"/>
  <c r="B5471" i="4"/>
  <c r="E10554" i="4"/>
  <c r="E10834" i="4"/>
  <c r="E8088" i="4"/>
  <c r="E7068" i="4"/>
  <c r="E7601" i="4"/>
  <c r="E7061" i="4"/>
  <c r="E4904" i="4"/>
  <c r="E7732" i="4"/>
  <c r="E7473" i="4"/>
  <c r="B9458" i="4"/>
  <c r="E5598" i="4"/>
  <c r="B8536" i="4"/>
  <c r="E8969" i="4"/>
  <c r="B7256" i="4"/>
  <c r="B9159" i="4"/>
  <c r="B5382" i="4"/>
  <c r="B8255" i="4"/>
  <c r="B6820" i="4"/>
  <c r="E9727" i="4"/>
  <c r="B7678" i="4"/>
  <c r="E7733" i="4"/>
  <c r="E7940" i="4"/>
  <c r="E6416" i="4"/>
  <c r="B7408" i="4"/>
  <c r="B7899" i="4"/>
  <c r="B5785" i="4"/>
  <c r="E4104" i="4"/>
  <c r="B7202" i="4"/>
  <c r="B4524" i="4"/>
  <c r="E7165" i="4"/>
  <c r="E4504" i="4"/>
  <c r="B7910" i="4"/>
  <c r="B6177" i="4"/>
  <c r="B5578" i="4"/>
  <c r="E5865" i="4"/>
  <c r="E5730" i="4"/>
  <c r="B6196" i="4"/>
  <c r="B6317" i="4"/>
  <c r="B5829" i="4"/>
  <c r="B7474" i="4"/>
  <c r="B5863" i="4"/>
  <c r="E3708" i="4"/>
  <c r="E6046" i="4"/>
  <c r="E3976" i="4"/>
  <c r="E6535" i="4"/>
  <c r="E6302" i="4"/>
  <c r="B6551" i="4"/>
  <c r="E7024" i="4"/>
  <c r="E5972" i="4"/>
  <c r="E4370" i="4"/>
  <c r="B6773" i="4"/>
  <c r="B6248" i="4"/>
  <c r="E6432" i="4"/>
  <c r="E4526" i="4"/>
  <c r="E6467" i="4"/>
  <c r="E3776" i="4"/>
  <c r="E2287" i="4"/>
  <c r="B1198" i="4"/>
  <c r="B4022" i="4"/>
  <c r="E3521" i="4"/>
  <c r="E5396" i="4"/>
  <c r="E5542" i="4"/>
  <c r="B1663" i="4"/>
  <c r="B5068" i="4"/>
  <c r="B9660" i="4"/>
  <c r="B9736" i="4"/>
  <c r="B9611" i="4"/>
  <c r="B6783" i="4"/>
  <c r="E5599" i="4"/>
  <c r="B8036" i="4"/>
  <c r="E7878" i="4"/>
  <c r="E8076" i="4"/>
  <c r="B7357" i="4"/>
  <c r="B9039" i="4"/>
  <c r="B8589" i="4"/>
  <c r="B5252" i="4"/>
  <c r="E7254" i="4"/>
  <c r="E6924" i="4"/>
  <c r="B6540" i="4"/>
  <c r="B4744" i="4"/>
  <c r="E6570" i="4"/>
  <c r="E7682" i="4"/>
  <c r="E7990" i="4"/>
  <c r="E8805" i="4"/>
  <c r="E5933" i="4"/>
  <c r="E7571" i="4"/>
  <c r="B7457" i="4"/>
  <c r="B6423" i="4"/>
  <c r="E7423" i="4"/>
  <c r="E5700" i="4"/>
  <c r="B4162" i="4"/>
  <c r="E6485" i="4"/>
  <c r="B4138" i="4"/>
  <c r="E8590" i="4"/>
  <c r="B10035" i="4"/>
  <c r="B7173" i="4"/>
  <c r="B8517" i="4"/>
  <c r="E8465" i="4"/>
  <c r="E6709" i="4"/>
  <c r="B7000" i="4"/>
  <c r="B9094" i="4"/>
  <c r="E7894" i="4"/>
  <c r="E7686" i="4"/>
  <c r="B6686" i="4"/>
  <c r="B6210" i="4"/>
  <c r="B7332" i="4"/>
  <c r="E7841" i="4"/>
  <c r="B5138" i="4"/>
  <c r="E5768" i="4"/>
  <c r="E8133" i="4"/>
  <c r="E5789" i="4"/>
  <c r="E6816" i="4"/>
  <c r="E6959" i="4"/>
  <c r="E8320" i="4"/>
  <c r="B8160" i="4"/>
  <c r="E8112" i="4"/>
  <c r="E7769" i="4"/>
  <c r="E8458" i="4"/>
  <c r="B7288" i="4"/>
  <c r="E5533" i="4"/>
  <c r="B9182" i="4"/>
  <c r="B5904" i="4"/>
  <c r="B9130" i="4"/>
  <c r="E8470" i="4"/>
  <c r="B10538" i="4"/>
  <c r="E8630" i="4"/>
  <c r="E6624" i="4"/>
  <c r="B4817" i="4"/>
  <c r="B8779" i="4"/>
  <c r="E7921" i="4"/>
  <c r="E8609" i="4"/>
  <c r="E7937" i="4"/>
  <c r="B7806" i="4"/>
  <c r="B8290" i="4"/>
  <c r="B6161" i="4"/>
  <c r="B6781" i="4"/>
  <c r="E6843" i="4"/>
  <c r="E6918" i="4"/>
  <c r="E5022" i="4"/>
  <c r="E9057" i="4"/>
  <c r="E8370" i="4"/>
  <c r="E8903" i="4"/>
  <c r="E8304" i="4"/>
  <c r="B6709" i="4"/>
  <c r="E8653" i="4"/>
  <c r="B5914" i="4"/>
  <c r="E5656" i="4"/>
  <c r="E5835" i="4"/>
  <c r="B6461" i="4"/>
  <c r="B4571" i="4"/>
  <c r="E5772" i="4"/>
  <c r="B4581" i="4"/>
  <c r="E10729" i="4"/>
  <c r="E9101" i="4"/>
  <c r="E10879" i="4"/>
  <c r="B8013" i="4"/>
  <c r="B8560" i="4"/>
  <c r="B6148" i="4"/>
  <c r="B8049" i="4"/>
  <c r="B8011" i="4"/>
  <c r="E10528" i="4"/>
  <c r="E9357" i="4"/>
  <c r="E5659" i="4"/>
  <c r="B5553" i="4"/>
  <c r="B6022" i="4"/>
  <c r="E7013" i="4"/>
  <c r="B9289" i="4"/>
  <c r="B5469" i="4"/>
  <c r="B6322" i="4"/>
  <c r="E5755" i="4"/>
  <c r="B9549" i="4"/>
  <c r="E7348" i="4"/>
  <c r="B6484" i="4"/>
  <c r="B6575" i="4"/>
  <c r="E7467" i="4"/>
  <c r="E7407" i="4"/>
  <c r="B8328" i="4"/>
  <c r="E6323" i="4"/>
  <c r="E6078" i="4"/>
  <c r="B7424" i="4"/>
  <c r="E3560" i="4"/>
  <c r="E9502" i="4"/>
  <c r="B9576" i="4"/>
  <c r="E8220" i="4"/>
  <c r="E8881" i="4"/>
  <c r="E10353" i="4"/>
  <c r="B7637" i="4"/>
  <c r="B8008" i="4"/>
  <c r="B8941" i="4"/>
  <c r="B5843" i="4"/>
  <c r="E7948" i="4"/>
  <c r="E8964" i="4"/>
  <c r="B9858" i="4"/>
  <c r="E8549" i="4"/>
  <c r="E8791" i="4"/>
  <c r="B7488" i="4"/>
  <c r="E6010" i="4"/>
  <c r="E9353" i="4"/>
  <c r="E8576" i="4"/>
  <c r="E6311" i="4"/>
  <c r="E7486" i="4"/>
  <c r="B5996" i="4"/>
  <c r="E7539" i="4"/>
  <c r="B8117" i="4"/>
  <c r="E7069" i="4"/>
  <c r="B6988" i="4"/>
  <c r="B7986" i="4"/>
  <c r="E9806" i="4"/>
  <c r="B7275" i="4"/>
  <c r="E5771" i="4"/>
  <c r="E9081" i="4"/>
  <c r="B7063" i="4"/>
  <c r="E10295" i="4"/>
  <c r="E9613" i="4"/>
  <c r="E10766" i="4"/>
  <c r="E8161" i="4"/>
  <c r="E9398" i="4"/>
  <c r="E10307" i="4"/>
  <c r="E8132" i="4"/>
  <c r="E6477" i="4"/>
  <c r="E7391" i="4"/>
  <c r="B10885" i="4"/>
  <c r="B7669" i="4"/>
  <c r="B7165" i="4"/>
  <c r="B6079" i="4"/>
  <c r="B7429" i="4"/>
  <c r="E9131" i="4"/>
  <c r="B7356" i="4"/>
  <c r="E8275" i="4"/>
  <c r="E7945" i="4"/>
  <c r="B7733" i="4"/>
  <c r="B8892" i="4"/>
  <c r="E8213" i="4"/>
  <c r="B7628" i="4"/>
  <c r="E8252" i="4"/>
  <c r="E10442" i="4"/>
  <c r="E10131" i="4"/>
  <c r="B8773" i="4"/>
  <c r="E8677" i="4"/>
  <c r="E9395" i="4"/>
  <c r="B9968" i="4"/>
  <c r="E9446" i="4"/>
  <c r="B6665" i="4"/>
  <c r="E8081" i="4"/>
  <c r="B5295" i="4"/>
  <c r="B7029" i="4"/>
  <c r="B8578" i="4"/>
  <c r="E7534" i="4"/>
  <c r="E9361" i="4"/>
  <c r="B8501" i="4"/>
  <c r="B8541" i="4"/>
  <c r="B8597" i="4"/>
  <c r="B7117" i="4"/>
  <c r="E8095" i="4"/>
  <c r="B8082" i="4"/>
  <c r="E8216" i="4"/>
  <c r="B8079" i="4"/>
  <c r="E6480" i="4"/>
  <c r="B7254" i="4"/>
  <c r="E5997" i="4"/>
  <c r="B6671" i="4"/>
  <c r="E5449" i="4"/>
  <c r="E9419" i="4"/>
  <c r="B5242" i="4"/>
  <c r="E7692" i="4"/>
  <c r="B5435" i="4"/>
  <c r="E9253" i="4"/>
  <c r="E10644" i="4"/>
  <c r="B10334" i="4"/>
  <c r="B9646" i="4"/>
  <c r="E6806" i="4"/>
  <c r="E7617" i="4"/>
  <c r="B9924" i="4"/>
  <c r="B9864" i="4"/>
  <c r="E9298" i="4"/>
  <c r="B7852" i="4"/>
  <c r="B9134" i="4"/>
  <c r="E8478" i="4"/>
  <c r="B6212" i="4"/>
  <c r="E7490" i="4"/>
  <c r="B5712" i="4"/>
  <c r="E9303" i="4"/>
  <c r="B5830" i="4"/>
  <c r="B6726" i="4"/>
  <c r="E9648" i="4"/>
  <c r="B7569" i="4"/>
  <c r="E6848" i="4"/>
  <c r="E6243" i="4"/>
  <c r="E8323" i="4"/>
  <c r="B5999" i="4"/>
  <c r="B7095" i="4"/>
  <c r="B6648" i="4"/>
  <c r="B6664" i="4"/>
  <c r="E4251" i="4"/>
  <c r="B8515" i="4"/>
  <c r="E4541" i="4"/>
  <c r="B7911" i="4"/>
  <c r="B4532" i="4"/>
  <c r="E5945" i="4"/>
  <c r="E9039" i="4"/>
  <c r="E9757" i="4"/>
  <c r="E7180" i="4"/>
  <c r="E8449" i="4"/>
  <c r="B9088" i="4"/>
  <c r="B5899" i="4"/>
  <c r="B4380" i="4"/>
  <c r="E9103" i="4"/>
  <c r="B5285" i="4"/>
  <c r="B3257" i="4"/>
  <c r="B5268" i="4"/>
  <c r="B4803" i="4"/>
  <c r="E6807" i="4"/>
  <c r="E2970" i="4"/>
  <c r="B3817" i="4"/>
  <c r="E5607" i="4"/>
  <c r="B6105" i="4"/>
  <c r="B7967" i="4"/>
  <c r="E6880" i="4"/>
  <c r="B7942" i="4"/>
  <c r="E6051" i="4"/>
  <c r="E7368" i="4"/>
  <c r="B6137" i="4"/>
  <c r="B4129" i="4"/>
  <c r="B3038" i="4"/>
  <c r="E6452" i="4"/>
  <c r="B4044" i="4"/>
  <c r="E2811" i="4"/>
  <c r="E3736" i="4"/>
  <c r="B10554" i="4"/>
  <c r="E8823" i="4"/>
  <c r="B10134" i="4"/>
  <c r="B6992" i="4"/>
  <c r="E5530" i="4"/>
  <c r="B9263" i="4"/>
  <c r="E7957" i="4"/>
  <c r="B9049" i="4"/>
  <c r="E7850" i="4"/>
  <c r="E8751" i="4"/>
  <c r="B7779" i="4"/>
  <c r="E6220" i="4"/>
  <c r="B6813" i="4"/>
  <c r="B8709" i="4"/>
  <c r="E7888" i="4"/>
  <c r="E5493" i="4"/>
  <c r="E7424" i="4"/>
  <c r="B8604" i="4"/>
  <c r="E7915" i="4"/>
  <c r="B8457" i="4"/>
  <c r="B5918" i="4"/>
  <c r="E7066" i="4"/>
  <c r="E5688" i="4"/>
  <c r="E6368" i="4"/>
  <c r="B7385" i="4"/>
  <c r="B5880" i="4"/>
  <c r="B4014" i="4"/>
  <c r="E6500" i="4"/>
  <c r="B4217" i="4"/>
  <c r="E6476" i="4"/>
  <c r="E4199" i="4"/>
  <c r="E7173" i="4"/>
  <c r="E7616" i="4"/>
  <c r="B7858" i="4"/>
  <c r="B8907" i="4"/>
  <c r="E8618" i="4"/>
  <c r="E8914" i="4"/>
  <c r="B5507" i="4"/>
  <c r="E4054" i="4"/>
  <c r="E6666" i="4"/>
  <c r="B4999" i="4"/>
  <c r="B2969" i="4"/>
  <c r="E6956" i="4"/>
  <c r="B5963" i="4"/>
  <c r="E5225" i="4"/>
  <c r="B6360" i="4"/>
  <c r="B3545" i="4"/>
  <c r="B6495" i="4"/>
  <c r="B5108" i="4"/>
  <c r="B8585" i="4"/>
  <c r="E5346" i="4"/>
  <c r="B5902" i="4"/>
  <c r="B6566" i="4"/>
  <c r="E7820" i="4"/>
  <c r="B6351" i="4"/>
  <c r="B5081" i="4"/>
  <c r="E2630" i="4"/>
  <c r="B7295" i="4"/>
  <c r="E3575" i="4"/>
  <c r="B2573" i="4"/>
  <c r="E3448" i="4"/>
  <c r="E10425" i="4"/>
  <c r="B9387" i="4"/>
  <c r="E10670" i="4"/>
  <c r="B6639" i="4"/>
  <c r="B5217" i="4"/>
  <c r="B9075" i="4"/>
  <c r="B8362" i="4"/>
  <c r="B8982" i="4"/>
  <c r="B7471" i="4"/>
  <c r="B7949" i="4"/>
  <c r="B8942" i="4"/>
  <c r="E6700" i="4"/>
  <c r="E8474" i="4"/>
  <c r="E6685" i="4"/>
  <c r="B7024" i="4"/>
  <c r="E5908" i="4"/>
  <c r="E6773" i="4"/>
  <c r="B9017" i="4"/>
  <c r="B7236" i="4"/>
  <c r="B7230" i="4"/>
  <c r="E7281" i="4"/>
  <c r="B8927" i="4"/>
  <c r="B8364" i="4"/>
  <c r="B5906" i="4"/>
  <c r="B6802" i="4"/>
  <c r="B5330" i="4"/>
  <c r="B5405" i="4"/>
  <c r="E8356" i="4"/>
  <c r="E5462" i="4"/>
  <c r="B8099" i="4"/>
  <c r="E5436" i="4"/>
  <c r="E6102" i="4"/>
  <c r="B7237" i="4"/>
  <c r="B7558" i="4"/>
  <c r="E10385" i="4"/>
  <c r="B9312" i="4"/>
  <c r="E9045" i="4"/>
  <c r="B6505" i="4"/>
  <c r="E5492" i="4"/>
  <c r="B6812" i="4"/>
  <c r="B6403" i="4"/>
  <c r="B4864" i="4"/>
  <c r="E5935" i="4"/>
  <c r="E5013" i="4"/>
  <c r="B6697" i="4"/>
  <c r="E10480" i="4"/>
  <c r="B3305" i="4"/>
  <c r="E5409" i="4"/>
  <c r="E5924" i="4"/>
  <c r="B7119" i="4"/>
  <c r="E6103" i="4"/>
  <c r="E5917" i="4"/>
  <c r="E5667" i="4"/>
  <c r="E6517" i="4"/>
  <c r="B10800" i="4"/>
  <c r="E4469" i="4"/>
  <c r="E4229" i="4"/>
  <c r="E7570" i="4"/>
  <c r="B3205" i="4"/>
  <c r="B2381" i="4"/>
  <c r="B5227" i="4"/>
  <c r="E9764" i="4"/>
  <c r="E8879" i="4"/>
  <c r="B9941" i="4"/>
  <c r="E7812" i="4"/>
  <c r="B7001" i="4"/>
  <c r="E8770" i="4"/>
  <c r="B7715" i="4"/>
  <c r="E8319" i="4"/>
  <c r="E8282" i="4"/>
  <c r="E7541" i="4"/>
  <c r="E8148" i="4"/>
  <c r="B5948" i="4"/>
  <c r="E7025" i="4"/>
  <c r="B8516" i="4"/>
  <c r="E7846" i="4"/>
  <c r="B5357" i="4"/>
  <c r="E8247" i="4"/>
  <c r="B8986" i="4"/>
  <c r="B7993" i="4"/>
  <c r="E8383" i="4"/>
  <c r="B6728" i="4"/>
  <c r="B7274" i="4"/>
  <c r="E6591" i="4"/>
  <c r="B5625" i="4"/>
  <c r="E7383" i="4"/>
  <c r="E4960" i="4"/>
  <c r="E4838" i="4"/>
  <c r="B6420" i="4"/>
  <c r="B4842" i="4"/>
  <c r="E6407" i="4"/>
  <c r="B4827" i="4"/>
  <c r="B5607" i="4"/>
  <c r="B7704" i="4"/>
  <c r="E8155" i="4"/>
  <c r="E9471" i="4"/>
  <c r="B7077" i="4"/>
  <c r="E9776" i="4"/>
  <c r="E5769" i="4"/>
  <c r="E4841" i="4"/>
  <c r="B6821" i="4"/>
  <c r="E5441" i="4"/>
  <c r="E4268" i="4"/>
  <c r="B6800" i="4"/>
  <c r="B4594" i="4"/>
  <c r="E5338" i="4"/>
  <c r="E9570" i="4"/>
  <c r="B5051" i="4"/>
  <c r="E5572" i="4"/>
  <c r="E7110" i="4"/>
  <c r="B7498" i="4"/>
  <c r="E5899" i="4"/>
  <c r="B7781" i="4"/>
  <c r="E6524" i="4"/>
  <c r="E6574" i="4"/>
  <c r="E8877" i="4"/>
  <c r="B4030" i="4"/>
  <c r="E3539" i="4"/>
  <c r="B7459" i="4"/>
  <c r="E2864" i="4"/>
  <c r="B4249" i="4"/>
  <c r="B4443" i="4"/>
  <c r="E10000" i="4"/>
  <c r="B8753" i="4"/>
  <c r="E10599" i="4"/>
  <c r="B7113" i="4"/>
  <c r="B6057" i="4"/>
  <c r="B8900" i="4"/>
  <c r="E8717" i="4"/>
  <c r="B8553" i="4"/>
  <c r="E7727" i="4"/>
  <c r="B7284" i="4"/>
  <c r="E7626" i="4"/>
  <c r="B5571" i="4"/>
  <c r="E6618" i="4"/>
  <c r="B6559" i="4"/>
  <c r="E6997" i="4"/>
  <c r="E5064" i="4"/>
  <c r="E6991" i="4"/>
  <c r="B9909" i="4"/>
  <c r="B8243" i="4"/>
  <c r="B8884" i="4"/>
  <c r="E6209" i="4"/>
  <c r="B6687" i="4"/>
  <c r="E6098" i="4"/>
  <c r="B7508" i="4"/>
  <c r="E6810" i="4"/>
  <c r="B6538" i="4"/>
  <c r="E4529" i="4"/>
  <c r="B8616" i="4"/>
  <c r="B4501" i="4"/>
  <c r="B8159" i="4"/>
  <c r="E4481" i="4"/>
  <c r="E9669" i="4"/>
  <c r="B8458" i="4"/>
  <c r="B7120" i="4"/>
  <c r="E7837" i="4"/>
  <c r="E7172" i="4"/>
  <c r="E8009" i="4"/>
  <c r="E7243" i="4"/>
  <c r="E4400" i="4"/>
  <c r="E6759" i="4"/>
  <c r="E5081" i="4"/>
  <c r="E3847" i="4"/>
  <c r="E5800" i="4"/>
  <c r="E4252" i="4"/>
  <c r="B6599" i="4"/>
  <c r="B9078" i="4"/>
  <c r="E4483" i="4"/>
  <c r="B7793" i="4"/>
  <c r="B5390" i="4"/>
  <c r="E7749" i="4"/>
  <c r="B5638" i="4"/>
  <c r="B7703" i="4"/>
  <c r="E5756" i="4"/>
  <c r="E6631" i="4"/>
  <c r="E8347" i="4"/>
  <c r="B5196" i="4"/>
  <c r="B3159" i="4"/>
  <c r="B6446" i="4"/>
  <c r="E4955" i="4"/>
  <c r="E3451" i="4"/>
  <c r="B5964" i="4"/>
  <c r="B4560" i="4"/>
  <c r="B7788" i="4"/>
  <c r="B4696" i="4"/>
  <c r="B7802" i="4"/>
  <c r="E8900" i="4"/>
  <c r="E9283" i="4"/>
  <c r="B7586" i="4"/>
  <c r="B8742" i="4"/>
  <c r="E7463" i="4"/>
  <c r="B7452" i="4"/>
  <c r="E7031" i="4"/>
  <c r="B10477" i="4"/>
  <c r="B6038" i="4"/>
  <c r="B8947" i="4"/>
  <c r="E10732" i="4"/>
  <c r="B8227" i="4"/>
  <c r="B5935" i="4"/>
  <c r="B8477" i="4"/>
  <c r="B10610" i="4"/>
  <c r="E7177" i="4"/>
  <c r="B6980" i="4"/>
  <c r="E7355" i="4"/>
  <c r="E6525" i="4"/>
  <c r="B10196" i="4"/>
  <c r="B8648" i="4"/>
  <c r="B9567" i="4"/>
  <c r="B8430" i="4"/>
  <c r="B8598" i="4"/>
  <c r="E4430" i="4"/>
  <c r="B4108" i="4"/>
  <c r="B6370" i="4"/>
  <c r="E4763" i="4"/>
  <c r="B10046" i="4"/>
  <c r="E9287" i="4"/>
  <c r="E9926" i="4"/>
  <c r="E7684" i="4"/>
  <c r="E6425" i="4"/>
  <c r="E7057" i="4"/>
  <c r="B5599" i="4"/>
  <c r="E6739" i="4"/>
  <c r="B10560" i="4"/>
  <c r="B9097" i="4"/>
  <c r="B6694" i="4"/>
  <c r="B6009" i="4"/>
  <c r="E6689" i="4"/>
  <c r="E6802" i="4"/>
  <c r="B7515" i="4"/>
  <c r="E7723" i="4"/>
  <c r="E7185" i="4"/>
  <c r="E5221" i="4"/>
  <c r="E9090" i="4"/>
  <c r="B7269" i="4"/>
  <c r="B7629" i="4"/>
  <c r="E7984" i="4"/>
  <c r="B7518" i="4"/>
  <c r="E6479" i="4"/>
  <c r="E6391" i="4"/>
  <c r="B6467" i="4"/>
  <c r="B3712" i="4"/>
  <c r="B6877" i="4"/>
  <c r="E3944" i="4"/>
  <c r="B9085" i="4"/>
  <c r="E9480" i="4"/>
  <c r="B7722" i="4"/>
  <c r="E8919" i="4"/>
  <c r="E6371" i="4"/>
  <c r="E8871" i="4"/>
  <c r="E7944" i="4"/>
  <c r="B6604" i="4"/>
  <c r="B7320" i="4"/>
  <c r="E9477" i="4"/>
  <c r="E6785" i="4"/>
  <c r="B8479" i="4"/>
  <c r="E9534" i="4"/>
  <c r="B7316" i="4"/>
  <c r="B6309" i="4"/>
  <c r="B6295" i="4"/>
  <c r="E10054" i="4"/>
  <c r="B6808" i="4"/>
  <c r="B6508" i="4"/>
  <c r="E6994" i="4"/>
  <c r="E7702" i="4"/>
  <c r="B9578" i="4"/>
  <c r="E8699" i="4"/>
  <c r="E8360" i="4"/>
  <c r="B8567" i="4"/>
  <c r="B8888" i="4"/>
  <c r="E5626" i="4"/>
  <c r="E4863" i="4"/>
  <c r="B5107" i="4"/>
  <c r="B3758" i="4"/>
  <c r="E10417" i="4"/>
  <c r="E9990" i="4"/>
  <c r="E10313" i="4"/>
  <c r="B6131" i="4"/>
  <c r="E7048" i="4"/>
  <c r="E7904" i="4"/>
  <c r="E8690" i="4"/>
  <c r="B8120" i="4"/>
  <c r="E9130" i="4"/>
  <c r="B9129" i="4"/>
  <c r="B7810" i="4"/>
  <c r="E5641" i="4"/>
  <c r="B10770" i="4"/>
  <c r="B6232" i="4"/>
  <c r="B9060" i="4"/>
  <c r="E4743" i="4"/>
  <c r="B6562" i="4"/>
  <c r="B9323" i="4"/>
  <c r="B7796" i="4"/>
  <c r="E7378" i="4"/>
  <c r="B6330" i="4"/>
  <c r="B6949" i="4"/>
  <c r="B5616" i="4"/>
  <c r="B7620" i="4"/>
  <c r="B6852" i="4"/>
  <c r="E5669" i="4"/>
  <c r="B4059" i="4"/>
  <c r="E6632" i="4"/>
  <c r="E4242" i="4"/>
  <c r="E10637" i="4"/>
  <c r="B10694" i="4"/>
  <c r="E7636" i="4"/>
  <c r="B7928" i="4"/>
  <c r="B8107" i="4"/>
  <c r="B5950" i="4"/>
  <c r="B6531" i="4"/>
  <c r="B7545" i="4"/>
  <c r="B10860" i="4"/>
  <c r="B10805" i="4"/>
  <c r="E9046" i="4"/>
  <c r="E7924" i="4"/>
  <c r="E8392" i="4"/>
  <c r="B8110" i="4"/>
  <c r="E8416" i="4"/>
  <c r="B8901" i="4"/>
  <c r="E6655" i="4"/>
  <c r="B8067" i="4"/>
  <c r="B5772" i="4"/>
  <c r="B7018" i="4"/>
  <c r="B10172" i="4"/>
  <c r="E10428" i="4"/>
  <c r="E10107" i="4"/>
  <c r="B9984" i="4"/>
  <c r="E8333" i="4"/>
  <c r="E8706" i="4"/>
  <c r="E8202" i="4"/>
  <c r="B6983" i="4"/>
  <c r="B10714" i="4"/>
  <c r="E7928" i="4"/>
  <c r="B5624" i="4"/>
  <c r="E9827" i="4"/>
  <c r="E7827" i="4"/>
  <c r="B10667" i="4"/>
  <c r="B9462" i="4"/>
  <c r="B8736" i="4"/>
  <c r="E9145" i="4"/>
  <c r="E8952" i="4"/>
  <c r="E5650" i="4"/>
  <c r="B7354" i="4"/>
  <c r="E9223" i="4"/>
  <c r="E5878" i="4"/>
  <c r="B7129" i="4"/>
  <c r="E5570" i="4"/>
  <c r="E8291" i="4"/>
  <c r="E7488" i="4"/>
  <c r="B6780" i="4"/>
  <c r="E9272" i="4"/>
  <c r="B10697" i="4"/>
  <c r="E10444" i="4"/>
  <c r="E8264" i="4"/>
  <c r="E5425" i="4"/>
  <c r="B8145" i="4"/>
  <c r="E6703" i="4"/>
  <c r="B10536" i="4"/>
  <c r="E9867" i="4"/>
  <c r="B9675" i="4"/>
  <c r="B7668" i="4"/>
  <c r="E8557" i="4"/>
  <c r="B9721" i="4"/>
  <c r="B10171" i="4"/>
  <c r="B6076" i="4"/>
  <c r="E7147" i="4"/>
  <c r="E9359" i="4"/>
  <c r="B6970" i="4"/>
  <c r="B7388" i="4"/>
  <c r="E6986" i="4"/>
  <c r="E9183" i="4"/>
  <c r="B7364" i="4"/>
  <c r="B8405" i="4"/>
  <c r="E8186" i="4"/>
  <c r="B7454" i="4"/>
  <c r="B6748" i="4"/>
  <c r="E8885" i="4"/>
  <c r="B7121" i="4"/>
  <c r="B8083" i="4"/>
  <c r="B7387" i="4"/>
  <c r="B10141" i="4"/>
  <c r="E6695" i="4"/>
  <c r="E7466" i="4"/>
  <c r="B5472" i="4"/>
  <c r="B7118" i="4"/>
  <c r="B6499" i="4"/>
  <c r="B8495" i="4"/>
  <c r="B6249" i="4"/>
  <c r="B7713" i="4"/>
  <c r="B10653" i="4"/>
  <c r="E10602" i="4"/>
  <c r="E8832" i="4"/>
  <c r="E7482" i="4"/>
  <c r="B9313" i="4"/>
  <c r="E8013" i="4"/>
  <c r="B8370" i="4"/>
  <c r="E7792" i="4"/>
  <c r="B6572" i="4"/>
  <c r="E7864" i="4"/>
  <c r="E8487" i="4"/>
  <c r="E7874" i="4"/>
  <c r="E9321" i="4"/>
  <c r="E5487" i="4"/>
  <c r="B6339" i="4"/>
  <c r="E5774" i="4"/>
  <c r="E6528" i="4"/>
  <c r="E8171" i="4"/>
  <c r="E7549" i="4"/>
  <c r="B6963" i="4"/>
  <c r="B6561" i="4"/>
  <c r="E8165" i="4"/>
  <c r="B9999" i="4"/>
  <c r="B9544" i="4"/>
  <c r="B6501" i="4"/>
  <c r="B4763" i="4"/>
  <c r="B3405" i="4"/>
  <c r="B6155" i="4"/>
  <c r="B3557" i="4"/>
  <c r="E6136" i="4"/>
  <c r="B9143" i="4"/>
  <c r="B9059" i="4"/>
  <c r="E8767" i="4"/>
  <c r="E6036" i="4"/>
  <c r="B6899" i="4"/>
  <c r="B6110" i="4"/>
  <c r="B7581" i="4"/>
  <c r="B6033" i="4"/>
  <c r="B3770" i="4"/>
  <c r="B6276" i="4"/>
  <c r="E4032" i="4"/>
  <c r="B8224" i="4"/>
  <c r="B4633" i="4"/>
  <c r="B4125" i="4"/>
  <c r="B5388" i="4"/>
  <c r="B7895" i="4"/>
  <c r="E9561" i="4"/>
  <c r="E4997" i="4"/>
  <c r="E4390" i="4"/>
  <c r="B6245" i="4"/>
  <c r="B8124" i="4"/>
  <c r="B4945" i="4"/>
  <c r="B7451" i="4"/>
  <c r="E7735" i="4"/>
  <c r="E7406" i="4"/>
  <c r="B3587" i="4"/>
  <c r="B2581" i="4"/>
  <c r="E4374" i="4"/>
  <c r="E3594" i="4"/>
  <c r="B5272" i="4"/>
  <c r="E5139" i="4"/>
  <c r="B7619" i="4"/>
  <c r="E8238" i="4"/>
  <c r="E9368" i="4"/>
  <c r="E5320" i="4"/>
  <c r="E9289" i="4"/>
  <c r="E6831" i="4"/>
  <c r="E7813" i="4"/>
  <c r="E6731" i="4"/>
  <c r="B10806" i="4"/>
  <c r="E7317" i="4"/>
  <c r="E7694" i="4"/>
  <c r="E6331" i="4"/>
  <c r="E9714" i="4"/>
  <c r="E6071" i="4"/>
  <c r="E5981" i="4"/>
  <c r="B5332" i="4"/>
  <c r="B6634" i="4"/>
  <c r="B8712" i="4"/>
  <c r="E9417" i="4"/>
  <c r="B6574" i="4"/>
  <c r="B7126" i="4"/>
  <c r="B8554" i="4"/>
  <c r="E8423" i="4"/>
  <c r="E9429" i="4"/>
  <c r="B10111" i="4"/>
  <c r="B6207" i="4"/>
  <c r="B3135" i="4"/>
  <c r="E5658" i="4"/>
  <c r="E3179" i="4"/>
  <c r="E5738" i="4"/>
  <c r="E8120" i="4"/>
  <c r="B8496" i="4"/>
  <c r="E6677" i="4"/>
  <c r="E6754" i="4"/>
  <c r="B6093" i="4"/>
  <c r="B7087" i="4"/>
  <c r="B7750" i="4"/>
  <c r="B5398" i="4"/>
  <c r="B3415" i="4"/>
  <c r="E6882" i="4"/>
  <c r="E3840" i="4"/>
  <c r="B7694" i="4"/>
  <c r="B4399" i="4"/>
  <c r="B3730" i="4"/>
  <c r="B4856" i="4"/>
  <c r="B6543" i="4"/>
  <c r="B8730" i="4"/>
  <c r="B4474" i="4"/>
  <c r="E5929" i="4"/>
  <c r="E6298" i="4"/>
  <c r="B8619" i="4"/>
  <c r="B6011" i="4"/>
  <c r="E7564" i="4"/>
  <c r="B5339" i="4"/>
  <c r="B7890" i="4"/>
  <c r="E3213" i="4"/>
  <c r="B2389" i="4"/>
  <c r="E5702" i="4"/>
  <c r="B5938" i="4"/>
  <c r="B5448" i="4"/>
  <c r="E4601" i="4"/>
  <c r="E9291" i="4"/>
  <c r="B8946" i="4"/>
  <c r="B10190" i="4"/>
  <c r="E5040" i="4"/>
  <c r="B8389" i="4"/>
  <c r="B6620" i="4"/>
  <c r="B8347" i="4"/>
  <c r="E6539" i="4"/>
  <c r="B10532" i="4"/>
  <c r="B6880" i="4"/>
  <c r="E8749" i="4"/>
  <c r="E5770" i="4"/>
  <c r="E8006" i="4"/>
  <c r="B5629" i="4"/>
  <c r="E7898" i="4"/>
  <c r="B5735" i="4"/>
  <c r="B6087" i="4"/>
  <c r="B7641" i="4"/>
  <c r="E7689" i="4"/>
  <c r="E6225" i="4"/>
  <c r="B10796" i="4"/>
  <c r="B9193" i="4"/>
  <c r="B8071" i="4"/>
  <c r="E10687" i="4"/>
  <c r="E10280" i="4"/>
  <c r="B5355" i="4"/>
  <c r="B2839" i="4"/>
  <c r="E6995" i="4"/>
  <c r="B3330" i="4"/>
  <c r="B7215" i="4"/>
  <c r="E8154" i="4"/>
  <c r="E7003" i="4"/>
  <c r="E6917" i="4"/>
  <c r="B8074" i="4"/>
  <c r="B6816" i="4"/>
  <c r="E6134" i="4"/>
  <c r="B7823" i="4"/>
  <c r="E5043" i="4"/>
  <c r="B3075" i="4"/>
  <c r="E6179" i="4"/>
  <c r="E3648" i="4"/>
  <c r="B7909" i="4"/>
  <c r="E6980" i="4"/>
  <c r="B3378" i="4"/>
  <c r="E4438" i="4"/>
  <c r="B6876" i="4"/>
  <c r="E8331" i="4"/>
  <c r="E4056" i="4"/>
  <c r="E5232" i="4"/>
  <c r="B6200" i="4"/>
  <c r="B8056" i="4"/>
  <c r="E5049" i="4"/>
  <c r="E7764" i="4"/>
  <c r="B7327" i="4"/>
  <c r="B5794" i="4"/>
  <c r="E2873" i="4"/>
  <c r="B4280" i="4"/>
  <c r="B5022" i="4"/>
  <c r="E4713" i="4"/>
  <c r="E3580" i="4"/>
  <c r="E4092" i="4"/>
  <c r="B8706" i="4"/>
  <c r="B9585" i="4"/>
  <c r="B9507" i="4"/>
  <c r="B6375" i="4"/>
  <c r="E8776" i="4"/>
  <c r="E9423" i="4"/>
  <c r="B6832" i="4"/>
  <c r="B7987" i="4"/>
  <c r="B10495" i="4"/>
  <c r="B6555" i="4"/>
  <c r="B8092" i="4"/>
  <c r="E10788" i="4"/>
  <c r="B8236" i="4"/>
  <c r="E6155" i="4"/>
  <c r="B6869" i="4"/>
  <c r="E5243" i="4"/>
  <c r="B6789" i="4"/>
  <c r="B7383" i="4"/>
  <c r="B7136" i="4"/>
  <c r="B7815" i="4"/>
  <c r="E10367" i="4"/>
  <c r="B8727" i="4"/>
  <c r="B8251" i="4"/>
  <c r="B9390" i="4"/>
  <c r="B8958" i="4"/>
  <c r="B4895" i="4"/>
  <c r="E5175" i="4"/>
  <c r="E6132" i="4"/>
  <c r="B3057" i="4"/>
  <c r="E6113" i="4"/>
  <c r="E7994" i="4"/>
  <c r="B7146" i="4"/>
  <c r="E6938" i="4"/>
  <c r="B8559" i="4"/>
  <c r="E6028" i="4"/>
  <c r="B7185" i="4"/>
  <c r="E8033" i="4"/>
  <c r="B4666" i="4"/>
  <c r="E2789" i="4"/>
  <c r="E6902" i="4"/>
  <c r="E3456" i="4"/>
  <c r="B7352" i="4"/>
  <c r="B5627" i="4"/>
  <c r="B3110" i="4"/>
  <c r="E6283" i="4"/>
  <c r="E6948" i="4"/>
  <c r="E7868" i="4"/>
  <c r="E3808" i="4"/>
  <c r="B4734" i="4"/>
  <c r="E6230" i="4"/>
  <c r="E9037" i="4"/>
  <c r="E5813" i="4"/>
  <c r="E8403" i="4"/>
  <c r="E5489" i="4"/>
  <c r="B6577" i="4"/>
  <c r="B4988" i="4"/>
  <c r="E3482" i="4"/>
  <c r="B6283" i="4"/>
  <c r="E4066" i="4"/>
  <c r="E3447" i="4"/>
  <c r="E4812" i="4"/>
  <c r="B8371" i="4"/>
  <c r="E8662" i="4"/>
  <c r="E9413" i="4"/>
  <c r="B5846" i="4"/>
  <c r="E8146" i="4"/>
  <c r="B7825" i="4"/>
  <c r="E8090" i="4"/>
  <c r="E7410" i="4"/>
  <c r="B10441" i="4"/>
  <c r="B6296" i="4"/>
  <c r="E7713" i="4"/>
  <c r="B10322" i="4"/>
  <c r="B7799" i="4"/>
  <c r="E6799" i="4"/>
  <c r="B6400" i="4"/>
  <c r="B10251" i="4"/>
  <c r="E6211" i="4"/>
  <c r="E7809" i="4"/>
  <c r="B8025" i="4"/>
  <c r="E6888" i="4"/>
  <c r="E10450" i="4"/>
  <c r="E8659" i="4"/>
  <c r="B8962" i="4"/>
  <c r="E8462" i="4"/>
  <c r="B9493" i="4"/>
  <c r="E4599" i="4"/>
  <c r="E4610" i="4"/>
  <c r="E5685" i="4"/>
  <c r="E2772" i="4"/>
  <c r="B5676" i="4"/>
  <c r="B7437" i="4"/>
  <c r="B7186" i="4"/>
  <c r="B7078" i="4"/>
  <c r="B6591" i="4"/>
  <c r="B6736" i="4"/>
  <c r="E6242" i="4"/>
  <c r="B8377" i="4"/>
  <c r="E6032" i="4"/>
  <c r="B5177" i="4"/>
  <c r="E6198" i="4"/>
  <c r="E5747" i="4"/>
  <c r="E7280" i="4"/>
  <c r="B5128" i="4"/>
  <c r="B2815" i="4"/>
  <c r="E5299" i="4"/>
  <c r="E6912" i="4"/>
  <c r="B8298" i="4"/>
  <c r="E3536" i="4"/>
  <c r="B5976" i="4"/>
  <c r="E5580" i="4"/>
  <c r="B7662" i="4"/>
  <c r="B6730" i="4"/>
  <c r="B6747" i="4"/>
  <c r="B6881" i="4"/>
  <c r="E5998" i="4"/>
  <c r="B4095" i="4"/>
  <c r="B3035" i="4"/>
  <c r="E5105" i="4"/>
  <c r="E3705" i="4"/>
  <c r="E3834" i="4"/>
  <c r="B4084" i="4"/>
  <c r="B2875" i="4"/>
  <c r="E5742" i="4"/>
  <c r="B9916" i="4"/>
  <c r="B9219" i="4"/>
  <c r="B8379" i="4"/>
  <c r="B8131" i="4"/>
  <c r="E8695" i="4"/>
  <c r="E7638" i="4"/>
  <c r="B6705" i="4"/>
  <c r="B7674" i="4"/>
  <c r="E8284" i="4"/>
  <c r="B8788" i="4"/>
  <c r="B6120" i="4"/>
  <c r="E6757" i="4"/>
  <c r="B8030" i="4"/>
  <c r="E7176" i="4"/>
  <c r="B6132" i="4"/>
  <c r="B6247" i="4"/>
  <c r="B8335" i="4"/>
  <c r="E9208" i="4"/>
  <c r="B7743" i="4"/>
  <c r="E7664" i="4"/>
  <c r="B10762" i="4"/>
  <c r="B7936" i="4"/>
  <c r="B7279" i="4"/>
  <c r="E6675" i="4"/>
  <c r="B7734" i="4"/>
  <c r="E7186" i="4"/>
  <c r="B5048" i="4"/>
  <c r="E7469" i="4"/>
  <c r="B4941" i="4"/>
  <c r="B7436" i="4"/>
  <c r="E10260" i="4"/>
  <c r="E8511" i="4"/>
  <c r="E9435" i="4"/>
  <c r="B7310" i="4"/>
  <c r="B5009" i="4"/>
  <c r="B7739" i="4"/>
  <c r="B8421" i="4"/>
  <c r="B8007" i="4"/>
  <c r="B8508" i="4"/>
  <c r="E8332" i="4"/>
  <c r="E8984" i="4"/>
  <c r="B7599" i="4"/>
  <c r="B7326" i="4"/>
  <c r="E6255" i="4"/>
  <c r="B7596" i="4"/>
  <c r="E5507" i="4"/>
  <c r="B7182" i="4"/>
  <c r="E8184" i="4"/>
  <c r="E8205" i="4"/>
  <c r="B7350" i="4"/>
  <c r="B7638" i="4"/>
  <c r="B6929" i="4"/>
  <c r="B6290" i="4"/>
  <c r="E5951" i="4"/>
  <c r="B6436" i="4"/>
  <c r="E5207" i="4"/>
  <c r="E5961" i="4"/>
  <c r="E7263" i="4"/>
  <c r="B5916" i="4"/>
  <c r="E10748" i="4"/>
  <c r="B10684" i="4"/>
  <c r="B8195" i="4"/>
  <c r="E8179" i="4"/>
  <c r="E7891" i="4"/>
  <c r="E6444" i="4"/>
  <c r="B6617" i="4"/>
  <c r="E9048" i="4"/>
  <c r="E7479" i="4"/>
  <c r="E8134" i="4"/>
  <c r="B6214" i="4"/>
  <c r="B5982" i="4"/>
  <c r="E7901" i="4"/>
  <c r="E7216" i="4"/>
  <c r="E4807" i="4"/>
  <c r="E6038" i="4"/>
  <c r="B8353" i="4"/>
  <c r="B8603" i="4"/>
  <c r="E6356" i="4"/>
  <c r="B10778" i="4"/>
  <c r="E9005" i="4"/>
  <c r="E8785" i="4"/>
  <c r="B7319" i="4"/>
  <c r="B6953" i="4"/>
  <c r="E7240" i="4"/>
  <c r="B7307" i="4"/>
  <c r="E4845" i="4"/>
  <c r="B9240" i="4"/>
  <c r="E5318" i="4"/>
  <c r="E9179" i="4"/>
  <c r="E8278" i="4"/>
  <c r="E8854" i="4"/>
  <c r="B8372" i="4"/>
  <c r="E10479" i="4"/>
  <c r="B8031" i="4"/>
  <c r="E7379" i="4"/>
  <c r="B8740" i="4"/>
  <c r="B8141" i="4"/>
  <c r="B10412" i="4"/>
  <c r="B6383" i="4"/>
  <c r="B7933" i="4"/>
  <c r="E8843" i="4"/>
  <c r="B8121" i="4"/>
  <c r="E5779" i="4"/>
  <c r="B8769" i="4"/>
  <c r="B9178" i="4"/>
  <c r="E5782" i="4"/>
  <c r="B7511" i="4"/>
  <c r="E6613" i="4"/>
  <c r="B6951" i="4"/>
  <c r="E9512" i="4"/>
  <c r="B7525" i="4"/>
  <c r="B8356" i="4"/>
  <c r="E8961" i="4"/>
  <c r="B9479" i="4"/>
  <c r="B5180" i="4"/>
  <c r="E4162" i="4"/>
  <c r="B4726" i="4"/>
  <c r="E3395" i="4"/>
  <c r="E10035" i="4"/>
  <c r="E8429" i="4"/>
  <c r="B10879" i="4"/>
  <c r="E7584" i="4"/>
  <c r="B7314" i="4"/>
  <c r="B7303" i="4"/>
  <c r="E6315" i="4"/>
  <c r="B7422" i="4"/>
  <c r="E10642" i="4"/>
  <c r="E10015" i="4"/>
  <c r="B6537" i="4"/>
  <c r="B7418" i="4"/>
  <c r="E7519" i="4"/>
  <c r="B6600" i="4"/>
  <c r="E9634" i="4"/>
  <c r="B5091" i="4"/>
  <c r="B5998" i="4"/>
  <c r="E8841" i="4"/>
  <c r="B8596" i="4"/>
  <c r="B8529" i="4"/>
  <c r="B7464" i="4"/>
  <c r="B6235" i="4"/>
  <c r="E8126" i="4"/>
  <c r="E6784" i="4"/>
  <c r="B6994" i="4"/>
  <c r="B5826" i="4"/>
  <c r="E5126" i="4"/>
  <c r="B7458" i="4"/>
  <c r="E3368" i="4"/>
  <c r="E9300" i="4"/>
  <c r="B9070" i="4"/>
  <c r="B8716" i="4"/>
  <c r="B8312" i="4"/>
  <c r="E10352" i="4"/>
  <c r="E7292" i="4"/>
  <c r="E7399" i="4"/>
  <c r="E7341" i="4"/>
  <c r="B8113" i="4"/>
  <c r="B9526" i="4"/>
  <c r="E5909" i="4"/>
  <c r="E7752" i="4"/>
  <c r="E9193" i="4"/>
  <c r="E8189" i="4"/>
  <c r="E6350" i="4"/>
  <c r="E6601" i="4"/>
  <c r="E9032" i="4"/>
  <c r="E7889" i="4"/>
  <c r="E8631" i="4"/>
  <c r="B5934" i="4"/>
  <c r="B8768" i="4"/>
  <c r="E8819" i="4"/>
  <c r="E7676" i="4"/>
  <c r="E7588" i="4"/>
  <c r="E9501" i="4"/>
  <c r="E8644" i="4"/>
  <c r="E6552" i="4"/>
  <c r="B4588" i="4"/>
  <c r="B5344" i="4"/>
  <c r="E2830" i="4"/>
  <c r="B10644" i="4"/>
  <c r="B9517" i="4"/>
  <c r="B10235" i="4"/>
  <c r="B7106" i="4"/>
  <c r="E8101" i="4"/>
  <c r="B5803" i="4"/>
  <c r="E10661" i="4"/>
  <c r="B9297" i="4"/>
  <c r="E8643" i="4"/>
  <c r="E8339" i="4"/>
  <c r="B9284" i="4"/>
  <c r="E6501" i="4"/>
  <c r="E7151" i="4"/>
  <c r="B6759" i="4"/>
  <c r="E7396" i="4"/>
  <c r="E6761" i="4"/>
  <c r="E8400" i="4"/>
  <c r="B9450" i="4"/>
  <c r="B9225" i="4"/>
  <c r="B8189" i="4"/>
  <c r="E7338" i="4"/>
  <c r="B6689" i="4"/>
  <c r="B8180" i="4"/>
  <c r="E6877" i="4"/>
  <c r="B8324" i="4"/>
  <c r="B6510" i="4"/>
  <c r="E4146" i="4"/>
  <c r="B6301" i="4"/>
  <c r="E6016" i="4"/>
  <c r="E6279" i="4"/>
  <c r="E5963" i="4"/>
  <c r="B5166" i="4"/>
  <c r="E10770" i="4"/>
  <c r="E7982" i="4"/>
  <c r="B8158" i="4"/>
  <c r="E9266" i="4"/>
  <c r="E5934" i="4"/>
  <c r="B5416" i="4"/>
  <c r="B5029" i="4"/>
  <c r="E10703" i="4"/>
  <c r="B7101" i="4"/>
  <c r="B7241" i="4"/>
  <c r="E10126" i="4"/>
  <c r="B9073" i="4"/>
  <c r="B7526" i="4"/>
  <c r="B7465" i="4"/>
  <c r="E6590" i="4"/>
  <c r="E5016" i="4"/>
  <c r="E7897" i="4"/>
  <c r="E9903" i="4"/>
  <c r="E9082" i="4"/>
  <c r="B8179" i="4"/>
  <c r="B5211" i="4"/>
  <c r="E4588" i="4"/>
  <c r="B4689" i="4"/>
  <c r="B7588" i="4"/>
  <c r="E7501" i="4"/>
  <c r="B5467" i="4"/>
  <c r="B7903" i="4"/>
  <c r="B6885" i="4"/>
  <c r="B3632" i="4"/>
  <c r="B6089" i="4"/>
  <c r="B3600" i="4"/>
  <c r="E5488" i="4"/>
  <c r="B3928" i="4"/>
  <c r="B5508" i="4"/>
  <c r="E5091" i="4"/>
  <c r="B7251" i="4"/>
  <c r="E6240" i="4"/>
  <c r="B5632" i="4"/>
  <c r="E5960" i="4"/>
  <c r="B6493" i="4"/>
  <c r="E6497" i="4"/>
  <c r="B6809" i="4"/>
  <c r="E3794" i="4"/>
  <c r="B2050" i="4"/>
  <c r="E4528" i="4"/>
  <c r="E8991" i="4"/>
  <c r="E4377" i="4"/>
  <c r="B2516" i="4"/>
  <c r="E3728" i="4"/>
  <c r="E1879" i="4"/>
  <c r="B8691" i="4"/>
  <c r="B3101" i="4"/>
  <c r="E3092" i="4"/>
  <c r="B4499" i="4"/>
  <c r="B6219" i="4"/>
  <c r="E5261" i="4"/>
  <c r="E5348" i="4"/>
  <c r="B3784" i="4"/>
  <c r="B6766" i="4"/>
  <c r="E4108" i="4"/>
  <c r="B2884" i="4"/>
  <c r="B2874" i="4"/>
  <c r="E3449" i="4"/>
  <c r="E1177" i="4"/>
  <c r="B3978" i="4"/>
  <c r="E2972" i="4"/>
  <c r="B5841" i="4"/>
  <c r="E2582" i="4"/>
  <c r="B4747" i="4"/>
  <c r="E3290" i="4"/>
  <c r="B10367" i="4"/>
  <c r="E9661" i="4"/>
  <c r="B7974" i="4"/>
  <c r="E6142" i="4"/>
  <c r="E9231" i="4"/>
  <c r="E6753" i="4"/>
  <c r="B8240" i="4"/>
  <c r="B5931" i="4"/>
  <c r="B8611" i="4"/>
  <c r="B8156" i="4"/>
  <c r="B10661" i="4"/>
  <c r="E7955" i="4"/>
  <c r="E7496" i="4"/>
  <c r="E5623" i="4"/>
  <c r="E4422" i="4"/>
  <c r="E6662" i="4"/>
  <c r="E7101" i="4"/>
  <c r="B5921" i="4"/>
  <c r="E6159" i="4"/>
  <c r="B7376" i="4"/>
  <c r="E5709" i="4"/>
  <c r="B4271" i="4"/>
  <c r="E4396" i="4"/>
  <c r="E5322" i="4"/>
  <c r="E10563" i="4"/>
  <c r="B7214" i="4"/>
  <c r="B7331" i="4"/>
  <c r="B4401" i="4"/>
  <c r="E4282" i="4"/>
  <c r="B4008" i="4"/>
  <c r="E3528" i="4"/>
  <c r="E6343" i="4"/>
  <c r="E6671" i="4"/>
  <c r="B6638" i="4"/>
  <c r="B7800" i="4"/>
  <c r="E5143" i="4"/>
  <c r="B3158" i="4"/>
  <c r="E4860" i="4"/>
  <c r="B2135" i="4"/>
  <c r="B5439" i="4"/>
  <c r="E3370" i="4"/>
  <c r="E5914" i="4"/>
  <c r="E5849" i="4"/>
  <c r="B5152" i="4"/>
  <c r="E5565" i="4"/>
  <c r="E6403" i="4"/>
  <c r="B7360" i="4"/>
  <c r="B4885" i="4"/>
  <c r="B4255" i="4"/>
  <c r="E5735" i="4"/>
  <c r="E7044" i="4"/>
  <c r="B6044" i="4"/>
  <c r="B3505" i="4"/>
  <c r="E3682" i="4"/>
  <c r="B7218" i="4"/>
  <c r="E3610" i="4"/>
  <c r="E2911" i="4"/>
  <c r="E4341" i="4"/>
  <c r="B3410" i="4"/>
  <c r="B9989" i="4"/>
  <c r="E9517" i="4"/>
  <c r="B8918" i="4"/>
  <c r="E7545" i="4"/>
  <c r="B8866" i="4"/>
  <c r="B8654" i="4"/>
  <c r="B10615" i="4"/>
  <c r="E5106" i="4"/>
  <c r="E8173" i="4"/>
  <c r="B7367" i="4"/>
  <c r="E10903" i="4"/>
  <c r="B8307" i="4"/>
  <c r="E8996" i="4"/>
  <c r="B6614" i="4"/>
  <c r="E6749" i="4"/>
  <c r="B5791" i="4"/>
  <c r="E7052" i="4"/>
  <c r="E5506" i="4"/>
  <c r="E7262" i="4"/>
  <c r="E6397" i="4"/>
  <c r="E6314" i="4"/>
  <c r="B6003" i="4"/>
  <c r="E8598" i="4"/>
  <c r="E4981" i="4"/>
  <c r="E9062" i="4"/>
  <c r="B5684" i="4"/>
  <c r="B10507" i="4"/>
  <c r="E4006" i="4"/>
  <c r="B5873" i="4"/>
  <c r="B3760" i="4"/>
  <c r="B5919" i="4"/>
  <c r="E6190" i="4"/>
  <c r="B5544" i="4"/>
  <c r="E5576" i="4"/>
  <c r="E6508" i="4"/>
  <c r="B4482" i="4"/>
  <c r="B2752" i="4"/>
  <c r="E4184" i="4"/>
  <c r="B1943" i="4"/>
  <c r="E4617" i="4"/>
  <c r="E3017" i="4"/>
  <c r="E6466" i="4"/>
  <c r="E4472" i="4"/>
  <c r="B3290" i="4"/>
  <c r="B6091" i="4"/>
  <c r="E5263" i="4"/>
  <c r="B7529" i="4"/>
  <c r="B5738" i="4"/>
  <c r="E5432" i="4"/>
  <c r="E5256" i="4"/>
  <c r="E6458" i="4"/>
  <c r="B4630" i="4"/>
  <c r="E6153" i="4"/>
  <c r="E3116" i="4"/>
  <c r="B5888" i="4"/>
  <c r="E3094" i="4"/>
  <c r="B2286" i="4"/>
  <c r="E3632" i="4"/>
  <c r="E2981" i="4"/>
  <c r="E10104" i="4"/>
  <c r="E9596" i="4"/>
  <c r="E8490" i="4"/>
  <c r="E6983" i="4"/>
  <c r="B8822" i="4"/>
  <c r="E7346" i="4"/>
  <c r="E9902" i="4"/>
  <c r="E4753" i="4"/>
  <c r="B9254" i="4"/>
  <c r="B8196" i="4"/>
  <c r="B10209" i="4"/>
  <c r="E8385" i="4"/>
  <c r="B7687" i="4"/>
  <c r="B5430" i="4"/>
  <c r="E5611" i="4"/>
  <c r="B6506" i="4"/>
  <c r="B6774" i="4"/>
  <c r="B10573" i="4"/>
  <c r="E6260" i="4"/>
  <c r="B7556" i="4"/>
  <c r="B6567" i="4"/>
  <c r="E5366" i="4"/>
  <c r="B8989" i="4"/>
  <c r="B4624" i="4"/>
  <c r="E9951" i="4"/>
  <c r="B5212" i="4"/>
  <c r="E9609" i="4"/>
  <c r="E5084" i="4"/>
  <c r="B4815" i="4"/>
  <c r="B3488" i="4"/>
  <c r="E4887" i="4"/>
  <c r="B6255" i="4"/>
  <c r="B7416" i="4"/>
  <c r="B6068" i="4"/>
  <c r="E6554" i="4"/>
  <c r="E5962" i="4"/>
  <c r="B4556" i="4"/>
  <c r="E5227" i="4"/>
  <c r="B1751" i="4"/>
  <c r="E4088" i="4"/>
  <c r="E2716" i="4"/>
  <c r="E7231" i="4"/>
  <c r="E3918" i="4"/>
  <c r="E2641" i="4"/>
  <c r="E4769" i="4"/>
  <c r="B7528" i="4"/>
  <c r="B5319" i="4"/>
  <c r="B4914" i="4"/>
  <c r="B4641" i="4"/>
  <c r="B9014" i="4"/>
  <c r="E5727" i="4"/>
  <c r="E4017" i="4"/>
  <c r="E4679" i="4"/>
  <c r="E10597" i="4"/>
  <c r="E10193" i="4"/>
  <c r="B8812" i="4"/>
  <c r="B6670" i="4"/>
  <c r="B8652" i="4"/>
  <c r="B6907" i="4"/>
  <c r="E8032" i="4"/>
  <c r="B4511" i="4"/>
  <c r="E9560" i="4"/>
  <c r="E7120" i="4"/>
  <c r="B9300" i="4"/>
  <c r="E7200" i="4"/>
  <c r="E7084" i="4"/>
  <c r="E4959" i="4"/>
  <c r="B5170" i="4"/>
  <c r="B7044" i="4"/>
  <c r="E6824" i="4"/>
  <c r="B9165" i="4"/>
  <c r="B6911" i="4"/>
  <c r="B6332" i="4"/>
  <c r="B5730" i="4"/>
  <c r="B4924" i="4"/>
  <c r="B9514" i="4"/>
  <c r="E5862" i="4"/>
  <c r="B8614" i="4"/>
  <c r="E4875" i="4"/>
  <c r="B10780" i="4"/>
  <c r="E4429" i="4"/>
  <c r="B4362" i="4"/>
  <c r="E10028" i="4"/>
  <c r="B9001" i="4"/>
  <c r="B8164" i="4"/>
  <c r="E6399" i="4"/>
  <c r="B8799" i="4"/>
  <c r="E6800" i="4"/>
  <c r="B8256" i="4"/>
  <c r="B4319" i="4"/>
  <c r="B9759" i="4"/>
  <c r="B6623" i="4"/>
  <c r="E9607" i="4"/>
  <c r="B7527" i="4"/>
  <c r="E7882" i="4"/>
  <c r="B5928" i="4"/>
  <c r="B4422" i="4"/>
  <c r="B5981" i="4"/>
  <c r="B7145" i="4"/>
  <c r="B9319" i="4"/>
  <c r="B6101" i="4"/>
  <c r="B7726" i="4"/>
  <c r="E6838" i="4"/>
  <c r="E4566" i="4"/>
  <c r="B7787" i="4"/>
  <c r="B5266" i="4"/>
  <c r="B8944" i="4"/>
  <c r="E7213" i="4"/>
  <c r="B8679" i="4"/>
  <c r="E6578" i="4"/>
  <c r="B4024" i="4"/>
  <c r="E10856" i="4"/>
  <c r="B9709" i="4"/>
  <c r="E8893" i="4"/>
  <c r="B6109" i="4"/>
  <c r="E7870" i="4"/>
  <c r="E8124" i="4"/>
  <c r="E7830" i="4"/>
  <c r="B6407" i="4"/>
  <c r="B8208" i="4"/>
  <c r="E6278" i="4"/>
  <c r="B9559" i="4"/>
  <c r="E6840" i="4"/>
  <c r="E8466" i="4"/>
  <c r="E5341" i="4"/>
  <c r="E6282" i="4"/>
  <c r="B7395" i="4"/>
  <c r="E7293" i="4"/>
  <c r="E8621" i="4"/>
  <c r="B6826" i="4"/>
  <c r="E6328" i="4"/>
  <c r="E5537" i="4"/>
  <c r="E4350" i="4"/>
  <c r="B8613" i="4"/>
  <c r="E4779" i="4"/>
  <c r="B8343" i="4"/>
  <c r="B5556" i="4"/>
  <c r="E9194" i="4"/>
  <c r="E4994" i="4"/>
  <c r="B3768" i="4"/>
  <c r="E10477" i="4"/>
  <c r="B9310" i="4"/>
  <c r="E8616" i="4"/>
  <c r="B7764" i="4"/>
  <c r="B8996" i="4"/>
  <c r="E6455" i="4"/>
  <c r="E7500" i="4"/>
  <c r="E4836" i="4"/>
  <c r="E8929" i="4"/>
  <c r="B7855" i="4"/>
  <c r="E8872" i="4"/>
  <c r="E7508" i="4"/>
  <c r="B7908" i="4"/>
  <c r="E4793" i="4"/>
  <c r="B5146" i="4"/>
  <c r="E6327" i="4"/>
  <c r="E7344" i="4"/>
  <c r="E9147" i="4"/>
  <c r="B6887" i="4"/>
  <c r="E6419" i="4"/>
  <c r="E6625" i="4"/>
  <c r="B5343" i="4"/>
  <c r="B7835" i="4"/>
  <c r="B4510" i="4"/>
  <c r="B8223" i="4"/>
  <c r="E5147" i="4"/>
  <c r="B8329" i="4"/>
  <c r="B4481" i="4"/>
  <c r="B3496" i="4"/>
  <c r="B8374" i="4"/>
  <c r="E9656" i="4"/>
  <c r="E5311" i="4"/>
  <c r="B8610" i="4"/>
  <c r="B7116" i="4"/>
  <c r="B8600" i="4"/>
  <c r="E10363" i="4"/>
  <c r="E7430" i="4"/>
  <c r="E6721" i="4"/>
  <c r="E7371" i="4"/>
  <c r="B6209" i="4"/>
  <c r="E8215" i="4"/>
  <c r="B6368" i="4"/>
  <c r="B3197" i="4"/>
  <c r="B4520" i="4"/>
  <c r="E4853" i="4"/>
  <c r="B5099" i="4"/>
  <c r="E6247" i="4"/>
  <c r="E5549" i="4"/>
  <c r="B10163" i="4"/>
  <c r="E7163" i="4"/>
  <c r="B4065" i="4"/>
  <c r="B9344" i="4"/>
  <c r="B3841" i="4"/>
  <c r="E5861" i="4"/>
  <c r="B4219" i="4"/>
  <c r="B6587" i="4"/>
  <c r="E6217" i="4"/>
  <c r="B6523" i="4"/>
  <c r="B10515" i="4"/>
  <c r="B7512" i="4"/>
  <c r="E7668" i="4"/>
  <c r="B7777" i="4"/>
  <c r="B7489" i="4"/>
  <c r="E6765" i="4"/>
  <c r="E7493" i="4"/>
  <c r="B6233" i="4"/>
  <c r="B5474" i="4"/>
  <c r="E9495" i="4"/>
  <c r="B6928" i="4"/>
  <c r="B8165" i="4"/>
  <c r="B6517" i="4"/>
  <c r="E6627" i="4"/>
  <c r="E6619" i="4"/>
  <c r="B4732" i="4"/>
  <c r="E7374" i="4"/>
  <c r="B5260" i="4"/>
  <c r="B8643" i="4"/>
  <c r="E6020" i="4"/>
  <c r="E6213" i="4"/>
  <c r="B6472" i="4"/>
  <c r="B6864" i="4"/>
  <c r="E4022" i="4"/>
  <c r="B6035" i="4"/>
  <c r="B4572" i="4"/>
  <c r="E4690" i="4"/>
  <c r="E6833" i="4"/>
  <c r="B5290" i="4"/>
  <c r="B5886" i="4"/>
  <c r="B6139" i="4"/>
  <c r="E5823" i="4"/>
  <c r="B7570" i="4"/>
  <c r="B6107" i="4"/>
  <c r="E7625" i="4"/>
  <c r="B7757" i="4"/>
  <c r="B7190" i="4"/>
  <c r="B5183" i="4"/>
  <c r="E5971" i="4"/>
  <c r="B4789" i="4"/>
  <c r="B8098" i="4"/>
  <c r="E8156" i="4"/>
  <c r="B8752" i="4"/>
  <c r="E8042" i="4"/>
  <c r="E8237" i="4"/>
  <c r="E8815" i="4"/>
  <c r="E5321" i="4"/>
  <c r="E10178" i="4"/>
  <c r="E7253" i="4"/>
  <c r="B7330" i="4"/>
  <c r="B4503" i="4"/>
  <c r="B6141" i="4"/>
  <c r="B8532" i="4"/>
  <c r="B8118" i="4"/>
  <c r="B9419" i="4"/>
  <c r="E7855" i="4"/>
  <c r="E6551" i="4"/>
  <c r="B7232" i="4"/>
  <c r="E6502" i="4"/>
  <c r="E6194" i="4"/>
  <c r="E5140" i="4"/>
  <c r="E4418" i="4"/>
  <c r="B5824" i="4"/>
  <c r="B4006" i="4"/>
  <c r="B10274" i="4"/>
  <c r="E10317" i="4"/>
  <c r="E8225" i="4"/>
  <c r="B7589" i="4"/>
  <c r="B7664" i="4"/>
  <c r="E7574" i="4"/>
  <c r="E6099" i="4"/>
  <c r="E8085" i="4"/>
  <c r="E7212" i="4"/>
  <c r="E9598" i="4"/>
  <c r="B6987" i="4"/>
  <c r="B6680" i="4"/>
  <c r="E7742" i="4"/>
  <c r="B8681" i="4"/>
  <c r="E5244" i="4"/>
  <c r="B6654" i="4"/>
  <c r="B8237" i="4"/>
  <c r="B8453" i="4"/>
  <c r="E6133" i="4"/>
  <c r="E10225" i="4"/>
  <c r="B9025" i="4"/>
  <c r="E8539" i="4"/>
  <c r="E8882" i="4"/>
  <c r="E7842" i="4"/>
  <c r="B6652" i="4"/>
  <c r="B6418" i="4"/>
  <c r="E5327" i="4"/>
  <c r="E7811" i="4"/>
  <c r="E5501" i="4"/>
  <c r="E7772" i="4"/>
  <c r="E10322" i="4"/>
  <c r="E8789" i="4"/>
  <c r="B9913" i="4"/>
  <c r="B6966" i="4"/>
  <c r="B10359" i="4"/>
  <c r="E7276" i="4"/>
  <c r="E7578" i="4"/>
  <c r="E8527" i="4"/>
  <c r="E7129" i="4"/>
  <c r="B6901" i="4"/>
  <c r="B7245" i="4"/>
  <c r="E4944" i="4"/>
  <c r="E9198" i="4"/>
  <c r="B5461" i="4"/>
  <c r="B7622" i="4"/>
  <c r="B6898" i="4"/>
  <c r="E6890" i="4"/>
  <c r="B7285" i="4"/>
  <c r="B6945" i="4"/>
  <c r="B7297" i="4"/>
  <c r="B7082" i="4"/>
  <c r="E8381" i="4"/>
  <c r="B9784" i="4"/>
  <c r="B6683" i="4"/>
  <c r="B5736" i="4"/>
  <c r="B6458" i="4"/>
  <c r="E4031" i="4"/>
  <c r="B5610" i="4"/>
  <c r="B4034" i="4"/>
  <c r="B5589" i="4"/>
  <c r="B4020" i="4"/>
  <c r="E7372" i="4"/>
  <c r="B7296" i="4"/>
  <c r="B6932" i="4"/>
  <c r="E9344" i="4"/>
  <c r="E7640" i="4"/>
  <c r="E7765" i="4"/>
  <c r="E4780" i="4"/>
  <c r="E4325" i="4"/>
  <c r="B8968" i="4"/>
  <c r="E8007" i="4"/>
  <c r="E5442" i="4"/>
  <c r="E10055" i="4"/>
  <c r="E8553" i="4"/>
  <c r="E7227" i="4"/>
  <c r="B6268" i="4"/>
  <c r="E5921" i="4"/>
  <c r="E9688" i="4"/>
  <c r="B8863" i="4"/>
  <c r="E6312" i="4"/>
  <c r="E7700" i="4"/>
  <c r="E7336" i="4"/>
  <c r="B5768" i="4"/>
  <c r="B7851" i="4"/>
  <c r="B3659" i="4"/>
  <c r="B7562" i="4"/>
  <c r="E9070" i="4"/>
  <c r="E7234" i="4"/>
  <c r="E5680" i="4"/>
  <c r="E5199" i="4"/>
  <c r="B3901" i="4"/>
  <c r="B6916" i="4"/>
  <c r="E4839" i="4"/>
  <c r="E5750" i="4"/>
  <c r="E4196" i="4"/>
  <c r="B6787" i="4"/>
  <c r="E6131" i="4"/>
  <c r="E5678" i="4"/>
  <c r="E4623" i="4"/>
  <c r="B7879" i="4"/>
  <c r="E10874" i="4"/>
  <c r="E5170" i="4"/>
  <c r="B6371" i="4"/>
  <c r="B6743" i="4"/>
  <c r="B5514" i="4"/>
  <c r="E6915" i="4"/>
  <c r="B4091" i="4"/>
  <c r="E5138" i="4"/>
  <c r="B6012" i="4"/>
  <c r="E5649" i="4"/>
  <c r="E4589" i="4"/>
  <c r="B3623" i="4"/>
  <c r="B5967" i="4"/>
  <c r="E4968" i="4"/>
  <c r="E6410" i="4"/>
  <c r="E7975" i="4"/>
  <c r="E7565" i="4"/>
  <c r="B8451" i="4"/>
  <c r="E3013" i="4"/>
  <c r="E6817" i="4"/>
  <c r="E4470" i="4"/>
  <c r="E3644" i="4"/>
  <c r="E6934" i="4"/>
  <c r="E4909" i="4"/>
  <c r="E894" i="4"/>
  <c r="E7130" i="4"/>
  <c r="B3591" i="4"/>
  <c r="E2881" i="4"/>
  <c r="E4181" i="4"/>
  <c r="B4291" i="4"/>
  <c r="B3293" i="4"/>
  <c r="E3361" i="4"/>
  <c r="B9962" i="4"/>
  <c r="B9279" i="4"/>
  <c r="E5978" i="4"/>
  <c r="E10120" i="4"/>
  <c r="B8242" i="4"/>
  <c r="E9469" i="4"/>
  <c r="B6321" i="4"/>
  <c r="E7980" i="4"/>
  <c r="B6583" i="4"/>
  <c r="B9358" i="4"/>
  <c r="B7369" i="4"/>
  <c r="E7233" i="4"/>
  <c r="E7367" i="4"/>
  <c r="E5027" i="4"/>
  <c r="E4656" i="4"/>
  <c r="E4931" i="4"/>
  <c r="E5731" i="4"/>
  <c r="E6226" i="4"/>
  <c r="E6342" i="4"/>
  <c r="E5854" i="4"/>
  <c r="E8011" i="4"/>
  <c r="E5151" i="4"/>
  <c r="B8609" i="4"/>
  <c r="E4495" i="4"/>
  <c r="B7338" i="4"/>
  <c r="B5754" i="4"/>
  <c r="E6412" i="4"/>
  <c r="E7178" i="4"/>
  <c r="B7083" i="4"/>
  <c r="E7744" i="4"/>
  <c r="E7887" i="4"/>
  <c r="B10497" i="4"/>
  <c r="E5222" i="4"/>
  <c r="B5139" i="4"/>
  <c r="B5731" i="4"/>
  <c r="E4867" i="4"/>
  <c r="E5448" i="4"/>
  <c r="E5176" i="4"/>
  <c r="E2659" i="4"/>
  <c r="B2732" i="4"/>
  <c r="E2333" i="4"/>
  <c r="B4494" i="4"/>
  <c r="B3743" i="4"/>
  <c r="E1995" i="4"/>
  <c r="B4563" i="4"/>
  <c r="B3840" i="4"/>
  <c r="E5129" i="4"/>
  <c r="E5205" i="4"/>
  <c r="E5015" i="4"/>
  <c r="B5327" i="4"/>
  <c r="B5178" i="4"/>
  <c r="E5007" i="4"/>
  <c r="E4163" i="4"/>
  <c r="B3105" i="4"/>
  <c r="B3337" i="4"/>
  <c r="B4597" i="4"/>
  <c r="E2086" i="4"/>
  <c r="B3708" i="4"/>
  <c r="E5045" i="4"/>
  <c r="E10200" i="4"/>
  <c r="B10024" i="4"/>
  <c r="B7344" i="4"/>
  <c r="E10018" i="4"/>
  <c r="B7547" i="4"/>
  <c r="E9467" i="4"/>
  <c r="E7082" i="4"/>
  <c r="B7308" i="4"/>
  <c r="B6167" i="4"/>
  <c r="E9114" i="4"/>
  <c r="B8883" i="4"/>
  <c r="B6413" i="4"/>
  <c r="B6803" i="4"/>
  <c r="B4541" i="4"/>
  <c r="B4331" i="4"/>
  <c r="B5882" i="4"/>
  <c r="E5294" i="4"/>
  <c r="E7242" i="4"/>
  <c r="E7800" i="4"/>
  <c r="E8283" i="4"/>
  <c r="B9068" i="4"/>
  <c r="E4545" i="4"/>
  <c r="B7046" i="4"/>
  <c r="B4176" i="4"/>
  <c r="E7429" i="4"/>
  <c r="B4890" i="4"/>
  <c r="E5472" i="4"/>
  <c r="B7593" i="4"/>
  <c r="B6078" i="4"/>
  <c r="E7987" i="4"/>
  <c r="E7851" i="4"/>
  <c r="B9054" i="4"/>
  <c r="B4675" i="4"/>
  <c r="B4642" i="4"/>
  <c r="B6999" i="4"/>
  <c r="B4058" i="4"/>
  <c r="B3079" i="4"/>
  <c r="E4611" i="4"/>
  <c r="E2467" i="4"/>
  <c r="E4926" i="4"/>
  <c r="E4228" i="4"/>
  <c r="B5929" i="4"/>
  <c r="E5248" i="4"/>
  <c r="E1653" i="4"/>
  <c r="B5047" i="4"/>
  <c r="B3552" i="4"/>
  <c r="B4372" i="4"/>
  <c r="E4433" i="4"/>
  <c r="B4384" i="4"/>
  <c r="E5794" i="4"/>
  <c r="B6610" i="4"/>
  <c r="E3833" i="4"/>
  <c r="E5181" i="4"/>
  <c r="E2654" i="4"/>
  <c r="B4353" i="4"/>
  <c r="B3439" i="4"/>
  <c r="E1477" i="4"/>
  <c r="E3161" i="4"/>
  <c r="B3255" i="4"/>
  <c r="B10428" i="4"/>
  <c r="E8913" i="4"/>
  <c r="B6401" i="4"/>
  <c r="B9856" i="4"/>
  <c r="B8545" i="4"/>
  <c r="B8939" i="4"/>
  <c r="B8127" i="4"/>
  <c r="B8108" i="4"/>
  <c r="E7976" i="4"/>
  <c r="B9166" i="4"/>
  <c r="E7326" i="4"/>
  <c r="B5989" i="4"/>
  <c r="B7813" i="4"/>
  <c r="B4225" i="4"/>
  <c r="B5305" i="4"/>
  <c r="B5298" i="4"/>
  <c r="E4896" i="4"/>
  <c r="E6184" i="4"/>
  <c r="B6385" i="4"/>
  <c r="B10705" i="4"/>
  <c r="E8740" i="4"/>
  <c r="B4228" i="4"/>
  <c r="B6786" i="4"/>
  <c r="E5714" i="4"/>
  <c r="B7724" i="4"/>
  <c r="B4394" i="4"/>
  <c r="B5793" i="4"/>
  <c r="B7864" i="4"/>
  <c r="E6085" i="4"/>
  <c r="B8633" i="4"/>
  <c r="B8258" i="4"/>
  <c r="B9033" i="4"/>
  <c r="B4351" i="4"/>
  <c r="E5628" i="4"/>
  <c r="B6878" i="4"/>
  <c r="B3677" i="4"/>
  <c r="E2522" i="4"/>
  <c r="B4101" i="4"/>
  <c r="B5510" i="4"/>
  <c r="E4033" i="4"/>
  <c r="E3501" i="4"/>
  <c r="B5105" i="4"/>
  <c r="E3852" i="4"/>
  <c r="E1367" i="4"/>
  <c r="B4361" i="4"/>
  <c r="B5326" i="4"/>
  <c r="B5438" i="4"/>
  <c r="E4000" i="4"/>
  <c r="B3993" i="4"/>
  <c r="B4536" i="4"/>
  <c r="E5240" i="4"/>
  <c r="E3331" i="4"/>
  <c r="B4531" i="4"/>
  <c r="B10637" i="4"/>
  <c r="E9126" i="4"/>
  <c r="B6108" i="4"/>
  <c r="E9164" i="4"/>
  <c r="B7819" i="4"/>
  <c r="B9415" i="4"/>
  <c r="E6992" i="4"/>
  <c r="E8353" i="4"/>
  <c r="B7027" i="4"/>
  <c r="E9210" i="4"/>
  <c r="B8032" i="4"/>
  <c r="B5657" i="4"/>
  <c r="E6834" i="4"/>
  <c r="E5915" i="4"/>
  <c r="E4744" i="4"/>
  <c r="B4902" i="4"/>
  <c r="B6395" i="4"/>
  <c r="E7546" i="4"/>
  <c r="E6440" i="4"/>
  <c r="E10125" i="4"/>
  <c r="B6700" i="4"/>
  <c r="E5874" i="4"/>
  <c r="B6054" i="4"/>
  <c r="B4983" i="4"/>
  <c r="E7448" i="4"/>
  <c r="E4097" i="4"/>
  <c r="E5851" i="4"/>
  <c r="B8455" i="4"/>
  <c r="B6126" i="4"/>
  <c r="E10671" i="4"/>
  <c r="B9369" i="4"/>
  <c r="B5801" i="4"/>
  <c r="E10518" i="4"/>
  <c r="E9119" i="4"/>
  <c r="E9400" i="4"/>
  <c r="E7294" i="4"/>
  <c r="B8175" i="4"/>
  <c r="B7897" i="4"/>
  <c r="E7356" i="4"/>
  <c r="E6974" i="4"/>
  <c r="E7761" i="4"/>
  <c r="E8926" i="4"/>
  <c r="B4975" i="4"/>
  <c r="B5786" i="4"/>
  <c r="E6091" i="4"/>
  <c r="E5579" i="4"/>
  <c r="E6867" i="4"/>
  <c r="E5701" i="4"/>
  <c r="B9236" i="4"/>
  <c r="B7169" i="4"/>
  <c r="E5052" i="4"/>
  <c r="E6879" i="4"/>
  <c r="B4618" i="4"/>
  <c r="E6489" i="4"/>
  <c r="B5395" i="4"/>
  <c r="B6513" i="4"/>
  <c r="E7184" i="4"/>
  <c r="B6053" i="4"/>
  <c r="E10332" i="4"/>
  <c r="B9246" i="4"/>
  <c r="B5600" i="4"/>
  <c r="E9543" i="4"/>
  <c r="E8280" i="4"/>
  <c r="E9233" i="4"/>
  <c r="E6764" i="4"/>
  <c r="B8387" i="4"/>
  <c r="E6960" i="4"/>
  <c r="E8571" i="4"/>
  <c r="E6593" i="4"/>
  <c r="B6530" i="4"/>
  <c r="B7201" i="4"/>
  <c r="E4592" i="4"/>
  <c r="E4929" i="4"/>
  <c r="E5483" i="4"/>
  <c r="E6293" i="4"/>
  <c r="E8249" i="4"/>
  <c r="E5183" i="4"/>
  <c r="E9067" i="4"/>
  <c r="E7678" i="4"/>
  <c r="B4660" i="4"/>
  <c r="E6061" i="4"/>
  <c r="E4292" i="4"/>
  <c r="E8329" i="4"/>
  <c r="B4831" i="4"/>
  <c r="E7154" i="4"/>
  <c r="B6094" i="4"/>
  <c r="E5980" i="4"/>
  <c r="B8566" i="4"/>
  <c r="B9352" i="4"/>
  <c r="E5629" i="4"/>
  <c r="B8544" i="4"/>
  <c r="B7340" i="4"/>
  <c r="E9800" i="4"/>
  <c r="B10325" i="4"/>
  <c r="E7229" i="4"/>
  <c r="B5481" i="4"/>
  <c r="E9754" i="4"/>
  <c r="E6564" i="4"/>
  <c r="B7155" i="4"/>
  <c r="E7062" i="4"/>
  <c r="E3566" i="4"/>
  <c r="B4823" i="4"/>
  <c r="E5135" i="4"/>
  <c r="E5569" i="4"/>
  <c r="E7345" i="4"/>
  <c r="E6510" i="4"/>
  <c r="E9778" i="4"/>
  <c r="E8931" i="4"/>
  <c r="E4343" i="4"/>
  <c r="B7005" i="4"/>
  <c r="B4033" i="4"/>
  <c r="E6526" i="4"/>
  <c r="E4535" i="4"/>
  <c r="B6666" i="4"/>
  <c r="E6109" i="4"/>
  <c r="B7467" i="4"/>
  <c r="E10487" i="4"/>
  <c r="B7697" i="4"/>
  <c r="E6622" i="4"/>
  <c r="E8647" i="4"/>
  <c r="B7695" i="4"/>
  <c r="E6045" i="4"/>
  <c r="E6339" i="4"/>
  <c r="E6543" i="4"/>
  <c r="E5819" i="4"/>
  <c r="E9628" i="4"/>
  <c r="E7321" i="4"/>
  <c r="B7884" i="4"/>
  <c r="B6435" i="4"/>
  <c r="E7230" i="4"/>
  <c r="E7209" i="4"/>
  <c r="E4311" i="4"/>
  <c r="E7170" i="4"/>
  <c r="E6375" i="4"/>
  <c r="B8759" i="4"/>
  <c r="B6085" i="4"/>
  <c r="B5656" i="4"/>
  <c r="E4720" i="4"/>
  <c r="B6986" i="4"/>
  <c r="B5204" i="4"/>
  <c r="B7343" i="4"/>
  <c r="E5745" i="4"/>
  <c r="B6166" i="4"/>
  <c r="E7143" i="4"/>
  <c r="B4954" i="4"/>
  <c r="E7906" i="4"/>
  <c r="B6442" i="4"/>
  <c r="B8019" i="4"/>
  <c r="B8315" i="4"/>
  <c r="B7566" i="4"/>
  <c r="E5478" i="4"/>
  <c r="E8651" i="4"/>
  <c r="E5127" i="4"/>
  <c r="E7708" i="4"/>
  <c r="B7999" i="4"/>
  <c r="E9738" i="4"/>
  <c r="E6558" i="4"/>
  <c r="B5980" i="4"/>
  <c r="B5191" i="4"/>
  <c r="B6829" i="4"/>
  <c r="E8593" i="4"/>
  <c r="B6769" i="4"/>
  <c r="E7196" i="4"/>
  <c r="E6876" i="4"/>
  <c r="E6319" i="4"/>
  <c r="E6505" i="4"/>
  <c r="B3240" i="4"/>
  <c r="B5978" i="4"/>
  <c r="E3819" i="4"/>
  <c r="E5606" i="4"/>
  <c r="B4654" i="4"/>
  <c r="E3824" i="4"/>
  <c r="E5177" i="4"/>
  <c r="E4948" i="4"/>
  <c r="B5308" i="4"/>
  <c r="B7370" i="4"/>
  <c r="B10304" i="4"/>
  <c r="B8979" i="4"/>
  <c r="E6587" i="4"/>
  <c r="E7503" i="4"/>
  <c r="B7902" i="4"/>
  <c r="E8292" i="4"/>
  <c r="B7041" i="4"/>
  <c r="B5254" i="4"/>
  <c r="E7790" i="4"/>
  <c r="B7147" i="4"/>
  <c r="E7771" i="4"/>
  <c r="B7485" i="4"/>
  <c r="E10361" i="4"/>
  <c r="E6101" i="4"/>
  <c r="B8991" i="4"/>
  <c r="B9155" i="4"/>
  <c r="E8387" i="4"/>
  <c r="B5441" i="4"/>
  <c r="B6941" i="4"/>
  <c r="B8924" i="4"/>
  <c r="E5356" i="4"/>
  <c r="E6874" i="4"/>
  <c r="B6270" i="4"/>
  <c r="E7572" i="4"/>
  <c r="E9425" i="4"/>
  <c r="B7470" i="4"/>
  <c r="B9243" i="4"/>
  <c r="B7770" i="4"/>
  <c r="B8590" i="4"/>
  <c r="E4827" i="4"/>
  <c r="E5764" i="4"/>
  <c r="B6098" i="4"/>
  <c r="E3117" i="4"/>
  <c r="E10160" i="4"/>
  <c r="E8687" i="4"/>
  <c r="E9678" i="4"/>
  <c r="B8439" i="4"/>
  <c r="E6803" i="4"/>
  <c r="B6454" i="4"/>
  <c r="B5781" i="4"/>
  <c r="E7067" i="4"/>
  <c r="E10571" i="4"/>
  <c r="B9024" i="4"/>
  <c r="B5866" i="4"/>
  <c r="E6546" i="4"/>
  <c r="E6847" i="4"/>
  <c r="B7216" i="4"/>
  <c r="E9970" i="4"/>
  <c r="B6253" i="4"/>
  <c r="B7410" i="4"/>
  <c r="E5716" i="4"/>
  <c r="E9006" i="4"/>
  <c r="B7560" i="4"/>
  <c r="B6840" i="4"/>
  <c r="B5910" i="4"/>
  <c r="E7015" i="4"/>
  <c r="E6320" i="4"/>
  <c r="B6489" i="4"/>
  <c r="B9016" i="4"/>
  <c r="E4668" i="4"/>
  <c r="E7931" i="4"/>
  <c r="E5326" i="4"/>
  <c r="B10845" i="4"/>
  <c r="B9676" i="4"/>
  <c r="B8293" i="4"/>
  <c r="B7301" i="4"/>
  <c r="B7948" i="4"/>
  <c r="E7645" i="4"/>
  <c r="E7296" i="4"/>
  <c r="E9156" i="4"/>
  <c r="B9936" i="4"/>
  <c r="E7802" i="4"/>
  <c r="E6783" i="4"/>
  <c r="B8345" i="4"/>
  <c r="B7642" i="4"/>
  <c r="E7721" i="4"/>
  <c r="E5850" i="4"/>
  <c r="E7001" i="4"/>
  <c r="B8212" i="4"/>
  <c r="E5364" i="4"/>
  <c r="B7710" i="4"/>
  <c r="B6234" i="4"/>
  <c r="B6589" i="4"/>
  <c r="E8874" i="4"/>
  <c r="B8525" i="4"/>
  <c r="E7550" i="4"/>
  <c r="E8057" i="4"/>
  <c r="B8338" i="4"/>
  <c r="E5456" i="4"/>
  <c r="B3503" i="4"/>
  <c r="B5044" i="4"/>
  <c r="E5939" i="4"/>
  <c r="B5034" i="4"/>
  <c r="E6563" i="4"/>
  <c r="B6993" i="4"/>
  <c r="B6224" i="4"/>
  <c r="E7232" i="4"/>
  <c r="E6224" i="4"/>
  <c r="B6969" i="4"/>
  <c r="E5988" i="4"/>
  <c r="E5697" i="4"/>
  <c r="B10480" i="4"/>
  <c r="E7774" i="4"/>
  <c r="E10618" i="4"/>
  <c r="B6757" i="4"/>
  <c r="E8341" i="4"/>
  <c r="E8073" i="4"/>
  <c r="B8796" i="4"/>
  <c r="E5514" i="4"/>
  <c r="E8491" i="4"/>
  <c r="E7145" i="4"/>
  <c r="E10559" i="4"/>
  <c r="E7613" i="4"/>
  <c r="E8572" i="4"/>
  <c r="B6896" i="4"/>
  <c r="B4658" i="4"/>
  <c r="E5115" i="4"/>
  <c r="B8130" i="4"/>
  <c r="E6873" i="4"/>
  <c r="B6135" i="4"/>
  <c r="B7266" i="4"/>
  <c r="E6438" i="4"/>
  <c r="B4487" i="4"/>
  <c r="B5135" i="4"/>
  <c r="E5840" i="4"/>
  <c r="B10563" i="4"/>
  <c r="E4454" i="4"/>
  <c r="B7673" i="4"/>
  <c r="B4870" i="4"/>
  <c r="E4947" i="4"/>
  <c r="B4341" i="4"/>
  <c r="E3800" i="4"/>
  <c r="B7684" i="4"/>
  <c r="E6637" i="4"/>
  <c r="B5924" i="4"/>
  <c r="B7359" i="4"/>
  <c r="B4721" i="4"/>
  <c r="E3538" i="4"/>
  <c r="E4966" i="4"/>
  <c r="B2327" i="4"/>
  <c r="B3449" i="4"/>
  <c r="E4011" i="4"/>
  <c r="B6457" i="4"/>
  <c r="E3178" i="4"/>
  <c r="E2451" i="4"/>
  <c r="B4824" i="4"/>
  <c r="E5230" i="4"/>
  <c r="B5860" i="4"/>
  <c r="E5490" i="4"/>
  <c r="E4905" i="4"/>
  <c r="B5637" i="4"/>
  <c r="E5889" i="4"/>
  <c r="E4221" i="4"/>
  <c r="B3849" i="4"/>
  <c r="B4561" i="4"/>
  <c r="E6899" i="4"/>
  <c r="B4643" i="4"/>
  <c r="B1619" i="4"/>
  <c r="B3329" i="4"/>
  <c r="E4168" i="4"/>
  <c r="B2045" i="4"/>
  <c r="B4955" i="4"/>
  <c r="B1829" i="4"/>
  <c r="E3442" i="4"/>
  <c r="E1143" i="4"/>
  <c r="E9334" i="4"/>
  <c r="E9897" i="4"/>
  <c r="B7554" i="4"/>
  <c r="E9729" i="4"/>
  <c r="B7827" i="4"/>
  <c r="B6857" i="4"/>
  <c r="E7032" i="4"/>
  <c r="E7198" i="4"/>
  <c r="E7589" i="4"/>
  <c r="E6898" i="4"/>
  <c r="B9004" i="4"/>
  <c r="B9758" i="4"/>
  <c r="E7542" i="4"/>
  <c r="B10626" i="4"/>
  <c r="E10544" i="4"/>
  <c r="E4371" i="4"/>
  <c r="B7268" i="4"/>
  <c r="E6664" i="4"/>
  <c r="B10307" i="4"/>
  <c r="E7900" i="4"/>
  <c r="E6871" i="4"/>
  <c r="B3440" i="4"/>
  <c r="E6791" i="4"/>
  <c r="B8436" i="4"/>
  <c r="E6529" i="4"/>
  <c r="B3736" i="4"/>
  <c r="B4994" i="4"/>
  <c r="E6273" i="4"/>
  <c r="E5398" i="4"/>
  <c r="E5601" i="4"/>
  <c r="E7996" i="4"/>
  <c r="E6654" i="4"/>
  <c r="B5520" i="4"/>
  <c r="E6346" i="4"/>
  <c r="E6633" i="4"/>
  <c r="E6042" i="4"/>
  <c r="B1701" i="4"/>
  <c r="E3939" i="4"/>
  <c r="B8203" i="4"/>
  <c r="B3949" i="4"/>
  <c r="E3730" i="4"/>
  <c r="E3440" i="4"/>
  <c r="E1687" i="4"/>
  <c r="E8188" i="4"/>
  <c r="E2731" i="4"/>
  <c r="B2708" i="4"/>
  <c r="E4052" i="4"/>
  <c r="E4787" i="4"/>
  <c r="E4603" i="4"/>
  <c r="B6711" i="4"/>
  <c r="B3448" i="4"/>
  <c r="E8475" i="4"/>
  <c r="E3646" i="4"/>
  <c r="B2605" i="4"/>
  <c r="B4379" i="4"/>
  <c r="E5724" i="4"/>
  <c r="B4075" i="4"/>
  <c r="E3531" i="4"/>
  <c r="E2289" i="4"/>
  <c r="E9447" i="4"/>
  <c r="B9196" i="4"/>
  <c r="B7210" i="4"/>
  <c r="B9298" i="4"/>
  <c r="B8601" i="4"/>
  <c r="B8169" i="4"/>
  <c r="B7866" i="4"/>
  <c r="B6657" i="4"/>
  <c r="B5233" i="4"/>
  <c r="B6535" i="4"/>
  <c r="E9003" i="4"/>
  <c r="E9181" i="4"/>
  <c r="B7737" i="4"/>
  <c r="B9333" i="4"/>
  <c r="B9325" i="4"/>
  <c r="B4080" i="4"/>
  <c r="B8276" i="4"/>
  <c r="E5722" i="4"/>
  <c r="E9172" i="4"/>
  <c r="E8196" i="4"/>
  <c r="E6058" i="4"/>
  <c r="E5531" i="4"/>
  <c r="E5987" i="4"/>
  <c r="B5393" i="4"/>
  <c r="E5834" i="4"/>
  <c r="B3544" i="4"/>
  <c r="E7224" i="4"/>
  <c r="B5208" i="4"/>
  <c r="B6175" i="4"/>
  <c r="B6197" i="4"/>
  <c r="E6366" i="4"/>
  <c r="E6244" i="4"/>
  <c r="E6966" i="4"/>
  <c r="E7386" i="4"/>
  <c r="E6090" i="4"/>
  <c r="B3989" i="4"/>
  <c r="B1380" i="4"/>
  <c r="B5615" i="4"/>
  <c r="B8549" i="4"/>
  <c r="E4891" i="4"/>
  <c r="B3006" i="4"/>
  <c r="B5186" i="4"/>
  <c r="E4484" i="4"/>
  <c r="E7587" i="4"/>
  <c r="B4676" i="4"/>
  <c r="E4764" i="4"/>
  <c r="E4696" i="4"/>
  <c r="B4299" i="4"/>
  <c r="E4078" i="4"/>
  <c r="E4755" i="4"/>
  <c r="B5164" i="4"/>
  <c r="E6686" i="4"/>
  <c r="E3257" i="4"/>
  <c r="B2413" i="4"/>
  <c r="E3717" i="4"/>
  <c r="E5367" i="4"/>
  <c r="E2126" i="4"/>
  <c r="B3834" i="4"/>
  <c r="B1933" i="4"/>
  <c r="E8918" i="4"/>
  <c r="E9773" i="4"/>
  <c r="E6866" i="4"/>
  <c r="E8765" i="4"/>
  <c r="E7973" i="4"/>
  <c r="E7450" i="4"/>
  <c r="B7015" i="4"/>
  <c r="B7272" i="4"/>
  <c r="B7107" i="4"/>
  <c r="E6084" i="4"/>
  <c r="B8810" i="4"/>
  <c r="E7604" i="4"/>
  <c r="B7927" i="4"/>
  <c r="E8870" i="4"/>
  <c r="E8774" i="4"/>
  <c r="B3888" i="4"/>
  <c r="B8314" i="4"/>
  <c r="E5234" i="4"/>
  <c r="B10098" i="4"/>
  <c r="B8627" i="4"/>
  <c r="E5664" i="4"/>
  <c r="B4871" i="4"/>
  <c r="B5576" i="4"/>
  <c r="E4814" i="4"/>
  <c r="E6367" i="4"/>
  <c r="B6473" i="4"/>
  <c r="B5367" i="4"/>
  <c r="E6141" i="4"/>
  <c r="E6009" i="4"/>
  <c r="B4985" i="4"/>
  <c r="B6178" i="4"/>
  <c r="E6115" i="4"/>
  <c r="B6191" i="4"/>
  <c r="E7081" i="4"/>
  <c r="E5347" i="4"/>
  <c r="B3400" i="4"/>
  <c r="E1037" i="4"/>
  <c r="E4416" i="4"/>
  <c r="B7937" i="4"/>
  <c r="E4134" i="4"/>
  <c r="E2374" i="4"/>
  <c r="E4423" i="4"/>
  <c r="B3662" i="4"/>
  <c r="E7988" i="4"/>
  <c r="B3972" i="4"/>
  <c r="B3995" i="4"/>
  <c r="B3951" i="4"/>
  <c r="B6649" i="4"/>
  <c r="B5182" i="4"/>
  <c r="B4272" i="4"/>
  <c r="B4523" i="4"/>
  <c r="E5979" i="4"/>
  <c r="B2917" i="4"/>
  <c r="E8545" i="4"/>
  <c r="E9880" i="4"/>
  <c r="E8235" i="4"/>
  <c r="E9306" i="4"/>
  <c r="B7618" i="4"/>
  <c r="B8631" i="4"/>
  <c r="B6548" i="4"/>
  <c r="E6751" i="4"/>
  <c r="E6040" i="4"/>
  <c r="E7814" i="4"/>
  <c r="B9131" i="4"/>
  <c r="B7816" i="4"/>
  <c r="E7495" i="4"/>
  <c r="B9464" i="4"/>
  <c r="B9006" i="4"/>
  <c r="B3696" i="4"/>
  <c r="E7825" i="4"/>
  <c r="B6539" i="4"/>
  <c r="B9091" i="4"/>
  <c r="E9213" i="4"/>
  <c r="E7093" i="4"/>
  <c r="B4544" i="4"/>
  <c r="B6906" i="4"/>
  <c r="E4482" i="4"/>
  <c r="B5896" i="4"/>
  <c r="B5185" i="4"/>
  <c r="B4799" i="4"/>
  <c r="B7481" i="4"/>
  <c r="E5689" i="4"/>
  <c r="E8203" i="4"/>
  <c r="B9442" i="4"/>
  <c r="B7500" i="4"/>
  <c r="E10096" i="4"/>
  <c r="E8431" i="4"/>
  <c r="B7693" i="4"/>
  <c r="E7609" i="4"/>
  <c r="E7035" i="4"/>
  <c r="B8607" i="4"/>
  <c r="B6961" i="4"/>
  <c r="E9251" i="4"/>
  <c r="E8256" i="4"/>
  <c r="E9240" i="4"/>
  <c r="B8582" i="4"/>
  <c r="E9717" i="4"/>
  <c r="B3504" i="4"/>
  <c r="E8807" i="4"/>
  <c r="E5620" i="4"/>
  <c r="E10484" i="4"/>
  <c r="B7225" i="4"/>
  <c r="B6162" i="4"/>
  <c r="B6384" i="4"/>
  <c r="E7759" i="4"/>
  <c r="B5917" i="4"/>
  <c r="B5512" i="4"/>
  <c r="E4700" i="4"/>
  <c r="B4439" i="4"/>
  <c r="B5425" i="4"/>
  <c r="E5940" i="4"/>
  <c r="E8650" i="4"/>
  <c r="B8844" i="4"/>
  <c r="E7138" i="4"/>
  <c r="E9478" i="4"/>
  <c r="B8731" i="4"/>
  <c r="B8581" i="4"/>
  <c r="B6936" i="4"/>
  <c r="E6358" i="4"/>
  <c r="B6084" i="4"/>
  <c r="E7600" i="4"/>
  <c r="E7637" i="4"/>
  <c r="B7521" i="4"/>
  <c r="B9304" i="4"/>
  <c r="B8229" i="4"/>
  <c r="E8219" i="4"/>
  <c r="E5068" i="4"/>
  <c r="B8497" i="4"/>
  <c r="B5150" i="4"/>
  <c r="B9029" i="4"/>
  <c r="B6912" i="4"/>
  <c r="B7034" i="4"/>
  <c r="E7283" i="4"/>
  <c r="B8100" i="4"/>
  <c r="E4946" i="4"/>
  <c r="B6544" i="4"/>
  <c r="B4381" i="4"/>
  <c r="E6750" i="4"/>
  <c r="E7319" i="4"/>
  <c r="B6760" i="4"/>
  <c r="E10219" i="4"/>
  <c r="B8136" i="4"/>
  <c r="E6931" i="4"/>
  <c r="B8325" i="4"/>
  <c r="B8207" i="4"/>
  <c r="E6295" i="4"/>
  <c r="B7243" i="4"/>
  <c r="B8363" i="4"/>
  <c r="B6306" i="4"/>
  <c r="B9396" i="4"/>
  <c r="E9080" i="4"/>
  <c r="E7217" i="4"/>
  <c r="E8025" i="4"/>
  <c r="E7290" i="4"/>
  <c r="B7281" i="4"/>
  <c r="E4646" i="4"/>
  <c r="E7376" i="4"/>
  <c r="B4833" i="4"/>
  <c r="E7964" i="4"/>
  <c r="B6889" i="4"/>
  <c r="E6161" i="4"/>
  <c r="E5369" i="4"/>
  <c r="B6354" i="4"/>
  <c r="B6582" i="4"/>
  <c r="B6946" i="4"/>
  <c r="E5392" i="4"/>
  <c r="B4837" i="4"/>
  <c r="E5920" i="4"/>
  <c r="B5422" i="4"/>
  <c r="B9663" i="4"/>
  <c r="B5970" i="4"/>
  <c r="E8716" i="4"/>
  <c r="B7133" i="4"/>
  <c r="E8204" i="4"/>
  <c r="B6216" i="4"/>
  <c r="E5824" i="4"/>
  <c r="E5541" i="4"/>
  <c r="E9310" i="4"/>
  <c r="B7672" i="4"/>
  <c r="E10678" i="4"/>
  <c r="E6905" i="4"/>
  <c r="B5678" i="4"/>
  <c r="E6509" i="4"/>
  <c r="B6422" i="4"/>
  <c r="E7807" i="4"/>
  <c r="B6512" i="4"/>
  <c r="E7453" i="4"/>
  <c r="B8475" i="4"/>
  <c r="E6386" i="4"/>
  <c r="B5679" i="4"/>
  <c r="E3890" i="4"/>
  <c r="B5718" i="4"/>
  <c r="E4956" i="4"/>
  <c r="E7394" i="4"/>
  <c r="E2943" i="4"/>
  <c r="B4545" i="4"/>
  <c r="B4959" i="4"/>
  <c r="B10150" i="4"/>
  <c r="B8881" i="4"/>
  <c r="E6779" i="4"/>
  <c r="B5584" i="4"/>
  <c r="B8617" i="4"/>
  <c r="B6265" i="4"/>
  <c r="B7968" i="4"/>
  <c r="B5796" i="4"/>
  <c r="E7006" i="4"/>
  <c r="B9846" i="4"/>
  <c r="B7657" i="4"/>
  <c r="E7255" i="4"/>
  <c r="E7510" i="4"/>
  <c r="B3953" i="4"/>
  <c r="E5284" i="4"/>
  <c r="E4708" i="4"/>
  <c r="E5736" i="4"/>
  <c r="B8269" i="4"/>
  <c r="B7128" i="4"/>
  <c r="B5540" i="4"/>
  <c r="E10920" i="4"/>
  <c r="B4326" i="4"/>
  <c r="E8528" i="4"/>
  <c r="B5169" i="4"/>
  <c r="E8359" i="4"/>
  <c r="B6749" i="4"/>
  <c r="E7513" i="4"/>
  <c r="B4718" i="4"/>
  <c r="E4300" i="4"/>
  <c r="E4391" i="4"/>
  <c r="B3480" i="4"/>
  <c r="E5074" i="4"/>
  <c r="E9324" i="4"/>
  <c r="E9316" i="4"/>
  <c r="B9188" i="4"/>
  <c r="E7981" i="4"/>
  <c r="E7867" i="4"/>
  <c r="E7505" i="4"/>
  <c r="B8762" i="4"/>
  <c r="E7021" i="4"/>
  <c r="E5520" i="4"/>
  <c r="B8563" i="4"/>
  <c r="B7453" i="4"/>
  <c r="B8408" i="4"/>
  <c r="B5488" i="4"/>
  <c r="E7028" i="4"/>
  <c r="E9159" i="4"/>
  <c r="E7426" i="4"/>
  <c r="E5683" i="4"/>
  <c r="E8100" i="4"/>
  <c r="E7857" i="4"/>
  <c r="E5767" i="4"/>
  <c r="E6553" i="4"/>
  <c r="B10084" i="4"/>
  <c r="B9118" i="4"/>
  <c r="B8054" i="4"/>
  <c r="E7472" i="4"/>
  <c r="E7884" i="4"/>
  <c r="B7179" i="4"/>
  <c r="E7393" i="4"/>
  <c r="B7318" i="4"/>
  <c r="E7632" i="4"/>
  <c r="B6127" i="4"/>
  <c r="B7623" i="4"/>
  <c r="E8638" i="4"/>
  <c r="E10168" i="4"/>
  <c r="B8891" i="4"/>
  <c r="E6797" i="4"/>
  <c r="B5971" i="4"/>
  <c r="E8472" i="4"/>
  <c r="B7690" i="4"/>
  <c r="B7768" i="4"/>
  <c r="E7596" i="4"/>
  <c r="E7847" i="4"/>
  <c r="E9637" i="4"/>
  <c r="B5033" i="4"/>
  <c r="B10695" i="4"/>
  <c r="B6373" i="4"/>
  <c r="B8737" i="4"/>
  <c r="B4311" i="4"/>
  <c r="B5761" i="4"/>
  <c r="E9397" i="4"/>
  <c r="E8632" i="4"/>
  <c r="B7536" i="4"/>
  <c r="E6951" i="4"/>
  <c r="B7094" i="4"/>
  <c r="B6445" i="4"/>
  <c r="B6039" i="4"/>
  <c r="B5827" i="4"/>
  <c r="B5477" i="4"/>
  <c r="E3921" i="4"/>
  <c r="B5321" i="4"/>
  <c r="E5383" i="4"/>
  <c r="E9579" i="4"/>
  <c r="B9636" i="4"/>
  <c r="B8406" i="4"/>
  <c r="E7890" i="4"/>
  <c r="B8142" i="4"/>
  <c r="B6658" i="4"/>
  <c r="E6720" i="4"/>
  <c r="E8177" i="4"/>
  <c r="E9965" i="4"/>
  <c r="E7351" i="4"/>
  <c r="E6821" i="4"/>
  <c r="B6142" i="4"/>
  <c r="B6564" i="4"/>
  <c r="B6348" i="4"/>
  <c r="B10509" i="4"/>
  <c r="E6376" i="4"/>
  <c r="E6988" i="4"/>
  <c r="E4734" i="4"/>
  <c r="E6696" i="4"/>
  <c r="B9057" i="4"/>
  <c r="B7261" i="4"/>
  <c r="E6901" i="4"/>
  <c r="E6942" i="4"/>
  <c r="B8579" i="4"/>
  <c r="B7441" i="4"/>
  <c r="E6373" i="4"/>
  <c r="B3569" i="4"/>
  <c r="B7769" i="4"/>
  <c r="E6081" i="4"/>
  <c r="B7574" i="4"/>
  <c r="B4323" i="4"/>
  <c r="E6422" i="4"/>
  <c r="E5260" i="4"/>
  <c r="E6253" i="4"/>
  <c r="E5242" i="4"/>
  <c r="B4761" i="4"/>
  <c r="B6297" i="4"/>
  <c r="E6605" i="4"/>
  <c r="B3297" i="4"/>
  <c r="B10288" i="4"/>
  <c r="E10499" i="4"/>
  <c r="E6758" i="4"/>
  <c r="E10441" i="4"/>
  <c r="B8765" i="4"/>
  <c r="E9552" i="4"/>
  <c r="E6660" i="4"/>
  <c r="E8724" i="4"/>
  <c r="E6930" i="4"/>
  <c r="E8521" i="4"/>
  <c r="B8266" i="4"/>
  <c r="E6928" i="4"/>
  <c r="E7099" i="4"/>
  <c r="B6298" i="4"/>
  <c r="B5088" i="4"/>
  <c r="B6203" i="4"/>
  <c r="E6538" i="4"/>
  <c r="E6952" i="4"/>
  <c r="B6720" i="4"/>
  <c r="B5557" i="4"/>
  <c r="B9179" i="4"/>
  <c r="E5553" i="4"/>
  <c r="E8164" i="4"/>
  <c r="E5070" i="4"/>
  <c r="B7248" i="4"/>
  <c r="B5080" i="4"/>
  <c r="B5802" i="4"/>
  <c r="B8808" i="4"/>
  <c r="B8304" i="4"/>
  <c r="E8864" i="4"/>
  <c r="B8606" i="4"/>
  <c r="B4391" i="4"/>
  <c r="B6034" i="4"/>
  <c r="E5703" i="4"/>
  <c r="B5251" i="4"/>
  <c r="B2865" i="4"/>
  <c r="B5273" i="4"/>
  <c r="B5527" i="4"/>
  <c r="B3024" i="4"/>
  <c r="B3145" i="4"/>
  <c r="E2525" i="4"/>
  <c r="E4971" i="4"/>
  <c r="E4171" i="4"/>
  <c r="B2484" i="4"/>
  <c r="E5634" i="4"/>
  <c r="B4183" i="4"/>
  <c r="E3416" i="4"/>
  <c r="B3409" i="4"/>
  <c r="E8602" i="4"/>
  <c r="B7025" i="4"/>
  <c r="E5858" i="4"/>
  <c r="B2898" i="4"/>
  <c r="B4755" i="4"/>
  <c r="E3626" i="4"/>
  <c r="B3929" i="4"/>
  <c r="E2842" i="4"/>
  <c r="B3277" i="4"/>
  <c r="B4345" i="4"/>
  <c r="B5271" i="4"/>
  <c r="E3893" i="4"/>
  <c r="B2296" i="4"/>
  <c r="B7400" i="4"/>
  <c r="E2784" i="4"/>
  <c r="E5564" i="4"/>
  <c r="E9322" i="4"/>
  <c r="B7493" i="4"/>
  <c r="B7480" i="4"/>
  <c r="B9417" i="4"/>
  <c r="E10217" i="4"/>
  <c r="E6128" i="4"/>
  <c r="E5776" i="4"/>
  <c r="B9209" i="4"/>
  <c r="B10596" i="4"/>
  <c r="B7775" i="4"/>
  <c r="E7816" i="4"/>
  <c r="E6886" i="4"/>
  <c r="E5857" i="4"/>
  <c r="E7917" i="4"/>
  <c r="E6378" i="4"/>
  <c r="E3321" i="4"/>
  <c r="E6256" i="4"/>
  <c r="E9113" i="4"/>
  <c r="B6922" i="4"/>
  <c r="B7193" i="4"/>
  <c r="E4840" i="4"/>
  <c r="B3538" i="4"/>
  <c r="E5922" i="4"/>
  <c r="B4226" i="4"/>
  <c r="E5233" i="4"/>
  <c r="E6380" i="4"/>
  <c r="B5482" i="4"/>
  <c r="E5444" i="4"/>
  <c r="B5040" i="4"/>
  <c r="B4310" i="4"/>
  <c r="B7698" i="4"/>
  <c r="E9237" i="4"/>
  <c r="E4641" i="4"/>
  <c r="E7583" i="4"/>
  <c r="B5419" i="4"/>
  <c r="B4063" i="4"/>
  <c r="E6083" i="4"/>
  <c r="E3508" i="4"/>
  <c r="B4343" i="4"/>
  <c r="B4066" i="4"/>
  <c r="B2921" i="4"/>
  <c r="E4084" i="4"/>
  <c r="B3192" i="4"/>
  <c r="B6064" i="4"/>
  <c r="B6485" i="4"/>
  <c r="E7153" i="4"/>
  <c r="B6853" i="4"/>
  <c r="E7863" i="4"/>
  <c r="E7560" i="4"/>
  <c r="E2691" i="4"/>
  <c r="E4549" i="4"/>
  <c r="E5797" i="4"/>
  <c r="B7137" i="4"/>
  <c r="E3389" i="4"/>
  <c r="E3999" i="4"/>
  <c r="E3023" i="4"/>
  <c r="B5844" i="4"/>
  <c r="E3071" i="4"/>
  <c r="E2274" i="4"/>
  <c r="E9533" i="4"/>
  <c r="B7154" i="4"/>
  <c r="E6310" i="4"/>
  <c r="E8342" i="4"/>
  <c r="B8400" i="4"/>
  <c r="E7008" i="4"/>
  <c r="E5536" i="4"/>
  <c r="E5440" i="4"/>
  <c r="B10222" i="4"/>
  <c r="E8091" i="4"/>
  <c r="E6451" i="4"/>
  <c r="B8104" i="4"/>
  <c r="B5313" i="4"/>
  <c r="B6478" i="4"/>
  <c r="E5744" i="4"/>
  <c r="B3049" i="4"/>
  <c r="B5744" i="4"/>
  <c r="E8317" i="4"/>
  <c r="E6126" i="4"/>
  <c r="B6246" i="4"/>
  <c r="E6122" i="4"/>
  <c r="B3241" i="4"/>
  <c r="B5364" i="4"/>
  <c r="E3839" i="4"/>
  <c r="B6568" i="4"/>
  <c r="E4654" i="4"/>
  <c r="B4505" i="4"/>
  <c r="E5590" i="4"/>
  <c r="B6031" i="4"/>
  <c r="E5555" i="4"/>
  <c r="B8094" i="4"/>
  <c r="E9022" i="4"/>
  <c r="B4327" i="4"/>
  <c r="E5627" i="4"/>
  <c r="E4901" i="4"/>
  <c r="E3398" i="4"/>
  <c r="E7477" i="4"/>
  <c r="B3117" i="4"/>
  <c r="E5665" i="4"/>
  <c r="E3491" i="4"/>
  <c r="E2233" i="4"/>
  <c r="B4765" i="4"/>
  <c r="B2863" i="4"/>
  <c r="B5685" i="4"/>
  <c r="E5876" i="4"/>
  <c r="B7289" i="4"/>
  <c r="B6059" i="4"/>
  <c r="B6838" i="4"/>
  <c r="B9082" i="4"/>
  <c r="E4475" i="4"/>
  <c r="B3870" i="4"/>
  <c r="E5075" i="4"/>
  <c r="E4805" i="4"/>
  <c r="B3724" i="4"/>
  <c r="B3551" i="4"/>
  <c r="B2302" i="4"/>
  <c r="B5887" i="4"/>
  <c r="B2655" i="4"/>
  <c r="E1857" i="4"/>
  <c r="B8367" i="4"/>
  <c r="E6269" i="4"/>
  <c r="B5759" i="4"/>
  <c r="B9163" i="4"/>
  <c r="E9222" i="4"/>
  <c r="E6487" i="4"/>
  <c r="E6926" i="4"/>
  <c r="B6308" i="4"/>
  <c r="B10335" i="4"/>
  <c r="E8608" i="4"/>
  <c r="E6060" i="4"/>
  <c r="B6958" i="4"/>
  <c r="E6768" i="4"/>
  <c r="E6790" i="4"/>
  <c r="E7834" i="4"/>
  <c r="E10624" i="4"/>
  <c r="E7377" i="4"/>
  <c r="B8686" i="4"/>
  <c r="B7103" i="4"/>
  <c r="B6490" i="4"/>
  <c r="B5443" i="4"/>
  <c r="B2953" i="4"/>
  <c r="B4984" i="4"/>
  <c r="E3476" i="4"/>
  <c r="E5719" i="4"/>
  <c r="B5622" i="4"/>
  <c r="B4081" i="4"/>
  <c r="E4911" i="4"/>
  <c r="B5331" i="4"/>
  <c r="E6448" i="4"/>
  <c r="E8448" i="4"/>
  <c r="B7731" i="4"/>
  <c r="E10082" i="4"/>
  <c r="B6004" i="4"/>
  <c r="B5468" i="4"/>
  <c r="B3051" i="4"/>
  <c r="E6135" i="4"/>
  <c r="B2805" i="4"/>
  <c r="B4904" i="4"/>
  <c r="E3106" i="4"/>
  <c r="B1902" i="4"/>
  <c r="B3983" i="4"/>
  <c r="B2614" i="4"/>
  <c r="B4667" i="4"/>
  <c r="E5497" i="4"/>
  <c r="B5142" i="4"/>
  <c r="E5648" i="4"/>
  <c r="B7040" i="4"/>
  <c r="E8892" i="4"/>
  <c r="B8739" i="4"/>
  <c r="B3436" i="4"/>
  <c r="E7362" i="4"/>
  <c r="B4147" i="4"/>
  <c r="E9191" i="4"/>
  <c r="E6029" i="4"/>
  <c r="B7874" i="4"/>
  <c r="B10005" i="4"/>
  <c r="E8328" i="4"/>
  <c r="E6106" i="4"/>
  <c r="B6257" i="4"/>
  <c r="B5779" i="4"/>
  <c r="E10371" i="4"/>
  <c r="E6927" i="4"/>
  <c r="B7601" i="4"/>
  <c r="B8395" i="4"/>
  <c r="B5711" i="4"/>
  <c r="B6850" i="4"/>
  <c r="B6433" i="4"/>
  <c r="B9317" i="4"/>
  <c r="B6399" i="4"/>
  <c r="E8232" i="4"/>
  <c r="B6143" i="4"/>
  <c r="E6634" i="4"/>
  <c r="E7323" i="4"/>
  <c r="B2684" i="4"/>
  <c r="B6122" i="4"/>
  <c r="E3188" i="4"/>
  <c r="B6103" i="4"/>
  <c r="B4513" i="4"/>
  <c r="B3825" i="4"/>
  <c r="B5716" i="4"/>
  <c r="E4949" i="4"/>
  <c r="B8283" i="4"/>
  <c r="E5837" i="4"/>
  <c r="B10267" i="4"/>
  <c r="E8349" i="4"/>
  <c r="B9354" i="4"/>
  <c r="E7191" i="4"/>
  <c r="B9533" i="4"/>
  <c r="B5440" i="4"/>
  <c r="B9502" i="4"/>
  <c r="B6492" i="4"/>
  <c r="E6908" i="4"/>
  <c r="E6704" i="4"/>
  <c r="E5216" i="4"/>
  <c r="E6138" i="4"/>
  <c r="B8101" i="4"/>
  <c r="B10444" i="4"/>
  <c r="B6635" i="4"/>
  <c r="B9095" i="4"/>
  <c r="E7223" i="4"/>
  <c r="B7615" i="4"/>
  <c r="B5994" i="4"/>
  <c r="B4957" i="4"/>
  <c r="E7720" i="4"/>
  <c r="B3367" i="4"/>
  <c r="E5526" i="4"/>
  <c r="E3982" i="4"/>
  <c r="B3577" i="4"/>
  <c r="B5052" i="4"/>
  <c r="B5734" i="4"/>
  <c r="E10684" i="4"/>
  <c r="B7393" i="4"/>
  <c r="B10864" i="4"/>
  <c r="E9370" i="4"/>
  <c r="B7749" i="4"/>
  <c r="B6605" i="4"/>
  <c r="B6560" i="4"/>
  <c r="E6326" i="4"/>
  <c r="B9434" i="4"/>
  <c r="B7475" i="4"/>
  <c r="E7517" i="4"/>
  <c r="B6040" i="4"/>
  <c r="B4881" i="4"/>
  <c r="E6588" i="4"/>
  <c r="B5760" i="4"/>
  <c r="B10016" i="4"/>
  <c r="E6752" i="4"/>
  <c r="E8873" i="4"/>
  <c r="E6251" i="4"/>
  <c r="B6310" i="4"/>
  <c r="B5024" i="4"/>
  <c r="E4124" i="4"/>
  <c r="E5458" i="4"/>
  <c r="B3031" i="4"/>
  <c r="B6329" i="4"/>
  <c r="B3607" i="4"/>
  <c r="B3313" i="4"/>
  <c r="B6060" i="4"/>
  <c r="E5145" i="4"/>
  <c r="E9870" i="4"/>
  <c r="B6302" i="4"/>
  <c r="E7947" i="4"/>
  <c r="B7389" i="4"/>
  <c r="E10382" i="4"/>
  <c r="B4841" i="4"/>
  <c r="E6964" i="4"/>
  <c r="B6327" i="4"/>
  <c r="B9142" i="4"/>
  <c r="B9271" i="4"/>
  <c r="E10489" i="4"/>
  <c r="B7010" i="4"/>
  <c r="B6174" i="4"/>
  <c r="E4952" i="4"/>
  <c r="B7760" i="4"/>
  <c r="B7616" i="4"/>
  <c r="E8099" i="4"/>
  <c r="E8499" i="4"/>
  <c r="E8021" i="4"/>
  <c r="E7225" i="4"/>
  <c r="B6231" i="4"/>
  <c r="B4364" i="4"/>
  <c r="E6173" i="4"/>
  <c r="E2739" i="4"/>
  <c r="E5708" i="4"/>
  <c r="E3231" i="4"/>
  <c r="E5069" i="4"/>
  <c r="E5362" i="4"/>
  <c r="E10809" i="4"/>
  <c r="B8191" i="4"/>
  <c r="B8040" i="4"/>
  <c r="E6672" i="4"/>
  <c r="E8147" i="4"/>
  <c r="B7915" i="4"/>
  <c r="E7969" i="4"/>
  <c r="B4566" i="4"/>
  <c r="B7433" i="4"/>
  <c r="E6972" i="4"/>
  <c r="E9158" i="4"/>
  <c r="E7029" i="4"/>
  <c r="E7078" i="4"/>
  <c r="E4493" i="4"/>
  <c r="B4863" i="4"/>
  <c r="E5446" i="4"/>
  <c r="B7773" i="4"/>
  <c r="E8691" i="4"/>
  <c r="B6917" i="4"/>
  <c r="B5167" i="4"/>
  <c r="B5842" i="4"/>
  <c r="E4884" i="4"/>
  <c r="E8610" i="4"/>
  <c r="E8153" i="4"/>
  <c r="E9290" i="4"/>
  <c r="B4716" i="4"/>
  <c r="E8195" i="4"/>
  <c r="B4078" i="4"/>
  <c r="B5602" i="4"/>
  <c r="E9632" i="4"/>
  <c r="B10688" i="4"/>
  <c r="E9380" i="4"/>
  <c r="B8756" i="4"/>
  <c r="E8464" i="4"/>
  <c r="E7927" i="4"/>
  <c r="E9055" i="4"/>
  <c r="B7592" i="4"/>
  <c r="E5760" i="4"/>
  <c r="E6962" i="4"/>
  <c r="E6878" i="4"/>
  <c r="B10198" i="4"/>
  <c r="B6703" i="4"/>
  <c r="E6532" i="4"/>
  <c r="B5783" i="4"/>
  <c r="B5253" i="4"/>
  <c r="E5780" i="4"/>
  <c r="B6183" i="4"/>
  <c r="B4793" i="4"/>
  <c r="B8985" i="4"/>
  <c r="B6086" i="4"/>
  <c r="B3681" i="4"/>
  <c r="B6029" i="4"/>
  <c r="B3457" i="4"/>
  <c r="E7390" i="4"/>
  <c r="B3785" i="4"/>
  <c r="E6646" i="4"/>
  <c r="E6004" i="4"/>
  <c r="E6946" i="4"/>
  <c r="B6514" i="4"/>
  <c r="B6062" i="4"/>
  <c r="B7522" i="4"/>
  <c r="B10513" i="4"/>
  <c r="E8404" i="4"/>
  <c r="E6929" i="4"/>
  <c r="B10386" i="4"/>
  <c r="B7929" i="4"/>
  <c r="B6434" i="4"/>
  <c r="E6837" i="4"/>
  <c r="B7192" i="4"/>
  <c r="B5013" i="4"/>
  <c r="E7697" i="4"/>
  <c r="E8396" i="4"/>
  <c r="B9389" i="4"/>
  <c r="B6150" i="4"/>
  <c r="B4590" i="4"/>
  <c r="E4551" i="4"/>
  <c r="B4805" i="4"/>
  <c r="E6483" i="4"/>
  <c r="B5681" i="4"/>
  <c r="B6359" i="4"/>
  <c r="B7956" i="4"/>
  <c r="E7017" i="4"/>
  <c r="B3489" i="4"/>
  <c r="B6659" i="4"/>
  <c r="B6863" i="4"/>
  <c r="E6470" i="4"/>
  <c r="B3593" i="4"/>
  <c r="E5926" i="4"/>
  <c r="B5641" i="4"/>
  <c r="B5648" i="4"/>
  <c r="E8853" i="4"/>
  <c r="B8350" i="4"/>
  <c r="B7065" i="4"/>
  <c r="E8722" i="4"/>
  <c r="E7628" i="4"/>
  <c r="B7067" i="4"/>
  <c r="B9343" i="4"/>
  <c r="B6222" i="4"/>
  <c r="E5523" i="4"/>
  <c r="B8952" i="4"/>
  <c r="B8384" i="4"/>
  <c r="E7205" i="4"/>
  <c r="B7482" i="4"/>
  <c r="E6417" i="4"/>
  <c r="B6409" i="4"/>
  <c r="E4561" i="4"/>
  <c r="B6269" i="4"/>
  <c r="B5074" i="4"/>
  <c r="E7079" i="4"/>
  <c r="B6865" i="4"/>
  <c r="B6343" i="4"/>
  <c r="B4776" i="4"/>
  <c r="E5399" i="4"/>
  <c r="B5219" i="4"/>
  <c r="B6882" i="4"/>
  <c r="B4252" i="4"/>
  <c r="E5605" i="4"/>
  <c r="E4789" i="4"/>
  <c r="B4828" i="4"/>
  <c r="B4934" i="4"/>
  <c r="E6913" i="4"/>
  <c r="E5618" i="4"/>
  <c r="E5276" i="4"/>
  <c r="E6769" i="4"/>
  <c r="B5740" i="4"/>
  <c r="B1624" i="4"/>
  <c r="E6507" i="4"/>
  <c r="E9050" i="4"/>
  <c r="E9650" i="4"/>
  <c r="B6830" i="4"/>
  <c r="E6054" i="4"/>
  <c r="B7970" i="4"/>
  <c r="E6706" i="4"/>
  <c r="B9019" i="4"/>
  <c r="B4136" i="4"/>
  <c r="E5485" i="4"/>
  <c r="B5649" i="4"/>
  <c r="E4387" i="4"/>
  <c r="E4653" i="4"/>
  <c r="B5551" i="4"/>
  <c r="B6206" i="4"/>
  <c r="B5640" i="4"/>
  <c r="B9383" i="4"/>
  <c r="B5444" i="4"/>
  <c r="B9828" i="4"/>
  <c r="B5955" i="4"/>
  <c r="B4557" i="4"/>
  <c r="B3872" i="4"/>
  <c r="E3956" i="4"/>
  <c r="E5686" i="4"/>
  <c r="B1924" i="4"/>
  <c r="E3981" i="4"/>
  <c r="E3362" i="4"/>
  <c r="E7018" i="4"/>
  <c r="E3083" i="4"/>
  <c r="B6848" i="4"/>
  <c r="E5638" i="4"/>
  <c r="B4438" i="4"/>
  <c r="B4965" i="4"/>
  <c r="B6130" i="4"/>
  <c r="E6778" i="4"/>
  <c r="E6911" i="4"/>
  <c r="B2431" i="4"/>
  <c r="B3359" i="4"/>
  <c r="E4760" i="4"/>
  <c r="E2329" i="4"/>
  <c r="B5431" i="4"/>
  <c r="B3539" i="4"/>
  <c r="B4451" i="4"/>
  <c r="E3200" i="4"/>
  <c r="B5693" i="4"/>
  <c r="B5531" i="4"/>
  <c r="B5354" i="4"/>
  <c r="E3427" i="4"/>
  <c r="E1807" i="4"/>
  <c r="E4539" i="4"/>
  <c r="B3994" i="4"/>
  <c r="B5087" i="4"/>
  <c r="E3201" i="4"/>
  <c r="E1512" i="4"/>
  <c r="B3422" i="4"/>
  <c r="B2390" i="4"/>
  <c r="E8766" i="4"/>
  <c r="E1407" i="4"/>
  <c r="B377" i="4"/>
  <c r="E9982" i="4"/>
  <c r="B2508" i="4"/>
  <c r="B1509" i="4"/>
  <c r="E5010" i="4"/>
  <c r="B1901" i="4"/>
  <c r="B10578" i="4"/>
  <c r="B6121" i="4"/>
  <c r="B8845" i="4"/>
  <c r="B6426" i="4"/>
  <c r="B6622" i="4"/>
  <c r="B8806" i="4"/>
  <c r="B6347" i="4"/>
  <c r="B3704" i="4"/>
  <c r="E7007" i="4"/>
  <c r="B6334" i="4"/>
  <c r="B8951" i="4"/>
  <c r="E7710" i="4"/>
  <c r="B7843" i="4"/>
  <c r="B8247" i="4"/>
  <c r="E7552" i="4"/>
  <c r="E5554" i="4"/>
  <c r="B5822" i="4"/>
  <c r="B8782" i="4"/>
  <c r="B6750" i="4"/>
  <c r="E4244" i="4"/>
  <c r="B3045" i="4"/>
  <c r="B2856" i="4"/>
  <c r="B4937" i="4"/>
  <c r="B1608" i="4"/>
  <c r="B5418" i="4"/>
  <c r="E3344" i="4"/>
  <c r="B2577" i="4"/>
  <c r="E6845" i="4"/>
  <c r="B5687" i="4"/>
  <c r="B6405" i="4"/>
  <c r="E5836" i="4"/>
  <c r="B4595" i="4"/>
  <c r="B4709" i="4"/>
  <c r="B6976" i="4"/>
  <c r="E2311" i="4"/>
  <c r="E5178" i="4"/>
  <c r="E2790" i="4"/>
  <c r="B109" i="4"/>
  <c r="B1784" i="4"/>
  <c r="E1588" i="4"/>
  <c r="B6578" i="4"/>
  <c r="B2554" i="4"/>
  <c r="B3939" i="4"/>
  <c r="E1125" i="4"/>
  <c r="B2709" i="4"/>
  <c r="E4835" i="4"/>
  <c r="B4706" i="4"/>
  <c r="B4989" i="4"/>
  <c r="E6714" i="4"/>
  <c r="B3328" i="4"/>
  <c r="E3740" i="4"/>
  <c r="B5849" i="4"/>
  <c r="B1354" i="4"/>
  <c r="E10218" i="4"/>
  <c r="B4090" i="4"/>
  <c r="E3195" i="4"/>
  <c r="B2789" i="4"/>
  <c r="B2808" i="4"/>
  <c r="B354" i="4"/>
  <c r="B2926" i="4"/>
  <c r="E8052" i="4"/>
  <c r="E10813" i="4"/>
  <c r="B10364" i="4"/>
  <c r="E8412" i="4"/>
  <c r="B8361" i="4"/>
  <c r="B6897" i="4"/>
  <c r="B4522" i="4"/>
  <c r="B4414" i="4"/>
  <c r="B7075" i="4"/>
  <c r="B5956" i="4"/>
  <c r="E6742" i="4"/>
  <c r="E6317" i="4"/>
  <c r="E5532" i="4"/>
  <c r="E8023" i="4"/>
  <c r="E4360" i="4"/>
  <c r="B5593" i="4"/>
  <c r="E7916" i="4"/>
  <c r="E6885" i="4"/>
  <c r="B7919" i="4"/>
  <c r="B2816" i="4"/>
  <c r="E4914" i="4"/>
  <c r="E3699" i="4"/>
  <c r="E3547" i="4"/>
  <c r="E4428" i="4"/>
  <c r="E4667" i="4"/>
  <c r="B3487" i="4"/>
  <c r="B4025" i="4"/>
  <c r="B4647" i="4"/>
  <c r="E6469" i="4"/>
  <c r="E3048" i="4"/>
  <c r="E6018" i="4"/>
  <c r="E7555" i="4"/>
  <c r="E3238" i="4"/>
  <c r="B4165" i="4"/>
  <c r="B3268" i="4"/>
  <c r="E4013" i="4"/>
  <c r="E2941" i="4"/>
  <c r="B3416" i="4"/>
  <c r="B3915" i="4"/>
  <c r="B1739" i="4"/>
  <c r="E1847" i="4"/>
  <c r="E4558" i="4"/>
  <c r="E2696" i="4"/>
  <c r="B3976" i="4"/>
  <c r="E6097" i="4"/>
  <c r="B3754" i="4"/>
  <c r="E2551" i="4"/>
  <c r="E4467" i="4"/>
  <c r="B3495" i="4"/>
  <c r="E5872" i="4"/>
  <c r="B6553" i="4"/>
  <c r="E6644" i="4"/>
  <c r="B2261" i="4"/>
  <c r="B4152" i="4"/>
  <c r="E3954" i="4"/>
  <c r="E2106" i="4"/>
  <c r="B4051" i="4"/>
  <c r="B2871" i="4"/>
  <c r="B128" i="4"/>
  <c r="B9301" i="4"/>
  <c r="B10583" i="4"/>
  <c r="B7567" i="4"/>
  <c r="E9390" i="4"/>
  <c r="E6236" i="4"/>
  <c r="E7780" i="4"/>
  <c r="E5809" i="4"/>
  <c r="E4144" i="4"/>
  <c r="E6628" i="4"/>
  <c r="E5141" i="4"/>
  <c r="B6870" i="4"/>
  <c r="E6756" i="4"/>
  <c r="E6583" i="4"/>
  <c r="B6487" i="4"/>
  <c r="B6844" i="4"/>
  <c r="B5662" i="4"/>
  <c r="E6798" i="4"/>
  <c r="B7469" i="4"/>
  <c r="E5259" i="4"/>
  <c r="B3592" i="4"/>
  <c r="B3482" i="4"/>
  <c r="E4082" i="4"/>
  <c r="E6694" i="4"/>
  <c r="B3559" i="4"/>
  <c r="E5008" i="4"/>
  <c r="E3358" i="4"/>
  <c r="B1745" i="4"/>
  <c r="E6345" i="4"/>
  <c r="B5631" i="4"/>
  <c r="E5308" i="4"/>
  <c r="B3689" i="4"/>
  <c r="B3800" i="4"/>
  <c r="E6114" i="4"/>
  <c r="E7357" i="4"/>
  <c r="E1927" i="4"/>
  <c r="E5125" i="4"/>
  <c r="E4439" i="4"/>
  <c r="E2043" i="4"/>
  <c r="E3831" i="4"/>
  <c r="E2964" i="4"/>
  <c r="E2926" i="4"/>
  <c r="E3651" i="4"/>
  <c r="B4377" i="4"/>
  <c r="E2999" i="4"/>
  <c r="E3282" i="4"/>
  <c r="B4672" i="4"/>
  <c r="E3718" i="4"/>
  <c r="B4265" i="4"/>
  <c r="B6967" i="4"/>
  <c r="B2599" i="4"/>
  <c r="B2745" i="4"/>
  <c r="E3706" i="4"/>
  <c r="B2697" i="4"/>
  <c r="E7923" i="4"/>
  <c r="E2973" i="4"/>
  <c r="E2026" i="4"/>
  <c r="B5059" i="4"/>
  <c r="E1708" i="4"/>
  <c r="E1729" i="4"/>
  <c r="B2764" i="4"/>
  <c r="B10460" i="4"/>
  <c r="E7236" i="4"/>
  <c r="E9040" i="4"/>
  <c r="B7167" i="4"/>
  <c r="E8417" i="4"/>
  <c r="B9045" i="4"/>
  <c r="E3677" i="4"/>
  <c r="E6872" i="4"/>
  <c r="E7458" i="4"/>
  <c r="E8742" i="4"/>
  <c r="E5269" i="4"/>
  <c r="B5130" i="4"/>
  <c r="B3401" i="4"/>
  <c r="E6079" i="4"/>
  <c r="B10341" i="4"/>
  <c r="E6830" i="4"/>
  <c r="B7926" i="4"/>
  <c r="E6863" i="4"/>
  <c r="E6544" i="4"/>
  <c r="B2392" i="4"/>
  <c r="E5975" i="4"/>
  <c r="B2885" i="4"/>
  <c r="B3127" i="4"/>
  <c r="B2466" i="4"/>
  <c r="E5389" i="4"/>
  <c r="B2714" i="4"/>
  <c r="B3433" i="4"/>
  <c r="B5564" i="4"/>
  <c r="E4319" i="4"/>
  <c r="E4509" i="4"/>
  <c r="B6008" i="4"/>
  <c r="B8926" i="4"/>
  <c r="E2708" i="4"/>
  <c r="E3266" i="4"/>
  <c r="E4219" i="4"/>
  <c r="E2745" i="4"/>
  <c r="E3633" i="4"/>
  <c r="B5872" i="4"/>
  <c r="E3914" i="4"/>
  <c r="E983" i="4"/>
  <c r="B3925" i="4"/>
  <c r="E5420" i="4"/>
  <c r="B3502" i="4"/>
  <c r="E4411" i="4"/>
  <c r="B5148" i="4"/>
  <c r="E4295" i="4"/>
  <c r="E2047" i="4"/>
  <c r="E7476" i="4"/>
  <c r="B5381" i="4"/>
  <c r="E5282" i="4"/>
  <c r="E4751" i="4"/>
  <c r="E3315" i="4"/>
  <c r="E1294" i="4"/>
  <c r="E2934" i="4"/>
  <c r="E3762" i="4"/>
  <c r="B1236" i="4"/>
  <c r="E3132" i="4"/>
  <c r="E1291" i="4"/>
  <c r="B329" i="4"/>
  <c r="E8868" i="4"/>
  <c r="E8974" i="4"/>
  <c r="E7098" i="4"/>
  <c r="B7523" i="4"/>
  <c r="E6490" i="4"/>
  <c r="B7313" i="4"/>
  <c r="E6850" i="4"/>
  <c r="E3330" i="4"/>
  <c r="E9916" i="4"/>
  <c r="E6231" i="4"/>
  <c r="E7085" i="4"/>
  <c r="B8397" i="4"/>
  <c r="B6312" i="4"/>
  <c r="E5690" i="4"/>
  <c r="B6488" i="4"/>
  <c r="B5949" i="4"/>
  <c r="E5873" i="4"/>
  <c r="E7446" i="4"/>
  <c r="E7045" i="4"/>
  <c r="E4688" i="4"/>
  <c r="E4749" i="4"/>
  <c r="E3204" i="4"/>
  <c r="B5588" i="4"/>
  <c r="E2655" i="4"/>
  <c r="E5968" i="4"/>
  <c r="B5825" i="4"/>
  <c r="B1171" i="4"/>
  <c r="E8397" i="4"/>
  <c r="B7148" i="4"/>
  <c r="E7324" i="4"/>
  <c r="E6661" i="4"/>
  <c r="E8883" i="4"/>
  <c r="B9401" i="4"/>
  <c r="B3066" i="4"/>
  <c r="E4768" i="4"/>
  <c r="E5720" i="4"/>
  <c r="B9241" i="4"/>
  <c r="E4383" i="4"/>
  <c r="B4332" i="4"/>
  <c r="E3592" i="4"/>
  <c r="E7091" i="4"/>
  <c r="B8655" i="4"/>
  <c r="B4977" i="4"/>
  <c r="B8903" i="4"/>
  <c r="E4792" i="4"/>
  <c r="E8556" i="4"/>
  <c r="B2008" i="4"/>
  <c r="B5485" i="4"/>
  <c r="E4556" i="4"/>
  <c r="E4786" i="4"/>
  <c r="E3045" i="4"/>
  <c r="E7282" i="4"/>
  <c r="E3551" i="4"/>
  <c r="E4595" i="4"/>
  <c r="E7375" i="4"/>
  <c r="B7912" i="4"/>
  <c r="B9210" i="4"/>
  <c r="B4366" i="4"/>
  <c r="E6727" i="4"/>
  <c r="B10109" i="4"/>
  <c r="B7174" i="4"/>
  <c r="E7109" i="4"/>
  <c r="E7885" i="4"/>
  <c r="B5519" i="4"/>
  <c r="E3292" i="4"/>
  <c r="E3909" i="4"/>
  <c r="E4925" i="4"/>
  <c r="E5966" i="4"/>
  <c r="E5956" i="4"/>
  <c r="B8006" i="4"/>
  <c r="B6691" i="4"/>
  <c r="E7654" i="4"/>
  <c r="B5159" i="4"/>
  <c r="B2843" i="4"/>
  <c r="B4461" i="4"/>
  <c r="E2701" i="4"/>
  <c r="E3573" i="4"/>
  <c r="B2617" i="4"/>
  <c r="B5424" i="4"/>
  <c r="B3389" i="4"/>
  <c r="B10740" i="4"/>
  <c r="E9802" i="4"/>
  <c r="B7050" i="4"/>
  <c r="B9638" i="4"/>
  <c r="E6636" i="4"/>
  <c r="B8767" i="4"/>
  <c r="B6289" i="4"/>
  <c r="B4400" i="4"/>
  <c r="E7690" i="4"/>
  <c r="E5527" i="4"/>
  <c r="B6755" i="4"/>
  <c r="E6530" i="4"/>
  <c r="B6469" i="4"/>
  <c r="E6189" i="4"/>
  <c r="E6263" i="4"/>
  <c r="E5123" i="4"/>
  <c r="B4886" i="4"/>
  <c r="B8365" i="4"/>
  <c r="B5476" i="4"/>
  <c r="B4208" i="4"/>
  <c r="E1402" i="4"/>
  <c r="E4922" i="4"/>
  <c r="E6168" i="4"/>
  <c r="E2079" i="4"/>
  <c r="B5992" i="4"/>
  <c r="E3095" i="4"/>
  <c r="E7207" i="4"/>
  <c r="B10907" i="4"/>
  <c r="E8546" i="4"/>
  <c r="B7199" i="4"/>
  <c r="E5900" i="4"/>
  <c r="E7815" i="4"/>
  <c r="B7939" i="4"/>
  <c r="E5118" i="4"/>
  <c r="B5312" i="4"/>
  <c r="B5286" i="4"/>
  <c r="E5704" i="4"/>
  <c r="E5820" i="4"/>
  <c r="E7831" i="4"/>
  <c r="E5150" i="4"/>
  <c r="B4032" i="4"/>
  <c r="B4434" i="4"/>
  <c r="E4419" i="4"/>
  <c r="B4953" i="4"/>
  <c r="B8789" i="4"/>
  <c r="B5852" i="4"/>
  <c r="E4954" i="4"/>
  <c r="B8090" i="4"/>
  <c r="E2279" i="4"/>
  <c r="B3864" i="4"/>
  <c r="B3125" i="4"/>
  <c r="B4041" i="4"/>
  <c r="B1927" i="4"/>
  <c r="B4933" i="4"/>
  <c r="E8419" i="4"/>
  <c r="B7057" i="4"/>
  <c r="E7781" i="4"/>
  <c r="E5821" i="4"/>
  <c r="B7259" i="4"/>
  <c r="B7156" i="4"/>
  <c r="E5503" i="4"/>
  <c r="E4936" i="4"/>
  <c r="E5548" i="4"/>
  <c r="E7193" i="4"/>
  <c r="E5300" i="4"/>
  <c r="B5646" i="4"/>
  <c r="B4790" i="4"/>
  <c r="B3776" i="4"/>
  <c r="B3809" i="4"/>
  <c r="E10566" i="4"/>
  <c r="B6025" i="4"/>
  <c r="B8263" i="4"/>
  <c r="B5905" i="4"/>
  <c r="E4191" i="4"/>
  <c r="E7167" i="4"/>
  <c r="E2087" i="4"/>
  <c r="B3576" i="4"/>
  <c r="B2822" i="4"/>
  <c r="B3729" i="4"/>
  <c r="B1735" i="4"/>
  <c r="B5907" i="4"/>
  <c r="E8214" i="4"/>
  <c r="B5776" i="4"/>
  <c r="B6717" i="4"/>
  <c r="B5353" i="4"/>
  <c r="B7780" i="4"/>
  <c r="B7876" i="4"/>
  <c r="E4175" i="4"/>
  <c r="E5096" i="4"/>
  <c r="E7618" i="4"/>
  <c r="B6464" i="4"/>
  <c r="B4542" i="4"/>
  <c r="E5737" i="4"/>
  <c r="B4454" i="4"/>
  <c r="B5428" i="4"/>
  <c r="B4264" i="4"/>
  <c r="B7735" i="4"/>
  <c r="B5889" i="4"/>
  <c r="B6974" i="4"/>
  <c r="E6730" i="4"/>
  <c r="E5613" i="4"/>
  <c r="E6557" i="4"/>
  <c r="B3306" i="4"/>
  <c r="E5104" i="4"/>
  <c r="E3157" i="4"/>
  <c r="B5565" i="4"/>
  <c r="E4142" i="4"/>
  <c r="E5363" i="4"/>
  <c r="B4017" i="4"/>
  <c r="E5305" i="4"/>
  <c r="E4973" i="4"/>
  <c r="E3039" i="4"/>
  <c r="E5568" i="4"/>
  <c r="E3452" i="4"/>
  <c r="E5218" i="4"/>
  <c r="E3693" i="4"/>
  <c r="B4029" i="4"/>
  <c r="B1544" i="4"/>
  <c r="E5156" i="4"/>
  <c r="E2779" i="4"/>
  <c r="B485" i="4"/>
  <c r="E3306" i="4"/>
  <c r="B7490" i="4"/>
  <c r="B2175" i="4"/>
  <c r="B5082" i="4"/>
  <c r="B10499" i="4"/>
  <c r="B9374" i="4"/>
  <c r="B10054" i="4"/>
  <c r="E8200" i="4"/>
  <c r="B6366" i="4"/>
  <c r="B6055" i="4"/>
  <c r="B4611" i="4"/>
  <c r="E3816" i="4"/>
  <c r="B6518" i="4"/>
  <c r="B7258" i="4"/>
  <c r="E3180" i="4"/>
  <c r="B2510" i="4"/>
  <c r="E9327" i="4"/>
  <c r="E2921" i="4"/>
  <c r="E4585" i="4"/>
  <c r="B7080" i="4"/>
  <c r="E5370" i="4"/>
  <c r="B6842" i="4"/>
  <c r="E5589" i="4"/>
  <c r="E3105" i="4"/>
  <c r="B3336" i="4"/>
  <c r="B326" i="4"/>
  <c r="B2825" i="4"/>
  <c r="E2024" i="4"/>
  <c r="E2821" i="4"/>
  <c r="B3956" i="4"/>
  <c r="B4723" i="4"/>
  <c r="B4402" i="4"/>
  <c r="E4240" i="4"/>
  <c r="B4209" i="4"/>
  <c r="B2960" i="4"/>
  <c r="B3847" i="4"/>
  <c r="E3523" i="4"/>
  <c r="B3854" i="4"/>
  <c r="B3152" i="4"/>
  <c r="E2253" i="4"/>
  <c r="B3332" i="4"/>
  <c r="E2428" i="4"/>
  <c r="B146" i="4"/>
  <c r="E3782" i="4"/>
  <c r="E2203" i="4"/>
  <c r="E3738" i="4"/>
  <c r="B2957" i="4"/>
  <c r="E1665" i="4"/>
  <c r="B2232" i="4"/>
  <c r="B62" i="4"/>
  <c r="B1288" i="4"/>
  <c r="B2303" i="4"/>
  <c r="E3404" i="4"/>
  <c r="E5525" i="4"/>
  <c r="E2101" i="4"/>
  <c r="B2882" i="4"/>
  <c r="B5986" i="4"/>
  <c r="E4693" i="4"/>
  <c r="B6001" i="4"/>
  <c r="E2197" i="4"/>
  <c r="B4613" i="4"/>
  <c r="B3563" i="4"/>
  <c r="E3122" i="4"/>
  <c r="B1254" i="4"/>
  <c r="B633" i="4"/>
  <c r="B5317" i="4"/>
  <c r="E3534" i="4"/>
  <c r="E1196" i="4"/>
  <c r="E1886" i="4"/>
  <c r="B2585" i="4"/>
  <c r="E1456" i="4"/>
  <c r="B626" i="4"/>
  <c r="B1882" i="4"/>
  <c r="E6005" i="4"/>
  <c r="B5449" i="4"/>
  <c r="E7796" i="4"/>
  <c r="E5182" i="4"/>
  <c r="E6193" i="4"/>
  <c r="B4455" i="4"/>
  <c r="B4432" i="4"/>
  <c r="E7116" i="4"/>
  <c r="B8171" i="4"/>
  <c r="B3970" i="4"/>
  <c r="B4601" i="4"/>
  <c r="B4477" i="4"/>
  <c r="B2973" i="4"/>
  <c r="E6002" i="4"/>
  <c r="E4320" i="4"/>
  <c r="E4278" i="4"/>
  <c r="E4730" i="4"/>
  <c r="E5655" i="4"/>
  <c r="B3835" i="4"/>
  <c r="B4473" i="4"/>
  <c r="E1827" i="4"/>
  <c r="B4416" i="4"/>
  <c r="B1113" i="4"/>
  <c r="E5657" i="4"/>
  <c r="B2918" i="4"/>
  <c r="B4388" i="4"/>
  <c r="B6016" i="4"/>
  <c r="B5666" i="4"/>
  <c r="E5699" i="4"/>
  <c r="B4256" i="4"/>
  <c r="B4514" i="4"/>
  <c r="B4357" i="4"/>
  <c r="B1326" i="4"/>
  <c r="E3832" i="4"/>
  <c r="B2548" i="4"/>
  <c r="E5642" i="4"/>
  <c r="B2990" i="4"/>
  <c r="B258" i="4"/>
  <c r="B6112" i="4"/>
  <c r="B707" i="4"/>
  <c r="E6446" i="4"/>
  <c r="E1712" i="4"/>
  <c r="B490" i="4"/>
  <c r="B4731" i="4"/>
  <c r="B1890" i="4"/>
  <c r="B224" i="4"/>
  <c r="B3414" i="4"/>
  <c r="E5575" i="4"/>
  <c r="B2145" i="4"/>
  <c r="B2945" i="4"/>
  <c r="B6262" i="4"/>
  <c r="B4738" i="4"/>
  <c r="E6031" i="4"/>
  <c r="E2232" i="4"/>
  <c r="B4099" i="4"/>
  <c r="E1186" i="4"/>
  <c r="B1787" i="4"/>
  <c r="B768" i="4"/>
  <c r="E3429" i="4"/>
  <c r="E480" i="4"/>
  <c r="E609" i="4"/>
  <c r="E1585" i="4"/>
  <c r="E3" i="4"/>
  <c r="E10375" i="4"/>
  <c r="E9151" i="4"/>
  <c r="E7706" i="4"/>
  <c r="E8476" i="4"/>
  <c r="E6365" i="4"/>
  <c r="E5048" i="4"/>
  <c r="E3636" i="4"/>
  <c r="E6473" i="4"/>
  <c r="E5969" i="4"/>
  <c r="B6541" i="4"/>
  <c r="E2667" i="4"/>
  <c r="E1673" i="4"/>
  <c r="E8538" i="4"/>
  <c r="B1914" i="4"/>
  <c r="E3712" i="4"/>
  <c r="B4729" i="4"/>
  <c r="E4130" i="4"/>
  <c r="B7591" i="4"/>
  <c r="B4992" i="4"/>
  <c r="B2551" i="4"/>
  <c r="B3827" i="4"/>
  <c r="E1101" i="4"/>
  <c r="B2423" i="4"/>
  <c r="B1166" i="4"/>
  <c r="B3395" i="4"/>
  <c r="B3778" i="4"/>
  <c r="B6714" i="4"/>
  <c r="E4728" i="4"/>
  <c r="E5298" i="4"/>
  <c r="E3056" i="4"/>
  <c r="E3747" i="4"/>
  <c r="B4177" i="4"/>
  <c r="B4235" i="4"/>
  <c r="E2131" i="4"/>
  <c r="E4093" i="4"/>
  <c r="B1507" i="4"/>
  <c r="E2953" i="4"/>
  <c r="B4314" i="4"/>
  <c r="B1470" i="4"/>
  <c r="E1912" i="4"/>
  <c r="E596" i="4"/>
  <c r="E3707" i="4"/>
  <c r="E1865" i="4"/>
  <c r="E543" i="4"/>
  <c r="B3460" i="4"/>
  <c r="E1547" i="4"/>
  <c r="E159" i="4"/>
  <c r="E3411" i="4"/>
  <c r="E4489" i="4"/>
  <c r="E6977" i="4"/>
  <c r="B1134" i="4"/>
  <c r="B4100" i="4"/>
  <c r="E2733" i="4"/>
  <c r="E3979" i="4"/>
  <c r="E5895" i="4"/>
  <c r="B1316" i="4"/>
  <c r="B3276" i="4"/>
  <c r="B1963" i="4"/>
  <c r="B698" i="4"/>
  <c r="E1047" i="4"/>
  <c r="B1458" i="4"/>
  <c r="B3396" i="4"/>
  <c r="E1287" i="4"/>
  <c r="B641" i="4"/>
  <c r="E9077" i="4"/>
  <c r="E6307" i="4"/>
  <c r="E7385" i="4"/>
  <c r="B3377" i="4"/>
  <c r="B8960" i="4"/>
  <c r="E5265" i="4"/>
  <c r="B5073" i="4"/>
  <c r="B5787" i="4"/>
  <c r="E5811" i="4"/>
  <c r="E6011" i="4"/>
  <c r="E5959" i="4"/>
  <c r="E4441" i="4"/>
  <c r="B4669" i="4"/>
  <c r="B5342" i="4"/>
  <c r="E7693" i="4"/>
  <c r="E4393" i="4"/>
  <c r="B7028" i="4"/>
  <c r="E3352" i="4"/>
  <c r="E3848" i="4"/>
  <c r="E2307" i="4"/>
  <c r="B4773" i="4"/>
  <c r="E627" i="4"/>
  <c r="E3244" i="4"/>
  <c r="E4757" i="4"/>
  <c r="B1100" i="4"/>
  <c r="B3270" i="4"/>
  <c r="E3927" i="4"/>
  <c r="E4565" i="4"/>
  <c r="B3702" i="4"/>
  <c r="B2496" i="4"/>
  <c r="E2876" i="4"/>
  <c r="B3629" i="4"/>
  <c r="B2543" i="4"/>
  <c r="E709" i="4"/>
  <c r="E3139" i="4"/>
  <c r="E3761" i="4"/>
  <c r="E3843" i="4"/>
  <c r="B1531" i="4"/>
  <c r="E3637" i="4"/>
  <c r="E2879" i="4"/>
  <c r="E241" i="4"/>
  <c r="E2638" i="4"/>
  <c r="B165" i="4"/>
  <c r="B1264" i="4"/>
  <c r="B2881" i="4"/>
  <c r="B1078" i="4"/>
  <c r="E496" i="4"/>
  <c r="E3002" i="4"/>
  <c r="E3060" i="4"/>
  <c r="B4862" i="4"/>
  <c r="B6165" i="4"/>
  <c r="E2265" i="4"/>
  <c r="E4346" i="4"/>
  <c r="E3103" i="4"/>
  <c r="B3583" i="4"/>
  <c r="B2172" i="4"/>
  <c r="E1719" i="4"/>
  <c r="E9325" i="4"/>
  <c r="E7611" i="4"/>
  <c r="E7347" i="4"/>
  <c r="B7335" i="4"/>
  <c r="B6883" i="4"/>
  <c r="E6865" i="4"/>
  <c r="B5746" i="4"/>
  <c r="B6313" i="4"/>
  <c r="E4880" i="4"/>
  <c r="E9383" i="4"/>
  <c r="E6726" i="4"/>
  <c r="E6398" i="4"/>
  <c r="E5203" i="4"/>
  <c r="B6238" i="4"/>
  <c r="B5346" i="4"/>
  <c r="E6712" i="4"/>
  <c r="B4190" i="4"/>
  <c r="B4342" i="4"/>
  <c r="E5433" i="4"/>
  <c r="E4771" i="4"/>
  <c r="E7784" i="4"/>
  <c r="B6180" i="4"/>
  <c r="B7839" i="4"/>
  <c r="B8505" i="4"/>
  <c r="E6935" i="4"/>
  <c r="E5215" i="4"/>
  <c r="E5390" i="4"/>
  <c r="B4558" i="4"/>
  <c r="E8002" i="4"/>
  <c r="E7670" i="4"/>
  <c r="E8523" i="4"/>
  <c r="E10529" i="4"/>
  <c r="E5706" i="4"/>
  <c r="E6597" i="4"/>
  <c r="B4865" i="4"/>
  <c r="E7169" i="4"/>
  <c r="B4849" i="4"/>
  <c r="E7270" i="4"/>
  <c r="E6130" i="4"/>
  <c r="E6396" i="4"/>
  <c r="B6616" i="4"/>
  <c r="E3617" i="4"/>
  <c r="B5724" i="4"/>
  <c r="E4324" i="4"/>
  <c r="B5747" i="4"/>
  <c r="E2822" i="4"/>
  <c r="E5918" i="4"/>
  <c r="E4303" i="4"/>
  <c r="B4057" i="4"/>
  <c r="E5360" i="4"/>
  <c r="E6037" i="4"/>
  <c r="E7563" i="4"/>
  <c r="B6859" i="4"/>
  <c r="B8415" i="4"/>
  <c r="B4464" i="4"/>
  <c r="B2895" i="4"/>
  <c r="E5455" i="4"/>
  <c r="B7158" i="4"/>
  <c r="B9201" i="4"/>
  <c r="B6952" i="4"/>
  <c r="E7083" i="4"/>
  <c r="E8344" i="4"/>
  <c r="B6746" i="4"/>
  <c r="B3896" i="4"/>
  <c r="B6450" i="4"/>
  <c r="E7304" i="4"/>
  <c r="B8698" i="4"/>
  <c r="E7659" i="4"/>
  <c r="B6927" i="4"/>
  <c r="E7489" i="4"/>
  <c r="E7149" i="4"/>
  <c r="B5397" i="4"/>
  <c r="E5833" i="4"/>
  <c r="B7460" i="4"/>
  <c r="E6604" i="4"/>
  <c r="E4732" i="4"/>
  <c r="E3955" i="4"/>
  <c r="B3214" i="4"/>
  <c r="E5923" i="4"/>
  <c r="B1800" i="4"/>
  <c r="E6065" i="4"/>
  <c r="B3675" i="4"/>
  <c r="E4249" i="4"/>
  <c r="E7275" i="4"/>
  <c r="B6007" i="4"/>
  <c r="E5796" i="4"/>
  <c r="E5339" i="4"/>
  <c r="B5306" i="4"/>
  <c r="E5631" i="4"/>
  <c r="B5698" i="4"/>
  <c r="E2503" i="4"/>
  <c r="B6032" i="4"/>
  <c r="E3189" i="4"/>
  <c r="B301" i="4"/>
  <c r="B2064" i="4"/>
  <c r="E1984" i="4"/>
  <c r="B4764" i="4"/>
  <c r="B3876" i="4"/>
  <c r="E4714" i="4"/>
  <c r="B1481" i="4"/>
  <c r="B3184" i="4"/>
  <c r="E3818" i="4"/>
  <c r="B4120" i="4"/>
  <c r="E5039" i="4"/>
  <c r="E7353" i="4"/>
  <c r="E4230" i="4"/>
  <c r="B5412" i="4"/>
  <c r="B4305" i="4"/>
  <c r="B1652" i="4"/>
  <c r="E1657" i="4"/>
  <c r="E1655" i="4"/>
  <c r="E1826" i="4"/>
  <c r="B3829" i="4"/>
  <c r="E4385" i="4"/>
  <c r="B777" i="4"/>
  <c r="B4137" i="4"/>
  <c r="E2400" i="4"/>
  <c r="E4459" i="4"/>
  <c r="B4507" i="4"/>
  <c r="E1617" i="4"/>
  <c r="E8597" i="4"/>
  <c r="E8287" i="4"/>
  <c r="B7930" i="4"/>
  <c r="B5777" i="4"/>
  <c r="E10396" i="4"/>
  <c r="E5925" i="4"/>
  <c r="B6149" i="4"/>
  <c r="E7403" i="4"/>
  <c r="B6205" i="4"/>
  <c r="B8231" i="4"/>
  <c r="B6254" i="4"/>
  <c r="E5856" i="4"/>
  <c r="E4984" i="4"/>
  <c r="B6000" i="4"/>
  <c r="B4632" i="4"/>
  <c r="E4721" i="4"/>
  <c r="E8125" i="4"/>
  <c r="E5235" i="4"/>
  <c r="E6961" i="4"/>
  <c r="E3222" i="4"/>
  <c r="B3324" i="4"/>
  <c r="B3019" i="4"/>
  <c r="B4794" i="4"/>
  <c r="E3503" i="4"/>
  <c r="E8151" i="4"/>
  <c r="E5236" i="4"/>
  <c r="B5517" i="4"/>
  <c r="B4478" i="4"/>
  <c r="E4114" i="4"/>
  <c r="E4156" i="4"/>
  <c r="E4754" i="4"/>
  <c r="E3879" i="4"/>
  <c r="B3506" i="4"/>
  <c r="B6147" i="4"/>
  <c r="B3280" i="4"/>
  <c r="B3387" i="4"/>
  <c r="E1481" i="4"/>
  <c r="B6807" i="4"/>
  <c r="E3081" i="4"/>
  <c r="E822" i="4"/>
  <c r="B3318" i="4"/>
  <c r="B1850" i="4"/>
  <c r="B3757" i="4"/>
  <c r="E6025" i="4"/>
  <c r="B2159" i="4"/>
  <c r="B2272" i="4"/>
  <c r="B4251" i="4"/>
  <c r="E3240" i="4"/>
  <c r="B6228" i="4"/>
  <c r="E5355" i="4"/>
  <c r="B1855" i="4"/>
  <c r="B1912" i="4"/>
  <c r="E3141" i="4"/>
  <c r="B5748" i="4"/>
  <c r="E2397" i="4"/>
  <c r="B542" i="4"/>
  <c r="B2463" i="4"/>
  <c r="E1725" i="4"/>
  <c r="E3308" i="4"/>
  <c r="E4727" i="4"/>
  <c r="E7449" i="4"/>
  <c r="B8757" i="4"/>
  <c r="E7192" i="4"/>
  <c r="E6121" i="4"/>
  <c r="E7979" i="4"/>
  <c r="E7933" i="4"/>
  <c r="E8363" i="4"/>
  <c r="E4530" i="4"/>
  <c r="B9109" i="4"/>
  <c r="E6204" i="4"/>
  <c r="E5062" i="4"/>
  <c r="E4028" i="4"/>
  <c r="E4579" i="4"/>
  <c r="B4752" i="4"/>
  <c r="B6455" i="4"/>
  <c r="E7530" i="4"/>
  <c r="B5329" i="4"/>
  <c r="E9029" i="4"/>
  <c r="E5202" i="4"/>
  <c r="B3226" i="4"/>
  <c r="E5746" i="4"/>
  <c r="E2529" i="4"/>
  <c r="E3938" i="4"/>
  <c r="B1272" i="4"/>
  <c r="B3179" i="4"/>
  <c r="E4351" i="4"/>
  <c r="E4348" i="4"/>
  <c r="B4634" i="4"/>
  <c r="E6697" i="4"/>
  <c r="E5748" i="4"/>
  <c r="E6322" i="4"/>
  <c r="B3969" i="4"/>
  <c r="B7058" i="4"/>
  <c r="E3989" i="4"/>
  <c r="B5897" i="4"/>
  <c r="B1959" i="4"/>
  <c r="B1249" i="4"/>
  <c r="B4987" i="4"/>
  <c r="E1489" i="4"/>
  <c r="E5904" i="4"/>
  <c r="E2589" i="4"/>
  <c r="B5368" i="4"/>
  <c r="B3363" i="4"/>
  <c r="B3556" i="4"/>
  <c r="E4410" i="4"/>
  <c r="B5717" i="4"/>
  <c r="B8359" i="4"/>
  <c r="B3774" i="4"/>
  <c r="B5018" i="4"/>
  <c r="E2942" i="4"/>
  <c r="E4280" i="4"/>
  <c r="B3518" i="4"/>
  <c r="E4075" i="4"/>
  <c r="E4002" i="4"/>
  <c r="B1526" i="4"/>
  <c r="B5651" i="4"/>
  <c r="B3199" i="4"/>
  <c r="E1702" i="4"/>
  <c r="E6503" i="4"/>
  <c r="E8433" i="4"/>
  <c r="B8829" i="4"/>
  <c r="B7772" i="4"/>
  <c r="E5382" i="4"/>
  <c r="E8170" i="4"/>
  <c r="B9920" i="4"/>
  <c r="E7104" i="4"/>
  <c r="B6771" i="4"/>
  <c r="E6439" i="4"/>
  <c r="E6581" i="4"/>
  <c r="E6023" i="4"/>
  <c r="B6873" i="4"/>
  <c r="B6036" i="4"/>
  <c r="E4080" i="4"/>
  <c r="B6586" i="4"/>
  <c r="B4766" i="4"/>
  <c r="E6722" i="4"/>
  <c r="E5884" i="4"/>
  <c r="B6613" i="4"/>
  <c r="B7142" i="4"/>
  <c r="E2059" i="4"/>
  <c r="B2576" i="4"/>
  <c r="B5206" i="4"/>
  <c r="B4480" i="4"/>
  <c r="E4834" i="4"/>
  <c r="E3355" i="4"/>
  <c r="E4972" i="4"/>
  <c r="B5085" i="4"/>
  <c r="E4514" i="4"/>
  <c r="B3472" i="4"/>
  <c r="E6349" i="4"/>
  <c r="B8401" i="4"/>
  <c r="E5173" i="4"/>
  <c r="B6860" i="4"/>
  <c r="B2662" i="4"/>
  <c r="B3910" i="4"/>
  <c r="E3262" i="4"/>
  <c r="B6843" i="4"/>
  <c r="B4682" i="4"/>
  <c r="E429" i="4"/>
  <c r="E3786" i="4"/>
  <c r="B1153" i="4"/>
  <c r="E2575" i="4"/>
  <c r="B5741" i="4"/>
  <c r="E5653" i="4"/>
  <c r="B1752" i="4"/>
  <c r="B5764" i="4"/>
  <c r="E3748" i="4"/>
  <c r="E3512" i="4"/>
  <c r="E6248" i="4"/>
  <c r="B3573" i="4"/>
  <c r="B4145" i="4"/>
  <c r="B2006" i="4"/>
  <c r="B5372" i="4"/>
  <c r="E3367" i="4"/>
  <c r="B158" i="4"/>
  <c r="E4061" i="4"/>
  <c r="E5894" i="4"/>
  <c r="B119" i="4"/>
  <c r="B2447" i="4"/>
  <c r="E6454" i="4"/>
  <c r="B8003" i="4"/>
  <c r="E7325" i="4"/>
  <c r="E5644" i="4"/>
  <c r="E6746" i="4"/>
  <c r="E6148" i="4"/>
  <c r="B5124" i="4"/>
  <c r="B8002" i="4"/>
  <c r="B7108" i="4"/>
  <c r="B6397" i="4"/>
  <c r="B5619" i="4"/>
  <c r="B3188" i="4"/>
  <c r="E3727" i="4"/>
  <c r="B5415" i="4"/>
  <c r="E6309" i="4"/>
  <c r="E8116" i="4"/>
  <c r="E5855" i="4"/>
  <c r="E8480" i="4"/>
  <c r="E4942" i="4"/>
  <c r="E4597" i="4"/>
  <c r="E6146" i="4"/>
  <c r="B3025" i="4"/>
  <c r="B5335" i="4"/>
  <c r="B1244" i="4"/>
  <c r="E4865" i="4"/>
  <c r="B4749" i="4"/>
  <c r="E5100" i="4"/>
  <c r="E9589" i="4"/>
  <c r="E9531" i="4"/>
  <c r="E5777" i="4"/>
  <c r="E5220" i="4"/>
  <c r="B3353" i="4"/>
  <c r="B6256" i="4"/>
  <c r="B3412" i="4"/>
  <c r="E6808" i="4"/>
  <c r="E3884" i="4"/>
  <c r="B710" i="4"/>
  <c r="E4783" i="4"/>
  <c r="E886" i="4"/>
  <c r="E4892" i="4"/>
  <c r="E3985" i="4"/>
  <c r="E4750" i="4"/>
  <c r="B3842" i="4"/>
  <c r="E4672" i="4"/>
  <c r="E5281" i="4"/>
  <c r="B4826" i="4"/>
  <c r="E7494" i="4"/>
  <c r="B2717" i="4"/>
  <c r="B3119" i="4"/>
  <c r="B3738" i="4"/>
  <c r="B5767" i="4"/>
  <c r="E3653" i="4"/>
  <c r="B1488" i="4"/>
  <c r="E5079" i="4"/>
  <c r="E918" i="4"/>
  <c r="B5023" i="4"/>
  <c r="E1744" i="4"/>
  <c r="E426" i="4"/>
  <c r="B5630" i="4"/>
  <c r="B8641" i="4"/>
  <c r="B7164" i="4"/>
  <c r="B7751" i="4"/>
  <c r="B6486" i="4"/>
  <c r="E7364" i="4"/>
  <c r="E9064" i="4"/>
  <c r="B7439" i="4"/>
  <c r="B6474" i="4"/>
  <c r="B5661" i="4"/>
  <c r="B6991" i="4"/>
  <c r="E6082" i="4"/>
  <c r="B5884" i="4"/>
  <c r="B5458" i="4"/>
  <c r="E4980" i="4"/>
  <c r="B6742" i="4"/>
  <c r="E4913" i="4"/>
  <c r="B5569" i="4"/>
  <c r="E9735" i="4"/>
  <c r="B6338" i="4"/>
  <c r="B3971" i="4"/>
  <c r="E8340" i="4"/>
  <c r="B2192" i="4"/>
  <c r="B4089" i="4"/>
  <c r="B3203" i="4"/>
  <c r="B4782" i="4"/>
  <c r="E2706" i="4"/>
  <c r="B5594" i="4"/>
  <c r="B6573" i="4"/>
  <c r="B7585" i="4"/>
  <c r="E5498" i="4"/>
  <c r="B4818" i="4"/>
  <c r="E5941" i="4"/>
  <c r="E10908" i="4"/>
  <c r="E5802" i="4"/>
  <c r="E7598" i="4"/>
  <c r="B6756" i="4"/>
  <c r="E5158" i="4"/>
  <c r="E3971" i="4"/>
  <c r="B5296" i="4"/>
  <c r="E3100" i="4"/>
  <c r="E5017" i="4"/>
  <c r="B6156" i="4"/>
  <c r="E7657" i="4"/>
  <c r="B6119" i="4"/>
  <c r="E7568" i="4"/>
  <c r="E6165" i="4"/>
  <c r="B3148" i="4"/>
  <c r="B5123" i="4"/>
  <c r="B3451" i="4"/>
  <c r="B3927" i="4"/>
  <c r="E4394" i="4"/>
  <c r="E3615" i="4"/>
  <c r="E3478" i="4"/>
  <c r="E10491" i="4"/>
  <c r="B9336" i="4"/>
  <c r="B7392" i="4"/>
  <c r="B8565" i="4"/>
  <c r="B7997" i="4"/>
  <c r="B6939" i="4"/>
  <c r="B7265" i="4"/>
  <c r="E5384" i="4"/>
  <c r="B9051" i="4"/>
  <c r="B6104" i="4"/>
  <c r="B6061" i="4"/>
  <c r="E5879" i="4"/>
  <c r="B9103" i="4"/>
  <c r="B6071" i="4"/>
  <c r="E6254" i="4"/>
  <c r="B5695" i="4"/>
  <c r="B5334" i="4"/>
  <c r="E7443" i="4"/>
  <c r="E6210" i="4"/>
  <c r="E4709" i="4"/>
  <c r="B1683" i="4"/>
  <c r="B3959" i="4"/>
  <c r="E6034" i="4"/>
  <c r="E2271" i="4"/>
  <c r="B6083" i="4"/>
  <c r="B3477" i="4"/>
  <c r="E6651" i="4"/>
  <c r="E10824" i="4"/>
  <c r="B7614" i="4"/>
  <c r="B7609" i="4"/>
  <c r="E7875" i="4"/>
  <c r="E8949" i="4"/>
  <c r="B9802" i="4"/>
  <c r="E5491" i="4"/>
  <c r="E5803" i="4"/>
  <c r="B5722" i="4"/>
  <c r="B7011" i="4"/>
  <c r="B5555" i="4"/>
  <c r="B4906" i="4"/>
  <c r="B5562" i="4"/>
  <c r="E4421" i="4"/>
  <c r="E4902" i="4"/>
  <c r="E4883" i="4"/>
  <c r="B5913" i="4"/>
  <c r="E8355" i="4"/>
  <c r="E5496" i="4"/>
  <c r="E3970" i="4"/>
  <c r="E8027" i="4"/>
  <c r="B1616" i="4"/>
  <c r="B4218" i="4"/>
  <c r="B3679" i="4"/>
  <c r="B4576" i="4"/>
  <c r="B2119" i="4"/>
  <c r="B5574" i="4"/>
  <c r="E10074" i="4"/>
  <c r="B8029" i="4"/>
  <c r="B7533" i="4"/>
  <c r="B6827" i="4"/>
  <c r="E9674" i="4"/>
  <c r="E9010" i="4"/>
  <c r="E3767" i="4"/>
  <c r="B3745" i="4"/>
  <c r="B5728" i="4"/>
  <c r="E8075" i="4"/>
  <c r="E3488" i="4"/>
  <c r="B5532" i="4"/>
  <c r="E4381" i="4"/>
  <c r="B6299" i="4"/>
  <c r="B8277" i="4"/>
  <c r="B5867" i="4"/>
  <c r="B8583" i="4"/>
  <c r="B4976" i="4"/>
  <c r="E8570" i="4"/>
  <c r="E2095" i="4"/>
  <c r="B6674" i="4"/>
  <c r="B2833" i="4"/>
  <c r="E3196" i="4"/>
  <c r="E4578" i="4"/>
  <c r="B7995" i="4"/>
  <c r="B2557" i="4"/>
  <c r="E3432" i="4"/>
  <c r="B7555" i="4"/>
  <c r="E7014" i="4"/>
  <c r="B7312" i="4"/>
  <c r="E6183" i="4"/>
  <c r="E7315" i="4"/>
  <c r="B7069" i="4"/>
  <c r="E4003" i="4"/>
  <c r="E4148" i="4"/>
  <c r="E7343" i="4"/>
  <c r="E7059" i="4"/>
  <c r="E4996" i="4"/>
  <c r="B4917" i="4"/>
  <c r="E7651" i="4"/>
  <c r="B6364" i="4"/>
  <c r="B8953" i="4"/>
  <c r="B6957" i="4"/>
  <c r="E7328" i="4"/>
  <c r="E6393" i="4"/>
  <c r="B8188" i="4"/>
  <c r="E1903" i="4"/>
  <c r="B5396" i="4"/>
  <c r="E2533" i="4"/>
  <c r="E2847" i="4"/>
  <c r="E4967" i="4"/>
  <c r="B5120" i="4"/>
  <c r="B2365" i="4"/>
  <c r="B5165" i="4"/>
  <c r="E7805" i="4"/>
  <c r="B8178" i="4"/>
  <c r="E7133" i="4"/>
  <c r="B6905" i="4"/>
  <c r="E9576" i="4"/>
  <c r="E7257" i="4"/>
  <c r="E7967" i="4"/>
  <c r="B5283" i="4"/>
  <c r="E5710" i="4"/>
  <c r="B6804" i="4"/>
  <c r="B4411" i="4"/>
  <c r="B4668" i="4"/>
  <c r="B4928" i="4"/>
  <c r="E5964" i="4"/>
  <c r="B8265" i="4"/>
  <c r="B6208" i="4"/>
  <c r="B6673" i="4"/>
  <c r="E5546" i="4"/>
  <c r="E6506" i="4"/>
  <c r="E2950" i="4"/>
  <c r="B4596" i="4"/>
  <c r="B2733" i="4"/>
  <c r="E2855" i="4"/>
  <c r="B3762" i="4"/>
  <c r="E4019" i="4"/>
  <c r="E4355" i="4"/>
  <c r="B3848" i="4"/>
  <c r="B4339" i="4"/>
  <c r="B4612" i="4"/>
  <c r="E5632" i="4"/>
  <c r="E4857" i="4"/>
  <c r="B6745" i="4"/>
  <c r="B8694" i="4"/>
  <c r="E4547" i="4"/>
  <c r="B4047" i="4"/>
  <c r="E2599" i="4"/>
  <c r="E1930" i="4"/>
  <c r="E3377" i="4"/>
  <c r="B1472" i="4"/>
  <c r="B6128" i="4"/>
  <c r="B3812" i="4"/>
  <c r="E4301" i="4"/>
  <c r="E3803" i="4"/>
  <c r="B4289" i="4"/>
  <c r="E8080" i="4"/>
  <c r="E7313" i="4"/>
  <c r="E10113" i="4"/>
  <c r="B4674" i="4"/>
  <c r="B6598" i="4"/>
  <c r="E4616" i="4"/>
  <c r="E5400" i="4"/>
  <c r="B3289" i="4"/>
  <c r="B6801" i="4"/>
  <c r="B7377" i="4"/>
  <c r="B5818" i="4"/>
  <c r="E4636" i="4"/>
  <c r="E5394" i="4"/>
  <c r="B4486" i="4"/>
  <c r="B8552" i="4"/>
  <c r="B5881" i="4"/>
  <c r="B7553" i="4"/>
  <c r="B4403" i="4"/>
  <c r="E5415" i="4"/>
  <c r="E3089" i="4"/>
  <c r="E2598" i="4"/>
  <c r="B2084" i="4"/>
  <c r="E4983" i="4"/>
  <c r="E5197" i="4"/>
  <c r="E1166" i="4"/>
  <c r="B3061" i="4"/>
  <c r="B4893" i="4"/>
  <c r="E4250" i="4"/>
  <c r="B4602" i="4"/>
  <c r="B3795" i="4"/>
  <c r="B1720" i="4"/>
  <c r="E2023" i="4"/>
  <c r="E3866" i="4"/>
  <c r="B1646" i="4"/>
  <c r="B1856" i="4"/>
  <c r="B2089" i="4"/>
  <c r="B3731" i="4"/>
  <c r="E702" i="4"/>
  <c r="E4490" i="4"/>
  <c r="E2337" i="4"/>
  <c r="B2292" i="4"/>
  <c r="B2439" i="4"/>
  <c r="E1304" i="4"/>
  <c r="B4796" i="4"/>
  <c r="E2695" i="4"/>
  <c r="B3599" i="4"/>
  <c r="E1934" i="4"/>
  <c r="E2719" i="4"/>
  <c r="B1831" i="4"/>
  <c r="B4222" i="4"/>
  <c r="E4624" i="4"/>
  <c r="B1581" i="4"/>
  <c r="B3549" i="4"/>
  <c r="E3246" i="4"/>
  <c r="B3453" i="4"/>
  <c r="B2049" i="4"/>
  <c r="E4065" i="4"/>
  <c r="B1742" i="4"/>
  <c r="B250" i="4"/>
  <c r="E2238" i="4"/>
  <c r="B137" i="4"/>
  <c r="E3254" i="4"/>
  <c r="B103" i="4"/>
  <c r="E4587" i="4"/>
  <c r="E851" i="4"/>
  <c r="E431" i="4"/>
  <c r="B1036" i="4"/>
  <c r="B1026" i="4"/>
  <c r="E10663" i="4"/>
  <c r="E8286" i="4"/>
  <c r="B7507" i="4"/>
  <c r="E8257" i="4"/>
  <c r="B7782" i="4"/>
  <c r="B5478" i="4"/>
  <c r="B4005" i="4"/>
  <c r="E3544" i="4"/>
  <c r="B5577" i="4"/>
  <c r="E7773" i="4"/>
  <c r="B2852" i="4"/>
  <c r="B2036" i="4"/>
  <c r="E8897" i="4"/>
  <c r="E2256" i="4"/>
  <c r="E4016" i="4"/>
  <c r="B5117" i="4"/>
  <c r="B4615" i="4"/>
  <c r="E5058" i="4"/>
  <c r="B5399" i="4"/>
  <c r="E2763" i="4"/>
  <c r="B4468" i="4"/>
  <c r="B134" i="4"/>
  <c r="E4600" i="4"/>
  <c r="E1511" i="4"/>
  <c r="B4141" i="4"/>
  <c r="E3510" i="4"/>
  <c r="B3897" i="4"/>
  <c r="E4128" i="4"/>
  <c r="E3249" i="4"/>
  <c r="B3516" i="4"/>
  <c r="E4435" i="4"/>
  <c r="E5379" i="4"/>
  <c r="B5209" i="4"/>
  <c r="E2692" i="4"/>
  <c r="B4925" i="4"/>
  <c r="B1891" i="4"/>
  <c r="E4485" i="4"/>
  <c r="E1598" i="4"/>
  <c r="E2345" i="4"/>
  <c r="E2386" i="4"/>
  <c r="B1300" i="4"/>
  <c r="E2755" i="4"/>
  <c r="E2270" i="4"/>
  <c r="E909" i="4"/>
  <c r="B1704" i="4"/>
  <c r="B2433" i="4"/>
  <c r="B592" i="4"/>
  <c r="B1839" i="4"/>
  <c r="B4286" i="4"/>
  <c r="E4666" i="4"/>
  <c r="E1620" i="4"/>
  <c r="B3582" i="4"/>
  <c r="E3269" i="4"/>
  <c r="E3462" i="4"/>
  <c r="E5622" i="4"/>
  <c r="E1690" i="4"/>
  <c r="E4297" i="4"/>
  <c r="E2521" i="4"/>
  <c r="E1436" i="4"/>
  <c r="E2072" i="4"/>
  <c r="E111" i="4"/>
  <c r="E5258" i="4"/>
  <c r="E1842" i="4"/>
  <c r="B1151" i="4"/>
  <c r="E9374" i="4"/>
  <c r="B7183" i="4"/>
  <c r="E7105" i="4"/>
  <c r="E6325" i="4"/>
  <c r="E5587" i="4"/>
  <c r="E5212" i="4"/>
  <c r="B4708" i="4"/>
  <c r="B4901" i="4"/>
  <c r="B6024" i="4"/>
  <c r="E6586" i="4"/>
  <c r="E6701" i="4"/>
  <c r="B4584" i="4"/>
  <c r="E4040" i="4"/>
  <c r="B5095" i="4"/>
  <c r="B7867" i="4"/>
  <c r="B4106" i="4"/>
  <c r="E6795" i="4"/>
  <c r="E3664" i="4"/>
  <c r="B4193" i="4"/>
  <c r="E2499" i="4"/>
  <c r="B3304" i="4"/>
  <c r="E1109" i="4"/>
  <c r="E5461" i="4"/>
  <c r="E4453" i="4"/>
  <c r="B2222" i="4"/>
  <c r="E3811" i="4"/>
  <c r="B4694" i="4"/>
  <c r="B6519" i="4"/>
  <c r="E6337" i="4"/>
  <c r="B2766" i="4"/>
  <c r="B3491" i="4"/>
  <c r="B5237" i="4"/>
  <c r="E2834" i="4"/>
  <c r="E945" i="4"/>
  <c r="E3925" i="4"/>
  <c r="B1181" i="4"/>
  <c r="E2507" i="4"/>
  <c r="E54" i="4"/>
  <c r="B3180" i="4"/>
  <c r="B1192" i="4"/>
  <c r="E580" i="4"/>
  <c r="E3943" i="4"/>
  <c r="B621" i="4"/>
  <c r="B218" i="4"/>
  <c r="E3671" i="4"/>
  <c r="E1510" i="4"/>
  <c r="B1980" i="4"/>
  <c r="B6113" i="4"/>
  <c r="E4821" i="4"/>
  <c r="B4435" i="4"/>
  <c r="E4742" i="4"/>
  <c r="E3255" i="4"/>
  <c r="B3651" i="4"/>
  <c r="E4141" i="4"/>
  <c r="E4985" i="4"/>
  <c r="E965" i="4"/>
  <c r="E2191" i="4"/>
  <c r="B891" i="4"/>
  <c r="B632" i="4"/>
  <c r="E823" i="4"/>
  <c r="E2512" i="4"/>
  <c r="E3916" i="4"/>
  <c r="E686" i="4"/>
  <c r="E3513" i="4"/>
  <c r="B7486" i="4"/>
  <c r="E7641" i="4"/>
  <c r="B8109" i="4"/>
  <c r="E7042" i="4"/>
  <c r="E6968" i="4"/>
  <c r="B9184" i="4"/>
  <c r="E7653" i="4"/>
  <c r="E6903" i="4"/>
  <c r="B8069" i="4"/>
  <c r="B4202" i="4"/>
  <c r="E4990" i="4"/>
  <c r="E3891" i="4"/>
  <c r="E3554" i="4"/>
  <c r="B3517" i="4"/>
  <c r="B5168" i="4"/>
  <c r="B2692" i="4"/>
  <c r="E6673" i="4"/>
  <c r="E3074" i="4"/>
  <c r="B3678" i="4"/>
  <c r="B8349" i="4"/>
  <c r="B3511" i="4"/>
  <c r="B3921" i="4"/>
  <c r="E2209" i="4"/>
  <c r="B3056" i="4"/>
  <c r="B5597" i="4"/>
  <c r="B4966" i="4"/>
  <c r="E1599" i="4"/>
  <c r="B2940" i="4"/>
  <c r="B3719" i="4"/>
  <c r="B3411" i="4"/>
  <c r="B6696" i="4"/>
  <c r="B5790" i="4"/>
  <c r="E2555" i="4"/>
  <c r="E2530" i="4"/>
  <c r="E4935" i="4"/>
  <c r="E2213" i="4"/>
  <c r="E2436" i="4"/>
  <c r="B941" i="4"/>
  <c r="E2823" i="4"/>
  <c r="B1988" i="4"/>
  <c r="B482" i="4"/>
  <c r="E3997" i="4"/>
  <c r="B699" i="4"/>
  <c r="B671" i="4"/>
  <c r="B1682" i="4"/>
  <c r="E663" i="4"/>
  <c r="B4819" i="4"/>
  <c r="E1660" i="4"/>
  <c r="B3691" i="4"/>
  <c r="E3326" i="4"/>
  <c r="E3483" i="4"/>
  <c r="E5661" i="4"/>
  <c r="E1710" i="4"/>
  <c r="B3500" i="4"/>
  <c r="E2557" i="4"/>
  <c r="B2643" i="4"/>
  <c r="E4007" i="4"/>
  <c r="E2393" i="4"/>
  <c r="B4604" i="4"/>
  <c r="B1068" i="4"/>
  <c r="B2955" i="4"/>
  <c r="B1836" i="4"/>
  <c r="E1781" i="4"/>
  <c r="E1210" i="4"/>
  <c r="E6421" i="4"/>
  <c r="B10505" i="4"/>
  <c r="E6201" i="4"/>
  <c r="B4867" i="4"/>
  <c r="E5681" i="4"/>
  <c r="E5682" i="4"/>
  <c r="E4364" i="4"/>
  <c r="B7055" i="4"/>
  <c r="B6631" i="4"/>
  <c r="E3957" i="4"/>
  <c r="B5404" i="4"/>
  <c r="B2565" i="4"/>
  <c r="E3104" i="4"/>
  <c r="B4287" i="4"/>
  <c r="E4094" i="4"/>
  <c r="B5719" i="4"/>
  <c r="B4449" i="4"/>
  <c r="B3643" i="4"/>
  <c r="E3446" i="4"/>
  <c r="E4945" i="4"/>
  <c r="E2787" i="4"/>
  <c r="E4317" i="4"/>
  <c r="B946" i="4"/>
  <c r="E2583" i="4"/>
  <c r="E5621" i="4"/>
  <c r="B10215" i="4"/>
  <c r="B8605" i="4"/>
  <c r="B5106" i="4"/>
  <c r="B3865" i="4"/>
  <c r="B3944" i="4"/>
  <c r="E4741" i="4"/>
  <c r="B5773" i="4"/>
  <c r="E2544" i="4"/>
  <c r="B4273" i="4"/>
  <c r="B1228" i="4"/>
  <c r="E4701" i="4"/>
  <c r="B782" i="4"/>
  <c r="E1492" i="4"/>
  <c r="E3978" i="4"/>
  <c r="E1554" i="4"/>
  <c r="E5677" i="4"/>
  <c r="B2356" i="4"/>
  <c r="B1276" i="4"/>
  <c r="B2790" i="4"/>
  <c r="B1868" i="4"/>
  <c r="E622" i="4"/>
  <c r="B4469" i="4"/>
  <c r="E4770" i="4"/>
  <c r="B3437" i="4"/>
  <c r="E3801" i="4"/>
  <c r="B4259" i="4"/>
  <c r="E5092" i="4"/>
  <c r="E5603" i="4"/>
  <c r="B3023" i="4"/>
  <c r="B1723" i="4"/>
  <c r="B9655" i="4"/>
  <c r="E2741" i="4"/>
  <c r="E1704" i="4"/>
  <c r="E1943" i="4"/>
  <c r="B713" i="4"/>
  <c r="B1506" i="4"/>
  <c r="B285" i="4"/>
  <c r="E1105" i="4"/>
  <c r="E10439" i="4"/>
  <c r="E8236" i="4"/>
  <c r="B9272" i="4"/>
  <c r="B8805" i="4"/>
  <c r="B5752" i="4"/>
  <c r="E7877" i="4"/>
  <c r="E7788" i="4"/>
  <c r="B10437" i="4"/>
  <c r="E6127" i="4"/>
  <c r="E5512" i="4"/>
  <c r="B2686" i="4"/>
  <c r="B7548" i="4"/>
  <c r="B7520" i="4"/>
  <c r="B2893" i="4"/>
  <c r="E4543" i="4"/>
  <c r="B5650" i="4"/>
  <c r="E4553" i="4"/>
  <c r="B5323" i="4"/>
  <c r="B6271" i="4"/>
  <c r="B1783" i="4"/>
  <c r="B4233" i="4"/>
  <c r="E437" i="4"/>
  <c r="E3830" i="4"/>
  <c r="B3893" i="4"/>
  <c r="B6124" i="4"/>
  <c r="B3295" i="4"/>
  <c r="E5563" i="4"/>
  <c r="E2874" i="4"/>
  <c r="B6784" i="4"/>
  <c r="E3465" i="4"/>
  <c r="B4528" i="4"/>
  <c r="E4133" i="4"/>
  <c r="B10384" i="4"/>
  <c r="B6419" i="4"/>
  <c r="E6522" i="4"/>
  <c r="E5349" i="4"/>
  <c r="B7432" i="4"/>
  <c r="B5231" i="4"/>
  <c r="E4999" i="4"/>
  <c r="E4745" i="4"/>
  <c r="B5821" i="4"/>
  <c r="B7178" i="4"/>
  <c r="E5224" i="4"/>
  <c r="E4172" i="4"/>
  <c r="B3568" i="4"/>
  <c r="E6447" i="4"/>
  <c r="E7102" i="4"/>
  <c r="E3696" i="4"/>
  <c r="E6884" i="4"/>
  <c r="B5265" i="4"/>
  <c r="E4523" i="4"/>
  <c r="B2580" i="4"/>
  <c r="E2724" i="4"/>
  <c r="E1394" i="4"/>
  <c r="B3479" i="4"/>
  <c r="E4312" i="4"/>
  <c r="E1933" i="4"/>
  <c r="E2581" i="4"/>
  <c r="E3746" i="4"/>
  <c r="B4622" i="4"/>
  <c r="B3871" i="4"/>
  <c r="B1728" i="4"/>
  <c r="E2031" i="4"/>
  <c r="B4171" i="4"/>
  <c r="B7440" i="4"/>
  <c r="E7440" i="4"/>
  <c r="B7220" i="4"/>
  <c r="B3945" i="4"/>
  <c r="E5712" i="4"/>
  <c r="E7715" i="4"/>
  <c r="B6391" i="4"/>
  <c r="E6206" i="4"/>
  <c r="E7330" i="4"/>
  <c r="B3777" i="4"/>
  <c r="B2773" i="4"/>
  <c r="B2568" i="4"/>
  <c r="B3564" i="4"/>
  <c r="B4007" i="4"/>
  <c r="B5385" i="4"/>
  <c r="E7991" i="4"/>
  <c r="E4372" i="4"/>
  <c r="E3425" i="4"/>
  <c r="B5257" i="4"/>
  <c r="B9339" i="4"/>
  <c r="B1516" i="4"/>
  <c r="B4899" i="4"/>
  <c r="E2766" i="4"/>
  <c r="E4759" i="4"/>
  <c r="E5114" i="4"/>
  <c r="E1853" i="4"/>
  <c r="B4408" i="4"/>
  <c r="B1887" i="4"/>
  <c r="E3236" i="4"/>
  <c r="E7483" i="4"/>
  <c r="E5421" i="4"/>
  <c r="E6239" i="4"/>
  <c r="B7264" i="4"/>
  <c r="E9034" i="4"/>
  <c r="B6921" i="4"/>
  <c r="E4649" i="4"/>
  <c r="B5066" i="4"/>
  <c r="E6894" i="4"/>
  <c r="B8319" i="4"/>
  <c r="E9846" i="4"/>
  <c r="B6791" i="4"/>
  <c r="B3042" i="4"/>
  <c r="E2725" i="4"/>
  <c r="B3012" i="4"/>
  <c r="E3114" i="4"/>
  <c r="E5557" i="4"/>
  <c r="B3084" i="4"/>
  <c r="E6361" i="4"/>
  <c r="E3426" i="4"/>
  <c r="B1928" i="4"/>
  <c r="B3594" i="4"/>
  <c r="B8434" i="4"/>
  <c r="E3107" i="4"/>
  <c r="B3917" i="4"/>
  <c r="B126" i="4"/>
  <c r="E3574" i="4"/>
  <c r="E3667" i="4"/>
  <c r="B6545" i="4"/>
  <c r="B5839" i="4"/>
  <c r="B4373" i="4"/>
  <c r="E4573" i="4"/>
  <c r="E6381" i="4"/>
  <c r="E5101" i="4"/>
  <c r="B10565" i="4"/>
  <c r="E10536" i="4"/>
  <c r="B6817" i="4"/>
  <c r="B9108" i="4"/>
  <c r="B6376" i="4"/>
  <c r="B7045" i="4"/>
  <c r="B8116" i="4"/>
  <c r="E7998" i="4"/>
  <c r="B4961" i="4"/>
  <c r="E7415" i="4"/>
  <c r="B7346" i="4"/>
  <c r="B9489" i="4"/>
  <c r="B7996" i="4"/>
  <c r="E5556" i="4"/>
  <c r="B6439" i="4"/>
  <c r="B9015" i="4"/>
  <c r="B8786" i="4"/>
  <c r="B5742" i="4"/>
  <c r="B9083" i="4"/>
  <c r="E6906" i="4"/>
  <c r="B7535" i="4"/>
  <c r="B5709" i="4"/>
  <c r="B2952" i="4"/>
  <c r="B5566" i="4"/>
  <c r="B3476" i="4"/>
  <c r="B6534" i="4"/>
  <c r="B4109" i="4"/>
  <c r="E3576" i="4"/>
  <c r="E6713" i="4"/>
  <c r="B10771" i="4"/>
  <c r="B10815" i="4"/>
  <c r="E7146" i="4"/>
  <c r="B7031" i="4"/>
  <c r="B7541" i="4"/>
  <c r="B5042" i="4"/>
  <c r="E9059" i="4"/>
  <c r="B9734" i="4"/>
  <c r="E7409" i="4"/>
  <c r="E6969" i="4"/>
  <c r="B7551" i="4"/>
  <c r="E7203" i="4"/>
  <c r="B7692" i="4"/>
  <c r="E3376" i="4"/>
  <c r="B4484" i="4"/>
  <c r="B4359" i="4"/>
  <c r="E7456" i="4"/>
  <c r="E6883" i="4"/>
  <c r="B7384" i="4"/>
  <c r="E4864" i="4"/>
  <c r="B8675" i="4"/>
  <c r="B5975" i="4"/>
  <c r="E8723" i="4"/>
  <c r="B6448" i="4"/>
  <c r="B8004" i="4"/>
  <c r="E5484" i="4"/>
  <c r="E6900" i="4"/>
  <c r="E3348" i="4"/>
  <c r="B8997" i="4"/>
  <c r="B4062" i="4"/>
  <c r="E4339" i="4"/>
  <c r="E5841" i="4"/>
  <c r="B5800" i="4"/>
  <c r="E7106" i="4"/>
  <c r="B6734" i="4"/>
  <c r="E5026" i="4"/>
  <c r="B4002" i="4"/>
  <c r="E10377" i="4"/>
  <c r="E6577" i="4"/>
  <c r="B8482" i="4"/>
  <c r="E6162" i="4"/>
  <c r="B10376" i="4"/>
  <c r="B6193" i="4"/>
  <c r="E6945" i="4"/>
  <c r="B7235" i="4"/>
  <c r="E7127" i="4"/>
  <c r="E7943" i="4"/>
  <c r="B4737" i="4"/>
  <c r="E4800" i="4"/>
  <c r="B5408" i="4"/>
  <c r="B4970" i="4"/>
  <c r="E5189" i="4"/>
  <c r="E5437" i="4"/>
  <c r="E7201" i="4"/>
  <c r="B6065" i="4"/>
  <c r="B8200" i="4"/>
  <c r="E3606" i="4"/>
  <c r="B2438" i="4"/>
  <c r="B3388" i="4"/>
  <c r="B8840" i="4"/>
  <c r="B4170" i="4"/>
  <c r="E5297" i="4"/>
  <c r="B2907" i="4"/>
  <c r="E5911" i="4"/>
  <c r="B4942" i="4"/>
  <c r="E4735" i="4"/>
  <c r="B4627" i="4"/>
  <c r="B6074" i="4"/>
  <c r="E4570" i="4"/>
  <c r="B3919" i="4"/>
  <c r="B3624" i="4"/>
  <c r="B3791" i="4"/>
  <c r="B4437" i="4"/>
  <c r="E1850" i="4"/>
  <c r="E7729" i="4"/>
  <c r="E3555" i="4"/>
  <c r="E1091" i="4"/>
  <c r="E3775" i="4"/>
  <c r="B2316" i="4"/>
  <c r="E5405" i="4"/>
  <c r="B5504" i="4"/>
  <c r="B2399" i="4"/>
  <c r="B2520" i="4"/>
  <c r="E6043" i="4"/>
  <c r="E4179" i="4"/>
  <c r="B3857" i="4"/>
  <c r="E5373" i="4"/>
  <c r="B2087" i="4"/>
  <c r="B2160" i="4"/>
  <c r="E1297" i="4"/>
  <c r="E5571" i="4"/>
  <c r="E2629" i="4"/>
  <c r="B734" i="4"/>
  <c r="E3159" i="4"/>
  <c r="E3042" i="4"/>
  <c r="E706" i="4"/>
  <c r="B3399" i="4"/>
  <c r="E349" i="4"/>
  <c r="B554" i="4"/>
  <c r="B4878" i="4"/>
  <c r="B397" i="4"/>
  <c r="B8473" i="4"/>
  <c r="E10815" i="4"/>
  <c r="E10166" i="4"/>
  <c r="B7325" i="4"/>
  <c r="B8166" i="4"/>
  <c r="E7516" i="4"/>
  <c r="B4855" i="4"/>
  <c r="B4657" i="4"/>
  <c r="B8970" i="4"/>
  <c r="B6874" i="4"/>
  <c r="E5051" i="4"/>
  <c r="B5239" i="4"/>
  <c r="B6430" i="4"/>
  <c r="B7785" i="4"/>
  <c r="E4777" i="4"/>
  <c r="B6547" i="4"/>
  <c r="B8776" i="4"/>
  <c r="E7911" i="4"/>
  <c r="E7309" i="4"/>
  <c r="E3129" i="4"/>
  <c r="B5703" i="4"/>
  <c r="B4517" i="4"/>
  <c r="B3990" i="4"/>
  <c r="B2657" i="4"/>
  <c r="B5634" i="4"/>
  <c r="B4197" i="4"/>
  <c r="E4564" i="4"/>
  <c r="B5464" i="4"/>
  <c r="E4471" i="4"/>
  <c r="B3486" i="4"/>
  <c r="E6832" i="4"/>
  <c r="B5246" i="4"/>
  <c r="E3683" i="4"/>
  <c r="B5101" i="4"/>
  <c r="B5131" i="4"/>
  <c r="B3483" i="4"/>
  <c r="B1869" i="4"/>
  <c r="B4048" i="4"/>
  <c r="E2736" i="4"/>
  <c r="E2306" i="4"/>
  <c r="E2111" i="4"/>
  <c r="B6169" i="4"/>
  <c r="B3050" i="4"/>
  <c r="B5069" i="4"/>
  <c r="E5684" i="4"/>
  <c r="E5806" i="4"/>
  <c r="E2940" i="4"/>
  <c r="B5686" i="4"/>
  <c r="E4178" i="4"/>
  <c r="B3920" i="4"/>
  <c r="E5255" i="4"/>
  <c r="B3471" i="4"/>
  <c r="B1802" i="4"/>
  <c r="B2823" i="4"/>
  <c r="E4214" i="4"/>
  <c r="B3274" i="4"/>
  <c r="E2809" i="4"/>
  <c r="E603" i="4"/>
  <c r="E47" i="4"/>
  <c r="B10595" i="4"/>
  <c r="E5616" i="4"/>
  <c r="E8790" i="4"/>
  <c r="B8658" i="4"/>
  <c r="E6277" i="4"/>
  <c r="B8735" i="4"/>
  <c r="B6021" i="4"/>
  <c r="B3512" i="4"/>
  <c r="B4857" i="4"/>
  <c r="E6575" i="4"/>
  <c r="B8994" i="4"/>
  <c r="E7822" i="4"/>
  <c r="B7208" i="4"/>
  <c r="E7419" i="4"/>
  <c r="E7803" i="4"/>
  <c r="E7528" i="4"/>
  <c r="E6154" i="4"/>
  <c r="E5877" i="4"/>
  <c r="E6026" i="4"/>
  <c r="B3880" i="4"/>
  <c r="E2438" i="4"/>
  <c r="E4739" i="4"/>
  <c r="B5041" i="4"/>
  <c r="E4265" i="4"/>
  <c r="B4929" i="4"/>
  <c r="B4751" i="4"/>
  <c r="B2102" i="4"/>
  <c r="E7507" i="4"/>
  <c r="E5990" i="4"/>
  <c r="B7211" i="4"/>
  <c r="B4565" i="4"/>
  <c r="B4122" i="4"/>
  <c r="E4224" i="4"/>
  <c r="B5386" i="4"/>
  <c r="E2119" i="4"/>
  <c r="B4980" i="4"/>
  <c r="E2435" i="4"/>
  <c r="B3098" i="4"/>
  <c r="B5815" i="4"/>
  <c r="E4536" i="4"/>
  <c r="E3789" i="4"/>
  <c r="E3875" i="4"/>
  <c r="B6779" i="4"/>
  <c r="B855" i="4"/>
  <c r="E3906" i="4"/>
  <c r="E3991" i="4"/>
  <c r="B5389" i="4"/>
  <c r="B5102" i="4"/>
  <c r="B6777" i="4"/>
  <c r="E2906" i="4"/>
  <c r="E3206" i="4"/>
  <c r="B4396" i="4"/>
  <c r="B4404" i="4"/>
  <c r="E8028" i="4"/>
  <c r="B3429" i="4"/>
  <c r="E2505" i="4"/>
  <c r="E3778" i="4"/>
  <c r="B2141" i="4"/>
  <c r="E3669" i="4"/>
  <c r="B3779" i="4"/>
  <c r="E9988" i="4"/>
  <c r="B7149" i="4"/>
  <c r="E8725" i="4"/>
  <c r="E8580" i="4"/>
  <c r="B7791" i="4"/>
  <c r="B10479" i="4"/>
  <c r="B2909" i="4"/>
  <c r="B5837" i="4"/>
  <c r="E7063" i="4"/>
  <c r="E8131" i="4"/>
  <c r="B3873" i="4"/>
  <c r="B3649" i="4"/>
  <c r="B3977" i="4"/>
  <c r="B6069" i="4"/>
  <c r="E4440" i="4"/>
  <c r="E6008" i="4"/>
  <c r="B8336" i="4"/>
  <c r="B6846" i="4"/>
  <c r="E6698" i="4"/>
  <c r="B2584" i="4"/>
  <c r="B4518" i="4"/>
  <c r="B3215" i="4"/>
  <c r="B3578" i="4"/>
  <c r="B3134" i="4"/>
  <c r="B4164" i="4"/>
  <c r="E3124" i="4"/>
  <c r="B3721" i="4"/>
  <c r="E4604" i="4"/>
  <c r="E4801" i="4"/>
  <c r="E2707" i="4"/>
  <c r="E5592" i="4"/>
  <c r="B4847" i="4"/>
  <c r="B2985" i="4"/>
  <c r="B3647" i="4"/>
  <c r="B2569" i="4"/>
  <c r="E3261" i="4"/>
  <c r="E2252" i="4"/>
  <c r="E4461" i="4"/>
  <c r="B2579" i="4"/>
  <c r="B1327" i="4"/>
  <c r="E1615" i="4"/>
  <c r="B5202" i="4"/>
  <c r="B4442" i="4"/>
  <c r="B7021" i="4"/>
  <c r="E4542" i="4"/>
  <c r="B3247" i="4"/>
  <c r="E2319" i="4"/>
  <c r="E3826" i="4"/>
  <c r="E3047" i="4"/>
  <c r="E6472" i="4"/>
  <c r="B4649" i="4"/>
  <c r="E4010" i="4"/>
  <c r="E1664" i="4"/>
  <c r="E3386" i="4"/>
  <c r="B3802" i="4"/>
  <c r="E1557" i="4"/>
  <c r="E2594" i="4"/>
  <c r="B1845" i="4"/>
  <c r="B289" i="4"/>
  <c r="B9642" i="4"/>
  <c r="E9954" i="4"/>
  <c r="B8039" i="4"/>
  <c r="B7828" i="4"/>
  <c r="B6236" i="4"/>
  <c r="B9104" i="4"/>
  <c r="B5496" i="4"/>
  <c r="E3668" i="4"/>
  <c r="E6955" i="4"/>
  <c r="E4872" i="4"/>
  <c r="E6093" i="4"/>
  <c r="E9342" i="4"/>
  <c r="E7373" i="4"/>
  <c r="B5216" i="4"/>
  <c r="E9015" i="4"/>
  <c r="B5030" i="4"/>
  <c r="B6822" i="4"/>
  <c r="B7426" i="4"/>
  <c r="E5740" i="4"/>
  <c r="E5786" i="4"/>
  <c r="B2719" i="4"/>
  <c r="E3657" i="4"/>
  <c r="E5982" i="4"/>
  <c r="B3041" i="4"/>
  <c r="B6663" i="4"/>
  <c r="E2997" i="4"/>
  <c r="B1444" i="4"/>
  <c r="E5843" i="4"/>
  <c r="E4633" i="4"/>
  <c r="E6164" i="4"/>
  <c r="B3393" i="4"/>
  <c r="B3456" i="4"/>
  <c r="B4896" i="4"/>
  <c r="E5534" i="4"/>
  <c r="E1735" i="4"/>
  <c r="E5219" i="4"/>
  <c r="B2888" i="4"/>
  <c r="E1522" i="4"/>
  <c r="B2997" i="4"/>
  <c r="E2261" i="4"/>
  <c r="E4345" i="4"/>
  <c r="B3450" i="4"/>
  <c r="B3766" i="4"/>
  <c r="B2290" i="4"/>
  <c r="B2867" i="4"/>
  <c r="B3918" i="4"/>
  <c r="B2866" i="4"/>
  <c r="B4680" i="4"/>
  <c r="B6965" i="4"/>
  <c r="B2367" i="4"/>
  <c r="B2480" i="4"/>
  <c r="B4834" i="4"/>
  <c r="B2134" i="4"/>
  <c r="B8078" i="4"/>
  <c r="B4774" i="4"/>
  <c r="E1668" i="4"/>
  <c r="B5293" i="4"/>
  <c r="E3098" i="4"/>
  <c r="E999" i="4"/>
  <c r="B3748" i="4"/>
  <c r="B8334" i="4"/>
  <c r="B8193" i="4"/>
  <c r="E7696" i="4"/>
  <c r="B7822" i="4"/>
  <c r="E9421" i="4"/>
  <c r="B9136" i="4"/>
  <c r="B3339" i="4"/>
  <c r="B5270" i="4"/>
  <c r="E6301" i="4"/>
  <c r="B8865" i="4"/>
  <c r="B4690" i="4"/>
  <c r="E4647" i="4"/>
  <c r="E3784" i="4"/>
  <c r="E7125" i="4"/>
  <c r="B9853" i="4"/>
  <c r="B6851" i="4"/>
  <c r="E8720" i="4"/>
  <c r="E5539" i="4"/>
  <c r="E7491" i="4"/>
  <c r="B2200" i="4"/>
  <c r="B5137" i="4"/>
  <c r="B2630" i="4"/>
  <c r="E2764" i="4"/>
  <c r="B3882" i="4"/>
  <c r="B4562" i="4"/>
  <c r="B4440" i="4"/>
  <c r="E5371" i="4"/>
  <c r="B9728" i="4"/>
  <c r="E6788" i="4"/>
  <c r="E7786" i="4"/>
  <c r="E6017" i="4"/>
  <c r="E6705" i="4"/>
  <c r="B9532" i="4"/>
  <c r="B3058" i="4"/>
  <c r="E8867" i="4"/>
  <c r="B5549" i="4"/>
  <c r="E6192" i="4"/>
  <c r="B7386" i="4"/>
  <c r="B7663" i="4"/>
  <c r="B6841" i="4"/>
  <c r="E6276" i="4"/>
  <c r="B4931" i="4"/>
  <c r="B6504" i="4"/>
  <c r="E6887" i="4"/>
  <c r="B6915" i="4"/>
  <c r="B6221" i="4"/>
  <c r="E2045" i="4"/>
  <c r="B6782" i="4"/>
  <c r="B7322" i="4"/>
  <c r="E2463" i="4"/>
  <c r="E5547" i="4"/>
  <c r="E3988" i="4"/>
  <c r="E9401" i="4"/>
  <c r="B8499" i="4"/>
  <c r="B8055" i="4"/>
  <c r="B8538" i="4"/>
  <c r="E5032" i="4"/>
  <c r="B8257" i="4"/>
  <c r="B8761" i="4"/>
  <c r="E6413" i="4"/>
  <c r="E6600" i="4"/>
  <c r="E6418" i="4"/>
  <c r="B5665" i="4"/>
  <c r="B5954" i="4"/>
  <c r="B5223" i="4"/>
  <c r="E6562" i="4"/>
  <c r="B4830" i="4"/>
  <c r="B5831" i="4"/>
  <c r="E6297" i="4"/>
  <c r="E5452" i="4"/>
  <c r="B8360" i="4"/>
  <c r="E7051" i="4"/>
  <c r="E4455" i="4"/>
  <c r="E8548" i="4"/>
  <c r="B1808" i="4"/>
  <c r="B4679" i="4"/>
  <c r="E4516" i="4"/>
  <c r="B5187" i="4"/>
  <c r="B2311" i="4"/>
  <c r="E4342" i="4"/>
  <c r="B9516" i="4"/>
  <c r="B8570" i="4"/>
  <c r="B7893" i="4"/>
  <c r="E7471" i="4"/>
  <c r="B7390" i="4"/>
  <c r="B9657" i="4"/>
  <c r="E4151" i="4"/>
  <c r="B3937" i="4"/>
  <c r="B7686" i="4"/>
  <c r="B7530" i="4"/>
  <c r="E3680" i="4"/>
  <c r="B4157" i="4"/>
  <c r="E4859" i="4"/>
  <c r="E6620" i="4"/>
  <c r="B7860" i="4"/>
  <c r="E5099" i="4"/>
  <c r="B6805" i="4"/>
  <c r="B5912" i="4"/>
  <c r="B8381" i="4"/>
  <c r="E4373" i="4"/>
  <c r="B5275" i="4"/>
  <c r="E3137" i="4"/>
  <c r="E3577" i="4"/>
  <c r="B2625" i="4"/>
  <c r="B4360" i="4"/>
  <c r="B2792" i="4"/>
  <c r="E3720" i="4"/>
  <c r="E6169" i="4"/>
  <c r="E8201" i="4"/>
  <c r="B5900" i="4"/>
  <c r="E5430" i="4"/>
  <c r="B7898" i="4"/>
  <c r="B10239" i="4"/>
  <c r="B7478" i="4"/>
  <c r="E6787" i="4"/>
  <c r="E7963" i="4"/>
  <c r="B4753" i="4"/>
  <c r="B6344" i="4"/>
  <c r="E3248" i="4"/>
  <c r="E3809" i="4"/>
  <c r="E4443" i="4"/>
  <c r="E5875" i="4"/>
  <c r="B6030" i="4"/>
  <c r="B6647" i="4"/>
  <c r="E7411" i="4"/>
  <c r="E5470" i="4"/>
  <c r="E2349" i="4"/>
  <c r="B4698" i="4"/>
  <c r="B5115" i="4"/>
  <c r="B4693" i="4"/>
  <c r="B1755" i="4"/>
  <c r="E3929" i="4"/>
  <c r="E3822" i="4"/>
  <c r="B10498" i="4"/>
  <c r="E10105" i="4"/>
  <c r="B10729" i="4"/>
  <c r="E10079" i="4"/>
  <c r="B8678" i="4"/>
  <c r="E6949" i="4"/>
  <c r="E8586" i="4"/>
  <c r="E4885" i="4"/>
  <c r="B7537" i="4"/>
  <c r="E7985" i="4"/>
  <c r="E5508" i="4"/>
  <c r="B4695" i="4"/>
  <c r="E2960" i="4"/>
  <c r="B10798" i="4"/>
  <c r="B4073" i="4"/>
  <c r="E6370" i="4"/>
  <c r="B8770" i="4"/>
  <c r="B5798" i="4"/>
  <c r="B8235" i="4"/>
  <c r="E6610" i="4"/>
  <c r="E4293" i="4"/>
  <c r="B4199" i="4"/>
  <c r="E3895" i="4"/>
  <c r="B4053" i="4"/>
  <c r="B1453" i="4"/>
  <c r="B4807" i="4"/>
  <c r="B2976" i="4"/>
  <c r="E10451" i="4"/>
  <c r="E7058" i="4"/>
  <c r="E7725" i="4"/>
  <c r="B7089" i="4"/>
  <c r="E7866" i="4"/>
  <c r="B9321" i="4"/>
  <c r="E6603" i="4"/>
  <c r="E5948" i="4"/>
  <c r="E6270" i="4"/>
  <c r="B6990" i="4"/>
  <c r="B8047" i="4"/>
  <c r="E8248" i="4"/>
  <c r="E8289" i="4"/>
  <c r="B7758" i="4"/>
  <c r="B4767" i="4"/>
  <c r="E5411" i="4"/>
  <c r="B6672" i="4"/>
  <c r="E9052" i="4"/>
  <c r="E8733" i="4"/>
  <c r="B4875" i="4"/>
  <c r="E2475" i="4"/>
  <c r="B2740" i="4"/>
  <c r="E7795" i="4"/>
  <c r="B3764" i="4"/>
  <c r="E8117" i="4"/>
  <c r="E3917" i="4"/>
  <c r="B1536" i="4"/>
  <c r="B9888" i="4"/>
  <c r="B6926" i="4"/>
  <c r="E5787" i="4"/>
  <c r="B7074" i="4"/>
  <c r="B3673" i="4"/>
  <c r="E5262" i="4"/>
  <c r="B5542" i="4"/>
  <c r="E3183" i="4"/>
  <c r="B6956" i="4"/>
  <c r="E3003" i="4"/>
  <c r="B1778" i="4"/>
  <c r="E3471" i="4"/>
  <c r="B1859" i="4"/>
  <c r="B5129" i="4"/>
  <c r="E2419" i="4"/>
  <c r="E3143" i="4"/>
  <c r="B1158" i="4"/>
  <c r="B3756" i="4"/>
  <c r="B9331" i="4"/>
  <c r="E7810" i="4"/>
  <c r="B7013" i="4"/>
  <c r="B4367" i="4"/>
  <c r="E8799" i="4"/>
  <c r="B3698" i="4"/>
  <c r="B9139" i="4"/>
  <c r="E6978" i="4"/>
  <c r="B5311" i="4"/>
  <c r="B4872" i="4"/>
  <c r="B4110" i="4"/>
  <c r="E3354" i="4"/>
  <c r="E3735" i="4"/>
  <c r="E4076" i="4"/>
  <c r="B5797" i="4"/>
  <c r="E3931" i="4"/>
  <c r="B5094" i="4"/>
  <c r="E8046" i="4"/>
  <c r="E2831" i="4"/>
  <c r="E7175" i="4"/>
  <c r="B3999" i="4"/>
  <c r="B5250" i="4"/>
  <c r="E1188" i="4"/>
  <c r="E3152" i="4"/>
  <c r="B5847" i="4"/>
  <c r="E3841" i="4"/>
  <c r="E2567" i="4"/>
  <c r="B2735" i="4"/>
  <c r="B2111" i="4"/>
  <c r="E3716" i="4"/>
  <c r="B7371" i="4"/>
  <c r="B8707" i="4"/>
  <c r="E4505" i="4"/>
  <c r="B1500" i="4"/>
  <c r="B5153" i="4"/>
  <c r="B517" i="4"/>
  <c r="B1945" i="4"/>
  <c r="E444" i="4"/>
  <c r="E2646" i="4"/>
  <c r="B405" i="4"/>
  <c r="B1170" i="4"/>
  <c r="E3582" i="4"/>
  <c r="B2331" i="4"/>
  <c r="E852" i="4"/>
  <c r="E1189" i="4"/>
  <c r="E657" i="4"/>
  <c r="E7264" i="4"/>
  <c r="E950" i="4"/>
  <c r="E3287" i="4"/>
  <c r="E3304" i="4"/>
  <c r="E4285" i="4"/>
  <c r="E6449" i="4"/>
  <c r="E1107" i="4"/>
  <c r="B3997" i="4"/>
  <c r="E2678" i="4"/>
  <c r="B549" i="4"/>
  <c r="E3783" i="4"/>
  <c r="E1613" i="4"/>
  <c r="E5130" i="4"/>
  <c r="E1441" i="4"/>
  <c r="E471" i="4"/>
  <c r="B2811" i="4"/>
  <c r="E1013" i="4"/>
  <c r="B3763" i="4"/>
  <c r="E292" i="4"/>
  <c r="B3085" i="4"/>
  <c r="E1414" i="4"/>
  <c r="E1028" i="4"/>
  <c r="E7755" i="4"/>
  <c r="B8181" i="4"/>
  <c r="B7564" i="4"/>
  <c r="B4430" i="4"/>
  <c r="B6052" i="4"/>
  <c r="E5757" i="4"/>
  <c r="E4933" i="4"/>
  <c r="B6081" i="4"/>
  <c r="B5338" i="4"/>
  <c r="E6735" i="4"/>
  <c r="B6529" i="4"/>
  <c r="E5707" i="4"/>
  <c r="E4605" i="4"/>
  <c r="E5906" i="4"/>
  <c r="B10385" i="4"/>
  <c r="E4712" i="4"/>
  <c r="B7842" i="4"/>
  <c r="E3968" i="4"/>
  <c r="B4648" i="4"/>
  <c r="B2770" i="4"/>
  <c r="B3903" i="4"/>
  <c r="B1465" i="4"/>
  <c r="E2988" i="4"/>
  <c r="E5228" i="4"/>
  <c r="E3032" i="4"/>
  <c r="B7435" i="4"/>
  <c r="B4018" i="4"/>
  <c r="B3735" i="4"/>
  <c r="B3906" i="4"/>
  <c r="B3228" i="4"/>
  <c r="B4882" i="4"/>
  <c r="E1791" i="4"/>
  <c r="E3247" i="4"/>
  <c r="E1272" i="4"/>
  <c r="B1576" i="4"/>
  <c r="E1537" i="4"/>
  <c r="B2924" i="4"/>
  <c r="B408" i="4"/>
  <c r="B4127" i="4"/>
  <c r="B1634" i="4"/>
  <c r="E1295" i="4"/>
  <c r="B1967" i="4"/>
  <c r="E881" i="4"/>
  <c r="E869" i="4"/>
  <c r="E5733" i="4"/>
  <c r="B2106" i="4"/>
  <c r="B460" i="4"/>
  <c r="B3312" i="4"/>
  <c r="E3327" i="4"/>
  <c r="E4323" i="4"/>
  <c r="B6496" i="4"/>
  <c r="B1125" i="4"/>
  <c r="E4049" i="4"/>
  <c r="E2687" i="4"/>
  <c r="E3969" i="4"/>
  <c r="E1410" i="4"/>
  <c r="E2754" i="4"/>
  <c r="E1224" i="4"/>
  <c r="E2114" i="4"/>
  <c r="E1399" i="4"/>
  <c r="B729" i="4"/>
  <c r="E2331" i="4"/>
  <c r="B1577" i="4"/>
  <c r="E3857" i="4"/>
  <c r="E8898" i="4"/>
  <c r="B8625" i="4"/>
  <c r="B7143" i="4"/>
  <c r="B5506" i="4"/>
  <c r="B7246" i="4"/>
  <c r="E3012" i="4"/>
  <c r="E7576" i="4"/>
  <c r="E6690" i="4"/>
  <c r="B9572" i="4"/>
  <c r="B4978" i="4"/>
  <c r="B3154" i="4"/>
  <c r="B4187" i="4"/>
  <c r="E4434" i="4"/>
  <c r="E3972" i="4"/>
  <c r="B4470" i="4"/>
  <c r="B3040" i="4"/>
  <c r="B5198" i="4"/>
  <c r="E3869" i="4"/>
  <c r="E4109" i="4"/>
  <c r="B8662" i="4"/>
  <c r="B3955" i="4"/>
  <c r="E4804" i="4"/>
  <c r="E2914" i="4"/>
  <c r="E4305" i="4"/>
  <c r="E5832" i="4"/>
  <c r="B6934" i="4"/>
  <c r="E2063" i="4"/>
  <c r="E3428" i="4"/>
  <c r="E5403" i="4"/>
  <c r="E4197" i="4"/>
  <c r="E6868" i="4"/>
  <c r="B5320" i="4"/>
  <c r="E2913" i="4"/>
  <c r="E812" i="4"/>
  <c r="B3037" i="4"/>
  <c r="E898" i="4"/>
  <c r="E3858" i="4"/>
  <c r="E1763" i="4"/>
  <c r="E3733" i="4"/>
  <c r="B3349" i="4"/>
  <c r="E1446" i="4"/>
  <c r="E3044" i="4"/>
  <c r="B942" i="4"/>
  <c r="E2138" i="4"/>
  <c r="E2177" i="4"/>
  <c r="B1256" i="4"/>
  <c r="B5587" i="4"/>
  <c r="B2155" i="4"/>
  <c r="B2986" i="4"/>
  <c r="E7434" i="4"/>
  <c r="E4806" i="4"/>
  <c r="B6129" i="4"/>
  <c r="B2243" i="4"/>
  <c r="E4153" i="4"/>
  <c r="B3081" i="4"/>
  <c r="B77" i="4"/>
  <c r="E2531" i="4"/>
  <c r="B821" i="4"/>
  <c r="B4312" i="4"/>
  <c r="E1674" i="4"/>
  <c r="E1474" i="4"/>
  <c r="E2588" i="4"/>
  <c r="B604" i="4"/>
  <c r="E2262" i="4"/>
  <c r="E6289" i="4"/>
  <c r="B10112" i="4"/>
  <c r="E6545" i="4"/>
  <c r="E5333" i="4"/>
  <c r="E6336" i="4"/>
  <c r="E5375" i="4"/>
  <c r="E6073" i="4"/>
  <c r="B8228" i="4"/>
  <c r="B6718" i="4"/>
  <c r="E4449" i="4"/>
  <c r="B2930" i="4"/>
  <c r="B2802" i="4"/>
  <c r="E3489" i="4"/>
  <c r="B4963" i="4"/>
  <c r="E4625" i="4"/>
  <c r="E4855" i="4"/>
  <c r="B4926" i="4"/>
  <c r="B3988" i="4"/>
  <c r="E4117" i="4"/>
  <c r="E4531" i="4"/>
  <c r="B1152" i="4"/>
  <c r="B3327" i="4"/>
  <c r="E1237" i="4"/>
  <c r="E2984" i="4"/>
  <c r="E3320" i="4"/>
  <c r="B1796" i="4"/>
  <c r="E5721" i="4"/>
  <c r="E4494" i="4"/>
  <c r="B4806" i="4"/>
  <c r="B4964" i="4"/>
  <c r="E4271" i="4"/>
  <c r="E3302" i="4"/>
  <c r="E4918" i="4"/>
  <c r="E6384" i="4"/>
  <c r="E1550" i="4"/>
  <c r="E4201" i="4"/>
  <c r="B1133" i="4"/>
  <c r="E236" i="4"/>
  <c r="E6933" i="4"/>
  <c r="E2204" i="4"/>
  <c r="E5610" i="4"/>
  <c r="B3710" i="4"/>
  <c r="E2160" i="4"/>
  <c r="B5027" i="4"/>
  <c r="B2275" i="4"/>
  <c r="E1137" i="4"/>
  <c r="B4508" i="4"/>
  <c r="B7363" i="4"/>
  <c r="B1143" i="4"/>
  <c r="B4348" i="4"/>
  <c r="B2743" i="4"/>
  <c r="B4003" i="4"/>
  <c r="E5919" i="4"/>
  <c r="B1325" i="4"/>
  <c r="E2394" i="4"/>
  <c r="B635" i="4"/>
  <c r="B847" i="4"/>
  <c r="B95" i="4"/>
  <c r="E3160" i="4"/>
  <c r="E1484" i="4"/>
  <c r="B1393" i="4"/>
  <c r="B597" i="4"/>
  <c r="B2137" i="4"/>
  <c r="E8837" i="4"/>
  <c r="B7783" i="4"/>
  <c r="E7581" i="4"/>
  <c r="B7640" i="4"/>
  <c r="B6267" i="4"/>
  <c r="E8797" i="4"/>
  <c r="E7569" i="4"/>
  <c r="E4899" i="4"/>
  <c r="B5568" i="4"/>
  <c r="E6560" i="4"/>
  <c r="B3423" i="4"/>
  <c r="E7307" i="4"/>
  <c r="B7298" i="4"/>
  <c r="E4723" i="4"/>
  <c r="B5147" i="4"/>
  <c r="E5970" i="4"/>
  <c r="B5263" i="4"/>
  <c r="E5596" i="4"/>
  <c r="E5476" i="4"/>
  <c r="B1975" i="4"/>
  <c r="E4758" i="4"/>
  <c r="E629" i="4"/>
  <c r="E6262" i="4"/>
  <c r="B1454" i="4"/>
  <c r="B2613" i="4"/>
  <c r="B3926" i="4"/>
  <c r="E3608" i="4"/>
  <c r="E3739" i="4"/>
  <c r="B3249" i="4"/>
  <c r="B4031" i="4"/>
  <c r="E7953" i="4"/>
  <c r="B5093" i="4"/>
  <c r="E5515" i="4"/>
  <c r="B3781" i="4"/>
  <c r="E4177" i="4"/>
  <c r="B2861" i="4"/>
  <c r="B1864" i="4"/>
  <c r="B1546" i="4"/>
  <c r="E2954" i="4"/>
  <c r="E4023" i="4"/>
  <c r="B2411" i="4"/>
  <c r="E5134" i="4"/>
  <c r="E1168" i="4"/>
  <c r="B2245" i="4"/>
  <c r="E2015" i="4"/>
  <c r="E781" i="4"/>
  <c r="B343" i="4"/>
  <c r="B3071" i="4"/>
  <c r="B5056" i="4"/>
  <c r="B6282" i="4"/>
  <c r="B2301" i="4"/>
  <c r="B4421" i="4"/>
  <c r="B3169" i="4"/>
  <c r="B3604" i="4"/>
  <c r="B3585" i="4"/>
  <c r="B2253" i="4"/>
  <c r="B4257" i="4"/>
  <c r="B2502" i="4"/>
  <c r="B51" i="4"/>
  <c r="B1021" i="4"/>
  <c r="B292" i="4"/>
  <c r="B3161" i="4"/>
  <c r="E633" i="4"/>
  <c r="E491" i="4"/>
  <c r="E10758" i="4"/>
  <c r="B5671" i="4"/>
  <c r="B7973" i="4"/>
  <c r="E3568" i="4"/>
  <c r="B6902" i="4"/>
  <c r="B5420" i="4"/>
  <c r="B6819" i="4"/>
  <c r="E5463" i="4"/>
  <c r="E6724" i="4"/>
  <c r="E5312" i="4"/>
  <c r="B5356" i="4"/>
  <c r="E4677" i="4"/>
  <c r="B3856" i="4"/>
  <c r="E5241" i="4"/>
  <c r="B6890" i="4"/>
  <c r="B3697" i="4"/>
  <c r="E8362" i="4"/>
  <c r="E4209" i="4"/>
  <c r="E5464" i="4"/>
  <c r="E3156" i="4"/>
  <c r="E3093" i="4"/>
  <c r="B2002" i="4"/>
  <c r="E3690" i="4"/>
  <c r="B3321" i="4"/>
  <c r="B2330" i="4"/>
  <c r="B2949" i="4"/>
  <c r="E4356" i="4"/>
  <c r="E3402" i="4"/>
  <c r="B2681" i="4"/>
  <c r="B1976" i="4"/>
  <c r="E2295" i="4"/>
  <c r="B2698" i="4"/>
  <c r="B8060" i="4"/>
  <c r="B7270" i="4"/>
  <c r="E7892" i="4"/>
  <c r="E4166" i="4"/>
  <c r="E6290" i="4"/>
  <c r="E8569" i="4"/>
  <c r="E9271" i="4"/>
  <c r="B4415" i="4"/>
  <c r="B7972" i="4"/>
  <c r="B4123" i="4"/>
  <c r="E3135" i="4"/>
  <c r="E2785" i="4"/>
  <c r="E3907" i="4"/>
  <c r="E4868" i="4"/>
  <c r="E7206" i="4"/>
  <c r="E8990" i="4"/>
  <c r="B4998" i="4"/>
  <c r="B3850" i="4"/>
  <c r="E5025" i="4"/>
  <c r="E6789" i="4"/>
  <c r="B1894" i="4"/>
  <c r="B4472" i="4"/>
  <c r="E1142" i="4"/>
  <c r="B4068" i="4"/>
  <c r="E5882" i="4"/>
  <c r="B2420" i="4"/>
  <c r="B2775" i="4"/>
  <c r="B2151" i="4"/>
  <c r="B3734" i="4"/>
  <c r="E7432" i="4"/>
  <c r="E6733" i="4"/>
  <c r="E5365" i="4"/>
  <c r="B6138" i="4"/>
  <c r="B9986" i="4"/>
  <c r="B6168" i="4"/>
  <c r="B5491" i="4"/>
  <c r="E5529" i="4"/>
  <c r="B5084" i="4"/>
  <c r="E7886" i="4"/>
  <c r="B6037" i="4"/>
  <c r="E6638" i="4"/>
  <c r="B4232" i="4"/>
  <c r="B3028" i="4"/>
  <c r="E3437" i="4"/>
  <c r="B3642" i="4"/>
  <c r="E4334" i="4"/>
  <c r="B3467" i="4"/>
  <c r="B5775" i="4"/>
  <c r="E3910" i="4"/>
  <c r="B2120" i="4"/>
  <c r="E4336" i="4"/>
  <c r="B4852" i="4"/>
  <c r="B1795" i="4"/>
  <c r="B4651" i="4"/>
  <c r="B318" i="4"/>
  <c r="E4559" i="4"/>
  <c r="B4288" i="4"/>
  <c r="B7495" i="4"/>
  <c r="E7531" i="4"/>
  <c r="B5112" i="4"/>
  <c r="E3520" i="4"/>
  <c r="B5392" i="4"/>
  <c r="E4643" i="4"/>
  <c r="B9529" i="4"/>
  <c r="E7464" i="4"/>
  <c r="E7012" i="4"/>
  <c r="B10113" i="4"/>
  <c r="E6770" i="4"/>
  <c r="B9041" i="4"/>
  <c r="E7585" i="4"/>
  <c r="B7756" i="4"/>
  <c r="B5984" i="4"/>
  <c r="B6590" i="4"/>
  <c r="B2505" i="4"/>
  <c r="E6907" i="4"/>
  <c r="E6897" i="4"/>
  <c r="B1554" i="4"/>
  <c r="E5391" i="4"/>
  <c r="B5658" i="4"/>
  <c r="B4778" i="4"/>
  <c r="E5387" i="4"/>
  <c r="E5003" i="4"/>
  <c r="B3610" i="4"/>
  <c r="B2592" i="4"/>
  <c r="E2569" i="4"/>
  <c r="B3866" i="4"/>
  <c r="E8634" i="4"/>
  <c r="B2760" i="4"/>
  <c r="B2288" i="4"/>
  <c r="E4854" i="4"/>
  <c r="B5384" i="4"/>
  <c r="B3083" i="4"/>
  <c r="B3767" i="4"/>
  <c r="B4191" i="4"/>
  <c r="E4413" i="4"/>
  <c r="B10058" i="4"/>
  <c r="E6626" i="4"/>
  <c r="E8818" i="4"/>
  <c r="E4340" i="4"/>
  <c r="B8456" i="4"/>
  <c r="B8152" i="4"/>
  <c r="E6059" i="4"/>
  <c r="B6146" i="4"/>
  <c r="E4691" i="4"/>
  <c r="E8642" i="4"/>
  <c r="E7950" i="4"/>
  <c r="E7821" i="4"/>
  <c r="E6839" i="4"/>
  <c r="B3761" i="4"/>
  <c r="B4892" i="4"/>
  <c r="E6064" i="4"/>
  <c r="E7760" i="4"/>
  <c r="B9566" i="4"/>
  <c r="B6227" i="4"/>
  <c r="B5125" i="4"/>
  <c r="E9929" i="4"/>
  <c r="B5817" i="4"/>
  <c r="E8829" i="4"/>
  <c r="E5928" i="4"/>
  <c r="E8368" i="4"/>
  <c r="E5522" i="4"/>
  <c r="B9966" i="4"/>
  <c r="B4307" i="4"/>
  <c r="E5087" i="4"/>
  <c r="B10789" i="4"/>
  <c r="B9151" i="4"/>
  <c r="B9287" i="4"/>
  <c r="B8391" i="4"/>
  <c r="B7988" i="4"/>
  <c r="E7100" i="4"/>
  <c r="B8232" i="4"/>
  <c r="E6330" i="4"/>
  <c r="B5696" i="4"/>
  <c r="E7359" i="4"/>
  <c r="E7599" i="4"/>
  <c r="B9047" i="4"/>
  <c r="B6621" i="4"/>
  <c r="B2781" i="4"/>
  <c r="B2765" i="4"/>
  <c r="E4464" i="4"/>
  <c r="B8612" i="4"/>
  <c r="E7269" i="4"/>
  <c r="B5116" i="4"/>
  <c r="E9375" i="4"/>
  <c r="E6836" i="4"/>
  <c r="E4064" i="4"/>
  <c r="E7853" i="4"/>
  <c r="B5015" i="4"/>
  <c r="E7961" i="4"/>
  <c r="E3400" i="4"/>
  <c r="E6693" i="4"/>
  <c r="B5664" i="4"/>
  <c r="B6320" i="4"/>
  <c r="B6028" i="4"/>
  <c r="B7425" i="4"/>
  <c r="B8327" i="4"/>
  <c r="B7494" i="4"/>
  <c r="B8449" i="4"/>
  <c r="B8584" i="4"/>
  <c r="E4488" i="4"/>
  <c r="E2254" i="4"/>
  <c r="B9779" i="4"/>
  <c r="B5303" i="4"/>
  <c r="E10901" i="4"/>
  <c r="E8178" i="4"/>
  <c r="E7674" i="4"/>
  <c r="E6657" i="4"/>
  <c r="B4756" i="4"/>
  <c r="B5012" i="4"/>
  <c r="E8536" i="4"/>
  <c r="E5842" i="4"/>
  <c r="E5351" i="4"/>
  <c r="B5714" i="4"/>
  <c r="B4940" i="4"/>
  <c r="E8994" i="4"/>
  <c r="E5871" i="4"/>
  <c r="E6852" i="4"/>
  <c r="E8796" i="4"/>
  <c r="B6888" i="4"/>
  <c r="B6460" i="4"/>
  <c r="B3525" i="4"/>
  <c r="B4447" i="4"/>
  <c r="E3148" i="4"/>
  <c r="E4369" i="4"/>
  <c r="E5313" i="4"/>
  <c r="E4420" i="4"/>
  <c r="E2325" i="4"/>
  <c r="E5168" i="4"/>
  <c r="B4393" i="4"/>
  <c r="B5302" i="4"/>
  <c r="B3941" i="4"/>
  <c r="B7892" i="4"/>
  <c r="B5726" i="4"/>
  <c r="E4650" i="4"/>
  <c r="E2839" i="4"/>
  <c r="E2757" i="4"/>
  <c r="B3938" i="4"/>
  <c r="E2219" i="4"/>
  <c r="B5145" i="4"/>
  <c r="E3420" i="4"/>
  <c r="B4620" i="4"/>
  <c r="E2351" i="4"/>
  <c r="E5798" i="4"/>
  <c r="E3487" i="4"/>
  <c r="E4689" i="4"/>
  <c r="E5543" i="4"/>
  <c r="E2962" i="4"/>
  <c r="E3645" i="4"/>
  <c r="B3706" i="4"/>
  <c r="B6048" i="4"/>
  <c r="E4900" i="4"/>
  <c r="B4650" i="4"/>
  <c r="E4444" i="4"/>
  <c r="E2117" i="4"/>
  <c r="E3658" i="4"/>
  <c r="B2923" i="4"/>
  <c r="B133" i="4"/>
  <c r="E4580" i="4"/>
  <c r="B804" i="4"/>
  <c r="E7" i="4"/>
  <c r="E2414" i="4"/>
  <c r="E1451" i="4"/>
  <c r="B1754" i="4"/>
  <c r="E6107" i="4"/>
  <c r="B1359" i="4"/>
  <c r="E8086" i="4"/>
  <c r="E9257" i="4"/>
  <c r="E6354" i="4"/>
  <c r="E9209" i="4"/>
  <c r="B8225" i="4"/>
  <c r="E7352" i="4"/>
  <c r="E6445" i="4"/>
  <c r="E5705" i="4"/>
  <c r="B10467" i="4"/>
  <c r="E6947" i="4"/>
  <c r="E4060" i="4"/>
  <c r="B4328" i="4"/>
  <c r="B4880" i="4"/>
  <c r="B5289" i="4"/>
  <c r="E8708" i="4"/>
  <c r="B8427" i="4"/>
  <c r="E5890" i="4"/>
  <c r="E8622" i="4"/>
  <c r="B4781" i="4"/>
  <c r="B3715" i="4"/>
  <c r="B3584" i="4"/>
  <c r="E3068" i="4"/>
  <c r="B4450" i="4"/>
  <c r="E1572" i="4"/>
  <c r="E3525" i="4"/>
  <c r="E2609" i="4"/>
  <c r="B4840" i="4"/>
  <c r="E2723" i="4"/>
  <c r="E7054" i="4"/>
  <c r="B6597" i="4"/>
  <c r="B5756" i="4"/>
  <c r="B4363" i="4"/>
  <c r="E6925" i="4"/>
  <c r="E4525" i="4"/>
  <c r="E7854" i="4"/>
  <c r="B2199" i="4"/>
  <c r="E1760" i="4"/>
  <c r="E3889" i="4"/>
  <c r="B1860" i="4"/>
  <c r="B4350" i="4"/>
  <c r="B2972" i="4"/>
  <c r="E4869" i="4"/>
  <c r="B2478" i="4"/>
  <c r="E4222" i="4"/>
  <c r="B6856" i="4"/>
  <c r="E7211" i="4"/>
  <c r="B10118" i="4"/>
  <c r="B6646" i="4"/>
  <c r="B3885" i="4"/>
  <c r="B3435" i="4"/>
  <c r="E4014" i="4"/>
  <c r="E2452" i="4"/>
  <c r="E1190" i="4"/>
  <c r="E4890" i="4"/>
  <c r="E1901" i="4"/>
  <c r="E6170" i="4"/>
  <c r="B1012" i="4"/>
  <c r="E23" i="4"/>
  <c r="E8849" i="4"/>
  <c r="E8373" i="4"/>
  <c r="B6336" i="4"/>
  <c r="B9399" i="4"/>
  <c r="B5497" i="4"/>
  <c r="E9961" i="4"/>
  <c r="E7602" i="4"/>
  <c r="B9239" i="4"/>
  <c r="E7417" i="4"/>
  <c r="B5689" i="4"/>
  <c r="B8734" i="4"/>
  <c r="E5639" i="4"/>
  <c r="E5381" i="4"/>
  <c r="E6767" i="4"/>
  <c r="E5187" i="4"/>
  <c r="B4318" i="4"/>
  <c r="E5827" i="4"/>
  <c r="B6629" i="4"/>
  <c r="B4810" i="4"/>
  <c r="E7238" i="4"/>
  <c r="B3222" i="4"/>
  <c r="E2420" i="4"/>
  <c r="E7647" i="4"/>
  <c r="B4167" i="4"/>
  <c r="E3125" i="4"/>
  <c r="E5418" i="4"/>
  <c r="E3945" i="4"/>
  <c r="B6067" i="4"/>
  <c r="B5883" i="4"/>
  <c r="E5089" i="4"/>
  <c r="B3816" i="4"/>
  <c r="E4269" i="4"/>
  <c r="E3445" i="4"/>
  <c r="B3074" i="4"/>
  <c r="E4829" i="4"/>
  <c r="B2928" i="4"/>
  <c r="B6188" i="4"/>
  <c r="B1126" i="4"/>
  <c r="E6617" i="4"/>
  <c r="E2714" i="4"/>
  <c r="E621" i="4"/>
  <c r="B4304" i="4"/>
  <c r="E1480" i="4"/>
  <c r="B2974" i="4"/>
  <c r="E5762" i="4"/>
  <c r="B1895" i="4"/>
  <c r="B2024" i="4"/>
  <c r="B3716" i="4"/>
  <c r="E5217" i="4"/>
  <c r="E4192" i="4"/>
  <c r="B6272" i="4"/>
  <c r="E4938" i="4"/>
  <c r="B1672" i="4"/>
  <c r="E2456" i="4"/>
  <c r="B5053" i="4"/>
  <c r="B4169" i="4"/>
  <c r="B350" i="4"/>
  <c r="B1999" i="4"/>
  <c r="E1293" i="4"/>
  <c r="B816" i="4"/>
  <c r="B3128" i="4"/>
  <c r="E7090" i="4"/>
  <c r="B7132" i="4"/>
  <c r="B5814" i="4"/>
  <c r="E5457" i="4"/>
  <c r="B7115" i="4"/>
  <c r="E7683" i="4"/>
  <c r="B5691" i="4"/>
  <c r="B7380" i="4"/>
  <c r="B7109" i="4"/>
  <c r="E7414" i="4"/>
  <c r="E3535" i="4"/>
  <c r="B4224" i="4"/>
  <c r="E2683" i="4"/>
  <c r="B5795" i="4"/>
  <c r="E6265" i="4"/>
  <c r="B7834" i="4"/>
  <c r="E5993" i="4"/>
  <c r="E7843" i="4"/>
  <c r="B4463" i="4"/>
  <c r="B2638" i="4"/>
  <c r="E4678" i="4"/>
  <c r="E3764" i="4"/>
  <c r="B3574" i="4"/>
  <c r="B1563" i="4"/>
  <c r="B2814" i="4"/>
  <c r="E4850" i="4"/>
  <c r="E7454" i="4"/>
  <c r="B3962" i="4"/>
  <c r="E6129" i="4"/>
  <c r="E5646" i="4"/>
  <c r="E6895" i="4"/>
  <c r="B3665" i="4"/>
  <c r="B6904" i="4"/>
  <c r="E3755" i="4"/>
  <c r="B5951" i="4"/>
  <c r="B1695" i="4"/>
  <c r="E955" i="4"/>
  <c r="B4082" i="4"/>
  <c r="B1162" i="4"/>
  <c r="E5146" i="4"/>
  <c r="E2317" i="4"/>
  <c r="B4172" i="4"/>
  <c r="E2684" i="4"/>
  <c r="B3030" i="4"/>
  <c r="E4826" i="4"/>
  <c r="B4990" i="4"/>
  <c r="E7661" i="4"/>
  <c r="B3183" i="4"/>
  <c r="B3630" i="4"/>
  <c r="B4417" i="4"/>
  <c r="B4655" i="4"/>
  <c r="E2610" i="4"/>
  <c r="E1928" i="4"/>
  <c r="B3533" i="4"/>
  <c r="E1225" i="4"/>
  <c r="B5486" i="4"/>
  <c r="B2210" i="4"/>
  <c r="B984" i="4"/>
  <c r="E6160" i="4"/>
  <c r="E8109" i="4"/>
  <c r="E9475" i="4"/>
  <c r="E6667" i="4"/>
  <c r="B5075" i="4"/>
  <c r="B8150" i="4"/>
  <c r="E8977" i="4"/>
  <c r="B5811" i="4"/>
  <c r="B6542" i="4"/>
  <c r="E6569" i="4"/>
  <c r="B6978" i="4"/>
  <c r="B6693" i="4"/>
  <c r="E6496" i="4"/>
  <c r="E5864" i="4"/>
  <c r="B6585" i="4"/>
  <c r="E5404" i="4"/>
  <c r="E8434" i="4"/>
  <c r="E6492" i="4"/>
  <c r="E9539" i="4"/>
  <c r="E6488" i="4"/>
  <c r="B4548" i="4"/>
  <c r="E9061" i="4"/>
  <c r="B2384" i="4"/>
  <c r="B4586" i="4"/>
  <c r="E3660" i="4"/>
  <c r="B5603" i="4"/>
  <c r="E3006" i="4"/>
  <c r="B4295" i="4"/>
  <c r="E8152" i="4"/>
  <c r="B4009" i="4"/>
  <c r="E5283" i="4"/>
  <c r="E4939" i="4"/>
  <c r="E7551" i="4"/>
  <c r="E4238" i="4"/>
  <c r="E4842" i="4"/>
  <c r="E4772" i="4"/>
  <c r="B3320" i="4"/>
  <c r="B2358" i="4"/>
  <c r="B6695" i="4"/>
  <c r="E3571" i="4"/>
  <c r="E237" i="4"/>
  <c r="B3355" i="4"/>
  <c r="E878" i="4"/>
  <c r="E2343" i="4"/>
  <c r="E5790" i="4"/>
  <c r="B3773" i="4"/>
  <c r="B5238" i="4"/>
  <c r="E4220" i="4"/>
  <c r="B3162" i="4"/>
  <c r="B4564" i="4"/>
  <c r="E6003" i="4"/>
  <c r="E2895" i="4"/>
  <c r="E3250" i="4"/>
  <c r="B3782" i="4"/>
  <c r="B4149" i="4"/>
  <c r="E2948" i="4"/>
  <c r="E3750" i="4"/>
  <c r="B2671" i="4"/>
  <c r="B1908" i="4"/>
  <c r="B1011" i="4"/>
  <c r="B1983" i="4"/>
  <c r="E7121" i="4"/>
  <c r="E7968" i="4"/>
  <c r="B6088" i="4"/>
  <c r="B5232" i="4"/>
  <c r="B6218" i="4"/>
  <c r="E6923" i="4"/>
  <c r="E6729" i="4"/>
  <c r="E7548" i="4"/>
  <c r="E10162" i="4"/>
  <c r="E5651" i="4"/>
  <c r="E4397" i="4"/>
  <c r="B2900" i="4"/>
  <c r="B3376" i="4"/>
  <c r="B7355" i="4"/>
  <c r="B6244" i="4"/>
  <c r="B7032" i="4"/>
  <c r="E5597" i="4"/>
  <c r="B7862" i="4"/>
  <c r="E4382" i="4"/>
  <c r="E3714" i="4"/>
  <c r="E4698" i="4"/>
  <c r="E2412" i="4"/>
  <c r="E4376" i="4"/>
  <c r="B935" i="4"/>
  <c r="E4043" i="4"/>
  <c r="E5112" i="4"/>
  <c r="E8106" i="4"/>
  <c r="B8447" i="4"/>
  <c r="E7289" i="4"/>
  <c r="B5857" i="4"/>
  <c r="B8259" i="4"/>
  <c r="B8882" i="4"/>
  <c r="E6149" i="4"/>
  <c r="E5191" i="4"/>
  <c r="E5166" i="4"/>
  <c r="B6195" i="4"/>
  <c r="E5617" i="4"/>
  <c r="B7394" i="4"/>
  <c r="E6241" i="4"/>
  <c r="E4352" i="4"/>
  <c r="B4293" i="4"/>
  <c r="B4370" i="4"/>
  <c r="B6095" i="4"/>
  <c r="B8637" i="4"/>
  <c r="B7368" i="4"/>
  <c r="B5765" i="4"/>
  <c r="E8560" i="4"/>
  <c r="B2000" i="4"/>
  <c r="B3737" i="4"/>
  <c r="B2622" i="4"/>
  <c r="B4158" i="4"/>
  <c r="B2503" i="4"/>
  <c r="E4866" i="4"/>
  <c r="E9516" i="4"/>
  <c r="E7787" i="4"/>
  <c r="E8354" i="4"/>
  <c r="B6006" i="4"/>
  <c r="E8343" i="4"/>
  <c r="E8646" i="4"/>
  <c r="B4786" i="4"/>
  <c r="E4157" i="4"/>
  <c r="B6345" i="4"/>
  <c r="B7826" i="4"/>
  <c r="E3872" i="4"/>
  <c r="E4473" i="4"/>
  <c r="E5414" i="4"/>
  <c r="E6223" i="4"/>
  <c r="E8035" i="4"/>
  <c r="E6072" i="4"/>
  <c r="E7553" i="4"/>
  <c r="B5373" i="4"/>
  <c r="B9079" i="4"/>
  <c r="B1816" i="4"/>
  <c r="B6550" i="4"/>
  <c r="E3695" i="4"/>
  <c r="E3994" i="4"/>
  <c r="E3390" i="4"/>
  <c r="B4912" i="4"/>
  <c r="E3136" i="4"/>
  <c r="E4024" i="4"/>
  <c r="E6475" i="4"/>
  <c r="E7520" i="4"/>
  <c r="E6460" i="4"/>
  <c r="B6063" i="4"/>
  <c r="E6338" i="4"/>
  <c r="E10030" i="4"/>
  <c r="B5993" i="4"/>
  <c r="B7809" i="4"/>
  <c r="E7750" i="4"/>
  <c r="B5100" i="4"/>
  <c r="B3013" i="4"/>
  <c r="B3566" i="4"/>
  <c r="E4194" i="4"/>
  <c r="B4918" i="4"/>
  <c r="E5668" i="4"/>
  <c r="E9152" i="4"/>
  <c r="E5717" i="4"/>
  <c r="E7753" i="4"/>
  <c r="E5502" i="4"/>
  <c r="E2541" i="4"/>
  <c r="B5784" i="4"/>
  <c r="E4662" i="4"/>
  <c r="B5848" i="4"/>
  <c r="E2113" i="4"/>
  <c r="E4357" i="4"/>
  <c r="B3723" i="4"/>
  <c r="E10328" i="4"/>
  <c r="B9011" i="4"/>
  <c r="B6764" i="4"/>
  <c r="B8690" i="4"/>
  <c r="B8216" i="4"/>
  <c r="B6981" i="4"/>
  <c r="E7455" i="4"/>
  <c r="E3900" i="4"/>
  <c r="E8441" i="4"/>
  <c r="E5065" i="4"/>
  <c r="E8927" i="4"/>
  <c r="B5933" i="4"/>
  <c r="E7562" i="4"/>
  <c r="E7171" i="4"/>
  <c r="B5621" i="4"/>
  <c r="B6525" i="4"/>
  <c r="E6369" i="4"/>
  <c r="E6006" i="4"/>
  <c r="B6050" i="4"/>
  <c r="B5563" i="4"/>
  <c r="B6933" i="4"/>
  <c r="E4149" i="4"/>
  <c r="E5778" i="4"/>
  <c r="E1887" i="4"/>
  <c r="B6096" i="4"/>
  <c r="E2775" i="4"/>
  <c r="E7427" i="4"/>
  <c r="B10123" i="4"/>
  <c r="B9606" i="4"/>
  <c r="B9080" i="4"/>
  <c r="B8407" i="4"/>
  <c r="B5937" i="4"/>
  <c r="E8732" i="4"/>
  <c r="B8301" i="4"/>
  <c r="E5136" i="4"/>
  <c r="E8543" i="4"/>
  <c r="B6996" i="4"/>
  <c r="B7776" i="4"/>
  <c r="B5585" i="4"/>
  <c r="B6390" i="4"/>
  <c r="E5577" i="4"/>
  <c r="E6237" i="4"/>
  <c r="E6608" i="4"/>
  <c r="B5256" i="4"/>
  <c r="B6066" i="4"/>
  <c r="B5534" i="4"/>
  <c r="E4719" i="4"/>
  <c r="E3000" i="4"/>
  <c r="E3756" i="4"/>
  <c r="B4692" i="4"/>
  <c r="E1695" i="4"/>
  <c r="E4683" i="4"/>
  <c r="B2560" i="4"/>
  <c r="E5845" i="4"/>
  <c r="E10727" i="4"/>
  <c r="B7016" i="4"/>
  <c r="E8012" i="4"/>
  <c r="B6014" i="4"/>
  <c r="B6451" i="4"/>
  <c r="E7699" i="4"/>
  <c r="B8562" i="4"/>
  <c r="E7946" i="4"/>
  <c r="E6304" i="4"/>
  <c r="B8469" i="4"/>
  <c r="B7062" i="4"/>
  <c r="E6212" i="4"/>
  <c r="E6572" i="4"/>
  <c r="E5211" i="4"/>
  <c r="B6985" i="4"/>
  <c r="B4981" i="4"/>
  <c r="E7751" i="4"/>
  <c r="B4921" i="4"/>
  <c r="E4837" i="4"/>
  <c r="B3588" i="4"/>
  <c r="B978" i="4"/>
  <c r="B5423" i="4"/>
  <c r="B4991" i="4"/>
  <c r="B2511" i="4"/>
  <c r="E4358" i="4"/>
  <c r="B1600" i="4"/>
  <c r="E5887" i="4"/>
  <c r="E4658" i="4"/>
  <c r="B6199" i="4"/>
  <c r="E5035" i="4"/>
  <c r="B3808" i="4"/>
  <c r="E6187" i="4"/>
  <c r="B3426" i="4"/>
  <c r="B4184" i="4"/>
  <c r="B2359" i="4"/>
  <c r="E4234" i="4"/>
  <c r="E3724" i="4"/>
  <c r="B829" i="4"/>
  <c r="B2191" i="4"/>
  <c r="B1746" i="4"/>
  <c r="E3586" i="4"/>
  <c r="E1462" i="4"/>
  <c r="B3195" i="4"/>
  <c r="B2187" i="4"/>
  <c r="E1831" i="4"/>
  <c r="B6243" i="4"/>
  <c r="B5789" i="4"/>
  <c r="B8041" i="4"/>
  <c r="B5670" i="4"/>
  <c r="B7559" i="4"/>
  <c r="B4717" i="4"/>
  <c r="E4977" i="4"/>
  <c r="B8909" i="4"/>
  <c r="E8640" i="4"/>
  <c r="E5938" i="4"/>
  <c r="E1703" i="4"/>
  <c r="B2723" i="4"/>
  <c r="B3490" i="4"/>
  <c r="B5708" i="4"/>
  <c r="E4995" i="4"/>
  <c r="B4600" i="4"/>
  <c r="B5962" i="4"/>
  <c r="E3563" i="4"/>
  <c r="E4315" i="4"/>
  <c r="B3424" i="4"/>
  <c r="B2220" i="4"/>
  <c r="E3514" i="4"/>
  <c r="B1457" i="4"/>
  <c r="B1776" i="4"/>
  <c r="B3780" i="4"/>
  <c r="E1170" i="4"/>
  <c r="E9532" i="4"/>
  <c r="B7583" i="4"/>
  <c r="E7074" i="4"/>
  <c r="B5070" i="4"/>
  <c r="E3496" i="4"/>
  <c r="B4656" i="4"/>
  <c r="E1713" i="4"/>
  <c r="E4669" i="4"/>
  <c r="E3379" i="4"/>
  <c r="E5406" i="4"/>
  <c r="B1214" i="4"/>
  <c r="E1355" i="4"/>
  <c r="E4100" i="4"/>
  <c r="E952" i="4"/>
  <c r="B8772" i="4"/>
  <c r="B2177" i="4"/>
  <c r="E835" i="4"/>
  <c r="E6074" i="4"/>
  <c r="E2286" i="4"/>
  <c r="B673" i="4"/>
  <c r="E5214" i="4"/>
  <c r="E5866" i="4"/>
  <c r="E2817" i="4"/>
  <c r="B5451" i="4"/>
  <c r="E4405" i="4"/>
  <c r="E4304" i="4"/>
  <c r="E4724" i="4"/>
  <c r="E3198" i="4"/>
  <c r="E5447" i="4"/>
  <c r="B1567" i="4"/>
  <c r="E2277" i="4"/>
  <c r="E1393" i="4"/>
  <c r="E4298" i="4"/>
  <c r="E1163" i="4"/>
  <c r="B1109" i="4"/>
  <c r="E3601" i="4"/>
  <c r="E126" i="4"/>
  <c r="B1628" i="4"/>
  <c r="E1937" i="4"/>
  <c r="B2009" i="4"/>
  <c r="E671" i="4"/>
  <c r="E2854" i="4"/>
  <c r="E9110" i="4"/>
  <c r="B8271" i="4"/>
  <c r="B6581" i="4"/>
  <c r="B6557" i="4"/>
  <c r="E9544" i="4"/>
  <c r="E3356" i="4"/>
  <c r="E7523" i="4"/>
  <c r="B5930" i="4"/>
  <c r="B4858" i="4"/>
  <c r="E5693" i="4"/>
  <c r="B3567" i="4"/>
  <c r="B4775" i="4"/>
  <c r="B5614" i="4"/>
  <c r="B4741" i="4"/>
  <c r="E4932" i="4"/>
  <c r="E3455" i="4"/>
  <c r="E5881" i="4"/>
  <c r="B4457" i="4"/>
  <c r="B5218" i="4"/>
  <c r="E6998" i="4"/>
  <c r="E2788" i="4"/>
  <c r="B4465" i="4"/>
  <c r="B4705" i="4"/>
  <c r="B5940" i="4"/>
  <c r="E5781" i="4"/>
  <c r="B3619" i="4"/>
  <c r="E2335" i="4"/>
  <c r="E4333" i="4"/>
  <c r="B1879" i="4"/>
  <c r="B3182" i="4"/>
  <c r="B7399" i="4"/>
  <c r="E5994" i="4"/>
  <c r="B3350" i="4"/>
  <c r="B1110" i="4"/>
  <c r="B3733" i="4"/>
  <c r="B325" i="4"/>
  <c r="B1289" i="4"/>
  <c r="E90" i="4"/>
  <c r="B3341" i="4"/>
  <c r="B173" i="4"/>
  <c r="B177" i="4"/>
  <c r="E2502" i="4"/>
  <c r="B1738" i="4"/>
  <c r="B668" i="4"/>
  <c r="B3143" i="4"/>
  <c r="B2562" i="4"/>
  <c r="E5329" i="4"/>
  <c r="E2838" i="4"/>
  <c r="B5727" i="4"/>
  <c r="B4727" i="4"/>
  <c r="E4338" i="4"/>
  <c r="E4733" i="4"/>
  <c r="B3230" i="4"/>
  <c r="B5725" i="4"/>
  <c r="B4113" i="4"/>
  <c r="B317" i="4"/>
  <c r="E2967" i="4"/>
  <c r="E1154" i="4"/>
  <c r="E4711" i="4"/>
  <c r="E2871" i="4"/>
  <c r="E1286" i="4"/>
  <c r="B1731" i="4"/>
  <c r="B3823" i="4"/>
  <c r="B3580" i="4"/>
  <c r="E8775" i="4"/>
  <c r="B6349" i="4"/>
  <c r="B8014" i="4"/>
  <c r="E6394" i="4"/>
  <c r="B5688" i="4"/>
  <c r="B4239" i="4"/>
  <c r="E6014" i="4"/>
  <c r="B8787" i="4"/>
  <c r="B6612" i="4"/>
  <c r="B3595" i="4"/>
  <c r="E3719" i="4"/>
  <c r="B3571" i="4"/>
  <c r="E2606" i="4"/>
  <c r="E5666" i="4"/>
  <c r="B5369" i="4"/>
  <c r="B5421" i="4"/>
  <c r="E4260" i="4"/>
  <c r="B4580" i="4"/>
  <c r="E3481" i="4"/>
  <c r="E5916" i="4"/>
  <c r="E1479" i="4"/>
  <c r="B3787" i="4"/>
  <c r="E3099" i="4"/>
  <c r="B3813" i="4"/>
  <c r="E4306" i="4"/>
  <c r="B2788" i="4"/>
  <c r="B5732" i="4"/>
  <c r="E6033" i="4"/>
  <c r="B7358" i="4"/>
  <c r="B4670" i="4"/>
  <c r="E6219" i="4"/>
  <c r="B4385" i="4"/>
  <c r="B995" i="4"/>
  <c r="B5394" i="4"/>
  <c r="E1945" i="4"/>
  <c r="B5111" i="4"/>
  <c r="E1586" i="4"/>
  <c r="E1217" i="4"/>
  <c r="E4047" i="4"/>
  <c r="B4820" i="4"/>
  <c r="E7556" i="4"/>
  <c r="E1206" i="4"/>
  <c r="E132" i="4"/>
  <c r="B4046" i="4"/>
  <c r="E3140" i="4"/>
  <c r="E2246" i="4"/>
  <c r="B4324" i="4"/>
  <c r="E4809" i="4"/>
  <c r="B1651" i="4"/>
  <c r="B3652" i="4"/>
  <c r="E3303" i="4"/>
  <c r="B3474" i="4"/>
  <c r="B5643" i="4"/>
  <c r="E1700" i="4"/>
  <c r="E3468" i="4"/>
  <c r="B845" i="4"/>
  <c r="B1299" i="4"/>
  <c r="B449" i="4"/>
  <c r="B2112" i="4"/>
  <c r="E52" i="4"/>
  <c r="E1083" i="4"/>
  <c r="B1037" i="4"/>
  <c r="E1834" i="4"/>
  <c r="B10083" i="4"/>
  <c r="E7502" i="4"/>
  <c r="B6532" i="4"/>
  <c r="B7660" i="4"/>
  <c r="E7997" i="4"/>
  <c r="B10205" i="4"/>
  <c r="B8245" i="4"/>
  <c r="B6220" i="4"/>
  <c r="B6739" i="4"/>
  <c r="E5870" i="4"/>
  <c r="E5804" i="4"/>
  <c r="E6707" i="4"/>
  <c r="E6691" i="4"/>
  <c r="B1208" i="4"/>
  <c r="E3424" i="4"/>
  <c r="E4832" i="4"/>
  <c r="B3464" i="4"/>
  <c r="E7398" i="4"/>
  <c r="B6438" i="4"/>
  <c r="B2167" i="4"/>
  <c r="B3383" i="4"/>
  <c r="E839" i="4"/>
  <c r="B1919" i="4"/>
  <c r="E2084" i="4"/>
  <c r="E2958" i="4"/>
  <c r="B2718" i="4"/>
  <c r="B4283" i="4"/>
  <c r="E5435" i="4"/>
  <c r="E3769" i="4"/>
  <c r="B5427" i="4"/>
  <c r="E4738" i="4"/>
  <c r="B3666" i="4"/>
  <c r="B3654" i="4"/>
  <c r="E1784" i="4"/>
  <c r="E5252" i="4"/>
  <c r="B1234" i="4"/>
  <c r="B2352" i="4"/>
  <c r="E2169" i="4"/>
  <c r="E271" i="4"/>
  <c r="E1397" i="4"/>
  <c r="E243" i="4"/>
  <c r="E4810" i="4"/>
  <c r="E2310" i="4"/>
  <c r="E180" i="4"/>
  <c r="E2519" i="4"/>
  <c r="B1112" i="4"/>
  <c r="E1548" i="4"/>
  <c r="E4878" i="4"/>
  <c r="E4451" i="4"/>
  <c r="E4761" i="4"/>
  <c r="E3378" i="4"/>
  <c r="B3690" i="4"/>
  <c r="B4229" i="4"/>
  <c r="E5018" i="4"/>
  <c r="E5567" i="4"/>
  <c r="E2998" i="4"/>
  <c r="B3749" i="4"/>
  <c r="E5193" i="4"/>
  <c r="E394" i="4"/>
  <c r="E2050" i="4"/>
  <c r="E710" i="4"/>
  <c r="E3301" i="4"/>
  <c r="E949" i="4"/>
  <c r="E4182" i="4"/>
  <c r="B10518" i="4"/>
  <c r="E6123" i="4"/>
  <c r="B6735" i="4"/>
  <c r="E5830" i="4"/>
  <c r="B7291" i="4"/>
  <c r="E6199" i="4"/>
  <c r="B5683" i="4"/>
  <c r="E4803" i="4"/>
  <c r="B6136" i="4"/>
  <c r="E7181" i="4"/>
  <c r="B5243" i="4"/>
  <c r="B5707" i="4"/>
  <c r="E4200" i="4"/>
  <c r="B6319" i="4"/>
  <c r="B8086" i="4"/>
  <c r="B4001" i="4"/>
  <c r="E6669" i="4"/>
  <c r="B4997" i="4"/>
  <c r="E3504" i="4"/>
  <c r="E3588" i="4"/>
  <c r="B3590" i="4"/>
  <c r="B3088" i="4"/>
  <c r="E2554" i="4"/>
  <c r="B3913" i="4"/>
  <c r="E3207" i="4"/>
  <c r="B4598" i="4"/>
  <c r="E6519" i="4"/>
  <c r="E3855" i="4"/>
  <c r="E3150" i="4"/>
  <c r="B2256" i="4"/>
  <c r="E2535" i="4"/>
  <c r="B3160" i="4"/>
  <c r="B2279" i="4"/>
  <c r="E517" i="4"/>
  <c r="E2623" i="4"/>
  <c r="E1852" i="4"/>
  <c r="E2478" i="4"/>
  <c r="B809" i="4"/>
  <c r="B4836" i="4"/>
  <c r="E1573" i="4"/>
  <c r="E2518" i="4"/>
  <c r="B3316" i="4"/>
  <c r="E3211" i="4"/>
  <c r="E217" i="4"/>
  <c r="E2403" i="4"/>
  <c r="B756" i="4"/>
  <c r="E1445" i="4"/>
  <c r="E3763" i="4"/>
  <c r="E3340" i="4"/>
  <c r="E3533" i="4"/>
  <c r="B5677" i="4"/>
  <c r="E1742" i="4"/>
  <c r="E3532" i="4"/>
  <c r="E2573" i="4"/>
  <c r="E4248" i="4"/>
  <c r="B1375" i="4"/>
  <c r="E3490" i="4"/>
  <c r="E381" i="4"/>
  <c r="E656" i="4"/>
  <c r="E975" i="4"/>
  <c r="E2843" i="4"/>
  <c r="B3133" i="4"/>
  <c r="E2202" i="4"/>
  <c r="E3387" i="4"/>
  <c r="E7522" i="4"/>
  <c r="E7360" i="4"/>
  <c r="B8448" i="4"/>
  <c r="E4781" i="4"/>
  <c r="B5673" i="4"/>
  <c r="B8507" i="4"/>
  <c r="B8064" i="4"/>
  <c r="E4762" i="4"/>
  <c r="E8274" i="4"/>
  <c r="B4606" i="4"/>
  <c r="E3587" i="4"/>
  <c r="B3008" i="4"/>
  <c r="B4338" i="4"/>
  <c r="B2716" i="4"/>
  <c r="B5241" i="4"/>
  <c r="B3931" i="4"/>
  <c r="B7719" i="4"/>
  <c r="E4363" i="4"/>
  <c r="E2908" i="4"/>
  <c r="B5941" i="4"/>
  <c r="E2458" i="4"/>
  <c r="E4190" i="4"/>
  <c r="B1416" i="4"/>
  <c r="E3868" i="4"/>
  <c r="B8846" i="4"/>
  <c r="B3102" i="4"/>
  <c r="E3237" i="4"/>
  <c r="B2391" i="4"/>
  <c r="E5511" i="4"/>
  <c r="B7053" i="4"/>
  <c r="E6870" i="4"/>
  <c r="B5181" i="4"/>
  <c r="E6527" i="4"/>
  <c r="E9490" i="4"/>
  <c r="E6670" i="4"/>
  <c r="B6497" i="4"/>
  <c r="E6215" i="4"/>
  <c r="E5588" i="4"/>
  <c r="E8591" i="4"/>
  <c r="E9849" i="4"/>
  <c r="B7631" i="4"/>
  <c r="E4881" i="4"/>
  <c r="E3383" i="4"/>
  <c r="E4217" i="4"/>
  <c r="E4477" i="4"/>
  <c r="E4716" i="4"/>
  <c r="E4988" i="4"/>
  <c r="B4446" i="4"/>
  <c r="E4612" i="4"/>
  <c r="B2312" i="4"/>
  <c r="B2699" i="4"/>
  <c r="B4207" i="4"/>
  <c r="B2142" i="4"/>
  <c r="E3373" i="4"/>
  <c r="B510" i="4"/>
  <c r="E2794" i="4"/>
  <c r="B2756" i="4"/>
  <c r="E9470" i="4"/>
  <c r="B5366" i="4"/>
  <c r="E4998" i="4"/>
  <c r="E4218" i="4"/>
  <c r="B7020" i="4"/>
  <c r="B4054" i="4"/>
  <c r="E10293" i="4"/>
  <c r="B8065" i="4"/>
  <c r="B7550" i="4"/>
  <c r="B7546" i="4"/>
  <c r="E6653" i="4"/>
  <c r="B8571" i="4"/>
  <c r="B9472" i="4"/>
  <c r="E8906" i="4"/>
  <c r="B5470" i="4"/>
  <c r="B5932" i="4"/>
  <c r="E605" i="4"/>
  <c r="E3363" i="4"/>
  <c r="B10122" i="4"/>
  <c r="E7108" i="4"/>
  <c r="E5247" i="4"/>
  <c r="E3118" i="4"/>
  <c r="E6521" i="4"/>
  <c r="E4815" i="4"/>
  <c r="B4707" i="4"/>
  <c r="B10106" i="4"/>
  <c r="E8656" i="4"/>
  <c r="E568" i="4"/>
  <c r="E5725" i="4"/>
  <c r="E367" i="4"/>
  <c r="E2762" i="4"/>
  <c r="E2408" i="4"/>
  <c r="E1545" i="4"/>
  <c r="B3253" i="4"/>
  <c r="E9866" i="4"/>
  <c r="E5188" i="4"/>
  <c r="B3614" i="4"/>
  <c r="E5473" i="4"/>
  <c r="B2504" i="4"/>
  <c r="B3806" i="4"/>
  <c r="B8916" i="4"/>
  <c r="B6305" i="4"/>
  <c r="B8537" i="4"/>
  <c r="E7532" i="4"/>
  <c r="E4670" i="4"/>
  <c r="E5028" i="4"/>
  <c r="E6406" i="4"/>
  <c r="E3127" i="4"/>
  <c r="E7648" i="4"/>
  <c r="B3868" i="4"/>
  <c r="E7112" i="4"/>
  <c r="B6092" i="4"/>
  <c r="B3201" i="4"/>
  <c r="B7447" i="4"/>
  <c r="B4340" i="4"/>
  <c r="E6859" i="4"/>
  <c r="B6100" i="4"/>
  <c r="E2907" i="4"/>
  <c r="E2590" i="4"/>
  <c r="E3166" i="4"/>
  <c r="E4431" i="4"/>
  <c r="E3596" i="4"/>
  <c r="E5475" i="4"/>
  <c r="B10250" i="4"/>
  <c r="B6609" i="4"/>
  <c r="E8141" i="4"/>
  <c r="B4911" i="4"/>
  <c r="E5245" i="4"/>
  <c r="B5799" i="4"/>
  <c r="E4626" i="4"/>
  <c r="B8126" i="4"/>
  <c r="B5092" i="4"/>
  <c r="B4932" i="4"/>
  <c r="E3589" i="4"/>
  <c r="B2446" i="4"/>
  <c r="E1134" i="4"/>
  <c r="B4267" i="4"/>
  <c r="B2826" i="4"/>
  <c r="E5807" i="4"/>
  <c r="B7572" i="4"/>
  <c r="B8418" i="4"/>
  <c r="E6203" i="4"/>
  <c r="E7274" i="4"/>
  <c r="B7907" i="4"/>
  <c r="B3090" i="4"/>
  <c r="B8520" i="4"/>
  <c r="B8441" i="4"/>
  <c r="B1235" i="4"/>
  <c r="E4635" i="4"/>
  <c r="E5594" i="4"/>
  <c r="E4290" i="4"/>
  <c r="E4707" i="4"/>
  <c r="B4527" i="4"/>
  <c r="E3192" i="4"/>
  <c r="B2320" i="4"/>
  <c r="E1363" i="4"/>
  <c r="E3291" i="4"/>
  <c r="B8205" i="4"/>
  <c r="B2849" i="4"/>
  <c r="B2048" i="4"/>
  <c r="E5345" i="4"/>
  <c r="B3789" i="4"/>
  <c r="B5480" i="4"/>
  <c r="B4760" i="4"/>
  <c r="E3675" i="4"/>
  <c r="B3796" i="4"/>
  <c r="B6982" i="4"/>
  <c r="E8077" i="4"/>
  <c r="E7218" i="4"/>
  <c r="B4088" i="4"/>
  <c r="B5720" i="4"/>
  <c r="B8741" i="4"/>
  <c r="B6950" i="4"/>
  <c r="E5179" i="4"/>
  <c r="E7278" i="4"/>
  <c r="E6080" i="4"/>
  <c r="B3597" i="4"/>
  <c r="B1992" i="4"/>
  <c r="E4041" i="4"/>
  <c r="B9003" i="4"/>
  <c r="B5927" i="4"/>
  <c r="B8980" i="4"/>
  <c r="B5151" i="4"/>
  <c r="B4589" i="4"/>
  <c r="B3266" i="4"/>
  <c r="E5635" i="4"/>
  <c r="B2278" i="4"/>
  <c r="E4774" i="4"/>
  <c r="B2242" i="4"/>
  <c r="E4395" i="4"/>
  <c r="E5113" i="4"/>
  <c r="B2201" i="4"/>
  <c r="B2631" i="4"/>
  <c r="E3441" i="4"/>
  <c r="E6844" i="4"/>
  <c r="B6459" i="4"/>
  <c r="E5063" i="4"/>
  <c r="B9327" i="4"/>
  <c r="E8272" i="4"/>
  <c r="E6284" i="4"/>
  <c r="B7166" i="4"/>
  <c r="B7071" i="4"/>
  <c r="E6985" i="4"/>
  <c r="B5400" i="4"/>
  <c r="E5354" i="4"/>
  <c r="E7728" i="4"/>
  <c r="B8471" i="4"/>
  <c r="B1591" i="4"/>
  <c r="E6549" i="4"/>
  <c r="E6205" i="4"/>
  <c r="E9530" i="4"/>
  <c r="B4549" i="4"/>
  <c r="B5126" i="4"/>
  <c r="B2676" i="4"/>
  <c r="B5072" i="4"/>
  <c r="B5020" i="4"/>
  <c r="E3641" i="4"/>
  <c r="E1863" i="4"/>
  <c r="E1465" i="4"/>
  <c r="B2621" i="4"/>
  <c r="E5844" i="4"/>
  <c r="B3360" i="4"/>
  <c r="E3522" i="4"/>
  <c r="E3798" i="4"/>
  <c r="B3535" i="4"/>
  <c r="B4652" i="4"/>
  <c r="B4189" i="4"/>
  <c r="B5525" i="4"/>
  <c r="B1960" i="4"/>
  <c r="B6328" i="4"/>
  <c r="B6463" i="4"/>
  <c r="E5148" i="4"/>
  <c r="B9498" i="4"/>
  <c r="E3777" i="4"/>
  <c r="B3137" i="4"/>
  <c r="E6022" i="4"/>
  <c r="E5524" i="4"/>
  <c r="E3926" i="4"/>
  <c r="B4056" i="4"/>
  <c r="E3958" i="4"/>
  <c r="B2056" i="4"/>
  <c r="E1516" i="4"/>
  <c r="E6504" i="4"/>
  <c r="E4969" i="4"/>
  <c r="E4139" i="4"/>
  <c r="E5581" i="4"/>
  <c r="B2624" i="4"/>
  <c r="E954" i="4"/>
  <c r="E1646" i="4"/>
  <c r="E185" i="4"/>
  <c r="B774" i="4"/>
  <c r="E540" i="4"/>
  <c r="B1974" i="4"/>
  <c r="B1312" i="4"/>
  <c r="B3335" i="4"/>
  <c r="B896" i="4"/>
  <c r="E3073" i="4"/>
  <c r="E2717" i="4"/>
  <c r="B1680" i="4"/>
  <c r="E2439" i="4"/>
  <c r="B4297" i="4"/>
  <c r="B3755" i="4"/>
  <c r="B2247" i="4"/>
  <c r="B2361" i="4"/>
  <c r="B2314" i="4"/>
  <c r="B2858" i="4"/>
  <c r="B1293" i="4"/>
  <c r="E1338" i="4"/>
  <c r="E2041" i="4"/>
  <c r="B3129" i="4"/>
  <c r="E447" i="4"/>
  <c r="B4547" i="4"/>
  <c r="E448" i="4"/>
  <c r="E7183" i="4"/>
  <c r="B869" i="4"/>
  <c r="E1015" i="4"/>
  <c r="E5042" i="4"/>
  <c r="B2485" i="4"/>
  <c r="B5000" i="4"/>
  <c r="E651" i="4"/>
  <c r="B1853" i="4"/>
  <c r="B2555" i="4"/>
  <c r="B479" i="4"/>
  <c r="E6144" i="4"/>
  <c r="B364" i="4"/>
  <c r="B54" i="4"/>
  <c r="B1503" i="4"/>
  <c r="E2759" i="4"/>
  <c r="E3010" i="4"/>
  <c r="B2734" i="4"/>
  <c r="B1916" i="4"/>
  <c r="E5072" i="4"/>
  <c r="E2168" i="4"/>
  <c r="E8022" i="4"/>
  <c r="E3936" i="4"/>
  <c r="B4554" i="4"/>
  <c r="E5372" i="4"/>
  <c r="E1711" i="4"/>
  <c r="B5113" i="4"/>
  <c r="E5331" i="4"/>
  <c r="B5104" i="4"/>
  <c r="B4013" i="4"/>
  <c r="B3231" i="4"/>
  <c r="B2736" i="4"/>
  <c r="B2415" i="4"/>
  <c r="E6656" i="4"/>
  <c r="B6388" i="4"/>
  <c r="E5200" i="4"/>
  <c r="B4504" i="4"/>
  <c r="B2994" i="4"/>
  <c r="B2344" i="4"/>
  <c r="B709" i="4"/>
  <c r="B558" i="4"/>
  <c r="E775" i="4"/>
  <c r="B550" i="4"/>
  <c r="B1647" i="4"/>
  <c r="B2998" i="4"/>
  <c r="B617" i="4"/>
  <c r="E2476" i="4"/>
  <c r="E376" i="4"/>
  <c r="E3701" i="4"/>
  <c r="B2208" i="4"/>
  <c r="B3261" i="4"/>
  <c r="E1975" i="4"/>
  <c r="E3061" i="4"/>
  <c r="B2804" i="4"/>
  <c r="B1775" i="4"/>
  <c r="E1596" i="4"/>
  <c r="B3323" i="4"/>
  <c r="E1427" i="4"/>
  <c r="E2980" i="4"/>
  <c r="B1118" i="4"/>
  <c r="E896" i="4"/>
  <c r="E1911" i="4"/>
  <c r="E22" i="4"/>
  <c r="E3836" i="4"/>
  <c r="B3684" i="4"/>
  <c r="B6731" i="4"/>
  <c r="B2628" i="4"/>
  <c r="B2642" i="4"/>
  <c r="E2498" i="4"/>
  <c r="E3078" i="4"/>
  <c r="B5778" i="4"/>
  <c r="E2528" i="4"/>
  <c r="B1284" i="4"/>
  <c r="B2414" i="4"/>
  <c r="E60" i="4"/>
  <c r="B4427" i="4"/>
  <c r="B2547" i="4"/>
  <c r="B1340" i="4"/>
  <c r="B681" i="4"/>
  <c r="B3703" i="4"/>
  <c r="B1251" i="4"/>
  <c r="E3630" i="4"/>
  <c r="B8337" i="4"/>
  <c r="E7977" i="4"/>
  <c r="E6589" i="4"/>
  <c r="B4746" i="4"/>
  <c r="B7052" i="4"/>
  <c r="E5454" i="4"/>
  <c r="B3136" i="4"/>
  <c r="B4745" i="4"/>
  <c r="B8287" i="4"/>
  <c r="E4562" i="4"/>
  <c r="B3326" i="4"/>
  <c r="B3087" i="4"/>
  <c r="E2276" i="4"/>
  <c r="E3421" i="4"/>
  <c r="B1744" i="4"/>
  <c r="B2095" i="4"/>
  <c r="B4525" i="4"/>
  <c r="B2108" i="4"/>
  <c r="B3234" i="4"/>
  <c r="E4540" i="4"/>
  <c r="B2393" i="4"/>
  <c r="B5045" i="4"/>
  <c r="E2147" i="4"/>
  <c r="B4064" i="4"/>
  <c r="E789" i="4"/>
  <c r="E1898" i="4"/>
  <c r="E1379" i="4"/>
  <c r="B171" i="4"/>
  <c r="E2395" i="4"/>
  <c r="E2304" i="4"/>
  <c r="E3766" i="4"/>
  <c r="B3244" i="4"/>
  <c r="E2808" i="4"/>
  <c r="E1753" i="4"/>
  <c r="E2841" i="4"/>
  <c r="E2899" i="4"/>
  <c r="B1329" i="4"/>
  <c r="E4615" i="4"/>
  <c r="B1230" i="4"/>
  <c r="B2104" i="4"/>
  <c r="E696" i="4"/>
  <c r="E1650" i="4"/>
  <c r="B220" i="4"/>
  <c r="B1202" i="4"/>
  <c r="B1875" i="4"/>
  <c r="B3027" i="4"/>
  <c r="B2680" i="4"/>
  <c r="E92" i="4"/>
  <c r="E2258" i="4"/>
  <c r="B1551" i="4"/>
  <c r="E2982" i="4"/>
  <c r="E1878" i="4"/>
  <c r="B1430" i="4"/>
  <c r="B2571" i="4"/>
  <c r="B1716" i="4"/>
  <c r="E2298" i="4"/>
  <c r="E1218" i="4"/>
  <c r="E698" i="4"/>
  <c r="B1926" i="4"/>
  <c r="E1062" i="4"/>
  <c r="B848" i="4"/>
  <c r="B1024" i="4"/>
  <c r="B10009" i="4"/>
  <c r="E8056" i="4"/>
  <c r="B7219" i="4"/>
  <c r="B5642" i="4"/>
  <c r="E5698" i="4"/>
  <c r="B3519" i="4"/>
  <c r="E3001" i="4"/>
  <c r="E3057" i="4"/>
  <c r="B7280" i="4"/>
  <c r="B2032" i="4"/>
  <c r="B2991" i="4"/>
  <c r="E1741" i="4"/>
  <c r="E4694" i="4"/>
  <c r="B5134" i="4"/>
  <c r="B5437" i="4"/>
  <c r="E5060" i="4"/>
  <c r="B3213" i="4"/>
  <c r="B4519" i="4"/>
  <c r="B903" i="4"/>
  <c r="B2783" i="4"/>
  <c r="B274" i="4"/>
  <c r="B3069" i="4"/>
  <c r="E63" i="4"/>
  <c r="E1639" i="4"/>
  <c r="E1809" i="4"/>
  <c r="B3912" i="4"/>
  <c r="B286" i="4"/>
  <c r="B1525" i="4"/>
  <c r="B2329" i="4"/>
  <c r="E1361" i="4"/>
  <c r="B2341" i="4"/>
  <c r="E2738" i="4"/>
  <c r="E2912" i="4"/>
  <c r="B1753" i="4"/>
  <c r="E2173" i="4"/>
  <c r="B2939" i="4"/>
  <c r="B1440" i="4"/>
  <c r="E3265" i="4"/>
  <c r="B18" i="4"/>
  <c r="E1461" i="4"/>
  <c r="E2768" i="4"/>
  <c r="E69" i="4"/>
  <c r="E84" i="4"/>
  <c r="E4098" i="4"/>
  <c r="E148" i="4"/>
  <c r="E2816" i="4"/>
  <c r="B1108" i="4"/>
  <c r="B3542" i="4"/>
  <c r="E1023" i="4"/>
  <c r="E838" i="4"/>
  <c r="B1562" i="4"/>
  <c r="B2785" i="4"/>
  <c r="B1255" i="4"/>
  <c r="B2498" i="4"/>
  <c r="B67" i="4"/>
  <c r="E2148" i="4"/>
  <c r="E883" i="4"/>
  <c r="B339" i="4"/>
  <c r="E189" i="4"/>
  <c r="B80" i="4"/>
  <c r="E2690" i="4"/>
  <c r="B59" i="4"/>
  <c r="E6611" i="4"/>
  <c r="B3858" i="4"/>
  <c r="B3824" i="4"/>
  <c r="E7783" i="4"/>
  <c r="B6584" i="4"/>
  <c r="E3187" i="4"/>
  <c r="B4192" i="4"/>
  <c r="E4802" i="4"/>
  <c r="E4062" i="4"/>
  <c r="B3686" i="4"/>
  <c r="B5864" i="4"/>
  <c r="B4884" i="4"/>
  <c r="B5903" i="4"/>
  <c r="E2835" i="4"/>
  <c r="E3341" i="4"/>
  <c r="B4142" i="4"/>
  <c r="E1625" i="4"/>
  <c r="E3283" i="4"/>
  <c r="B2396" i="4"/>
  <c r="B823" i="4"/>
  <c r="E298" i="4"/>
  <c r="E2506" i="4"/>
  <c r="B631" i="4"/>
  <c r="E2660" i="4"/>
  <c r="E1183" i="4"/>
  <c r="B2343" i="4"/>
  <c r="B2679" i="4"/>
  <c r="E3960" i="4"/>
  <c r="B3728" i="4"/>
  <c r="E5122" i="4"/>
  <c r="B5733" i="4"/>
  <c r="E5551" i="4"/>
  <c r="B3455" i="4"/>
  <c r="E3319" i="4"/>
  <c r="B1573" i="4"/>
  <c r="E4045" i="4"/>
  <c r="E2800" i="4"/>
  <c r="B1668" i="4"/>
  <c r="B308" i="4"/>
  <c r="E1396" i="4"/>
  <c r="B1031" i="4"/>
  <c r="B755" i="4"/>
  <c r="B4182" i="4"/>
  <c r="E1556" i="4"/>
  <c r="E2294" i="4"/>
  <c r="E37" i="4"/>
  <c r="B3164" i="4"/>
  <c r="B1966" i="4"/>
  <c r="E2969" i="4"/>
  <c r="B827" i="4"/>
  <c r="E301" i="4"/>
  <c r="B887" i="4"/>
  <c r="E3364" i="4"/>
  <c r="E574" i="4"/>
  <c r="B4783" i="4"/>
  <c r="B491" i="4"/>
  <c r="E4103" i="4"/>
  <c r="E3419" i="4"/>
  <c r="E4943" i="4"/>
  <c r="E3527" i="4"/>
  <c r="E4775" i="4"/>
  <c r="E2136" i="4"/>
  <c r="B8215" i="4"/>
  <c r="B4916" i="4"/>
  <c r="E4776" i="4"/>
  <c r="B5875" i="4"/>
  <c r="E2734" i="4"/>
  <c r="E3861" i="4"/>
  <c r="E5550" i="4"/>
  <c r="B5318" i="4"/>
  <c r="E8489" i="4"/>
  <c r="E3082" i="4"/>
  <c r="B2552" i="4"/>
  <c r="E3115" i="4"/>
  <c r="B5190" i="4"/>
  <c r="E5014" i="4"/>
  <c r="E3647" i="4"/>
  <c r="B3799" i="4"/>
  <c r="B2058" i="4"/>
  <c r="E1919" i="4"/>
  <c r="B10043" i="4"/>
  <c r="B1617" i="4"/>
  <c r="E4828" i="4"/>
  <c r="B1603" i="4"/>
  <c r="B4186" i="4"/>
  <c r="B1900" i="4"/>
  <c r="E1595" i="4"/>
  <c r="B3954" i="4"/>
  <c r="B480" i="4"/>
  <c r="E3413" i="4"/>
  <c r="E6096" i="4"/>
  <c r="B5706" i="4"/>
  <c r="E4329" i="4"/>
  <c r="B6903" i="4"/>
  <c r="B2527" i="4"/>
  <c r="E3016" i="4"/>
  <c r="B6027" i="4"/>
  <c r="B7144" i="4"/>
  <c r="E7949" i="4"/>
  <c r="E4784" i="4"/>
  <c r="B2304" i="4"/>
  <c r="E3845" i="4"/>
  <c r="E5397" i="4"/>
  <c r="B3960" i="4"/>
  <c r="B2840" i="4"/>
  <c r="E2952" i="4"/>
  <c r="B1649" i="4"/>
  <c r="E3661" i="4"/>
  <c r="B7328" i="4"/>
  <c r="E1178" i="4"/>
  <c r="B4952" i="4"/>
  <c r="E1167" i="4"/>
  <c r="E87" i="4"/>
  <c r="E3165" i="4"/>
  <c r="B529" i="4"/>
  <c r="B4848" i="4"/>
  <c r="B123" i="4"/>
  <c r="E2511" i="4"/>
  <c r="E7214" i="4"/>
  <c r="E4233" i="4"/>
  <c r="B4697" i="4"/>
  <c r="B6625" i="4"/>
  <c r="B2143" i="4"/>
  <c r="E2016" i="4"/>
  <c r="B4132" i="4"/>
  <c r="B4424" i="4"/>
  <c r="B6676" i="4"/>
  <c r="E5097" i="4"/>
  <c r="E2359" i="4"/>
  <c r="B4640" i="4"/>
  <c r="E5859" i="4"/>
  <c r="E4361" i="4"/>
  <c r="B3223" i="4"/>
  <c r="E4380" i="4"/>
  <c r="E3278" i="4"/>
  <c r="B3139" i="4"/>
  <c r="E6559" i="4"/>
  <c r="B806" i="4"/>
  <c r="E6362" i="4"/>
  <c r="E797" i="4"/>
  <c r="E248" i="4"/>
  <c r="B2325" i="4"/>
  <c r="E2273" i="4"/>
  <c r="B3750" i="4"/>
  <c r="E2034" i="4"/>
  <c r="E2007" i="4"/>
  <c r="B6362" i="4"/>
  <c r="B3998" i="4"/>
  <c r="B4389" i="4"/>
  <c r="B5401" i="4"/>
  <c r="B1951" i="4"/>
  <c r="E1376" i="4"/>
  <c r="E5110" i="4"/>
  <c r="E3992" i="4"/>
  <c r="B7676" i="4"/>
  <c r="E4107" i="4"/>
  <c r="E2127" i="4"/>
  <c r="E3519" i="4"/>
  <c r="E5020" i="4"/>
  <c r="B5463" i="4"/>
  <c r="B5140" i="4"/>
  <c r="B3526" i="4"/>
  <c r="E2500" i="4"/>
  <c r="E2697" i="4"/>
  <c r="B6213" i="4"/>
  <c r="E581" i="4"/>
  <c r="B5201" i="4"/>
  <c r="E573" i="4"/>
  <c r="E288" i="4"/>
  <c r="B1878" i="4"/>
  <c r="E578" i="4"/>
  <c r="E2648" i="4"/>
  <c r="E1253" i="4"/>
  <c r="E4879" i="4"/>
  <c r="B6923" i="4"/>
  <c r="B5361" i="4"/>
  <c r="B4094" i="4"/>
  <c r="E4924" i="4"/>
  <c r="B1759" i="4"/>
  <c r="E4965" i="4"/>
  <c r="B4555" i="4"/>
  <c r="E3688" i="4"/>
  <c r="E8658" i="4"/>
  <c r="E4986" i="4"/>
  <c r="E1855" i="4"/>
  <c r="E3070" i="4"/>
  <c r="B4854" i="4"/>
  <c r="E6710" i="4"/>
  <c r="B3739" i="4"/>
  <c r="E3030" i="4"/>
  <c r="E2067" i="4"/>
  <c r="B2455" i="4"/>
  <c r="B5901" i="4"/>
  <c r="E357" i="4"/>
  <c r="B5352" i="4"/>
  <c r="E117" i="4"/>
  <c r="E492" i="4"/>
  <c r="E3932" i="4"/>
  <c r="B2518" i="4"/>
  <c r="B1844" i="4"/>
  <c r="E532" i="4"/>
  <c r="E7910" i="4"/>
  <c r="E7903" i="4"/>
  <c r="B6799" i="4"/>
  <c r="E4289" i="4"/>
  <c r="B6106" i="4"/>
  <c r="B4722" i="4"/>
  <c r="B2831" i="4"/>
  <c r="E4302" i="4"/>
  <c r="E5591" i="4"/>
  <c r="B4180" i="4"/>
  <c r="E2568" i="4"/>
  <c r="B871" i="4"/>
  <c r="B5473" i="4"/>
  <c r="E5317" i="4"/>
  <c r="E2929" i="4"/>
  <c r="E3397" i="4"/>
  <c r="E2804" i="4"/>
  <c r="E1739" i="4"/>
  <c r="E3335" i="4"/>
  <c r="B3887" i="4"/>
  <c r="E1173" i="4"/>
  <c r="E2615" i="4"/>
  <c r="E2360" i="4"/>
  <c r="E3919" i="4"/>
  <c r="E1872" i="4"/>
  <c r="B391" i="4"/>
  <c r="B2369" i="4"/>
  <c r="E2184" i="4"/>
  <c r="B7544" i="4"/>
  <c r="B6476" i="4"/>
  <c r="B7085" i="4"/>
  <c r="B5663" i="4"/>
  <c r="B5959" i="4"/>
  <c r="E4415" i="4"/>
  <c r="E4232" i="4"/>
  <c r="E4008" i="4"/>
  <c r="B5035" i="4"/>
  <c r="B4004" i="4"/>
  <c r="E3142" i="4"/>
  <c r="E3077" i="4"/>
  <c r="E3616" i="4"/>
  <c r="E4330" i="4"/>
  <c r="E5416" i="4"/>
  <c r="B7073" i="4"/>
  <c r="E3084" i="4"/>
  <c r="B1982" i="4"/>
  <c r="B3208" i="4"/>
  <c r="E2631" i="4"/>
  <c r="E912" i="4"/>
  <c r="B3807" i="4"/>
  <c r="E1301" i="4"/>
  <c r="B4974" i="4"/>
  <c r="B2126" i="4"/>
  <c r="B5378" i="4"/>
  <c r="E2259" i="4"/>
  <c r="B785" i="4"/>
  <c r="E1180" i="4"/>
  <c r="E2155" i="4"/>
  <c r="E1073" i="4"/>
  <c r="B2372" i="4"/>
  <c r="E7425" i="4"/>
  <c r="E4406" i="4"/>
  <c r="B2491" i="4"/>
  <c r="E7881" i="4"/>
  <c r="E4143" i="4"/>
  <c r="B101" i="4"/>
  <c r="B3968" i="4"/>
  <c r="E7139" i="4"/>
  <c r="B5455" i="4"/>
  <c r="B3245" i="4"/>
  <c r="B1420" i="4"/>
  <c r="E2381" i="4"/>
  <c r="E4359" i="4"/>
  <c r="E328" i="4"/>
  <c r="B2864" i="4"/>
  <c r="E2145" i="4"/>
  <c r="B3672" i="4"/>
  <c r="E3040" i="4"/>
  <c r="E1056" i="4"/>
  <c r="E2862" i="4"/>
  <c r="E304" i="4"/>
  <c r="E3087" i="4"/>
  <c r="E3158" i="4"/>
  <c r="E2642" i="4"/>
  <c r="E417" i="4"/>
  <c r="E3883" i="4"/>
  <c r="B2098" i="4"/>
  <c r="B2550" i="4"/>
  <c r="B557" i="4"/>
  <c r="E2044" i="4"/>
  <c r="E2989" i="4"/>
  <c r="B1306" i="4"/>
  <c r="E2936" i="4"/>
  <c r="E2760" i="4"/>
  <c r="B1515" i="4"/>
  <c r="E2019" i="4"/>
  <c r="B670" i="4"/>
  <c r="B164" i="4"/>
  <c r="B1052" i="4"/>
  <c r="B2039" i="4"/>
  <c r="E442" i="4"/>
  <c r="E2634" i="4"/>
  <c r="B1764" i="4"/>
  <c r="B130" i="4"/>
  <c r="B2457" i="4"/>
  <c r="B2640" i="4"/>
  <c r="E1146" i="4"/>
  <c r="E422" i="4"/>
  <c r="E1302" i="4"/>
  <c r="E2587" i="4"/>
  <c r="B3358" i="4"/>
  <c r="B401" i="4"/>
  <c r="B1095" i="4"/>
  <c r="E930" i="4"/>
  <c r="B4395" i="4"/>
  <c r="E718" i="4"/>
  <c r="E34" i="4"/>
  <c r="E841" i="4"/>
  <c r="B867" i="4"/>
  <c r="E173" i="4"/>
  <c r="B1889" i="4"/>
  <c r="B2204" i="4"/>
  <c r="B10786" i="4"/>
  <c r="E7298" i="4"/>
  <c r="E6741" i="4"/>
  <c r="B1180" i="4"/>
  <c r="B4236" i="4"/>
  <c r="E3817" i="4"/>
  <c r="B3303" i="4"/>
  <c r="B5261" i="4"/>
  <c r="B3357" i="4"/>
  <c r="B1719" i="4"/>
  <c r="B908" i="4"/>
  <c r="B1283" i="4"/>
  <c r="E4125" i="4"/>
  <c r="E2188" i="4"/>
  <c r="E4089" i="4"/>
  <c r="E3086" i="4"/>
  <c r="B4131" i="4"/>
  <c r="B6259" i="4"/>
  <c r="E1471" i="4"/>
  <c r="B5360" i="4"/>
  <c r="B3379" i="4"/>
  <c r="B360" i="4"/>
  <c r="E2703" i="4"/>
  <c r="B1387" i="4"/>
  <c r="B4720" i="4"/>
  <c r="E2030" i="4"/>
  <c r="E2537" i="4"/>
  <c r="E1193" i="4"/>
  <c r="E2977" i="4"/>
  <c r="B1043" i="4"/>
  <c r="E593" i="4"/>
  <c r="B1077" i="4"/>
  <c r="E1531" i="4"/>
  <c r="E933" i="4"/>
  <c r="B1201" i="4"/>
  <c r="B2424" i="4"/>
  <c r="E748" i="4"/>
  <c r="B2074" i="4"/>
  <c r="B1428" i="4"/>
  <c r="B2667" i="4"/>
  <c r="B357" i="4"/>
  <c r="B1116" i="4"/>
  <c r="B1866" i="4"/>
  <c r="B452" i="4"/>
  <c r="B2233" i="4"/>
  <c r="E2146" i="4"/>
  <c r="E1213" i="4"/>
  <c r="B3394" i="4"/>
  <c r="E227" i="4"/>
  <c r="E2073" i="4"/>
  <c r="B733" i="4"/>
  <c r="E5402" i="4"/>
  <c r="E7914" i="4"/>
  <c r="B411" i="4"/>
  <c r="E1541" i="4"/>
  <c r="B1694" i="4"/>
  <c r="E2933" i="4"/>
  <c r="B932" i="4"/>
  <c r="E4706" i="4"/>
  <c r="B166" i="4"/>
  <c r="E3300" i="4"/>
  <c r="E2572" i="4"/>
  <c r="E2280" i="4"/>
  <c r="B8835" i="4"/>
  <c r="B8021" i="4"/>
  <c r="E5612" i="4"/>
  <c r="E7295" i="4"/>
  <c r="B4846" i="4"/>
  <c r="E2682" i="4"/>
  <c r="E2103" i="4"/>
  <c r="B4610" i="4"/>
  <c r="B2477" i="4"/>
  <c r="E1900" i="4"/>
  <c r="E618" i="4"/>
  <c r="E647" i="4"/>
  <c r="B676" i="4"/>
  <c r="B873" i="4"/>
  <c r="E3119" i="4"/>
  <c r="B4290" i="4"/>
  <c r="E6642" i="4"/>
  <c r="B2357" i="4"/>
  <c r="E3880" i="4"/>
  <c r="E953" i="4"/>
  <c r="E831" i="4"/>
  <c r="B1767" i="4"/>
  <c r="E494" i="4"/>
  <c r="B1643" i="4"/>
  <c r="E1216" i="4"/>
  <c r="E857" i="4"/>
  <c r="B1015" i="4"/>
  <c r="E3480" i="4"/>
  <c r="B3811" i="4"/>
  <c r="E2671" i="4"/>
  <c r="B5586" i="4"/>
  <c r="B3022" i="4"/>
  <c r="E4255" i="4"/>
  <c r="B6708" i="4"/>
  <c r="E1138" i="4"/>
  <c r="B1818" i="4"/>
  <c r="E89" i="4"/>
  <c r="E586" i="4"/>
  <c r="E2524" i="4"/>
  <c r="E2239" i="4"/>
  <c r="E3121" i="4"/>
  <c r="B3242" i="4"/>
  <c r="E1457" i="4"/>
  <c r="E768" i="4"/>
  <c r="E1117" i="4"/>
  <c r="E1387" i="4"/>
  <c r="B2910" i="4"/>
  <c r="E3219" i="4"/>
  <c r="E5053" i="4"/>
  <c r="E1240" i="4"/>
  <c r="E544" i="4"/>
  <c r="E149" i="4"/>
  <c r="E1754" i="4"/>
  <c r="E1679" i="4"/>
  <c r="B618" i="4"/>
  <c r="E1958" i="4"/>
  <c r="E5892" i="4"/>
  <c r="B859" i="4"/>
  <c r="E320" i="4"/>
  <c r="E906" i="4"/>
  <c r="E5153" i="4"/>
  <c r="B1137" i="4"/>
  <c r="E620" i="4"/>
  <c r="B4769" i="4"/>
  <c r="E9036" i="4"/>
  <c r="B1946" i="4"/>
  <c r="B4491" i="4"/>
  <c r="E5288" i="4"/>
  <c r="E2597" i="4"/>
  <c r="B5492" i="4"/>
  <c r="E3694" i="4"/>
  <c r="E2088" i="4"/>
  <c r="B5288" i="4"/>
  <c r="B5371" i="4"/>
  <c r="E392" i="4"/>
  <c r="B870" i="4"/>
  <c r="B3670" i="4"/>
  <c r="B5163" i="4"/>
  <c r="E2637" i="4"/>
  <c r="B1280" i="4"/>
  <c r="E2104" i="4"/>
  <c r="E252" i="4"/>
  <c r="E7340" i="4"/>
  <c r="E7311" i="4"/>
  <c r="B4045" i="4"/>
  <c r="E6318" i="4"/>
  <c r="E3205" i="4"/>
  <c r="E1817" i="4"/>
  <c r="E3885" i="4"/>
  <c r="B6624" i="4"/>
  <c r="E3486" i="4"/>
  <c r="E4937" i="4"/>
  <c r="E4476" i="4"/>
  <c r="E7799" i="4"/>
  <c r="B4028" i="4"/>
  <c r="E5510" i="4"/>
  <c r="B4552" i="4"/>
  <c r="B259" i="4"/>
  <c r="B5894" i="4"/>
  <c r="E3810" i="4"/>
  <c r="B4037" i="4"/>
  <c r="B6943" i="4"/>
  <c r="E3085" i="4"/>
  <c r="B702" i="4"/>
  <c r="B6595" i="4"/>
  <c r="E5142" i="4"/>
  <c r="E8561" i="4"/>
  <c r="E7132" i="4"/>
  <c r="E5893" i="4"/>
  <c r="B6626" i="4"/>
  <c r="E4684" i="4"/>
  <c r="E2042" i="4"/>
  <c r="E4272" i="4"/>
  <c r="B3685" i="4"/>
  <c r="B4804" i="4"/>
  <c r="B4282" i="4"/>
  <c r="B6264" i="4"/>
  <c r="B5414" i="4"/>
  <c r="B6775" i="4"/>
  <c r="B6920" i="4"/>
  <c r="B7022" i="4"/>
  <c r="B4821" i="4"/>
  <c r="B3419" i="4"/>
  <c r="E1535" i="4"/>
  <c r="B7953" i="4"/>
  <c r="B3251" i="4"/>
  <c r="E1799" i="4"/>
  <c r="E7086" i="4"/>
  <c r="E7959" i="4"/>
  <c r="E7619" i="4"/>
  <c r="B6286" i="4"/>
  <c r="E6683" i="4"/>
  <c r="B4812" i="4"/>
  <c r="E5763" i="4"/>
  <c r="E7662" i="4"/>
  <c r="B3985" i="4"/>
  <c r="E4208" i="4"/>
  <c r="E1184" i="4"/>
  <c r="B2197" i="4"/>
  <c r="B4874" i="4"/>
  <c r="E3507" i="4"/>
  <c r="E4259" i="4"/>
  <c r="B5820" i="4"/>
  <c r="B5434" i="4"/>
  <c r="B8656" i="4"/>
  <c r="B6352" i="4"/>
  <c r="E9085" i="4"/>
  <c r="B5871" i="4"/>
  <c r="B4772" i="4"/>
  <c r="B7648" i="4"/>
  <c r="E5673" i="4"/>
  <c r="B5406" i="4"/>
  <c r="E6089" i="4"/>
  <c r="B4245" i="4"/>
  <c r="E8626" i="4"/>
  <c r="E6383" i="4"/>
  <c r="E4291" i="4"/>
  <c r="E2540" i="4"/>
  <c r="E2605" i="4"/>
  <c r="B8649" i="4"/>
  <c r="E1874" i="4"/>
  <c r="B4040" i="4"/>
  <c r="B863" i="4"/>
  <c r="B2812" i="4"/>
  <c r="E7952" i="4"/>
  <c r="B3741" i="4"/>
  <c r="B2512" i="4"/>
  <c r="E2886" i="4"/>
  <c r="B3644" i="4"/>
  <c r="B2591" i="4"/>
  <c r="B5149" i="4"/>
  <c r="E7779" i="4"/>
  <c r="B7163" i="4"/>
  <c r="E6680" i="4"/>
  <c r="B6662" i="4"/>
  <c r="B6940" i="4"/>
  <c r="E7148" i="4"/>
  <c r="B6824" i="4"/>
  <c r="B5969" i="4"/>
  <c r="E4203" i="4"/>
  <c r="E4480" i="4"/>
  <c r="E2459" i="4"/>
  <c r="E2517" i="4"/>
  <c r="E5839" i="4"/>
  <c r="E4740" i="4"/>
  <c r="E6000" i="4"/>
  <c r="B2668" i="4"/>
  <c r="B5997" i="4"/>
  <c r="B2608" i="4"/>
  <c r="B2962" i="4"/>
  <c r="E1994" i="4"/>
  <c r="B3218" i="4"/>
  <c r="B1467" i="4"/>
  <c r="B2647" i="4"/>
  <c r="E4239" i="4"/>
  <c r="E8718" i="4"/>
  <c r="E4844" i="4"/>
  <c r="B3881" i="4"/>
  <c r="B3952" i="4"/>
  <c r="E4765" i="4"/>
  <c r="E2806" i="4"/>
  <c r="E9941" i="4"/>
  <c r="B7814" i="4"/>
  <c r="B8580" i="4"/>
  <c r="B7980" i="4"/>
  <c r="B6157" i="4"/>
  <c r="E5301" i="4"/>
  <c r="B4593" i="4"/>
  <c r="B6834" i="4"/>
  <c r="E5942" i="4"/>
  <c r="B5277" i="4"/>
  <c r="E3464" i="4"/>
  <c r="B3627" i="4"/>
  <c r="B2748" i="4"/>
  <c r="E4614" i="4"/>
  <c r="E4953" i="4"/>
  <c r="E4613" i="4"/>
  <c r="E4632" i="4"/>
  <c r="E4437" i="4"/>
  <c r="B4070" i="4"/>
  <c r="E2561" i="4"/>
  <c r="E5474" i="4"/>
  <c r="B5310" i="4"/>
  <c r="E2344" i="4"/>
  <c r="E3357" i="4"/>
  <c r="E10449" i="4"/>
  <c r="E2411" i="4"/>
  <c r="B2528" i="4"/>
  <c r="E2559" i="4"/>
  <c r="B3194" i="4"/>
  <c r="B2375" i="4"/>
  <c r="B5154" i="4"/>
  <c r="E9092" i="4"/>
  <c r="E8456" i="4"/>
  <c r="E5090" i="4"/>
  <c r="B6682" i="4"/>
  <c r="B5058" i="4"/>
  <c r="E7652" i="4"/>
  <c r="B3441" i="4"/>
  <c r="B8442" i="4"/>
  <c r="E8764" i="4"/>
  <c r="B4246" i="4"/>
  <c r="E3138" i="4"/>
  <c r="E2868" i="4"/>
  <c r="B1490" i="4"/>
  <c r="B3838" i="4"/>
  <c r="B3392" i="4"/>
  <c r="B1968" i="4"/>
  <c r="E4388" i="4"/>
  <c r="E133" i="4"/>
  <c r="B2421" i="4"/>
  <c r="E4583" i="4"/>
  <c r="B1088" i="4"/>
  <c r="B3403" i="4"/>
  <c r="E1098" i="4"/>
  <c r="E4362" i="4"/>
  <c r="E1558" i="4"/>
  <c r="E1914" i="4"/>
  <c r="B2342" i="4"/>
  <c r="E892" i="4"/>
  <c r="B3586" i="4"/>
  <c r="E2387" i="4"/>
  <c r="B2281" i="4"/>
  <c r="E3620" i="4"/>
  <c r="B3221" i="4"/>
  <c r="B2515" i="4"/>
  <c r="B3914" i="4"/>
  <c r="B2996" i="4"/>
  <c r="E3218" i="4"/>
  <c r="E6105" i="4"/>
  <c r="E324" i="4"/>
  <c r="B4204" i="4"/>
  <c r="B31" i="4"/>
  <c r="E1452" i="4"/>
  <c r="E507" i="4"/>
  <c r="E3545" i="4"/>
  <c r="B1388" i="4"/>
  <c r="B4879" i="4"/>
  <c r="B2845" i="4"/>
  <c r="B1347" i="4"/>
  <c r="E1757" i="4"/>
  <c r="B2027" i="4"/>
  <c r="B4369" i="4"/>
  <c r="E623" i="4"/>
  <c r="E1268" i="4"/>
  <c r="B2163" i="4"/>
  <c r="E199" i="4"/>
  <c r="B2026" i="4"/>
  <c r="E2664" i="4"/>
  <c r="B966" i="4"/>
  <c r="E197" i="4"/>
  <c r="B1369" i="4"/>
  <c r="B2418" i="4"/>
  <c r="E1346" i="4"/>
  <c r="B1586" i="4"/>
  <c r="B2309" i="4"/>
  <c r="B8919" i="4"/>
  <c r="E6347" i="4"/>
  <c r="E6377" i="4"/>
  <c r="B5284" i="4"/>
  <c r="B7573" i="4"/>
  <c r="B4883" i="4"/>
  <c r="E3526" i="4"/>
  <c r="E6171" i="4"/>
  <c r="B5936" i="4"/>
  <c r="E5304" i="4"/>
  <c r="B4035" i="4"/>
  <c r="E1175" i="4"/>
  <c r="E2944" i="4"/>
  <c r="B3867" i="4"/>
  <c r="B2016" i="4"/>
  <c r="B2707" i="4"/>
  <c r="B3714" i="4"/>
  <c r="E3350" i="4"/>
  <c r="E4051" i="4"/>
  <c r="E5743" i="4"/>
  <c r="B862" i="4"/>
  <c r="E3967" i="4"/>
  <c r="B772" i="4"/>
  <c r="E4871" i="4"/>
  <c r="E1132" i="4"/>
  <c r="E1520" i="4"/>
  <c r="B1881" i="4"/>
  <c r="B530" i="4"/>
  <c r="E2870" i="4"/>
  <c r="E3453" i="4"/>
  <c r="B2774" i="4"/>
  <c r="E2625" i="4"/>
  <c r="B4663" i="4"/>
  <c r="E3511" i="4"/>
  <c r="E1262" i="4"/>
  <c r="B3879" i="4"/>
  <c r="B1852" i="4"/>
  <c r="E5192" i="4"/>
  <c r="B3124" i="4"/>
  <c r="E3415" i="4"/>
  <c r="B1434" i="4"/>
  <c r="B3054" i="4"/>
  <c r="B1221" i="4"/>
  <c r="E2230" i="4"/>
  <c r="B242" i="4"/>
  <c r="B3661" i="4"/>
  <c r="E1775" i="4"/>
  <c r="B599" i="4"/>
  <c r="E1100" i="4"/>
  <c r="B2572" i="4"/>
  <c r="E3458" i="4"/>
  <c r="B194" i="4"/>
  <c r="E2281" i="4"/>
  <c r="B1598" i="4"/>
  <c r="E602" i="4"/>
  <c r="B3562" i="4"/>
  <c r="B380" i="4"/>
  <c r="E5359" i="4"/>
  <c r="B725" i="4"/>
  <c r="E721" i="4"/>
  <c r="B976" i="4"/>
  <c r="E713" i="4"/>
  <c r="E10106" i="4"/>
  <c r="E7164" i="4"/>
  <c r="B6732" i="4"/>
  <c r="B6285" i="4"/>
  <c r="B5450" i="4"/>
  <c r="E4258" i="4"/>
  <c r="B3421" i="4"/>
  <c r="E3495" i="4"/>
  <c r="E8809" i="4"/>
  <c r="B2224" i="4"/>
  <c r="B4703" i="4"/>
  <c r="B2534" i="4"/>
  <c r="E3038" i="4"/>
  <c r="B5010" i="4"/>
  <c r="E7285" i="4"/>
  <c r="B3171" i="4"/>
  <c r="B3964" i="4"/>
  <c r="B4838" i="4"/>
  <c r="B1253" i="4"/>
  <c r="B3368" i="4"/>
  <c r="B737" i="4"/>
  <c r="B3805" i="4"/>
  <c r="B417" i="4"/>
  <c r="E2143" i="4"/>
  <c r="B2725" i="4"/>
  <c r="B4493" i="4"/>
  <c r="B526" i="4"/>
  <c r="E418" i="4"/>
  <c r="B3499" i="4"/>
  <c r="B1806" i="4"/>
  <c r="E3323" i="4"/>
  <c r="E1880" i="4"/>
  <c r="E2080" i="4"/>
  <c r="B2186" i="4"/>
  <c r="E2859" i="4"/>
  <c r="E3902" i="4"/>
  <c r="E1884" i="4"/>
  <c r="B2541" i="4"/>
  <c r="E1052" i="4"/>
  <c r="E2576" i="4"/>
  <c r="B55" i="4"/>
  <c r="E397" i="4"/>
  <c r="E86" i="4"/>
  <c r="E1364" i="4"/>
  <c r="E1242" i="4"/>
  <c r="B1630" i="4"/>
  <c r="B2082" i="4"/>
  <c r="B5809" i="4"/>
  <c r="E2417" i="4"/>
  <c r="B1512" i="4"/>
  <c r="B2634" i="4"/>
  <c r="B1896" i="4"/>
  <c r="B2353" i="4"/>
  <c r="B125" i="4"/>
  <c r="B3596" i="4"/>
  <c r="B45" i="4"/>
  <c r="E670" i="4"/>
  <c r="B57" i="4"/>
  <c r="B956" i="4"/>
  <c r="B3973" i="4"/>
  <c r="E2036" i="4"/>
  <c r="B2291" i="4"/>
  <c r="B6814" i="4"/>
  <c r="B4321" i="4"/>
  <c r="B4016" i="4"/>
  <c r="E7525" i="4"/>
  <c r="E7836" i="4"/>
  <c r="E3546" i="4"/>
  <c r="B4659" i="4"/>
  <c r="E7019" i="4"/>
  <c r="E4581" i="4"/>
  <c r="B3420" i="4"/>
  <c r="B5626" i="4"/>
  <c r="E4460" i="4"/>
  <c r="B2597" i="4"/>
  <c r="E3271" i="4"/>
  <c r="B4262" i="4"/>
  <c r="B3094" i="4"/>
  <c r="E2116" i="4"/>
  <c r="E3788" i="4"/>
  <c r="B2983" i="4"/>
  <c r="B1271" i="4"/>
  <c r="E937" i="4"/>
  <c r="B1216" i="4"/>
  <c r="B1336" i="4"/>
  <c r="E3785" i="4"/>
  <c r="B2348" i="4"/>
  <c r="B2886" i="4"/>
  <c r="E579" i="4"/>
  <c r="B3657" i="4"/>
  <c r="E4174" i="4"/>
  <c r="E5184" i="4"/>
  <c r="B4270" i="4"/>
  <c r="E4274" i="4"/>
  <c r="B2883" i="4"/>
  <c r="E4895" i="4"/>
  <c r="B2260" i="4"/>
  <c r="E1463" i="4"/>
  <c r="B305" i="4"/>
  <c r="E2240" i="4"/>
  <c r="B1106" i="4"/>
  <c r="E2216" i="4"/>
  <c r="E600" i="4"/>
  <c r="E1129" i="4"/>
  <c r="B451" i="4"/>
  <c r="E2820" i="4"/>
  <c r="B104" i="4"/>
  <c r="E373" i="4"/>
  <c r="B238" i="4"/>
  <c r="E5270" i="4"/>
  <c r="B3048" i="4"/>
  <c r="B1209" i="4"/>
  <c r="E637" i="4"/>
  <c r="B1797" i="4"/>
  <c r="B4055" i="4"/>
  <c r="B1210" i="4"/>
  <c r="B3676" i="4"/>
  <c r="E1005" i="4"/>
  <c r="E6258" i="4"/>
  <c r="E4215" i="4"/>
  <c r="B4250" i="4"/>
  <c r="E1563" i="4"/>
  <c r="E4188" i="4"/>
  <c r="E1377" i="4"/>
  <c r="B8323" i="4"/>
  <c r="E3360" i="4"/>
  <c r="B3792" i="4"/>
  <c r="B5855" i="4"/>
  <c r="B3317" i="4"/>
  <c r="E3418" i="4"/>
  <c r="B8474" i="4"/>
  <c r="B6818" i="4"/>
  <c r="E10327" i="4"/>
  <c r="E3686" i="4"/>
  <c r="E2897" i="4"/>
  <c r="E5986" i="4"/>
  <c r="E4550" i="4"/>
  <c r="B4585" i="4"/>
  <c r="B5259" i="4"/>
  <c r="E5163" i="4"/>
  <c r="E2450" i="4"/>
  <c r="E2159" i="4"/>
  <c r="E1829" i="4"/>
  <c r="E2604" i="4"/>
  <c r="E7873" i="4"/>
  <c r="B2570" i="4"/>
  <c r="E2750" i="4"/>
  <c r="B2300" i="4"/>
  <c r="E402" i="4"/>
  <c r="B4662" i="4"/>
  <c r="E821" i="4"/>
  <c r="B1696" i="4"/>
  <c r="E2495" i="4"/>
  <c r="E4445" i="4"/>
  <c r="B3831" i="4"/>
  <c r="B2263" i="4"/>
  <c r="B3237" i="4"/>
  <c r="B5403" i="4"/>
  <c r="B2125" i="4"/>
  <c r="E1982" i="4"/>
  <c r="E816" i="4"/>
  <c r="E715" i="4"/>
  <c r="B834" i="4"/>
  <c r="E1139" i="4"/>
  <c r="B1711" i="4"/>
  <c r="E91" i="4"/>
  <c r="E3371" i="4"/>
  <c r="B1530" i="4"/>
  <c r="E4921" i="4"/>
  <c r="B5925" i="4"/>
  <c r="E675" i="4"/>
  <c r="B1330" i="4"/>
  <c r="E3008" i="4"/>
  <c r="E4264" i="4"/>
  <c r="B2212" i="4"/>
  <c r="B840" i="4"/>
  <c r="B4425" i="4"/>
  <c r="B112" i="4"/>
  <c r="E3799" i="4"/>
  <c r="B3010" i="4"/>
  <c r="B882" i="4"/>
  <c r="E156" i="4"/>
  <c r="B1560" i="4"/>
  <c r="E1939" i="4"/>
  <c r="E1513" i="4"/>
  <c r="E10822" i="4"/>
  <c r="E8763" i="4"/>
  <c r="E5558" i="4"/>
  <c r="B7019" i="4"/>
  <c r="B6481" i="4"/>
  <c r="E4105" i="4"/>
  <c r="E3537" i="4"/>
  <c r="B5700" i="4"/>
  <c r="B4247" i="4"/>
  <c r="B4281" i="4"/>
  <c r="B6975" i="4"/>
  <c r="E1108" i="4"/>
  <c r="E1179" i="4"/>
  <c r="B3501" i="4"/>
  <c r="E7437" i="4"/>
  <c r="E3590" i="4"/>
  <c r="E4825" i="4"/>
  <c r="B573" i="4"/>
  <c r="E4680" i="4"/>
  <c r="E3687" i="4"/>
  <c r="B993" i="4"/>
  <c r="E4375" i="4"/>
  <c r="E595" i="4"/>
  <c r="E5102" i="4"/>
  <c r="E109" i="4"/>
  <c r="B7" i="4"/>
  <c r="B1964" i="4"/>
  <c r="E529" i="4"/>
  <c r="E8454" i="4"/>
  <c r="E9408" i="4"/>
  <c r="E5132" i="4"/>
  <c r="B5122" i="4"/>
  <c r="B5545" i="4"/>
  <c r="E3768" i="4"/>
  <c r="E3109" i="4"/>
  <c r="E6728" i="4"/>
  <c r="B5411" i="4"/>
  <c r="B5669" i="4"/>
  <c r="B3916" i="4"/>
  <c r="B3233" i="4"/>
  <c r="E4538" i="4"/>
  <c r="E3759" i="4"/>
  <c r="B3794" i="4"/>
  <c r="B2929" i="4"/>
  <c r="B3646" i="4"/>
  <c r="B381" i="4"/>
  <c r="E2946" i="4"/>
  <c r="B4179" i="4"/>
  <c r="B715" i="4"/>
  <c r="E2930" i="4"/>
  <c r="E2769" i="4"/>
  <c r="B4216" i="4"/>
  <c r="B2779" i="4"/>
  <c r="B168" i="4"/>
  <c r="B2968" i="4"/>
  <c r="E220" i="4"/>
  <c r="E8605" i="4"/>
  <c r="E8762" i="4"/>
  <c r="E6567" i="4"/>
  <c r="B6145" i="4"/>
  <c r="B6277" i="4"/>
  <c r="B5247" i="4"/>
  <c r="B3982" i="4"/>
  <c r="B4279" i="4"/>
  <c r="E4270" i="4"/>
  <c r="E5296" i="4"/>
  <c r="B3009" i="4"/>
  <c r="E1955" i="4"/>
  <c r="B9717" i="4"/>
  <c r="B2280" i="4"/>
  <c r="B2726" i="4"/>
  <c r="B3700" i="4"/>
  <c r="B3052" i="4"/>
  <c r="B189" i="4"/>
  <c r="B2269" i="4"/>
  <c r="B2961" i="4"/>
  <c r="E5401" i="4"/>
  <c r="B2336" i="4"/>
  <c r="B1827" i="4"/>
  <c r="E4004" i="4"/>
  <c r="B1693" i="4"/>
  <c r="B208" i="4"/>
  <c r="B2164" i="4"/>
  <c r="E2227" i="4"/>
  <c r="E8923" i="4"/>
  <c r="E9362" i="4"/>
  <c r="E5759" i="4"/>
  <c r="B5046" i="4"/>
  <c r="E6116" i="4"/>
  <c r="E4452" i="4"/>
  <c r="E3556" i="4"/>
  <c r="B5459" i="4"/>
  <c r="E5410" i="4"/>
  <c r="E4663" i="4"/>
  <c r="B5743" i="4"/>
  <c r="B1545" i="4"/>
  <c r="B8172" i="4"/>
  <c r="B2040" i="4"/>
  <c r="E4296" i="4"/>
  <c r="E3171" i="4"/>
  <c r="E2689" i="4"/>
  <c r="E5038" i="4"/>
  <c r="E3223" i="4"/>
  <c r="E5292" i="4"/>
  <c r="B2250" i="4"/>
  <c r="B1848" i="4"/>
  <c r="E1267" i="4"/>
  <c r="B2988" i="4"/>
  <c r="E1269" i="4"/>
  <c r="B369" i="4"/>
  <c r="B3141" i="4"/>
  <c r="E1496" i="4"/>
  <c r="E8665" i="4"/>
  <c r="E7666" i="4"/>
  <c r="B6394" i="4"/>
  <c r="B4623" i="4"/>
  <c r="B6202" i="4"/>
  <c r="B6017" i="4"/>
  <c r="E3170" i="4"/>
  <c r="E4699" i="4"/>
  <c r="B4725" i="4"/>
  <c r="B4188" i="4"/>
  <c r="E3267" i="4"/>
  <c r="B1144" i="4"/>
  <c r="B6641" i="4"/>
  <c r="B1760" i="4"/>
  <c r="B3413" i="4"/>
  <c r="E4169" i="4"/>
  <c r="B2440" i="4"/>
  <c r="E2362" i="4"/>
  <c r="E2350" i="4"/>
  <c r="E3585" i="4"/>
  <c r="E1565" i="4"/>
  <c r="B3886" i="4"/>
  <c r="E853" i="4"/>
  <c r="E3405" i="4"/>
  <c r="B4621" i="4"/>
  <c r="B588" i="4"/>
  <c r="E3853" i="4"/>
  <c r="B507" i="4"/>
  <c r="E9677" i="4"/>
  <c r="E6012" i="4"/>
  <c r="B6930" i="4"/>
  <c r="E4846" i="4"/>
  <c r="E6678" i="4"/>
  <c r="B3157" i="4"/>
  <c r="E2965" i="4"/>
  <c r="E7660" i="4"/>
  <c r="B5960" i="4"/>
  <c r="B6263" i="4"/>
  <c r="E1467" i="4"/>
  <c r="B293" i="4"/>
  <c r="E4608" i="4"/>
  <c r="B5031" i="4"/>
  <c r="B3709" i="4"/>
  <c r="B4715" i="4"/>
  <c r="E3825" i="4"/>
  <c r="B5363" i="4"/>
  <c r="B959" i="4"/>
  <c r="B2429" i="4"/>
  <c r="E201" i="4"/>
  <c r="E1924" i="4"/>
  <c r="E254" i="4"/>
  <c r="B2670" i="4"/>
  <c r="E665" i="4"/>
  <c r="E3423" i="4"/>
  <c r="B4315" i="4"/>
  <c r="E167" i="4"/>
  <c r="E7023" i="4"/>
  <c r="E7241" i="4"/>
  <c r="B7502" i="4"/>
  <c r="B4423" i="4"/>
  <c r="B4471" i="4"/>
  <c r="B6404" i="4"/>
  <c r="B6355" i="4"/>
  <c r="E4286" i="4"/>
  <c r="E5210" i="4"/>
  <c r="E2373" i="4"/>
  <c r="B685" i="4"/>
  <c r="E5867" i="4"/>
  <c r="E3260" i="4"/>
  <c r="E5615" i="4"/>
  <c r="B3695" i="4"/>
  <c r="B3107" i="4"/>
  <c r="B5274" i="4"/>
  <c r="B4742" i="4"/>
  <c r="B2713" i="4"/>
  <c r="B2711" i="4"/>
  <c r="B656" i="4"/>
  <c r="E2200" i="4"/>
  <c r="E334" i="4"/>
  <c r="B2397" i="4"/>
  <c r="E780" i="4"/>
  <c r="E5422" i="4"/>
  <c r="E3154" i="4"/>
  <c r="E150" i="4"/>
  <c r="E8108" i="4"/>
  <c r="E5999" i="4"/>
  <c r="B5710" i="4"/>
  <c r="B4608" i="4"/>
  <c r="E4508" i="4"/>
  <c r="E9281" i="4"/>
  <c r="B2267" i="4"/>
  <c r="E5050" i="4"/>
  <c r="E4527" i="4"/>
  <c r="E4639" i="4"/>
  <c r="B4802" i="4"/>
  <c r="B3950" i="4"/>
  <c r="B1991" i="4"/>
  <c r="B1374" i="4"/>
  <c r="E1707" i="4"/>
  <c r="B1921" i="4"/>
  <c r="B3334" i="4"/>
  <c r="E3128" i="4"/>
  <c r="E1171" i="4"/>
  <c r="E3904" i="4"/>
  <c r="E2613" i="4"/>
  <c r="E2070" i="4"/>
  <c r="E1950" i="4"/>
  <c r="E1046" i="4"/>
  <c r="E1264" i="4"/>
  <c r="B375" i="4"/>
  <c r="E2217" i="4"/>
  <c r="B3608" i="4"/>
  <c r="B263" i="4"/>
  <c r="B1659" i="4"/>
  <c r="B1376" i="4"/>
  <c r="E683" i="4"/>
  <c r="B2553" i="4"/>
  <c r="E843" i="4"/>
  <c r="E1542" i="4"/>
  <c r="E943" i="4"/>
  <c r="E1383" i="4"/>
  <c r="B1851" i="4"/>
  <c r="E4686" i="4"/>
  <c r="E1527" i="4"/>
  <c r="E446" i="4"/>
  <c r="B484" i="4"/>
  <c r="B5195" i="4"/>
  <c r="B1101" i="4"/>
  <c r="B2350" i="4"/>
  <c r="E731" i="4"/>
  <c r="B49" i="4"/>
  <c r="B1977" i="4"/>
  <c r="B1486" i="4"/>
  <c r="B1081" i="4"/>
  <c r="E4121" i="4"/>
  <c r="E889" i="4"/>
  <c r="E353" i="4"/>
  <c r="B1969" i="4"/>
  <c r="E2753" i="4"/>
  <c r="B347" i="4"/>
  <c r="B998" i="4"/>
  <c r="B817" i="4"/>
  <c r="E2193" i="4"/>
  <c r="E4213" i="4"/>
  <c r="B361" i="4"/>
  <c r="E182" i="4"/>
  <c r="B1579" i="4"/>
  <c r="E905" i="4"/>
  <c r="E282" i="4"/>
  <c r="E925" i="4"/>
  <c r="E10767" i="4"/>
  <c r="B5049" i="4"/>
  <c r="B6979" i="4"/>
  <c r="E4747" i="4"/>
  <c r="B6828" i="4"/>
  <c r="B518" i="4"/>
  <c r="B4664" i="4"/>
  <c r="E6186" i="4"/>
  <c r="E2722" i="4"/>
  <c r="B2276" i="4"/>
  <c r="E1319" i="4"/>
  <c r="B1183" i="4"/>
  <c r="E1277" i="4"/>
  <c r="E1282" i="4"/>
  <c r="B1692" i="4"/>
  <c r="B3633" i="4"/>
  <c r="E2621" i="4"/>
  <c r="B4133" i="4"/>
  <c r="B4699" i="4"/>
  <c r="B1384" i="4"/>
  <c r="B1168" i="4"/>
  <c r="B2754" i="4"/>
  <c r="E640" i="4"/>
  <c r="E3033" i="4"/>
  <c r="E2187" i="4"/>
  <c r="B921" i="4"/>
  <c r="B2728" i="4"/>
  <c r="B4628" i="4"/>
  <c r="B3016" i="4"/>
  <c r="E1767" i="4"/>
  <c r="B3543" i="4"/>
  <c r="E3779" i="4"/>
  <c r="E6163" i="4"/>
  <c r="B355" i="4"/>
  <c r="E2626" i="4"/>
  <c r="E3567" i="4"/>
  <c r="B297" i="4"/>
  <c r="E2224" i="4"/>
  <c r="B2526" i="4"/>
  <c r="B5019" i="4"/>
  <c r="B736" i="4"/>
  <c r="B163" i="4"/>
  <c r="B121" i="4"/>
  <c r="B473" i="4"/>
  <c r="B1035" i="4"/>
  <c r="E80" i="4"/>
  <c r="E1118" i="4"/>
  <c r="B3822" i="4"/>
  <c r="B7617" i="4"/>
  <c r="B209" i="4"/>
  <c r="E1876" i="4"/>
  <c r="E741" i="4"/>
  <c r="B1417" i="4"/>
  <c r="B1880" i="4"/>
  <c r="B721" i="4"/>
  <c r="E636" i="4"/>
  <c r="E907" i="4"/>
  <c r="E901" i="4"/>
  <c r="B108" i="4"/>
  <c r="B835" i="4"/>
  <c r="E4081" i="4"/>
  <c r="E1096" i="4"/>
  <c r="E946" i="4"/>
  <c r="B5050" i="4"/>
  <c r="E5852" i="4"/>
  <c r="E2290" i="4"/>
  <c r="E5324" i="4"/>
  <c r="E4991" i="4"/>
  <c r="B2993" i="4"/>
  <c r="B4740" i="4"/>
  <c r="E4176" i="4"/>
  <c r="E848" i="4"/>
  <c r="B8154" i="4"/>
  <c r="E4659" i="4"/>
  <c r="B84" i="4"/>
  <c r="B17" i="4"/>
  <c r="B314" i="4"/>
  <c r="E5223" i="4"/>
  <c r="E3225" i="4"/>
  <c r="E1681" i="4"/>
  <c r="B3664" i="4"/>
  <c r="B3018" i="4"/>
  <c r="B4626" i="4"/>
  <c r="E1337" i="4"/>
  <c r="E2624" i="4"/>
  <c r="B658" i="4"/>
  <c r="E3318" i="4"/>
  <c r="B1027" i="4"/>
  <c r="E7369" i="4"/>
  <c r="E3670" i="4"/>
  <c r="B3178" i="4"/>
  <c r="B2673" i="4"/>
  <c r="B1590" i="4"/>
  <c r="B911" i="4"/>
  <c r="E5913" i="4"/>
  <c r="E4515" i="4"/>
  <c r="E3026" i="4"/>
  <c r="B1094" i="4"/>
  <c r="E2364" i="4"/>
  <c r="E4266" i="4"/>
  <c r="E863" i="4"/>
  <c r="B1278" i="4"/>
  <c r="E2571" i="4"/>
  <c r="E26" i="4"/>
  <c r="B6491" i="4"/>
  <c r="B328" i="4"/>
  <c r="E3281" i="4"/>
  <c r="E4492" i="4"/>
  <c r="B5240" i="4"/>
  <c r="E655" i="4"/>
  <c r="E1883" i="4"/>
  <c r="E2144" i="4"/>
  <c r="B1013" i="4"/>
  <c r="E575" i="4"/>
  <c r="B113" i="4"/>
  <c r="E3461" i="4"/>
  <c r="E814" i="4"/>
  <c r="E3795" i="4"/>
  <c r="E786" i="4"/>
  <c r="E456" i="4"/>
  <c r="B2162" i="4"/>
  <c r="B2430" i="4"/>
  <c r="B153" i="4"/>
  <c r="E1437" i="4"/>
  <c r="B4074" i="4"/>
  <c r="E3276" i="4"/>
  <c r="E9072" i="4"/>
  <c r="E6196" i="4"/>
  <c r="E5663" i="4"/>
  <c r="B4263" i="4"/>
  <c r="E3202" i="4"/>
  <c r="B7002" i="4"/>
  <c r="B4240" i="4"/>
  <c r="E3865" i="4"/>
  <c r="B4791" i="4"/>
  <c r="B4213" i="4"/>
  <c r="B1734" i="4"/>
  <c r="B4639" i="4"/>
  <c r="E5172" i="4"/>
  <c r="E616" i="4"/>
  <c r="B4329" i="4"/>
  <c r="B2406" i="4"/>
  <c r="E3485" i="4"/>
  <c r="E5805" i="4"/>
  <c r="B1408" i="4"/>
  <c r="E3168" i="4"/>
  <c r="E384" i="4"/>
  <c r="B771" i="4"/>
  <c r="B3381" i="4"/>
  <c r="E438" i="4"/>
  <c r="E458" i="4"/>
  <c r="B3751" i="4"/>
  <c r="E218" i="4"/>
  <c r="B1352" i="4"/>
  <c r="E1790" i="4"/>
  <c r="B1523" i="4"/>
  <c r="E645" i="4"/>
  <c r="E856" i="4"/>
  <c r="E2430" i="4"/>
  <c r="B3494" i="4"/>
  <c r="E65" i="4"/>
  <c r="E1231" i="4"/>
  <c r="B2259" i="4"/>
  <c r="E121" i="4"/>
  <c r="B3064" i="4"/>
  <c r="B5652" i="4"/>
  <c r="B1589" i="4"/>
  <c r="E4704" i="4"/>
  <c r="B791" i="4"/>
  <c r="B5604" i="4"/>
  <c r="B2454" i="4"/>
  <c r="E3215" i="4"/>
  <c r="B1105" i="4"/>
  <c r="E58" i="4"/>
  <c r="B2021" i="4"/>
  <c r="E4275" i="4"/>
  <c r="E2486" i="4"/>
  <c r="B1086" i="4"/>
  <c r="B488" i="4"/>
  <c r="E1368" i="4"/>
  <c r="B3611" i="4"/>
  <c r="B28" i="4"/>
  <c r="E2796" i="4"/>
  <c r="E231" i="4"/>
  <c r="E1795" i="4"/>
  <c r="E427" i="4"/>
  <c r="E1281" i="4"/>
  <c r="B770" i="4"/>
  <c r="E10600" i="4"/>
  <c r="E7737" i="4"/>
  <c r="B9361" i="4"/>
  <c r="E5645" i="4"/>
  <c r="E4634" i="4"/>
  <c r="B3852" i="4"/>
  <c r="E3221" i="4"/>
  <c r="B4569" i="4"/>
  <c r="B3890" i="4"/>
  <c r="E2662" i="4"/>
  <c r="B181" i="4"/>
  <c r="E1328" i="4"/>
  <c r="E1688" i="4"/>
  <c r="B2474" i="4"/>
  <c r="B2793" i="4"/>
  <c r="B5613" i="4"/>
  <c r="B2935" i="4"/>
  <c r="E3922" i="4"/>
  <c r="B2277" i="4"/>
  <c r="E4702" i="4"/>
  <c r="B1362" i="4"/>
  <c r="B1493" i="4"/>
  <c r="B1075" i="4"/>
  <c r="B937" i="4"/>
  <c r="E3366" i="4"/>
  <c r="E2758" i="4"/>
  <c r="B2185" i="4"/>
  <c r="E948" i="4"/>
  <c r="B731" i="4"/>
  <c r="B244" i="4"/>
  <c r="B1323" i="4"/>
  <c r="B714" i="4"/>
  <c r="E2857" i="4"/>
  <c r="B1532" i="4"/>
  <c r="B846" i="4"/>
  <c r="B3508" i="4"/>
  <c r="E1181" i="4"/>
  <c r="E979" i="4"/>
  <c r="B2363" i="4"/>
  <c r="E445" i="4"/>
  <c r="E3151" i="4"/>
  <c r="B1136" i="4"/>
  <c r="B531" i="4"/>
  <c r="E1422" i="4"/>
  <c r="E3285" i="4"/>
  <c r="B1096" i="4"/>
  <c r="E927" i="4"/>
  <c r="E2399" i="4"/>
  <c r="E350" i="4"/>
  <c r="B1204" i="4"/>
  <c r="E1810" i="4"/>
  <c r="E2523" i="4"/>
  <c r="E4964" i="4"/>
  <c r="E1147" i="4"/>
  <c r="E339" i="4"/>
  <c r="B102" i="4"/>
  <c r="E2920" i="4"/>
  <c r="B3310" i="4"/>
  <c r="B19" i="4"/>
  <c r="E5036" i="4"/>
  <c r="E757" i="4"/>
  <c r="B276" i="4"/>
  <c r="E1041" i="4"/>
  <c r="B5834" i="4"/>
  <c r="E5896" i="4"/>
  <c r="B1345" i="4"/>
  <c r="B4813" i="4"/>
  <c r="E6819" i="4"/>
  <c r="B4010" i="4"/>
  <c r="B2892" i="4"/>
  <c r="B4429" i="4"/>
  <c r="B1092" i="4"/>
  <c r="B10037" i="4"/>
  <c r="E4710" i="4"/>
  <c r="E9311" i="4"/>
  <c r="B156" i="4"/>
  <c r="E722" i="4"/>
  <c r="E5897" i="4"/>
  <c r="B3660" i="4"/>
  <c r="B2695" i="4"/>
  <c r="B4243" i="4"/>
  <c r="E3181" i="4"/>
  <c r="E5423" i="4"/>
  <c r="B2323" i="4"/>
  <c r="B278" i="4"/>
  <c r="E1938" i="4"/>
  <c r="E3120" i="4"/>
  <c r="B5" i="4"/>
  <c r="E4598" i="4"/>
  <c r="B82" i="4"/>
  <c r="E3333" i="4"/>
  <c r="E1730" i="4"/>
  <c r="E5" i="4"/>
  <c r="B198" i="4"/>
  <c r="E6268" i="4"/>
  <c r="E6245" i="4"/>
  <c r="B5264" i="4"/>
  <c r="B4462" i="4"/>
  <c r="E4404" i="4"/>
  <c r="E5791" i="4"/>
  <c r="B4151" i="4"/>
  <c r="B1524" i="4"/>
  <c r="E4145" i="4"/>
  <c r="E5290" i="4"/>
  <c r="B5279" i="4"/>
  <c r="B3372" i="4"/>
  <c r="E4718" i="4"/>
  <c r="B7784" i="4"/>
  <c r="B4739" i="4"/>
  <c r="B2623" i="4"/>
  <c r="B5516" i="4"/>
  <c r="B1533" i="4"/>
  <c r="E1430" i="4"/>
  <c r="B312" i="4"/>
  <c r="E1152" i="4"/>
  <c r="E5943" i="4"/>
  <c r="B1774" i="4"/>
  <c r="E3096" i="4"/>
  <c r="B2041" i="4"/>
  <c r="B4575" i="4"/>
  <c r="E6069" i="4"/>
  <c r="B2373" i="4"/>
  <c r="B4894" i="4"/>
  <c r="E5562" i="4"/>
  <c r="B3331" i="4"/>
  <c r="E5061" i="4"/>
  <c r="E10141" i="4"/>
  <c r="B6411" i="4"/>
  <c r="E6104" i="4"/>
  <c r="E5885" i="4"/>
  <c r="B5370" i="4"/>
  <c r="E3342" i="4"/>
  <c r="E3842" i="4"/>
  <c r="E4223" i="4"/>
  <c r="B10394" i="4"/>
  <c r="E8234" i="4"/>
  <c r="E6786" i="4"/>
  <c r="E7468" i="4"/>
  <c r="B1892" i="4"/>
  <c r="E5831" i="4"/>
  <c r="B8849" i="4"/>
  <c r="B4333" i="4"/>
  <c r="E53" i="4"/>
  <c r="B10790" i="4"/>
  <c r="B2536" i="4"/>
  <c r="B3267" i="4"/>
  <c r="B4456" i="4"/>
  <c r="B5475" i="4"/>
  <c r="E5408" i="4"/>
  <c r="E4331" i="4"/>
  <c r="B5136" i="4"/>
  <c r="B5014" i="4"/>
  <c r="E6841" i="4"/>
  <c r="E4571" i="4"/>
  <c r="B7792" i="4"/>
  <c r="E5088" i="4"/>
  <c r="B4072" i="4"/>
  <c r="E3111" i="4"/>
  <c r="E10512" i="4"/>
  <c r="B4757" i="4"/>
  <c r="E3963" i="4"/>
  <c r="B6778" i="4"/>
  <c r="E3524" i="4"/>
  <c r="B2896" i="4"/>
  <c r="B6357" i="4"/>
  <c r="E4791" i="4"/>
  <c r="B7944" i="4"/>
  <c r="E4752" i="4"/>
  <c r="E5267" i="4"/>
  <c r="E4069" i="4"/>
  <c r="B2184" i="4"/>
  <c r="B4671" i="4"/>
  <c r="B8665" i="4"/>
  <c r="B5515" i="4"/>
  <c r="B9306" i="4"/>
  <c r="B3385" i="4"/>
  <c r="B7955" i="4"/>
  <c r="B3727" i="4"/>
  <c r="B5668" i="4"/>
  <c r="B3120" i="4"/>
  <c r="B4198" i="4"/>
  <c r="B2913" i="4"/>
  <c r="E7137" i="4"/>
  <c r="E5093" i="4"/>
  <c r="E2975" i="4"/>
  <c r="B2963" i="4"/>
  <c r="E3754" i="4"/>
  <c r="B7374" i="4"/>
  <c r="E5407" i="4"/>
  <c r="E4462" i="4"/>
  <c r="B10246" i="4"/>
  <c r="E10705" i="4"/>
  <c r="E6321" i="4"/>
  <c r="B7242" i="4"/>
  <c r="E8051" i="4"/>
  <c r="E7140" i="4"/>
  <c r="E6659" i="4"/>
  <c r="E8684" i="4"/>
  <c r="E6041" i="4"/>
  <c r="B6790" i="4"/>
  <c r="B2542" i="4"/>
  <c r="E6468" i="4"/>
  <c r="B6026" i="4"/>
  <c r="B927" i="4"/>
  <c r="B4103" i="4"/>
  <c r="B4625" i="4"/>
  <c r="B4441" i="4"/>
  <c r="E5573" i="4"/>
  <c r="E5863" i="4"/>
  <c r="B4684" i="4"/>
  <c r="B2072" i="4"/>
  <c r="E964" i="4"/>
  <c r="E4726" i="4"/>
  <c r="B7711" i="4"/>
  <c r="B4861" i="4"/>
  <c r="B1768" i="4"/>
  <c r="E4154" i="4"/>
  <c r="B3258" i="4"/>
  <c r="E4123" i="4"/>
  <c r="E3908" i="4"/>
  <c r="E5131" i="4"/>
  <c r="B6115" i="4"/>
  <c r="B7740" i="4"/>
  <c r="E6303" i="4"/>
  <c r="E6822" i="4"/>
  <c r="E7941" i="4"/>
  <c r="B8102" i="4"/>
  <c r="B6144" i="4"/>
  <c r="B5456" i="4"/>
  <c r="B4254" i="4"/>
  <c r="B5762" i="4"/>
  <c r="E4058" i="4"/>
  <c r="B3364" i="4"/>
  <c r="B1935" i="4"/>
  <c r="E3028" i="4"/>
  <c r="E6344" i="4"/>
  <c r="B4637" i="4"/>
  <c r="E6943" i="4"/>
  <c r="E5204" i="4"/>
  <c r="E3433" i="4"/>
  <c r="E4267" i="4"/>
  <c r="B5262" i="4"/>
  <c r="B1870" i="4"/>
  <c r="B3311" i="4"/>
  <c r="E1920" i="4"/>
  <c r="E3813" i="4"/>
  <c r="E5109" i="4"/>
  <c r="E1806" i="4"/>
  <c r="E10861" i="4"/>
  <c r="B6891" i="4"/>
  <c r="B6482" i="4"/>
  <c r="E5309" i="4"/>
  <c r="E4930" i="4"/>
  <c r="E7920" i="4"/>
  <c r="B7817" i="4"/>
  <c r="B6204" i="4"/>
  <c r="B3528" i="4"/>
  <c r="E8407" i="4"/>
  <c r="E1895" i="4"/>
  <c r="E4407" i="4"/>
  <c r="B7649" i="4"/>
  <c r="B4420" i="4"/>
  <c r="E5006" i="4"/>
  <c r="B2971" i="4"/>
  <c r="E1989" i="4"/>
  <c r="E6218" i="4"/>
  <c r="E8218" i="4"/>
  <c r="E5332" i="4"/>
  <c r="B4140" i="4"/>
  <c r="E2833" i="4"/>
  <c r="B8284" i="4"/>
  <c r="B2029" i="4"/>
  <c r="B2853" i="4"/>
  <c r="E2481" i="4"/>
  <c r="E2902" i="4"/>
  <c r="B1639" i="4"/>
  <c r="E3870" i="4"/>
  <c r="E787" i="4"/>
  <c r="B3793" i="4"/>
  <c r="B1102" i="4"/>
  <c r="E136" i="4"/>
  <c r="E1786" i="4"/>
  <c r="E942" i="4"/>
  <c r="B1786" i="4"/>
  <c r="E3229" i="4"/>
  <c r="B1849" i="4"/>
  <c r="B2069" i="4"/>
  <c r="E2163" i="4"/>
  <c r="B2784" i="4"/>
  <c r="B953" i="4"/>
  <c r="B3397" i="4"/>
  <c r="B1313" i="4"/>
  <c r="E2210" i="4"/>
  <c r="E1336" i="4"/>
  <c r="E1059" i="4"/>
  <c r="B538" i="4"/>
  <c r="E1960" i="4"/>
  <c r="E1779" i="4"/>
  <c r="E1434" i="4"/>
  <c r="E1838" i="4"/>
  <c r="B4134" i="4"/>
  <c r="E727" i="4"/>
  <c r="B1237" i="4"/>
  <c r="E2356" i="4"/>
  <c r="E3460" i="4"/>
  <c r="E966" i="4"/>
  <c r="B749" i="4"/>
  <c r="E391" i="4"/>
  <c r="B669" i="4"/>
  <c r="E2746" i="4"/>
  <c r="B2097" i="4"/>
  <c r="E1849" i="4"/>
  <c r="B2020" i="4"/>
  <c r="E1426" i="4"/>
  <c r="E1979" i="4"/>
  <c r="E2112" i="4"/>
  <c r="B1732" i="4"/>
  <c r="E6747" i="4"/>
  <c r="B7818" i="4"/>
  <c r="B9064" i="4"/>
  <c r="B6288" i="4"/>
  <c r="E6482" i="4"/>
  <c r="E2341" i="4"/>
  <c r="B4160" i="4"/>
  <c r="E3950" i="4"/>
  <c r="E8863" i="4"/>
  <c r="B2416" i="4"/>
  <c r="E1867" i="4"/>
  <c r="E45" i="4"/>
  <c r="E3565" i="4"/>
  <c r="E5071" i="4"/>
  <c r="E6582" i="4"/>
  <c r="B4098" i="4"/>
  <c r="E5985" i="4"/>
  <c r="E6385" i="4"/>
  <c r="B1631" i="4"/>
  <c r="E5229" i="4"/>
  <c r="E1229" i="4"/>
  <c r="E2483" i="4"/>
  <c r="E947" i="4"/>
  <c r="E2607" i="4"/>
  <c r="E587" i="4"/>
  <c r="E4122" i="4"/>
  <c r="B758" i="4"/>
  <c r="B1355" i="4"/>
  <c r="E1316" i="4"/>
  <c r="E2314" i="4"/>
  <c r="E1352" i="4"/>
  <c r="E2326" i="4"/>
  <c r="E2673" i="4"/>
  <c r="B2889" i="4"/>
  <c r="E1709" i="4"/>
  <c r="B3428" i="4"/>
  <c r="B2769" i="4"/>
  <c r="E3862" i="4"/>
  <c r="E300" i="4"/>
  <c r="E1234" i="4"/>
  <c r="E190" i="4"/>
  <c r="E693" i="4"/>
  <c r="E409" i="4"/>
  <c r="E2150" i="4"/>
  <c r="E337" i="4"/>
  <c r="B2817" i="4"/>
  <c r="B943" i="4"/>
  <c r="E3623" i="4"/>
  <c r="E296" i="4"/>
  <c r="E2462" i="4"/>
  <c r="B1389" i="4"/>
  <c r="B3029" i="4"/>
  <c r="E286" i="4"/>
  <c r="B453" i="4"/>
  <c r="B783" i="4"/>
  <c r="B349" i="4"/>
  <c r="B639" i="4"/>
  <c r="E2096" i="4"/>
  <c r="E2089" i="4"/>
  <c r="B760" i="4"/>
  <c r="B2113" i="4"/>
  <c r="B695" i="4"/>
  <c r="B7098" i="4"/>
  <c r="E5094" i="4"/>
  <c r="E4263" i="4"/>
  <c r="E7128" i="4"/>
  <c r="E7267" i="4"/>
  <c r="B4019" i="4"/>
  <c r="E5494" i="4"/>
  <c r="E5413" i="4"/>
  <c r="B5221" i="4"/>
  <c r="B5119" i="4"/>
  <c r="B5647" i="4"/>
  <c r="E5671" i="4"/>
  <c r="B2938" i="4"/>
  <c r="E3887" i="4"/>
  <c r="E2039" i="4"/>
  <c r="E3679" i="4"/>
  <c r="E2693" i="4"/>
  <c r="B4492" i="4"/>
  <c r="E1637" i="4"/>
  <c r="E1723" i="4"/>
  <c r="B36" i="4"/>
  <c r="E1722" i="4"/>
  <c r="B192" i="4"/>
  <c r="E3996" i="4"/>
  <c r="B234" i="4"/>
  <c r="B4116" i="4"/>
  <c r="E779" i="4"/>
  <c r="E6594" i="4"/>
  <c r="E3928" i="4"/>
  <c r="B3720" i="4"/>
  <c r="E5067" i="4"/>
  <c r="B5694" i="4"/>
  <c r="B5483" i="4"/>
  <c r="E3435" i="4"/>
  <c r="E21" i="4"/>
  <c r="B2057" i="4"/>
  <c r="E724" i="4"/>
  <c r="B3322" i="4"/>
  <c r="B728" i="4"/>
  <c r="E85" i="4"/>
  <c r="B16" i="4"/>
  <c r="E1626" i="4"/>
  <c r="B992" i="4"/>
  <c r="E1627" i="4"/>
  <c r="B3418" i="4"/>
  <c r="E677" i="4"/>
  <c r="B566" i="4"/>
  <c r="B2157" i="4"/>
  <c r="B3820" i="4"/>
  <c r="B1717" i="4"/>
  <c r="B987" i="4"/>
  <c r="B4139" i="4"/>
  <c r="E4055" i="4"/>
  <c r="E4618" i="4"/>
  <c r="E7141" i="4"/>
  <c r="B2257" i="4"/>
  <c r="E2915" i="4"/>
  <c r="E2542" i="4"/>
  <c r="B3726" i="4"/>
  <c r="E66" i="4"/>
  <c r="E3685" i="4"/>
  <c r="B1492" i="4"/>
  <c r="B6793" i="4"/>
  <c r="E3552" i="4"/>
  <c r="B3984" i="4"/>
  <c r="B5659" i="4"/>
  <c r="B3740" i="4"/>
  <c r="B3548" i="4"/>
  <c r="E5395" i="4"/>
  <c r="B5210" i="4"/>
  <c r="B2897" i="4"/>
  <c r="E4378" i="4"/>
  <c r="E3317" i="4"/>
  <c r="B1911" i="4"/>
  <c r="B6133" i="4"/>
  <c r="E3584" i="4"/>
  <c r="E4675" i="4"/>
  <c r="E4978" i="4"/>
  <c r="E1931" i="4"/>
  <c r="E2391" i="4"/>
  <c r="E2460" i="4"/>
  <c r="B86" i="4"/>
  <c r="E307" i="4"/>
  <c r="B78" i="4"/>
  <c r="B2227" i="4"/>
  <c r="B3166" i="4"/>
  <c r="B1604" i="4"/>
  <c r="E3802" i="4"/>
  <c r="E1667" i="4"/>
  <c r="B2216" i="4"/>
  <c r="E3385" i="4"/>
  <c r="E1991" i="4"/>
  <c r="B3072" i="4"/>
  <c r="E2813" i="4"/>
  <c r="B1791" i="4"/>
  <c r="B4260" i="4"/>
  <c r="E4073" i="4"/>
  <c r="B1995" i="4"/>
  <c r="B3319" i="4"/>
  <c r="E1045" i="4"/>
  <c r="B596" i="4"/>
  <c r="E3131" i="4"/>
  <c r="E2688" i="4"/>
  <c r="B584" i="4"/>
  <c r="E4039" i="4"/>
  <c r="E134" i="4"/>
  <c r="B4534" i="4"/>
  <c r="E9104" i="4"/>
  <c r="E993" i="4"/>
  <c r="B2030" i="4"/>
  <c r="E3550" i="4"/>
  <c r="B6198" i="4"/>
  <c r="E972" i="4"/>
  <c r="B1273" i="4"/>
  <c r="E4498" i="4"/>
  <c r="E510" i="4"/>
  <c r="E3837" i="4"/>
  <c r="E434" i="4"/>
  <c r="B2499" i="4"/>
  <c r="B1219" i="4"/>
  <c r="E2107" i="4"/>
  <c r="E130" i="4"/>
  <c r="E2097" i="4"/>
  <c r="E7524" i="4"/>
  <c r="E6592" i="4"/>
  <c r="B6477" i="4"/>
  <c r="B4148" i="4"/>
  <c r="B6533" i="4"/>
  <c r="B5675" i="4"/>
  <c r="B4898" i="4"/>
  <c r="B6041" i="4"/>
  <c r="B5739" i="4"/>
  <c r="E4813" i="4"/>
  <c r="B2629" i="4"/>
  <c r="E1840" i="4"/>
  <c r="E1525" i="4"/>
  <c r="B3935" i="4"/>
  <c r="E1815" i="4"/>
  <c r="E5154" i="4"/>
  <c r="E2974" i="4"/>
  <c r="B765" i="4"/>
  <c r="E2491" i="4"/>
  <c r="B3232" i="4"/>
  <c r="B1405" i="4"/>
  <c r="B3283" i="4"/>
  <c r="E795" i="4"/>
  <c r="E4243" i="4"/>
  <c r="E341" i="4"/>
  <c r="B3186" i="4"/>
  <c r="B2473" i="4"/>
  <c r="B1250" i="4"/>
  <c r="E2328" i="4"/>
  <c r="B3804" i="4"/>
  <c r="B3265" i="4"/>
  <c r="B3570" i="4"/>
  <c r="B1773" i="4"/>
  <c r="E2869" i="4"/>
  <c r="B1582" i="4"/>
  <c r="E5380" i="4"/>
  <c r="E2005" i="4"/>
  <c r="E5500" i="4"/>
  <c r="E51" i="4"/>
  <c r="E1935" i="4"/>
  <c r="B2115" i="4"/>
  <c r="B4908" i="4"/>
  <c r="B2182" i="4"/>
  <c r="E1012" i="4"/>
  <c r="E362" i="4"/>
  <c r="E2485" i="4"/>
  <c r="B4822" i="4"/>
  <c r="E662" i="4"/>
  <c r="B2497" i="4"/>
  <c r="B1699" i="4"/>
  <c r="E2445" i="4"/>
  <c r="E364" i="4"/>
  <c r="B2428" i="4"/>
  <c r="B3602" i="4"/>
  <c r="B1051" i="4"/>
  <c r="E2709" i="4"/>
  <c r="E654" i="4"/>
  <c r="E819" i="4"/>
  <c r="E1033" i="4"/>
  <c r="E546" i="4"/>
  <c r="B1790" i="4"/>
  <c r="E522" i="4"/>
  <c r="B7646" i="4"/>
  <c r="B7449" i="4"/>
  <c r="B7976" i="4"/>
  <c r="E4982" i="4"/>
  <c r="B6187" i="4"/>
  <c r="B4516" i="4"/>
  <c r="B3113" i="4"/>
  <c r="E3940" i="4"/>
  <c r="E6641" i="4"/>
  <c r="B1648" i="4"/>
  <c r="E1597" i="4"/>
  <c r="B955" i="4"/>
  <c r="B4923" i="4"/>
  <c r="B4712" i="4"/>
  <c r="B4330" i="4"/>
  <c r="B3144" i="4"/>
  <c r="E2453" i="4"/>
  <c r="E5775" i="4"/>
  <c r="B3174" i="4"/>
  <c r="B3826" i="4"/>
  <c r="E1366" i="4"/>
  <c r="B2771" i="4"/>
  <c r="E850" i="4"/>
  <c r="B4685" i="4"/>
  <c r="B837" i="4"/>
  <c r="E3153" i="4"/>
  <c r="E333" i="4"/>
  <c r="E1624" i="4"/>
  <c r="B8333" i="4"/>
  <c r="B9110" i="4"/>
  <c r="B8248" i="4"/>
  <c r="E7087" i="4"/>
  <c r="B5605" i="4"/>
  <c r="B3589" i="4"/>
  <c r="B2441" i="4"/>
  <c r="B9575" i="4"/>
  <c r="B6837" i="4"/>
  <c r="E2765" i="4"/>
  <c r="E2878" i="4"/>
  <c r="E2564" i="4"/>
  <c r="B4043" i="4"/>
  <c r="B3889" i="4"/>
  <c r="B4788" i="4"/>
  <c r="B5766" i="4"/>
  <c r="B5004" i="4"/>
  <c r="B6615" i="4"/>
  <c r="B2388" i="4"/>
  <c r="B3070" i="4"/>
  <c r="B660" i="4"/>
  <c r="B3620" i="4"/>
  <c r="B512" i="4"/>
  <c r="B3116" i="4"/>
  <c r="E2161" i="4"/>
  <c r="E3698" i="4"/>
  <c r="E101" i="4"/>
  <c r="E2053" i="4"/>
  <c r="E7958" i="4"/>
  <c r="B7472" i="4"/>
  <c r="E6896" i="4"/>
  <c r="B4431" i="4"/>
  <c r="E7077" i="4"/>
  <c r="E3394" i="4"/>
  <c r="E3025" i="4"/>
  <c r="B7718" i="4"/>
  <c r="B7406" i="4"/>
  <c r="E3812" i="4"/>
  <c r="E1980" i="4"/>
  <c r="E1247" i="4"/>
  <c r="E4284" i="4"/>
  <c r="E4273" i="4"/>
  <c r="B4111" i="4"/>
  <c r="E3475" i="4"/>
  <c r="E3605" i="4"/>
  <c r="B4574" i="4"/>
  <c r="E1976" i="4"/>
  <c r="B5002" i="4"/>
  <c r="E344" i="4"/>
  <c r="E2566" i="4"/>
  <c r="B144" i="4"/>
  <c r="E3609" i="4"/>
  <c r="B1541" i="4"/>
  <c r="E5481" i="4"/>
  <c r="E2729" i="4"/>
  <c r="B2750" i="4"/>
  <c r="E7459" i="4"/>
  <c r="B6536" i="4"/>
  <c r="B6968" i="4"/>
  <c r="E6450" i="4"/>
  <c r="E5431" i="4"/>
  <c r="E2670" i="4"/>
  <c r="E2504" i="4"/>
  <c r="B9376" i="4"/>
  <c r="B6713" i="4"/>
  <c r="B3356" i="4"/>
  <c r="B2832" i="4"/>
  <c r="B917" i="4"/>
  <c r="E3765" i="4"/>
  <c r="E3600" i="4"/>
  <c r="E4685" i="4"/>
  <c r="B3039" i="4"/>
  <c r="E3059" i="4"/>
  <c r="E5231" i="4"/>
  <c r="B1611" i="4"/>
  <c r="E3314" i="4"/>
  <c r="E5358" i="4"/>
  <c r="E3067" i="4"/>
  <c r="E1205" i="4"/>
  <c r="E2812" i="4"/>
  <c r="B1150" i="4"/>
  <c r="B3466" i="4"/>
  <c r="B1676" i="4"/>
  <c r="E4185" i="4"/>
  <c r="B8444" i="4"/>
  <c r="B6118" i="4"/>
  <c r="B6090" i="4"/>
  <c r="E5377" i="4"/>
  <c r="B4972" i="4"/>
  <c r="E4586" i="4"/>
  <c r="E3691" i="4"/>
  <c r="E9165" i="4"/>
  <c r="B5915" i="4"/>
  <c r="B2995" i="4"/>
  <c r="E2010" i="4"/>
  <c r="B677" i="4"/>
  <c r="E3345" i="4"/>
  <c r="B4617" i="4"/>
  <c r="B5345" i="4"/>
  <c r="B5337" i="4"/>
  <c r="B5805" i="4"/>
  <c r="E5643" i="4"/>
  <c r="E1279" i="4"/>
  <c r="E2732" i="4"/>
  <c r="E1504" i="4"/>
  <c r="E2676" i="4"/>
  <c r="B712" i="4"/>
  <c r="B3291" i="4"/>
  <c r="E895" i="4"/>
  <c r="E5295" i="4"/>
  <c r="B1259" i="4"/>
  <c r="E127" i="4"/>
  <c r="E6214" i="4"/>
  <c r="E6335" i="4"/>
  <c r="B5157" i="4"/>
  <c r="B6947" i="4"/>
  <c r="B6189" i="4"/>
  <c r="E5477" i="4"/>
  <c r="E5368" i="4"/>
  <c r="E4479" i="4"/>
  <c r="B3406" i="4"/>
  <c r="E7704" i="4"/>
  <c r="B4950" i="4"/>
  <c r="E2797" i="4"/>
  <c r="E2887" i="4"/>
  <c r="E1591" i="4"/>
  <c r="E3681" i="4"/>
  <c r="E6355" i="4"/>
  <c r="E1601" i="4"/>
  <c r="E3564" i="4"/>
  <c r="B1513" i="4"/>
  <c r="B3286" i="4"/>
  <c r="B1932" i="4"/>
  <c r="B1910" i="4"/>
  <c r="E604" i="4"/>
  <c r="E1198" i="4"/>
  <c r="E323" i="4"/>
  <c r="B2803" i="4"/>
  <c r="B1348" i="4"/>
  <c r="E6050" i="4"/>
  <c r="E5989" i="4"/>
  <c r="E7354" i="4"/>
  <c r="E5559" i="4"/>
  <c r="B4453" i="4"/>
  <c r="E3162" i="4"/>
  <c r="B2319" i="4"/>
  <c r="B7414" i="4"/>
  <c r="E6067" i="4"/>
  <c r="B4221" i="4"/>
  <c r="B5523" i="4"/>
  <c r="B6051" i="4"/>
  <c r="B3966" i="4"/>
  <c r="E2302" i="4"/>
  <c r="E7492" i="4"/>
  <c r="E4478" i="4"/>
  <c r="B5309" i="4"/>
  <c r="B1398" i="4"/>
  <c r="E3602" i="4"/>
  <c r="B2879" i="4"/>
  <c r="E1899" i="4"/>
  <c r="E772" i="4"/>
  <c r="E2783" i="4"/>
  <c r="E16" i="4"/>
  <c r="E1881" i="4"/>
  <c r="E960" i="4"/>
  <c r="E4059" i="4"/>
  <c r="E877" i="4"/>
  <c r="B5132" i="4"/>
  <c r="B4092" i="4"/>
  <c r="E3663" i="4"/>
  <c r="E4487" i="4"/>
  <c r="B7865" i="4"/>
  <c r="E6110" i="4"/>
  <c r="E5376" i="4"/>
  <c r="B6937" i="4"/>
  <c r="B7833" i="4"/>
  <c r="B1123" i="4"/>
  <c r="E3876" i="4"/>
  <c r="B2857" i="4"/>
  <c r="B3191" i="4"/>
  <c r="E3079" i="4"/>
  <c r="B2346" i="4"/>
  <c r="E2410" i="4"/>
  <c r="B2636" i="4"/>
  <c r="E1851" i="4"/>
  <c r="B2178" i="4"/>
  <c r="B6307" i="4"/>
  <c r="E3191" i="4"/>
  <c r="B1056" i="4"/>
  <c r="B6363" i="4"/>
  <c r="E1906" i="4"/>
  <c r="E1676" i="4"/>
  <c r="B3007" i="4"/>
  <c r="E990" i="4"/>
  <c r="B1141" i="4"/>
  <c r="E977" i="4"/>
  <c r="E1149" i="4"/>
  <c r="B1223" i="4"/>
  <c r="B9299" i="4"/>
  <c r="E3642" i="4"/>
  <c r="E2825" i="4"/>
  <c r="E4119" i="4"/>
  <c r="E4337" i="4"/>
  <c r="E5486" i="4"/>
  <c r="B947" i="4"/>
  <c r="E326" i="4"/>
  <c r="B1508" i="4"/>
  <c r="E311" i="4"/>
  <c r="E1066" i="4"/>
  <c r="E2893" i="4"/>
  <c r="E3597" i="4"/>
  <c r="B1993" i="4"/>
  <c r="B851" i="4"/>
  <c r="B803" i="4"/>
  <c r="E2178" i="4"/>
  <c r="B1510" i="4"/>
  <c r="B762" i="4"/>
  <c r="E244" i="4"/>
  <c r="B2609" i="4"/>
  <c r="E900" i="4"/>
  <c r="E800" i="4"/>
  <c r="B395" i="4"/>
  <c r="E1948" i="4"/>
  <c r="B1281" i="4"/>
  <c r="E3417" i="4"/>
  <c r="B472" i="4"/>
  <c r="E154" i="4"/>
  <c r="B2334" i="4"/>
  <c r="B1357" i="4"/>
  <c r="E414" i="4"/>
  <c r="E738" i="4"/>
  <c r="E6556" i="4"/>
  <c r="B73" i="4"/>
  <c r="E355" i="4"/>
  <c r="B9063" i="4"/>
  <c r="E5765" i="4"/>
  <c r="E3621" i="4"/>
  <c r="B5307" i="4"/>
  <c r="E5417" i="4"/>
  <c r="B3342" i="4"/>
  <c r="E4424" i="4"/>
  <c r="E3444" i="4"/>
  <c r="E2532" i="4"/>
  <c r="E5012" i="4"/>
  <c r="E4131" i="4"/>
  <c r="E719" i="4"/>
  <c r="E903" i="4"/>
  <c r="B1160" i="4"/>
  <c r="B6386" i="4"/>
  <c r="B4294" i="4"/>
  <c r="B4546" i="4"/>
  <c r="B4105" i="4"/>
  <c r="E4231" i="4"/>
  <c r="E4916" i="4"/>
  <c r="B1906" i="4"/>
  <c r="B1741" i="4"/>
  <c r="E508" i="4"/>
  <c r="B403" i="4"/>
  <c r="B1571" i="4"/>
  <c r="B9618" i="4"/>
  <c r="B436" i="4"/>
  <c r="E3731" i="4"/>
  <c r="E2048" i="4"/>
  <c r="B2741" i="4"/>
  <c r="E1818" i="4"/>
  <c r="E4661" i="4"/>
  <c r="E2990" i="4"/>
  <c r="B2606" i="4"/>
  <c r="B129" i="4"/>
  <c r="E165" i="4"/>
  <c r="B3797" i="4"/>
  <c r="E1766" i="4"/>
  <c r="B3598" i="4"/>
  <c r="E2863" i="4"/>
  <c r="E449" i="4"/>
  <c r="B3884" i="4"/>
  <c r="E1514" i="4"/>
  <c r="B3814" i="4"/>
  <c r="B5351" i="4"/>
  <c r="B368" i="4"/>
  <c r="E340" i="4"/>
  <c r="B586" i="4"/>
  <c r="E1954" i="4"/>
  <c r="E1724" i="4"/>
  <c r="B56" i="4"/>
  <c r="B1368" i="4"/>
  <c r="B1120" i="4"/>
  <c r="E2260" i="4"/>
  <c r="E4187" i="4"/>
  <c r="E606" i="4"/>
  <c r="E1528" i="4"/>
  <c r="E897" i="4"/>
  <c r="E614" i="4"/>
  <c r="B1161" i="4"/>
  <c r="E3015" i="4"/>
  <c r="B48" i="4"/>
  <c r="E1070" i="4"/>
  <c r="B8185" i="4"/>
  <c r="B5025" i="4"/>
  <c r="E4366" i="4"/>
  <c r="B4943" i="4"/>
  <c r="B3772" i="4"/>
  <c r="E6679" i="4"/>
  <c r="E7142" i="4"/>
  <c r="E4520" i="4"/>
  <c r="B3616" i="4"/>
  <c r="B3362" i="4"/>
  <c r="E2316" i="4"/>
  <c r="E3036" i="4"/>
  <c r="B4489" i="4"/>
  <c r="E742" i="4"/>
  <c r="E2773" i="4"/>
  <c r="B5207" i="4"/>
  <c r="E2917" i="4"/>
  <c r="B5653" i="4"/>
  <c r="E2060" i="4"/>
  <c r="B3923" i="4"/>
  <c r="B819" i="4"/>
  <c r="B1175" i="4"/>
  <c r="E2509" i="4"/>
  <c r="B1705" i="4"/>
  <c r="B1121" i="4"/>
  <c r="B3340" i="4"/>
  <c r="B1449" i="4"/>
  <c r="E2130" i="4"/>
  <c r="E3743" i="4"/>
  <c r="B2729" i="4"/>
  <c r="B997" i="4"/>
  <c r="E1305" i="4"/>
  <c r="E4186" i="4"/>
  <c r="B2110" i="4"/>
  <c r="E1063" i="4"/>
  <c r="B74" i="4"/>
  <c r="B373" i="4"/>
  <c r="E375" i="4"/>
  <c r="B1938" i="4"/>
  <c r="E2894" i="4"/>
  <c r="E440" i="4"/>
  <c r="E4025" i="4"/>
  <c r="B2619" i="4"/>
  <c r="E5883" i="4"/>
  <c r="B3254" i="4"/>
  <c r="E3700" i="4"/>
  <c r="B1972" i="4"/>
  <c r="B2189" i="4"/>
  <c r="E1359" i="4"/>
  <c r="E3619" i="4"/>
  <c r="E3953" i="4"/>
  <c r="E758" i="4"/>
  <c r="B1342" i="4"/>
  <c r="E436" i="4"/>
  <c r="B4730" i="4"/>
  <c r="B1684" i="4"/>
  <c r="E454" i="4"/>
  <c r="B47" i="4"/>
  <c r="E682" i="4"/>
  <c r="E871" i="4"/>
  <c r="B693" i="4"/>
  <c r="B619" i="4"/>
  <c r="E10272" i="4"/>
  <c r="B9423" i="4"/>
  <c r="B7836" i="4"/>
  <c r="B4335" i="4"/>
  <c r="E4036" i="4"/>
  <c r="B6275" i="4"/>
  <c r="B5281" i="4"/>
  <c r="E2986" i="4"/>
  <c r="E4785" i="4"/>
  <c r="B3193" i="4"/>
  <c r="B413" i="4"/>
  <c r="E1888" i="4"/>
  <c r="B2121" i="4"/>
  <c r="B799" i="4"/>
  <c r="E3353" i="4"/>
  <c r="B1091" i="4"/>
  <c r="E5694" i="4"/>
  <c r="E2872" i="4"/>
  <c r="E3937" i="4"/>
  <c r="B2171" i="4"/>
  <c r="E1774" i="4"/>
  <c r="E359" i="4"/>
  <c r="E2156" i="4"/>
  <c r="B1502" i="4"/>
  <c r="B5061" i="4"/>
  <c r="E383" i="4"/>
  <c r="E3190" i="4"/>
  <c r="B516" i="4"/>
  <c r="B2601" i="4"/>
  <c r="E3014" i="4"/>
  <c r="E2910" i="4"/>
  <c r="E1555" i="4"/>
  <c r="B667" i="4"/>
  <c r="E2494" i="4"/>
  <c r="B1303" i="4"/>
  <c r="E2199" i="4"/>
  <c r="B2797" i="4"/>
  <c r="E3973" i="4"/>
  <c r="B106" i="4"/>
  <c r="B638" i="4"/>
  <c r="B3347" i="4"/>
  <c r="E1953" i="4"/>
  <c r="B1199" i="4"/>
  <c r="E4" i="4"/>
  <c r="B2558" i="4"/>
  <c r="B2627" i="4"/>
  <c r="B2366" i="4"/>
  <c r="B2632" i="4"/>
  <c r="E206" i="4"/>
  <c r="B50" i="4"/>
  <c r="E1476" i="4"/>
  <c r="E2751" i="4"/>
  <c r="B5522" i="4"/>
  <c r="B3185" i="4"/>
  <c r="E178" i="4"/>
  <c r="B694" i="4"/>
  <c r="B2561" i="4"/>
  <c r="E951" i="4"/>
  <c r="E1689" i="4"/>
  <c r="E1848" i="4"/>
  <c r="E790" i="4"/>
  <c r="B1625" i="4"/>
  <c r="B367" i="4"/>
  <c r="B7531" i="4"/>
  <c r="E6792" i="4"/>
  <c r="E4591" i="4"/>
  <c r="E7688" i="4"/>
  <c r="B5702" i="4"/>
  <c r="E1258" i="4"/>
  <c r="E1607" i="4"/>
  <c r="E5545" i="4"/>
  <c r="E4851" i="4"/>
  <c r="E2288" i="4"/>
  <c r="B2587" i="4"/>
  <c r="E1482" i="4"/>
  <c r="B24" i="4"/>
  <c r="B389" i="4"/>
  <c r="B1671" i="4"/>
  <c r="E4401" i="4"/>
  <c r="E2904" i="4"/>
  <c r="E1270" i="4"/>
  <c r="B3656" i="4"/>
  <c r="B1810" i="4"/>
  <c r="B358" i="4"/>
  <c r="E3169" i="4"/>
  <c r="B167" i="4"/>
  <c r="B763" i="4"/>
  <c r="B4704" i="4"/>
  <c r="E1203" i="4"/>
  <c r="B3151" i="4"/>
  <c r="E4216" i="4"/>
  <c r="E3256" i="4"/>
  <c r="E4773" i="4"/>
  <c r="B3073" i="4"/>
  <c r="E5479" i="4"/>
  <c r="B4947" i="4"/>
  <c r="B5749" i="4"/>
  <c r="E32" i="4"/>
  <c r="B2038" i="4"/>
  <c r="B1425" i="4"/>
  <c r="E523" i="4"/>
  <c r="E3934" i="4"/>
  <c r="B2402" i="4"/>
  <c r="E151" i="4"/>
  <c r="B160" i="4"/>
  <c r="E1902" i="4"/>
  <c r="E2875" i="4"/>
  <c r="E265" i="4"/>
  <c r="B1750" i="4"/>
  <c r="B1637" i="4"/>
  <c r="B1203" i="4"/>
  <c r="B4859" i="4"/>
  <c r="E796" i="4"/>
  <c r="B805" i="4"/>
  <c r="B1660" i="4"/>
  <c r="E2017" i="4"/>
  <c r="B3398" i="4"/>
  <c r="B950" i="4"/>
  <c r="E1061" i="4"/>
  <c r="E1925" i="4"/>
  <c r="E1564" i="4"/>
  <c r="B775" i="4"/>
  <c r="B1496" i="4"/>
  <c r="B1064" i="4"/>
  <c r="E260" i="4"/>
  <c r="E887" i="4"/>
  <c r="E8288" i="4"/>
  <c r="E6024" i="4"/>
  <c r="B6241" i="4"/>
  <c r="B4683" i="4"/>
  <c r="E2565" i="4"/>
  <c r="B5536" i="4"/>
  <c r="E3091" i="4"/>
  <c r="B3612" i="4"/>
  <c r="E4512" i="4"/>
  <c r="B4027" i="4"/>
  <c r="E3438" i="4"/>
  <c r="E2704" i="4"/>
  <c r="B4119" i="4"/>
  <c r="B568" i="4"/>
  <c r="E2645" i="4"/>
  <c r="E1298" i="4"/>
  <c r="E3338" i="4"/>
  <c r="E2771" i="4"/>
  <c r="B3862" i="4"/>
  <c r="E3365" i="4"/>
  <c r="B1837" i="4"/>
  <c r="B1862" i="4"/>
  <c r="B2533" i="4"/>
  <c r="B674" i="4"/>
  <c r="E1438" i="4"/>
  <c r="B3200" i="4"/>
  <c r="E1858" i="4"/>
  <c r="E1432" i="4"/>
  <c r="B585" i="4"/>
  <c r="B287" i="4"/>
  <c r="B8722" i="4"/>
  <c r="B6374" i="4"/>
  <c r="E7187" i="4"/>
  <c r="E4951" i="4"/>
  <c r="E3022" i="4"/>
  <c r="E2135" i="4"/>
  <c r="B2702" i="4"/>
  <c r="E3980" i="4"/>
  <c r="E4206" i="4"/>
  <c r="E5077" i="4"/>
  <c r="B1442" i="4"/>
  <c r="B1006" i="4"/>
  <c r="E1112" i="4"/>
  <c r="E959" i="4"/>
  <c r="B3259" i="4"/>
  <c r="B1765" i="4"/>
  <c r="E5098" i="4"/>
  <c r="E703" i="4"/>
  <c r="E6813" i="4"/>
  <c r="B6173" i="4"/>
  <c r="E9966" i="4"/>
  <c r="B5292" i="4"/>
  <c r="E5307" i="4"/>
  <c r="B3278" i="4"/>
  <c r="E5585" i="4"/>
  <c r="B2950" i="4"/>
  <c r="E2323" i="4"/>
  <c r="E1922" i="4"/>
  <c r="E2267" i="4"/>
  <c r="B1117" i="4"/>
  <c r="E4425" i="4"/>
  <c r="B1334" i="4"/>
  <c r="E2580" i="4"/>
  <c r="E2318" i="4"/>
  <c r="B7009" i="4"/>
  <c r="B5234" i="4"/>
  <c r="E8183" i="4"/>
  <c r="B4368" i="4"/>
  <c r="E4020" i="4"/>
  <c r="B2612" i="4"/>
  <c r="B3810" i="4"/>
  <c r="E6306" i="4"/>
  <c r="E7150" i="4"/>
  <c r="E8307" i="4"/>
  <c r="E5860" i="4"/>
  <c r="E2221" i="4"/>
  <c r="B4616" i="4"/>
  <c r="E245" i="4"/>
  <c r="B2877" i="4"/>
  <c r="B2978" i="4"/>
  <c r="E5741" i="4"/>
  <c r="E6818" i="4"/>
  <c r="E5460" i="4"/>
  <c r="E5412" i="4"/>
  <c r="E5274" i="4"/>
  <c r="E3408" i="4"/>
  <c r="E4584" i="4"/>
  <c r="B4159" i="4"/>
  <c r="E1004" i="4"/>
  <c r="E3624" i="4"/>
  <c r="E2309" i="4"/>
  <c r="E3915" i="4"/>
  <c r="E4941" i="4"/>
  <c r="E3316" i="4"/>
  <c r="E7462" i="4"/>
  <c r="B3753" i="4"/>
  <c r="B8993" i="4"/>
  <c r="E5343" i="4"/>
  <c r="E3472" i="4"/>
  <c r="B2376" i="4"/>
  <c r="E3516" i="4"/>
  <c r="B7647" i="4"/>
  <c r="E3065" i="4"/>
  <c r="E6916" i="4"/>
  <c r="B5462" i="4"/>
  <c r="E3948" i="4"/>
  <c r="E1472" i="4"/>
  <c r="E5513" i="4"/>
  <c r="E5469" i="4"/>
  <c r="B5755" i="4"/>
  <c r="E8226" i="4"/>
  <c r="E4414" i="4"/>
  <c r="E5715" i="4"/>
  <c r="E9339" i="4"/>
  <c r="E2672" i="4"/>
  <c r="B2519" i="4"/>
  <c r="E2651" i="4"/>
  <c r="E2802" i="4"/>
  <c r="E4923" i="4"/>
  <c r="B2700" i="4"/>
  <c r="E5264" i="4"/>
  <c r="B3014" i="4"/>
  <c r="B1736" i="4"/>
  <c r="B2855" i="4"/>
  <c r="B3851" i="4"/>
  <c r="B2435" i="4"/>
  <c r="E4729" i="4"/>
  <c r="B3219" i="4"/>
  <c r="E2994" i="4"/>
  <c r="B5850" i="4"/>
  <c r="B7466" i="4"/>
  <c r="B5011" i="4"/>
  <c r="B4702" i="4"/>
  <c r="B4979" i="4"/>
  <c r="E4299" i="4"/>
  <c r="E3618" i="4"/>
  <c r="E8939" i="4"/>
  <c r="B5968" i="4"/>
  <c r="B9720" i="4"/>
  <c r="E5325" i="4"/>
  <c r="B8168" i="4"/>
  <c r="B5838" i="4"/>
  <c r="E5328" i="4"/>
  <c r="B4829" i="4"/>
  <c r="B4383" i="4"/>
  <c r="B9037" i="4"/>
  <c r="E5180" i="4"/>
  <c r="E5009" i="4"/>
  <c r="E4572" i="4"/>
  <c r="E4140" i="4"/>
  <c r="E5672" i="4"/>
  <c r="E5393" i="4"/>
  <c r="E4816" i="4"/>
  <c r="E4731" i="4"/>
  <c r="B3936" i="4"/>
  <c r="B3803" i="4"/>
  <c r="E2365" i="4"/>
  <c r="B8295" i="4"/>
  <c r="E1498" i="4"/>
  <c r="E7649" i="4"/>
  <c r="E3031" i="4"/>
  <c r="B4085" i="4"/>
  <c r="B4587" i="4"/>
  <c r="E3173" i="4"/>
  <c r="B2264" i="4"/>
  <c r="E2543" i="4"/>
  <c r="E3172" i="4"/>
  <c r="B2351" i="4"/>
  <c r="B7766" i="4"/>
  <c r="E6827" i="4"/>
  <c r="B7761" i="4"/>
  <c r="B4944" i="4"/>
  <c r="B6571" i="4"/>
  <c r="B6854" i="4"/>
  <c r="E5310" i="4"/>
  <c r="E5907" i="4"/>
  <c r="B4915" i="4"/>
  <c r="B2335" i="4"/>
  <c r="B3168" i="4"/>
  <c r="E2497" i="4"/>
  <c r="B3843" i="4"/>
  <c r="B4758" i="4"/>
  <c r="E8193" i="4"/>
  <c r="E5186" i="4"/>
  <c r="E6573" i="4"/>
  <c r="E9128" i="4"/>
  <c r="B5006" i="4"/>
  <c r="B3981" i="4"/>
  <c r="E2334" i="4"/>
  <c r="E2591" i="4"/>
  <c r="E1675" i="4"/>
  <c r="E3280" i="4"/>
  <c r="B3309" i="4"/>
  <c r="B7797" i="4"/>
  <c r="B6475" i="4"/>
  <c r="E6711" i="4"/>
  <c r="E5238" i="4"/>
  <c r="E4167" i="4"/>
  <c r="E4164" i="4"/>
  <c r="B6984" i="4"/>
  <c r="E5073" i="4"/>
  <c r="B4973" i="4"/>
  <c r="B3537" i="4"/>
  <c r="B6576" i="4"/>
  <c r="B5674" i="4"/>
  <c r="B4962" i="4"/>
  <c r="B5350" i="4"/>
  <c r="B5089" i="4"/>
  <c r="E3569" i="4"/>
  <c r="E4313" i="4"/>
  <c r="E5103" i="4"/>
  <c r="E3791" i="4"/>
  <c r="E6340" i="4"/>
  <c r="B5667" i="4"/>
  <c r="E2255" i="4"/>
  <c r="B3613" i="4"/>
  <c r="B3206" i="4"/>
  <c r="E2312" i="4"/>
  <c r="E3570" i="4"/>
  <c r="E97" i="4"/>
  <c r="B3111" i="4"/>
  <c r="E923" i="4"/>
  <c r="E4281" i="4"/>
  <c r="B1700" i="4"/>
  <c r="B5079" i="4"/>
  <c r="E1429" i="4"/>
  <c r="E5815" i="4"/>
  <c r="E6481" i="4"/>
  <c r="E3920" i="4"/>
  <c r="B3680" i="4"/>
  <c r="E5046" i="4"/>
  <c r="E5583" i="4"/>
  <c r="E5340" i="4"/>
  <c r="E493" i="4"/>
  <c r="E4622" i="4"/>
  <c r="E2548" i="4"/>
  <c r="E2628" i="4"/>
  <c r="B1422" i="4"/>
  <c r="E701" i="4"/>
  <c r="B528" i="4"/>
  <c r="B1130" i="4"/>
  <c r="E1649" i="4"/>
  <c r="B1361" i="4"/>
  <c r="E1785" i="4"/>
  <c r="B1726" i="4"/>
  <c r="E1386" i="4"/>
  <c r="B4850" i="4"/>
  <c r="E4030" i="4"/>
  <c r="B675" i="4"/>
  <c r="B2933" i="4"/>
  <c r="B4153" i="4"/>
  <c r="B991" i="4"/>
  <c r="E327" i="4"/>
  <c r="B97" i="4"/>
  <c r="E7124" i="4"/>
  <c r="B4573" i="4"/>
  <c r="B4452" i="4"/>
  <c r="B5078" i="4"/>
  <c r="B2211" i="4"/>
  <c r="B2757" i="4"/>
  <c r="E6474" i="4"/>
  <c r="B4261" i="4"/>
  <c r="B2819" i="4"/>
  <c r="E405" i="4"/>
  <c r="E2681" i="4"/>
  <c r="E3388" i="4"/>
  <c r="E1860" i="4"/>
  <c r="E697" i="4"/>
  <c r="B34" i="4"/>
  <c r="E3744" i="4"/>
  <c r="E5271" i="4"/>
  <c r="B2739" i="4"/>
  <c r="E4254" i="4"/>
  <c r="B2096" i="4"/>
  <c r="B302" i="4"/>
  <c r="E3024" i="4"/>
  <c r="E2487" i="4"/>
  <c r="E3226" i="4"/>
  <c r="B1597" i="4"/>
  <c r="E1275" i="4"/>
  <c r="B9150" i="4"/>
  <c r="B5503" i="4"/>
  <c r="B1297" i="4"/>
  <c r="E342" i="4"/>
  <c r="E7862" i="4"/>
  <c r="E7543" i="4"/>
  <c r="E6566" i="4"/>
  <c r="B1923" i="4"/>
  <c r="B3509" i="4"/>
  <c r="E1770" i="4"/>
  <c r="E565" i="4"/>
  <c r="E3484" i="4"/>
  <c r="E2472" i="4"/>
  <c r="E830" i="4"/>
  <c r="E272" i="4"/>
  <c r="E1018" i="4"/>
  <c r="E1303" i="4"/>
  <c r="B916" i="4"/>
  <c r="E2513" i="4"/>
  <c r="B1948" i="4"/>
  <c r="B7790" i="4"/>
  <c r="E2643" i="4"/>
  <c r="B2274" i="4"/>
  <c r="E6580" i="4"/>
  <c r="B3380" i="4"/>
  <c r="E1734" i="4"/>
  <c r="E557" i="4"/>
  <c r="E1890" i="4"/>
  <c r="E1752" i="4"/>
  <c r="E630" i="4"/>
  <c r="E2957" i="4"/>
  <c r="E2473" i="4"/>
  <c r="B2651" i="4"/>
  <c r="B2011" i="4"/>
  <c r="E1961" i="4"/>
  <c r="B8928" i="4"/>
  <c r="E6702" i="4"/>
  <c r="B5143" i="4"/>
  <c r="B3146" i="4"/>
  <c r="E1306" i="4"/>
  <c r="B504" i="4"/>
  <c r="B687" i="4"/>
  <c r="E6835" i="4"/>
  <c r="B5509" i="4"/>
  <c r="B4349" i="4"/>
  <c r="E2740" i="4"/>
  <c r="B3650" i="4"/>
  <c r="E2376" i="4"/>
  <c r="E233" i="4"/>
  <c r="B7854" i="4"/>
  <c r="B7398" i="4"/>
  <c r="E4012" i="4"/>
  <c r="E4110" i="4"/>
  <c r="E2508" i="4"/>
  <c r="B524" i="4"/>
  <c r="B2294" i="4"/>
  <c r="E7037" i="4"/>
  <c r="B6230" i="4"/>
  <c r="E4496" i="4"/>
  <c r="B2829" i="4"/>
  <c r="B2051" i="4"/>
  <c r="B2324" i="4"/>
  <c r="E1159" i="4"/>
  <c r="B6706" i="4"/>
  <c r="E7719" i="4"/>
  <c r="E3881" i="4"/>
  <c r="B4284" i="4"/>
  <c r="E2018" i="4"/>
  <c r="E642" i="4"/>
  <c r="B634" i="4"/>
  <c r="B5639" i="4"/>
  <c r="E4517" i="4"/>
  <c r="E6889" i="4"/>
  <c r="E5019" i="4"/>
  <c r="E1718" i="4"/>
  <c r="E5517" i="4"/>
  <c r="E759" i="4"/>
  <c r="B4495" i="4"/>
  <c r="B3000" i="4"/>
  <c r="E5254" i="4"/>
  <c r="E3275" i="4"/>
  <c r="B790" i="4"/>
  <c r="E4491" i="4"/>
  <c r="B1401" i="4"/>
  <c r="E2971" i="4"/>
  <c r="B5043" i="4"/>
  <c r="B3946" i="4"/>
  <c r="E5044" i="4"/>
  <c r="E2248" i="4"/>
  <c r="E3888" i="4"/>
  <c r="E2836" i="4"/>
  <c r="B25" i="4"/>
  <c r="E1416" i="4"/>
  <c r="E5004" i="4"/>
  <c r="B767" i="4"/>
  <c r="B2015" i="4"/>
  <c r="E2268" i="4"/>
  <c r="B2010" i="4"/>
  <c r="B1834" i="4"/>
  <c r="B96" i="4"/>
  <c r="B1592" i="4"/>
  <c r="E3035" i="4"/>
  <c r="E6860" i="4"/>
  <c r="E3579" i="4"/>
  <c r="B2295" i="4"/>
  <c r="B2796" i="4"/>
  <c r="B3986" i="4"/>
  <c r="E552" i="4"/>
  <c r="E1523" i="4"/>
  <c r="B1239" i="4"/>
  <c r="E1356" i="4"/>
  <c r="B647" i="4"/>
  <c r="E515" i="4"/>
  <c r="E3270" i="4"/>
  <c r="B5324" i="4"/>
  <c r="E2608" i="4"/>
  <c r="E9786" i="4"/>
  <c r="E4458" i="4"/>
  <c r="E2951" i="4"/>
  <c r="E2711" i="4"/>
  <c r="B4346" i="4"/>
  <c r="B2254" i="4"/>
  <c r="B5258" i="4"/>
  <c r="B1627" i="4"/>
  <c r="B1067" i="4"/>
  <c r="E343" i="4"/>
  <c r="B2193" i="4"/>
  <c r="B2507" i="4"/>
  <c r="B226" i="4"/>
  <c r="E6414" i="4"/>
  <c r="E2617" i="4"/>
  <c r="E1288" i="4"/>
  <c r="E6533" i="4"/>
  <c r="E1692" i="4"/>
  <c r="B3021" i="4"/>
  <c r="B613" i="4"/>
  <c r="E1670" i="4"/>
  <c r="B3210" i="4"/>
  <c r="B4036" i="4"/>
  <c r="E1151" i="4"/>
  <c r="E794" i="4"/>
  <c r="E5828" i="4"/>
  <c r="B2567" i="4"/>
  <c r="B2943" i="4"/>
  <c r="B6140" i="4"/>
  <c r="E5582" i="4"/>
  <c r="B1618" i="4"/>
  <c r="E4681" i="4"/>
  <c r="B323" i="4"/>
  <c r="B267" i="4"/>
  <c r="B332" i="4"/>
  <c r="B1040" i="4"/>
  <c r="B2444" i="4"/>
  <c r="E1442" i="4"/>
  <c r="B2479" i="4"/>
  <c r="B296" i="4"/>
  <c r="E369" i="4"/>
  <c r="B2872" i="4"/>
  <c r="B1729" i="4"/>
  <c r="B6440" i="4"/>
  <c r="E1592" i="4"/>
  <c r="B4582" i="4"/>
  <c r="B3759" i="4"/>
  <c r="B1445" i="4"/>
  <c r="E4253" i="4"/>
  <c r="E1124" i="4"/>
  <c r="E4308" i="4"/>
  <c r="E910" i="4"/>
  <c r="E2774" i="4"/>
  <c r="B547" i="4"/>
  <c r="E302" i="4"/>
  <c r="B277" i="4"/>
  <c r="B559" i="4"/>
  <c r="E2468" i="4"/>
  <c r="B1082" i="4"/>
  <c r="B2946" i="4"/>
  <c r="B682" i="4"/>
  <c r="B4448" i="4"/>
  <c r="E1769" i="4"/>
  <c r="E347" i="4"/>
  <c r="B1825" i="4"/>
  <c r="B2970" i="4"/>
  <c r="E1448" i="4"/>
  <c r="B2693" i="4"/>
  <c r="E1822" i="4"/>
  <c r="E1788" i="4"/>
  <c r="B831" i="4"/>
  <c r="E804" i="4"/>
  <c r="B2768" i="4"/>
  <c r="E4112" i="4"/>
  <c r="E9781" i="4"/>
  <c r="E9286" i="4"/>
  <c r="B3922" i="4"/>
  <c r="E2490" i="4"/>
  <c r="B3366" i="4"/>
  <c r="E3599" i="4"/>
  <c r="B2780" i="4"/>
  <c r="E4367" i="4"/>
  <c r="E3506" i="4"/>
  <c r="B1661" i="4"/>
  <c r="B4248" i="4"/>
  <c r="E412" i="4"/>
  <c r="B3275" i="4"/>
  <c r="E1608" i="4"/>
  <c r="B4543" i="4"/>
  <c r="B5690" i="4"/>
  <c r="E6288" i="4"/>
  <c r="B6925" i="4"/>
  <c r="B493" i="4"/>
  <c r="E5249" i="4"/>
  <c r="B598" i="4"/>
  <c r="B1965" i="4"/>
  <c r="E3403" i="4"/>
  <c r="B440" i="4"/>
  <c r="E308" i="4"/>
  <c r="E2961" i="4"/>
  <c r="E2081" i="4"/>
  <c r="B4956" i="4"/>
  <c r="B3427" i="4"/>
  <c r="B3655" i="4"/>
  <c r="E1609" i="4"/>
  <c r="B5071" i="4"/>
  <c r="B655" i="4"/>
  <c r="B607" i="4"/>
  <c r="B1247" i="4"/>
  <c r="E5167" i="4"/>
  <c r="B1505" i="4"/>
  <c r="E3509" i="4"/>
  <c r="B3132" i="4"/>
  <c r="B2037" i="4"/>
  <c r="B1407" i="4"/>
  <c r="B4258" i="4"/>
  <c r="B8020" i="4"/>
  <c r="E4398" i="4"/>
  <c r="E5385" i="4"/>
  <c r="E5927" i="4"/>
  <c r="E3212" i="4"/>
  <c r="B5618" i="4"/>
  <c r="B3004" i="4"/>
  <c r="B1712" i="4"/>
  <c r="B4155" i="4"/>
  <c r="E1428" i="4"/>
  <c r="B1226" i="4"/>
  <c r="E2892" i="4"/>
  <c r="E4501" i="4"/>
  <c r="E8071" i="4"/>
  <c r="E3678" i="4"/>
  <c r="E2718" i="4"/>
  <c r="E3274" i="4"/>
  <c r="B3091" i="4"/>
  <c r="E1641" i="4"/>
  <c r="B2453" i="4"/>
  <c r="B544" i="4"/>
  <c r="B961" i="4"/>
  <c r="B3836" i="4"/>
  <c r="B545" i="4"/>
  <c r="B154" i="4"/>
  <c r="E3770" i="4"/>
  <c r="E1447" i="4"/>
  <c r="B574" i="4"/>
  <c r="B2531" i="4"/>
  <c r="B2981" i="4"/>
  <c r="B237" i="4"/>
  <c r="B10676" i="4"/>
  <c r="E6158" i="4"/>
  <c r="B5990" i="4"/>
  <c r="E5352" i="4"/>
  <c r="B3891" i="4"/>
  <c r="E3965" i="4"/>
  <c r="B4800" i="4"/>
  <c r="E3715" i="4"/>
  <c r="B4107" i="4"/>
  <c r="B3138" i="4"/>
  <c r="E1120" i="4"/>
  <c r="B1585" i="4"/>
  <c r="B534" i="4"/>
  <c r="B2165" i="4"/>
  <c r="B3694" i="4"/>
  <c r="E2370" i="4"/>
  <c r="E4715" i="4"/>
  <c r="E3299" i="4"/>
  <c r="B2652" i="4"/>
  <c r="B230" i="4"/>
  <c r="E1543" i="4"/>
  <c r="E4640" i="4"/>
  <c r="E401" i="4"/>
  <c r="E1892" i="4"/>
  <c r="B2088" i="4"/>
  <c r="B578" i="4"/>
  <c r="B254" i="4"/>
  <c r="E1956" i="4"/>
  <c r="E4322" i="4"/>
  <c r="E8559" i="4"/>
  <c r="E648" i="4"/>
  <c r="E315" i="4"/>
  <c r="E6699" i="4"/>
  <c r="E7111" i="4"/>
  <c r="E7633" i="4"/>
  <c r="B4905" i="4"/>
  <c r="B5715" i="4"/>
  <c r="B1757" i="4"/>
  <c r="B2407" i="4"/>
  <c r="E5171" i="4"/>
  <c r="E4155" i="4"/>
  <c r="B1931" i="4"/>
  <c r="B1718" i="4"/>
  <c r="E424" i="4"/>
  <c r="B913" i="4"/>
  <c r="B2282" i="4"/>
  <c r="E3498" i="4"/>
  <c r="E3375" i="4"/>
  <c r="E2829" i="4"/>
  <c r="E3053" i="4"/>
  <c r="B4241" i="4"/>
  <c r="B8063" i="4"/>
  <c r="B985" i="4"/>
  <c r="B3156" i="4"/>
  <c r="B1063" i="4"/>
  <c r="E163" i="4"/>
  <c r="B1826" i="4"/>
  <c r="E1584" i="4"/>
  <c r="B1119" i="4"/>
  <c r="B2934" i="4"/>
  <c r="E3692" i="4"/>
  <c r="B3246" i="4"/>
  <c r="B2559" i="4"/>
  <c r="B3492" i="4"/>
  <c r="E10234" i="4"/>
  <c r="E6881" i="4"/>
  <c r="E926" i="4"/>
  <c r="E3497" i="4"/>
  <c r="B5060" i="4"/>
  <c r="E2427" i="4"/>
  <c r="B3658" i="4"/>
  <c r="B2488" i="4"/>
  <c r="E2396" i="4"/>
  <c r="B4301" i="4"/>
  <c r="E3846" i="4"/>
  <c r="B4515" i="4"/>
  <c r="E518" i="4"/>
  <c r="E40" i="4"/>
  <c r="E5337" i="4"/>
  <c r="E3499" i="4"/>
  <c r="B1805" i="4"/>
  <c r="B4163" i="4"/>
  <c r="B2549" i="4"/>
  <c r="E4118" i="4"/>
  <c r="B3461" i="4"/>
  <c r="E413" i="4"/>
  <c r="E4590" i="4"/>
  <c r="B2013" i="4"/>
  <c r="B1644" i="4"/>
  <c r="E4552" i="4"/>
  <c r="B877" i="4"/>
  <c r="B1004" i="4"/>
  <c r="B1929" i="4"/>
  <c r="B1709" i="4"/>
  <c r="E3933" i="4"/>
  <c r="E1064" i="4"/>
  <c r="B3126" i="4"/>
  <c r="E7302" i="4"/>
  <c r="B5316" i="4"/>
  <c r="E6039" i="4"/>
  <c r="B5333" i="4"/>
  <c r="B4686" i="4"/>
  <c r="E7318" i="4"/>
  <c r="B5991" i="4"/>
  <c r="B4102" i="4"/>
  <c r="E2402" i="4"/>
  <c r="B4242" i="4"/>
  <c r="B2492" i="4"/>
  <c r="E2992" i="4"/>
  <c r="E3454" i="4"/>
  <c r="B3674" i="4"/>
  <c r="E8946" i="4"/>
  <c r="B1656" i="4"/>
  <c r="E2465" i="4"/>
  <c r="B2059" i="4"/>
  <c r="E3650" i="4"/>
  <c r="B39" i="4"/>
  <c r="B623" i="4"/>
  <c r="E5194" i="4"/>
  <c r="B7468" i="4"/>
  <c r="E928" i="4"/>
  <c r="B2999" i="4"/>
  <c r="E44" i="4"/>
  <c r="B3894" i="4"/>
  <c r="E1749" i="4"/>
  <c r="E2278" i="4"/>
  <c r="E1405" i="4"/>
  <c r="E2192" i="4"/>
  <c r="E813" i="4"/>
  <c r="E221" i="4"/>
  <c r="B4483" i="4"/>
  <c r="E764" i="4"/>
  <c r="E572" i="4"/>
  <c r="B6643" i="4"/>
  <c r="B492" i="4"/>
  <c r="E1778" i="4"/>
  <c r="E2099" i="4"/>
  <c r="B1059" i="4"/>
  <c r="E338" i="4"/>
  <c r="B6239" i="4"/>
  <c r="E4594" i="4"/>
  <c r="E1970" i="4"/>
  <c r="B3833" i="4"/>
  <c r="B3370" i="4"/>
  <c r="B2328" i="4"/>
  <c r="E196" i="4"/>
  <c r="E1162" i="4"/>
  <c r="E1959" i="4"/>
  <c r="B4143" i="4"/>
  <c r="B1771" i="4"/>
  <c r="E450" i="4"/>
  <c r="B3924" i="4"/>
  <c r="E2162" i="4"/>
  <c r="B3043" i="4"/>
  <c r="B2313" i="4"/>
  <c r="E962" i="4"/>
  <c r="E2074" i="4"/>
  <c r="E1199" i="4"/>
  <c r="E322" i="4"/>
  <c r="B46" i="4"/>
  <c r="E5266" i="4"/>
  <c r="B1016" i="4"/>
  <c r="B1173" i="4"/>
  <c r="E1320" i="4"/>
  <c r="B789" i="4"/>
  <c r="B2105" i="4"/>
  <c r="E563" i="4"/>
  <c r="B117" i="4"/>
  <c r="B2238" i="4"/>
  <c r="B857" i="4"/>
  <c r="B1614" i="4"/>
  <c r="E246" i="4"/>
  <c r="B1364" i="4"/>
  <c r="B2169" i="4"/>
  <c r="B257" i="4"/>
  <c r="B1788" i="4"/>
  <c r="B540" i="4"/>
  <c r="B191" i="4"/>
  <c r="B370" i="4"/>
  <c r="E191" i="4"/>
  <c r="E1219" i="4"/>
  <c r="E1040" i="4"/>
  <c r="E310" i="4"/>
  <c r="B2437" i="4"/>
  <c r="B1090" i="4"/>
  <c r="E7711" i="4"/>
  <c r="B3271" i="4"/>
  <c r="E4908" i="4"/>
  <c r="E5095" i="4"/>
  <c r="B2458" i="4"/>
  <c r="E2" i="4"/>
  <c r="B1548" i="4"/>
  <c r="E6227" i="4"/>
  <c r="B1602" i="4"/>
  <c r="E2928" i="4"/>
  <c r="B3554" i="4"/>
  <c r="E1721" i="4"/>
  <c r="B2459" i="4"/>
  <c r="E720" i="4"/>
  <c r="E7954" i="4"/>
  <c r="B376" i="4"/>
  <c r="B2005" i="4"/>
  <c r="B1314" i="4"/>
  <c r="E2085" i="4"/>
  <c r="E3780" i="4"/>
  <c r="B820" i="4"/>
  <c r="B1801" i="4"/>
  <c r="B648" i="4"/>
  <c r="E649" i="4"/>
  <c r="E866" i="4"/>
  <c r="E2905" i="4"/>
  <c r="E1398" i="4"/>
  <c r="B1635" i="4"/>
  <c r="E4877" i="4"/>
  <c r="E3844" i="4"/>
  <c r="E3859" i="4"/>
  <c r="E2515" i="4"/>
  <c r="B1985" i="4"/>
  <c r="B4181" i="4"/>
  <c r="B4316" i="4"/>
  <c r="B520" i="4"/>
  <c r="B199" i="4"/>
  <c r="E270" i="4"/>
  <c r="E1373" i="4"/>
  <c r="E1072" i="4"/>
  <c r="E1032" i="4"/>
  <c r="B1838" i="4"/>
  <c r="B898" i="4"/>
  <c r="E599" i="4"/>
  <c r="B2894" i="4"/>
  <c r="E1157" i="4"/>
  <c r="E1192" i="4"/>
  <c r="E3410" i="4"/>
  <c r="B864" i="4"/>
  <c r="B2837" i="4"/>
  <c r="E6809" i="4"/>
  <c r="E5654" i="4"/>
  <c r="B4392" i="4"/>
  <c r="E3725" i="4"/>
  <c r="B4168" i="4"/>
  <c r="B986" i="4"/>
  <c r="E2735" i="4"/>
  <c r="E5280" i="4"/>
  <c r="B4336" i="4"/>
  <c r="E2006" i="4"/>
  <c r="E607" i="4"/>
  <c r="B2061" i="4"/>
  <c r="B2801" i="4"/>
  <c r="E1244" i="4"/>
  <c r="B2564" i="4"/>
  <c r="B2500" i="4"/>
  <c r="E3502" i="4"/>
  <c r="E2154" i="4"/>
  <c r="B2794" i="4"/>
  <c r="E1978" i="4"/>
  <c r="E1859" i="4"/>
  <c r="E1686" i="4"/>
  <c r="E462" i="4"/>
  <c r="B3390" i="4"/>
  <c r="E1566" i="4"/>
  <c r="B212" i="4"/>
  <c r="B2425" i="4"/>
  <c r="E891" i="4"/>
  <c r="E5342" i="4"/>
  <c r="B1469" i="4"/>
  <c r="B575" i="4"/>
  <c r="E1239" i="4"/>
  <c r="B7342" i="4"/>
  <c r="E1671" i="4"/>
  <c r="E329" i="4"/>
  <c r="B532" i="4"/>
  <c r="B812" i="4"/>
  <c r="B150" i="4"/>
  <c r="B4938" i="4"/>
  <c r="B1950" i="4"/>
  <c r="B4646" i="4"/>
  <c r="E1060" i="4"/>
  <c r="E3193" i="4"/>
  <c r="B5861" i="4"/>
  <c r="B6284" i="4"/>
  <c r="E2996" i="4"/>
  <c r="B5121" i="4"/>
  <c r="E1289" i="4"/>
  <c r="E2244" i="4"/>
  <c r="E3974" i="4"/>
  <c r="E2889" i="4"/>
  <c r="E7135" i="4"/>
  <c r="E4150" i="4"/>
  <c r="B213" i="4"/>
  <c r="E146" i="4"/>
  <c r="B2586" i="4"/>
  <c r="E1802" i="4"/>
  <c r="B2362" i="4"/>
  <c r="B7287" i="4"/>
  <c r="E577" i="4"/>
  <c r="B4832" i="4"/>
  <c r="B88" i="4"/>
  <c r="E484" i="4"/>
  <c r="E3493" i="4"/>
  <c r="B1549" i="4"/>
  <c r="B2062" i="4"/>
  <c r="B5235" i="4"/>
  <c r="E736" i="4"/>
  <c r="B1777" i="4"/>
  <c r="E516" i="4"/>
  <c r="E4795" i="4"/>
  <c r="B1265" i="4"/>
  <c r="E1273" i="4"/>
  <c r="E632" i="4"/>
  <c r="B1115" i="4"/>
  <c r="B1655" i="4"/>
  <c r="B888" i="4"/>
  <c r="E466" i="4"/>
  <c r="B487" i="4"/>
  <c r="B753" i="4"/>
  <c r="E2956" i="4"/>
  <c r="E932" i="4"/>
  <c r="B52" i="4"/>
  <c r="E219" i="4"/>
  <c r="E801" i="4"/>
  <c r="E5516" i="4"/>
  <c r="B2710" i="4"/>
  <c r="E615" i="4"/>
  <c r="E370" i="4"/>
  <c r="B718" i="4"/>
  <c r="E921" i="4"/>
  <c r="E1148" i="4"/>
  <c r="E393" i="4"/>
  <c r="B4583" i="4"/>
  <c r="E3684" i="4"/>
  <c r="E5033" i="4"/>
  <c r="E3216" i="4"/>
  <c r="E3867" i="4"/>
  <c r="B2340" i="4"/>
  <c r="E3279" i="4"/>
  <c r="E2860" i="4"/>
  <c r="B2931" i="4"/>
  <c r="E1081" i="4"/>
  <c r="B2701" i="4"/>
  <c r="E2040" i="4"/>
  <c r="B1529" i="4"/>
  <c r="B858" i="4"/>
  <c r="E2526" i="4"/>
  <c r="B874" i="4"/>
  <c r="B5654" i="4"/>
  <c r="E2174" i="4"/>
  <c r="E5652" i="4"/>
  <c r="E1682" i="4"/>
  <c r="E3186" i="4"/>
  <c r="E1322" i="4"/>
  <c r="B1085" i="4"/>
  <c r="E2390" i="4"/>
  <c r="B227" i="4"/>
  <c r="B69" i="4"/>
  <c r="E303" i="4"/>
  <c r="E2076" i="4"/>
  <c r="E2223" i="4"/>
  <c r="E1773" i="4"/>
  <c r="B1561" i="4"/>
  <c r="B474" i="4"/>
  <c r="E5198" i="4"/>
  <c r="B3382" i="4"/>
  <c r="B3176" i="4"/>
  <c r="B2130" i="4"/>
  <c r="B2118" i="4"/>
  <c r="B1406" i="4"/>
  <c r="E1011" i="4"/>
  <c r="B1636" i="4"/>
  <c r="B2244" i="4"/>
  <c r="E737" i="4"/>
  <c r="E876" i="4"/>
  <c r="B1292" i="4"/>
  <c r="B457" i="4"/>
  <c r="E1347" i="4"/>
  <c r="B602" i="4"/>
  <c r="B4269" i="4"/>
  <c r="B3701" i="4"/>
  <c r="E5930" i="4"/>
  <c r="E10669" i="4"/>
  <c r="B3374" i="4"/>
  <c r="E1889" i="4"/>
  <c r="E2661" i="4"/>
  <c r="B2685" i="4"/>
  <c r="E3611" i="4"/>
  <c r="E3167" i="4"/>
  <c r="E1411" i="4"/>
  <c r="E1003" i="4"/>
  <c r="E672" i="4"/>
  <c r="B800" i="4"/>
  <c r="E1582" i="4"/>
  <c r="B494" i="4"/>
  <c r="B2495" i="4"/>
  <c r="E2556" i="4"/>
  <c r="E2884" i="4"/>
  <c r="B1146" i="4"/>
  <c r="E1506" i="4"/>
  <c r="B5979" i="4"/>
  <c r="B7889" i="4"/>
  <c r="B3830" i="4"/>
  <c r="B6171" i="4"/>
  <c r="E461" i="4"/>
  <c r="B972" i="4"/>
  <c r="B2140" i="4"/>
  <c r="E4606" i="4"/>
  <c r="B8723" i="4"/>
  <c r="B5076" i="4"/>
  <c r="E1243" i="4"/>
  <c r="E457" i="4"/>
  <c r="E2346" i="4"/>
  <c r="E3194" i="4"/>
  <c r="E3101" i="4"/>
  <c r="E3998" i="4"/>
  <c r="B478" i="4"/>
  <c r="E5891" i="4"/>
  <c r="B646" i="4"/>
  <c r="E3346" i="4"/>
  <c r="B5874" i="4"/>
  <c r="B1009" i="4"/>
  <c r="E2444" i="4"/>
  <c r="E184" i="4"/>
  <c r="E2858" i="4"/>
  <c r="B2610" i="4"/>
  <c r="E2849" i="4"/>
  <c r="E5584" i="4"/>
  <c r="E6643" i="4"/>
  <c r="B2944" i="4"/>
  <c r="E5561" i="4"/>
  <c r="E269" i="4"/>
  <c r="E76" i="4"/>
  <c r="B1519" i="4"/>
  <c r="E2985" i="4"/>
  <c r="B7042" i="4"/>
  <c r="B4599" i="4"/>
  <c r="B2594" i="4"/>
  <c r="B42" i="4"/>
  <c r="E222" i="4"/>
  <c r="B1952" i="4"/>
  <c r="B4877" i="4"/>
  <c r="B1904" i="4"/>
  <c r="B190" i="4"/>
  <c r="B2042" i="4"/>
  <c r="B366" i="4"/>
  <c r="E1211" i="4"/>
  <c r="E5246" i="4"/>
  <c r="E694" i="4"/>
  <c r="E408" i="4"/>
  <c r="B738" i="4"/>
  <c r="B577" i="4"/>
  <c r="B4276" i="4"/>
  <c r="E2141" i="4"/>
  <c r="E2186" i="4"/>
  <c r="E1605" i="4"/>
  <c r="E4820" i="4"/>
  <c r="B7941" i="4"/>
  <c r="E2756" i="4"/>
  <c r="E3796" i="4"/>
  <c r="E1913" i="4"/>
  <c r="B1055" i="4"/>
  <c r="E164" i="4"/>
  <c r="B415" i="4"/>
  <c r="E2251" i="4"/>
  <c r="B2146" i="4"/>
  <c r="E3541" i="4"/>
  <c r="E1644" i="4"/>
  <c r="E1561" i="4"/>
  <c r="B928" i="4"/>
  <c r="E346" i="4"/>
  <c r="E986" i="4"/>
  <c r="E2993" i="4"/>
  <c r="B988" i="4"/>
  <c r="B4012" i="4"/>
  <c r="B616" i="4"/>
  <c r="E1312" i="4"/>
  <c r="E739" i="4"/>
  <c r="B1215" i="4"/>
  <c r="E234" i="4"/>
  <c r="E4091" i="4"/>
  <c r="E1787" i="4"/>
  <c r="B6424" i="4"/>
  <c r="E1539" i="4"/>
  <c r="B2588" i="4"/>
  <c r="E754" i="4"/>
  <c r="E628" i="4"/>
  <c r="B321" i="4"/>
  <c r="B833" i="4"/>
  <c r="B8404" i="4"/>
  <c r="B1743" i="4"/>
  <c r="E4474" i="4"/>
  <c r="B7123" i="4"/>
  <c r="B3307" i="4"/>
  <c r="E1698" i="4"/>
  <c r="B3732" i="4"/>
  <c r="E1803" i="4"/>
  <c r="E2431" i="4"/>
  <c r="B2965" i="4"/>
  <c r="B219" i="4"/>
  <c r="B2122" i="4"/>
  <c r="E1250" i="4"/>
  <c r="E2322" i="4"/>
  <c r="B1242" i="4"/>
  <c r="B2394" i="4"/>
  <c r="E2437" i="4"/>
  <c r="E2029" i="4"/>
  <c r="E4001" i="4"/>
  <c r="E7286" i="4"/>
  <c r="B1310" i="4"/>
  <c r="E938" i="4"/>
  <c r="E692" i="4"/>
  <c r="B1762" i="4"/>
  <c r="B2677" i="4"/>
  <c r="E2014" i="4"/>
  <c r="B5757" i="4"/>
  <c r="E1748" i="4"/>
  <c r="B61" i="4"/>
  <c r="B3667" i="4"/>
  <c r="B2317" i="4"/>
  <c r="B1114" i="4"/>
  <c r="B8058" i="4"/>
  <c r="E9014" i="4"/>
  <c r="E6047" i="4"/>
  <c r="E5662" i="4"/>
  <c r="E1006" i="4"/>
  <c r="E1309" i="4"/>
  <c r="E767" i="4"/>
  <c r="B3095" i="4"/>
  <c r="B7801" i="4"/>
  <c r="B5228" i="4"/>
  <c r="E2968" i="4"/>
  <c r="E363" i="4"/>
  <c r="B483" i="4"/>
  <c r="B3269" i="4"/>
  <c r="E2867" i="4"/>
  <c r="B5987" i="4"/>
  <c r="B975" i="4"/>
  <c r="B611" i="4"/>
  <c r="E1248" i="4"/>
  <c r="B2147" i="4"/>
  <c r="E3558" i="4"/>
  <c r="B7501" i="4"/>
  <c r="E4227" i="4"/>
  <c r="E499" i="4"/>
  <c r="E1896" i="4"/>
  <c r="E1733" i="4"/>
  <c r="B3895" i="4"/>
  <c r="B2173" i="4"/>
  <c r="B2100" i="4"/>
  <c r="E1362" i="4"/>
  <c r="B3546" i="4"/>
  <c r="B2251" i="4"/>
  <c r="E5944" i="4"/>
  <c r="B3705" i="4"/>
  <c r="B3498" i="4"/>
  <c r="B5255" i="4"/>
  <c r="B4015" i="4"/>
  <c r="E3543" i="4"/>
  <c r="B732" i="4"/>
  <c r="B4577" i="4"/>
  <c r="B4376" i="4"/>
  <c r="E4644" i="4"/>
  <c r="E3745" i="4"/>
  <c r="B704" i="4"/>
  <c r="E3239" i="4"/>
  <c r="E2489" i="4"/>
  <c r="B4023" i="4"/>
  <c r="B2966" i="4"/>
  <c r="B1477" i="4"/>
  <c r="E1042" i="4"/>
  <c r="E1789" i="4"/>
  <c r="B124" i="4"/>
  <c r="B4050" i="4"/>
  <c r="B552" i="4"/>
  <c r="E2122" i="4"/>
  <c r="E2798" i="4"/>
  <c r="B390" i="4"/>
  <c r="E1226" i="4"/>
  <c r="E1570" i="4"/>
  <c r="B757" i="4"/>
  <c r="B422" i="4"/>
  <c r="E2109" i="4"/>
  <c r="E2027" i="4"/>
  <c r="E733" i="4"/>
  <c r="B2460" i="4"/>
  <c r="B1003" i="4"/>
  <c r="B1351" i="4"/>
  <c r="E549" i="4"/>
  <c r="B1620" i="4"/>
  <c r="B132" i="4"/>
  <c r="B1451" i="4"/>
  <c r="E1266" i="4"/>
  <c r="E9270" i="4"/>
  <c r="B4816" i="4"/>
  <c r="E1388" i="4"/>
  <c r="B5965" i="4"/>
  <c r="E3941" i="4"/>
  <c r="B5442" i="4"/>
  <c r="E2776" i="4"/>
  <c r="B1501" i="4"/>
  <c r="E1654" i="4"/>
  <c r="B1263" i="4"/>
  <c r="B2442" i="4"/>
  <c r="B2053" i="4"/>
  <c r="B256" i="4"/>
  <c r="B416" i="4"/>
  <c r="E2380" i="4"/>
  <c r="E73" i="4"/>
  <c r="B3375" i="4"/>
  <c r="B1019" i="4"/>
  <c r="B6684" i="4"/>
  <c r="E542" i="4"/>
  <c r="B5636" i="4"/>
  <c r="B4509" i="4"/>
  <c r="B808" i="4"/>
  <c r="E1835" i="4"/>
  <c r="E106" i="4"/>
  <c r="E3838" i="4"/>
  <c r="B2239" i="4"/>
  <c r="E116" i="4"/>
  <c r="E267" i="4"/>
  <c r="B374" i="4"/>
  <c r="E2263" i="4"/>
  <c r="B1710" i="4"/>
  <c r="E2249" i="4"/>
  <c r="E11" i="4"/>
  <c r="B2932" i="4"/>
  <c r="B3717" i="4"/>
  <c r="B1730" i="4"/>
  <c r="E751" i="4"/>
  <c r="B6815" i="4"/>
  <c r="E4843" i="4"/>
  <c r="E3399" i="4"/>
  <c r="B4104" i="4"/>
  <c r="B3260" i="4"/>
  <c r="B1127" i="4"/>
  <c r="B1412" i="4"/>
  <c r="B1673" i="4"/>
  <c r="E2770" i="4"/>
  <c r="E1524" i="4"/>
  <c r="B692" i="4"/>
  <c r="E2852" i="4"/>
  <c r="E35" i="4"/>
  <c r="B4223" i="4"/>
  <c r="B511" i="4"/>
  <c r="B409" i="4"/>
  <c r="E564" i="4"/>
  <c r="B811" i="4"/>
  <c r="B384" i="4"/>
  <c r="E3702" i="4"/>
  <c r="E1998" i="4"/>
  <c r="B880" i="4"/>
  <c r="B2190" i="4"/>
  <c r="B176" i="4"/>
  <c r="B1307" i="4"/>
  <c r="E1824" i="4"/>
  <c r="B1973" i="4"/>
  <c r="E3726" i="4"/>
  <c r="E3815" i="4"/>
  <c r="E411" i="4"/>
  <c r="B295" i="4"/>
  <c r="E3518" i="4"/>
  <c r="B5315" i="4"/>
  <c r="E5946" i="4"/>
  <c r="E6861" i="4"/>
  <c r="B2489" i="4"/>
  <c r="B3617" i="4"/>
  <c r="B1435" i="4"/>
  <c r="E3792" i="4"/>
  <c r="B1005" i="4"/>
  <c r="B525" i="4"/>
  <c r="E361" i="4"/>
  <c r="E432" i="4"/>
  <c r="B3783" i="4"/>
  <c r="E884" i="4"/>
  <c r="E3130" i="4"/>
  <c r="B570" i="4"/>
  <c r="E3146" i="4"/>
  <c r="B1918" i="4"/>
  <c r="E1257" i="4"/>
  <c r="E1221" i="4"/>
  <c r="E318" i="4"/>
  <c r="E825" i="4"/>
  <c r="E1330" i="4"/>
  <c r="E1800" i="4"/>
  <c r="B5977" i="4"/>
  <c r="B269" i="4"/>
  <c r="E192" i="4"/>
  <c r="B1584" i="4"/>
  <c r="B327" i="4"/>
  <c r="B2055" i="4"/>
  <c r="B886" i="4"/>
  <c r="B195" i="4"/>
  <c r="E3049" i="4"/>
  <c r="B6494" i="4"/>
  <c r="B3846" i="4"/>
  <c r="E1532" i="4"/>
  <c r="E2110" i="4"/>
  <c r="B1432" i="4"/>
  <c r="E1907" i="4"/>
  <c r="B353" i="4"/>
  <c r="E659" i="4"/>
  <c r="B2310" i="4"/>
  <c r="E5275" i="4"/>
  <c r="E988" i="4"/>
  <c r="B6" i="4"/>
  <c r="B161" i="4"/>
  <c r="E4211" i="4"/>
  <c r="B336" i="4"/>
  <c r="E1540" i="4"/>
  <c r="B861" i="4"/>
  <c r="E1944" i="4"/>
  <c r="E3208" i="4"/>
  <c r="B1231" i="4"/>
  <c r="B1188" i="4"/>
  <c r="B1632" i="4"/>
  <c r="B1955" i="4"/>
  <c r="B2266" i="4"/>
  <c r="E1869" i="4"/>
  <c r="E5898" i="4"/>
  <c r="E3549" i="4"/>
  <c r="B2641" i="4"/>
  <c r="E1877" i="4"/>
  <c r="B6179" i="4"/>
  <c r="E3864" i="4"/>
  <c r="B527" i="4"/>
  <c r="B1998" i="4"/>
  <c r="B5595" i="4"/>
  <c r="E2422" i="4"/>
  <c r="E1104" i="4"/>
  <c r="B1772" i="4"/>
  <c r="B68" i="4"/>
  <c r="E3412" i="4"/>
  <c r="E4456" i="4"/>
  <c r="B2063" i="4"/>
  <c r="B4325" i="4"/>
  <c r="B8685" i="4"/>
  <c r="E8306" i="4"/>
  <c r="E4261" i="4"/>
  <c r="E3380" i="4"/>
  <c r="B3603" i="4"/>
  <c r="E971" i="4"/>
  <c r="E570" i="4"/>
  <c r="B3641" i="4"/>
  <c r="E4257" i="4"/>
  <c r="E1391" i="4"/>
  <c r="B1781" i="4"/>
  <c r="E824" i="4"/>
  <c r="B4378" i="4"/>
  <c r="B4436" i="4"/>
  <c r="B4061" i="4"/>
  <c r="E3878" i="4"/>
  <c r="E4226" i="4"/>
  <c r="E6281" i="4"/>
  <c r="B3967" i="4"/>
  <c r="B4086" i="4"/>
  <c r="B1155" i="4"/>
  <c r="B2073" i="4"/>
  <c r="B33" i="4"/>
  <c r="E4335" i="4"/>
  <c r="E1164" i="4"/>
  <c r="B1138" i="4"/>
  <c r="E3492" i="4"/>
  <c r="E1497" i="4"/>
  <c r="B1543" i="4"/>
  <c r="E3243" i="4"/>
  <c r="B1814" i="4"/>
  <c r="E6973" i="4"/>
  <c r="E4862" i="4"/>
  <c r="B6300" i="4"/>
  <c r="B4644" i="4"/>
  <c r="B1069" i="4"/>
  <c r="E3581" i="4"/>
  <c r="E2446" i="4"/>
  <c r="B2810" i="4"/>
  <c r="E1271" i="4"/>
  <c r="E5604" i="4"/>
  <c r="B2890" i="4"/>
  <c r="B3845" i="4"/>
  <c r="E2338" i="4"/>
  <c r="B1899" i="4"/>
  <c r="B2075" i="4"/>
  <c r="E83" i="4"/>
  <c r="B6337" i="4"/>
  <c r="E2715" i="4"/>
  <c r="E1350" i="4"/>
  <c r="B3718" i="4"/>
  <c r="E2405" i="4"/>
  <c r="B3384" i="4"/>
  <c r="B1337" i="4"/>
  <c r="E2090" i="4"/>
  <c r="B5511" i="4"/>
  <c r="E3110" i="4"/>
  <c r="B918" i="4"/>
  <c r="B3140" i="4"/>
  <c r="E1727" i="4"/>
  <c r="E1349" i="4"/>
  <c r="B443" i="4"/>
  <c r="E9058" i="4"/>
  <c r="E4893" i="4"/>
  <c r="E4132" i="4"/>
  <c r="E3662" i="4"/>
  <c r="E2780" i="4"/>
  <c r="E1985" i="4"/>
  <c r="B1847" i="4"/>
  <c r="E6400" i="4"/>
  <c r="B4069" i="4"/>
  <c r="B3190" i="4"/>
  <c r="B2951" i="4"/>
  <c r="B4475" i="4"/>
  <c r="B3198" i="4"/>
  <c r="B3459" i="4"/>
  <c r="E8479" i="4"/>
  <c r="B3196" i="4"/>
  <c r="B2086" i="4"/>
  <c r="E2327" i="4"/>
  <c r="E3757" i="4"/>
  <c r="B2209" i="4"/>
  <c r="B5005" i="4"/>
  <c r="B6507" i="4"/>
  <c r="E6520" i="4"/>
  <c r="E1732" i="4"/>
  <c r="E2055" i="4"/>
  <c r="E5213" i="4"/>
  <c r="E3197" i="4"/>
  <c r="B3082" i="4"/>
  <c r="E7314" i="4"/>
  <c r="B3930" i="4"/>
  <c r="E8689" i="4"/>
  <c r="E1823" i="4"/>
  <c r="E4067" i="4"/>
  <c r="E2313" i="4"/>
  <c r="E3369" i="4"/>
  <c r="E4811" i="4"/>
  <c r="B2948" i="4"/>
  <c r="B3534" i="4"/>
  <c r="E4389" i="4"/>
  <c r="B2223" i="4"/>
  <c r="E2932" i="4"/>
  <c r="E1358" i="4"/>
  <c r="B7821" i="4"/>
  <c r="B5645" i="4"/>
  <c r="E2367" i="4"/>
  <c r="B4784" i="4"/>
  <c r="B3354" i="4"/>
  <c r="B629" i="4"/>
  <c r="E1325" i="4"/>
  <c r="B3202" i="4"/>
  <c r="B3558" i="4"/>
  <c r="B5144" i="4"/>
  <c r="B4903" i="4"/>
  <c r="E5773" i="4"/>
  <c r="E1951" i="4"/>
  <c r="B825" i="4"/>
  <c r="E1160" i="4"/>
  <c r="E4555" i="4"/>
  <c r="E774" i="4"/>
  <c r="E2083" i="4"/>
  <c r="E588" i="4"/>
  <c r="E79" i="4"/>
  <c r="B2378" i="4"/>
  <c r="B4851" i="4"/>
  <c r="E525" i="4"/>
  <c r="B1970" i="4"/>
  <c r="E6965" i="4"/>
  <c r="E4507" i="4"/>
  <c r="E3771" i="4"/>
  <c r="B1642" i="4"/>
  <c r="E2429" i="4"/>
  <c r="B3189" i="4"/>
  <c r="B1939" i="4"/>
  <c r="B2398" i="4"/>
  <c r="E1333" i="4"/>
  <c r="B3943" i="4"/>
  <c r="B6172" i="4"/>
  <c r="B1319" i="4"/>
  <c r="E400" i="4"/>
  <c r="E306" i="4"/>
  <c r="E128" i="4"/>
  <c r="B9168" i="4"/>
  <c r="B1824" i="4"/>
  <c r="B3987" i="4"/>
  <c r="B1714" i="4"/>
  <c r="B3470" i="4"/>
  <c r="B1593" i="4"/>
  <c r="E1034" i="4"/>
  <c r="E407" i="4"/>
  <c r="E643" i="4"/>
  <c r="E776" i="4"/>
  <c r="E791" i="4"/>
  <c r="B1025" i="4"/>
  <c r="E646" i="4"/>
  <c r="E1424" i="4"/>
  <c r="E1747" i="4"/>
  <c r="E249" i="4"/>
  <c r="E5034" i="4"/>
  <c r="E1839" i="4"/>
  <c r="E262" i="4"/>
  <c r="E2165" i="4"/>
  <c r="B4900" i="4"/>
  <c r="B6579" i="4"/>
  <c r="B2054" i="4"/>
  <c r="B1093" i="4"/>
  <c r="B7403" i="4"/>
  <c r="B2903" i="4"/>
  <c r="B2694" i="4"/>
  <c r="B2107" i="4"/>
  <c r="B4936" i="4"/>
  <c r="E1455" i="4"/>
  <c r="E242" i="4"/>
  <c r="B1886" i="4"/>
  <c r="B5160" i="4"/>
  <c r="B2904" i="4"/>
  <c r="E3723" i="4"/>
  <c r="B235" i="4"/>
  <c r="E1459" i="4"/>
  <c r="E1021" i="4"/>
  <c r="B182" i="4"/>
  <c r="E1265" i="4"/>
  <c r="E2118" i="4"/>
  <c r="B2899" i="4"/>
  <c r="E1622" i="4"/>
  <c r="B9904" i="4"/>
  <c r="E5002" i="4"/>
  <c r="B2873" i="4"/>
  <c r="B3637" i="4"/>
  <c r="E4790" i="4"/>
  <c r="E1335" i="4"/>
  <c r="E3654" i="4"/>
  <c r="B3236" i="4"/>
  <c r="E5059" i="4"/>
  <c r="E1029" i="4"/>
  <c r="B41" i="4"/>
  <c r="B3844" i="4"/>
  <c r="E3995" i="4"/>
  <c r="B680" i="4"/>
  <c r="E1110" i="4"/>
  <c r="E309" i="4"/>
  <c r="B1812" i="4"/>
  <c r="E43" i="4"/>
  <c r="B5893" i="4"/>
  <c r="E319" i="4"/>
  <c r="E1074" i="4"/>
  <c r="B100" i="4"/>
  <c r="B2241" i="4"/>
  <c r="B1396" i="4"/>
  <c r="B897" i="4"/>
  <c r="B2649" i="4"/>
  <c r="B3002" i="4"/>
  <c r="B2079" i="4"/>
  <c r="B455" i="4"/>
  <c r="E2949" i="4"/>
  <c r="B1475" i="4"/>
  <c r="B8402" i="4"/>
  <c r="B5433" i="4"/>
  <c r="B6240" i="4"/>
  <c r="E3905" i="4"/>
  <c r="B3089" i="4"/>
  <c r="E1357" i="4"/>
  <c r="B1485" i="4"/>
  <c r="E1099" i="4"/>
  <c r="B3942" i="4"/>
  <c r="E4886" i="4"/>
  <c r="B110" i="4"/>
  <c r="B44" i="4"/>
  <c r="E2078" i="4"/>
  <c r="B1674" i="4"/>
  <c r="E3659" i="4"/>
  <c r="E1870" i="4"/>
  <c r="B5972" i="4"/>
  <c r="B5026" i="4"/>
  <c r="E2832" i="4"/>
  <c r="E6436" i="4"/>
  <c r="E5633" i="4"/>
  <c r="B200" i="4"/>
  <c r="E4607" i="4"/>
  <c r="B3775" i="4"/>
  <c r="E6518" i="4"/>
  <c r="B2959" i="4"/>
  <c r="B4673" i="4"/>
  <c r="E3901" i="4"/>
  <c r="E2243" i="4"/>
  <c r="E2761" i="4"/>
  <c r="B1076" i="4"/>
  <c r="E1300" i="4"/>
  <c r="B2451" i="4"/>
  <c r="B426" i="4"/>
  <c r="B663" i="4"/>
  <c r="E2299" i="4"/>
  <c r="B505" i="4"/>
  <c r="B909" i="4"/>
  <c r="E1327" i="4"/>
  <c r="B245" i="4"/>
  <c r="E2009" i="4"/>
  <c r="E10825" i="4"/>
  <c r="E6920" i="4"/>
  <c r="E8337" i="4"/>
  <c r="E5386" i="4"/>
  <c r="B4592" i="4"/>
  <c r="E1631" i="4"/>
  <c r="E5111" i="4"/>
  <c r="E3898" i="4"/>
  <c r="E3655" i="4"/>
  <c r="E3753" i="4"/>
  <c r="E1016" i="4"/>
  <c r="B2333" i="4"/>
  <c r="B766" i="4"/>
  <c r="E2861" i="4"/>
  <c r="E2653" i="4"/>
  <c r="E1307" i="4"/>
  <c r="E3347" i="4"/>
  <c r="B4910" i="4"/>
  <c r="E862" i="4"/>
  <c r="B454" i="4"/>
  <c r="B2018" i="4"/>
  <c r="B5203" i="4"/>
  <c r="B1129" i="4"/>
  <c r="E4638" i="4"/>
  <c r="B4150" i="4"/>
  <c r="E2700" i="4"/>
  <c r="B590" i="4"/>
  <c r="E62" i="4"/>
  <c r="E6493" i="4"/>
  <c r="B9032" i="4"/>
  <c r="B1460" i="4"/>
  <c r="E1002" i="4"/>
  <c r="E6944" i="4"/>
  <c r="E6275" i="4"/>
  <c r="E7559" i="4"/>
  <c r="B5348" i="4"/>
  <c r="E5316" i="4"/>
  <c r="E2332" i="4"/>
  <c r="B2639" i="4"/>
  <c r="E3894" i="4"/>
  <c r="B6935" i="4"/>
  <c r="E2324" i="4"/>
  <c r="E443" i="4"/>
  <c r="B980" i="4"/>
  <c r="B1610" i="4"/>
  <c r="E984" i="4"/>
  <c r="E1370" i="4"/>
  <c r="E5257" i="4"/>
  <c r="E3312" i="4"/>
  <c r="E1571" i="4"/>
  <c r="E5453" i="4"/>
  <c r="B5892" i="4"/>
  <c r="B1455" i="4"/>
  <c r="E3391" i="4"/>
  <c r="B127" i="4"/>
  <c r="B688" i="4"/>
  <c r="E2553" i="4"/>
  <c r="B186" i="4"/>
  <c r="E1612" i="4"/>
  <c r="E3021" i="4"/>
  <c r="E5001" i="4"/>
  <c r="E2469" i="4"/>
  <c r="E7435" i="4"/>
  <c r="B5454" i="4"/>
  <c r="E4502" i="4"/>
  <c r="B4913" i="4"/>
  <c r="B4713" i="4"/>
  <c r="E3962" i="4"/>
  <c r="E5766" i="4"/>
  <c r="E3177" i="4"/>
  <c r="E4256" i="4"/>
  <c r="B2755" i="4"/>
  <c r="B22" i="4"/>
  <c r="B5498" i="4"/>
  <c r="B3555" i="4"/>
  <c r="B5230" i="4"/>
  <c r="E2140" i="4"/>
  <c r="E403" i="4"/>
  <c r="B3618" i="4"/>
  <c r="B5197" i="4"/>
  <c r="B2219" i="4"/>
  <c r="B3248" i="4"/>
  <c r="B3080" i="4"/>
  <c r="B3493" i="4"/>
  <c r="E705" i="4"/>
  <c r="E717" i="4"/>
  <c r="B5171" i="4"/>
  <c r="B759" i="4"/>
  <c r="E2727" i="4"/>
  <c r="B3432" i="4"/>
  <c r="B2116" i="4"/>
  <c r="E1987" i="4"/>
  <c r="E2514" i="4"/>
  <c r="B2354" i="4"/>
  <c r="B2674" i="4"/>
  <c r="E2008" i="4"/>
  <c r="B6502" i="4"/>
  <c r="B4743" i="4"/>
  <c r="B4844" i="4"/>
  <c r="B5341" i="4"/>
  <c r="E3224" i="4"/>
  <c r="E4574" i="4"/>
  <c r="B4285" i="4"/>
  <c r="E2866" i="4"/>
  <c r="E4170" i="4"/>
  <c r="E1745" i="4"/>
  <c r="B1344" i="4"/>
  <c r="E2388" i="4"/>
  <c r="B3722" i="4"/>
  <c r="E4788" i="4"/>
  <c r="E2677" i="4"/>
  <c r="B3053" i="4"/>
  <c r="E3613" i="4"/>
  <c r="B3288" i="4"/>
  <c r="E2616" i="4"/>
  <c r="E2923" i="4"/>
  <c r="B999" i="4"/>
  <c r="B914" i="4"/>
  <c r="E1236" i="4"/>
  <c r="B5358" i="4"/>
  <c r="E295" i="4"/>
  <c r="B2401" i="4"/>
  <c r="E2093" i="4"/>
  <c r="E2129" i="4"/>
  <c r="B1613" i="4"/>
  <c r="E2601" i="4"/>
  <c r="E1078" i="4"/>
  <c r="E8504" i="4"/>
  <c r="B5865" i="4"/>
  <c r="B5836" i="4"/>
  <c r="B1792" i="4"/>
  <c r="E3384" i="4"/>
  <c r="B879" i="4"/>
  <c r="B7030" i="4"/>
  <c r="B5479" i="4"/>
  <c r="E3540" i="4"/>
  <c r="E3307" i="4"/>
  <c r="B1769" i="4"/>
  <c r="B2722" i="4"/>
  <c r="E3742" i="4"/>
  <c r="B2902" i="4"/>
  <c r="E3913" i="4"/>
  <c r="E1814" i="4"/>
  <c r="B2152" i="4"/>
  <c r="E3145" i="4"/>
  <c r="E8641" i="4"/>
  <c r="E1131" i="4"/>
  <c r="B3407" i="4"/>
  <c r="E3414" i="4"/>
  <c r="B399" i="4"/>
  <c r="B1058" i="4"/>
  <c r="E2315" i="4"/>
  <c r="B652" i="4"/>
  <c r="B3212" i="4"/>
  <c r="E316" i="4"/>
  <c r="B6520" i="4"/>
  <c r="E4408" i="4"/>
  <c r="E5540" i="4"/>
  <c r="E981" i="4"/>
  <c r="B535" i="4"/>
  <c r="B266" i="4"/>
  <c r="B1495" i="4"/>
  <c r="E2837" i="4"/>
  <c r="B379" i="4"/>
  <c r="E4794" i="4"/>
  <c r="E4035" i="4"/>
  <c r="E74" i="4"/>
  <c r="B1877" i="4"/>
  <c r="B2377" i="4"/>
  <c r="E849" i="4"/>
  <c r="E6147" i="4"/>
  <c r="B5538" i="4"/>
  <c r="E4070" i="4"/>
  <c r="B5598" i="4"/>
  <c r="B3292" i="4"/>
  <c r="E634" i="4"/>
  <c r="B1441" i="4"/>
  <c r="B1350" i="4"/>
  <c r="B1807" i="4"/>
  <c r="E6585" i="4"/>
  <c r="B1260" i="4"/>
  <c r="B1427" i="4"/>
  <c r="B1030" i="4"/>
  <c r="E4620" i="4"/>
  <c r="B3163" i="4"/>
  <c r="B7812" i="4"/>
  <c r="E1684" i="4"/>
  <c r="E4137" i="4"/>
  <c r="B593" i="4"/>
  <c r="B444" i="4"/>
  <c r="E2266" i="4"/>
  <c r="B3239" i="4"/>
  <c r="E1187" i="4"/>
  <c r="B876" i="4"/>
  <c r="E479" i="4"/>
  <c r="E4347" i="4"/>
  <c r="B1605" i="4"/>
  <c r="B1365" i="4"/>
  <c r="B1595" i="4"/>
  <c r="B282" i="4"/>
  <c r="B1504" i="4"/>
  <c r="B2481" i="4"/>
  <c r="E209" i="4"/>
  <c r="E1936" i="4"/>
  <c r="E1000" i="4"/>
  <c r="E829" i="4"/>
  <c r="B248" i="4"/>
  <c r="E867" i="4"/>
  <c r="B1798" i="4"/>
  <c r="B2258" i="4"/>
  <c r="B8" i="4"/>
  <c r="B796" i="4"/>
  <c r="B1222" i="4"/>
  <c r="B4795" i="4"/>
  <c r="B1378" i="4"/>
  <c r="E916" i="4"/>
  <c r="E2004" i="4"/>
  <c r="E5374" i="4"/>
  <c r="B5494" i="4"/>
  <c r="B2782" i="4"/>
  <c r="B6020" i="4"/>
  <c r="B3828" i="4"/>
  <c r="B1832" i="4"/>
  <c r="B1048" i="4"/>
  <c r="B3055" i="4"/>
  <c r="E4262" i="4"/>
  <c r="B3458" i="4"/>
  <c r="B1154" i="4"/>
  <c r="E957" i="4"/>
  <c r="B3104" i="4"/>
  <c r="E1578" i="4"/>
  <c r="B1537" i="4"/>
  <c r="E3019" i="4"/>
  <c r="E2189" i="4"/>
  <c r="E980" i="4"/>
  <c r="E3263" i="4"/>
  <c r="E1574" i="4"/>
  <c r="B1318" i="4"/>
  <c r="B5851" i="4"/>
  <c r="E505" i="4"/>
  <c r="E1593" i="4"/>
  <c r="E1093" i="4"/>
  <c r="B197" i="4"/>
  <c r="B924" i="4"/>
  <c r="E1440" i="4"/>
  <c r="E1500" i="4"/>
  <c r="B865" i="4"/>
  <c r="E1039" i="4"/>
  <c r="B1687" i="4"/>
  <c r="B1042" i="4"/>
  <c r="E509" i="4"/>
  <c r="B4308" i="4"/>
  <c r="E3930" i="4"/>
  <c r="E1408" i="4"/>
  <c r="E915" i="4"/>
  <c r="B860" i="4"/>
  <c r="B798" i="4"/>
  <c r="B970" i="4"/>
  <c r="B2262" i="4"/>
  <c r="B99" i="4"/>
  <c r="E395" i="4"/>
  <c r="B2417" i="4"/>
  <c r="E740" i="4"/>
  <c r="B240" i="4"/>
  <c r="E833" i="4"/>
  <c r="B1925" i="4"/>
  <c r="B1335" i="4"/>
  <c r="E5041" i="4"/>
  <c r="E6537" i="4"/>
  <c r="B994" i="4"/>
  <c r="B3130" i="4"/>
  <c r="B3077" i="4"/>
  <c r="E1696" i="4"/>
  <c r="E2105" i="4"/>
  <c r="B3386" i="4"/>
  <c r="B1763" i="4"/>
  <c r="B7456" i="4"/>
  <c r="E3874" i="4"/>
  <c r="E712" i="4"/>
  <c r="E1254" i="4"/>
  <c r="E4161" i="4"/>
  <c r="E6341" i="4"/>
  <c r="B9872" i="4"/>
  <c r="B2538" i="4"/>
  <c r="B889" i="4"/>
  <c r="E2570" i="4"/>
  <c r="E1825" i="4"/>
  <c r="E658" i="4"/>
  <c r="B1366" i="4"/>
  <c r="B143" i="4"/>
  <c r="B931" i="4"/>
  <c r="E172" i="4"/>
  <c r="E2413" i="4"/>
  <c r="E1630" i="4"/>
  <c r="E1517" i="4"/>
  <c r="B3003" i="4"/>
  <c r="B2472" i="4"/>
  <c r="E6185" i="4"/>
  <c r="E4664" i="4"/>
  <c r="B4907" i="4"/>
  <c r="E4897" i="4"/>
  <c r="E2791" i="4"/>
  <c r="E874" i="4"/>
  <c r="B769" i="4"/>
  <c r="E2425" i="4"/>
  <c r="B868" i="4"/>
  <c r="E4050" i="4"/>
  <c r="B2395" i="4"/>
  <c r="E784" i="4"/>
  <c r="B1186" i="4"/>
  <c r="E7272" i="4"/>
  <c r="B3747" i="4"/>
  <c r="E7804" i="4"/>
  <c r="E3851" i="4"/>
  <c r="E4609" i="4"/>
  <c r="E3228" i="4"/>
  <c r="B4405" i="4"/>
  <c r="B3550" i="4"/>
  <c r="E4448" i="4"/>
  <c r="B1480" i="4"/>
  <c r="E251" i="4"/>
  <c r="E1038" i="4"/>
  <c r="B1184" i="4"/>
  <c r="E1071" i="4"/>
  <c r="E1087" i="4"/>
  <c r="E1329" i="4"/>
  <c r="E5361" i="4"/>
  <c r="B1279" i="4"/>
  <c r="E3923" i="4"/>
  <c r="E2976" i="4"/>
  <c r="E2046" i="4"/>
  <c r="B3209" i="4"/>
  <c r="E460" i="4"/>
  <c r="B2763" i="4"/>
  <c r="B564" i="4"/>
  <c r="B1089" i="4"/>
  <c r="E143" i="4"/>
  <c r="B1385" i="4"/>
  <c r="B4891" i="4"/>
  <c r="B1679" i="4"/>
  <c r="B1514" i="4"/>
  <c r="E3175" i="4"/>
  <c r="E6229" i="4"/>
  <c r="B2471" i="4"/>
  <c r="B1240" i="4"/>
  <c r="E3334" i="4"/>
  <c r="B1370" i="4"/>
  <c r="E1223" i="4"/>
  <c r="B4426" i="4"/>
  <c r="E1466" i="4"/>
  <c r="E4563" i="4"/>
  <c r="E1238" i="4"/>
  <c r="B964" i="4"/>
  <c r="B359" i="4"/>
  <c r="B1629" i="4"/>
  <c r="E2938" i="4"/>
  <c r="E226" i="4"/>
  <c r="E1771" i="4"/>
  <c r="E2669" i="4"/>
  <c r="B1897" i="4"/>
  <c r="E4057" i="4"/>
  <c r="B4570" i="4"/>
  <c r="E5209" i="4"/>
  <c r="B5236" i="4"/>
  <c r="E873" i="4"/>
  <c r="B786" i="4"/>
  <c r="B691" i="4"/>
  <c r="B5249" i="4"/>
  <c r="B2196" i="4"/>
  <c r="E5687" i="4"/>
  <c r="B2382" i="4"/>
  <c r="E2901" i="4"/>
  <c r="B265" i="4"/>
  <c r="E5991" i="4"/>
  <c r="E3572" i="4"/>
  <c r="E5829" i="4"/>
  <c r="B2299" i="4"/>
  <c r="E2257" i="4"/>
  <c r="E865" i="4"/>
  <c r="B1574" i="4"/>
  <c r="E7823" i="4"/>
  <c r="B300" i="4"/>
  <c r="E455" i="4"/>
  <c r="E490" i="4"/>
  <c r="E332" i="4"/>
  <c r="B2936" i="4"/>
  <c r="E2176" i="4"/>
  <c r="B1621" i="4"/>
  <c r="B2530" i="4"/>
  <c r="E3305" i="4"/>
  <c r="E3652" i="4"/>
  <c r="E3359" i="4"/>
  <c r="B2014" i="4"/>
  <c r="E3827" i="4"/>
  <c r="B4130" i="4"/>
  <c r="E5195" i="4"/>
  <c r="E548" i="4"/>
  <c r="B591" i="4"/>
  <c r="B105" i="4"/>
  <c r="E1478" i="4"/>
  <c r="E3820" i="4"/>
  <c r="B2068" i="4"/>
  <c r="E810" i="4"/>
  <c r="E2183" i="4"/>
  <c r="E3080" i="4"/>
  <c r="E2051" i="4"/>
  <c r="B1780" i="4"/>
  <c r="B6655" i="4"/>
  <c r="E7716" i="4"/>
  <c r="E6853" i="4"/>
  <c r="E6392" i="4"/>
  <c r="E653" i="4"/>
  <c r="B98" i="4"/>
  <c r="B4196" i="4"/>
  <c r="B4409" i="4"/>
  <c r="E1772" i="4"/>
  <c r="E5128" i="4"/>
  <c r="B2221" i="4"/>
  <c r="B1206" i="4"/>
  <c r="B1483" i="4"/>
  <c r="E3595" i="4"/>
  <c r="B2493" i="4"/>
  <c r="E4963" i="4"/>
  <c r="B1678" i="4"/>
  <c r="B1383" i="4"/>
  <c r="E1693" i="4"/>
  <c r="E5278" i="4"/>
  <c r="E998" i="4"/>
  <c r="B3801" i="4"/>
  <c r="E7932" i="4"/>
  <c r="E3897" i="4"/>
  <c r="E5695" i="4"/>
  <c r="E1921" i="4"/>
  <c r="B1217" i="4"/>
  <c r="E3627" i="4"/>
  <c r="E1804" i="4"/>
  <c r="E2685" i="4"/>
  <c r="E3548" i="4"/>
  <c r="E726" i="4"/>
  <c r="E1680" i="4"/>
  <c r="B2524" i="4"/>
  <c r="B565" i="4"/>
  <c r="B541" i="4"/>
  <c r="B1874" i="4"/>
  <c r="B1669" i="4"/>
  <c r="B456" i="4"/>
  <c r="B114" i="4"/>
  <c r="E139" i="4"/>
  <c r="B2214" i="4"/>
  <c r="B2611" i="4"/>
  <c r="E1746" i="4"/>
  <c r="B15" i="4"/>
  <c r="E1866" i="4"/>
  <c r="B1360" i="4"/>
  <c r="B498" i="4"/>
  <c r="B3529" i="4"/>
  <c r="E6842" i="4"/>
  <c r="B3462" i="4"/>
  <c r="E6238" i="4"/>
  <c r="E3253" i="4"/>
  <c r="B807" i="4"/>
  <c r="B5383" i="4"/>
  <c r="E7970" i="4"/>
  <c r="B3484" i="4"/>
  <c r="B4498" i="4"/>
  <c r="E1345" i="4"/>
  <c r="E8999" i="4"/>
  <c r="E1443" i="4"/>
  <c r="B261" i="4"/>
  <c r="E1418" i="4"/>
  <c r="E5937" i="4"/>
  <c r="B1128" i="4"/>
  <c r="E9" i="4"/>
  <c r="B1555" i="4"/>
  <c r="B465" i="4"/>
  <c r="E3463" i="4"/>
  <c r="B4500" i="4"/>
  <c r="E716" i="4"/>
  <c r="E290" i="4"/>
  <c r="B1061" i="4"/>
  <c r="E611" i="4"/>
  <c r="E314" i="4"/>
  <c r="B546" i="4"/>
  <c r="E4071" i="4"/>
  <c r="E539" i="4"/>
  <c r="B6392" i="4"/>
  <c r="B2127" i="4"/>
  <c r="B4390" i="4"/>
  <c r="B7294" i="4"/>
  <c r="E4173" i="4"/>
  <c r="B2131" i="4"/>
  <c r="E3268" i="4"/>
  <c r="E2602" i="4"/>
  <c r="E3227" i="4"/>
  <c r="B2860" i="4"/>
  <c r="B904" i="4"/>
  <c r="E4907" i="4"/>
  <c r="E2480" i="4"/>
  <c r="B4" i="4"/>
  <c r="B3131" i="4"/>
  <c r="E1292" i="4"/>
  <c r="E3607" i="4"/>
  <c r="B1008" i="4"/>
  <c r="B2862" i="4"/>
  <c r="E5676" i="4"/>
  <c r="E420" i="4"/>
  <c r="E39" i="4"/>
  <c r="E250" i="4"/>
  <c r="E3430" i="4"/>
  <c r="B716" i="4"/>
  <c r="E2563" i="4"/>
  <c r="E6027" i="4"/>
  <c r="B2180" i="4"/>
  <c r="B382" i="4"/>
  <c r="E6296" i="4"/>
  <c r="E1678" i="4"/>
  <c r="E664" i="4"/>
  <c r="B4969" i="4"/>
  <c r="E6829" i="4"/>
  <c r="B2806" i="4"/>
  <c r="B6977" i="4"/>
  <c r="E1409" i="4"/>
  <c r="B239" i="4"/>
  <c r="B1461" i="4"/>
  <c r="B2168" i="4"/>
  <c r="B5224" i="4"/>
  <c r="B6125" i="4"/>
  <c r="B1681" i="4"/>
  <c r="E941" i="4"/>
  <c r="B1403" i="4"/>
  <c r="B2583" i="4"/>
  <c r="E3112" i="4"/>
  <c r="E1743" i="4"/>
  <c r="B1491" i="4"/>
  <c r="B906" i="4"/>
  <c r="E1969" i="4"/>
  <c r="E771" i="4"/>
  <c r="B4173" i="4"/>
  <c r="B625" i="4"/>
  <c r="E1683" i="4"/>
  <c r="E489" i="4"/>
  <c r="B251" i="4"/>
  <c r="E1755" i="4"/>
  <c r="E2666" i="4"/>
  <c r="E2121" i="4"/>
  <c r="E1371" i="4"/>
  <c r="E1444" i="4"/>
  <c r="E3176" i="4"/>
  <c r="E1962" i="4"/>
  <c r="B4779" i="4"/>
  <c r="E5108" i="4"/>
  <c r="B2727" i="4"/>
  <c r="B3625" i="4"/>
  <c r="E1952" i="4"/>
  <c r="B3086" i="4"/>
  <c r="B5379" i="4"/>
  <c r="B5495" i="4"/>
  <c r="E2092" i="4"/>
  <c r="B1390" i="4"/>
  <c r="E711" i="4"/>
  <c r="B4607" i="4"/>
  <c r="B4538" i="4"/>
  <c r="B2602" i="4"/>
  <c r="E2636" i="4"/>
  <c r="B2364" i="4"/>
  <c r="E1439" i="4"/>
  <c r="E120" i="4"/>
  <c r="B2076" i="4"/>
  <c r="B551" i="4"/>
  <c r="E1738" i="4"/>
  <c r="E2492" i="4"/>
  <c r="E2231" i="4"/>
  <c r="E495" i="4"/>
  <c r="E2978" i="4"/>
  <c r="B1961" i="4"/>
  <c r="E1993" i="4"/>
  <c r="E1551" i="4"/>
  <c r="E194" i="4"/>
  <c r="E879" i="4"/>
  <c r="B3742" i="4"/>
  <c r="B8244" i="4"/>
  <c r="B6056" i="4"/>
  <c r="E4412" i="4"/>
  <c r="B5176" i="4"/>
  <c r="E1983" i="4"/>
  <c r="B2922" i="4"/>
  <c r="B996" i="4"/>
  <c r="E2828" i="4"/>
  <c r="B2954" i="4"/>
  <c r="E2650" i="4"/>
  <c r="E2880" i="4"/>
  <c r="E2094" i="4"/>
  <c r="B3790" i="4"/>
  <c r="E61" i="4"/>
  <c r="B3118" i="4"/>
  <c r="E1736" i="4"/>
  <c r="E1068" i="4"/>
  <c r="B1842" i="4"/>
  <c r="B1715" i="4"/>
  <c r="B1437" i="4"/>
  <c r="E208" i="4"/>
  <c r="E807" i="4"/>
  <c r="B3933" i="4"/>
  <c r="B2494" i="4"/>
  <c r="E105" i="4"/>
  <c r="E4115" i="4"/>
  <c r="B1667" i="4"/>
  <c r="E2409" i="4"/>
  <c r="E1549" i="4"/>
  <c r="E404" i="4"/>
  <c r="B881" i="4"/>
  <c r="B481" i="4"/>
  <c r="B467" i="4"/>
  <c r="B957" i="4"/>
  <c r="E745" i="4"/>
  <c r="E961" i="4"/>
  <c r="E2426" i="4"/>
  <c r="B1185" i="4"/>
  <c r="B1178" i="4"/>
  <c r="E4950" i="4"/>
  <c r="E7277" i="4"/>
  <c r="E3640" i="4"/>
  <c r="E4409" i="4"/>
  <c r="E2848" i="4"/>
  <c r="B1799" i="4"/>
  <c r="B159" i="4"/>
  <c r="E19" i="4"/>
  <c r="E601" i="4"/>
  <c r="B3454" i="4"/>
  <c r="B2596" i="4"/>
  <c r="B2093" i="4"/>
  <c r="B920" i="4"/>
  <c r="B1494" i="4"/>
  <c r="B4433" i="4"/>
  <c r="B836" i="4"/>
  <c r="B2099" i="4"/>
  <c r="E1123" i="4"/>
  <c r="E1845" i="4"/>
  <c r="B7171" i="4"/>
  <c r="E71" i="4"/>
  <c r="E4782" i="4"/>
  <c r="B1142" i="4"/>
  <c r="B1032" i="4"/>
  <c r="E944" i="4"/>
  <c r="B2906" i="4"/>
  <c r="B1542" i="4"/>
  <c r="B1258" i="4"/>
  <c r="E1009" i="4"/>
  <c r="E478" i="4"/>
  <c r="B5816" i="4"/>
  <c r="B3060" i="4"/>
  <c r="E4432" i="4"/>
  <c r="E169" i="4"/>
  <c r="E5005" i="4"/>
  <c r="E541" i="4"/>
  <c r="E4245" i="4"/>
  <c r="B2758" i="4"/>
  <c r="B3606" i="4"/>
  <c r="B2521" i="4"/>
  <c r="B4000" i="4"/>
  <c r="B2887" i="4"/>
  <c r="E1885" i="4"/>
  <c r="B4485" i="4"/>
  <c r="B1074" i="4"/>
  <c r="B2293" i="4"/>
  <c r="E2068" i="4"/>
  <c r="E1014" i="4"/>
  <c r="E2120" i="4"/>
  <c r="E366" i="4"/>
  <c r="E255" i="4"/>
  <c r="E1344" i="4"/>
  <c r="B3980" i="4"/>
  <c r="E81" i="4"/>
  <c r="E2482" i="4"/>
  <c r="E1844" i="4"/>
  <c r="B2778" i="4"/>
  <c r="E4906" i="4"/>
  <c r="B776" i="4"/>
  <c r="B2205" i="4"/>
  <c r="B562" i="4"/>
  <c r="E4796" i="4"/>
  <c r="E305" i="4"/>
  <c r="B1172" i="4"/>
  <c r="E2049" i="4"/>
  <c r="E1966" i="4"/>
  <c r="B856" i="4"/>
  <c r="E2810" i="4"/>
  <c r="B3032" i="4"/>
  <c r="B470" i="4"/>
  <c r="B4144" i="4"/>
  <c r="B1341" i="4"/>
  <c r="B6845" i="4"/>
  <c r="E5164" i="4"/>
  <c r="B2941" i="4"/>
  <c r="B2737" i="4"/>
  <c r="E4368" i="4"/>
  <c r="E137" i="4"/>
  <c r="B684" i="4"/>
  <c r="E782" i="4"/>
  <c r="E5450" i="4"/>
  <c r="E2474" i="4"/>
  <c r="E398" i="4"/>
  <c r="E2720" i="4"/>
  <c r="B319" i="4"/>
  <c r="E4569" i="4"/>
  <c r="B3402" i="4"/>
  <c r="E1792" i="4"/>
  <c r="E1030" i="4"/>
  <c r="E1634" i="4"/>
  <c r="B1539" i="4"/>
  <c r="E4202" i="4"/>
  <c r="B2620" i="4"/>
  <c r="E1150" i="4"/>
  <c r="B3874" i="4"/>
  <c r="E2125" i="4"/>
  <c r="B215" i="4"/>
  <c r="B3149" i="4"/>
  <c r="B1410" i="4"/>
  <c r="B5582" i="4"/>
  <c r="B1565" i="4"/>
  <c r="B1421" i="4"/>
  <c r="B120" i="4"/>
  <c r="B8802" i="4"/>
  <c r="B4496" i="4"/>
  <c r="B4042" i="4"/>
  <c r="B2467" i="4"/>
  <c r="B5172" i="4"/>
  <c r="E2037" i="4"/>
  <c r="E3942" i="4"/>
  <c r="E4046" i="4"/>
  <c r="B229" i="4"/>
  <c r="E1128" i="4"/>
  <c r="B2475" i="4"/>
  <c r="E6428" i="4"/>
  <c r="B1377" i="4"/>
  <c r="E584" i="4"/>
  <c r="B72" i="4"/>
  <c r="E55" i="4"/>
  <c r="B686" i="4"/>
  <c r="B5806" i="4"/>
  <c r="E4557" i="4"/>
  <c r="E2139" i="4"/>
  <c r="B1702" i="4"/>
  <c r="E2547" i="4"/>
  <c r="E687" i="4"/>
  <c r="E1562" i="4"/>
  <c r="B6427" i="4"/>
  <c r="E820" i="4"/>
  <c r="B9530" i="4"/>
  <c r="B5528" i="4"/>
  <c r="E913" i="4"/>
  <c r="E2686" i="4"/>
  <c r="B2289" i="4"/>
  <c r="B280" i="4"/>
  <c r="E685" i="4"/>
  <c r="B683" i="4"/>
  <c r="B610" i="4"/>
  <c r="B500" i="4"/>
  <c r="E660" i="4"/>
  <c r="E1536" i="4"/>
  <c r="E2744" i="4"/>
  <c r="E1575" i="4"/>
  <c r="E1065" i="4"/>
  <c r="E612" i="4"/>
  <c r="B247" i="4"/>
  <c r="B3626" i="4"/>
  <c r="E4717" i="4"/>
  <c r="E2827" i="4"/>
  <c r="B2690" i="4"/>
  <c r="B5179" i="4"/>
  <c r="B2198" i="4"/>
  <c r="E3149" i="4"/>
  <c r="E4165" i="4"/>
  <c r="E2865" i="4"/>
  <c r="B1846" i="4"/>
  <c r="B2977" i="4"/>
  <c r="B1039" i="4"/>
  <c r="B2958" i="4"/>
  <c r="E761" i="4"/>
  <c r="B3765" i="4"/>
  <c r="B952" i="4"/>
  <c r="B5946" i="4"/>
  <c r="E5903" i="4"/>
  <c r="B2183" i="4"/>
  <c r="B3688" i="4"/>
  <c r="B310" i="4"/>
  <c r="E2196" i="4"/>
  <c r="E2726" i="4"/>
  <c r="E3793" i="4"/>
  <c r="E2385" i="4"/>
  <c r="B439" i="4"/>
  <c r="B649" i="4"/>
  <c r="E1843" i="4"/>
  <c r="B2284" i="4"/>
  <c r="E1095" i="4"/>
  <c r="B711" i="4"/>
  <c r="E7832" i="4"/>
  <c r="B2724" i="4"/>
  <c r="B2992" i="4"/>
  <c r="E5161" i="4"/>
  <c r="E2840" i="4"/>
  <c r="E1077" i="4"/>
  <c r="E3709" i="4"/>
  <c r="E2668" i="4"/>
  <c r="E2082" i="4"/>
  <c r="B468" i="4"/>
  <c r="B905" i="4"/>
  <c r="B2575" i="4"/>
  <c r="E3622" i="4"/>
  <c r="E258" i="4"/>
  <c r="E1313" i="4"/>
  <c r="E9830" i="4"/>
  <c r="E6207" i="4"/>
  <c r="E7591" i="4"/>
  <c r="B3859" i="4"/>
  <c r="B2772" i="4"/>
  <c r="E2799" i="4"/>
  <c r="B1257" i="4"/>
  <c r="E1837" i="4"/>
  <c r="E2208" i="4"/>
  <c r="B1045" i="4"/>
  <c r="E1241" i="4"/>
  <c r="B4458" i="4"/>
  <c r="E386" i="4"/>
  <c r="E468" i="4"/>
  <c r="E562" i="4"/>
  <c r="E773" i="4"/>
  <c r="E4687" i="4"/>
  <c r="B3560" i="4"/>
  <c r="E7080" i="4"/>
  <c r="E2918" i="4"/>
  <c r="B2044" i="4"/>
  <c r="E188" i="4"/>
  <c r="B1789" i="4"/>
  <c r="E4102" i="4"/>
  <c r="B5349" i="4"/>
  <c r="E4582" i="4"/>
  <c r="B2607" i="4"/>
  <c r="E3043" i="4"/>
  <c r="B1665" i="4"/>
  <c r="E1245" i="4"/>
  <c r="B4460" i="4"/>
  <c r="B5413" i="4"/>
  <c r="B5457" i="4"/>
  <c r="B2103" i="4"/>
  <c r="E1283" i="4"/>
  <c r="E423" i="4"/>
  <c r="E828" i="4"/>
  <c r="B4146" i="4"/>
  <c r="E4655" i="4"/>
  <c r="B4382" i="4"/>
  <c r="B1871" i="4"/>
  <c r="B1018" i="4"/>
  <c r="E1656" i="4"/>
  <c r="E2305" i="4"/>
  <c r="E6264" i="4"/>
  <c r="B4112" i="4"/>
  <c r="E5952" i="4"/>
  <c r="E5315" i="4"/>
  <c r="E2171" i="4"/>
  <c r="E2382" i="4"/>
  <c r="B1686" i="4"/>
  <c r="B5944" i="4"/>
  <c r="B3713" i="4"/>
  <c r="E1623" i="4"/>
  <c r="B3153" i="4"/>
  <c r="E5495" i="4"/>
  <c r="E639" i="4"/>
  <c r="E214" i="4"/>
  <c r="B7753" i="4"/>
  <c r="B7153" i="4"/>
  <c r="B3315" i="4"/>
  <c r="E3805" i="4"/>
  <c r="E9019" i="4"/>
  <c r="E5954" i="4"/>
  <c r="B304" i="4"/>
  <c r="E5120" i="4"/>
  <c r="B3425" i="4"/>
  <c r="E4018" i="4"/>
  <c r="E914" i="4"/>
  <c r="B1823" i="4"/>
  <c r="E4463" i="4"/>
  <c r="B1054" i="4"/>
  <c r="E2291" i="4"/>
  <c r="E5726" i="4"/>
  <c r="E453" i="4"/>
  <c r="B4986" i="4"/>
  <c r="B4083" i="4"/>
  <c r="E537" i="4"/>
  <c r="E345" i="4"/>
  <c r="B180" i="4"/>
  <c r="B1164" i="4"/>
  <c r="B8192" i="4"/>
  <c r="E3443" i="4"/>
  <c r="B3497" i="4"/>
  <c r="E4568" i="4"/>
  <c r="B4930" i="4"/>
  <c r="E1576" i="4"/>
  <c r="B2911" i="4"/>
  <c r="B253" i="4"/>
  <c r="E2025" i="4"/>
  <c r="E1121" i="4"/>
  <c r="B1653" i="4"/>
  <c r="B2539" i="4"/>
  <c r="E547" i="4"/>
  <c r="E232" i="4"/>
  <c r="E195" i="4"/>
  <c r="B1443" i="4"/>
  <c r="B4700" i="4"/>
  <c r="E2903" i="4"/>
  <c r="B637" i="4"/>
  <c r="B2876" i="4"/>
  <c r="B1047" i="4"/>
  <c r="E1296" i="4"/>
  <c r="E1750" i="4"/>
  <c r="E1642" i="4"/>
  <c r="B2022" i="4"/>
  <c r="E956" i="4"/>
  <c r="B3147" i="4"/>
  <c r="B446" i="4"/>
  <c r="B93" i="4"/>
  <c r="B1654" i="4"/>
  <c r="B40" i="4"/>
  <c r="E777" i="4"/>
  <c r="E6855" i="4"/>
  <c r="E3877" i="4"/>
  <c r="B335" i="4"/>
  <c r="E5808" i="4"/>
  <c r="E4096" i="4"/>
  <c r="B582" i="4"/>
  <c r="E207" i="4"/>
  <c r="B2540" i="4"/>
  <c r="E691" i="4"/>
  <c r="E2477" i="4"/>
  <c r="B3527" i="4"/>
  <c r="E5713" i="4"/>
  <c r="E534" i="4"/>
  <c r="B3187" i="4"/>
  <c r="B2818" i="4"/>
  <c r="E846" i="4"/>
  <c r="E433" i="4"/>
  <c r="E624" i="4"/>
  <c r="B572" i="4"/>
  <c r="E5206" i="4"/>
  <c r="E10" i="4"/>
  <c r="E1932" i="4"/>
  <c r="B187" i="4"/>
  <c r="E1233" i="4"/>
  <c r="E756" i="4"/>
  <c r="E3309" i="4"/>
  <c r="E1114" i="4"/>
  <c r="E6456" i="4"/>
  <c r="B6710" i="4"/>
  <c r="E2357" i="4"/>
  <c r="B5543" i="4"/>
  <c r="E5429" i="4"/>
  <c r="E770" i="4"/>
  <c r="E1412" i="4"/>
  <c r="B7434" i="4"/>
  <c r="E5011" i="4"/>
  <c r="B6342" i="4"/>
  <c r="B622" i="4"/>
  <c r="B392" i="4"/>
  <c r="E5086" i="4"/>
  <c r="B2387" i="4"/>
  <c r="B4128" i="4"/>
  <c r="B4275" i="4"/>
  <c r="B2687" i="4"/>
  <c r="E847" i="4"/>
  <c r="E2898" i="4"/>
  <c r="E836" i="4"/>
  <c r="E4987" i="4"/>
  <c r="B1569" i="4"/>
  <c r="E4328" i="4"/>
  <c r="E1102" i="4"/>
  <c r="B91" i="4"/>
  <c r="E283" i="4"/>
  <c r="B1456" i="4"/>
  <c r="B3067" i="4"/>
  <c r="B5194" i="4"/>
  <c r="B3235" i="4"/>
  <c r="B3899" i="4"/>
  <c r="B7293" i="4"/>
  <c r="E4894" i="4"/>
  <c r="E3072" i="4"/>
  <c r="E3797" i="4"/>
  <c r="E3986" i="4"/>
  <c r="B899" i="4"/>
  <c r="E1796" i="4"/>
  <c r="E2441" i="4"/>
  <c r="B3103" i="4"/>
  <c r="E1007" i="4"/>
  <c r="E6442" i="4"/>
  <c r="B614" i="4"/>
  <c r="B1072" i="4"/>
  <c r="B1098" i="4"/>
  <c r="B1920" i="4"/>
  <c r="B6556" i="4"/>
  <c r="E7215" i="4"/>
  <c r="B5859" i="4"/>
  <c r="E4519" i="4"/>
  <c r="B2240" i="4"/>
  <c r="B2174" i="4"/>
  <c r="B5596" i="4"/>
  <c r="B3692" i="4"/>
  <c r="E1947" i="4"/>
  <c r="B4419" i="4"/>
  <c r="E934" i="4"/>
  <c r="B2637" i="4"/>
  <c r="E1261" i="4"/>
  <c r="B678" i="4"/>
  <c r="E2574" i="4"/>
  <c r="E6274" i="4"/>
  <c r="B4212" i="4"/>
  <c r="B270" i="4"/>
  <c r="E3108" i="4"/>
  <c r="E380" i="4"/>
  <c r="B2566" i="4"/>
  <c r="E3242" i="4"/>
  <c r="B4398" i="4"/>
  <c r="E406" i="4"/>
  <c r="B12" i="4"/>
  <c r="E2250" i="4"/>
  <c r="E7249" i="4"/>
  <c r="E7030" i="4"/>
  <c r="E7829" i="4"/>
  <c r="E6015" i="4"/>
  <c r="E6862" i="4"/>
  <c r="E5037" i="4"/>
  <c r="E2983" i="4"/>
  <c r="E4560" i="4"/>
  <c r="E6112" i="4"/>
  <c r="B3020" i="4"/>
  <c r="E1728" i="4"/>
  <c r="B1697" i="4"/>
  <c r="B5447" i="4"/>
  <c r="B1409" i="4"/>
  <c r="E2457" i="4"/>
  <c r="B3547" i="4"/>
  <c r="B2645" i="4"/>
  <c r="B2070" i="4"/>
  <c r="B4234" i="4"/>
  <c r="E723" i="4"/>
  <c r="E157" i="4"/>
  <c r="B3957" i="4"/>
  <c r="E25" i="4"/>
  <c r="E1460" i="4"/>
  <c r="B1721" i="4"/>
  <c r="B307" i="4"/>
  <c r="E2819" i="4"/>
  <c r="E3126" i="4"/>
  <c r="B3112" i="4"/>
  <c r="E3790" i="4"/>
  <c r="E1759" i="4"/>
  <c r="B3514" i="4"/>
  <c r="E4798" i="4"/>
  <c r="E5251" i="4"/>
  <c r="B951" i="4"/>
  <c r="B4719" i="4"/>
  <c r="E4958" i="4"/>
  <c r="B3878" i="4"/>
  <c r="E2747" i="4"/>
  <c r="E3217" i="4"/>
  <c r="B214" i="4"/>
  <c r="B5276" i="4"/>
  <c r="B5173" i="4"/>
  <c r="E6062" i="4"/>
  <c r="E481" i="4"/>
  <c r="B910" i="4"/>
  <c r="B2979" i="4"/>
  <c r="B2661" i="4"/>
  <c r="E3020" i="4"/>
  <c r="B4653" i="4"/>
  <c r="B3883" i="4"/>
  <c r="B4759" i="4"/>
  <c r="E940" i="4"/>
  <c r="B1080" i="4"/>
  <c r="B5365" i="4"/>
  <c r="B241" i="4"/>
  <c r="E1384" i="4"/>
  <c r="E3656" i="4"/>
  <c r="E223" i="4"/>
  <c r="E1140" i="4"/>
  <c r="B5895" i="4"/>
  <c r="E1560" i="4"/>
  <c r="E1580" i="4"/>
  <c r="B895" i="4"/>
  <c r="E7306" i="4"/>
  <c r="B5245" i="4"/>
  <c r="B5429" i="4"/>
  <c r="E7072" i="4"/>
  <c r="B4681" i="4"/>
  <c r="E6823" i="4"/>
  <c r="E6181" i="4"/>
  <c r="B3475" i="4"/>
  <c r="E5279" i="4"/>
  <c r="E2372" i="4"/>
  <c r="E1891" i="4"/>
  <c r="B3771" i="4"/>
  <c r="B3096" i="4"/>
  <c r="E6070" i="4"/>
  <c r="E3245" i="4"/>
  <c r="E2100" i="4"/>
  <c r="B4268" i="4"/>
  <c r="E4852" i="4"/>
  <c r="B6429" i="4"/>
  <c r="E4974" i="4"/>
  <c r="E1992" i="4"/>
  <c r="B2083" i="4"/>
  <c r="E2369" i="4"/>
  <c r="E263" i="4"/>
  <c r="B700" i="4"/>
  <c r="E2945" i="4"/>
  <c r="B601" i="4"/>
  <c r="B3351" i="4"/>
  <c r="E2922" i="4"/>
  <c r="B944" i="4"/>
  <c r="B1725" i="4"/>
  <c r="B9351" i="4"/>
  <c r="B7630" i="4"/>
  <c r="E8324" i="4"/>
  <c r="E5253" i="4"/>
  <c r="E2699" i="4"/>
  <c r="B2835" i="4"/>
  <c r="E2433" i="4"/>
  <c r="E4506" i="4"/>
  <c r="E4861" i="4"/>
  <c r="B3026" i="4"/>
  <c r="E2212" i="4"/>
  <c r="B2148" i="4"/>
  <c r="B70" i="4"/>
  <c r="E1161" i="4"/>
  <c r="E4034" i="4"/>
  <c r="B2813" i="4"/>
  <c r="B4194" i="4"/>
  <c r="E2363" i="4"/>
  <c r="E1507" i="4"/>
  <c r="B2150" i="4"/>
  <c r="E2612" i="4"/>
  <c r="B3250" i="4"/>
  <c r="B657" i="4"/>
  <c r="B13" i="4"/>
  <c r="B3115" i="4"/>
  <c r="E239" i="4"/>
  <c r="E1758" i="4"/>
  <c r="E1365" i="4"/>
  <c r="E5144" i="4"/>
  <c r="B4479" i="4"/>
  <c r="E1957" i="4"/>
  <c r="B1301" i="4"/>
  <c r="E9063" i="4"/>
  <c r="B6792" i="4"/>
  <c r="E4138" i="4"/>
  <c r="B7198" i="4"/>
  <c r="E4919" i="4"/>
  <c r="E4384" i="4"/>
  <c r="E3174" i="4"/>
  <c r="B5908" i="4"/>
  <c r="B1733" i="4"/>
  <c r="E77" i="4"/>
  <c r="B989" i="4"/>
  <c r="B938" i="4"/>
  <c r="B1666" i="4"/>
  <c r="B1139" i="4"/>
  <c r="E3052" i="4"/>
  <c r="B3663" i="4"/>
  <c r="B3175" i="4"/>
  <c r="E5552" i="4"/>
  <c r="E2909" i="4"/>
  <c r="E5319" i="4"/>
  <c r="B2682" i="4"/>
  <c r="E1470" i="4"/>
  <c r="B1971" i="4"/>
  <c r="E1321" i="4"/>
  <c r="B1478" i="4"/>
  <c r="E351" i="4"/>
  <c r="B838" i="4"/>
  <c r="E1783" i="4"/>
  <c r="E1977" i="4"/>
  <c r="B2349" i="4"/>
  <c r="E2846" i="4"/>
  <c r="E3469" i="4"/>
  <c r="B4230" i="4"/>
  <c r="B2616" i="4"/>
  <c r="E958" i="4"/>
  <c r="B1050" i="4"/>
  <c r="E430" i="4"/>
  <c r="E2336" i="4"/>
  <c r="B365" i="4"/>
  <c r="B2850" i="4"/>
  <c r="E95" i="4"/>
  <c r="B4665" i="4"/>
  <c r="E1400" i="4"/>
  <c r="B7263" i="4"/>
  <c r="E5847" i="4"/>
  <c r="E4015" i="4"/>
  <c r="E7518" i="4"/>
  <c r="B5530" i="4"/>
  <c r="B2405" i="4"/>
  <c r="B4920" i="4"/>
  <c r="B3106" i="4"/>
  <c r="E3896" i="4"/>
  <c r="B2490" i="4"/>
  <c r="E1299" i="4"/>
  <c r="B1727" i="4"/>
  <c r="E625" i="4"/>
  <c r="E200" i="4"/>
  <c r="B1534" i="4"/>
  <c r="E1833" i="4"/>
  <c r="B5546" i="4"/>
  <c r="E1964" i="4"/>
  <c r="B3216" i="4"/>
  <c r="E114" i="4"/>
  <c r="B3515" i="4"/>
  <c r="B1079" i="4"/>
  <c r="E2378" i="4"/>
  <c r="E2516" i="4"/>
  <c r="E287" i="4"/>
  <c r="E1801" i="4"/>
  <c r="E1488" i="4"/>
  <c r="E2853" i="4"/>
  <c r="E15" i="4"/>
  <c r="B2374" i="4"/>
  <c r="B743" i="4"/>
  <c r="B1518" i="4"/>
  <c r="B615" i="4"/>
  <c r="B3343" i="4"/>
  <c r="B497" i="4"/>
  <c r="B2322" i="4"/>
  <c r="E996" i="4"/>
  <c r="B1828" i="4"/>
  <c r="E6429" i="4"/>
  <c r="B3786" i="4"/>
  <c r="E486" i="4"/>
  <c r="E4917" i="4"/>
  <c r="E5795" i="4"/>
  <c r="B260" i="4"/>
  <c r="E379" i="4"/>
  <c r="B145" i="4"/>
  <c r="E7402" i="4"/>
  <c r="E5729" i="4"/>
  <c r="E5162" i="4"/>
  <c r="B8435" i="4"/>
  <c r="B2844" i="4"/>
  <c r="B255" i="4"/>
  <c r="E1067" i="4"/>
  <c r="E3296" i="4"/>
  <c r="B3281" i="4"/>
  <c r="B4559" i="4"/>
  <c r="B3911" i="4"/>
  <c r="B1071" i="4"/>
  <c r="B2019" i="4"/>
  <c r="E1868" i="4"/>
  <c r="B1944" i="4"/>
  <c r="B6279" i="4"/>
  <c r="B1196" i="4"/>
  <c r="E4152" i="4"/>
  <c r="E371" i="4"/>
  <c r="E28" i="4"/>
  <c r="E4129" i="4"/>
  <c r="E860" i="4"/>
  <c r="B1722" i="4"/>
  <c r="B338" i="4"/>
  <c r="E467" i="4"/>
  <c r="B1986" i="4"/>
  <c r="E476" i="4"/>
  <c r="E2392" i="4"/>
  <c r="B506" i="4"/>
  <c r="B1566" i="4"/>
  <c r="B344" i="4"/>
  <c r="E594" i="4"/>
  <c r="E844" i="4"/>
  <c r="B217" i="4"/>
  <c r="E294" i="4"/>
  <c r="E38" i="4"/>
  <c r="B445" i="4"/>
  <c r="B1622" i="4"/>
  <c r="B735" i="4"/>
  <c r="E811" i="4"/>
  <c r="E1873" i="4"/>
  <c r="B1205" i="4"/>
  <c r="B979" i="4"/>
  <c r="B1053" i="4"/>
  <c r="E1986" i="4"/>
  <c r="B3853" i="4"/>
  <c r="B2400" i="4"/>
  <c r="B2380" i="4"/>
  <c r="E985" i="4"/>
  <c r="B216" i="4"/>
  <c r="B471" i="4"/>
  <c r="B6002" i="4"/>
  <c r="E7291" i="4"/>
  <c r="B5222" i="4"/>
  <c r="E2527" i="4"/>
  <c r="B1363" i="4"/>
  <c r="B3046" i="4"/>
  <c r="B6675" i="4"/>
  <c r="E2229" i="4"/>
  <c r="E2635" i="4"/>
  <c r="B4278" i="4"/>
  <c r="B459" i="4"/>
  <c r="B1835" i="4"/>
  <c r="B3581" i="4"/>
  <c r="E1317" i="4"/>
  <c r="B1007" i="4"/>
  <c r="E2035" i="4"/>
  <c r="B1521" i="4"/>
  <c r="E1798" i="4"/>
  <c r="E1905" i="4"/>
  <c r="E487" i="4"/>
  <c r="E477" i="4"/>
  <c r="E4756" i="4"/>
  <c r="E2179" i="4"/>
  <c r="E1715" i="4"/>
  <c r="E1126" i="4"/>
  <c r="B1599" i="4"/>
  <c r="E2586" i="4"/>
  <c r="E2061" i="4"/>
  <c r="B1830" i="4"/>
  <c r="E205" i="4"/>
  <c r="B342" i="4"/>
  <c r="B779" i="4"/>
  <c r="B63" i="4"/>
  <c r="E3163" i="4"/>
  <c r="B1418" i="4"/>
  <c r="B3227" i="4"/>
  <c r="B385" i="4"/>
  <c r="E1284" i="4"/>
  <c r="E3407" i="4"/>
  <c r="E2124" i="4"/>
  <c r="B1097" i="4"/>
  <c r="E929" i="4"/>
  <c r="E2454" i="4"/>
  <c r="E4695" i="4"/>
  <c r="E4500" i="4"/>
  <c r="B5114" i="4"/>
  <c r="E2939" i="4"/>
  <c r="E1145" i="4"/>
  <c r="E3075" i="4"/>
  <c r="B933" i="4"/>
  <c r="B4067" i="4"/>
  <c r="B2912" i="4"/>
  <c r="E5983" i="4"/>
  <c r="B3996" i="4"/>
  <c r="B315" i="4"/>
  <c r="B337" i="4"/>
  <c r="E3665" i="4"/>
  <c r="B1936" i="4"/>
  <c r="E5480" i="4"/>
  <c r="B5581" i="4"/>
  <c r="E555" i="4"/>
  <c r="E1491" i="4"/>
  <c r="B2161" i="4"/>
  <c r="E463" i="4"/>
  <c r="E5357" i="4"/>
  <c r="B818" i="4"/>
  <c r="E5578" i="4"/>
  <c r="B3404" i="4"/>
  <c r="E3325" i="4"/>
  <c r="E1996" i="4"/>
  <c r="E1389" i="4"/>
  <c r="E2595" i="4"/>
  <c r="E2247" i="4"/>
  <c r="E4737" i="4"/>
  <c r="E3155" i="4"/>
  <c r="E1658" i="4"/>
  <c r="E3959" i="4"/>
  <c r="B5453" i="4"/>
  <c r="B1295" i="4"/>
  <c r="E1026" i="4"/>
  <c r="B2306" i="4"/>
  <c r="B2067" i="4"/>
  <c r="B155" i="4"/>
  <c r="B298" i="4"/>
  <c r="B1758" i="4"/>
  <c r="B53" i="4"/>
  <c r="B2590" i="4"/>
  <c r="B1372" i="4"/>
  <c r="B27" i="4"/>
  <c r="E67" i="4"/>
  <c r="E2354" i="4"/>
  <c r="E1094" i="4"/>
  <c r="E7527" i="4"/>
  <c r="E6954" i="4"/>
  <c r="E4676" i="4"/>
  <c r="B3687" i="4"/>
  <c r="E6623" i="4"/>
  <c r="B3229" i="4"/>
  <c r="B2188" i="4"/>
  <c r="E6197" i="4"/>
  <c r="B2967" i="4"/>
  <c r="E3029" i="4"/>
  <c r="E3220" i="4"/>
  <c r="B175" i="4"/>
  <c r="B1131" i="4"/>
  <c r="E2123" i="4"/>
  <c r="B1547" i="4"/>
  <c r="E317" i="4"/>
  <c r="E2448" i="4"/>
  <c r="B659" i="4"/>
  <c r="B273" i="4"/>
  <c r="B795" i="4"/>
  <c r="B801" i="4"/>
  <c r="E864" i="4"/>
  <c r="B4117" i="4"/>
  <c r="B2226" i="4"/>
  <c r="E399" i="4"/>
  <c r="B1379" i="4"/>
  <c r="E2190" i="4"/>
  <c r="E545" i="4"/>
  <c r="E2550" i="4"/>
  <c r="E837" i="4"/>
  <c r="B1947" i="4"/>
  <c r="B37" i="4"/>
  <c r="B971" i="4"/>
  <c r="B203" i="4"/>
  <c r="E1155" i="4"/>
  <c r="E1403" i="4"/>
  <c r="B1517" i="4"/>
  <c r="B152" i="4"/>
  <c r="E70" i="4"/>
  <c r="B5774" i="4"/>
  <c r="E788" i="4"/>
  <c r="B1446" i="4"/>
  <c r="B4540" i="4"/>
  <c r="E2164" i="4"/>
  <c r="E666" i="4"/>
  <c r="B131" i="4"/>
  <c r="E1503" i="4"/>
  <c r="B431" i="4"/>
  <c r="B4935" i="4"/>
  <c r="B6679" i="4"/>
  <c r="B4629" i="4"/>
  <c r="B6266" i="4"/>
  <c r="B2326" i="4"/>
  <c r="E1691" i="4"/>
  <c r="E2987" i="4"/>
  <c r="E2218" i="4"/>
  <c r="B4220" i="4"/>
  <c r="E5273" i="4"/>
  <c r="E1882" i="4"/>
  <c r="B65" i="4"/>
  <c r="B3900" i="4"/>
  <c r="E4399" i="4"/>
  <c r="B4211" i="4"/>
  <c r="B4605" i="4"/>
  <c r="E4402" i="4"/>
  <c r="B6762" i="4"/>
  <c r="E2303" i="4"/>
  <c r="B1994" i="4"/>
  <c r="B556" i="4"/>
  <c r="E1057" i="4"/>
  <c r="E4961" i="4"/>
  <c r="E261" i="4"/>
  <c r="E3666" i="4"/>
  <c r="B89" i="4"/>
  <c r="B900" i="4"/>
  <c r="E1501" i="4"/>
  <c r="B3869" i="4"/>
  <c r="E3899" i="4"/>
  <c r="E7445" i="4"/>
  <c r="B4728" i="4"/>
  <c r="E3294" i="4"/>
  <c r="E5723" i="4"/>
  <c r="E2264" i="4"/>
  <c r="B2138" i="4"/>
  <c r="B179" i="4"/>
  <c r="B1688" i="4"/>
  <c r="B2255" i="4"/>
  <c r="B720" i="4"/>
  <c r="E2896" i="4"/>
  <c r="B4551" i="4"/>
  <c r="B4770" i="4"/>
  <c r="E4158" i="4"/>
  <c r="E485" i="4"/>
  <c r="B1804" i="4"/>
  <c r="E4442" i="4"/>
  <c r="E4848" i="4"/>
  <c r="B2234" i="4"/>
  <c r="B1863" i="4"/>
  <c r="B4214" i="4"/>
  <c r="E4503" i="4"/>
  <c r="E2201" i="4"/>
  <c r="B4750" i="4"/>
  <c r="B3819" i="4"/>
  <c r="B3150" i="4"/>
  <c r="E1997" i="4"/>
  <c r="B1484" i="4"/>
  <c r="E963" i="4"/>
  <c r="E1793" i="4"/>
  <c r="E104" i="4"/>
  <c r="E8827" i="4"/>
  <c r="E3147" i="4"/>
  <c r="B1840" i="4"/>
  <c r="E4403" i="4"/>
  <c r="B4982" i="4"/>
  <c r="B4506" i="4"/>
  <c r="B6303" i="4"/>
  <c r="E3436" i="4"/>
  <c r="E2888" i="4"/>
  <c r="E2339" i="4"/>
  <c r="B2194" i="4"/>
  <c r="B4387" i="4"/>
  <c r="B533" i="4"/>
  <c r="E1533" i="4"/>
  <c r="E504" i="4"/>
  <c r="B383" i="4"/>
  <c r="E7073" i="4"/>
  <c r="B4300" i="4"/>
  <c r="B5436" i="4"/>
  <c r="E3381" i="4"/>
  <c r="E2560" i="4"/>
  <c r="B1915" i="4"/>
  <c r="E4183" i="4"/>
  <c r="B7446" i="4"/>
  <c r="B5325" i="4"/>
  <c r="E4180" i="4"/>
  <c r="B9055" i="4"/>
  <c r="E1406" i="4"/>
  <c r="B1394" i="4"/>
  <c r="B3744" i="4"/>
  <c r="E6893" i="4"/>
  <c r="E4086" i="4"/>
  <c r="B5854" i="4"/>
  <c r="B7906" i="4"/>
  <c r="E4247" i="4"/>
  <c r="B3447" i="4"/>
  <c r="B5244" i="4"/>
  <c r="E6639" i="4"/>
  <c r="B5282" i="4"/>
  <c r="B3839" i="4"/>
  <c r="B6692" i="4"/>
  <c r="B2523" i="4"/>
  <c r="B2305" i="4"/>
  <c r="B5184" i="4"/>
  <c r="B5601" i="4"/>
  <c r="E4450" i="4"/>
  <c r="B3302" i="4"/>
  <c r="B8218" i="4"/>
  <c r="B1996" i="4"/>
  <c r="B1724" i="4"/>
  <c r="B4320" i="4"/>
  <c r="B9137" i="4"/>
  <c r="E3392" i="4"/>
  <c r="E2705" i="4"/>
  <c r="B5215" i="4"/>
  <c r="E125" i="4"/>
  <c r="B2385" i="4"/>
  <c r="E9780" i="4"/>
  <c r="B6892" i="4"/>
  <c r="B3446" i="4"/>
  <c r="B3391" i="4"/>
  <c r="B5548" i="4"/>
  <c r="E2003" i="4"/>
  <c r="B1559" i="4"/>
  <c r="E2293" i="4"/>
  <c r="E7174" i="4"/>
  <c r="B6704" i="4"/>
  <c r="B3532" i="4"/>
  <c r="E78" i="4"/>
  <c r="B1065" i="4"/>
  <c r="B3034" i="4"/>
  <c r="E3467" i="4"/>
  <c r="E4127" i="4"/>
  <c r="B2461" i="4"/>
  <c r="B3940" i="4"/>
  <c r="E1894" i="4"/>
  <c r="B5840" i="4"/>
  <c r="B1572" i="4"/>
  <c r="E3272" i="4"/>
  <c r="E273" i="4"/>
  <c r="E1714" i="4"/>
  <c r="E4072" i="4"/>
  <c r="B3036" i="4"/>
  <c r="B4277" i="4"/>
  <c r="E536" i="4"/>
  <c r="B4296" i="4"/>
  <c r="B1657" i="4"/>
  <c r="E2493" i="4"/>
  <c r="B1248" i="4"/>
  <c r="B6425" i="4"/>
  <c r="E1505" i="4"/>
  <c r="B3287" i="4"/>
  <c r="E2407" i="4"/>
  <c r="B2427" i="4"/>
  <c r="B2298" i="4"/>
  <c r="B830" i="4"/>
  <c r="B1564" i="4"/>
  <c r="E4993" i="4"/>
  <c r="E3515" i="4"/>
  <c r="B5039" i="4"/>
  <c r="E1651" i="4"/>
  <c r="B2644" i="4"/>
  <c r="E806" i="4"/>
  <c r="E145" i="4"/>
  <c r="E585" i="4"/>
  <c r="E4090" i="4"/>
  <c r="E2075" i="4"/>
  <c r="E1897" i="4"/>
  <c r="E4116" i="4"/>
  <c r="B3902" i="4"/>
  <c r="B1930" i="4"/>
  <c r="E1385" i="4"/>
  <c r="E8212" i="4"/>
  <c r="B4406" i="4"/>
  <c r="B2791" i="4"/>
  <c r="B387" i="4"/>
  <c r="E3553" i="4"/>
  <c r="E3737" i="4"/>
  <c r="B739" i="4"/>
  <c r="E2182" i="4"/>
  <c r="B589" i="4"/>
  <c r="E1251" i="4"/>
  <c r="B1570" i="4"/>
  <c r="E2028" i="4"/>
  <c r="B3365" i="4"/>
  <c r="E18" i="4"/>
  <c r="E5080" i="4"/>
  <c r="B571" i="4"/>
  <c r="E187" i="4"/>
  <c r="E3058" i="4"/>
  <c r="E4277" i="4"/>
  <c r="E815" i="4"/>
  <c r="E2142" i="4"/>
  <c r="E1084" i="4"/>
  <c r="B1176" i="4"/>
  <c r="E3711" i="4"/>
  <c r="E2115" i="4"/>
  <c r="B75" i="4"/>
  <c r="E247" i="4"/>
  <c r="B148" i="4"/>
  <c r="E5174" i="4"/>
  <c r="B5446" i="4"/>
  <c r="B5505" i="4"/>
  <c r="B4949" i="4"/>
  <c r="B3333" i="4"/>
  <c r="B3279" i="4"/>
  <c r="E1024" i="4"/>
  <c r="B1713" i="4"/>
  <c r="E3457" i="4"/>
  <c r="B5314" i="4"/>
  <c r="E3674" i="4"/>
  <c r="B624" i="4"/>
  <c r="B2517" i="4"/>
  <c r="E3612" i="4"/>
  <c r="E855" i="4"/>
  <c r="B486" i="4"/>
  <c r="E2214" i="4"/>
  <c r="E512" i="4"/>
  <c r="B620" i="4"/>
  <c r="E4026" i="4"/>
  <c r="B2265" i="4"/>
  <c r="E4513" i="4"/>
  <c r="B2654" i="4"/>
  <c r="B281" i="4"/>
  <c r="B1587" i="4"/>
  <c r="E1856" i="4"/>
  <c r="E103" i="4"/>
  <c r="E186" i="4"/>
  <c r="E352" i="4"/>
  <c r="E1473" i="4"/>
  <c r="B4792" i="4"/>
  <c r="E6854" i="4"/>
  <c r="B6379" i="4"/>
  <c r="B926" i="4"/>
  <c r="B4205" i="4"/>
  <c r="E3854" i="4"/>
  <c r="E762" i="4"/>
  <c r="B157" i="4"/>
  <c r="B5858" i="4"/>
  <c r="E902" i="4"/>
  <c r="E1348" i="4"/>
  <c r="E4085" i="4"/>
  <c r="E470" i="4"/>
  <c r="E2585" i="4"/>
  <c r="E4631" i="4"/>
  <c r="E2404" i="4"/>
  <c r="B4303" i="4"/>
  <c r="E1923" i="4"/>
  <c r="B5644" i="4"/>
  <c r="E5482" i="4"/>
  <c r="E3088" i="4"/>
  <c r="B5003" i="4"/>
  <c r="E1701" i="4"/>
  <c r="E336" i="4"/>
  <c r="B3122" i="4"/>
  <c r="E2285" i="4"/>
  <c r="B3114" i="4"/>
  <c r="E2674" i="4"/>
  <c r="E4975" i="4"/>
  <c r="B983" i="4"/>
  <c r="B2730" i="4"/>
  <c r="E2549" i="4"/>
  <c r="E2578" i="4"/>
  <c r="B43" i="4"/>
  <c r="E2786" i="4"/>
  <c r="B66" i="4"/>
  <c r="E1119" i="4"/>
  <c r="E4083" i="4"/>
  <c r="B2501" i="4"/>
  <c r="E3005" i="4"/>
  <c r="E2815" i="4"/>
  <c r="E4079" i="4"/>
  <c r="B5086" i="4"/>
  <c r="B5804" i="4"/>
  <c r="B1262" i="4"/>
  <c r="E4068" i="4"/>
  <c r="E5586" i="4"/>
  <c r="B6447" i="4"/>
  <c r="B3284" i="4"/>
  <c r="E3774" i="4"/>
  <c r="B406" i="4"/>
  <c r="B7532" i="4"/>
  <c r="B5214" i="4"/>
  <c r="B5541" i="4"/>
  <c r="B2179" i="4"/>
  <c r="E1635" i="4"/>
  <c r="E6057" i="4"/>
  <c r="E3983" i="4"/>
  <c r="B1343" i="4"/>
  <c r="E3329" i="4"/>
  <c r="B2762" i="4"/>
  <c r="B3991" i="4"/>
  <c r="B1220" i="4"/>
  <c r="E1908" i="4"/>
  <c r="B7492" i="4"/>
  <c r="B1267" i="4"/>
  <c r="E2777" i="4"/>
  <c r="E4874" i="4"/>
  <c r="E608" i="4"/>
  <c r="E2198" i="4"/>
  <c r="E2152" i="4"/>
  <c r="B2650" i="4"/>
  <c r="E2694" i="4"/>
  <c r="E1808" i="4"/>
  <c r="E6379" i="4"/>
  <c r="E5953" i="4"/>
  <c r="B4835" i="4"/>
  <c r="B5220" i="4"/>
  <c r="E2782" i="4"/>
  <c r="E5614" i="4"/>
  <c r="E4630" i="4"/>
  <c r="E4823" i="4"/>
  <c r="E4511" i="4"/>
  <c r="E3722" i="4"/>
  <c r="B815" i="4"/>
  <c r="E2443" i="4"/>
  <c r="E4831" i="4"/>
  <c r="B6527" i="4"/>
  <c r="E4009" i="4"/>
  <c r="B2761" i="4"/>
  <c r="B4178" i="4"/>
  <c r="B2589" i="4"/>
  <c r="E1252" i="4"/>
  <c r="E3336" i="4"/>
  <c r="E140" i="4"/>
  <c r="E641" i="4"/>
  <c r="E3951" i="4"/>
  <c r="E202" i="4"/>
  <c r="E1552" i="4"/>
  <c r="E3288" i="4"/>
  <c r="E75" i="4"/>
  <c r="B246" i="4"/>
  <c r="B1557" i="4"/>
  <c r="E1486" i="4"/>
  <c r="E2931" i="4"/>
  <c r="B10748" i="4"/>
  <c r="E6950" i="4"/>
  <c r="E5965" i="4"/>
  <c r="B6361" i="4"/>
  <c r="E3466" i="4"/>
  <c r="B3371" i="4"/>
  <c r="B3167" i="4"/>
  <c r="B6340" i="4"/>
  <c r="B3524" i="4"/>
  <c r="E2752" i="4"/>
  <c r="B780" i="4"/>
  <c r="E4074" i="4"/>
  <c r="B294" i="4"/>
  <c r="B1691" i="4"/>
  <c r="B2982" i="4"/>
  <c r="E1910" i="4"/>
  <c r="E3328" i="4"/>
  <c r="B2820" i="4"/>
  <c r="B2060" i="4"/>
  <c r="E5984" i="4"/>
  <c r="B6428" i="4"/>
  <c r="B5502" i="4"/>
  <c r="E3401" i="4"/>
  <c r="E1069" i="4"/>
  <c r="E3964" i="4"/>
  <c r="B1594" i="4"/>
  <c r="E3603" i="4"/>
  <c r="E1204" i="4"/>
  <c r="B8437" i="4"/>
  <c r="B5032" i="4"/>
  <c r="E224" i="4"/>
  <c r="E2710" i="4"/>
  <c r="B9152" i="4"/>
  <c r="B5490" i="4"/>
  <c r="B7744" i="4"/>
  <c r="E4976" i="4"/>
  <c r="E4524" i="4"/>
  <c r="B1349" i="4"/>
  <c r="B1903" i="4"/>
  <c r="E3649" i="4"/>
  <c r="E4099" i="4"/>
  <c r="B5579" i="4"/>
  <c r="B580" i="4"/>
  <c r="B81" i="4"/>
  <c r="B396" i="4"/>
  <c r="B1487" i="4"/>
  <c r="B2404" i="4"/>
  <c r="B4811" i="4"/>
  <c r="E2371" i="4"/>
  <c r="E2300" i="4"/>
  <c r="B4631" i="4"/>
  <c r="B6552" i="4"/>
  <c r="B661" i="4"/>
  <c r="B2465" i="4"/>
  <c r="B515" i="4"/>
  <c r="B1607" i="4"/>
  <c r="B3220" i="4"/>
  <c r="B1596" i="4"/>
  <c r="B747" i="4"/>
  <c r="E6780" i="4"/>
  <c r="E3133" i="4"/>
  <c r="E3639" i="4"/>
  <c r="E4642" i="4"/>
  <c r="E3041" i="4"/>
  <c r="E8299" i="4"/>
  <c r="B6995" i="4"/>
  <c r="E3583" i="4"/>
  <c r="E4554" i="4"/>
  <c r="E6781" i="4"/>
  <c r="B1785" i="4"/>
  <c r="E3259" i="4"/>
  <c r="B6895" i="4"/>
  <c r="B2821" i="4"/>
  <c r="E3946" i="4"/>
  <c r="E2389" i="4"/>
  <c r="E3947" i="4"/>
  <c r="B6229" i="4"/>
  <c r="E3064" i="4"/>
  <c r="E4692" i="4"/>
  <c r="B1794" i="4"/>
  <c r="B6768" i="4"/>
  <c r="B2656" i="4"/>
  <c r="B2669" i="4"/>
  <c r="B1888" i="4"/>
  <c r="E113" i="4"/>
  <c r="B605" i="4"/>
  <c r="E4629" i="4"/>
  <c r="E2658" i="4"/>
  <c r="E1705" i="4"/>
  <c r="B2080" i="4"/>
  <c r="B1033" i="4"/>
  <c r="E2712" i="4"/>
  <c r="E365" i="4"/>
  <c r="B222" i="4"/>
  <c r="E1949" i="4"/>
  <c r="B1689" i="4"/>
  <c r="B3634" i="4"/>
  <c r="B4909" i="4"/>
  <c r="E809" i="4"/>
  <c r="B1962" i="4"/>
  <c r="E4126" i="4"/>
  <c r="B2915" i="4"/>
  <c r="E750" i="4"/>
  <c r="E6612" i="4"/>
  <c r="E1530" i="4"/>
  <c r="E3749" i="4"/>
  <c r="E598" i="4"/>
  <c r="E7806" i="4"/>
  <c r="E2071" i="4"/>
  <c r="E1197" i="4"/>
  <c r="E4486" i="4"/>
  <c r="E3500" i="4"/>
  <c r="B356" i="4"/>
  <c r="E2730" i="4"/>
  <c r="E5754" i="4"/>
  <c r="B2114" i="4"/>
  <c r="E1314" i="4"/>
  <c r="B3898" i="4"/>
  <c r="B3264" i="4"/>
  <c r="E14" i="4"/>
  <c r="B1821" i="4"/>
  <c r="B2987" i="4"/>
  <c r="E1917" i="4"/>
  <c r="E3374" i="4"/>
  <c r="E1981" i="4"/>
  <c r="B2712" i="4"/>
  <c r="B2937" i="4"/>
  <c r="B1070" i="4"/>
  <c r="E416" i="4"/>
  <c r="E3406" i="4"/>
  <c r="E1311" i="4"/>
  <c r="B3033" i="4"/>
  <c r="E4087" i="4"/>
  <c r="E1526" i="4"/>
  <c r="E4497" i="4"/>
  <c r="B2598" i="4"/>
  <c r="E5055" i="4"/>
  <c r="E3293" i="4"/>
  <c r="B2742" i="4"/>
  <c r="E3434" i="4"/>
  <c r="E5602" i="4"/>
  <c r="E7433" i="4"/>
  <c r="E520" i="4"/>
  <c r="B1779" i="4"/>
  <c r="B178" i="4"/>
  <c r="E122" i="4"/>
  <c r="E970" i="4"/>
  <c r="B3059" i="4"/>
  <c r="B429" i="4"/>
  <c r="B1423" i="4"/>
  <c r="B1252" i="4"/>
  <c r="B1841" i="4"/>
  <c r="E1915" i="4"/>
  <c r="E6718" i="4"/>
  <c r="B3907" i="4"/>
  <c r="B3645" i="4"/>
  <c r="E7312" i="4"/>
  <c r="B4968" i="4"/>
  <c r="E3710" i="4"/>
  <c r="E4210" i="4"/>
  <c r="E3924" i="4"/>
  <c r="E4113" i="4"/>
  <c r="E3479" i="4"/>
  <c r="B778" i="4"/>
  <c r="B4011" i="4"/>
  <c r="B1884" i="4"/>
  <c r="B875" i="4"/>
  <c r="B936" i="4"/>
  <c r="E1318" i="4"/>
  <c r="E4053" i="4"/>
  <c r="B1029" i="4"/>
  <c r="B2031" i="4"/>
  <c r="B1193" i="4"/>
  <c r="E1435" i="4"/>
  <c r="E3210" i="4"/>
  <c r="E177" i="4"/>
  <c r="E4101" i="4"/>
  <c r="E826" i="4"/>
  <c r="B1698" i="4"/>
  <c r="B1246" i="4"/>
  <c r="B2101" i="4"/>
  <c r="B1990" i="4"/>
  <c r="E2955" i="4"/>
  <c r="E1195" i="4"/>
  <c r="E6" i="4"/>
  <c r="E1971" i="4"/>
  <c r="B1872" i="4"/>
  <c r="B1749" i="4"/>
  <c r="E2320" i="4"/>
  <c r="B1212" i="4"/>
  <c r="E2353" i="4"/>
  <c r="E4042" i="4"/>
  <c r="B3631" i="4"/>
  <c r="B3" i="4"/>
  <c r="B884" i="4"/>
  <c r="E3289" i="4"/>
  <c r="E2242" i="4"/>
  <c r="E1075" i="4"/>
  <c r="E2885" i="4"/>
  <c r="B1328" i="4"/>
  <c r="E1115" i="4"/>
  <c r="B2273" i="4"/>
  <c r="E1136" i="4"/>
  <c r="B8630" i="4"/>
  <c r="B7402" i="4"/>
  <c r="B6723" i="4"/>
  <c r="B5807" i="4"/>
  <c r="E3911" i="4"/>
  <c r="E2520" i="4"/>
  <c r="E42" i="4"/>
  <c r="B1954" i="4"/>
  <c r="E3113" i="4"/>
  <c r="E3230" i="4"/>
  <c r="B437" i="4"/>
  <c r="E3530" i="4"/>
  <c r="B2206" i="4"/>
  <c r="B3252" i="4"/>
  <c r="E2883" i="4"/>
  <c r="B4302" i="4"/>
  <c r="E818" i="4"/>
  <c r="E2814" i="4"/>
  <c r="B290" i="4"/>
  <c r="B1404" i="4"/>
  <c r="E2275" i="4"/>
  <c r="B313" i="4"/>
  <c r="E755" i="4"/>
  <c r="E6514" i="4"/>
  <c r="B2203" i="4"/>
  <c r="E1765" i="4"/>
  <c r="B2476" i="4"/>
  <c r="E1493" i="4"/>
  <c r="E730" i="4"/>
  <c r="E330" i="4"/>
  <c r="E2032" i="4"/>
  <c r="E50" i="4"/>
  <c r="E939" i="4"/>
  <c r="E676" i="4"/>
  <c r="B1550" i="4"/>
  <c r="E160" i="4"/>
  <c r="E592" i="4"/>
  <c r="E1820" i="4"/>
  <c r="E441" i="4"/>
  <c r="E175" i="4"/>
  <c r="B4347" i="4"/>
  <c r="E488" i="4"/>
  <c r="E2222" i="4"/>
  <c r="B2746" i="4"/>
  <c r="B6871" i="4"/>
  <c r="E4044" i="4"/>
  <c r="B4306" i="4"/>
  <c r="B6640" i="4"/>
  <c r="B2230" i="4"/>
  <c r="B3296" i="4"/>
  <c r="E4457" i="4"/>
  <c r="E1816" i="4"/>
  <c r="E2355" i="4"/>
  <c r="E2652" i="4"/>
  <c r="E3252" i="4"/>
  <c r="E992" i="4"/>
  <c r="B969" i="4"/>
  <c r="B3155" i="4"/>
  <c r="E661" i="4"/>
  <c r="B4466" i="4"/>
  <c r="B1057" i="4"/>
  <c r="B849" i="4"/>
  <c r="B1245" i="4"/>
  <c r="E2056" i="4"/>
  <c r="E2466" i="4"/>
  <c r="B4677" i="4"/>
  <c r="B1520" i="4"/>
  <c r="B400" i="4"/>
  <c r="E210" i="4"/>
  <c r="E2022" i="4"/>
  <c r="E1085" i="4"/>
  <c r="B915" i="4"/>
  <c r="B2003" i="4"/>
  <c r="E1602" i="4"/>
  <c r="B653" i="4"/>
  <c r="B1883" i="4"/>
  <c r="B962" i="4"/>
  <c r="E974" i="4"/>
  <c r="B587" i="4"/>
  <c r="B2339" i="4"/>
  <c r="B6470" i="4"/>
  <c r="E2538" i="4"/>
  <c r="B1014" i="4"/>
  <c r="B428" i="4"/>
  <c r="B1482" i="4"/>
  <c r="E1001" i="4"/>
  <c r="B1922" i="4"/>
  <c r="B211" i="4"/>
  <c r="E597" i="4"/>
  <c r="B2181" i="4"/>
  <c r="E82" i="4"/>
  <c r="E3729" i="4"/>
  <c r="E2180" i="4"/>
  <c r="E9697" i="4"/>
  <c r="B5287" i="4"/>
  <c r="B3005" i="4"/>
  <c r="B2529" i="4"/>
  <c r="E994" i="4"/>
  <c r="B1905" i="4"/>
  <c r="E1458" i="4"/>
  <c r="B2154" i="4"/>
  <c r="B2720" i="4"/>
  <c r="B4238" i="4"/>
  <c r="E4314" i="4"/>
  <c r="E387" i="4"/>
  <c r="E1990" i="4"/>
  <c r="B1266" i="4"/>
  <c r="B4967" i="4"/>
  <c r="E5030" i="4"/>
  <c r="B1463" i="4"/>
  <c r="E4063" i="4"/>
  <c r="E2225" i="4"/>
  <c r="E17" i="4"/>
  <c r="B1433" i="4"/>
  <c r="B476" i="4"/>
  <c r="E3343" i="4"/>
  <c r="E5272" i="4"/>
  <c r="B122" i="4"/>
  <c r="B2470" i="4"/>
  <c r="B1411" i="4"/>
  <c r="E3298" i="4"/>
  <c r="B1448" i="4"/>
  <c r="E2020" i="4"/>
  <c r="E30" i="4"/>
  <c r="B252" i="4"/>
  <c r="E1716" i="4"/>
  <c r="B600" i="4"/>
  <c r="E2157" i="4"/>
  <c r="E732" i="4"/>
  <c r="B949" i="4"/>
  <c r="E695" i="4"/>
  <c r="E377" i="4"/>
  <c r="E1076" i="4"/>
  <c r="B3523" i="4"/>
  <c r="B4115" i="4"/>
  <c r="B2419" i="4"/>
  <c r="E1053" i="4"/>
  <c r="E360" i="4"/>
  <c r="E1103" i="4"/>
  <c r="B4093" i="4"/>
  <c r="B9375" i="4"/>
  <c r="E4621" i="4"/>
  <c r="B3788" i="4"/>
  <c r="B1819" i="4"/>
  <c r="B3861" i="4"/>
  <c r="B2449" i="4"/>
  <c r="B751" i="4"/>
  <c r="B3108" i="4"/>
  <c r="E2536" i="4"/>
  <c r="E4205" i="4"/>
  <c r="E2128" i="4"/>
  <c r="B1107" i="4"/>
  <c r="B2195" i="4"/>
  <c r="E922" i="4"/>
  <c r="B3478" i="4"/>
  <c r="E5692" i="4"/>
  <c r="B650" i="4"/>
  <c r="B2786" i="4"/>
  <c r="E1423" i="4"/>
  <c r="B14" i="4"/>
  <c r="E1256" i="4"/>
  <c r="E3828" i="4"/>
  <c r="B3282" i="4"/>
  <c r="B7366" i="4"/>
  <c r="E8540" i="4"/>
  <c r="E4567" i="4"/>
  <c r="B4126" i="4"/>
  <c r="E2301" i="4"/>
  <c r="E3835" i="4"/>
  <c r="B2664" i="4"/>
  <c r="E6427" i="4"/>
  <c r="E708" i="4"/>
  <c r="B1670" i="4"/>
  <c r="B243" i="4"/>
  <c r="B495" i="4"/>
  <c r="E1097" i="4"/>
  <c r="B206" i="4"/>
  <c r="B3442" i="4"/>
  <c r="E3164" i="4"/>
  <c r="B4060" i="4"/>
  <c r="E6909" i="4"/>
  <c r="E1495" i="4"/>
  <c r="B204" i="4"/>
  <c r="B352" i="4"/>
  <c r="E3322" i="4"/>
  <c r="B954" i="4"/>
  <c r="B410" i="4"/>
  <c r="E1158" i="4"/>
  <c r="B3485" i="4"/>
  <c r="B2919" i="4"/>
  <c r="B4591" i="4"/>
  <c r="B7831" i="4"/>
  <c r="B3877" i="4"/>
  <c r="B1941" i="4"/>
  <c r="E3732" i="4"/>
  <c r="B4661" i="4"/>
  <c r="B2144" i="4"/>
  <c r="B2633" i="4"/>
  <c r="B303" i="4"/>
  <c r="B2942" i="4"/>
  <c r="B2158" i="4"/>
  <c r="B87" i="4"/>
  <c r="B723" i="4"/>
  <c r="B2236" i="4"/>
  <c r="E2959" i="4"/>
  <c r="B1761" i="4"/>
  <c r="B5402" i="4"/>
  <c r="B5213" i="4"/>
  <c r="E1404" i="4"/>
  <c r="E511" i="4"/>
  <c r="E1249" i="4"/>
  <c r="E2649" i="4"/>
  <c r="E714" i="4"/>
  <c r="E3961" i="4"/>
  <c r="B288" i="4"/>
  <c r="B271" i="4"/>
  <c r="E2368" i="4"/>
  <c r="B268" i="4"/>
  <c r="B3121" i="4"/>
  <c r="E4048" i="4"/>
  <c r="E8515" i="4"/>
  <c r="B3522" i="4"/>
  <c r="E6228" i="4"/>
  <c r="B4386" i="4"/>
  <c r="E1334" i="4"/>
  <c r="E3625" i="4"/>
  <c r="E5810" i="4"/>
  <c r="E3199" i="4"/>
  <c r="E2424" i="4"/>
  <c r="E112" i="4"/>
  <c r="B7483" i="4"/>
  <c r="B1641" i="4"/>
  <c r="B1811" i="4"/>
  <c r="B973" i="4"/>
  <c r="E1988" i="4"/>
  <c r="B802" i="4"/>
  <c r="B1479" i="4"/>
  <c r="E808" i="4"/>
  <c r="E506" i="4"/>
  <c r="B3273" i="4"/>
  <c r="B3875" i="4"/>
  <c r="B3521" i="4"/>
  <c r="B923" i="4"/>
  <c r="B940" i="4"/>
  <c r="E553" i="4"/>
  <c r="E1636" i="4"/>
  <c r="E1606" i="4"/>
  <c r="E560" i="4"/>
  <c r="E1324" i="4"/>
  <c r="B3463" i="4"/>
  <c r="B6973" i="4"/>
  <c r="B3628" i="4"/>
  <c r="B4951" i="4"/>
  <c r="B1462" i="4"/>
  <c r="E3286" i="4"/>
  <c r="B892" i="4"/>
  <c r="B60" i="4"/>
  <c r="B1858" i="4"/>
  <c r="E1632" i="4"/>
  <c r="B2648" i="4"/>
  <c r="E1165" i="4"/>
  <c r="E827" i="4"/>
  <c r="B606" i="4"/>
  <c r="E2807" i="4"/>
  <c r="E1425" i="4"/>
  <c r="E3751" i="4"/>
  <c r="B306" i="4"/>
  <c r="E3643" i="4"/>
  <c r="E1468" i="4"/>
  <c r="B139" i="4"/>
  <c r="E1232" i="4"/>
  <c r="B3298" i="4"/>
  <c r="B793" i="4"/>
  <c r="E4602" i="4"/>
  <c r="B553" i="4"/>
  <c r="B1238" i="4"/>
  <c r="B279" i="4"/>
  <c r="E48" i="4"/>
  <c r="E1214" i="4"/>
  <c r="E1172" i="4"/>
  <c r="E1135" i="4"/>
  <c r="B111" i="4"/>
  <c r="B6498" i="4"/>
  <c r="B4445" i="4"/>
  <c r="E4817" i="4"/>
  <c r="E7089" i="4"/>
  <c r="E2795" i="4"/>
  <c r="E3011" i="4"/>
  <c r="E2352" i="4"/>
  <c r="E1332" i="4"/>
  <c r="E1967" i="4"/>
  <c r="E2228" i="4"/>
  <c r="E1127" i="4"/>
  <c r="B2218" i="4"/>
  <c r="B583" i="4"/>
  <c r="B689" i="4"/>
  <c r="B852" i="4"/>
  <c r="B1476" i="4"/>
  <c r="B3181" i="4"/>
  <c r="E1191" i="4"/>
  <c r="E2539" i="4"/>
  <c r="E5121" i="4"/>
  <c r="B35" i="4"/>
  <c r="E2269" i="4"/>
  <c r="E2749" i="4"/>
  <c r="E2065" i="4"/>
  <c r="E680" i="4"/>
  <c r="E181" i="4"/>
  <c r="B5328" i="4"/>
  <c r="B6810" i="4"/>
  <c r="B1942" i="4"/>
  <c r="B2448" i="4"/>
  <c r="B717" i="4"/>
  <c r="E2330" i="4"/>
  <c r="E5992" i="4"/>
  <c r="B2368" i="4"/>
  <c r="E1965" i="4"/>
  <c r="E6793" i="4"/>
  <c r="B2828" i="4"/>
  <c r="B1163" i="4"/>
  <c r="B2691" i="4"/>
  <c r="E1836" i="4"/>
  <c r="E3517" i="4"/>
  <c r="B1122" i="4"/>
  <c r="B4946" i="4"/>
  <c r="E1395" i="4"/>
  <c r="E96" i="4"/>
  <c r="B138" i="4"/>
  <c r="B6318" i="4"/>
  <c r="E982" i="4"/>
  <c r="B1997" i="4"/>
  <c r="E533" i="4"/>
  <c r="E2767" i="4"/>
  <c r="E2577" i="4"/>
  <c r="B2456" i="4"/>
  <c r="E4657" i="4"/>
  <c r="E1202" i="4"/>
  <c r="E805" i="4"/>
  <c r="E1515" i="4"/>
  <c r="B6152" i="4"/>
  <c r="E5152" i="4"/>
  <c r="E3203" i="4"/>
  <c r="E3993" i="4"/>
  <c r="B7304" i="4"/>
  <c r="E582" i="4"/>
  <c r="E3631" i="4"/>
  <c r="B4467" i="4"/>
  <c r="B2004" i="4"/>
  <c r="B4356" i="4"/>
  <c r="B742" i="4"/>
  <c r="B23" i="4"/>
  <c r="B1020" i="4"/>
  <c r="B2514" i="4"/>
  <c r="E3562" i="4"/>
  <c r="E3505" i="4"/>
  <c r="E5499" i="4"/>
  <c r="B2283" i="4"/>
  <c r="B3263" i="4"/>
  <c r="E1720" i="4"/>
  <c r="E1648" i="4"/>
  <c r="E475" i="4"/>
  <c r="B934" i="4"/>
  <c r="B726" i="4"/>
  <c r="B4418" i="4"/>
  <c r="B419" i="4"/>
  <c r="E1421" i="4"/>
  <c r="E4309" i="4"/>
  <c r="B5377" i="4"/>
  <c r="E6261" i="4"/>
  <c r="B1285" i="4"/>
  <c r="B320" i="4"/>
  <c r="B3285" i="4"/>
  <c r="E2620" i="4"/>
  <c r="B2546" i="4"/>
  <c r="B2706" i="4"/>
  <c r="B2578" i="4"/>
  <c r="E2728" i="4"/>
  <c r="B1010" i="4"/>
  <c r="B79" i="4"/>
  <c r="B1552" i="4"/>
  <c r="E497" i="4"/>
  <c r="B1813" i="4"/>
  <c r="E1235" i="4"/>
  <c r="E1813" i="4"/>
  <c r="E1579" i="4"/>
  <c r="E5761" i="4"/>
  <c r="B2436" i="4"/>
  <c r="E142" i="4"/>
  <c r="B5995" i="4"/>
  <c r="B2660" i="4"/>
  <c r="B421" i="4"/>
  <c r="B3225" i="4"/>
  <c r="B1909" i="4"/>
  <c r="E4824" i="4"/>
  <c r="E3912" i="4"/>
  <c r="B3934" i="4"/>
  <c r="E5753" i="4"/>
  <c r="B1987" i="4"/>
  <c r="E5350" i="4"/>
  <c r="E1521" i="4"/>
  <c r="B822" i="4"/>
  <c r="E1862" i="4"/>
  <c r="B136" i="4"/>
  <c r="E2793" i="4"/>
  <c r="B666" i="4"/>
  <c r="E1185" i="4"/>
  <c r="B1957" i="4"/>
  <c r="E1043" i="4"/>
  <c r="B727" i="4"/>
  <c r="E1941" i="4"/>
  <c r="E785" i="4"/>
  <c r="B1609" i="4"/>
  <c r="B1450" i="4"/>
  <c r="E2181" i="4"/>
  <c r="E49" i="4"/>
  <c r="B1060" i="4"/>
  <c r="E108" i="4"/>
  <c r="E1153" i="4"/>
  <c r="E3559" i="4"/>
  <c r="E452" i="4"/>
  <c r="E2000" i="4"/>
  <c r="B3172" i="4"/>
  <c r="E1415" i="4"/>
  <c r="B2124" i="4"/>
  <c r="B4888" i="4"/>
  <c r="E2614" i="4"/>
  <c r="E6536" i="4"/>
  <c r="E1122" i="4"/>
  <c r="E1672" i="4"/>
  <c r="E2398" i="4"/>
  <c r="B2034" i="4"/>
  <c r="E1194" i="4"/>
  <c r="B963" i="4"/>
  <c r="B142" i="4"/>
  <c r="E2737" i="4"/>
  <c r="E690" i="4"/>
  <c r="B630" i="4"/>
  <c r="B2704" i="4"/>
  <c r="B4887" i="4"/>
  <c r="B2078" i="4"/>
  <c r="E3258" i="4"/>
  <c r="B4537" i="4"/>
  <c r="E279" i="4"/>
  <c r="B174" i="4"/>
  <c r="E1111" i="4"/>
  <c r="B1937" i="4"/>
  <c r="E110" i="4"/>
  <c r="E5822" i="4"/>
  <c r="E4651" i="4"/>
  <c r="E1643" i="4"/>
  <c r="E6030" i="4"/>
  <c r="E2890" i="4"/>
  <c r="E613" i="4"/>
  <c r="B3963" i="4"/>
  <c r="E24" i="4"/>
  <c r="E2748" i="4"/>
  <c r="E7934" i="4"/>
  <c r="B1865" i="4"/>
  <c r="E1475" i="4"/>
  <c r="B3256" i="4"/>
  <c r="B1099" i="4"/>
  <c r="E2013" i="4"/>
  <c r="E1049" i="4"/>
  <c r="B1087" i="4"/>
  <c r="B1392" i="4"/>
  <c r="E1413" i="4"/>
  <c r="E4465" i="4"/>
  <c r="E1080" i="4"/>
  <c r="E3007" i="4"/>
  <c r="B183" i="4"/>
  <c r="B548" i="4"/>
  <c r="B4317" i="4"/>
  <c r="E5783" i="4"/>
  <c r="E6280" i="4"/>
  <c r="E2947" i="4"/>
  <c r="B1439" i="4"/>
  <c r="B7271" i="4"/>
  <c r="E7210" i="4"/>
  <c r="E3396" i="4"/>
  <c r="E88" i="4"/>
  <c r="B4533" i="4"/>
  <c r="E8748" i="4"/>
  <c r="B4866" i="4"/>
  <c r="E2447" i="4"/>
  <c r="E1968" i="4"/>
  <c r="B1207" i="4"/>
  <c r="B2807" i="4"/>
  <c r="E7880" i="4"/>
  <c r="E2558" i="4"/>
  <c r="E1782" i="4"/>
  <c r="E1375" i="4"/>
  <c r="E275" i="4"/>
  <c r="B341" i="4"/>
  <c r="E1433" i="4"/>
  <c r="B4927" i="4"/>
  <c r="B690" i="4"/>
  <c r="B4337" i="4"/>
  <c r="E1737" i="4"/>
  <c r="E2383" i="4"/>
  <c r="E524" i="4"/>
  <c r="B4076" i="4"/>
  <c r="B464" i="4"/>
  <c r="B3860" i="4"/>
  <c r="E12" i="4"/>
  <c r="B3142" i="4"/>
  <c r="B3621" i="4"/>
  <c r="B30" i="4"/>
  <c r="E356" i="4"/>
  <c r="E2195" i="4"/>
  <c r="B4853" i="4"/>
  <c r="B3207" i="4"/>
  <c r="E4106" i="4"/>
  <c r="B1606" i="4"/>
  <c r="E667" i="4"/>
  <c r="B225" i="4"/>
  <c r="E3676" i="4"/>
  <c r="E425" i="4"/>
  <c r="B1165" i="4"/>
  <c r="E870" i="4"/>
  <c r="E6471" i="4"/>
  <c r="E1113" i="4"/>
  <c r="E2461" i="4"/>
  <c r="B706" i="4"/>
  <c r="B4039" i="4"/>
  <c r="B696" i="4"/>
  <c r="B1174" i="4"/>
  <c r="E3050" i="4"/>
  <c r="E5334" i="4"/>
  <c r="B3640" i="4"/>
  <c r="E4576" i="4"/>
  <c r="B1626" i="4"/>
  <c r="E4027" i="4"/>
  <c r="E1587" i="4"/>
  <c r="B2846" i="4"/>
  <c r="B1147" i="4"/>
  <c r="E4077" i="4"/>
  <c r="B3746" i="4"/>
  <c r="B1583" i="4"/>
  <c r="E4365" i="4"/>
  <c r="B1187" i="4"/>
  <c r="E1331" i="4"/>
  <c r="E415" i="4"/>
  <c r="E3529" i="4"/>
  <c r="B794" i="4"/>
  <c r="B6642" i="4"/>
  <c r="B3017" i="4"/>
  <c r="E3372" i="4"/>
  <c r="B430" i="4"/>
  <c r="B135" i="4"/>
  <c r="E704" i="4"/>
  <c r="B1638" i="4"/>
  <c r="E4593" i="4"/>
  <c r="B576" i="4"/>
  <c r="B3752" i="4"/>
  <c r="B2841" i="4"/>
  <c r="B3408" i="4"/>
  <c r="E5237" i="4"/>
  <c r="E1036" i="4"/>
  <c r="E1618" i="4"/>
  <c r="B2033" i="4"/>
  <c r="B2153" i="4"/>
  <c r="B2663" i="4"/>
  <c r="E6294" i="4"/>
  <c r="B1399" i="4"/>
  <c r="E4135" i="4"/>
  <c r="B447" i="4"/>
  <c r="B2798" i="4"/>
  <c r="B477" i="4"/>
  <c r="B3078" i="4"/>
  <c r="B1269" i="4"/>
  <c r="E2562" i="4"/>
  <c r="B4156" i="4"/>
  <c r="B1191" i="4"/>
  <c r="E4548" i="4"/>
  <c r="E483" i="4"/>
  <c r="B5336" i="4"/>
  <c r="E2052" i="4"/>
  <c r="B1677" i="4"/>
  <c r="E2440" i="4"/>
  <c r="B603" i="4"/>
  <c r="B2989" i="4"/>
  <c r="E474" i="4"/>
  <c r="B3300" i="4"/>
  <c r="E4833" i="4"/>
  <c r="B1322" i="4"/>
  <c r="E161" i="4"/>
  <c r="B3863" i="4"/>
  <c r="B6192" i="4"/>
  <c r="B1601" i="4"/>
  <c r="E3076" i="4"/>
  <c r="E1274" i="4"/>
  <c r="E36" i="4"/>
  <c r="B4121" i="4"/>
  <c r="B2383" i="4"/>
  <c r="E1382" i="4"/>
  <c r="E2241" i="4"/>
  <c r="E725" i="4"/>
  <c r="B2824" i="4"/>
  <c r="B844" i="4"/>
  <c r="E1567" i="4"/>
  <c r="E908" i="4"/>
  <c r="B2914" i="4"/>
  <c r="B2321" i="4"/>
  <c r="E421" i="4"/>
  <c r="E591" i="4"/>
  <c r="B3682" i="4"/>
  <c r="E1008" i="4"/>
  <c r="E72" i="4"/>
  <c r="E1963" i="4"/>
  <c r="B6019" i="4"/>
  <c r="E1726" i="4"/>
  <c r="B2715" i="4"/>
  <c r="E530" i="4"/>
  <c r="E7909" i="4"/>
  <c r="B4444" i="4"/>
  <c r="E1323" i="4"/>
  <c r="B4052" i="4"/>
  <c r="E2185" i="4"/>
  <c r="E576" i="4"/>
  <c r="E2149" i="4"/>
  <c r="E1230" i="4"/>
  <c r="B5064" i="4"/>
  <c r="E162" i="4"/>
  <c r="B5359" i="4"/>
  <c r="B2094" i="4"/>
  <c r="B2916" i="4"/>
  <c r="E735" i="4"/>
  <c r="E1916" i="4"/>
  <c r="E1209" i="4"/>
  <c r="E924" i="4"/>
  <c r="E419" i="4"/>
  <c r="B3011" i="4"/>
  <c r="B2535" i="4"/>
  <c r="B4839" i="4"/>
  <c r="B1302" i="4"/>
  <c r="B2678" i="4"/>
  <c r="B1984" i="4"/>
  <c r="B7008" i="4"/>
  <c r="E673" i="4"/>
  <c r="B2229" i="4"/>
  <c r="E1614" i="4"/>
  <c r="B1658" i="4"/>
  <c r="E2011" i="4"/>
  <c r="B560" i="4"/>
  <c r="B1633" i="4"/>
  <c r="B2869" i="4"/>
  <c r="E1553" i="4"/>
  <c r="B2065" i="4"/>
  <c r="B3908" i="4"/>
  <c r="B5077" i="4"/>
  <c r="E4236" i="4"/>
  <c r="E888" i="4"/>
  <c r="B94" i="4"/>
  <c r="B2237" i="4"/>
  <c r="E4327" i="4"/>
  <c r="B6677" i="4"/>
  <c r="B2905" i="4"/>
  <c r="B1459" i="4"/>
  <c r="B3541" i="4"/>
  <c r="B6483" i="4"/>
  <c r="E688" i="4"/>
  <c r="E8082" i="4"/>
  <c r="B781" i="4"/>
  <c r="E2979" i="4"/>
  <c r="E3234" i="4"/>
  <c r="E5378" i="4"/>
  <c r="E1079" i="4"/>
  <c r="B4026" i="4"/>
  <c r="B2522" i="4"/>
  <c r="E3097" i="4"/>
  <c r="E5196" i="4"/>
  <c r="E3046" i="4"/>
  <c r="E4870" i="4"/>
  <c r="E3182" i="4"/>
  <c r="B1286" i="4"/>
  <c r="E501" i="4"/>
  <c r="E2108" i="4"/>
  <c r="E266" i="4"/>
  <c r="B469" i="4"/>
  <c r="B3015" i="4"/>
  <c r="B640" i="4"/>
  <c r="E6598" i="4"/>
  <c r="B3992" i="4"/>
  <c r="E153" i="4"/>
  <c r="B3711" i="4"/>
  <c r="E5544" i="4"/>
  <c r="B210" i="4"/>
  <c r="B1017" i="4"/>
  <c r="E8845" i="4"/>
  <c r="B3481" i="4"/>
  <c r="B1436" i="4"/>
  <c r="B1321" i="4"/>
  <c r="E1417" i="4"/>
  <c r="B2947" i="4"/>
  <c r="E312" i="4"/>
  <c r="E1019" i="4"/>
  <c r="B2035" i="4"/>
  <c r="B651" i="4"/>
  <c r="E6996" i="4"/>
  <c r="E259" i="4"/>
  <c r="E2633" i="4"/>
  <c r="E3741" i="4"/>
  <c r="E6828" i="4"/>
  <c r="E2158" i="4"/>
  <c r="E2455" i="4"/>
  <c r="B5575" i="4"/>
  <c r="E33" i="4"/>
  <c r="B6701" i="4"/>
  <c r="B890" i="4"/>
  <c r="E1035" i="4"/>
  <c r="E46" i="4"/>
  <c r="B636" i="4"/>
  <c r="E1201" i="4"/>
  <c r="B1243" i="4"/>
  <c r="E2297" i="4"/>
  <c r="E1130" i="4"/>
  <c r="E2639" i="4"/>
  <c r="B2626" i="4"/>
  <c r="B4124" i="4"/>
  <c r="E5314" i="4"/>
  <c r="B885" i="4"/>
  <c r="E890" i="4"/>
  <c r="B2231" i="4"/>
  <c r="B1395" i="4"/>
  <c r="B2870" i="4"/>
  <c r="B6406" i="4"/>
  <c r="B330" i="4"/>
  <c r="E5936" i="4"/>
  <c r="B4365" i="4"/>
  <c r="B4843" i="4"/>
  <c r="E1604" i="4"/>
  <c r="B4253" i="4"/>
  <c r="E93" i="4"/>
  <c r="B4868" i="4"/>
  <c r="E2038" i="4"/>
  <c r="B1873" i="4"/>
  <c r="E3273" i="4"/>
  <c r="B4077" i="4"/>
  <c r="E2579" i="4"/>
  <c r="E1544" i="4"/>
  <c r="E2170" i="4"/>
  <c r="E2935" i="4"/>
  <c r="B1426" i="4"/>
  <c r="E3871" i="4"/>
  <c r="B32" i="4"/>
  <c r="B644" i="4"/>
  <c r="E3311" i="4"/>
  <c r="E204" i="4"/>
  <c r="B4038" i="4"/>
  <c r="E3054" i="4"/>
  <c r="B4609" i="4"/>
  <c r="E528" i="4"/>
  <c r="E4237" i="4"/>
  <c r="E2237" i="4"/>
  <c r="B4476" i="4"/>
  <c r="E1090" i="4"/>
  <c r="B1213" i="4"/>
  <c r="B1675" i="4"/>
  <c r="B2703" i="4"/>
  <c r="E4212" i="4"/>
  <c r="B2506" i="4"/>
  <c r="B773" i="4"/>
  <c r="E997" i="4"/>
  <c r="E1764" i="4"/>
  <c r="E3787" i="4"/>
  <c r="E372" i="4"/>
  <c r="B1270" i="4"/>
  <c r="B939" i="4"/>
  <c r="B2851" i="4"/>
  <c r="E9911" i="4"/>
  <c r="E1534" i="4"/>
  <c r="E3431" i="4"/>
  <c r="E2272" i="4"/>
  <c r="E4279" i="4"/>
  <c r="E1420" i="4"/>
  <c r="B3348" i="4"/>
  <c r="B2422" i="4"/>
  <c r="B2308" i="4"/>
  <c r="B3097" i="4"/>
  <c r="E5119" i="4"/>
  <c r="E1353" i="4"/>
  <c r="E2801" i="4"/>
  <c r="B149" i="4"/>
  <c r="B1179" i="4"/>
  <c r="E1942" i="4"/>
  <c r="B839" i="4"/>
  <c r="E1694" i="4"/>
  <c r="E760" i="4"/>
  <c r="E6249" i="4"/>
  <c r="E1854" i="4"/>
  <c r="B7655" i="4"/>
  <c r="E6178" i="4"/>
  <c r="E3542" i="4"/>
  <c r="B4635" i="4"/>
  <c r="B965" i="4"/>
  <c r="B29" i="4"/>
  <c r="E3264" i="4"/>
  <c r="B2025" i="4"/>
  <c r="B26" i="4"/>
  <c r="B2799" i="4"/>
  <c r="E917" i="4"/>
  <c r="B1861" i="4"/>
  <c r="B3217" i="4"/>
  <c r="B3452" i="4"/>
  <c r="E183" i="4"/>
  <c r="B761" i="4"/>
  <c r="B1588" i="4"/>
  <c r="B2408" i="4"/>
  <c r="B5055" i="4"/>
  <c r="E3863" i="4"/>
  <c r="B745" i="4"/>
  <c r="B2776" i="4"/>
  <c r="B1290" i="4"/>
  <c r="B708" i="4"/>
  <c r="B627" i="4"/>
  <c r="E559" i="4"/>
  <c r="B2593" i="4"/>
  <c r="B3855" i="4"/>
  <c r="E2470" i="4"/>
  <c r="B4568" i="4"/>
  <c r="E4499" i="4"/>
  <c r="B3958" i="4"/>
  <c r="E1611" i="4"/>
  <c r="E882" i="4"/>
  <c r="E2069" i="4"/>
  <c r="E2283" i="4"/>
  <c r="B4244" i="4"/>
  <c r="E1089" i="4"/>
  <c r="B3832" i="4"/>
  <c r="B5573" i="4"/>
  <c r="E439" i="4"/>
  <c r="B1232" i="4"/>
  <c r="E1431" i="4"/>
  <c r="B3948" i="4"/>
  <c r="E8187" i="4"/>
  <c r="B502" i="4"/>
  <c r="B740" i="4"/>
  <c r="E899" i="4"/>
  <c r="E610" i="4"/>
  <c r="E1372" i="4"/>
  <c r="B2117" i="4"/>
  <c r="E2488" i="4"/>
  <c r="B2469" i="4"/>
  <c r="B2136" i="4"/>
  <c r="E4628" i="4"/>
  <c r="E861" i="4"/>
  <c r="E2778" i="4"/>
  <c r="E1629" i="4"/>
  <c r="B1913" i="4"/>
  <c r="B2487" i="4"/>
  <c r="E2826" i="4"/>
  <c r="B567" i="4"/>
  <c r="B2225" i="4"/>
  <c r="E4189" i="4"/>
  <c r="B1489" i="4"/>
  <c r="B1953" i="4"/>
  <c r="B4459" i="4"/>
  <c r="B2486" i="4"/>
  <c r="E6404" i="4"/>
  <c r="E98" i="4"/>
  <c r="B3100" i="4"/>
  <c r="B866" i="4"/>
  <c r="E2919" i="4"/>
  <c r="E147" i="4"/>
  <c r="B6645" i="4"/>
  <c r="B2023" i="4"/>
  <c r="E1659" i="4"/>
  <c r="E297" i="4"/>
  <c r="E1518" i="4"/>
  <c r="E141" i="4"/>
  <c r="E513" i="4"/>
  <c r="E3772" i="4"/>
  <c r="E635" i="4"/>
  <c r="E1058" i="4"/>
  <c r="B2370" i="4"/>
  <c r="E1600" i="4"/>
  <c r="B1690" i="4"/>
  <c r="E6976" i="4"/>
  <c r="B2132" i="4"/>
  <c r="B4939" i="4"/>
  <c r="E991" i="4"/>
  <c r="E3598" i="4"/>
  <c r="B2834" i="4"/>
  <c r="E4021" i="4"/>
  <c r="B508" i="4"/>
  <c r="B1979" i="4"/>
  <c r="B414" i="4"/>
  <c r="B407" i="4"/>
  <c r="B3821" i="4"/>
  <c r="E4386" i="4"/>
  <c r="B3294" i="4"/>
  <c r="B1474" i="4"/>
  <c r="E2153" i="4"/>
  <c r="B3572" i="4"/>
  <c r="B894" i="4"/>
  <c r="B435" i="4"/>
  <c r="B748" i="4"/>
  <c r="B842" i="4"/>
  <c r="E2058" i="4"/>
  <c r="B5985" i="4"/>
  <c r="B642" i="4"/>
  <c r="B828" i="4"/>
  <c r="E4246" i="4"/>
  <c r="B3272" i="4"/>
  <c r="B3177" i="4"/>
  <c r="B4636" i="4"/>
  <c r="E2742" i="4"/>
  <c r="B1386" i="4"/>
  <c r="E747" i="4"/>
  <c r="E936" i="4"/>
  <c r="B1038" i="4"/>
  <c r="B1241" i="4"/>
  <c r="E193" i="4"/>
  <c r="B1843" i="4"/>
  <c r="E3966" i="4"/>
  <c r="E4652" i="4"/>
  <c r="E2423" i="4"/>
  <c r="B2017" i="4"/>
  <c r="B2217" i="4"/>
  <c r="B2133" i="4"/>
  <c r="B1575" i="4"/>
  <c r="B7209" i="4"/>
  <c r="B3683" i="4"/>
  <c r="E669" i="4"/>
  <c r="B291" i="4"/>
  <c r="B872" i="4"/>
  <c r="E858" i="4"/>
  <c r="B2235" i="4"/>
  <c r="E3393" i="4"/>
  <c r="B536" i="4"/>
  <c r="E368" i="4"/>
  <c r="B1268" i="4"/>
  <c r="E2226" i="4"/>
  <c r="E1156" i="4"/>
  <c r="B945" i="4"/>
  <c r="E2245" i="4"/>
  <c r="B4118" i="4"/>
  <c r="B537" i="4"/>
  <c r="E4671" i="4"/>
  <c r="E617" i="4"/>
  <c r="B1568" i="4"/>
  <c r="E482" i="4"/>
  <c r="B2859" i="4"/>
  <c r="E3614" i="4"/>
  <c r="E3241" i="4"/>
  <c r="E1048" i="4"/>
  <c r="B1132" i="4"/>
  <c r="B107" i="4"/>
  <c r="B1737" i="4"/>
  <c r="E1051" i="4"/>
  <c r="E1519" i="4"/>
  <c r="E5085" i="4"/>
  <c r="E2698" i="4"/>
  <c r="B609" i="4"/>
  <c r="B2795" i="4"/>
  <c r="E1756" i="4"/>
  <c r="B3243" i="4"/>
  <c r="B2787" i="4"/>
  <c r="E1909" i="4"/>
  <c r="B4274" i="4"/>
  <c r="E6801" i="4"/>
  <c r="E5160" i="4"/>
  <c r="B1224" i="4"/>
  <c r="E1092" i="4"/>
  <c r="E129" i="4"/>
  <c r="B284" i="4"/>
  <c r="B6611" i="4"/>
  <c r="B2371" i="4"/>
  <c r="E1144" i="4"/>
  <c r="B262" i="4"/>
  <c r="E2552" i="4"/>
  <c r="E689" i="4"/>
  <c r="E1502" i="4"/>
  <c r="B2450" i="4"/>
  <c r="E8962" i="4"/>
  <c r="B2462" i="4"/>
  <c r="B8724" i="4"/>
  <c r="E1025" i="4"/>
  <c r="E5289" i="4"/>
  <c r="B1817" i="4"/>
  <c r="B76" i="4"/>
  <c r="B853" i="4"/>
  <c r="B432" i="4"/>
  <c r="E7259" i="4"/>
  <c r="E4321" i="4"/>
  <c r="B1612" i="4"/>
  <c r="E638" i="4"/>
  <c r="E5336" i="4"/>
  <c r="B501" i="4"/>
  <c r="E211" i="4"/>
  <c r="E1222" i="4"/>
  <c r="B824" i="4"/>
  <c r="B5008" i="4"/>
  <c r="E230" i="4"/>
  <c r="B5499" i="4"/>
  <c r="B2604" i="4"/>
  <c r="B3575" i="4"/>
  <c r="B5291" i="4"/>
  <c r="B363" i="4"/>
  <c r="B299" i="4"/>
  <c r="E707" i="4"/>
  <c r="B3299" i="4"/>
  <c r="B2544" i="4"/>
  <c r="B1000" i="4"/>
  <c r="B3671" i="4"/>
  <c r="B1159" i="4"/>
  <c r="B4529" i="4"/>
  <c r="E526" i="4"/>
  <c r="B489" i="4"/>
  <c r="E1610" i="4"/>
  <c r="B2653" i="4"/>
  <c r="B705" i="4"/>
  <c r="B3001" i="4"/>
  <c r="E119" i="4"/>
  <c r="B1157" i="4"/>
  <c r="B2483" i="4"/>
  <c r="E4673" i="4"/>
  <c r="E3634" i="4"/>
  <c r="E2501" i="4"/>
  <c r="B2878" i="4"/>
  <c r="B412" i="4"/>
  <c r="E1106" i="4"/>
  <c r="B1041" i="4"/>
  <c r="E1640" i="4"/>
  <c r="B1346" i="4"/>
  <c r="E2348" i="4"/>
  <c r="E2098" i="4"/>
  <c r="E803" i="4"/>
  <c r="E388" i="4"/>
  <c r="E1699" i="4"/>
  <c r="B5583" i="4"/>
  <c r="B5299" i="4"/>
  <c r="B3438" i="4"/>
  <c r="B5199" i="4"/>
  <c r="B967" i="4"/>
  <c r="B1145" i="4"/>
  <c r="E4344" i="4"/>
  <c r="B6785" i="4"/>
  <c r="E766" i="4"/>
  <c r="B1740" i="4"/>
  <c r="B10764" i="4"/>
  <c r="E5974" i="4"/>
  <c r="E2215" i="4"/>
  <c r="E1419" i="4"/>
  <c r="E4354" i="4"/>
  <c r="E1569" i="4"/>
  <c r="E3351" i="4"/>
  <c r="E3850" i="4"/>
  <c r="B1707" i="4"/>
  <c r="E626" i="4"/>
  <c r="B1333" i="4"/>
  <c r="B2355" i="4"/>
  <c r="B1468" i="4"/>
  <c r="E335" i="4"/>
  <c r="E171" i="4"/>
  <c r="B185" i="4"/>
  <c r="B2332" i="4"/>
  <c r="B2635" i="4"/>
  <c r="E3235" i="4"/>
  <c r="B5559" i="4"/>
  <c r="E1044" i="4"/>
  <c r="E4427" i="4"/>
  <c r="B2176" i="4"/>
  <c r="E7009" i="4"/>
  <c r="E904" i="4"/>
  <c r="E2991" i="4"/>
  <c r="B2827" i="4"/>
  <c r="B2777" i="4"/>
  <c r="E1401" i="4"/>
  <c r="E2234" i="4"/>
  <c r="B3469" i="4"/>
  <c r="B2545" i="4"/>
  <c r="B1578" i="4"/>
  <c r="B333" i="4"/>
  <c r="B5098" i="4"/>
  <c r="B2646" i="4"/>
  <c r="B4691" i="4"/>
  <c r="B2360" i="4"/>
  <c r="B2443" i="4"/>
  <c r="B2721" i="4"/>
  <c r="E4766" i="4"/>
  <c r="E3474" i="4"/>
  <c r="B232" i="4"/>
  <c r="E131" i="4"/>
  <c r="E7876" i="4"/>
  <c r="E3672" i="4"/>
  <c r="B4371" i="4"/>
  <c r="B1511" i="4"/>
  <c r="E2680" i="4"/>
  <c r="B1782" i="4"/>
  <c r="B3211" i="4"/>
  <c r="B2908" i="4"/>
  <c r="E2361" i="4"/>
  <c r="E1169" i="4"/>
  <c r="E1819" i="4"/>
  <c r="B38" i="4"/>
  <c r="E619" i="4"/>
  <c r="E2033" i="4"/>
  <c r="B2202" i="4"/>
  <c r="E2175" i="4"/>
  <c r="B311" i="4"/>
  <c r="E498" i="4"/>
  <c r="E170" i="4"/>
  <c r="E502" i="4"/>
  <c r="B4497" i="4"/>
  <c r="E2220" i="4"/>
  <c r="B6619" i="4"/>
  <c r="B4227" i="4"/>
  <c r="E6645" i="4"/>
  <c r="B1522" i="4"/>
  <c r="B1664" i="4"/>
  <c r="B2412" i="4"/>
  <c r="E3804" i="4"/>
  <c r="E4147" i="4"/>
  <c r="B1452" i="4"/>
  <c r="E176" i="4"/>
  <c r="B1978" i="4"/>
  <c r="B1294" i="4"/>
  <c r="E2665" i="4"/>
  <c r="B724" i="4"/>
  <c r="B722" i="4"/>
  <c r="E1529" i="4"/>
  <c r="E1390" i="4"/>
  <c r="B6367" i="4"/>
  <c r="B784" i="4"/>
  <c r="E935" i="4"/>
  <c r="E749" i="4"/>
  <c r="E8840" i="4"/>
  <c r="B1415" i="4"/>
  <c r="E2966" i="4"/>
  <c r="E2647" i="4"/>
  <c r="E7103" i="4"/>
  <c r="E396" i="4"/>
  <c r="B9965" i="4"/>
  <c r="B1304" i="4"/>
  <c r="E1583" i="4"/>
  <c r="E744" i="4"/>
  <c r="B1438" i="4"/>
  <c r="B2129" i="4"/>
  <c r="B977" i="4"/>
  <c r="E531" i="4"/>
  <c r="B2980" i="4"/>
  <c r="B2964" i="4"/>
  <c r="E2611" i="4"/>
  <c r="E3860" i="4"/>
  <c r="E2743" i="4"/>
  <c r="E473" i="4"/>
  <c r="B3099" i="4"/>
  <c r="B272" i="4"/>
  <c r="B20" i="4"/>
  <c r="B438" i="4"/>
  <c r="B393" i="4"/>
  <c r="B6690" i="4"/>
  <c r="E5239" i="4"/>
  <c r="B1815" i="4"/>
  <c r="B764" i="4"/>
  <c r="E2824" i="4"/>
  <c r="B2537" i="4"/>
  <c r="B3068" i="4"/>
  <c r="B5898" i="4"/>
  <c r="E2496" i="4"/>
  <c r="E4241" i="4"/>
  <c r="B188" i="4"/>
  <c r="E2432" i="4"/>
  <c r="B2001" i="4"/>
  <c r="E1182" i="4"/>
  <c r="E1227" i="4"/>
  <c r="B1367" i="4"/>
  <c r="E556" i="4"/>
  <c r="B4355" i="4"/>
  <c r="B1623" i="4"/>
  <c r="B2379" i="4"/>
  <c r="B4688" i="4"/>
  <c r="E817" i="4"/>
  <c r="B2509" i="4"/>
  <c r="E99" i="4"/>
  <c r="B3262" i="4"/>
  <c r="B3109" i="4"/>
  <c r="E4546" i="4"/>
  <c r="B3445" i="4"/>
  <c r="E4799" i="4"/>
  <c r="B5554" i="4"/>
  <c r="B283" i="4"/>
  <c r="E4748" i="4"/>
  <c r="E2603" i="4"/>
  <c r="E783" i="4"/>
  <c r="B1149" i="4"/>
  <c r="B4195" i="4"/>
  <c r="E285" i="4"/>
  <c r="E3184" i="4"/>
  <c r="E728" i="4"/>
  <c r="E1717" i="4"/>
  <c r="E1054" i="4"/>
  <c r="E3949" i="4"/>
  <c r="B418" i="4"/>
  <c r="B1073" i="4"/>
  <c r="E644" i="4"/>
  <c r="E4235" i="4"/>
  <c r="E3721" i="4"/>
  <c r="E2151" i="4"/>
  <c r="E5023" i="4"/>
  <c r="E3277" i="4"/>
  <c r="B5466" i="4"/>
  <c r="B2410" i="4"/>
  <c r="E3332" i="4"/>
  <c r="E2924" i="4"/>
  <c r="E3814" i="4"/>
  <c r="E3185" i="4"/>
  <c r="B3798" i="4"/>
  <c r="E1811" i="4"/>
  <c r="B1066" i="4"/>
  <c r="B1124" i="4"/>
  <c r="E1861" i="4"/>
  <c r="B223" i="4"/>
  <c r="E3806" i="4"/>
  <c r="B461" i="4"/>
  <c r="E1940" i="4"/>
  <c r="B2696" i="4"/>
  <c r="B4869" i="4"/>
  <c r="E2963" i="4"/>
  <c r="E1647" i="4"/>
  <c r="E3604" i="4"/>
  <c r="E2627" i="4"/>
  <c r="E3856" i="4"/>
  <c r="E1228" i="4"/>
  <c r="E2137" i="4"/>
  <c r="E3324" i="4"/>
  <c r="E650" i="4"/>
  <c r="B990" i="4"/>
  <c r="B3605" i="4"/>
  <c r="B797" i="4"/>
  <c r="E124" i="4"/>
  <c r="E1904" i="4"/>
  <c r="E299" i="4"/>
  <c r="B1320" i="4"/>
  <c r="B5162" i="4"/>
  <c r="E155" i="4"/>
  <c r="B118" i="4"/>
  <c r="B140" i="4"/>
  <c r="E4468" i="4"/>
  <c r="E5518" i="4"/>
  <c r="B2482" i="4"/>
  <c r="B193" i="4"/>
  <c r="E880" i="4"/>
  <c r="B3443" i="4"/>
  <c r="E1255" i="4"/>
  <c r="B922" i="4"/>
  <c r="E20" i="4"/>
  <c r="B4174" i="4"/>
  <c r="E967" i="4"/>
  <c r="B386" i="4"/>
  <c r="E64" i="4"/>
  <c r="E802" i="4"/>
  <c r="B3065" i="4"/>
  <c r="B1703" i="4"/>
  <c r="E1315" i="4"/>
  <c r="B2984" i="4"/>
  <c r="E3284" i="4"/>
  <c r="B1645" i="4"/>
  <c r="B1315" i="4"/>
  <c r="E3821" i="4"/>
  <c r="E1212" i="4"/>
  <c r="B703" i="4"/>
  <c r="B2091" i="4"/>
  <c r="E2657" i="4"/>
  <c r="B4724" i="4"/>
  <c r="B850" i="4"/>
  <c r="E1830" i="4"/>
  <c r="B1023" i="4"/>
  <c r="E3591" i="4"/>
  <c r="E2851" i="4"/>
  <c r="B5155" i="4"/>
  <c r="B509" i="4"/>
  <c r="E2792" i="4"/>
  <c r="E168" i="4"/>
  <c r="B202" i="4"/>
  <c r="E1381" i="4"/>
  <c r="E203" i="4"/>
  <c r="E1546" i="4"/>
  <c r="E2321" i="4"/>
  <c r="E4316" i="4"/>
  <c r="B11" i="4"/>
  <c r="E2308" i="4"/>
  <c r="B3204" i="4"/>
  <c r="B221" i="4"/>
  <c r="B1229" i="4"/>
  <c r="B744" i="4"/>
  <c r="B4710" i="4"/>
  <c r="E1616" i="4"/>
  <c r="B741" i="4"/>
  <c r="E1893" i="4"/>
  <c r="E378" i="4"/>
  <c r="B3063" i="4"/>
  <c r="E4447" i="4"/>
  <c r="B579" i="4"/>
  <c r="B5853" i="4"/>
  <c r="E3233" i="4"/>
  <c r="E2167" i="4"/>
  <c r="E2377" i="4"/>
  <c r="B3693" i="4"/>
  <c r="B907" i="4"/>
  <c r="E276" i="4"/>
  <c r="E3450" i="4"/>
  <c r="E2845" i="4"/>
  <c r="B1497" i="4"/>
  <c r="E2675" i="4"/>
  <c r="E1310" i="4"/>
  <c r="E1740" i="4"/>
  <c r="E8113" i="4"/>
  <c r="E2618" i="4"/>
  <c r="E1871" i="4"/>
  <c r="E138" i="4"/>
  <c r="E7303" i="4"/>
  <c r="E1663" i="4"/>
  <c r="E678" i="4"/>
  <c r="B1940" i="4"/>
  <c r="B3707" i="4"/>
  <c r="B2287" i="4"/>
  <c r="E4915" i="4"/>
  <c r="E5674" i="4"/>
  <c r="B3444" i="4"/>
  <c r="B378" i="4"/>
  <c r="B1177" i="4"/>
  <c r="B1498" i="4"/>
  <c r="E840" i="4"/>
  <c r="B5037" i="4"/>
  <c r="E4522" i="4"/>
  <c r="E2062" i="4"/>
  <c r="E842" i="4"/>
  <c r="B3123" i="4"/>
  <c r="E3823" i="4"/>
  <c r="B4539" i="4"/>
  <c r="E41" i="4"/>
  <c r="B2066" i="4"/>
  <c r="E3638" i="4"/>
  <c r="E2449" i="4"/>
  <c r="B3417" i="4"/>
  <c r="B3609" i="4"/>
  <c r="B2046" i="4"/>
  <c r="E465" i="4"/>
  <c r="E115" i="4"/>
  <c r="B147" i="4"/>
  <c r="B594" i="4"/>
  <c r="E256" i="4"/>
  <c r="E5977" i="4"/>
  <c r="E5287" i="4"/>
  <c r="B3601" i="4"/>
  <c r="B4797" i="4"/>
  <c r="E464" i="4"/>
  <c r="B372" i="4"/>
  <c r="B1640" i="4"/>
  <c r="B1167" i="4"/>
  <c r="B1535" i="4"/>
  <c r="B348" i="4"/>
  <c r="B2532" i="4"/>
  <c r="E198" i="4"/>
  <c r="E1628" i="4"/>
  <c r="B968" i="4"/>
  <c r="B3513" i="4"/>
  <c r="B169" i="4"/>
  <c r="E3123" i="4"/>
  <c r="E4705" i="4"/>
  <c r="B275" i="4"/>
  <c r="E6849" i="4"/>
  <c r="B5007" i="4"/>
  <c r="B1049" i="4"/>
  <c r="B1770" i="4"/>
  <c r="B231" i="4"/>
  <c r="E995" i="4"/>
  <c r="B4397" i="4"/>
  <c r="E4029" i="4"/>
  <c r="E2415" i="4"/>
  <c r="B2556" i="4"/>
  <c r="B1466" i="4"/>
  <c r="E2484" i="4"/>
  <c r="B2012" i="4"/>
  <c r="B8306" i="4"/>
  <c r="E1999" i="4"/>
  <c r="E29" i="4"/>
  <c r="E268" i="4"/>
  <c r="E1326" i="4"/>
  <c r="B58" i="4"/>
  <c r="E769" i="4"/>
  <c r="B6341" i="4"/>
  <c r="B919" i="4"/>
  <c r="B929" i="4"/>
  <c r="E2021" i="4"/>
  <c r="E535" i="4"/>
  <c r="B433" i="4"/>
  <c r="E13" i="4"/>
  <c r="B555" i="4"/>
  <c r="E5056" i="4"/>
  <c r="E313" i="4"/>
  <c r="E1487" i="4"/>
  <c r="E2166" i="4"/>
  <c r="B958" i="4"/>
  <c r="B563" i="4"/>
  <c r="E382" i="4"/>
  <c r="E1082" i="4"/>
  <c r="E1846" i="4"/>
  <c r="E1285" i="4"/>
  <c r="E3557" i="4"/>
  <c r="B362" i="4"/>
  <c r="E3635" i="4"/>
  <c r="E1260" i="4"/>
  <c r="E5083" i="4"/>
  <c r="E1832" i="4"/>
  <c r="B6681" i="4"/>
  <c r="E179" i="4"/>
  <c r="B2830" i="4"/>
  <c r="B4687" i="4"/>
  <c r="E550" i="4"/>
  <c r="E1490" i="4"/>
  <c r="E5711" i="4"/>
  <c r="E2434" i="4"/>
  <c r="B4579" i="4"/>
  <c r="B2838" i="4"/>
  <c r="E569" i="4"/>
  <c r="E1200" i="4"/>
  <c r="B4603" i="4"/>
  <c r="E1669" i="4"/>
  <c r="E3144" i="4"/>
  <c r="B475" i="4"/>
  <c r="B2128" i="4"/>
  <c r="B1103" i="4"/>
  <c r="B2215" i="4"/>
  <c r="B115" i="4"/>
  <c r="E1259" i="4"/>
  <c r="B1402" i="4"/>
  <c r="E5848" i="4"/>
  <c r="B3965" i="4"/>
  <c r="E2347" i="4"/>
  <c r="B569" i="4"/>
  <c r="B1615" i="4"/>
  <c r="B2052" i="4"/>
  <c r="B205" i="4"/>
  <c r="E3297" i="4"/>
  <c r="E6674" i="4"/>
  <c r="E428" i="4"/>
  <c r="B3947" i="4"/>
  <c r="B264" i="4"/>
  <c r="E778" i="4"/>
  <c r="E583" i="4"/>
  <c r="B441" i="4"/>
  <c r="E3987" i="4"/>
  <c r="E2856" i="4"/>
  <c r="E94" i="4"/>
  <c r="B4354" i="4"/>
  <c r="B3173" i="4"/>
  <c r="E1875" i="4"/>
  <c r="B2139" i="4"/>
  <c r="B170" i="4"/>
  <c r="E1559" i="4"/>
  <c r="E1538" i="4"/>
  <c r="E2002" i="4"/>
  <c r="B1981" i="4"/>
  <c r="E5291" i="4"/>
  <c r="E2366" i="4"/>
  <c r="B2738" i="4"/>
  <c r="B930" i="4"/>
  <c r="B458" i="4"/>
  <c r="E3232" i="4"/>
  <c r="B561" i="4"/>
  <c r="E6055" i="4"/>
  <c r="E240" i="4"/>
  <c r="B3636" i="4"/>
  <c r="B316" i="4"/>
  <c r="B3434" i="4"/>
  <c r="B2603" i="4"/>
  <c r="E668" i="4"/>
  <c r="B5699" i="4"/>
  <c r="B2615" i="4"/>
  <c r="E1017" i="4"/>
  <c r="B2409" i="4"/>
  <c r="B1397" i="4"/>
  <c r="B1194" i="4"/>
  <c r="B813" i="4"/>
  <c r="E4195" i="4"/>
  <c r="E1369" i="4"/>
  <c r="E832" i="4"/>
  <c r="E845" i="4"/>
  <c r="B3431" i="4"/>
  <c r="B1447" i="4"/>
  <c r="B2705" i="4"/>
  <c r="B4714" i="4"/>
  <c r="E123" i="4"/>
  <c r="B448" i="4"/>
  <c r="E2818" i="4"/>
  <c r="B2426" i="4"/>
  <c r="E2640" i="4"/>
  <c r="E674" i="4"/>
  <c r="E554" i="4"/>
  <c r="E521" i="4"/>
  <c r="E631" i="4"/>
  <c r="B2688" i="4"/>
  <c r="E8265" i="4"/>
  <c r="B2753" i="4"/>
  <c r="B3653" i="4"/>
  <c r="B4021" i="4"/>
  <c r="E2702" i="4"/>
  <c r="B3648" i="4"/>
  <c r="E1780" i="4"/>
  <c r="B6449" i="4"/>
  <c r="E2066" i="4"/>
  <c r="B1308" i="4"/>
  <c r="B6015" i="4"/>
  <c r="E1662" i="4"/>
  <c r="E8" i="4"/>
  <c r="E4159" i="4"/>
  <c r="E4417" i="4"/>
  <c r="B324" i="4"/>
  <c r="B1893" i="4"/>
  <c r="E2406" i="4"/>
  <c r="B2901" i="4"/>
  <c r="E503" i="4"/>
  <c r="E348" i="4"/>
  <c r="B8028" i="4"/>
  <c r="E3984" i="4"/>
  <c r="E1751" i="4"/>
  <c r="B2307" i="4"/>
  <c r="E3629" i="4"/>
  <c r="E2172" i="4"/>
  <c r="B2525" i="4"/>
  <c r="E2995" i="4"/>
  <c r="B1282" i="4"/>
  <c r="E257" i="4"/>
  <c r="B228" i="4"/>
  <c r="B654" i="4"/>
  <c r="E2282" i="4"/>
  <c r="E435" i="4"/>
  <c r="E374" i="4"/>
  <c r="E2416" i="4"/>
  <c r="B1001" i="4"/>
  <c r="E2194" i="4"/>
  <c r="B236" i="4"/>
  <c r="E793" i="4"/>
  <c r="E1454" i="4"/>
  <c r="B854" i="4"/>
  <c r="B543" i="4"/>
  <c r="E6760" i="4"/>
  <c r="E1207" i="4"/>
  <c r="B3308" i="4"/>
  <c r="E1677" i="4"/>
  <c r="E1280" i="4"/>
  <c r="B5301" i="4"/>
  <c r="B2268" i="4"/>
  <c r="B7652" i="4"/>
  <c r="B2315" i="4"/>
  <c r="B2081" i="4"/>
  <c r="B523" i="4"/>
  <c r="B2085" i="4"/>
  <c r="B2123" i="4"/>
  <c r="E2619" i="4"/>
  <c r="E4037" i="4"/>
  <c r="E212" i="4"/>
  <c r="E7168" i="4"/>
  <c r="E589" i="4"/>
  <c r="B746" i="4"/>
  <c r="E27" i="4"/>
  <c r="B1833" i="4"/>
  <c r="B1381" i="4"/>
  <c r="B7540" i="4"/>
  <c r="E2342" i="4"/>
  <c r="B2345" i="4"/>
  <c r="B1854" i="4"/>
  <c r="E2102" i="4"/>
  <c r="E3310" i="4"/>
  <c r="E2510" i="4"/>
  <c r="E5047" i="4"/>
  <c r="B1371" i="4"/>
  <c r="E2340" i="4"/>
  <c r="B2297" i="4"/>
  <c r="E1141" i="4"/>
  <c r="B398" i="4"/>
  <c r="E2656" i="4"/>
  <c r="B2600" i="4"/>
  <c r="E6437" i="4"/>
  <c r="E3473" i="4"/>
  <c r="B595" i="4"/>
  <c r="E753" i="4"/>
  <c r="B2445" i="4"/>
  <c r="B3932" i="4"/>
  <c r="B2854" i="4"/>
  <c r="E253" i="4"/>
  <c r="B6744" i="4"/>
  <c r="E4532" i="4"/>
  <c r="B2047" i="4"/>
  <c r="E1088" i="4"/>
  <c r="B3238" i="4"/>
  <c r="B1949" i="4"/>
  <c r="E3313" i="4"/>
  <c r="B3635" i="4"/>
  <c r="B925" i="4"/>
  <c r="E969" i="4"/>
  <c r="B351" i="4"/>
  <c r="E469" i="4"/>
  <c r="E561" i="4"/>
  <c r="E102" i="4"/>
  <c r="E59" i="4"/>
  <c r="B184" i="4"/>
  <c r="B2347" i="4"/>
  <c r="B5535" i="4"/>
  <c r="B1309" i="4"/>
  <c r="E1374" i="4"/>
  <c r="E885" i="4"/>
  <c r="E8436" i="4"/>
  <c r="E868" i="4"/>
  <c r="B6740" i="4"/>
  <c r="B1189" i="4"/>
  <c r="E1508" i="4"/>
  <c r="E1603" i="4"/>
  <c r="B1135" i="4"/>
  <c r="B4206" i="4"/>
  <c r="E1290" i="4"/>
  <c r="E3829" i="4"/>
  <c r="B1553" i="4"/>
  <c r="E3703" i="4"/>
  <c r="E684" i="4"/>
  <c r="B539" i="4"/>
  <c r="B788" i="4"/>
  <c r="E4849" i="4"/>
  <c r="E3628" i="4"/>
  <c r="B5920" i="4"/>
  <c r="B3093" i="4"/>
  <c r="B1140" i="4"/>
  <c r="B912" i="4"/>
  <c r="E566" i="4"/>
  <c r="B4567" i="4"/>
  <c r="B463" i="4"/>
  <c r="B6380" i="4"/>
  <c r="B1748" i="4"/>
  <c r="B3507" i="4"/>
  <c r="B2248" i="4"/>
  <c r="B3961" i="4"/>
  <c r="E2850" i="4"/>
  <c r="B5280" i="4"/>
  <c r="E551" i="4"/>
  <c r="B960" i="4"/>
  <c r="E3055" i="4"/>
  <c r="E700" i="4"/>
  <c r="E1392" i="4"/>
  <c r="E1697" i="4"/>
  <c r="B233" i="4"/>
  <c r="E3977" i="4"/>
  <c r="E229" i="4"/>
  <c r="E2132" i="4"/>
  <c r="B1028" i="4"/>
  <c r="B3699" i="4"/>
  <c r="E1918" i="4"/>
  <c r="E1378" i="4"/>
  <c r="E1360" i="4"/>
  <c r="B750" i="4"/>
  <c r="E5505" i="4"/>
  <c r="E9520" i="4"/>
  <c r="E2882" i="4"/>
  <c r="E2379" i="4"/>
  <c r="E3673" i="4"/>
  <c r="B1857" i="4"/>
  <c r="B2092" i="4"/>
  <c r="E4596" i="4"/>
  <c r="E215" i="4"/>
  <c r="E729" i="4"/>
  <c r="E100" i="4"/>
  <c r="B1876" i="4"/>
  <c r="B5189" i="4"/>
  <c r="E1645" i="4"/>
  <c r="E2632" i="4"/>
  <c r="B334" i="4"/>
  <c r="E2805" i="4"/>
  <c r="E284" i="4"/>
  <c r="B4919" i="4"/>
  <c r="E1485" i="4"/>
  <c r="B1156" i="4"/>
  <c r="E4903" i="4"/>
  <c r="B10432" i="4"/>
  <c r="B5021" i="4"/>
  <c r="B3224" i="4"/>
  <c r="B3430" i="4"/>
  <c r="B116" i="4"/>
  <c r="E1116" i="4"/>
  <c r="E3422" i="4"/>
  <c r="B2077" i="4"/>
  <c r="B1084" i="4"/>
  <c r="E280" i="4"/>
  <c r="B672" i="4"/>
  <c r="B1227" i="4"/>
  <c r="B2149" i="4"/>
  <c r="B2090" i="4"/>
  <c r="E1929" i="4"/>
  <c r="E5335" i="4"/>
  <c r="B1002" i="4"/>
  <c r="B1820" i="4"/>
  <c r="E225" i="4"/>
  <c r="E1706" i="4"/>
  <c r="B5062" i="4"/>
  <c r="B2156" i="4"/>
  <c r="E2534" i="4"/>
  <c r="B1169" i="4"/>
  <c r="B3669" i="4"/>
  <c r="B4087" i="4"/>
  <c r="E4858" i="4"/>
  <c r="B1373" i="4"/>
  <c r="B4971" i="4"/>
  <c r="E699" i="4"/>
  <c r="E6614" i="4"/>
  <c r="B3301" i="4"/>
  <c r="E4160" i="4"/>
  <c r="E1246" i="4"/>
  <c r="B2800" i="4"/>
  <c r="B645" i="4"/>
  <c r="E4446" i="4"/>
  <c r="B10" i="4"/>
  <c r="E1342" i="4"/>
  <c r="B1338" i="4"/>
  <c r="E3882" i="4"/>
  <c r="E4619" i="4"/>
  <c r="E390" i="4"/>
  <c r="B2836" i="4"/>
  <c r="E4703" i="4"/>
  <c r="E277" i="4"/>
  <c r="B2809" i="4"/>
  <c r="E2713" i="4"/>
  <c r="B1305" i="4"/>
  <c r="E3758" i="4"/>
  <c r="E2057" i="4"/>
  <c r="B5161" i="4"/>
  <c r="B2744" i="4"/>
  <c r="E4288" i="4"/>
  <c r="E2064" i="4"/>
  <c r="E976" i="4"/>
  <c r="E1263" i="4"/>
  <c r="E3892" i="4"/>
  <c r="E1380" i="4"/>
  <c r="E1821" i="4"/>
  <c r="E1494" i="4"/>
  <c r="B196" i="4"/>
  <c r="E2925" i="4"/>
  <c r="B3622" i="4"/>
  <c r="B608" i="4"/>
  <c r="B4161" i="4"/>
  <c r="B2213" i="4"/>
  <c r="B2659" i="4"/>
  <c r="E459" i="4"/>
  <c r="B752" i="4"/>
  <c r="E834" i="4"/>
  <c r="E5029" i="4"/>
  <c r="B1353" i="4"/>
  <c r="E472" i="4"/>
  <c r="B1867" i="4"/>
  <c r="B3815" i="4"/>
  <c r="B1662" i="4"/>
  <c r="E3459" i="4"/>
  <c r="E6975" i="4"/>
  <c r="E2545" i="4"/>
  <c r="E7612" i="4"/>
  <c r="B1424" i="4"/>
  <c r="E1343" i="4"/>
  <c r="B3531" i="4"/>
  <c r="B3892" i="4"/>
  <c r="B1261" i="4"/>
  <c r="E734" i="4"/>
  <c r="B1044" i="4"/>
  <c r="E567" i="4"/>
  <c r="E1812" i="4"/>
  <c r="B5083" i="4"/>
  <c r="B1400" i="4"/>
  <c r="E4193" i="4"/>
  <c r="B2071" i="4"/>
  <c r="B1580" i="4"/>
  <c r="B322" i="4"/>
  <c r="E978" i="4"/>
  <c r="B388" i="4"/>
  <c r="B832" i="4"/>
  <c r="B1766" i="4"/>
  <c r="E2803" i="4"/>
  <c r="E57" i="4"/>
  <c r="E1174" i="4"/>
  <c r="E4095" i="4"/>
  <c r="E3734" i="4"/>
  <c r="B1414" i="4"/>
  <c r="E5976" i="4"/>
  <c r="E2592" i="4"/>
  <c r="B4889" i="4"/>
  <c r="E5675" i="4"/>
  <c r="B3044" i="4"/>
  <c r="B1527" i="4"/>
  <c r="B1793" i="4"/>
  <c r="E4979" i="4"/>
  <c r="B3345" i="4"/>
  <c r="E4436" i="4"/>
  <c r="B442" i="4"/>
  <c r="B8521" i="4"/>
  <c r="E500" i="4"/>
  <c r="E4466" i="4"/>
  <c r="B423" i="4"/>
  <c r="B893" i="4"/>
  <c r="E799" i="4"/>
  <c r="B7283" i="4"/>
  <c r="B2574" i="4"/>
  <c r="B7954" i="4"/>
  <c r="B9081" i="4"/>
  <c r="B1958" i="4"/>
  <c r="E2721" i="4"/>
  <c r="E872" i="4"/>
  <c r="B2285" i="4"/>
  <c r="B2582" i="4"/>
  <c r="E1926" i="4"/>
  <c r="B1104" i="4"/>
  <c r="E3004" i="4"/>
  <c r="E3704" i="4"/>
  <c r="B2920" i="4"/>
  <c r="E2464" i="4"/>
  <c r="E973" i="4"/>
  <c r="B1287" i="4"/>
  <c r="B141" i="4"/>
  <c r="B4488" i="4"/>
  <c r="B3344" i="4"/>
  <c r="E919" i="4"/>
  <c r="B521" i="4"/>
  <c r="B2228" i="4"/>
  <c r="E1276" i="4"/>
  <c r="E743" i="4"/>
  <c r="B719" i="4"/>
  <c r="B1431" i="4"/>
  <c r="B519" i="4"/>
  <c r="B4237" i="4"/>
  <c r="B309" i="4"/>
  <c r="E1577" i="4"/>
  <c r="E859" i="4"/>
  <c r="B754" i="4"/>
  <c r="B2207" i="4"/>
  <c r="B5097" i="4"/>
  <c r="E3009" i="4"/>
  <c r="E6424" i="4"/>
  <c r="E1278" i="4"/>
  <c r="E3349" i="4"/>
  <c r="E8682" i="4"/>
  <c r="E2054" i="4"/>
  <c r="B1822" i="4"/>
  <c r="B1111" i="4"/>
  <c r="E1453" i="4"/>
  <c r="B2252" i="4"/>
  <c r="B1291" i="4"/>
  <c r="B5939" i="4"/>
  <c r="E1864" i="4"/>
  <c r="E3807" i="4"/>
  <c r="B8386" i="4"/>
  <c r="E2091" i="4"/>
  <c r="B1298" i="4"/>
  <c r="E4660" i="4"/>
  <c r="E2205" i="4"/>
  <c r="E3034" i="4"/>
  <c r="B424" i="4"/>
  <c r="E278" i="4"/>
  <c r="B8659" i="4"/>
  <c r="B902" i="4"/>
  <c r="E5521" i="4"/>
  <c r="B2689" i="4"/>
  <c r="B1464" i="4"/>
  <c r="B450" i="4"/>
  <c r="E1974" i="4"/>
  <c r="B2927" i="4"/>
  <c r="B6938" i="4"/>
  <c r="E968" i="4"/>
  <c r="B1809" i="4"/>
  <c r="B1190" i="4"/>
  <c r="E519" i="4"/>
  <c r="E2877" i="4"/>
  <c r="B612" i="4"/>
  <c r="E2001" i="4"/>
  <c r="E4204" i="4"/>
  <c r="B1274" i="4"/>
  <c r="E2235" i="4"/>
  <c r="B2767" i="4"/>
  <c r="B514" i="4"/>
  <c r="E3975" i="4"/>
  <c r="B841" i="4"/>
  <c r="E1450" i="4"/>
  <c r="E2916" i="4"/>
  <c r="E6423" i="4"/>
  <c r="B1803" i="4"/>
  <c r="B1708" i="4"/>
  <c r="B4768" i="4"/>
  <c r="B404" i="4"/>
  <c r="E2134" i="4"/>
  <c r="E3063" i="4"/>
  <c r="E652" i="4"/>
  <c r="B883" i="4"/>
  <c r="E2296" i="4"/>
  <c r="E4537" i="4"/>
  <c r="E763" i="4"/>
  <c r="E1022" i="4"/>
  <c r="E1220" i="4"/>
  <c r="B420" i="4"/>
  <c r="E1946" i="4"/>
  <c r="E451" i="4"/>
  <c r="B2751" i="4"/>
  <c r="E4276" i="4"/>
  <c r="B2166" i="4"/>
  <c r="B2563" i="4"/>
  <c r="E1633" i="4"/>
  <c r="B4678" i="4"/>
  <c r="B2432" i="4"/>
  <c r="E1973" i="4"/>
  <c r="E1208" i="4"/>
  <c r="B2337" i="4"/>
  <c r="B4736" i="4"/>
  <c r="B1556" i="4"/>
  <c r="E2384" i="4"/>
  <c r="B787" i="4"/>
  <c r="E989" i="4"/>
  <c r="B2271" i="4"/>
  <c r="E3713" i="4"/>
  <c r="B6258" i="4"/>
  <c r="E3090" i="4"/>
  <c r="E4577" i="4"/>
  <c r="E1308" i="4"/>
  <c r="E679" i="4"/>
  <c r="B1528" i="4"/>
  <c r="E293" i="4"/>
  <c r="B1756" i="4"/>
  <c r="B3565" i="4"/>
  <c r="B4428" i="4"/>
  <c r="E56" i="4"/>
  <c r="E1215" i="4"/>
  <c r="E1768" i="4"/>
  <c r="E264" i="4"/>
  <c r="B981" i="4"/>
  <c r="B1419" i="4"/>
  <c r="E216" i="4"/>
  <c r="E2358" i="4"/>
  <c r="B643" i="4"/>
  <c r="E228" i="4"/>
  <c r="E1685" i="4"/>
  <c r="B878" i="4"/>
  <c r="B1211" i="4"/>
  <c r="B7240" i="4"/>
  <c r="B3092" i="4"/>
  <c r="E291" i="4"/>
  <c r="B2848" i="4"/>
  <c r="E1176" i="4"/>
  <c r="B2759" i="4"/>
  <c r="E2584" i="4"/>
  <c r="E875" i="4"/>
  <c r="E6285" i="4"/>
  <c r="E6075" i="4"/>
  <c r="E681" i="4"/>
  <c r="B5362" i="4"/>
  <c r="E1805" i="4"/>
  <c r="E1010" i="4"/>
  <c r="E389" i="4"/>
  <c r="B3076" i="4"/>
  <c r="E174" i="4"/>
  <c r="B92" i="4"/>
  <c r="B1917" i="4"/>
  <c r="B1233" i="4"/>
  <c r="E5078" i="4"/>
  <c r="B394" i="4"/>
  <c r="B1391" i="4"/>
  <c r="E2211" i="4"/>
  <c r="B1650" i="4"/>
  <c r="B249" i="4"/>
  <c r="B2665" i="4"/>
  <c r="E4746" i="4"/>
  <c r="B2513" i="4"/>
  <c r="E5566" i="4"/>
  <c r="E1581" i="4"/>
  <c r="B4215" i="4"/>
  <c r="E2077" i="4"/>
  <c r="B2595" i="4"/>
  <c r="B5340" i="4"/>
  <c r="B679" i="4"/>
  <c r="B4313" i="4"/>
  <c r="E1055" i="4"/>
  <c r="E1133" i="4"/>
  <c r="B4154" i="4"/>
  <c r="B814" i="4"/>
  <c r="B1331" i="4"/>
  <c r="E3069" i="4"/>
  <c r="B3346" i="4"/>
  <c r="B340" i="4"/>
  <c r="B2891" i="4"/>
  <c r="B4619" i="4"/>
  <c r="B434" i="4"/>
  <c r="E3903" i="4"/>
  <c r="B628" i="4"/>
  <c r="E1828" i="4"/>
  <c r="B2868" i="4"/>
  <c r="B5409" i="4"/>
  <c r="B3905" i="4"/>
  <c r="B83" i="4"/>
  <c r="B4578" i="4"/>
  <c r="E1762" i="4"/>
  <c r="E2012" i="4"/>
  <c r="E1339" i="4"/>
  <c r="B1022" i="4"/>
  <c r="E5838" i="4"/>
  <c r="E1731" i="4"/>
  <c r="E911" i="4"/>
  <c r="B1898" i="4"/>
  <c r="E2421" i="4"/>
  <c r="B71" i="4"/>
  <c r="E558" i="4"/>
  <c r="B5380" i="4"/>
  <c r="B1429" i="4"/>
  <c r="E107" i="4"/>
  <c r="E238" i="4"/>
  <c r="B1148" i="4"/>
  <c r="B3979" i="4"/>
  <c r="E5595" i="4"/>
  <c r="E4992" i="4"/>
  <c r="B4733" i="4"/>
  <c r="B522" i="4"/>
  <c r="B4748" i="4"/>
  <c r="E6794" i="4"/>
  <c r="B1382" i="4"/>
  <c r="B1558" i="4"/>
  <c r="E385" i="4"/>
  <c r="E5732" i="4"/>
  <c r="B792" i="4"/>
  <c r="B172" i="4"/>
  <c r="E1469" i="4"/>
  <c r="B3338" i="4"/>
  <c r="E1341" i="4"/>
  <c r="E31" i="4"/>
  <c r="E752" i="4"/>
  <c r="E1509" i="4"/>
  <c r="B1195" i="4"/>
  <c r="B151" i="4"/>
  <c r="B2028" i="4"/>
  <c r="E6937" i="4"/>
  <c r="E274" i="4"/>
  <c r="B2434" i="4"/>
  <c r="B9160" i="4"/>
  <c r="B1499" i="4"/>
  <c r="B1934" i="4"/>
  <c r="E2284" i="4"/>
  <c r="E1621" i="4"/>
  <c r="B3170" i="4"/>
  <c r="E358" i="4"/>
  <c r="E4038" i="4"/>
  <c r="E2593" i="4"/>
  <c r="B2403" i="4"/>
  <c r="E354" i="4"/>
  <c r="B1885" i="4"/>
  <c r="B85" i="4"/>
  <c r="E4426" i="4"/>
  <c r="E2375" i="4"/>
  <c r="E5950" i="4"/>
  <c r="E3439" i="4"/>
  <c r="E1449" i="4"/>
  <c r="B346" i="4"/>
  <c r="B1358" i="4"/>
  <c r="E2546" i="4"/>
  <c r="B5322" i="4"/>
  <c r="E746" i="4"/>
  <c r="B5957" i="4"/>
  <c r="B7286" i="4"/>
  <c r="B2249" i="4"/>
  <c r="B2618" i="4"/>
  <c r="E8098" i="4"/>
  <c r="E135" i="4"/>
  <c r="B581" i="4"/>
  <c r="B6569" i="4"/>
  <c r="E6221" i="4"/>
  <c r="B697" i="4"/>
  <c r="B425" i="4"/>
  <c r="B701" i="4"/>
  <c r="B3314" i="4"/>
  <c r="B1685" i="4"/>
  <c r="B162" i="4"/>
  <c r="B1413" i="4"/>
  <c r="E1638" i="4"/>
  <c r="B5655" i="4"/>
  <c r="B1311" i="4"/>
  <c r="B1296" i="4"/>
  <c r="B1277" i="4"/>
  <c r="E1777" i="4"/>
  <c r="B2464" i="4"/>
  <c r="E10511" i="4"/>
  <c r="B5090" i="4"/>
  <c r="E325" i="4"/>
  <c r="B1538" i="4"/>
  <c r="E2937" i="4"/>
  <c r="B948" i="4"/>
  <c r="B1046" i="4"/>
  <c r="B2109" i="4"/>
  <c r="B9616" i="4"/>
  <c r="E4682" i="4"/>
  <c r="E538" i="4"/>
  <c r="E893" i="4"/>
  <c r="B843" i="4"/>
  <c r="B4185" i="4"/>
  <c r="E289" i="4"/>
  <c r="E527" i="4"/>
  <c r="B730" i="4"/>
  <c r="B2658" i="4"/>
  <c r="E2442" i="4"/>
  <c r="B1317" i="4"/>
  <c r="E1761" i="4"/>
  <c r="B7228" i="4"/>
  <c r="B3638" i="4"/>
  <c r="B1339" i="4"/>
  <c r="E8263" i="4"/>
  <c r="E2206" i="4"/>
  <c r="B427" i="4"/>
  <c r="B2925" i="4"/>
  <c r="E1340" i="4"/>
  <c r="B6607" i="4"/>
  <c r="B5623" i="4"/>
  <c r="E1619" i="4"/>
  <c r="E152" i="4"/>
  <c r="B1540" i="4"/>
  <c r="E166" i="4"/>
  <c r="B1332" i="4"/>
  <c r="E1086" i="4"/>
  <c r="E1050" i="4"/>
  <c r="E2596" i="4"/>
  <c r="E1031" i="4"/>
  <c r="B1182" i="4"/>
  <c r="E281" i="4"/>
  <c r="B9845" i="4"/>
  <c r="E3214" i="4"/>
  <c r="B974" i="4"/>
  <c r="E6565" i="4"/>
  <c r="E1794" i="4"/>
  <c r="B64" i="4"/>
  <c r="E1568" i="4"/>
  <c r="E3477" i="4"/>
  <c r="E8048" i="4"/>
  <c r="B5248" i="4"/>
  <c r="E2600" i="4"/>
  <c r="B1275" i="4"/>
  <c r="E1652" i="4"/>
  <c r="B1197" i="4"/>
  <c r="B2749" i="4"/>
  <c r="B1356" i="4"/>
  <c r="E1589" i="4"/>
  <c r="B2975" i="4"/>
  <c r="B3530" i="4"/>
  <c r="B6516" i="4"/>
  <c r="E118" i="4"/>
  <c r="E7650" i="4"/>
  <c r="E2418" i="4"/>
  <c r="E3018" i="4"/>
  <c r="E5424" i="4"/>
  <c r="B2007" i="4"/>
  <c r="E331" i="4"/>
  <c r="E68" i="4"/>
  <c r="B810" i="4"/>
  <c r="B664" i="4"/>
  <c r="B1083" i="4"/>
  <c r="B1225" i="4"/>
  <c r="E3209" i="4"/>
  <c r="E1354" i="4"/>
  <c r="B2880" i="4"/>
  <c r="B4645" i="4"/>
  <c r="E3102" i="4"/>
  <c r="B4096" i="4"/>
  <c r="E1661" i="4"/>
  <c r="E1351" i="4"/>
  <c r="E235" i="4"/>
  <c r="B3468" i="4"/>
  <c r="E2927" i="4"/>
  <c r="E1797" i="4"/>
  <c r="B2956" i="4"/>
  <c r="E1972" i="4"/>
  <c r="B3047" i="4"/>
  <c r="B2468" i="4"/>
  <c r="B1473" i="4"/>
  <c r="E410" i="4"/>
  <c r="B499" i="4"/>
  <c r="B4521" i="4"/>
  <c r="B2842" i="4"/>
  <c r="E5169" i="4"/>
  <c r="B2666" i="4"/>
  <c r="B331" i="4"/>
  <c r="E571" i="4"/>
  <c r="B2847" i="4"/>
  <c r="B9" i="4"/>
  <c r="B3373" i="4"/>
  <c r="B5193" i="4"/>
  <c r="E3561" i="4"/>
  <c r="E1841" i="4"/>
  <c r="B345" i="4"/>
  <c r="B4614" i="4"/>
  <c r="E5538" i="4"/>
  <c r="B371" i="4"/>
  <c r="E514" i="4"/>
  <c r="E1464" i="4"/>
  <c r="E1020" i="4"/>
  <c r="E854" i="4"/>
  <c r="E3251" i="4"/>
  <c r="B2747" i="4"/>
  <c r="B3579" i="4"/>
  <c r="E1594" i="4"/>
  <c r="E3409" i="4"/>
  <c r="B3818" i="4"/>
  <c r="B4266" i="4"/>
  <c r="E2679" i="4"/>
  <c r="E4797" i="4"/>
  <c r="B6592" i="4"/>
  <c r="B2338" i="4"/>
  <c r="E1666" i="4"/>
  <c r="E213" i="4"/>
  <c r="B2" i="4"/>
  <c r="B1034" i="4"/>
  <c r="E2207" i="4"/>
  <c r="B503" i="4"/>
  <c r="B1218" i="4"/>
  <c r="B1989" i="4"/>
  <c r="E3295" i="4"/>
  <c r="B513" i="4"/>
  <c r="B826" i="4"/>
  <c r="E4722" i="4"/>
  <c r="B1907" i="4"/>
  <c r="B4203" i="4"/>
  <c r="E5302" i="4"/>
  <c r="B1956" i="4"/>
  <c r="B3165" i="4"/>
  <c r="E4822" i="4"/>
  <c r="E3037" i="4"/>
  <c r="B1324" i="4"/>
  <c r="E3773" i="4"/>
  <c r="E5466" i="4"/>
  <c r="E3781" i="4"/>
  <c r="B3975" i="4"/>
  <c r="E2236" i="4"/>
  <c r="B2246" i="4"/>
  <c r="B5229" i="4"/>
  <c r="B3325" i="4"/>
  <c r="E3470" i="4"/>
  <c r="B1062" i="4"/>
  <c r="B2170" i="4"/>
  <c r="E321" i="4"/>
  <c r="B3536" i="4"/>
  <c r="E1590" i="4"/>
  <c r="B4135" i="4"/>
  <c r="E2844" i="4"/>
  <c r="E5734" i="4"/>
  <c r="B665" i="4"/>
  <c r="E920" i="4"/>
  <c r="B1706" i="4"/>
  <c r="B462" i="4"/>
  <c r="B901" i="4"/>
  <c r="E2292" i="4"/>
  <c r="E158" i="4"/>
  <c r="E144" i="4"/>
  <c r="E3886" i="4"/>
  <c r="B3352" i="4"/>
  <c r="E590" i="4"/>
  <c r="B1200" i="4"/>
  <c r="E2644" i="4"/>
  <c r="B2386" i="4"/>
  <c r="E765" i="4"/>
  <c r="B496" i="4"/>
  <c r="B90" i="4"/>
  <c r="B1747" i="4"/>
  <c r="E7389" i="4"/>
  <c r="B982" i="4"/>
  <c r="E1499" i="4"/>
  <c r="B402" i="4"/>
  <c r="B2683" i="4"/>
  <c r="B7306" i="4"/>
  <c r="B2731" i="4"/>
  <c r="E987" i="4"/>
  <c r="E6048" i="4"/>
  <c r="E7451" i="4"/>
  <c r="E3062" i="4"/>
  <c r="E1027" i="4"/>
  <c r="B662" i="4"/>
  <c r="B2043" i="4"/>
  <c r="E4847" i="4"/>
  <c r="B3639" i="4"/>
  <c r="B3837" i="4"/>
  <c r="E931" i="4"/>
  <c r="E798" i="4"/>
  <c r="B2318" i="4"/>
  <c r="B3974" i="4"/>
  <c r="B201" i="4"/>
  <c r="B4638" i="4"/>
  <c r="B21" i="4"/>
  <c r="E792" i="4"/>
  <c r="E5353" i="4"/>
  <c r="E4307" i="4"/>
  <c r="E2401" i="4"/>
  <c r="B207" i="4"/>
  <c r="B2452" i="4"/>
  <c r="E4970" i="4"/>
  <c r="B466" i="4"/>
  <c r="B2270" i="4"/>
  <c r="E1483" i="4"/>
  <c r="M70" i="2"/>
  <c r="M14" i="2"/>
  <c r="M251" i="2"/>
  <c r="M452" i="2"/>
  <c r="M133" i="2"/>
  <c r="M104" i="2"/>
  <c r="M180" i="2"/>
  <c r="M103" i="2"/>
  <c r="M135" i="2"/>
  <c r="M18" i="2"/>
  <c r="M77" i="2"/>
  <c r="M20" i="2"/>
  <c r="M159" i="2"/>
  <c r="M175" i="2"/>
  <c r="M126" i="2"/>
  <c r="M162" i="2"/>
  <c r="M176" i="2"/>
  <c r="M53" i="2"/>
  <c r="M106" i="2"/>
  <c r="M469" i="2"/>
  <c r="M17" i="2"/>
  <c r="M128" i="2"/>
  <c r="M552" i="2"/>
  <c r="M388" i="2"/>
  <c r="M309" i="2"/>
  <c r="M153" i="2"/>
  <c r="M195" i="2"/>
  <c r="M379" i="2"/>
  <c r="M111" i="2"/>
  <c r="M91" i="2"/>
  <c r="M58" i="2"/>
  <c r="M237" i="2"/>
  <c r="M218" i="2"/>
  <c r="M31" i="2"/>
  <c r="M99" i="2"/>
  <c r="M381" i="2"/>
  <c r="M113" i="2"/>
  <c r="M301" i="2"/>
  <c r="M169" i="2"/>
  <c r="M326" i="2"/>
  <c r="M201" i="2"/>
  <c r="M26" i="2"/>
  <c r="M539" i="2"/>
  <c r="M168" i="2"/>
  <c r="M171" i="2"/>
  <c r="M92" i="2"/>
  <c r="M272" i="2"/>
  <c r="M94" i="2"/>
  <c r="M545" i="2"/>
  <c r="M33" i="2"/>
  <c r="M371" i="2"/>
  <c r="M392" i="2"/>
  <c r="M62" i="2"/>
  <c r="M338" i="2"/>
  <c r="M182" i="2"/>
  <c r="M108" i="2"/>
  <c r="M448" i="2"/>
  <c r="M81" i="2"/>
  <c r="M74" i="2"/>
  <c r="M164" i="2"/>
  <c r="M110" i="2"/>
  <c r="M140" i="2"/>
  <c r="M495" i="2"/>
  <c r="M13" i="2"/>
  <c r="M72" i="2"/>
  <c r="M210" i="2"/>
  <c r="M146" i="2"/>
  <c r="M41" i="2"/>
  <c r="M166" i="2"/>
  <c r="M43" i="2"/>
  <c r="M242" i="2"/>
  <c r="M44" i="2"/>
  <c r="M183" i="2"/>
  <c r="M200" i="2"/>
  <c r="M137" i="2"/>
  <c r="M302" i="2"/>
  <c r="M123" i="2"/>
  <c r="M48" i="2"/>
  <c r="M428" i="2"/>
  <c r="M96" i="2"/>
  <c r="M323" i="2"/>
  <c r="M291" i="2"/>
  <c r="M51" i="2"/>
  <c r="M304" i="2"/>
  <c r="M79" i="2"/>
  <c r="M36" i="2"/>
  <c r="M287" i="2"/>
  <c r="M529" i="2"/>
  <c r="M206" i="2"/>
  <c r="M280" i="2"/>
  <c r="M19" i="2"/>
  <c r="M30" i="2"/>
  <c r="M185" i="2"/>
  <c r="M132" i="2"/>
  <c r="M227" i="2"/>
  <c r="M231" i="2"/>
  <c r="M232" i="2"/>
  <c r="M212" i="2"/>
  <c r="M163" i="2"/>
  <c r="M422" i="2"/>
  <c r="M85" i="2"/>
  <c r="M117" i="2"/>
  <c r="M337" i="2"/>
  <c r="M78" i="2"/>
  <c r="M63" i="2"/>
  <c r="M142" i="2"/>
  <c r="M510" i="2"/>
  <c r="M98" i="2"/>
  <c r="M488" i="2"/>
  <c r="M55" i="2"/>
  <c r="M65" i="2"/>
  <c r="M255" i="2"/>
  <c r="M267" i="2"/>
  <c r="M139" i="2"/>
  <c r="M38" i="2"/>
  <c r="M321" i="2"/>
  <c r="M29" i="2"/>
  <c r="M39" i="2"/>
  <c r="M217" i="2"/>
  <c r="M67" i="2"/>
  <c r="M186" i="2"/>
  <c r="M157" i="2"/>
  <c r="M318" i="2"/>
  <c r="M340" i="2"/>
  <c r="M234" i="2"/>
  <c r="M213" i="2"/>
  <c r="M464" i="2"/>
  <c r="M306" i="2"/>
  <c r="M407" i="2"/>
  <c r="M261" i="2"/>
  <c r="M391" i="2"/>
  <c r="M307" i="2"/>
  <c r="M12" i="2"/>
  <c r="M609" i="2"/>
  <c r="M561" i="2"/>
  <c r="M513" i="2"/>
  <c r="M566" i="2"/>
  <c r="M518" i="2"/>
  <c r="M470" i="2"/>
  <c r="M548" i="2"/>
  <c r="M444" i="2"/>
  <c r="M396" i="2"/>
  <c r="M348" i="2"/>
  <c r="M300" i="2"/>
  <c r="M252" i="2"/>
  <c r="M608" i="2"/>
  <c r="M500" i="2"/>
  <c r="M515" i="2"/>
  <c r="M449" i="2"/>
  <c r="M401" i="2"/>
  <c r="M353" i="2"/>
  <c r="M305" i="2"/>
  <c r="M257" i="2"/>
  <c r="M209" i="2"/>
  <c r="M509" i="2"/>
  <c r="M430" i="2"/>
  <c r="M334" i="2"/>
  <c r="M286" i="2"/>
  <c r="M238" i="2"/>
  <c r="M536" i="2"/>
  <c r="M584" i="2"/>
  <c r="M532" i="2"/>
  <c r="M588" i="2"/>
  <c r="M526" i="2"/>
  <c r="M555" i="2"/>
  <c r="M503" i="2"/>
  <c r="M486" i="2"/>
  <c r="M575" i="2"/>
  <c r="M421" i="2"/>
  <c r="M400" i="2"/>
  <c r="M366" i="2"/>
  <c r="M332" i="2"/>
  <c r="M311" i="2"/>
  <c r="M277" i="2"/>
  <c r="M256" i="2"/>
  <c r="M222" i="2"/>
  <c r="M547" i="2"/>
  <c r="M387" i="2"/>
  <c r="M179" i="2"/>
  <c r="M131" i="2"/>
  <c r="M83" i="2"/>
  <c r="M35" i="2"/>
  <c r="M465" i="2"/>
  <c r="M436" i="2"/>
  <c r="M160" i="2"/>
  <c r="M112" i="2"/>
  <c r="M64" i="2"/>
  <c r="M16" i="2"/>
  <c r="M479" i="2"/>
  <c r="M497" i="2"/>
  <c r="M467" i="2"/>
  <c r="M393" i="2"/>
  <c r="M451" i="2"/>
  <c r="M397" i="2"/>
  <c r="M376" i="2"/>
  <c r="M399" i="2"/>
  <c r="M533" i="2"/>
  <c r="M604" i="2"/>
  <c r="M502" i="2"/>
  <c r="M457" i="2"/>
  <c r="M295" i="2"/>
  <c r="M583" i="2"/>
  <c r="M373" i="2"/>
  <c r="M354" i="2"/>
  <c r="M197" i="2"/>
  <c r="M125" i="2"/>
  <c r="M471" i="2"/>
  <c r="M398" i="2"/>
  <c r="M314" i="2"/>
  <c r="M225" i="2"/>
  <c r="M73" i="2"/>
  <c r="M527" i="2"/>
  <c r="M165" i="2"/>
  <c r="M37" i="2"/>
  <c r="M268" i="2"/>
  <c r="M84" i="2"/>
  <c r="M333" i="2"/>
  <c r="M386" i="2"/>
  <c r="M211" i="2"/>
  <c r="M516" i="2"/>
  <c r="M327" i="2"/>
  <c r="M316" i="2"/>
  <c r="M579" i="2"/>
  <c r="M34" i="2"/>
  <c r="M61" i="2"/>
  <c r="M325" i="2"/>
  <c r="M15" i="2"/>
  <c r="M299" i="2"/>
  <c r="M361" i="2"/>
  <c r="M173" i="2"/>
  <c r="M127" i="2"/>
  <c r="M229" i="2"/>
  <c r="M426" i="2"/>
  <c r="M248" i="2"/>
  <c r="M411" i="2"/>
  <c r="M75" i="2"/>
  <c r="M114" i="2"/>
  <c r="M556" i="2"/>
  <c r="M350" i="2"/>
  <c r="M273" i="2"/>
  <c r="M254" i="2"/>
  <c r="M90" i="2"/>
  <c r="M208" i="2"/>
  <c r="M597" i="2"/>
  <c r="M549" i="2"/>
  <c r="M602" i="2"/>
  <c r="M554" i="2"/>
  <c r="M506" i="2"/>
  <c r="M606" i="2"/>
  <c r="M519" i="2"/>
  <c r="M432" i="2"/>
  <c r="M384" i="2"/>
  <c r="M336" i="2"/>
  <c r="M288" i="2"/>
  <c r="M240" i="2"/>
  <c r="M595" i="2"/>
  <c r="M474" i="2"/>
  <c r="M511" i="2"/>
  <c r="M437" i="2"/>
  <c r="M389" i="2"/>
  <c r="M341" i="2"/>
  <c r="M293" i="2"/>
  <c r="M245" i="2"/>
  <c r="M538" i="2"/>
  <c r="M483" i="2"/>
  <c r="M418" i="2"/>
  <c r="M370" i="2"/>
  <c r="M322" i="2"/>
  <c r="M274" i="2"/>
  <c r="M226" i="2"/>
  <c r="M582" i="2"/>
  <c r="M571" i="2"/>
  <c r="M528" i="2"/>
  <c r="M567" i="2"/>
  <c r="M505" i="2"/>
  <c r="M607" i="2"/>
  <c r="M592" i="2"/>
  <c r="M455" i="2"/>
  <c r="M558" i="2"/>
  <c r="M419" i="2"/>
  <c r="M385" i="2"/>
  <c r="M364" i="2"/>
  <c r="M330" i="2"/>
  <c r="M296" i="2"/>
  <c r="M275" i="2"/>
  <c r="M241" i="2"/>
  <c r="M220" i="2"/>
  <c r="M477" i="2"/>
  <c r="M351" i="2"/>
  <c r="M167" i="2"/>
  <c r="M119" i="2"/>
  <c r="M71" i="2"/>
  <c r="M23" i="2"/>
  <c r="M447" i="2"/>
  <c r="M196" i="2"/>
  <c r="M148" i="2"/>
  <c r="M100" i="2"/>
  <c r="M52" i="2"/>
  <c r="M531" i="2"/>
  <c r="M458" i="2"/>
  <c r="M484" i="2"/>
  <c r="M460" i="2"/>
  <c r="M374" i="2"/>
  <c r="M416" i="2"/>
  <c r="M395" i="2"/>
  <c r="M560" i="2"/>
  <c r="M363" i="2"/>
  <c r="M491" i="2"/>
  <c r="M559" i="2"/>
  <c r="M499" i="2"/>
  <c r="M403" i="2"/>
  <c r="M259" i="2"/>
  <c r="M493" i="2"/>
  <c r="M357" i="2"/>
  <c r="M263" i="2"/>
  <c r="M188" i="2"/>
  <c r="M116" i="2"/>
  <c r="M435" i="2"/>
  <c r="M390" i="2"/>
  <c r="M290" i="2"/>
  <c r="M190" i="2"/>
  <c r="M46" i="2"/>
  <c r="M181" i="2"/>
  <c r="M21" i="2"/>
  <c r="M522" i="2"/>
  <c r="M145" i="2"/>
  <c r="M507" i="2"/>
  <c r="M192" i="2"/>
  <c r="M450" i="2"/>
  <c r="M265" i="2"/>
  <c r="M308" i="2"/>
  <c r="M194" i="2"/>
  <c r="M122" i="2"/>
  <c r="M496" i="2"/>
  <c r="M289" i="2"/>
  <c r="M344" i="2"/>
  <c r="M562" i="2"/>
  <c r="M66" i="2"/>
  <c r="M150" i="2"/>
  <c r="M202" i="2"/>
  <c r="M352" i="2"/>
  <c r="M266" i="2"/>
  <c r="M343" i="2"/>
  <c r="M551" i="2"/>
  <c r="M141" i="2"/>
  <c r="M27" i="2"/>
  <c r="M49" i="2"/>
  <c r="M130" i="2"/>
  <c r="M177" i="2"/>
  <c r="M441" i="2"/>
  <c r="M97" i="2"/>
  <c r="M134" i="2"/>
  <c r="M572" i="2"/>
  <c r="M189" i="2"/>
  <c r="M235" i="2"/>
  <c r="M520" i="2"/>
  <c r="M285" i="2"/>
  <c r="M585" i="2"/>
  <c r="M537" i="2"/>
  <c r="M590" i="2"/>
  <c r="M542" i="2"/>
  <c r="M494" i="2"/>
  <c r="M593" i="2"/>
  <c r="M487" i="2"/>
  <c r="M420" i="2"/>
  <c r="M372" i="2"/>
  <c r="M324" i="2"/>
  <c r="M276" i="2"/>
  <c r="M546" i="2"/>
  <c r="M544" i="2"/>
  <c r="M485" i="2"/>
  <c r="M425" i="2"/>
  <c r="M377" i="2"/>
  <c r="M329" i="2"/>
  <c r="M281" i="2"/>
  <c r="M233" i="2"/>
  <c r="M498" i="2"/>
  <c r="M454" i="2"/>
  <c r="M406" i="2"/>
  <c r="M358" i="2"/>
  <c r="M310" i="2"/>
  <c r="M262" i="2"/>
  <c r="M214" i="2"/>
  <c r="M599" i="2"/>
  <c r="M569" i="2"/>
  <c r="M492" i="2"/>
  <c r="M565" i="2"/>
  <c r="M605" i="2"/>
  <c r="M553" i="2"/>
  <c r="M577" i="2"/>
  <c r="M443" i="2"/>
  <c r="M541" i="2"/>
  <c r="M404" i="2"/>
  <c r="M383" i="2"/>
  <c r="M349" i="2"/>
  <c r="M328" i="2"/>
  <c r="M294" i="2"/>
  <c r="M260" i="2"/>
  <c r="M239" i="2"/>
  <c r="M594" i="2"/>
  <c r="M434" i="2"/>
  <c r="M315" i="2"/>
  <c r="M205" i="2"/>
  <c r="M155" i="2"/>
  <c r="M107" i="2"/>
  <c r="M59" i="2"/>
  <c r="M568" i="2"/>
  <c r="M564" i="2"/>
  <c r="M184" i="2"/>
  <c r="M136" i="2"/>
  <c r="M40" i="2"/>
  <c r="M438" i="2"/>
  <c r="M440" i="2"/>
  <c r="M427" i="2"/>
  <c r="M429" i="2"/>
  <c r="M574" i="2"/>
  <c r="M414" i="2"/>
  <c r="M380" i="2"/>
  <c r="M521" i="2"/>
  <c r="M600" i="2"/>
  <c r="M514" i="2"/>
  <c r="M476" i="2"/>
  <c r="M367" i="2"/>
  <c r="M223" i="2"/>
  <c r="M463" i="2"/>
  <c r="M424" i="2"/>
  <c r="M236" i="2"/>
  <c r="M161" i="2"/>
  <c r="M89" i="2"/>
  <c r="M405" i="2"/>
  <c r="M342" i="2"/>
  <c r="M284" i="2"/>
  <c r="M154" i="2"/>
  <c r="M303" i="2"/>
  <c r="M129" i="2"/>
  <c r="M576" i="2"/>
  <c r="M475" i="2"/>
  <c r="M93" i="2"/>
  <c r="M319" i="2"/>
  <c r="M156" i="2"/>
  <c r="M446" i="2"/>
  <c r="M598" i="2"/>
  <c r="M246" i="2"/>
  <c r="M174" i="2"/>
  <c r="M102" i="2"/>
  <c r="M359" i="2"/>
  <c r="M219" i="2"/>
  <c r="M297" i="2"/>
  <c r="M22" i="2"/>
  <c r="M170" i="2"/>
  <c r="M375" i="2"/>
  <c r="M480" i="2"/>
  <c r="M121" i="2"/>
  <c r="M282" i="2"/>
  <c r="M115" i="2"/>
  <c r="M247" i="2"/>
  <c r="M468" i="2"/>
  <c r="M144" i="2"/>
  <c r="M270" i="2"/>
  <c r="M105" i="2"/>
  <c r="M335" i="2"/>
  <c r="M504" i="2"/>
  <c r="M151" i="2"/>
  <c r="M459" i="2"/>
  <c r="M589" i="2"/>
  <c r="M253" i="2"/>
  <c r="M490" i="2"/>
  <c r="M535" i="2"/>
  <c r="M355" i="2"/>
  <c r="M473" i="2"/>
  <c r="M193" i="2"/>
  <c r="M573" i="2"/>
  <c r="M525" i="2"/>
  <c r="M578" i="2"/>
  <c r="M530" i="2"/>
  <c r="M482" i="2"/>
  <c r="M591" i="2"/>
  <c r="M456" i="2"/>
  <c r="M408" i="2"/>
  <c r="M360" i="2"/>
  <c r="M312" i="2"/>
  <c r="M264" i="2"/>
  <c r="M216" i="2"/>
  <c r="M517" i="2"/>
  <c r="M540" i="2"/>
  <c r="M461" i="2"/>
  <c r="M413" i="2"/>
  <c r="M365" i="2"/>
  <c r="M317" i="2"/>
  <c r="M269" i="2"/>
  <c r="M221" i="2"/>
  <c r="M472" i="2"/>
  <c r="M442" i="2"/>
  <c r="M394" i="2"/>
  <c r="M346" i="2"/>
  <c r="M298" i="2"/>
  <c r="M250" i="2"/>
  <c r="M580" i="2"/>
  <c r="M586" i="2"/>
  <c r="M557" i="2"/>
  <c r="M601" i="2"/>
  <c r="M563" i="2"/>
  <c r="M603" i="2"/>
  <c r="M524" i="2"/>
  <c r="M543" i="2"/>
  <c r="M431" i="2"/>
  <c r="M445" i="2"/>
  <c r="M402" i="2"/>
  <c r="M368" i="2"/>
  <c r="M347" i="2"/>
  <c r="M313" i="2"/>
  <c r="M292" i="2"/>
  <c r="M258" i="2"/>
  <c r="M224" i="2"/>
  <c r="M587" i="2"/>
  <c r="M279" i="2"/>
  <c r="M191" i="2"/>
  <c r="M143" i="2"/>
  <c r="M95" i="2"/>
  <c r="M47" i="2"/>
  <c r="M489" i="2"/>
  <c r="M534" i="2"/>
  <c r="M172" i="2"/>
  <c r="M124" i="2"/>
  <c r="M76" i="2"/>
  <c r="M28" i="2"/>
  <c r="M203" i="2"/>
  <c r="M512" i="2"/>
  <c r="M550" i="2"/>
  <c r="M410" i="2"/>
  <c r="M462" i="2"/>
  <c r="M412" i="2"/>
  <c r="M378" i="2"/>
  <c r="M481" i="2"/>
  <c r="M581" i="2"/>
  <c r="M433" i="2"/>
  <c r="M508" i="2"/>
  <c r="M466" i="2"/>
  <c r="M331" i="2"/>
  <c r="M409" i="2"/>
  <c r="M417" i="2"/>
  <c r="M204" i="2"/>
  <c r="M152" i="2"/>
  <c r="M80" i="2"/>
  <c r="M439" i="2"/>
  <c r="M339" i="2"/>
  <c r="M244" i="2"/>
  <c r="M118" i="2"/>
  <c r="M249" i="2"/>
  <c r="M109" i="2"/>
  <c r="M570" i="2"/>
  <c r="M369" i="2"/>
  <c r="M57" i="2"/>
  <c r="M271" i="2"/>
  <c r="M120" i="2"/>
  <c r="M345" i="2"/>
  <c r="M478" i="2"/>
  <c r="M230" i="2"/>
  <c r="M158" i="2"/>
  <c r="M86" i="2"/>
  <c r="M356" i="2"/>
  <c r="M501" i="2"/>
  <c r="M596" i="2"/>
  <c r="M56" i="2"/>
  <c r="M101" i="2"/>
  <c r="M187" i="2"/>
  <c r="M215" i="2"/>
  <c r="M415" i="2"/>
  <c r="M10" i="2"/>
  <c r="M278" i="2"/>
  <c r="M54" i="2"/>
  <c r="M147" i="2"/>
  <c r="M523" i="2"/>
  <c r="N523" i="2" l="1"/>
  <c r="N147" i="2"/>
  <c r="N54" i="2"/>
  <c r="N278" i="2"/>
  <c r="N10" i="2"/>
  <c r="N415" i="2"/>
  <c r="N215" i="2"/>
  <c r="N187" i="2"/>
  <c r="N101" i="2"/>
  <c r="N56" i="2"/>
  <c r="N596" i="2"/>
  <c r="N501" i="2"/>
  <c r="N356" i="2"/>
  <c r="N86" i="2"/>
  <c r="N158" i="2"/>
  <c r="N230" i="2"/>
  <c r="N478" i="2"/>
  <c r="N345" i="2"/>
  <c r="N120" i="2"/>
  <c r="N271" i="2"/>
  <c r="N57" i="2"/>
  <c r="N369" i="2"/>
  <c r="N570" i="2"/>
  <c r="N109" i="2"/>
  <c r="N249" i="2"/>
  <c r="N118" i="2"/>
  <c r="N244" i="2"/>
  <c r="N339" i="2"/>
  <c r="N439" i="2"/>
  <c r="N80" i="2"/>
  <c r="N152" i="2"/>
  <c r="N204" i="2"/>
  <c r="N417" i="2"/>
  <c r="N409" i="2"/>
  <c r="N331" i="2"/>
  <c r="N466" i="2"/>
  <c r="N508" i="2"/>
  <c r="N433" i="2"/>
  <c r="N581" i="2"/>
  <c r="N481" i="2"/>
  <c r="N378" i="2"/>
  <c r="N412" i="2"/>
  <c r="N462" i="2"/>
  <c r="N410" i="2"/>
  <c r="N550" i="2"/>
  <c r="N512" i="2"/>
  <c r="N203" i="2"/>
  <c r="N28" i="2"/>
  <c r="N76" i="2"/>
  <c r="N124" i="2"/>
  <c r="N172" i="2"/>
  <c r="N534" i="2"/>
  <c r="N489" i="2"/>
  <c r="N47" i="2"/>
  <c r="N95" i="2"/>
  <c r="N143" i="2"/>
  <c r="N191" i="2"/>
  <c r="N279" i="2"/>
  <c r="N587" i="2"/>
  <c r="N224" i="2"/>
  <c r="N258" i="2"/>
  <c r="N292" i="2"/>
  <c r="N313" i="2"/>
  <c r="N347" i="2"/>
  <c r="N368" i="2"/>
  <c r="N402" i="2"/>
  <c r="N445" i="2"/>
  <c r="N431" i="2"/>
  <c r="N543" i="2"/>
  <c r="N524" i="2"/>
  <c r="N603" i="2"/>
  <c r="N563" i="2"/>
  <c r="N601" i="2"/>
  <c r="N557" i="2"/>
  <c r="N586" i="2"/>
  <c r="N580" i="2"/>
  <c r="N250" i="2"/>
  <c r="N298" i="2"/>
  <c r="N346" i="2"/>
  <c r="N394" i="2"/>
  <c r="N442" i="2"/>
  <c r="N472" i="2"/>
  <c r="N221" i="2"/>
  <c r="N269" i="2"/>
  <c r="N317" i="2"/>
  <c r="N365" i="2"/>
  <c r="N413" i="2"/>
  <c r="N461" i="2"/>
  <c r="N540" i="2"/>
  <c r="N517" i="2"/>
  <c r="N216" i="2"/>
  <c r="N264" i="2"/>
  <c r="N312" i="2"/>
  <c r="N360" i="2"/>
  <c r="N408" i="2"/>
  <c r="N456" i="2"/>
  <c r="N591" i="2"/>
  <c r="N482" i="2"/>
  <c r="N530" i="2"/>
  <c r="N578" i="2"/>
  <c r="N525" i="2"/>
  <c r="N573" i="2"/>
  <c r="N193" i="2"/>
  <c r="N473" i="2"/>
  <c r="N355" i="2"/>
  <c r="N535" i="2"/>
  <c r="N490" i="2"/>
  <c r="N253" i="2"/>
  <c r="N589" i="2"/>
  <c r="N459" i="2"/>
  <c r="N151" i="2"/>
  <c r="N504" i="2"/>
  <c r="N335" i="2"/>
  <c r="N105" i="2"/>
  <c r="N270" i="2"/>
  <c r="N144" i="2"/>
  <c r="N468" i="2"/>
  <c r="N247" i="2"/>
  <c r="N115" i="2"/>
  <c r="N282" i="2"/>
  <c r="N121" i="2"/>
  <c r="N480" i="2"/>
  <c r="N375" i="2"/>
  <c r="N170" i="2"/>
  <c r="N22" i="2"/>
  <c r="N297" i="2"/>
  <c r="N219" i="2"/>
  <c r="N359" i="2"/>
  <c r="N102" i="2"/>
  <c r="N174" i="2"/>
  <c r="N246" i="2"/>
  <c r="N598" i="2"/>
  <c r="N446" i="2"/>
  <c r="N156" i="2"/>
  <c r="N319" i="2"/>
  <c r="N93" i="2"/>
  <c r="N475" i="2"/>
  <c r="N576" i="2"/>
  <c r="N129" i="2"/>
  <c r="N303" i="2"/>
  <c r="N154" i="2"/>
  <c r="N284" i="2"/>
  <c r="N342" i="2"/>
  <c r="N405" i="2"/>
  <c r="N89" i="2"/>
  <c r="N161" i="2"/>
  <c r="N236" i="2"/>
  <c r="N424" i="2"/>
  <c r="N463" i="2"/>
  <c r="N223" i="2"/>
  <c r="N367" i="2"/>
  <c r="N476" i="2"/>
  <c r="N514" i="2"/>
  <c r="N600" i="2"/>
  <c r="N521" i="2"/>
  <c r="N380" i="2"/>
  <c r="N414" i="2"/>
  <c r="N574" i="2"/>
  <c r="N429" i="2"/>
  <c r="N427" i="2"/>
  <c r="N440" i="2"/>
  <c r="N438" i="2"/>
  <c r="N40" i="2"/>
  <c r="N136" i="2"/>
  <c r="N184" i="2"/>
  <c r="N564" i="2"/>
  <c r="N568" i="2"/>
  <c r="N59" i="2"/>
  <c r="N107" i="2"/>
  <c r="N155" i="2"/>
  <c r="N205" i="2"/>
  <c r="N315" i="2"/>
  <c r="N434" i="2"/>
  <c r="N594" i="2"/>
  <c r="N239" i="2"/>
  <c r="N260" i="2"/>
  <c r="N294" i="2"/>
  <c r="N328" i="2"/>
  <c r="N349" i="2"/>
  <c r="N383" i="2"/>
  <c r="N404" i="2"/>
  <c r="N541" i="2"/>
  <c r="N443" i="2"/>
  <c r="N577" i="2"/>
  <c r="N553" i="2"/>
  <c r="N605" i="2"/>
  <c r="N565" i="2"/>
  <c r="N492" i="2"/>
  <c r="N569" i="2"/>
  <c r="N599" i="2"/>
  <c r="N214" i="2"/>
  <c r="N262" i="2"/>
  <c r="N310" i="2"/>
  <c r="N358" i="2"/>
  <c r="N406" i="2"/>
  <c r="N454" i="2"/>
  <c r="N498" i="2"/>
  <c r="N233" i="2"/>
  <c r="N281" i="2"/>
  <c r="N329" i="2"/>
  <c r="N377" i="2"/>
  <c r="N425" i="2"/>
  <c r="N485" i="2"/>
  <c r="N544" i="2"/>
  <c r="N546" i="2"/>
  <c r="N276" i="2"/>
  <c r="N324" i="2"/>
  <c r="N372" i="2"/>
  <c r="N420" i="2"/>
  <c r="N487" i="2"/>
  <c r="N593" i="2"/>
  <c r="N494" i="2"/>
  <c r="N542" i="2"/>
  <c r="N590" i="2"/>
  <c r="N537" i="2"/>
  <c r="N585" i="2"/>
  <c r="N285" i="2"/>
  <c r="N520" i="2"/>
  <c r="N235" i="2"/>
  <c r="N189" i="2"/>
  <c r="N572" i="2"/>
  <c r="N134" i="2"/>
  <c r="N97" i="2"/>
  <c r="N441" i="2"/>
  <c r="N177" i="2"/>
  <c r="N130" i="2"/>
  <c r="N49" i="2"/>
  <c r="N27" i="2"/>
  <c r="N141" i="2"/>
  <c r="N551" i="2"/>
  <c r="N343" i="2"/>
  <c r="N266" i="2"/>
  <c r="N352" i="2"/>
  <c r="N202" i="2"/>
  <c r="N150" i="2"/>
  <c r="N66" i="2"/>
  <c r="N562" i="2"/>
  <c r="N344" i="2"/>
  <c r="N289" i="2"/>
  <c r="N496" i="2"/>
  <c r="N122" i="2"/>
  <c r="N194" i="2"/>
  <c r="N308" i="2"/>
  <c r="N265" i="2"/>
  <c r="N450" i="2"/>
  <c r="N192" i="2"/>
  <c r="N507" i="2"/>
  <c r="N145" i="2"/>
  <c r="N522" i="2"/>
  <c r="N21" i="2"/>
  <c r="N181" i="2"/>
  <c r="N46" i="2"/>
  <c r="N190" i="2"/>
  <c r="N290" i="2"/>
  <c r="N390" i="2"/>
  <c r="N435" i="2"/>
  <c r="N116" i="2"/>
  <c r="N188" i="2"/>
  <c r="N263" i="2"/>
  <c r="N357" i="2"/>
  <c r="N493" i="2"/>
  <c r="N259" i="2"/>
  <c r="N403" i="2"/>
  <c r="N499" i="2"/>
  <c r="N559" i="2"/>
  <c r="N491" i="2"/>
  <c r="N363" i="2"/>
  <c r="N560" i="2"/>
  <c r="N395" i="2"/>
  <c r="N416" i="2"/>
  <c r="N374" i="2"/>
  <c r="N460" i="2"/>
  <c r="N484" i="2"/>
  <c r="N458" i="2"/>
  <c r="N531" i="2"/>
  <c r="N52" i="2"/>
  <c r="N100" i="2"/>
  <c r="N148" i="2"/>
  <c r="N196" i="2"/>
  <c r="N447" i="2"/>
  <c r="N23" i="2"/>
  <c r="N71" i="2"/>
  <c r="N119" i="2"/>
  <c r="N167" i="2"/>
  <c r="N351" i="2"/>
  <c r="N477" i="2"/>
  <c r="N220" i="2"/>
  <c r="N241" i="2"/>
  <c r="N275" i="2"/>
  <c r="N296" i="2"/>
  <c r="N330" i="2"/>
  <c r="N364" i="2"/>
  <c r="N385" i="2"/>
  <c r="N419" i="2"/>
  <c r="N558" i="2"/>
  <c r="N455" i="2"/>
  <c r="N592" i="2"/>
  <c r="N607" i="2"/>
  <c r="N505" i="2"/>
  <c r="N567" i="2"/>
  <c r="N528" i="2"/>
  <c r="N571" i="2"/>
  <c r="N582" i="2"/>
  <c r="N226" i="2"/>
  <c r="N274" i="2"/>
  <c r="N322" i="2"/>
  <c r="N370" i="2"/>
  <c r="N418" i="2"/>
  <c r="N483" i="2"/>
  <c r="N538" i="2"/>
  <c r="N245" i="2"/>
  <c r="N293" i="2"/>
  <c r="N341" i="2"/>
  <c r="N389" i="2"/>
  <c r="N437" i="2"/>
  <c r="N511" i="2"/>
  <c r="N474" i="2"/>
  <c r="N595" i="2"/>
  <c r="N240" i="2"/>
  <c r="N288" i="2"/>
  <c r="N336" i="2"/>
  <c r="N384" i="2"/>
  <c r="N432" i="2"/>
  <c r="N519" i="2"/>
  <c r="N606" i="2"/>
  <c r="N506" i="2"/>
  <c r="N554" i="2"/>
  <c r="N602" i="2"/>
  <c r="N549" i="2"/>
  <c r="N597" i="2"/>
  <c r="N208" i="2"/>
  <c r="N90" i="2"/>
  <c r="N254" i="2"/>
  <c r="N273" i="2"/>
  <c r="N350" i="2"/>
  <c r="N556" i="2"/>
  <c r="N114" i="2"/>
  <c r="N75" i="2"/>
  <c r="N411" i="2"/>
  <c r="N248" i="2"/>
  <c r="N426" i="2"/>
  <c r="N229" i="2"/>
  <c r="N127" i="2"/>
  <c r="N173" i="2"/>
  <c r="N361" i="2"/>
  <c r="N299" i="2"/>
  <c r="N15" i="2"/>
  <c r="N325" i="2"/>
  <c r="N61" i="2"/>
  <c r="N34" i="2"/>
  <c r="N579" i="2"/>
  <c r="N316" i="2"/>
  <c r="N327" i="2"/>
  <c r="N516" i="2"/>
  <c r="N211" i="2"/>
  <c r="N386" i="2"/>
  <c r="N333" i="2"/>
  <c r="N84" i="2"/>
  <c r="N268" i="2"/>
  <c r="N37" i="2"/>
  <c r="N165" i="2"/>
  <c r="N527" i="2"/>
  <c r="N73" i="2"/>
  <c r="N225" i="2"/>
  <c r="N314" i="2"/>
  <c r="N398" i="2"/>
  <c r="N471" i="2"/>
  <c r="N125" i="2"/>
  <c r="N197" i="2"/>
  <c r="N354" i="2"/>
  <c r="N373" i="2"/>
  <c r="N583" i="2"/>
  <c r="N295" i="2"/>
  <c r="N457" i="2"/>
  <c r="N502" i="2"/>
  <c r="N604" i="2"/>
  <c r="N533" i="2"/>
  <c r="N399" i="2"/>
  <c r="N376" i="2"/>
  <c r="N397" i="2"/>
  <c r="N451" i="2"/>
  <c r="N393" i="2"/>
  <c r="N467" i="2"/>
  <c r="N497" i="2"/>
  <c r="N479" i="2"/>
  <c r="N16" i="2"/>
  <c r="N64" i="2"/>
  <c r="N112" i="2"/>
  <c r="N160" i="2"/>
  <c r="N436" i="2"/>
  <c r="N465" i="2"/>
  <c r="N35" i="2"/>
  <c r="N83" i="2"/>
  <c r="N131" i="2"/>
  <c r="N179" i="2"/>
  <c r="N387" i="2"/>
  <c r="N547" i="2"/>
  <c r="N222" i="2"/>
  <c r="N256" i="2"/>
  <c r="N277" i="2"/>
  <c r="N311" i="2"/>
  <c r="N332" i="2"/>
  <c r="N366" i="2"/>
  <c r="N400" i="2"/>
  <c r="N421" i="2"/>
  <c r="N575" i="2"/>
  <c r="N486" i="2"/>
  <c r="N503" i="2"/>
  <c r="N555" i="2"/>
  <c r="N526" i="2"/>
  <c r="N588" i="2"/>
  <c r="N532" i="2"/>
  <c r="N584" i="2"/>
  <c r="N536" i="2"/>
  <c r="N238" i="2"/>
  <c r="N286" i="2"/>
  <c r="N334" i="2"/>
  <c r="N430" i="2"/>
  <c r="N509" i="2"/>
  <c r="N209" i="2"/>
  <c r="N257" i="2"/>
  <c r="N305" i="2"/>
  <c r="N353" i="2"/>
  <c r="N401" i="2"/>
  <c r="N449" i="2"/>
  <c r="N515" i="2"/>
  <c r="N500" i="2"/>
  <c r="N608" i="2"/>
  <c r="N252" i="2"/>
  <c r="N300" i="2"/>
  <c r="N348" i="2"/>
  <c r="N396" i="2"/>
  <c r="N444" i="2"/>
  <c r="N548" i="2"/>
  <c r="N470" i="2"/>
  <c r="N518" i="2"/>
  <c r="N566" i="2"/>
  <c r="N513" i="2"/>
  <c r="N561" i="2"/>
  <c r="N609" i="2"/>
  <c r="N12" i="2"/>
  <c r="N307" i="2"/>
  <c r="N391" i="2"/>
  <c r="N261" i="2"/>
  <c r="N407" i="2"/>
  <c r="N306" i="2"/>
  <c r="N464" i="2"/>
  <c r="N213" i="2"/>
  <c r="N234" i="2"/>
  <c r="N340" i="2"/>
  <c r="N318" i="2"/>
  <c r="N157" i="2"/>
  <c r="N186" i="2"/>
  <c r="N67" i="2"/>
  <c r="N217" i="2"/>
  <c r="N39" i="2"/>
  <c r="N29" i="2"/>
  <c r="N321" i="2"/>
  <c r="N38" i="2"/>
  <c r="N139" i="2"/>
  <c r="N267" i="2"/>
  <c r="N255" i="2"/>
  <c r="N65" i="2"/>
  <c r="N55" i="2"/>
  <c r="N488" i="2"/>
  <c r="N98" i="2"/>
  <c r="N510" i="2"/>
  <c r="N142" i="2"/>
  <c r="N63" i="2"/>
  <c r="N78" i="2"/>
  <c r="N337" i="2"/>
  <c r="N117" i="2"/>
  <c r="N85" i="2"/>
  <c r="N422" i="2"/>
  <c r="N163" i="2"/>
  <c r="N212" i="2"/>
  <c r="N232" i="2"/>
  <c r="N231" i="2"/>
  <c r="N227" i="2"/>
  <c r="N132" i="2"/>
  <c r="N185" i="2"/>
  <c r="N30" i="2"/>
  <c r="N19" i="2"/>
  <c r="N280" i="2"/>
  <c r="N206" i="2"/>
  <c r="N529" i="2"/>
  <c r="N287" i="2"/>
  <c r="N36" i="2"/>
  <c r="N79" i="2"/>
  <c r="N304" i="2"/>
  <c r="N51" i="2"/>
  <c r="N291" i="2"/>
  <c r="N323" i="2"/>
  <c r="N96" i="2"/>
  <c r="N428" i="2"/>
  <c r="N48" i="2"/>
  <c r="N123" i="2"/>
  <c r="N302" i="2"/>
  <c r="N137" i="2"/>
  <c r="N200" i="2"/>
  <c r="N183" i="2"/>
  <c r="N44" i="2"/>
  <c r="N242" i="2"/>
  <c r="N43" i="2"/>
  <c r="N166" i="2"/>
  <c r="N41" i="2"/>
  <c r="N146" i="2"/>
  <c r="N210" i="2"/>
  <c r="N72" i="2"/>
  <c r="N13" i="2"/>
  <c r="N495" i="2"/>
  <c r="N140" i="2"/>
  <c r="N110" i="2"/>
  <c r="N164" i="2"/>
  <c r="N74" i="2"/>
  <c r="N81" i="2"/>
  <c r="N448" i="2"/>
  <c r="N108" i="2"/>
  <c r="N182" i="2"/>
  <c r="N338" i="2"/>
  <c r="N62" i="2"/>
  <c r="N392" i="2"/>
  <c r="N371" i="2"/>
  <c r="N33" i="2"/>
  <c r="N545" i="2"/>
  <c r="N94" i="2"/>
  <c r="N272" i="2"/>
  <c r="N92" i="2"/>
  <c r="N171" i="2"/>
  <c r="N168" i="2"/>
  <c r="N539" i="2"/>
  <c r="N26" i="2"/>
  <c r="N201" i="2"/>
  <c r="N326" i="2"/>
  <c r="N169" i="2"/>
  <c r="N301" i="2"/>
  <c r="N113" i="2"/>
  <c r="N381" i="2"/>
  <c r="N99" i="2"/>
  <c r="N31" i="2"/>
  <c r="N218" i="2"/>
  <c r="N237" i="2"/>
  <c r="N58" i="2"/>
  <c r="N91" i="2"/>
  <c r="N111" i="2"/>
  <c r="N379" i="2"/>
  <c r="N195" i="2"/>
  <c r="N153" i="2"/>
  <c r="N309" i="2"/>
  <c r="N388" i="2"/>
  <c r="N552" i="2"/>
  <c r="N128" i="2"/>
  <c r="N17" i="2"/>
  <c r="N469" i="2"/>
  <c r="N106" i="2"/>
  <c r="N53" i="2"/>
  <c r="N176" i="2"/>
  <c r="N162" i="2"/>
  <c r="N126" i="2"/>
  <c r="N175" i="2"/>
  <c r="N159" i="2"/>
  <c r="N20" i="2"/>
  <c r="N77" i="2"/>
  <c r="N18" i="2"/>
  <c r="N135" i="2"/>
  <c r="N103" i="2"/>
  <c r="N180" i="2"/>
  <c r="N104" i="2"/>
  <c r="N133" i="2"/>
  <c r="N452" i="2"/>
  <c r="N251" i="2"/>
  <c r="N14" i="2"/>
  <c r="N70" i="2"/>
  <c r="C2270" i="4"/>
  <c r="C466" i="4"/>
  <c r="C2452" i="4"/>
  <c r="C207" i="4"/>
  <c r="C21" i="4"/>
  <c r="C4638" i="4"/>
  <c r="C201" i="4"/>
  <c r="C3974" i="4"/>
  <c r="C2318" i="4"/>
  <c r="C3837" i="4"/>
  <c r="C3639" i="4"/>
  <c r="C2043" i="4"/>
  <c r="C662" i="4"/>
  <c r="C2731" i="4"/>
  <c r="C7306" i="4"/>
  <c r="C2683" i="4"/>
  <c r="C402" i="4"/>
  <c r="C982" i="4"/>
  <c r="C1747" i="4"/>
  <c r="C90" i="4"/>
  <c r="C496" i="4"/>
  <c r="C2386" i="4"/>
  <c r="C1200" i="4"/>
  <c r="C3352" i="4"/>
  <c r="C901" i="4"/>
  <c r="C462" i="4"/>
  <c r="C1706" i="4"/>
  <c r="C665" i="4"/>
  <c r="C4135" i="4"/>
  <c r="C3536" i="4"/>
  <c r="C2170" i="4"/>
  <c r="C1062" i="4"/>
  <c r="C3325" i="4"/>
  <c r="C5229" i="4"/>
  <c r="C2246" i="4"/>
  <c r="C3975" i="4"/>
  <c r="C1324" i="4"/>
  <c r="C3165" i="4"/>
  <c r="C1956" i="4"/>
  <c r="C4203" i="4"/>
  <c r="C1907" i="4"/>
  <c r="C826" i="4"/>
  <c r="C513" i="4"/>
  <c r="C1989" i="4"/>
  <c r="C1218" i="4"/>
  <c r="C503" i="4"/>
  <c r="C1034" i="4"/>
  <c r="C2" i="4"/>
  <c r="C2338" i="4"/>
  <c r="C6592" i="4"/>
  <c r="C4266" i="4"/>
  <c r="C3818" i="4"/>
  <c r="C3579" i="4"/>
  <c r="C2747" i="4"/>
  <c r="C371" i="4"/>
  <c r="C4614" i="4"/>
  <c r="C345" i="4"/>
  <c r="C5193" i="4"/>
  <c r="C3373" i="4"/>
  <c r="C9" i="4"/>
  <c r="C2847" i="4"/>
  <c r="C331" i="4"/>
  <c r="C2666" i="4"/>
  <c r="C2842" i="4"/>
  <c r="C4521" i="4"/>
  <c r="C499" i="4"/>
  <c r="C1473" i="4"/>
  <c r="C2468" i="4"/>
  <c r="C3047" i="4"/>
  <c r="C2956" i="4"/>
  <c r="C3468" i="4"/>
  <c r="C4096" i="4"/>
  <c r="C4645" i="4"/>
  <c r="C2880" i="4"/>
  <c r="C1225" i="4"/>
  <c r="C1083" i="4"/>
  <c r="C664" i="4"/>
  <c r="C810" i="4"/>
  <c r="C2007" i="4"/>
  <c r="C6516" i="4"/>
  <c r="C3530" i="4"/>
  <c r="C2975" i="4"/>
  <c r="C1356" i="4"/>
  <c r="C2749" i="4"/>
  <c r="C1197" i="4"/>
  <c r="C1275" i="4"/>
  <c r="C5248" i="4"/>
  <c r="C64" i="4"/>
  <c r="C974" i="4"/>
  <c r="C9845" i="4"/>
  <c r="C1182" i="4"/>
  <c r="C1332" i="4"/>
  <c r="C1540" i="4"/>
  <c r="C5623" i="4"/>
  <c r="C6607" i="4"/>
  <c r="C2925" i="4"/>
  <c r="C427" i="4"/>
  <c r="C1339" i="4"/>
  <c r="C3638" i="4"/>
  <c r="C7228" i="4"/>
  <c r="C1317" i="4"/>
  <c r="C2658" i="4"/>
  <c r="C730" i="4"/>
  <c r="C4185" i="4"/>
  <c r="C843" i="4"/>
  <c r="C9616" i="4"/>
  <c r="C2109" i="4"/>
  <c r="C1046" i="4"/>
  <c r="C948" i="4"/>
  <c r="C1538" i="4"/>
  <c r="C5090" i="4"/>
  <c r="C2464" i="4"/>
  <c r="C1277" i="4"/>
  <c r="C1296" i="4"/>
  <c r="C1311" i="4"/>
  <c r="C5655" i="4"/>
  <c r="C1413" i="4"/>
  <c r="C162" i="4"/>
  <c r="C1685" i="4"/>
  <c r="C3314" i="4"/>
  <c r="C701" i="4"/>
  <c r="C425" i="4"/>
  <c r="C697" i="4"/>
  <c r="C6569" i="4"/>
  <c r="C581" i="4"/>
  <c r="C2618" i="4"/>
  <c r="C2249" i="4"/>
  <c r="C7286" i="4"/>
  <c r="C5957" i="4"/>
  <c r="C5322" i="4"/>
  <c r="C1358" i="4"/>
  <c r="C346" i="4"/>
  <c r="C85" i="4"/>
  <c r="C1885" i="4"/>
  <c r="C2403" i="4"/>
  <c r="C3170" i="4"/>
  <c r="C1934" i="4"/>
  <c r="C1499" i="4"/>
  <c r="C9160" i="4"/>
  <c r="C2434" i="4"/>
  <c r="C2028" i="4"/>
  <c r="C151" i="4"/>
  <c r="C1195" i="4"/>
  <c r="C3338" i="4"/>
  <c r="C172" i="4"/>
  <c r="C792" i="4"/>
  <c r="C1558" i="4"/>
  <c r="C1382" i="4"/>
  <c r="C4748" i="4"/>
  <c r="C522" i="4"/>
  <c r="C4733" i="4"/>
  <c r="C3979" i="4"/>
  <c r="C1148" i="4"/>
  <c r="C1429" i="4"/>
  <c r="C5380" i="4"/>
  <c r="C71" i="4"/>
  <c r="C1898" i="4"/>
  <c r="C1022" i="4"/>
  <c r="C4578" i="4"/>
  <c r="C83" i="4"/>
  <c r="C3905" i="4"/>
  <c r="C5409" i="4"/>
  <c r="C2868" i="4"/>
  <c r="C628" i="4"/>
  <c r="C434" i="4"/>
  <c r="C4619" i="4"/>
  <c r="C2891" i="4"/>
  <c r="C340" i="4"/>
  <c r="C3346" i="4"/>
  <c r="C1331" i="4"/>
  <c r="C814" i="4"/>
  <c r="C4154" i="4"/>
  <c r="C4313" i="4"/>
  <c r="C679" i="4"/>
  <c r="C5340" i="4"/>
  <c r="C2595" i="4"/>
  <c r="C4215" i="4"/>
  <c r="C2513" i="4"/>
  <c r="C2665" i="4"/>
  <c r="C249" i="4"/>
  <c r="C1650" i="4"/>
  <c r="C1391" i="4"/>
  <c r="C394" i="4"/>
  <c r="C1233" i="4"/>
  <c r="C1917" i="4"/>
  <c r="C92" i="4"/>
  <c r="C3076" i="4"/>
  <c r="C5362" i="4"/>
  <c r="C2759" i="4"/>
  <c r="C2848" i="4"/>
  <c r="C3092" i="4"/>
  <c r="C7240" i="4"/>
  <c r="C1211" i="4"/>
  <c r="C878" i="4"/>
  <c r="C643" i="4"/>
  <c r="C1419" i="4"/>
  <c r="C981" i="4"/>
  <c r="C4428" i="4"/>
  <c r="C3565" i="4"/>
  <c r="C1756" i="4"/>
  <c r="C1528" i="4"/>
  <c r="C6258" i="4"/>
  <c r="C2271" i="4"/>
  <c r="C787" i="4"/>
  <c r="C1556" i="4"/>
  <c r="C4736" i="4"/>
  <c r="C2337" i="4"/>
  <c r="C2432" i="4"/>
  <c r="C4678" i="4"/>
  <c r="C2563" i="4"/>
  <c r="C2166" i="4"/>
  <c r="C2751" i="4"/>
  <c r="C420" i="4"/>
  <c r="C883" i="4"/>
  <c r="C404" i="4"/>
  <c r="C4768" i="4"/>
  <c r="C1708" i="4"/>
  <c r="C1803" i="4"/>
  <c r="C841" i="4"/>
  <c r="C514" i="4"/>
  <c r="C2767" i="4"/>
  <c r="C1274" i="4"/>
  <c r="C612" i="4"/>
  <c r="C1190" i="4"/>
  <c r="C1809" i="4"/>
  <c r="C6938" i="4"/>
  <c r="C2927" i="4"/>
  <c r="C450" i="4"/>
  <c r="C1464" i="4"/>
  <c r="C2689" i="4"/>
  <c r="C902" i="4"/>
  <c r="C8659" i="4"/>
  <c r="C424" i="4"/>
  <c r="C1298" i="4"/>
  <c r="C8386" i="4"/>
  <c r="C5939" i="4"/>
  <c r="C1291" i="4"/>
  <c r="C2252" i="4"/>
  <c r="C1111" i="4"/>
  <c r="C1822" i="4"/>
  <c r="C5097" i="4"/>
  <c r="C2207" i="4"/>
  <c r="C754" i="4"/>
  <c r="C309" i="4"/>
  <c r="C4237" i="4"/>
  <c r="C519" i="4"/>
  <c r="C1431" i="4"/>
  <c r="C719" i="4"/>
  <c r="C2228" i="4"/>
  <c r="C521" i="4"/>
  <c r="C3344" i="4"/>
  <c r="C4488" i="4"/>
  <c r="C141" i="4"/>
  <c r="C1287" i="4"/>
  <c r="C2920" i="4"/>
  <c r="C1104" i="4"/>
  <c r="C2582" i="4"/>
  <c r="C2285" i="4"/>
  <c r="C1958" i="4"/>
  <c r="C9081" i="4"/>
  <c r="C7954" i="4"/>
  <c r="C2574" i="4"/>
  <c r="C7283" i="4"/>
  <c r="C893" i="4"/>
  <c r="C423" i="4"/>
  <c r="C8521" i="4"/>
  <c r="C442" i="4"/>
  <c r="C3345" i="4"/>
  <c r="C1793" i="4"/>
  <c r="C1527" i="4"/>
  <c r="C3044" i="4"/>
  <c r="C4889" i="4"/>
  <c r="C1414" i="4"/>
  <c r="C1766" i="4"/>
  <c r="C832" i="4"/>
  <c r="C388" i="4"/>
  <c r="C322" i="4"/>
  <c r="C1580" i="4"/>
  <c r="C2071" i="4"/>
  <c r="C1400" i="4"/>
  <c r="C5083" i="4"/>
  <c r="C1044" i="4"/>
  <c r="C1261" i="4"/>
  <c r="C3892" i="4"/>
  <c r="C3531" i="4"/>
  <c r="C1424" i="4"/>
  <c r="C1662" i="4"/>
  <c r="C3815" i="4"/>
  <c r="C1867" i="4"/>
  <c r="C1353" i="4"/>
  <c r="C752" i="4"/>
  <c r="C2659" i="4"/>
  <c r="C2213" i="4"/>
  <c r="C4161" i="4"/>
  <c r="C608" i="4"/>
  <c r="C3622" i="4"/>
  <c r="C196" i="4"/>
  <c r="C2744" i="4"/>
  <c r="C5161" i="4"/>
  <c r="C1305" i="4"/>
  <c r="C2809" i="4"/>
  <c r="C2836" i="4"/>
  <c r="C1338" i="4"/>
  <c r="C10" i="4"/>
  <c r="C645" i="4"/>
  <c r="C2800" i="4"/>
  <c r="C3301" i="4"/>
  <c r="C4971" i="4"/>
  <c r="C1373" i="4"/>
  <c r="C4087" i="4"/>
  <c r="C3669" i="4"/>
  <c r="C1169" i="4"/>
  <c r="C2156" i="4"/>
  <c r="C5062" i="4"/>
  <c r="C1820" i="4"/>
  <c r="C1002" i="4"/>
  <c r="C2090" i="4"/>
  <c r="C2149" i="4"/>
  <c r="C1227" i="4"/>
  <c r="C672" i="4"/>
  <c r="C1084" i="4"/>
  <c r="C2077" i="4"/>
  <c r="C116" i="4"/>
  <c r="C3430" i="4"/>
  <c r="C3224" i="4"/>
  <c r="C5021" i="4"/>
  <c r="C10432" i="4"/>
  <c r="C1156" i="4"/>
  <c r="C4919" i="4"/>
  <c r="C334" i="4"/>
  <c r="C5189" i="4"/>
  <c r="C1876" i="4"/>
  <c r="C2092" i="4"/>
  <c r="C1857" i="4"/>
  <c r="C750" i="4"/>
  <c r="C3699" i="4"/>
  <c r="C1028" i="4"/>
  <c r="C233" i="4"/>
  <c r="C960" i="4"/>
  <c r="C5280" i="4"/>
  <c r="C3961" i="4"/>
  <c r="C2248" i="4"/>
  <c r="C3507" i="4"/>
  <c r="C1748" i="4"/>
  <c r="C6380" i="4"/>
  <c r="C463" i="4"/>
  <c r="C4567" i="4"/>
  <c r="C912" i="4"/>
  <c r="C1140" i="4"/>
  <c r="C3093" i="4"/>
  <c r="C5920" i="4"/>
  <c r="C788" i="4"/>
  <c r="C539" i="4"/>
  <c r="C1553" i="4"/>
  <c r="C4206" i="4"/>
  <c r="C1135" i="4"/>
  <c r="C1189" i="4"/>
  <c r="C6740" i="4"/>
  <c r="C1309" i="4"/>
  <c r="C5535" i="4"/>
  <c r="C2347" i="4"/>
  <c r="C184" i="4"/>
  <c r="C351" i="4"/>
  <c r="C925" i="4"/>
  <c r="C3635" i="4"/>
  <c r="C1949" i="4"/>
  <c r="C3238" i="4"/>
  <c r="C2047" i="4"/>
  <c r="C6744" i="4"/>
  <c r="C2854" i="4"/>
  <c r="C3932" i="4"/>
  <c r="C2445" i="4"/>
  <c r="C595" i="4"/>
  <c r="C2600" i="4"/>
  <c r="C398" i="4"/>
  <c r="C2297" i="4"/>
  <c r="C1371" i="4"/>
  <c r="C1854" i="4"/>
  <c r="C2345" i="4"/>
  <c r="C7540" i="4"/>
  <c r="C1381" i="4"/>
  <c r="C1833" i="4"/>
  <c r="C746" i="4"/>
  <c r="C2123" i="4"/>
  <c r="C2085" i="4"/>
  <c r="C523" i="4"/>
  <c r="C2081" i="4"/>
  <c r="C2315" i="4"/>
  <c r="C7652" i="4"/>
  <c r="C2268" i="4"/>
  <c r="C5301" i="4"/>
  <c r="C3308" i="4"/>
  <c r="C543" i="4"/>
  <c r="C854" i="4"/>
  <c r="C236" i="4"/>
  <c r="C1001" i="4"/>
  <c r="C654" i="4"/>
  <c r="C228" i="4"/>
  <c r="C1282" i="4"/>
  <c r="C2525" i="4"/>
  <c r="C2307" i="4"/>
  <c r="C8028" i="4"/>
  <c r="C2901" i="4"/>
  <c r="C1893" i="4"/>
  <c r="C324" i="4"/>
  <c r="C6015" i="4"/>
  <c r="C1308" i="4"/>
  <c r="C6449" i="4"/>
  <c r="C3648" i="4"/>
  <c r="C4021" i="4"/>
  <c r="C3653" i="4"/>
  <c r="C2753" i="4"/>
  <c r="C2688" i="4"/>
  <c r="C2426" i="4"/>
  <c r="C448" i="4"/>
  <c r="C4714" i="4"/>
  <c r="C2705" i="4"/>
  <c r="C1447" i="4"/>
  <c r="C3431" i="4"/>
  <c r="C813" i="4"/>
  <c r="C1194" i="4"/>
  <c r="C1397" i="4"/>
  <c r="C2409" i="4"/>
  <c r="C2615" i="4"/>
  <c r="C5699" i="4"/>
  <c r="C2603" i="4"/>
  <c r="C3434" i="4"/>
  <c r="C316" i="4"/>
  <c r="C3636" i="4"/>
  <c r="C561" i="4"/>
  <c r="C458" i="4"/>
  <c r="C930" i="4"/>
  <c r="C2738" i="4"/>
  <c r="C1981" i="4"/>
  <c r="C170" i="4"/>
  <c r="C2139" i="4"/>
  <c r="C3173" i="4"/>
  <c r="C4354" i="4"/>
  <c r="C441" i="4"/>
  <c r="C264" i="4"/>
  <c r="C3947" i="4"/>
  <c r="C205" i="4"/>
  <c r="C2052" i="4"/>
  <c r="C1615" i="4"/>
  <c r="C569" i="4"/>
  <c r="C3965" i="4"/>
  <c r="C1402" i="4"/>
  <c r="C115" i="4"/>
  <c r="C2215" i="4"/>
  <c r="C1103" i="4"/>
  <c r="C2128" i="4"/>
  <c r="C475" i="4"/>
  <c r="C4603" i="4"/>
  <c r="C2838" i="4"/>
  <c r="C4579" i="4"/>
  <c r="C4687" i="4"/>
  <c r="C2830" i="4"/>
  <c r="C6681" i="4"/>
  <c r="C362" i="4"/>
  <c r="C563" i="4"/>
  <c r="C958" i="4"/>
  <c r="C555" i="4"/>
  <c r="C433" i="4"/>
  <c r="C929" i="4"/>
  <c r="C919" i="4"/>
  <c r="C6341" i="4"/>
  <c r="C58" i="4"/>
  <c r="C8306" i="4"/>
  <c r="C2012" i="4"/>
  <c r="C1466" i="4"/>
  <c r="C2556" i="4"/>
  <c r="C4397" i="4"/>
  <c r="C231" i="4"/>
  <c r="C1770" i="4"/>
  <c r="C1049" i="4"/>
  <c r="C5007" i="4"/>
  <c r="C275" i="4"/>
  <c r="C169" i="4"/>
  <c r="C3513" i="4"/>
  <c r="C968" i="4"/>
  <c r="C2532" i="4"/>
  <c r="C348" i="4"/>
  <c r="C1535" i="4"/>
  <c r="C1167" i="4"/>
  <c r="C1640" i="4"/>
  <c r="C372" i="4"/>
  <c r="C4797" i="4"/>
  <c r="C3601" i="4"/>
  <c r="C594" i="4"/>
  <c r="C147" i="4"/>
  <c r="C2046" i="4"/>
  <c r="C3609" i="4"/>
  <c r="C3417" i="4"/>
  <c r="C2066" i="4"/>
  <c r="C4539" i="4"/>
  <c r="C3123" i="4"/>
  <c r="C5037" i="4"/>
  <c r="C1498" i="4"/>
  <c r="C1177" i="4"/>
  <c r="C378" i="4"/>
  <c r="C3444" i="4"/>
  <c r="C2287" i="4"/>
  <c r="C3707" i="4"/>
  <c r="C1940" i="4"/>
  <c r="C1497" i="4"/>
  <c r="C907" i="4"/>
  <c r="C3693" i="4"/>
  <c r="C5853" i="4"/>
  <c r="C579" i="4"/>
  <c r="C3063" i="4"/>
  <c r="C741" i="4"/>
  <c r="C4710" i="4"/>
  <c r="C744" i="4"/>
  <c r="C1229" i="4"/>
  <c r="C221" i="4"/>
  <c r="C3204" i="4"/>
  <c r="C11" i="4"/>
  <c r="C202" i="4"/>
  <c r="C509" i="4"/>
  <c r="C5155" i="4"/>
  <c r="C1023" i="4"/>
  <c r="C850" i="4"/>
  <c r="C4724" i="4"/>
  <c r="C2091" i="4"/>
  <c r="C703" i="4"/>
  <c r="C1315" i="4"/>
  <c r="C1645" i="4"/>
  <c r="C2984" i="4"/>
  <c r="C1703" i="4"/>
  <c r="C3065" i="4"/>
  <c r="C386" i="4"/>
  <c r="C4174" i="4"/>
  <c r="C922" i="4"/>
  <c r="C3443" i="4"/>
  <c r="C193" i="4"/>
  <c r="C2482" i="4"/>
  <c r="C140" i="4"/>
  <c r="C118" i="4"/>
  <c r="C5162" i="4"/>
  <c r="C1320" i="4"/>
  <c r="C797" i="4"/>
  <c r="C3605" i="4"/>
  <c r="C990" i="4"/>
  <c r="C4869" i="4"/>
  <c r="C2696" i="4"/>
  <c r="C461" i="4"/>
  <c r="C223" i="4"/>
  <c r="C1124" i="4"/>
  <c r="C1066" i="4"/>
  <c r="C3798" i="4"/>
  <c r="C2410" i="4"/>
  <c r="C5466" i="4"/>
  <c r="C1073" i="4"/>
  <c r="C418" i="4"/>
  <c r="C4195" i="4"/>
  <c r="C1149" i="4"/>
  <c r="C283" i="4"/>
  <c r="C5554" i="4"/>
  <c r="C3445" i="4"/>
  <c r="C3109" i="4"/>
  <c r="C3262" i="4"/>
  <c r="C2509" i="4"/>
  <c r="C4688" i="4"/>
  <c r="C2379" i="4"/>
  <c r="C1623" i="4"/>
  <c r="C4355" i="4"/>
  <c r="C1367" i="4"/>
  <c r="C2001" i="4"/>
  <c r="C188" i="4"/>
  <c r="C5898" i="4"/>
  <c r="C3068" i="4"/>
  <c r="C2537" i="4"/>
  <c r="C764" i="4"/>
  <c r="C1815" i="4"/>
  <c r="C6690" i="4"/>
  <c r="C393" i="4"/>
  <c r="C438" i="4"/>
  <c r="C20" i="4"/>
  <c r="C272" i="4"/>
  <c r="C3099" i="4"/>
  <c r="C2964" i="4"/>
  <c r="C2980" i="4"/>
  <c r="C977" i="4"/>
  <c r="C2129" i="4"/>
  <c r="C1438" i="4"/>
  <c r="C1304" i="4"/>
  <c r="C9965" i="4"/>
  <c r="C1415" i="4"/>
  <c r="C784" i="4"/>
  <c r="C6367" i="4"/>
  <c r="C722" i="4"/>
  <c r="C724" i="4"/>
  <c r="C1294" i="4"/>
  <c r="C1978" i="4"/>
  <c r="C1452" i="4"/>
  <c r="C2412" i="4"/>
  <c r="C1664" i="4"/>
  <c r="C1522" i="4"/>
  <c r="C4227" i="4"/>
  <c r="C6619" i="4"/>
  <c r="C4497" i="4"/>
  <c r="C311" i="4"/>
  <c r="C2202" i="4"/>
  <c r="C38" i="4"/>
  <c r="C2908" i="4"/>
  <c r="C3211" i="4"/>
  <c r="C1782" i="4"/>
  <c r="C1511" i="4"/>
  <c r="C4371" i="4"/>
  <c r="C232" i="4"/>
  <c r="C2721" i="4"/>
  <c r="C2443" i="4"/>
  <c r="C2360" i="4"/>
  <c r="C4691" i="4"/>
  <c r="C2646" i="4"/>
  <c r="C5098" i="4"/>
  <c r="C333" i="4"/>
  <c r="C1578" i="4"/>
  <c r="C2545" i="4"/>
  <c r="C3469" i="4"/>
  <c r="C2777" i="4"/>
  <c r="C2827" i="4"/>
  <c r="C2176" i="4"/>
  <c r="C5559" i="4"/>
  <c r="C2635" i="4"/>
  <c r="C2332" i="4"/>
  <c r="C185" i="4"/>
  <c r="C1468" i="4"/>
  <c r="C2355" i="4"/>
  <c r="C1333" i="4"/>
  <c r="C1707" i="4"/>
  <c r="C10764" i="4"/>
  <c r="C1740" i="4"/>
  <c r="C6785" i="4"/>
  <c r="C1145" i="4"/>
  <c r="C967" i="4"/>
  <c r="C5199" i="4"/>
  <c r="C3438" i="4"/>
  <c r="C5299" i="4"/>
  <c r="C5583" i="4"/>
  <c r="C1346" i="4"/>
  <c r="C1041" i="4"/>
  <c r="C412" i="4"/>
  <c r="C2878" i="4"/>
  <c r="C2483" i="4"/>
  <c r="C1157" i="4"/>
  <c r="C3001" i="4"/>
  <c r="C705" i="4"/>
  <c r="C2653" i="4"/>
  <c r="C489" i="4"/>
  <c r="C4529" i="4"/>
  <c r="C1159" i="4"/>
  <c r="C3671" i="4"/>
  <c r="C1000" i="4"/>
  <c r="C2544" i="4"/>
  <c r="C3299" i="4"/>
  <c r="C299" i="4"/>
  <c r="C363" i="4"/>
  <c r="C5291" i="4"/>
  <c r="C3575" i="4"/>
  <c r="C2604" i="4"/>
  <c r="C5499" i="4"/>
  <c r="C5008" i="4"/>
  <c r="C824" i="4"/>
  <c r="C501" i="4"/>
  <c r="C1612" i="4"/>
  <c r="C432" i="4"/>
  <c r="C853" i="4"/>
  <c r="C76" i="4"/>
  <c r="C1817" i="4"/>
  <c r="C8724" i="4"/>
  <c r="C2462" i="4"/>
  <c r="C2450" i="4"/>
  <c r="C262" i="4"/>
  <c r="C2371" i="4"/>
  <c r="C6611" i="4"/>
  <c r="C284" i="4"/>
  <c r="C1224" i="4"/>
  <c r="C4274" i="4"/>
  <c r="C2787" i="4"/>
  <c r="C3243" i="4"/>
  <c r="C2795" i="4"/>
  <c r="C609" i="4"/>
  <c r="C1737" i="4"/>
  <c r="C107" i="4"/>
  <c r="C1132" i="4"/>
  <c r="C2859" i="4"/>
  <c r="C1568" i="4"/>
  <c r="C537" i="4"/>
  <c r="C4118" i="4"/>
  <c r="C945" i="4"/>
  <c r="C1268" i="4"/>
  <c r="C536" i="4"/>
  <c r="C2235" i="4"/>
  <c r="C872" i="4"/>
  <c r="C291" i="4"/>
  <c r="C3683" i="4"/>
  <c r="C7209" i="4"/>
  <c r="C1575" i="4"/>
  <c r="C2133" i="4"/>
  <c r="C2217" i="4"/>
  <c r="C2017" i="4"/>
  <c r="C1843" i="4"/>
  <c r="C1241" i="4"/>
  <c r="C1038" i="4"/>
  <c r="C1386" i="4"/>
  <c r="C4636" i="4"/>
  <c r="C3177" i="4"/>
  <c r="C3272" i="4"/>
  <c r="C828" i="4"/>
  <c r="C642" i="4"/>
  <c r="C5985" i="4"/>
  <c r="C842" i="4"/>
  <c r="C748" i="4"/>
  <c r="C435" i="4"/>
  <c r="C894" i="4"/>
  <c r="C3572" i="4"/>
  <c r="C1474" i="4"/>
  <c r="C3294" i="4"/>
  <c r="C3821" i="4"/>
  <c r="C407" i="4"/>
  <c r="C414" i="4"/>
  <c r="C1979" i="4"/>
  <c r="C508" i="4"/>
  <c r="C2834" i="4"/>
  <c r="C4939" i="4"/>
  <c r="C2132" i="4"/>
  <c r="C1690" i="4"/>
  <c r="C2370" i="4"/>
  <c r="C2023" i="4"/>
  <c r="C6645" i="4"/>
  <c r="C866" i="4"/>
  <c r="C3100" i="4"/>
  <c r="C2486" i="4"/>
  <c r="C4459" i="4"/>
  <c r="C1953" i="4"/>
  <c r="C1489" i="4"/>
  <c r="C2225" i="4"/>
  <c r="C567" i="4"/>
  <c r="C2487" i="4"/>
  <c r="C1913" i="4"/>
  <c r="C2136" i="4"/>
  <c r="C2469" i="4"/>
  <c r="C2117" i="4"/>
  <c r="C740" i="4"/>
  <c r="C502" i="4"/>
  <c r="C3948" i="4"/>
  <c r="C1232" i="4"/>
  <c r="C5573" i="4"/>
  <c r="C3832" i="4"/>
  <c r="C4244" i="4"/>
  <c r="C3958" i="4"/>
  <c r="C4568" i="4"/>
  <c r="C3855" i="4"/>
  <c r="C2593" i="4"/>
  <c r="C627" i="4"/>
  <c r="C708" i="4"/>
  <c r="C1290" i="4"/>
  <c r="C2776" i="4"/>
  <c r="C745" i="4"/>
  <c r="C5055" i="4"/>
  <c r="C2408" i="4"/>
  <c r="C1588" i="4"/>
  <c r="C761" i="4"/>
  <c r="C3452" i="4"/>
  <c r="C3217" i="4"/>
  <c r="C1861" i="4"/>
  <c r="C2799" i="4"/>
  <c r="C26" i="4"/>
  <c r="C2025" i="4"/>
  <c r="C29" i="4"/>
  <c r="C965" i="4"/>
  <c r="C4635" i="4"/>
  <c r="C7655" i="4"/>
  <c r="C839" i="4"/>
  <c r="C1179" i="4"/>
  <c r="C149" i="4"/>
  <c r="C3097" i="4"/>
  <c r="C2308" i="4"/>
  <c r="C2422" i="4"/>
  <c r="C3348" i="4"/>
  <c r="C2851" i="4"/>
  <c r="C939" i="4"/>
  <c r="C1270" i="4"/>
  <c r="C773" i="4"/>
  <c r="C2506" i="4"/>
  <c r="C2703" i="4"/>
  <c r="C1675" i="4"/>
  <c r="C1213" i="4"/>
  <c r="C4476" i="4"/>
  <c r="C4609" i="4"/>
  <c r="C4038" i="4"/>
  <c r="C644" i="4"/>
  <c r="C32" i="4"/>
  <c r="C1426" i="4"/>
  <c r="C4077" i="4"/>
  <c r="C1873" i="4"/>
  <c r="C4868" i="4"/>
  <c r="C4253" i="4"/>
  <c r="C4843" i="4"/>
  <c r="C4365" i="4"/>
  <c r="C330" i="4"/>
  <c r="C6406" i="4"/>
  <c r="C2870" i="4"/>
  <c r="C1395" i="4"/>
  <c r="C2231" i="4"/>
  <c r="C885" i="4"/>
  <c r="C4124" i="4"/>
  <c r="C2626" i="4"/>
  <c r="C1243" i="4"/>
  <c r="C636" i="4"/>
  <c r="C890" i="4"/>
  <c r="C6701" i="4"/>
  <c r="C5575" i="4"/>
  <c r="C651" i="4"/>
  <c r="C2035" i="4"/>
  <c r="C2947" i="4"/>
  <c r="C1321" i="4"/>
  <c r="C1436" i="4"/>
  <c r="C3481" i="4"/>
  <c r="C1017" i="4"/>
  <c r="C210" i="4"/>
  <c r="C3711" i="4"/>
  <c r="C3992" i="4"/>
  <c r="C640" i="4"/>
  <c r="C3015" i="4"/>
  <c r="C469" i="4"/>
  <c r="C1286" i="4"/>
  <c r="C2522" i="4"/>
  <c r="C4026" i="4"/>
  <c r="C781" i="4"/>
  <c r="C6483" i="4"/>
  <c r="C3541" i="4"/>
  <c r="C1459" i="4"/>
  <c r="C2905" i="4"/>
  <c r="C6677" i="4"/>
  <c r="C2237" i="4"/>
  <c r="C94" i="4"/>
  <c r="C5077" i="4"/>
  <c r="C3908" i="4"/>
  <c r="C2065" i="4"/>
  <c r="C2869" i="4"/>
  <c r="C1633" i="4"/>
  <c r="C560" i="4"/>
  <c r="C1658" i="4"/>
  <c r="C2229" i="4"/>
  <c r="C7008" i="4"/>
  <c r="C1984" i="4"/>
  <c r="C2678" i="4"/>
  <c r="C1302" i="4"/>
  <c r="C4839" i="4"/>
  <c r="C2535" i="4"/>
  <c r="C3011" i="4"/>
  <c r="C2916" i="4"/>
  <c r="C2094" i="4"/>
  <c r="C5359" i="4"/>
  <c r="C5064" i="4"/>
  <c r="C4052" i="4"/>
  <c r="C4444" i="4"/>
  <c r="C2715" i="4"/>
  <c r="C6019" i="4"/>
  <c r="C3682" i="4"/>
  <c r="C2321" i="4"/>
  <c r="C2914" i="4"/>
  <c r="C844" i="4"/>
  <c r="C2824" i="4"/>
  <c r="C2383" i="4"/>
  <c r="C4121" i="4"/>
  <c r="C1601" i="4"/>
  <c r="C6192" i="4"/>
  <c r="C3863" i="4"/>
  <c r="C1322" i="4"/>
  <c r="C3300" i="4"/>
  <c r="C2989" i="4"/>
  <c r="C603" i="4"/>
  <c r="C1677" i="4"/>
  <c r="C5336" i="4"/>
  <c r="C1191" i="4"/>
  <c r="C4156" i="4"/>
  <c r="C1269" i="4"/>
  <c r="C3078" i="4"/>
  <c r="C477" i="4"/>
  <c r="C2798" i="4"/>
  <c r="C447" i="4"/>
  <c r="C1399" i="4"/>
  <c r="C2663" i="4"/>
  <c r="C2153" i="4"/>
  <c r="C2033" i="4"/>
  <c r="C3408" i="4"/>
  <c r="C2841" i="4"/>
  <c r="C3752" i="4"/>
  <c r="C576" i="4"/>
  <c r="C1638" i="4"/>
  <c r="C135" i="4"/>
  <c r="C430" i="4"/>
  <c r="C3017" i="4"/>
  <c r="C6642" i="4"/>
  <c r="C794" i="4"/>
  <c r="C1187" i="4"/>
  <c r="C1583" i="4"/>
  <c r="C3746" i="4"/>
  <c r="C1147" i="4"/>
  <c r="C2846" i="4"/>
  <c r="C1626" i="4"/>
  <c r="C3640" i="4"/>
  <c r="C1174" i="4"/>
  <c r="C696" i="4"/>
  <c r="C4039" i="4"/>
  <c r="C706" i="4"/>
  <c r="C1165" i="4"/>
  <c r="C225" i="4"/>
  <c r="C1606" i="4"/>
  <c r="C3207" i="4"/>
  <c r="C4853" i="4"/>
  <c r="C30" i="4"/>
  <c r="C3621" i="4"/>
  <c r="C3142" i="4"/>
  <c r="C3860" i="4"/>
  <c r="C464" i="4"/>
  <c r="C4076" i="4"/>
  <c r="C4337" i="4"/>
  <c r="C690" i="4"/>
  <c r="C4927" i="4"/>
  <c r="C341" i="4"/>
  <c r="C2807" i="4"/>
  <c r="C1207" i="4"/>
  <c r="C4866" i="4"/>
  <c r="C4533" i="4"/>
  <c r="C7271" i="4"/>
  <c r="C1439" i="4"/>
  <c r="C4317" i="4"/>
  <c r="C548" i="4"/>
  <c r="C183" i="4"/>
  <c r="C1392" i="4"/>
  <c r="C1087" i="4"/>
  <c r="C1099" i="4"/>
  <c r="C3256" i="4"/>
  <c r="C1865" i="4"/>
  <c r="C3963" i="4"/>
  <c r="C1937" i="4"/>
  <c r="C174" i="4"/>
  <c r="C4537" i="4"/>
  <c r="C2078" i="4"/>
  <c r="C4887" i="4"/>
  <c r="C2704" i="4"/>
  <c r="C630" i="4"/>
  <c r="C142" i="4"/>
  <c r="C963" i="4"/>
  <c r="C2034" i="4"/>
  <c r="C4888" i="4"/>
  <c r="C2124" i="4"/>
  <c r="C3172" i="4"/>
  <c r="C1060" i="4"/>
  <c r="C1450" i="4"/>
  <c r="C1609" i="4"/>
  <c r="C727" i="4"/>
  <c r="C1957" i="4"/>
  <c r="C666" i="4"/>
  <c r="C136" i="4"/>
  <c r="C822" i="4"/>
  <c r="C1987" i="4"/>
  <c r="C3934" i="4"/>
  <c r="C1909" i="4"/>
  <c r="C3225" i="4"/>
  <c r="C421" i="4"/>
  <c r="C2660" i="4"/>
  <c r="C5995" i="4"/>
  <c r="C2436" i="4"/>
  <c r="C1813" i="4"/>
  <c r="C1552" i="4"/>
  <c r="C79" i="4"/>
  <c r="C1010" i="4"/>
  <c r="C2578" i="4"/>
  <c r="C2706" i="4"/>
  <c r="C2546" i="4"/>
  <c r="C3285" i="4"/>
  <c r="C320" i="4"/>
  <c r="C1285" i="4"/>
  <c r="C5377" i="4"/>
  <c r="C419" i="4"/>
  <c r="C4418" i="4"/>
  <c r="C726" i="4"/>
  <c r="C934" i="4"/>
  <c r="C3263" i="4"/>
  <c r="C2283" i="4"/>
  <c r="C2514" i="4"/>
  <c r="C1020" i="4"/>
  <c r="C23" i="4"/>
  <c r="C742" i="4"/>
  <c r="C4356" i="4"/>
  <c r="C2004" i="4"/>
  <c r="C4467" i="4"/>
  <c r="C7304" i="4"/>
  <c r="C6152" i="4"/>
  <c r="C2456" i="4"/>
  <c r="C1997" i="4"/>
  <c r="C6318" i="4"/>
  <c r="C138" i="4"/>
  <c r="C4946" i="4"/>
  <c r="C1122" i="4"/>
  <c r="C2691" i="4"/>
  <c r="C1163" i="4"/>
  <c r="C2828" i="4"/>
  <c r="C2368" i="4"/>
  <c r="C717" i="4"/>
  <c r="C2448" i="4"/>
  <c r="C1942" i="4"/>
  <c r="C6810" i="4"/>
  <c r="C5328" i="4"/>
  <c r="C35" i="4"/>
  <c r="C3181" i="4"/>
  <c r="C1476" i="4"/>
  <c r="C852" i="4"/>
  <c r="C689" i="4"/>
  <c r="C583" i="4"/>
  <c r="C2218" i="4"/>
  <c r="C4445" i="4"/>
  <c r="C6498" i="4"/>
  <c r="C111" i="4"/>
  <c r="C279" i="4"/>
  <c r="C1238" i="4"/>
  <c r="C553" i="4"/>
  <c r="C793" i="4"/>
  <c r="C3298" i="4"/>
  <c r="C139" i="4"/>
  <c r="C306" i="4"/>
  <c r="C606" i="4"/>
  <c r="C2648" i="4"/>
  <c r="C1858" i="4"/>
  <c r="C60" i="4"/>
  <c r="C892" i="4"/>
  <c r="C1462" i="4"/>
  <c r="C4951" i="4"/>
  <c r="C3628" i="4"/>
  <c r="C6973" i="4"/>
  <c r="C3463" i="4"/>
  <c r="C940" i="4"/>
  <c r="C923" i="4"/>
  <c r="C3521" i="4"/>
  <c r="C3875" i="4"/>
  <c r="C3273" i="4"/>
  <c r="C1479" i="4"/>
  <c r="C802" i="4"/>
  <c r="C973" i="4"/>
  <c r="C1811" i="4"/>
  <c r="C1641" i="4"/>
  <c r="C7483" i="4"/>
  <c r="C4386" i="4"/>
  <c r="C3522" i="4"/>
  <c r="C3121" i="4"/>
  <c r="C268" i="4"/>
  <c r="C271" i="4"/>
  <c r="C288" i="4"/>
  <c r="C5213" i="4"/>
  <c r="C5402" i="4"/>
  <c r="C1761" i="4"/>
  <c r="C2236" i="4"/>
  <c r="C723" i="4"/>
  <c r="C87" i="4"/>
  <c r="C2158" i="4"/>
  <c r="C2942" i="4"/>
  <c r="C303" i="4"/>
  <c r="C2633" i="4"/>
  <c r="C2144" i="4"/>
  <c r="C4661" i="4"/>
  <c r="C1941" i="4"/>
  <c r="C3877" i="4"/>
  <c r="C7831" i="4"/>
  <c r="C4591" i="4"/>
  <c r="C2919" i="4"/>
  <c r="C3485" i="4"/>
  <c r="C410" i="4"/>
  <c r="C954" i="4"/>
  <c r="C352" i="4"/>
  <c r="C204" i="4"/>
  <c r="C4060" i="4"/>
  <c r="C3442" i="4"/>
  <c r="C206" i="4"/>
  <c r="C495" i="4"/>
  <c r="C243" i="4"/>
  <c r="C1670" i="4"/>
  <c r="C2664" i="4"/>
  <c r="C4126" i="4"/>
  <c r="C7366" i="4"/>
  <c r="C3282" i="4"/>
  <c r="C14" i="4"/>
  <c r="C2786" i="4"/>
  <c r="C650" i="4"/>
  <c r="C3478" i="4"/>
  <c r="C2195" i="4"/>
  <c r="C1107" i="4"/>
  <c r="C3108" i="4"/>
  <c r="C751" i="4"/>
  <c r="C2449" i="4"/>
  <c r="C3861" i="4"/>
  <c r="C1819" i="4"/>
  <c r="C3788" i="4"/>
  <c r="C9375" i="4"/>
  <c r="C4093" i="4"/>
  <c r="C2419" i="4"/>
  <c r="C4115" i="4"/>
  <c r="C3523" i="4"/>
  <c r="C949" i="4"/>
  <c r="C600" i="4"/>
  <c r="C252" i="4"/>
  <c r="C1448" i="4"/>
  <c r="C1411" i="4"/>
  <c r="C2470" i="4"/>
  <c r="C122" i="4"/>
  <c r="C476" i="4"/>
  <c r="C1433" i="4"/>
  <c r="C1463" i="4"/>
  <c r="C4967" i="4"/>
  <c r="C1266" i="4"/>
  <c r="C4238" i="4"/>
  <c r="C2720" i="4"/>
  <c r="C2154" i="4"/>
  <c r="C1905" i="4"/>
  <c r="C2529" i="4"/>
  <c r="C3005" i="4"/>
  <c r="C5287" i="4"/>
  <c r="C2181" i="4"/>
  <c r="C211" i="4"/>
  <c r="C1922" i="4"/>
  <c r="C1482" i="4"/>
  <c r="C428" i="4"/>
  <c r="C1014" i="4"/>
  <c r="C6470" i="4"/>
  <c r="C2339" i="4"/>
  <c r="C587" i="4"/>
  <c r="C962" i="4"/>
  <c r="C1883" i="4"/>
  <c r="C653" i="4"/>
  <c r="C2003" i="4"/>
  <c r="C915" i="4"/>
  <c r="C400" i="4"/>
  <c r="C1520" i="4"/>
  <c r="C4677" i="4"/>
  <c r="C1245" i="4"/>
  <c r="C849" i="4"/>
  <c r="C1057" i="4"/>
  <c r="C4466" i="4"/>
  <c r="C3155" i="4"/>
  <c r="C969" i="4"/>
  <c r="C3296" i="4"/>
  <c r="C2230" i="4"/>
  <c r="C6640" i="4"/>
  <c r="C4306" i="4"/>
  <c r="C6871" i="4"/>
  <c r="C2746" i="4"/>
  <c r="C4347" i="4"/>
  <c r="C1550" i="4"/>
  <c r="C2476" i="4"/>
  <c r="C2203" i="4"/>
  <c r="C313" i="4"/>
  <c r="C1404" i="4"/>
  <c r="C290" i="4"/>
  <c r="C4302" i="4"/>
  <c r="C3252" i="4"/>
  <c r="C2206" i="4"/>
  <c r="C437" i="4"/>
  <c r="C1954" i="4"/>
  <c r="C5807" i="4"/>
  <c r="C6723" i="4"/>
  <c r="C7402" i="4"/>
  <c r="C8630" i="4"/>
  <c r="C2273" i="4"/>
  <c r="C1328" i="4"/>
  <c r="C884" i="4"/>
  <c r="C3" i="4"/>
  <c r="C3631" i="4"/>
  <c r="C1212" i="4"/>
  <c r="C1749" i="4"/>
  <c r="C1872" i="4"/>
  <c r="C1990" i="4"/>
  <c r="C2101" i="4"/>
  <c r="C1246" i="4"/>
  <c r="C1698" i="4"/>
  <c r="C1193" i="4"/>
  <c r="C2031" i="4"/>
  <c r="C1029" i="4"/>
  <c r="C936" i="4"/>
  <c r="C875" i="4"/>
  <c r="C1884" i="4"/>
  <c r="C4011" i="4"/>
  <c r="C778" i="4"/>
  <c r="C4968" i="4"/>
  <c r="C3645" i="4"/>
  <c r="C3907" i="4"/>
  <c r="C1841" i="4"/>
  <c r="C1252" i="4"/>
  <c r="C1423" i="4"/>
  <c r="C429" i="4"/>
  <c r="C3059" i="4"/>
  <c r="C178" i="4"/>
  <c r="C1779" i="4"/>
  <c r="C2742" i="4"/>
  <c r="C2598" i="4"/>
  <c r="C3033" i="4"/>
  <c r="C1070" i="4"/>
  <c r="C2937" i="4"/>
  <c r="C2712" i="4"/>
  <c r="C2987" i="4"/>
  <c r="C1821" i="4"/>
  <c r="C3264" i="4"/>
  <c r="C3898" i="4"/>
  <c r="C2114" i="4"/>
  <c r="C356" i="4"/>
  <c r="C2915" i="4"/>
  <c r="C1962" i="4"/>
  <c r="C4909" i="4"/>
  <c r="C3634" i="4"/>
  <c r="C1689" i="4"/>
  <c r="C222" i="4"/>
  <c r="C1033" i="4"/>
  <c r="C2080" i="4"/>
  <c r="C605" i="4"/>
  <c r="C1888" i="4"/>
  <c r="C2669" i="4"/>
  <c r="C2656" i="4"/>
  <c r="C6768" i="4"/>
  <c r="C1794" i="4"/>
  <c r="C6229" i="4"/>
  <c r="C2821" i="4"/>
  <c r="C6895" i="4"/>
  <c r="C1785" i="4"/>
  <c r="C6995" i="4"/>
  <c r="C747" i="4"/>
  <c r="C1596" i="4"/>
  <c r="C3220" i="4"/>
  <c r="C1607" i="4"/>
  <c r="C515" i="4"/>
  <c r="C2465" i="4"/>
  <c r="C661" i="4"/>
  <c r="C6552" i="4"/>
  <c r="C4631" i="4"/>
  <c r="C4811" i="4"/>
  <c r="C2404" i="4"/>
  <c r="C1487" i="4"/>
  <c r="C396" i="4"/>
  <c r="C81" i="4"/>
  <c r="C580" i="4"/>
  <c r="C5579" i="4"/>
  <c r="C1903" i="4"/>
  <c r="C1349" i="4"/>
  <c r="C7744" i="4"/>
  <c r="C5490" i="4"/>
  <c r="C9152" i="4"/>
  <c r="C5032" i="4"/>
  <c r="C8437" i="4"/>
  <c r="C1594" i="4"/>
  <c r="C5502" i="4"/>
  <c r="C6428" i="4"/>
  <c r="C2060" i="4"/>
  <c r="C2820" i="4"/>
  <c r="C2982" i="4"/>
  <c r="C1691" i="4"/>
  <c r="C294" i="4"/>
  <c r="C780" i="4"/>
  <c r="C3524" i="4"/>
  <c r="C6340" i="4"/>
  <c r="C3167" i="4"/>
  <c r="C3371" i="4"/>
  <c r="C6361" i="4"/>
  <c r="C10748" i="4"/>
  <c r="C1557" i="4"/>
  <c r="C246" i="4"/>
  <c r="C2589" i="4"/>
  <c r="C4178" i="4"/>
  <c r="C2761" i="4"/>
  <c r="C6527" i="4"/>
  <c r="C815" i="4"/>
  <c r="C5220" i="4"/>
  <c r="C4835" i="4"/>
  <c r="C2650" i="4"/>
  <c r="C1267" i="4"/>
  <c r="C7492" i="4"/>
  <c r="C1220" i="4"/>
  <c r="C3991" i="4"/>
  <c r="C2762" i="4"/>
  <c r="C1343" i="4"/>
  <c r="C2179" i="4"/>
  <c r="C5541" i="4"/>
  <c r="C5214" i="4"/>
  <c r="C7532" i="4"/>
  <c r="C406" i="4"/>
  <c r="C3284" i="4"/>
  <c r="C6447" i="4"/>
  <c r="C1262" i="4"/>
  <c r="C5804" i="4"/>
  <c r="C5086" i="4"/>
  <c r="C2501" i="4"/>
  <c r="C66" i="4"/>
  <c r="C43" i="4"/>
  <c r="C2730" i="4"/>
  <c r="C983" i="4"/>
  <c r="C3114" i="4"/>
  <c r="C3122" i="4"/>
  <c r="C5003" i="4"/>
  <c r="C5644" i="4"/>
  <c r="C4303" i="4"/>
  <c r="C5858" i="4"/>
  <c r="C157" i="4"/>
  <c r="C4205" i="4"/>
  <c r="C926" i="4"/>
  <c r="C6379" i="4"/>
  <c r="C4792" i="4"/>
  <c r="C1587" i="4"/>
  <c r="C281" i="4"/>
  <c r="C2654" i="4"/>
  <c r="C2265" i="4"/>
  <c r="C620" i="4"/>
  <c r="C486" i="4"/>
  <c r="C2517" i="4"/>
  <c r="C624" i="4"/>
  <c r="C5314" i="4"/>
  <c r="C1713" i="4"/>
  <c r="C3279" i="4"/>
  <c r="C3333" i="4"/>
  <c r="C4949" i="4"/>
  <c r="C5505" i="4"/>
  <c r="C5446" i="4"/>
  <c r="C148" i="4"/>
  <c r="C75" i="4"/>
  <c r="C1176" i="4"/>
  <c r="C571" i="4"/>
  <c r="C3365" i="4"/>
  <c r="C1570" i="4"/>
  <c r="C589" i="4"/>
  <c r="C739" i="4"/>
  <c r="C387" i="4"/>
  <c r="C2791" i="4"/>
  <c r="C4406" i="4"/>
  <c r="C1930" i="4"/>
  <c r="C3902" i="4"/>
  <c r="C2644" i="4"/>
  <c r="C5039" i="4"/>
  <c r="C1564" i="4"/>
  <c r="C830" i="4"/>
  <c r="C2298" i="4"/>
  <c r="C2427" i="4"/>
  <c r="C3287" i="4"/>
  <c r="C6425" i="4"/>
  <c r="C1248" i="4"/>
  <c r="C1657" i="4"/>
  <c r="C4296" i="4"/>
  <c r="C4277" i="4"/>
  <c r="C3036" i="4"/>
  <c r="C1572" i="4"/>
  <c r="C5840" i="4"/>
  <c r="C3940" i="4"/>
  <c r="C2461" i="4"/>
  <c r="C3034" i="4"/>
  <c r="C1065" i="4"/>
  <c r="C3532" i="4"/>
  <c r="C6704" i="4"/>
  <c r="C1559" i="4"/>
  <c r="C5548" i="4"/>
  <c r="C3391" i="4"/>
  <c r="C3446" i="4"/>
  <c r="C6892" i="4"/>
  <c r="C2385" i="4"/>
  <c r="C5215" i="4"/>
  <c r="C9137" i="4"/>
  <c r="C4320" i="4"/>
  <c r="C1724" i="4"/>
  <c r="C1996" i="4"/>
  <c r="C8218" i="4"/>
  <c r="C3302" i="4"/>
  <c r="C5601" i="4"/>
  <c r="C5184" i="4"/>
  <c r="C2305" i="4"/>
  <c r="C2523" i="4"/>
  <c r="C6692" i="4"/>
  <c r="C3839" i="4"/>
  <c r="C5282" i="4"/>
  <c r="C5244" i="4"/>
  <c r="C3447" i="4"/>
  <c r="C7906" i="4"/>
  <c r="C5854" i="4"/>
  <c r="C3744" i="4"/>
  <c r="C1394" i="4"/>
  <c r="C9055" i="4"/>
  <c r="C5325" i="4"/>
  <c r="C7446" i="4"/>
  <c r="C1915" i="4"/>
  <c r="C5436" i="4"/>
  <c r="C4300" i="4"/>
  <c r="C383" i="4"/>
  <c r="C533" i="4"/>
  <c r="C4387" i="4"/>
  <c r="C2194" i="4"/>
  <c r="C6303" i="4"/>
  <c r="C4506" i="4"/>
  <c r="C4982" i="4"/>
  <c r="C1840" i="4"/>
  <c r="C1484" i="4"/>
  <c r="C3150" i="4"/>
  <c r="C3819" i="4"/>
  <c r="C4750" i="4"/>
  <c r="C4214" i="4"/>
  <c r="C1863" i="4"/>
  <c r="C2234" i="4"/>
  <c r="C1804" i="4"/>
  <c r="C4770" i="4"/>
  <c r="C4551" i="4"/>
  <c r="C720" i="4"/>
  <c r="C2255" i="4"/>
  <c r="C1688" i="4"/>
  <c r="C179" i="4"/>
  <c r="C2138" i="4"/>
  <c r="C4728" i="4"/>
  <c r="C3869" i="4"/>
  <c r="C900" i="4"/>
  <c r="C89" i="4"/>
  <c r="C556" i="4"/>
  <c r="C1994" i="4"/>
  <c r="C6762" i="4"/>
  <c r="C4605" i="4"/>
  <c r="C4211" i="4"/>
  <c r="C3900" i="4"/>
  <c r="C65" i="4"/>
  <c r="C4220" i="4"/>
  <c r="C2326" i="4"/>
  <c r="C6266" i="4"/>
  <c r="C4629" i="4"/>
  <c r="C6679" i="4"/>
  <c r="C4935" i="4"/>
  <c r="C431" i="4"/>
  <c r="C131" i="4"/>
  <c r="C4540" i="4"/>
  <c r="C1446" i="4"/>
  <c r="C5774" i="4"/>
  <c r="C152" i="4"/>
  <c r="C1517" i="4"/>
  <c r="C203" i="4"/>
  <c r="C971" i="4"/>
  <c r="C37" i="4"/>
  <c r="C1947" i="4"/>
  <c r="C1379" i="4"/>
  <c r="C2226" i="4"/>
  <c r="C4117" i="4"/>
  <c r="C801" i="4"/>
  <c r="C795" i="4"/>
  <c r="C273" i="4"/>
  <c r="C659" i="4"/>
  <c r="C1547" i="4"/>
  <c r="C1131" i="4"/>
  <c r="C175" i="4"/>
  <c r="C2967" i="4"/>
  <c r="C2188" i="4"/>
  <c r="C3229" i="4"/>
  <c r="C3687" i="4"/>
  <c r="C27" i="4"/>
  <c r="C1372" i="4"/>
  <c r="C2590" i="4"/>
  <c r="C53" i="4"/>
  <c r="C1758" i="4"/>
  <c r="C298" i="4"/>
  <c r="C155" i="4"/>
  <c r="C2067" i="4"/>
  <c r="C2306" i="4"/>
  <c r="C1295" i="4"/>
  <c r="C5453" i="4"/>
  <c r="C3404" i="4"/>
  <c r="C818" i="4"/>
  <c r="C2161" i="4"/>
  <c r="C5581" i="4"/>
  <c r="C1936" i="4"/>
  <c r="C337" i="4"/>
  <c r="C315" i="4"/>
  <c r="C3996" i="4"/>
  <c r="C2912" i="4"/>
  <c r="C4067" i="4"/>
  <c r="C933" i="4"/>
  <c r="C5114" i="4"/>
  <c r="C1097" i="4"/>
  <c r="C385" i="4"/>
  <c r="C3227" i="4"/>
  <c r="C1418" i="4"/>
  <c r="C63" i="4"/>
  <c r="C779" i="4"/>
  <c r="C342" i="4"/>
  <c r="C1830" i="4"/>
  <c r="C1599" i="4"/>
  <c r="C1521" i="4"/>
  <c r="C1007" i="4"/>
  <c r="C3581" i="4"/>
  <c r="C1835" i="4"/>
  <c r="C459" i="4"/>
  <c r="C4278" i="4"/>
  <c r="C6675" i="4"/>
  <c r="C3046" i="4"/>
  <c r="C1363" i="4"/>
  <c r="C5222" i="4"/>
  <c r="C6002" i="4"/>
  <c r="C471" i="4"/>
  <c r="C216" i="4"/>
  <c r="C2380" i="4"/>
  <c r="C2400" i="4"/>
  <c r="C3853" i="4"/>
  <c r="C1053" i="4"/>
  <c r="C979" i="4"/>
  <c r="C1205" i="4"/>
  <c r="C735" i="4"/>
  <c r="C1622" i="4"/>
  <c r="C445" i="4"/>
  <c r="C217" i="4"/>
  <c r="C344" i="4"/>
  <c r="C1566" i="4"/>
  <c r="C506" i="4"/>
  <c r="C1986" i="4"/>
  <c r="C338" i="4"/>
  <c r="C1722" i="4"/>
  <c r="C1196" i="4"/>
  <c r="C6279" i="4"/>
  <c r="C1944" i="4"/>
  <c r="C2019" i="4"/>
  <c r="C1071" i="4"/>
  <c r="C3911" i="4"/>
  <c r="C4559" i="4"/>
  <c r="C3281" i="4"/>
  <c r="C255" i="4"/>
  <c r="C2844" i="4"/>
  <c r="C8435" i="4"/>
  <c r="C145" i="4"/>
  <c r="C260" i="4"/>
  <c r="C3786" i="4"/>
  <c r="C1828" i="4"/>
  <c r="C2322" i="4"/>
  <c r="C497" i="4"/>
  <c r="C3343" i="4"/>
  <c r="C615" i="4"/>
  <c r="C1518" i="4"/>
  <c r="C743" i="4"/>
  <c r="C2374" i="4"/>
  <c r="C1079" i="4"/>
  <c r="C3515" i="4"/>
  <c r="C3216" i="4"/>
  <c r="C5546" i="4"/>
  <c r="C1534" i="4"/>
  <c r="C1727" i="4"/>
  <c r="C2490" i="4"/>
  <c r="C3106" i="4"/>
  <c r="C4920" i="4"/>
  <c r="C2405" i="4"/>
  <c r="C5530" i="4"/>
  <c r="C7263" i="4"/>
  <c r="C4665" i="4"/>
  <c r="C2850" i="4"/>
  <c r="C365" i="4"/>
  <c r="C1050" i="4"/>
  <c r="C2616" i="4"/>
  <c r="C4230" i="4"/>
  <c r="C2349" i="4"/>
  <c r="C838" i="4"/>
  <c r="C1478" i="4"/>
  <c r="C1971" i="4"/>
  <c r="C2682" i="4"/>
  <c r="C3175" i="4"/>
  <c r="C3663" i="4"/>
  <c r="C1139" i="4"/>
  <c r="C1666" i="4"/>
  <c r="C938" i="4"/>
  <c r="C989" i="4"/>
  <c r="C1733" i="4"/>
  <c r="C5908" i="4"/>
  <c r="C7198" i="4"/>
  <c r="C6792" i="4"/>
  <c r="C1301" i="4"/>
  <c r="C4479" i="4"/>
  <c r="C3115" i="4"/>
  <c r="C13" i="4"/>
  <c r="C657" i="4"/>
  <c r="C3250" i="4"/>
  <c r="C2150" i="4"/>
  <c r="C4194" i="4"/>
  <c r="C2813" i="4"/>
  <c r="C70" i="4"/>
  <c r="C2148" i="4"/>
  <c r="C3026" i="4"/>
  <c r="C2835" i="4"/>
  <c r="C7630" i="4"/>
  <c r="C9351" i="4"/>
  <c r="C1725" i="4"/>
  <c r="C944" i="4"/>
  <c r="C3351" i="4"/>
  <c r="C601" i="4"/>
  <c r="C700" i="4"/>
  <c r="C2083" i="4"/>
  <c r="C6429" i="4"/>
  <c r="C4268" i="4"/>
  <c r="C3096" i="4"/>
  <c r="C3771" i="4"/>
  <c r="C3475" i="4"/>
  <c r="C4681" i="4"/>
  <c r="C5429" i="4"/>
  <c r="C5245" i="4"/>
  <c r="C895" i="4"/>
  <c r="C5895" i="4"/>
  <c r="C241" i="4"/>
  <c r="C5365" i="4"/>
  <c r="C1080" i="4"/>
  <c r="C4759" i="4"/>
  <c r="C3883" i="4"/>
  <c r="C4653" i="4"/>
  <c r="C2661" i="4"/>
  <c r="C2979" i="4"/>
  <c r="C910" i="4"/>
  <c r="C5173" i="4"/>
  <c r="C5276" i="4"/>
  <c r="C214" i="4"/>
  <c r="C3878" i="4"/>
  <c r="C4719" i="4"/>
  <c r="C951" i="4"/>
  <c r="C3514" i="4"/>
  <c r="C3112" i="4"/>
  <c r="C307" i="4"/>
  <c r="C1721" i="4"/>
  <c r="C3957" i="4"/>
  <c r="C4234" i="4"/>
  <c r="C2070" i="4"/>
  <c r="C2645" i="4"/>
  <c r="C3547" i="4"/>
  <c r="C1409" i="4"/>
  <c r="C5447" i="4"/>
  <c r="C1697" i="4"/>
  <c r="C3020" i="4"/>
  <c r="C12" i="4"/>
  <c r="C4398" i="4"/>
  <c r="C2566" i="4"/>
  <c r="C270" i="4"/>
  <c r="C4212" i="4"/>
  <c r="C678" i="4"/>
  <c r="C2637" i="4"/>
  <c r="C4419" i="4"/>
  <c r="C3692" i="4"/>
  <c r="C5596" i="4"/>
  <c r="C2174" i="4"/>
  <c r="C2240" i="4"/>
  <c r="C5859" i="4"/>
  <c r="C6556" i="4"/>
  <c r="C1920" i="4"/>
  <c r="C1098" i="4"/>
  <c r="C1072" i="4"/>
  <c r="C614" i="4"/>
  <c r="C3103" i="4"/>
  <c r="C899" i="4"/>
  <c r="C7293" i="4"/>
  <c r="C3899" i="4"/>
  <c r="C3235" i="4"/>
  <c r="C5194" i="4"/>
  <c r="C3067" i="4"/>
  <c r="C1456" i="4"/>
  <c r="C91" i="4"/>
  <c r="C1569" i="4"/>
  <c r="C2687" i="4"/>
  <c r="C4275" i="4"/>
  <c r="C4128" i="4"/>
  <c r="C2387" i="4"/>
  <c r="C392" i="4"/>
  <c r="C622" i="4"/>
  <c r="C6342" i="4"/>
  <c r="C7434" i="4"/>
  <c r="C5543" i="4"/>
  <c r="C6710" i="4"/>
  <c r="C187" i="4"/>
  <c r="C572" i="4"/>
  <c r="C2818" i="4"/>
  <c r="C3187" i="4"/>
  <c r="C3527" i="4"/>
  <c r="C2540" i="4"/>
  <c r="C582" i="4"/>
  <c r="C335" i="4"/>
  <c r="C40" i="4"/>
  <c r="C1654" i="4"/>
  <c r="C93" i="4"/>
  <c r="C446" i="4"/>
  <c r="C3147" i="4"/>
  <c r="C2022" i="4"/>
  <c r="C1047" i="4"/>
  <c r="C2876" i="4"/>
  <c r="C637" i="4"/>
  <c r="C4700" i="4"/>
  <c r="C1443" i="4"/>
  <c r="C2539" i="4"/>
  <c r="C1653" i="4"/>
  <c r="C253" i="4"/>
  <c r="C2911" i="4"/>
  <c r="C4930" i="4"/>
  <c r="C3497" i="4"/>
  <c r="C8192" i="4"/>
  <c r="C1164" i="4"/>
  <c r="C180" i="4"/>
  <c r="C4083" i="4"/>
  <c r="C4986" i="4"/>
  <c r="C1054" i="4"/>
  <c r="C1823" i="4"/>
  <c r="C3425" i="4"/>
  <c r="C304" i="4"/>
  <c r="C3315" i="4"/>
  <c r="C7153" i="4"/>
  <c r="C7753" i="4"/>
  <c r="C3153" i="4"/>
  <c r="C3713" i="4"/>
  <c r="C5944" i="4"/>
  <c r="C1686" i="4"/>
  <c r="C4112" i="4"/>
  <c r="C1018" i="4"/>
  <c r="C1871" i="4"/>
  <c r="C4382" i="4"/>
  <c r="C4146" i="4"/>
  <c r="C2103" i="4"/>
  <c r="C5457" i="4"/>
  <c r="C5413" i="4"/>
  <c r="C4460" i="4"/>
  <c r="C1665" i="4"/>
  <c r="C2607" i="4"/>
  <c r="C5349" i="4"/>
  <c r="C1789" i="4"/>
  <c r="C2044" i="4"/>
  <c r="C3560" i="4"/>
  <c r="C4458" i="4"/>
  <c r="C1045" i="4"/>
  <c r="C1257" i="4"/>
  <c r="C2772" i="4"/>
  <c r="C3859" i="4"/>
  <c r="C2575" i="4"/>
  <c r="C905" i="4"/>
  <c r="C468" i="4"/>
  <c r="C2992" i="4"/>
  <c r="C2724" i="4"/>
  <c r="C711" i="4"/>
  <c r="C2284" i="4"/>
  <c r="C649" i="4"/>
  <c r="C439" i="4"/>
  <c r="C310" i="4"/>
  <c r="C3688" i="4"/>
  <c r="C2183" i="4"/>
  <c r="C5946" i="4"/>
  <c r="C952" i="4"/>
  <c r="C3765" i="4"/>
  <c r="C2958" i="4"/>
  <c r="C1039" i="4"/>
  <c r="C2977" i="4"/>
  <c r="C1846" i="4"/>
  <c r="C2198" i="4"/>
  <c r="C5179" i="4"/>
  <c r="C2690" i="4"/>
  <c r="C3626" i="4"/>
  <c r="C247" i="4"/>
  <c r="C500" i="4"/>
  <c r="C610" i="4"/>
  <c r="C683" i="4"/>
  <c r="C280" i="4"/>
  <c r="C2289" i="4"/>
  <c r="C5528" i="4"/>
  <c r="C9530" i="4"/>
  <c r="C6427" i="4"/>
  <c r="C1702" i="4"/>
  <c r="C5806" i="4"/>
  <c r="C686" i="4"/>
  <c r="C72" i="4"/>
  <c r="C1377" i="4"/>
  <c r="C2475" i="4"/>
  <c r="C229" i="4"/>
  <c r="C5172" i="4"/>
  <c r="C2467" i="4"/>
  <c r="C4042" i="4"/>
  <c r="C4496" i="4"/>
  <c r="C8802" i="4"/>
  <c r="C120" i="4"/>
  <c r="C1421" i="4"/>
  <c r="C1565" i="4"/>
  <c r="C5582" i="4"/>
  <c r="C1410" i="4"/>
  <c r="C3149" i="4"/>
  <c r="C215" i="4"/>
  <c r="C3874" i="4"/>
  <c r="C2620" i="4"/>
  <c r="C1539" i="4"/>
  <c r="C3402" i="4"/>
  <c r="C319" i="4"/>
  <c r="C684" i="4"/>
  <c r="C2737" i="4"/>
  <c r="C2941" i="4"/>
  <c r="C6845" i="4"/>
  <c r="C1341" i="4"/>
  <c r="C4144" i="4"/>
  <c r="C470" i="4"/>
  <c r="C3032" i="4"/>
  <c r="C856" i="4"/>
  <c r="C1172" i="4"/>
  <c r="C562" i="4"/>
  <c r="C2205" i="4"/>
  <c r="C776" i="4"/>
  <c r="C2778" i="4"/>
  <c r="C3980" i="4"/>
  <c r="C2293" i="4"/>
  <c r="C1074" i="4"/>
  <c r="C4485" i="4"/>
  <c r="C2887" i="4"/>
  <c r="C4000" i="4"/>
  <c r="C2521" i="4"/>
  <c r="C3606" i="4"/>
  <c r="C2758" i="4"/>
  <c r="C3060" i="4"/>
  <c r="C5816" i="4"/>
  <c r="C1258" i="4"/>
  <c r="C1542" i="4"/>
  <c r="C2906" i="4"/>
  <c r="C1032" i="4"/>
  <c r="C1142" i="4"/>
  <c r="C7171" i="4"/>
  <c r="C2099" i="4"/>
  <c r="C836" i="4"/>
  <c r="C4433" i="4"/>
  <c r="C1494" i="4"/>
  <c r="C920" i="4"/>
  <c r="C2093" i="4"/>
  <c r="C2596" i="4"/>
  <c r="C3454" i="4"/>
  <c r="C159" i="4"/>
  <c r="C1799" i="4"/>
  <c r="C1178" i="4"/>
  <c r="C1185" i="4"/>
  <c r="C957" i="4"/>
  <c r="C467" i="4"/>
  <c r="C481" i="4"/>
  <c r="C881" i="4"/>
  <c r="C1667" i="4"/>
  <c r="C2494" i="4"/>
  <c r="C3933" i="4"/>
  <c r="C1437" i="4"/>
  <c r="C1715" i="4"/>
  <c r="C1842" i="4"/>
  <c r="C3118" i="4"/>
  <c r="C3790" i="4"/>
  <c r="C2954" i="4"/>
  <c r="C996" i="4"/>
  <c r="C2922" i="4"/>
  <c r="C5176" i="4"/>
  <c r="C6056" i="4"/>
  <c r="C8244" i="4"/>
  <c r="C3742" i="4"/>
  <c r="C1961" i="4"/>
  <c r="C551" i="4"/>
  <c r="C2076" i="4"/>
  <c r="C2364" i="4"/>
  <c r="C2602" i="4"/>
  <c r="C4538" i="4"/>
  <c r="C4607" i="4"/>
  <c r="C1390" i="4"/>
  <c r="C5495" i="4"/>
  <c r="C5379" i="4"/>
  <c r="C3086" i="4"/>
  <c r="C3625" i="4"/>
  <c r="C2727" i="4"/>
  <c r="C4779" i="4"/>
  <c r="C251" i="4"/>
  <c r="C625" i="4"/>
  <c r="C4173" i="4"/>
  <c r="C906" i="4"/>
  <c r="C1491" i="4"/>
  <c r="C2583" i="4"/>
  <c r="C1403" i="4"/>
  <c r="C1681" i="4"/>
  <c r="C6125" i="4"/>
  <c r="C5224" i="4"/>
  <c r="C2168" i="4"/>
  <c r="C1461" i="4"/>
  <c r="C239" i="4"/>
  <c r="C6977" i="4"/>
  <c r="C2806" i="4"/>
  <c r="C4969" i="4"/>
  <c r="C382" i="4"/>
  <c r="C2180" i="4"/>
  <c r="C716" i="4"/>
  <c r="C2862" i="4"/>
  <c r="C1008" i="4"/>
  <c r="C3131" i="4"/>
  <c r="C4" i="4"/>
  <c r="C904" i="4"/>
  <c r="C2860" i="4"/>
  <c r="C2131" i="4"/>
  <c r="C7294" i="4"/>
  <c r="C4390" i="4"/>
  <c r="C2127" i="4"/>
  <c r="C6392" i="4"/>
  <c r="C546" i="4"/>
  <c r="C1061" i="4"/>
  <c r="C4500" i="4"/>
  <c r="C465" i="4"/>
  <c r="C1555" i="4"/>
  <c r="C1128" i="4"/>
  <c r="C261" i="4"/>
  <c r="C4498" i="4"/>
  <c r="C3484" i="4"/>
  <c r="C5383" i="4"/>
  <c r="C807" i="4"/>
  <c r="C3462" i="4"/>
  <c r="C3529" i="4"/>
  <c r="C498" i="4"/>
  <c r="C1360" i="4"/>
  <c r="C15" i="4"/>
  <c r="C2611" i="4"/>
  <c r="C2214" i="4"/>
  <c r="C114" i="4"/>
  <c r="C456" i="4"/>
  <c r="C1669" i="4"/>
  <c r="C1874" i="4"/>
  <c r="C541" i="4"/>
  <c r="C565" i="4"/>
  <c r="C2524" i="4"/>
  <c r="C1217" i="4"/>
  <c r="C3801" i="4"/>
  <c r="C1383" i="4"/>
  <c r="C1678" i="4"/>
  <c r="C2493" i="4"/>
  <c r="C1483" i="4"/>
  <c r="C1206" i="4"/>
  <c r="C2221" i="4"/>
  <c r="C4409" i="4"/>
  <c r="C4196" i="4"/>
  <c r="C98" i="4"/>
  <c r="C6655" i="4"/>
  <c r="C1780" i="4"/>
  <c r="C2068" i="4"/>
  <c r="C105" i="4"/>
  <c r="C591" i="4"/>
  <c r="C4130" i="4"/>
  <c r="C2014" i="4"/>
  <c r="C2530" i="4"/>
  <c r="C1621" i="4"/>
  <c r="C2936" i="4"/>
  <c r="C300" i="4"/>
  <c r="C1574" i="4"/>
  <c r="C2299" i="4"/>
  <c r="C265" i="4"/>
  <c r="C2382" i="4"/>
  <c r="C2196" i="4"/>
  <c r="C5249" i="4"/>
  <c r="C691" i="4"/>
  <c r="C786" i="4"/>
  <c r="C5236" i="4"/>
  <c r="C4570" i="4"/>
  <c r="C1897" i="4"/>
  <c r="C1629" i="4"/>
  <c r="C359" i="4"/>
  <c r="C964" i="4"/>
  <c r="C4426" i="4"/>
  <c r="C1370" i="4"/>
  <c r="C1240" i="4"/>
  <c r="C2471" i="4"/>
  <c r="C1514" i="4"/>
  <c r="C1679" i="4"/>
  <c r="C4891" i="4"/>
  <c r="C1385" i="4"/>
  <c r="C1089" i="4"/>
  <c r="C564" i="4"/>
  <c r="C2763" i="4"/>
  <c r="C3209" i="4"/>
  <c r="C1279" i="4"/>
  <c r="C1184" i="4"/>
  <c r="C1480" i="4"/>
  <c r="C3550" i="4"/>
  <c r="C4405" i="4"/>
  <c r="C3747" i="4"/>
  <c r="C1186" i="4"/>
  <c r="C2395" i="4"/>
  <c r="C868" i="4"/>
  <c r="C769" i="4"/>
  <c r="C4907" i="4"/>
  <c r="C2472" i="4"/>
  <c r="C3003" i="4"/>
  <c r="C931" i="4"/>
  <c r="C143" i="4"/>
  <c r="C1366" i="4"/>
  <c r="C889" i="4"/>
  <c r="C2538" i="4"/>
  <c r="C9872" i="4"/>
  <c r="C7456" i="4"/>
  <c r="C1763" i="4"/>
  <c r="C3386" i="4"/>
  <c r="C3077" i="4"/>
  <c r="C3130" i="4"/>
  <c r="C994" i="4"/>
  <c r="C1335" i="4"/>
  <c r="C1925" i="4"/>
  <c r="C240" i="4"/>
  <c r="C2417" i="4"/>
  <c r="C99" i="4"/>
  <c r="C2262" i="4"/>
  <c r="C970" i="4"/>
  <c r="C798" i="4"/>
  <c r="C860" i="4"/>
  <c r="C4308" i="4"/>
  <c r="C1042" i="4"/>
  <c r="C1687" i="4"/>
  <c r="C865" i="4"/>
  <c r="C924" i="4"/>
  <c r="C197" i="4"/>
  <c r="C5851" i="4"/>
  <c r="C1318" i="4"/>
  <c r="C1537" i="4"/>
  <c r="C3104" i="4"/>
  <c r="C1154" i="4"/>
  <c r="C3458" i="4"/>
  <c r="C3055" i="4"/>
  <c r="C1048" i="4"/>
  <c r="C1832" i="4"/>
  <c r="C3828" i="4"/>
  <c r="C6020" i="4"/>
  <c r="C2782" i="4"/>
  <c r="C5494" i="4"/>
  <c r="C1378" i="4"/>
  <c r="C4795" i="4"/>
  <c r="C1222" i="4"/>
  <c r="C796" i="4"/>
  <c r="C8" i="4"/>
  <c r="C2258" i="4"/>
  <c r="C1798" i="4"/>
  <c r="C248" i="4"/>
  <c r="C2481" i="4"/>
  <c r="C1504" i="4"/>
  <c r="C282" i="4"/>
  <c r="C1595" i="4"/>
  <c r="C1365" i="4"/>
  <c r="C1605" i="4"/>
  <c r="C876" i="4"/>
  <c r="C3239" i="4"/>
  <c r="C444" i="4"/>
  <c r="C593" i="4"/>
  <c r="C7812" i="4"/>
  <c r="C3163" i="4"/>
  <c r="C1030" i="4"/>
  <c r="C1427" i="4"/>
  <c r="C1260" i="4"/>
  <c r="C1807" i="4"/>
  <c r="C1350" i="4"/>
  <c r="C1441" i="4"/>
  <c r="C3292" i="4"/>
  <c r="C5598" i="4"/>
  <c r="C5538" i="4"/>
  <c r="C2377" i="4"/>
  <c r="C1877" i="4"/>
  <c r="C379" i="4"/>
  <c r="C1495" i="4"/>
  <c r="C266" i="4"/>
  <c r="C535" i="4"/>
  <c r="C6520" i="4"/>
  <c r="C3212" i="4"/>
  <c r="C652" i="4"/>
  <c r="C1058" i="4"/>
  <c r="C399" i="4"/>
  <c r="C3407" i="4"/>
  <c r="C2152" i="4"/>
  <c r="C2902" i="4"/>
  <c r="C2722" i="4"/>
  <c r="C1769" i="4"/>
  <c r="C5479" i="4"/>
  <c r="C7030" i="4"/>
  <c r="C879" i="4"/>
  <c r="C1792" i="4"/>
  <c r="C5836" i="4"/>
  <c r="C5865" i="4"/>
  <c r="C1613" i="4"/>
  <c r="C2401" i="4"/>
  <c r="C5358" i="4"/>
  <c r="C914" i="4"/>
  <c r="C999" i="4"/>
  <c r="C3288" i="4"/>
  <c r="C3053" i="4"/>
  <c r="C3722" i="4"/>
  <c r="C1344" i="4"/>
  <c r="C4285" i="4"/>
  <c r="C5341" i="4"/>
  <c r="C4844" i="4"/>
  <c r="C4743" i="4"/>
  <c r="C6502" i="4"/>
  <c r="C2674" i="4"/>
  <c r="C2354" i="4"/>
  <c r="C2116" i="4"/>
  <c r="C3432" i="4"/>
  <c r="C759" i="4"/>
  <c r="C5171" i="4"/>
  <c r="C3493" i="4"/>
  <c r="C3080" i="4"/>
  <c r="C3248" i="4"/>
  <c r="C2219" i="4"/>
  <c r="C5197" i="4"/>
  <c r="C3618" i="4"/>
  <c r="C5230" i="4"/>
  <c r="C3555" i="4"/>
  <c r="C5498" i="4"/>
  <c r="C22" i="4"/>
  <c r="C2755" i="4"/>
  <c r="C4713" i="4"/>
  <c r="C4913" i="4"/>
  <c r="C5454" i="4"/>
  <c r="C186" i="4"/>
  <c r="C688" i="4"/>
  <c r="C127" i="4"/>
  <c r="C1455" i="4"/>
  <c r="C5892" i="4"/>
  <c r="C1610" i="4"/>
  <c r="C980" i="4"/>
  <c r="C6935" i="4"/>
  <c r="C2639" i="4"/>
  <c r="C5348" i="4"/>
  <c r="C1460" i="4"/>
  <c r="C9032" i="4"/>
  <c r="C590" i="4"/>
  <c r="C4150" i="4"/>
  <c r="C1129" i="4"/>
  <c r="C5203" i="4"/>
  <c r="C2018" i="4"/>
  <c r="C454" i="4"/>
  <c r="C4910" i="4"/>
  <c r="C766" i="4"/>
  <c r="C2333" i="4"/>
  <c r="C4592" i="4"/>
  <c r="C245" i="4"/>
  <c r="C909" i="4"/>
  <c r="C505" i="4"/>
  <c r="C663" i="4"/>
  <c r="C426" i="4"/>
  <c r="C2451" i="4"/>
  <c r="C1076" i="4"/>
  <c r="C4673" i="4"/>
  <c r="C2959" i="4"/>
  <c r="C3775" i="4"/>
  <c r="C200" i="4"/>
  <c r="C5026" i="4"/>
  <c r="C5972" i="4"/>
  <c r="C1674" i="4"/>
  <c r="C44" i="4"/>
  <c r="C110" i="4"/>
  <c r="C3942" i="4"/>
  <c r="C1485" i="4"/>
  <c r="C3089" i="4"/>
  <c r="C6240" i="4"/>
  <c r="C5433" i="4"/>
  <c r="C8402" i="4"/>
  <c r="C1475" i="4"/>
  <c r="C455" i="4"/>
  <c r="C2079" i="4"/>
  <c r="C3002" i="4"/>
  <c r="C2649" i="4"/>
  <c r="C897" i="4"/>
  <c r="C1396" i="4"/>
  <c r="C2241" i="4"/>
  <c r="C100" i="4"/>
  <c r="C5893" i="4"/>
  <c r="C1812" i="4"/>
  <c r="C680" i="4"/>
  <c r="C3844" i="4"/>
  <c r="C41" i="4"/>
  <c r="C3236" i="4"/>
  <c r="C3637" i="4"/>
  <c r="C2873" i="4"/>
  <c r="C9904" i="4"/>
  <c r="C2899" i="4"/>
  <c r="C182" i="4"/>
  <c r="C235" i="4"/>
  <c r="C2904" i="4"/>
  <c r="C5160" i="4"/>
  <c r="C1886" i="4"/>
  <c r="C4936" i="4"/>
  <c r="C2107" i="4"/>
  <c r="C2694" i="4"/>
  <c r="C2903" i="4"/>
  <c r="C7403" i="4"/>
  <c r="C1093" i="4"/>
  <c r="C2054" i="4"/>
  <c r="C6579" i="4"/>
  <c r="C4900" i="4"/>
  <c r="C1025" i="4"/>
  <c r="C1593" i="4"/>
  <c r="C3470" i="4"/>
  <c r="C1714" i="4"/>
  <c r="C3987" i="4"/>
  <c r="C1824" i="4"/>
  <c r="C9168" i="4"/>
  <c r="C1319" i="4"/>
  <c r="C6172" i="4"/>
  <c r="C3943" i="4"/>
  <c r="C2398" i="4"/>
  <c r="C1939" i="4"/>
  <c r="C3189" i="4"/>
  <c r="C1642" i="4"/>
  <c r="C1970" i="4"/>
  <c r="C4851" i="4"/>
  <c r="C2378" i="4"/>
  <c r="C825" i="4"/>
  <c r="C4903" i="4"/>
  <c r="C5144" i="4"/>
  <c r="C3558" i="4"/>
  <c r="C3202" i="4"/>
  <c r="C629" i="4"/>
  <c r="C3354" i="4"/>
  <c r="C4784" i="4"/>
  <c r="C5645" i="4"/>
  <c r="C7821" i="4"/>
  <c r="C2223" i="4"/>
  <c r="C3534" i="4"/>
  <c r="C2948" i="4"/>
  <c r="C3930" i="4"/>
  <c r="C3082" i="4"/>
  <c r="C6507" i="4"/>
  <c r="C5005" i="4"/>
  <c r="C2209" i="4"/>
  <c r="C2086" i="4"/>
  <c r="C3196" i="4"/>
  <c r="C3459" i="4"/>
  <c r="C3198" i="4"/>
  <c r="C4475" i="4"/>
  <c r="C2951" i="4"/>
  <c r="C3190" i="4"/>
  <c r="C4069" i="4"/>
  <c r="C1847" i="4"/>
  <c r="C443" i="4"/>
  <c r="C3140" i="4"/>
  <c r="C918" i="4"/>
  <c r="C5511" i="4"/>
  <c r="C1337" i="4"/>
  <c r="C3384" i="4"/>
  <c r="C3718" i="4"/>
  <c r="C6337" i="4"/>
  <c r="C2075" i="4"/>
  <c r="C1899" i="4"/>
  <c r="C3845" i="4"/>
  <c r="C2890" i="4"/>
  <c r="C2810" i="4"/>
  <c r="C1069" i="4"/>
  <c r="C4644" i="4"/>
  <c r="C6300" i="4"/>
  <c r="C1814" i="4"/>
  <c r="C1543" i="4"/>
  <c r="C1138" i="4"/>
  <c r="C33" i="4"/>
  <c r="C2073" i="4"/>
  <c r="C1155" i="4"/>
  <c r="C4086" i="4"/>
  <c r="C3967" i="4"/>
  <c r="C4061" i="4"/>
  <c r="C4436" i="4"/>
  <c r="C4378" i="4"/>
  <c r="C1781" i="4"/>
  <c r="C3641" i="4"/>
  <c r="C3603" i="4"/>
  <c r="C8685" i="4"/>
  <c r="C4325" i="4"/>
  <c r="C2063" i="4"/>
  <c r="C68" i="4"/>
  <c r="C1772" i="4"/>
  <c r="C5595" i="4"/>
  <c r="C1998" i="4"/>
  <c r="C527" i="4"/>
  <c r="C6179" i="4"/>
  <c r="C2641" i="4"/>
  <c r="C2266" i="4"/>
  <c r="C1955" i="4"/>
  <c r="C1632" i="4"/>
  <c r="C1188" i="4"/>
  <c r="C1231" i="4"/>
  <c r="C861" i="4"/>
  <c r="C336" i="4"/>
  <c r="C161" i="4"/>
  <c r="C6" i="4"/>
  <c r="C2310" i="4"/>
  <c r="C353" i="4"/>
  <c r="C1432" i="4"/>
  <c r="C3846" i="4"/>
  <c r="C6494" i="4"/>
  <c r="C195" i="4"/>
  <c r="C886" i="4"/>
  <c r="C2055" i="4"/>
  <c r="C327" i="4"/>
  <c r="C1584" i="4"/>
  <c r="C269" i="4"/>
  <c r="C5977" i="4"/>
  <c r="C1918" i="4"/>
  <c r="C570" i="4"/>
  <c r="C3783" i="4"/>
  <c r="C525" i="4"/>
  <c r="C1005" i="4"/>
  <c r="C1435" i="4"/>
  <c r="C3617" i="4"/>
  <c r="C2489" i="4"/>
  <c r="C5315" i="4"/>
  <c r="C295" i="4"/>
  <c r="C1973" i="4"/>
  <c r="C1307" i="4"/>
  <c r="C176" i="4"/>
  <c r="C2190" i="4"/>
  <c r="C880" i="4"/>
  <c r="C384" i="4"/>
  <c r="C811" i="4"/>
  <c r="C409" i="4"/>
  <c r="C511" i="4"/>
  <c r="C4223" i="4"/>
  <c r="C692" i="4"/>
  <c r="C1673" i="4"/>
  <c r="C1412" i="4"/>
  <c r="C1127" i="4"/>
  <c r="C3260" i="4"/>
  <c r="C4104" i="4"/>
  <c r="C6815" i="4"/>
  <c r="C1730" i="4"/>
  <c r="C3717" i="4"/>
  <c r="C2932" i="4"/>
  <c r="C1710" i="4"/>
  <c r="C374" i="4"/>
  <c r="C2239" i="4"/>
  <c r="C808" i="4"/>
  <c r="C4509" i="4"/>
  <c r="C5636" i="4"/>
  <c r="C6684" i="4"/>
  <c r="C1019" i="4"/>
  <c r="C3375" i="4"/>
  <c r="C416" i="4"/>
  <c r="C256" i="4"/>
  <c r="C2053" i="4"/>
  <c r="C2442" i="4"/>
  <c r="C1263" i="4"/>
  <c r="C1501" i="4"/>
  <c r="C5442" i="4"/>
  <c r="C5965" i="4"/>
  <c r="C4816" i="4"/>
  <c r="C1451" i="4"/>
  <c r="C132" i="4"/>
  <c r="C1620" i="4"/>
  <c r="C1351" i="4"/>
  <c r="C1003" i="4"/>
  <c r="C2460" i="4"/>
  <c r="C422" i="4"/>
  <c r="C757" i="4"/>
  <c r="C390" i="4"/>
  <c r="C552" i="4"/>
  <c r="C4050" i="4"/>
  <c r="C124" i="4"/>
  <c r="C1477" i="4"/>
  <c r="C2966" i="4"/>
  <c r="C4023" i="4"/>
  <c r="C704" i="4"/>
  <c r="C4376" i="4"/>
  <c r="C4577" i="4"/>
  <c r="C732" i="4"/>
  <c r="C4015" i="4"/>
  <c r="C5255" i="4"/>
  <c r="C3498" i="4"/>
  <c r="C3705" i="4"/>
  <c r="C2251" i="4"/>
  <c r="C3546" i="4"/>
  <c r="C2100" i="4"/>
  <c r="C2173" i="4"/>
  <c r="C3895" i="4"/>
  <c r="C7501" i="4"/>
  <c r="C2147" i="4"/>
  <c r="C611" i="4"/>
  <c r="C975" i="4"/>
  <c r="C5987" i="4"/>
  <c r="C3269" i="4"/>
  <c r="C483" i="4"/>
  <c r="C5228" i="4"/>
  <c r="C7801" i="4"/>
  <c r="C3095" i="4"/>
  <c r="C8058" i="4"/>
  <c r="C1114" i="4"/>
  <c r="C2317" i="4"/>
  <c r="C3667" i="4"/>
  <c r="C61" i="4"/>
  <c r="C5757" i="4"/>
  <c r="C2677" i="4"/>
  <c r="C1762" i="4"/>
  <c r="C1310" i="4"/>
  <c r="C2394" i="4"/>
  <c r="C1242" i="4"/>
  <c r="C2122" i="4"/>
  <c r="C219" i="4"/>
  <c r="C2965" i="4"/>
  <c r="C3732" i="4"/>
  <c r="C3307" i="4"/>
  <c r="C7123" i="4"/>
  <c r="C1743" i="4"/>
  <c r="C8404" i="4"/>
  <c r="C833" i="4"/>
  <c r="C321" i="4"/>
  <c r="C2588" i="4"/>
  <c r="C6424" i="4"/>
  <c r="C1215" i="4"/>
  <c r="C616" i="4"/>
  <c r="C4012" i="4"/>
  <c r="C988" i="4"/>
  <c r="C928" i="4"/>
  <c r="C2146" i="4"/>
  <c r="C415" i="4"/>
  <c r="C1055" i="4"/>
  <c r="C7941" i="4"/>
  <c r="C4276" i="4"/>
  <c r="C577" i="4"/>
  <c r="C738" i="4"/>
  <c r="C366" i="4"/>
  <c r="C2042" i="4"/>
  <c r="C190" i="4"/>
  <c r="C1904" i="4"/>
  <c r="C4877" i="4"/>
  <c r="C1952" i="4"/>
  <c r="C42" i="4"/>
  <c r="C2594" i="4"/>
  <c r="C4599" i="4"/>
  <c r="C7042" i="4"/>
  <c r="C1519" i="4"/>
  <c r="C2944" i="4"/>
  <c r="C2610" i="4"/>
  <c r="C1009" i="4"/>
  <c r="C5874" i="4"/>
  <c r="C646" i="4"/>
  <c r="C478" i="4"/>
  <c r="C5076" i="4"/>
  <c r="C8723" i="4"/>
  <c r="C2140" i="4"/>
  <c r="C972" i="4"/>
  <c r="C6171" i="4"/>
  <c r="C3830" i="4"/>
  <c r="C7889" i="4"/>
  <c r="C5979" i="4"/>
  <c r="C1146" i="4"/>
  <c r="C2495" i="4"/>
  <c r="C494" i="4"/>
  <c r="C800" i="4"/>
  <c r="C2685" i="4"/>
  <c r="C3374" i="4"/>
  <c r="C3701" i="4"/>
  <c r="C4269" i="4"/>
  <c r="C602" i="4"/>
  <c r="C457" i="4"/>
  <c r="C1292" i="4"/>
  <c r="C2244" i="4"/>
  <c r="C1636" i="4"/>
  <c r="C1406" i="4"/>
  <c r="C2118" i="4"/>
  <c r="C2130" i="4"/>
  <c r="C3176" i="4"/>
  <c r="C3382" i="4"/>
  <c r="C474" i="4"/>
  <c r="C1561" i="4"/>
  <c r="C69" i="4"/>
  <c r="C227" i="4"/>
  <c r="C1085" i="4"/>
  <c r="C5654" i="4"/>
  <c r="C874" i="4"/>
  <c r="C858" i="4"/>
  <c r="C1529" i="4"/>
  <c r="C2701" i="4"/>
  <c r="C2931" i="4"/>
  <c r="C2340" i="4"/>
  <c r="C4583" i="4"/>
  <c r="C718" i="4"/>
  <c r="C2710" i="4"/>
  <c r="C52" i="4"/>
  <c r="C753" i="4"/>
  <c r="C487" i="4"/>
  <c r="C888" i="4"/>
  <c r="C1655" i="4"/>
  <c r="C1115" i="4"/>
  <c r="C1265" i="4"/>
  <c r="C1777" i="4"/>
  <c r="C5235" i="4"/>
  <c r="C2062" i="4"/>
  <c r="C1549" i="4"/>
  <c r="C88" i="4"/>
  <c r="C4832" i="4"/>
  <c r="C7287" i="4"/>
  <c r="C2362" i="4"/>
  <c r="C2586" i="4"/>
  <c r="C213" i="4"/>
  <c r="C5121" i="4"/>
  <c r="C6284" i="4"/>
  <c r="C5861" i="4"/>
  <c r="C4646" i="4"/>
  <c r="C1950" i="4"/>
  <c r="C4938" i="4"/>
  <c r="C150" i="4"/>
  <c r="C812" i="4"/>
  <c r="C532" i="4"/>
  <c r="C7342" i="4"/>
  <c r="C575" i="4"/>
  <c r="C1469" i="4"/>
  <c r="C2425" i="4"/>
  <c r="C212" i="4"/>
  <c r="C3390" i="4"/>
  <c r="C2794" i="4"/>
  <c r="C2500" i="4"/>
  <c r="C2564" i="4"/>
  <c r="C2801" i="4"/>
  <c r="C2061" i="4"/>
  <c r="C4336" i="4"/>
  <c r="C986" i="4"/>
  <c r="C4168" i="4"/>
  <c r="C4392" i="4"/>
  <c r="C2837" i="4"/>
  <c r="C864" i="4"/>
  <c r="C2894" i="4"/>
  <c r="C898" i="4"/>
  <c r="C1838" i="4"/>
  <c r="C199" i="4"/>
  <c r="C520" i="4"/>
  <c r="C4316" i="4"/>
  <c r="C4181" i="4"/>
  <c r="C1985" i="4"/>
  <c r="C1635" i="4"/>
  <c r="C648" i="4"/>
  <c r="C1801" i="4"/>
  <c r="C820" i="4"/>
  <c r="C1314" i="4"/>
  <c r="C2005" i="4"/>
  <c r="C376" i="4"/>
  <c r="C2459" i="4"/>
  <c r="C3554" i="4"/>
  <c r="C1602" i="4"/>
  <c r="C1548" i="4"/>
  <c r="C2458" i="4"/>
  <c r="C3271" i="4"/>
  <c r="C1090" i="4"/>
  <c r="C2437" i="4"/>
  <c r="C370" i="4"/>
  <c r="C191" i="4"/>
  <c r="C540" i="4"/>
  <c r="C1788" i="4"/>
  <c r="C257" i="4"/>
  <c r="C2169" i="4"/>
  <c r="C1364" i="4"/>
  <c r="C1614" i="4"/>
  <c r="C857" i="4"/>
  <c r="C2238" i="4"/>
  <c r="C117" i="4"/>
  <c r="C2105" i="4"/>
  <c r="C789" i="4"/>
  <c r="C1173" i="4"/>
  <c r="C1016" i="4"/>
  <c r="C46" i="4"/>
  <c r="C2313" i="4"/>
  <c r="C3043" i="4"/>
  <c r="C3924" i="4"/>
  <c r="C1771" i="4"/>
  <c r="C4143" i="4"/>
  <c r="C2328" i="4"/>
  <c r="C3370" i="4"/>
  <c r="C3833" i="4"/>
  <c r="C6239" i="4"/>
  <c r="C1059" i="4"/>
  <c r="C492" i="4"/>
  <c r="C6643" i="4"/>
  <c r="C4483" i="4"/>
  <c r="C3894" i="4"/>
  <c r="C2999" i="4"/>
  <c r="C7468" i="4"/>
  <c r="C623" i="4"/>
  <c r="C39" i="4"/>
  <c r="C2059" i="4"/>
  <c r="C1656" i="4"/>
  <c r="C3674" i="4"/>
  <c r="C2492" i="4"/>
  <c r="C4242" i="4"/>
  <c r="C4102" i="4"/>
  <c r="C5991" i="4"/>
  <c r="C4686" i="4"/>
  <c r="C5333" i="4"/>
  <c r="C5316" i="4"/>
  <c r="C3126" i="4"/>
  <c r="C1709" i="4"/>
  <c r="C1929" i="4"/>
  <c r="C1004" i="4"/>
  <c r="C877" i="4"/>
  <c r="C1644" i="4"/>
  <c r="C2013" i="4"/>
  <c r="C3461" i="4"/>
  <c r="C2549" i="4"/>
  <c r="C4163" i="4"/>
  <c r="C1805" i="4"/>
  <c r="C4515" i="4"/>
  <c r="C4301" i="4"/>
  <c r="C2488" i="4"/>
  <c r="C3658" i="4"/>
  <c r="C5060" i="4"/>
  <c r="C3492" i="4"/>
  <c r="C2559" i="4"/>
  <c r="C3246" i="4"/>
  <c r="C2934" i="4"/>
  <c r="C1119" i="4"/>
  <c r="C1826" i="4"/>
  <c r="C1063" i="4"/>
  <c r="C3156" i="4"/>
  <c r="C985" i="4"/>
  <c r="C8063" i="4"/>
  <c r="C4241" i="4"/>
  <c r="C2282" i="4"/>
  <c r="C913" i="4"/>
  <c r="C1718" i="4"/>
  <c r="C1931" i="4"/>
  <c r="C2407" i="4"/>
  <c r="C1757" i="4"/>
  <c r="C5715" i="4"/>
  <c r="C4905" i="4"/>
  <c r="C254" i="4"/>
  <c r="C578" i="4"/>
  <c r="C2088" i="4"/>
  <c r="C230" i="4"/>
  <c r="C2652" i="4"/>
  <c r="C3694" i="4"/>
  <c r="C2165" i="4"/>
  <c r="C534" i="4"/>
  <c r="C1585" i="4"/>
  <c r="C3138" i="4"/>
  <c r="C4107" i="4"/>
  <c r="C4800" i="4"/>
  <c r="C3891" i="4"/>
  <c r="C5990" i="4"/>
  <c r="C10676" i="4"/>
  <c r="C237" i="4"/>
  <c r="C2981" i="4"/>
  <c r="C2531" i="4"/>
  <c r="C574" i="4"/>
  <c r="C154" i="4"/>
  <c r="C545" i="4"/>
  <c r="C3836" i="4"/>
  <c r="C961" i="4"/>
  <c r="C544" i="4"/>
  <c r="C2453" i="4"/>
  <c r="C3091" i="4"/>
  <c r="C1226" i="4"/>
  <c r="C4155" i="4"/>
  <c r="C1712" i="4"/>
  <c r="C3004" i="4"/>
  <c r="C5618" i="4"/>
  <c r="C8020" i="4"/>
  <c r="C4258" i="4"/>
  <c r="C1407" i="4"/>
  <c r="C2037" i="4"/>
  <c r="C3132" i="4"/>
  <c r="C1505" i="4"/>
  <c r="C1247" i="4"/>
  <c r="C607" i="4"/>
  <c r="C655" i="4"/>
  <c r="C5071" i="4"/>
  <c r="C3655" i="4"/>
  <c r="C3427" i="4"/>
  <c r="C4956" i="4"/>
  <c r="C440" i="4"/>
  <c r="C1965" i="4"/>
  <c r="C598" i="4"/>
  <c r="C493" i="4"/>
  <c r="C6925" i="4"/>
  <c r="C5690" i="4"/>
  <c r="C4543" i="4"/>
  <c r="C3275" i="4"/>
  <c r="C4248" i="4"/>
  <c r="C1661" i="4"/>
  <c r="C2780" i="4"/>
  <c r="C3366" i="4"/>
  <c r="C3922" i="4"/>
  <c r="C2768" i="4"/>
  <c r="C831" i="4"/>
  <c r="C2693" i="4"/>
  <c r="C2970" i="4"/>
  <c r="C1825" i="4"/>
  <c r="C4448" i="4"/>
  <c r="C682" i="4"/>
  <c r="C2946" i="4"/>
  <c r="C1082" i="4"/>
  <c r="C559" i="4"/>
  <c r="C277" i="4"/>
  <c r="C547" i="4"/>
  <c r="C1445" i="4"/>
  <c r="C3759" i="4"/>
  <c r="C4582" i="4"/>
  <c r="C6440" i="4"/>
  <c r="C1729" i="4"/>
  <c r="C2872" i="4"/>
  <c r="C296" i="4"/>
  <c r="C2479" i="4"/>
  <c r="C2444" i="4"/>
  <c r="C1040" i="4"/>
  <c r="C332" i="4"/>
  <c r="C267" i="4"/>
  <c r="C323" i="4"/>
  <c r="C1618" i="4"/>
  <c r="C6140" i="4"/>
  <c r="C2943" i="4"/>
  <c r="C2567" i="4"/>
  <c r="C4036" i="4"/>
  <c r="C3210" i="4"/>
  <c r="C613" i="4"/>
  <c r="C3021" i="4"/>
  <c r="C226" i="4"/>
  <c r="C2507" i="4"/>
  <c r="C2193" i="4"/>
  <c r="C1067" i="4"/>
  <c r="C1627" i="4"/>
  <c r="C5258" i="4"/>
  <c r="C2254" i="4"/>
  <c r="C4346" i="4"/>
  <c r="C5324" i="4"/>
  <c r="C647" i="4"/>
  <c r="C1239" i="4"/>
  <c r="C3986" i="4"/>
  <c r="C2796" i="4"/>
  <c r="C2295" i="4"/>
  <c r="C1592" i="4"/>
  <c r="C96" i="4"/>
  <c r="C1834" i="4"/>
  <c r="C2010" i="4"/>
  <c r="C2015" i="4"/>
  <c r="C767" i="4"/>
  <c r="C25" i="4"/>
  <c r="C3946" i="4"/>
  <c r="C5043" i="4"/>
  <c r="C1401" i="4"/>
  <c r="C790" i="4"/>
  <c r="C3000" i="4"/>
  <c r="C4495" i="4"/>
  <c r="C5639" i="4"/>
  <c r="C634" i="4"/>
  <c r="C4284" i="4"/>
  <c r="C6706" i="4"/>
  <c r="C2324" i="4"/>
  <c r="C2051" i="4"/>
  <c r="C2829" i="4"/>
  <c r="C6230" i="4"/>
  <c r="C2294" i="4"/>
  <c r="C524" i="4"/>
  <c r="C7398" i="4"/>
  <c r="C7854" i="4"/>
  <c r="C3650" i="4"/>
  <c r="C4349" i="4"/>
  <c r="C5509" i="4"/>
  <c r="C687" i="4"/>
  <c r="C504" i="4"/>
  <c r="C3146" i="4"/>
  <c r="C5143" i="4"/>
  <c r="C8928" i="4"/>
  <c r="C2011" i="4"/>
  <c r="C2651" i="4"/>
  <c r="C3380" i="4"/>
  <c r="C2274" i="4"/>
  <c r="C7790" i="4"/>
  <c r="C1948" i="4"/>
  <c r="C916" i="4"/>
  <c r="C3509" i="4"/>
  <c r="C1923" i="4"/>
  <c r="C1297" i="4"/>
  <c r="C5503" i="4"/>
  <c r="C9150" i="4"/>
  <c r="C1597" i="4"/>
  <c r="C302" i="4"/>
  <c r="C2096" i="4"/>
  <c r="C2739" i="4"/>
  <c r="C34" i="4"/>
  <c r="C2819" i="4"/>
  <c r="C4261" i="4"/>
  <c r="C2757" i="4"/>
  <c r="C2211" i="4"/>
  <c r="C5078" i="4"/>
  <c r="C4452" i="4"/>
  <c r="C4573" i="4"/>
  <c r="C97" i="4"/>
  <c r="C991" i="4"/>
  <c r="C4153" i="4"/>
  <c r="C2933" i="4"/>
  <c r="C675" i="4"/>
  <c r="C4850" i="4"/>
  <c r="C1726" i="4"/>
  <c r="C1361" i="4"/>
  <c r="C1130" i="4"/>
  <c r="C528" i="4"/>
  <c r="C1422" i="4"/>
  <c r="C3680" i="4"/>
  <c r="C5079" i="4"/>
  <c r="C1700" i="4"/>
  <c r="C3111" i="4"/>
  <c r="C3206" i="4"/>
  <c r="C3613" i="4"/>
  <c r="C5667" i="4"/>
  <c r="C5089" i="4"/>
  <c r="C5350" i="4"/>
  <c r="C4962" i="4"/>
  <c r="C5674" i="4"/>
  <c r="C6576" i="4"/>
  <c r="C3537" i="4"/>
  <c r="C4973" i="4"/>
  <c r="C6984" i="4"/>
  <c r="C6475" i="4"/>
  <c r="C7797" i="4"/>
  <c r="C3309" i="4"/>
  <c r="C3981" i="4"/>
  <c r="C5006" i="4"/>
  <c r="C4758" i="4"/>
  <c r="C3843" i="4"/>
  <c r="C3168" i="4"/>
  <c r="C2335" i="4"/>
  <c r="C4915" i="4"/>
  <c r="C6854" i="4"/>
  <c r="C6571" i="4"/>
  <c r="C4944" i="4"/>
  <c r="C7761" i="4"/>
  <c r="C7766" i="4"/>
  <c r="C2351" i="4"/>
  <c r="C2264" i="4"/>
  <c r="C4587" i="4"/>
  <c r="C4085" i="4"/>
  <c r="C8295" i="4"/>
  <c r="C3803" i="4"/>
  <c r="C3936" i="4"/>
  <c r="C9037" i="4"/>
  <c r="C4383" i="4"/>
  <c r="C4829" i="4"/>
  <c r="C5838" i="4"/>
  <c r="C8168" i="4"/>
  <c r="C9720" i="4"/>
  <c r="C5968" i="4"/>
  <c r="C4979" i="4"/>
  <c r="C4702" i="4"/>
  <c r="C5011" i="4"/>
  <c r="C7466" i="4"/>
  <c r="C5850" i="4"/>
  <c r="C3219" i="4"/>
  <c r="C2435" i="4"/>
  <c r="C3851" i="4"/>
  <c r="C2855" i="4"/>
  <c r="C1736" i="4"/>
  <c r="C3014" i="4"/>
  <c r="C2700" i="4"/>
  <c r="C2519" i="4"/>
  <c r="C5755" i="4"/>
  <c r="C5462" i="4"/>
  <c r="C7647" i="4"/>
  <c r="C2376" i="4"/>
  <c r="C8993" i="4"/>
  <c r="C3753" i="4"/>
  <c r="C4159" i="4"/>
  <c r="C2978" i="4"/>
  <c r="C2877" i="4"/>
  <c r="C4616" i="4"/>
  <c r="C3810" i="4"/>
  <c r="C2612" i="4"/>
  <c r="C4368" i="4"/>
  <c r="C5234" i="4"/>
  <c r="C7009" i="4"/>
  <c r="C1334" i="4"/>
  <c r="C1117" i="4"/>
  <c r="C2950" i="4"/>
  <c r="C3278" i="4"/>
  <c r="C5292" i="4"/>
  <c r="C6173" i="4"/>
  <c r="C1765" i="4"/>
  <c r="C3259" i="4"/>
  <c r="C1006" i="4"/>
  <c r="C1442" i="4"/>
  <c r="C2702" i="4"/>
  <c r="C6374" i="4"/>
  <c r="C8722" i="4"/>
  <c r="C287" i="4"/>
  <c r="C585" i="4"/>
  <c r="C3200" i="4"/>
  <c r="C674" i="4"/>
  <c r="C2533" i="4"/>
  <c r="C1862" i="4"/>
  <c r="C1837" i="4"/>
  <c r="C3862" i="4"/>
  <c r="C568" i="4"/>
  <c r="C4119" i="4"/>
  <c r="C4027" i="4"/>
  <c r="C3612" i="4"/>
  <c r="C5536" i="4"/>
  <c r="C4683" i="4"/>
  <c r="C6241" i="4"/>
  <c r="C1064" i="4"/>
  <c r="C1496" i="4"/>
  <c r="C775" i="4"/>
  <c r="C950" i="4"/>
  <c r="C3398" i="4"/>
  <c r="C1660" i="4"/>
  <c r="C805" i="4"/>
  <c r="C4859" i="4"/>
  <c r="C1203" i="4"/>
  <c r="C1637" i="4"/>
  <c r="C1750" i="4"/>
  <c r="C160" i="4"/>
  <c r="C2402" i="4"/>
  <c r="C1425" i="4"/>
  <c r="C2038" i="4"/>
  <c r="C5749" i="4"/>
  <c r="C4947" i="4"/>
  <c r="C3073" i="4"/>
  <c r="C3151" i="4"/>
  <c r="C4704" i="4"/>
  <c r="C763" i="4"/>
  <c r="C167" i="4"/>
  <c r="C358" i="4"/>
  <c r="C1810" i="4"/>
  <c r="C3656" i="4"/>
  <c r="C1671" i="4"/>
  <c r="C389" i="4"/>
  <c r="C24" i="4"/>
  <c r="C2587" i="4"/>
  <c r="C5702" i="4"/>
  <c r="C7531" i="4"/>
  <c r="C367" i="4"/>
  <c r="C1625" i="4"/>
  <c r="C2561" i="4"/>
  <c r="C694" i="4"/>
  <c r="C3185" i="4"/>
  <c r="C5522" i="4"/>
  <c r="C50" i="4"/>
  <c r="C2632" i="4"/>
  <c r="C2366" i="4"/>
  <c r="C2627" i="4"/>
  <c r="C2558" i="4"/>
  <c r="C1199" i="4"/>
  <c r="C3347" i="4"/>
  <c r="C638" i="4"/>
  <c r="C106" i="4"/>
  <c r="C2797" i="4"/>
  <c r="C1303" i="4"/>
  <c r="C667" i="4"/>
  <c r="C2601" i="4"/>
  <c r="C516" i="4"/>
  <c r="C5061" i="4"/>
  <c r="C1502" i="4"/>
  <c r="C2171" i="4"/>
  <c r="C1091" i="4"/>
  <c r="C799" i="4"/>
  <c r="C2121" i="4"/>
  <c r="C413" i="4"/>
  <c r="C3193" i="4"/>
  <c r="C5281" i="4"/>
  <c r="C6275" i="4"/>
  <c r="C4335" i="4"/>
  <c r="C7836" i="4"/>
  <c r="C9423" i="4"/>
  <c r="C619" i="4"/>
  <c r="C693" i="4"/>
  <c r="C47" i="4"/>
  <c r="C1684" i="4"/>
  <c r="C4730" i="4"/>
  <c r="C1342" i="4"/>
  <c r="C2189" i="4"/>
  <c r="C1972" i="4"/>
  <c r="C3254" i="4"/>
  <c r="C2619" i="4"/>
  <c r="C1938" i="4"/>
  <c r="C373" i="4"/>
  <c r="C74" i="4"/>
  <c r="C2110" i="4"/>
  <c r="C997" i="4"/>
  <c r="C2729" i="4"/>
  <c r="C1449" i="4"/>
  <c r="C3340" i="4"/>
  <c r="C1121" i="4"/>
  <c r="C1705" i="4"/>
  <c r="C1175" i="4"/>
  <c r="C819" i="4"/>
  <c r="C3923" i="4"/>
  <c r="C5653" i="4"/>
  <c r="C5207" i="4"/>
  <c r="C4489" i="4"/>
  <c r="C3362" i="4"/>
  <c r="C3616" i="4"/>
  <c r="C3772" i="4"/>
  <c r="C4943" i="4"/>
  <c r="C5025" i="4"/>
  <c r="C8185" i="4"/>
  <c r="C48" i="4"/>
  <c r="C1161" i="4"/>
  <c r="C1120" i="4"/>
  <c r="C1368" i="4"/>
  <c r="C56" i="4"/>
  <c r="C586" i="4"/>
  <c r="C368" i="4"/>
  <c r="C5351" i="4"/>
  <c r="C3814" i="4"/>
  <c r="C3884" i="4"/>
  <c r="C3598" i="4"/>
  <c r="C3797" i="4"/>
  <c r="C129" i="4"/>
  <c r="C2606" i="4"/>
  <c r="C2741" i="4"/>
  <c r="C436" i="4"/>
  <c r="C9618" i="4"/>
  <c r="C1571" i="4"/>
  <c r="C403" i="4"/>
  <c r="C1741" i="4"/>
  <c r="C1906" i="4"/>
  <c r="C4105" i="4"/>
  <c r="C4546" i="4"/>
  <c r="C4294" i="4"/>
  <c r="C6386" i="4"/>
  <c r="C1160" i="4"/>
  <c r="C3342" i="4"/>
  <c r="C5307" i="4"/>
  <c r="C9063" i="4"/>
  <c r="C73" i="4"/>
  <c r="C1357" i="4"/>
  <c r="C2334" i="4"/>
  <c r="C472" i="4"/>
  <c r="C1281" i="4"/>
  <c r="C395" i="4"/>
  <c r="C2609" i="4"/>
  <c r="C762" i="4"/>
  <c r="C1510" i="4"/>
  <c r="C803" i="4"/>
  <c r="C851" i="4"/>
  <c r="C1993" i="4"/>
  <c r="C1508" i="4"/>
  <c r="C947" i="4"/>
  <c r="C9299" i="4"/>
  <c r="C1223" i="4"/>
  <c r="C1141" i="4"/>
  <c r="C3007" i="4"/>
  <c r="C6363" i="4"/>
  <c r="C1056" i="4"/>
  <c r="C6307" i="4"/>
  <c r="C2178" i="4"/>
  <c r="C2636" i="4"/>
  <c r="C2346" i="4"/>
  <c r="C3191" i="4"/>
  <c r="C2857" i="4"/>
  <c r="C1123" i="4"/>
  <c r="C7833" i="4"/>
  <c r="C6937" i="4"/>
  <c r="C7865" i="4"/>
  <c r="C4092" i="4"/>
  <c r="C5132" i="4"/>
  <c r="C2879" i="4"/>
  <c r="C1398" i="4"/>
  <c r="C5309" i="4"/>
  <c r="C3966" i="4"/>
  <c r="C6051" i="4"/>
  <c r="C5523" i="4"/>
  <c r="C4221" i="4"/>
  <c r="C7414" i="4"/>
  <c r="C2319" i="4"/>
  <c r="C4453" i="4"/>
  <c r="C1348" i="4"/>
  <c r="C2803" i="4"/>
  <c r="C1910" i="4"/>
  <c r="C1932" i="4"/>
  <c r="C3286" i="4"/>
  <c r="C1513" i="4"/>
  <c r="C4950" i="4"/>
  <c r="C3406" i="4"/>
  <c r="C6189" i="4"/>
  <c r="C6947" i="4"/>
  <c r="C5157" i="4"/>
  <c r="C1259" i="4"/>
  <c r="C3291" i="4"/>
  <c r="C712" i="4"/>
  <c r="C5805" i="4"/>
  <c r="C5337" i="4"/>
  <c r="C5345" i="4"/>
  <c r="C4617" i="4"/>
  <c r="C677" i="4"/>
  <c r="C2995" i="4"/>
  <c r="C5915" i="4"/>
  <c r="C4972" i="4"/>
  <c r="C6090" i="4"/>
  <c r="C6118" i="4"/>
  <c r="C8444" i="4"/>
  <c r="C1676" i="4"/>
  <c r="C3466" i="4"/>
  <c r="C1150" i="4"/>
  <c r="C1611" i="4"/>
  <c r="C3039" i="4"/>
  <c r="C917" i="4"/>
  <c r="C2832" i="4"/>
  <c r="C3356" i="4"/>
  <c r="C6713" i="4"/>
  <c r="C9376" i="4"/>
  <c r="C6968" i="4"/>
  <c r="C6536" i="4"/>
  <c r="C2750" i="4"/>
  <c r="C1541" i="4"/>
  <c r="C144" i="4"/>
  <c r="C5002" i="4"/>
  <c r="C4574" i="4"/>
  <c r="C4111" i="4"/>
  <c r="C7406" i="4"/>
  <c r="C7718" i="4"/>
  <c r="C4431" i="4"/>
  <c r="C7472" i="4"/>
  <c r="C3116" i="4"/>
  <c r="C512" i="4"/>
  <c r="C3620" i="4"/>
  <c r="C660" i="4"/>
  <c r="C3070" i="4"/>
  <c r="C2388" i="4"/>
  <c r="C6615" i="4"/>
  <c r="C5004" i="4"/>
  <c r="C5766" i="4"/>
  <c r="C4788" i="4"/>
  <c r="C3889" i="4"/>
  <c r="C4043" i="4"/>
  <c r="C6837" i="4"/>
  <c r="C9575" i="4"/>
  <c r="C2441" i="4"/>
  <c r="C3589" i="4"/>
  <c r="C5605" i="4"/>
  <c r="C8248" i="4"/>
  <c r="C9110" i="4"/>
  <c r="C8333" i="4"/>
  <c r="C837" i="4"/>
  <c r="C4685" i="4"/>
  <c r="C2771" i="4"/>
  <c r="C3826" i="4"/>
  <c r="C3174" i="4"/>
  <c r="C3144" i="4"/>
  <c r="C4330" i="4"/>
  <c r="C4712" i="4"/>
  <c r="C4923" i="4"/>
  <c r="C955" i="4"/>
  <c r="C1648" i="4"/>
  <c r="C3113" i="4"/>
  <c r="C4516" i="4"/>
  <c r="C6187" i="4"/>
  <c r="C7976" i="4"/>
  <c r="C7449" i="4"/>
  <c r="C7646" i="4"/>
  <c r="C1790" i="4"/>
  <c r="C1051" i="4"/>
  <c r="C3602" i="4"/>
  <c r="C2428" i="4"/>
  <c r="C1699" i="4"/>
  <c r="C2497" i="4"/>
  <c r="C4822" i="4"/>
  <c r="C2182" i="4"/>
  <c r="C4908" i="4"/>
  <c r="C2115" i="4"/>
  <c r="C1582" i="4"/>
  <c r="C1773" i="4"/>
  <c r="C3570" i="4"/>
  <c r="C3265" i="4"/>
  <c r="C3804" i="4"/>
  <c r="C1250" i="4"/>
  <c r="C2473" i="4"/>
  <c r="C3186" i="4"/>
  <c r="C3283" i="4"/>
  <c r="C1405" i="4"/>
  <c r="C3232" i="4"/>
  <c r="C765" i="4"/>
  <c r="C3935" i="4"/>
  <c r="C2629" i="4"/>
  <c r="C5739" i="4"/>
  <c r="C6041" i="4"/>
  <c r="C4898" i="4"/>
  <c r="C5675" i="4"/>
  <c r="C6533" i="4"/>
  <c r="C4148" i="4"/>
  <c r="C6477" i="4"/>
  <c r="C1219" i="4"/>
  <c r="C2499" i="4"/>
  <c r="C1273" i="4"/>
  <c r="C6198" i="4"/>
  <c r="C2030" i="4"/>
  <c r="C4534" i="4"/>
  <c r="C584" i="4"/>
  <c r="C596" i="4"/>
  <c r="C3319" i="4"/>
  <c r="C1995" i="4"/>
  <c r="C4260" i="4"/>
  <c r="C1791" i="4"/>
  <c r="C3072" i="4"/>
  <c r="C2216" i="4"/>
  <c r="C1604" i="4"/>
  <c r="C3166" i="4"/>
  <c r="C2227" i="4"/>
  <c r="C78" i="4"/>
  <c r="C86" i="4"/>
  <c r="C6133" i="4"/>
  <c r="C1911" i="4"/>
  <c r="C2897" i="4"/>
  <c r="C5210" i="4"/>
  <c r="C3548" i="4"/>
  <c r="C3740" i="4"/>
  <c r="C5659" i="4"/>
  <c r="C3984" i="4"/>
  <c r="C6793" i="4"/>
  <c r="C1492" i="4"/>
  <c r="C3726" i="4"/>
  <c r="C2257" i="4"/>
  <c r="C4139" i="4"/>
  <c r="C987" i="4"/>
  <c r="C1717" i="4"/>
  <c r="C3820" i="4"/>
  <c r="C2157" i="4"/>
  <c r="C566" i="4"/>
  <c r="C3418" i="4"/>
  <c r="C992" i="4"/>
  <c r="C16" i="4"/>
  <c r="C728" i="4"/>
  <c r="C3322" i="4"/>
  <c r="C2057" i="4"/>
  <c r="C5483" i="4"/>
  <c r="C5694" i="4"/>
  <c r="C3720" i="4"/>
  <c r="C4116" i="4"/>
  <c r="C234" i="4"/>
  <c r="C192" i="4"/>
  <c r="C36" i="4"/>
  <c r="C4492" i="4"/>
  <c r="C2938" i="4"/>
  <c r="C5647" i="4"/>
  <c r="C5119" i="4"/>
  <c r="C5221" i="4"/>
  <c r="C4019" i="4"/>
  <c r="C7098" i="4"/>
  <c r="C695" i="4"/>
  <c r="C2113" i="4"/>
  <c r="C760" i="4"/>
  <c r="C639" i="4"/>
  <c r="C349" i="4"/>
  <c r="C783" i="4"/>
  <c r="C453" i="4"/>
  <c r="C3029" i="4"/>
  <c r="C1389" i="4"/>
  <c r="C943" i="4"/>
  <c r="C2817" i="4"/>
  <c r="C2769" i="4"/>
  <c r="C3428" i="4"/>
  <c r="C2889" i="4"/>
  <c r="C1355" i="4"/>
  <c r="C758" i="4"/>
  <c r="C1631" i="4"/>
  <c r="C4098" i="4"/>
  <c r="C2416" i="4"/>
  <c r="C4160" i="4"/>
  <c r="C6288" i="4"/>
  <c r="C9064" i="4"/>
  <c r="C7818" i="4"/>
  <c r="C1732" i="4"/>
  <c r="C2020" i="4"/>
  <c r="C2097" i="4"/>
  <c r="C669" i="4"/>
  <c r="C749" i="4"/>
  <c r="C1237" i="4"/>
  <c r="C4134" i="4"/>
  <c r="C538" i="4"/>
  <c r="C1313" i="4"/>
  <c r="C3397" i="4"/>
  <c r="C953" i="4"/>
  <c r="C2784" i="4"/>
  <c r="C2069" i="4"/>
  <c r="C1849" i="4"/>
  <c r="C1786" i="4"/>
  <c r="C1102" i="4"/>
  <c r="C3793" i="4"/>
  <c r="C1639" i="4"/>
  <c r="C2853" i="4"/>
  <c r="C2029" i="4"/>
  <c r="C8284" i="4"/>
  <c r="C4140" i="4"/>
  <c r="C2971" i="4"/>
  <c r="C4420" i="4"/>
  <c r="C7649" i="4"/>
  <c r="C3528" i="4"/>
  <c r="C6204" i="4"/>
  <c r="C7817" i="4"/>
  <c r="C6482" i="4"/>
  <c r="C6891" i="4"/>
  <c r="C3311" i="4"/>
  <c r="C1870" i="4"/>
  <c r="C5262" i="4"/>
  <c r="C4637" i="4"/>
  <c r="C1935" i="4"/>
  <c r="C3364" i="4"/>
  <c r="C5762" i="4"/>
  <c r="C4254" i="4"/>
  <c r="C5456" i="4"/>
  <c r="C6144" i="4"/>
  <c r="C8102" i="4"/>
  <c r="C7740" i="4"/>
  <c r="C6115" i="4"/>
  <c r="C3258" i="4"/>
  <c r="C1768" i="4"/>
  <c r="C4861" i="4"/>
  <c r="C7711" i="4"/>
  <c r="C2072" i="4"/>
  <c r="C4684" i="4"/>
  <c r="C4441" i="4"/>
  <c r="C4625" i="4"/>
  <c r="C4103" i="4"/>
  <c r="C927" i="4"/>
  <c r="C6026" i="4"/>
  <c r="C2542" i="4"/>
  <c r="C6790" i="4"/>
  <c r="C7242" i="4"/>
  <c r="C10246" i="4"/>
  <c r="C7374" i="4"/>
  <c r="C2963" i="4"/>
  <c r="C2913" i="4"/>
  <c r="C4198" i="4"/>
  <c r="C3120" i="4"/>
  <c r="C5668" i="4"/>
  <c r="C3727" i="4"/>
  <c r="C7955" i="4"/>
  <c r="C3385" i="4"/>
  <c r="C9306" i="4"/>
  <c r="C5515" i="4"/>
  <c r="C8665" i="4"/>
  <c r="C4671" i="4"/>
  <c r="C2184" i="4"/>
  <c r="C7944" i="4"/>
  <c r="C6357" i="4"/>
  <c r="C2896" i="4"/>
  <c r="C6778" i="4"/>
  <c r="C4757" i="4"/>
  <c r="C4072" i="4"/>
  <c r="C7792" i="4"/>
  <c r="C5014" i="4"/>
  <c r="C5136" i="4"/>
  <c r="C5475" i="4"/>
  <c r="C4456" i="4"/>
  <c r="C3267" i="4"/>
  <c r="C2536" i="4"/>
  <c r="C10790" i="4"/>
  <c r="C4333" i="4"/>
  <c r="C8849" i="4"/>
  <c r="C1892" i="4"/>
  <c r="C10394" i="4"/>
  <c r="C5370" i="4"/>
  <c r="C6411" i="4"/>
  <c r="C3331" i="4"/>
  <c r="C4894" i="4"/>
  <c r="C2373" i="4"/>
  <c r="C4575" i="4"/>
  <c r="C2041" i="4"/>
  <c r="C1774" i="4"/>
  <c r="C312" i="4"/>
  <c r="C1533" i="4"/>
  <c r="C5516" i="4"/>
  <c r="C2623" i="4"/>
  <c r="C4739" i="4"/>
  <c r="C7784" i="4"/>
  <c r="C3372" i="4"/>
  <c r="C5279" i="4"/>
  <c r="C1524" i="4"/>
  <c r="C4151" i="4"/>
  <c r="C4462" i="4"/>
  <c r="C5264" i="4"/>
  <c r="C198" i="4"/>
  <c r="C82" i="4"/>
  <c r="C5" i="4"/>
  <c r="C278" i="4"/>
  <c r="C2323" i="4"/>
  <c r="C4243" i="4"/>
  <c r="C2695" i="4"/>
  <c r="C3660" i="4"/>
  <c r="C156" i="4"/>
  <c r="C10037" i="4"/>
  <c r="C1092" i="4"/>
  <c r="C4429" i="4"/>
  <c r="C2892" i="4"/>
  <c r="C4010" i="4"/>
  <c r="C4813" i="4"/>
  <c r="C1345" i="4"/>
  <c r="C5834" i="4"/>
  <c r="C276" i="4"/>
  <c r="C19" i="4"/>
  <c r="C3310" i="4"/>
  <c r="C102" i="4"/>
  <c r="C1204" i="4"/>
  <c r="C1096" i="4"/>
  <c r="C531" i="4"/>
  <c r="C1136" i="4"/>
  <c r="C2363" i="4"/>
  <c r="C3508" i="4"/>
  <c r="C846" i="4"/>
  <c r="C1532" i="4"/>
  <c r="C714" i="4"/>
  <c r="C1323" i="4"/>
  <c r="C244" i="4"/>
  <c r="C731" i="4"/>
  <c r="C2185" i="4"/>
  <c r="C937" i="4"/>
  <c r="C1075" i="4"/>
  <c r="C1493" i="4"/>
  <c r="C1362" i="4"/>
  <c r="C2277" i="4"/>
  <c r="C2935" i="4"/>
  <c r="C5613" i="4"/>
  <c r="C2793" i="4"/>
  <c r="C2474" i="4"/>
  <c r="C181" i="4"/>
  <c r="C3890" i="4"/>
  <c r="C4569" i="4"/>
  <c r="C3852" i="4"/>
  <c r="C9361" i="4"/>
  <c r="C770" i="4"/>
  <c r="C28" i="4"/>
  <c r="C3611" i="4"/>
  <c r="C488" i="4"/>
  <c r="C1086" i="4"/>
  <c r="C2021" i="4"/>
  <c r="C1105" i="4"/>
  <c r="C2454" i="4"/>
  <c r="C5604" i="4"/>
  <c r="C791" i="4"/>
  <c r="C1589" i="4"/>
  <c r="C5652" i="4"/>
  <c r="C3064" i="4"/>
  <c r="C2259" i="4"/>
  <c r="C3494" i="4"/>
  <c r="C1523" i="4"/>
  <c r="C1352" i="4"/>
  <c r="C3751" i="4"/>
  <c r="C3381" i="4"/>
  <c r="C771" i="4"/>
  <c r="C1408" i="4"/>
  <c r="C2406" i="4"/>
  <c r="C4329" i="4"/>
  <c r="C4639" i="4"/>
  <c r="C1734" i="4"/>
  <c r="C4213" i="4"/>
  <c r="C4791" i="4"/>
  <c r="C4240" i="4"/>
  <c r="C7002" i="4"/>
  <c r="C4263" i="4"/>
  <c r="C4074" i="4"/>
  <c r="C153" i="4"/>
  <c r="C2430" i="4"/>
  <c r="C2162" i="4"/>
  <c r="C113" i="4"/>
  <c r="C1013" i="4"/>
  <c r="C5240" i="4"/>
  <c r="C328" i="4"/>
  <c r="C6491" i="4"/>
  <c r="C1278" i="4"/>
  <c r="C1094" i="4"/>
  <c r="C911" i="4"/>
  <c r="C1590" i="4"/>
  <c r="C2673" i="4"/>
  <c r="C3178" i="4"/>
  <c r="C1027" i="4"/>
  <c r="C658" i="4"/>
  <c r="C4626" i="4"/>
  <c r="C3018" i="4"/>
  <c r="C3664" i="4"/>
  <c r="C314" i="4"/>
  <c r="C17" i="4"/>
  <c r="C84" i="4"/>
  <c r="C8154" i="4"/>
  <c r="C4740" i="4"/>
  <c r="C2993" i="4"/>
  <c r="C5050" i="4"/>
  <c r="C835" i="4"/>
  <c r="C108" i="4"/>
  <c r="C721" i="4"/>
  <c r="C1880" i="4"/>
  <c r="C1417" i="4"/>
  <c r="C209" i="4"/>
  <c r="C7617" i="4"/>
  <c r="C3822" i="4"/>
  <c r="C1035" i="4"/>
  <c r="C473" i="4"/>
  <c r="C121" i="4"/>
  <c r="C163" i="4"/>
  <c r="C736" i="4"/>
  <c r="C5019" i="4"/>
  <c r="C2526" i="4"/>
  <c r="C297" i="4"/>
  <c r="C355" i="4"/>
  <c r="C3543" i="4"/>
  <c r="C3016" i="4"/>
  <c r="C4628" i="4"/>
  <c r="C2728" i="4"/>
  <c r="C921" i="4"/>
  <c r="C2754" i="4"/>
  <c r="C1168" i="4"/>
  <c r="C1384" i="4"/>
  <c r="C4699" i="4"/>
  <c r="C4133" i="4"/>
  <c r="C3633" i="4"/>
  <c r="C1692" i="4"/>
  <c r="C1183" i="4"/>
  <c r="C2276" i="4"/>
  <c r="C4664" i="4"/>
  <c r="C518" i="4"/>
  <c r="C6828" i="4"/>
  <c r="C6979" i="4"/>
  <c r="C5049" i="4"/>
  <c r="C1579" i="4"/>
  <c r="C361" i="4"/>
  <c r="C817" i="4"/>
  <c r="C998" i="4"/>
  <c r="C347" i="4"/>
  <c r="C1969" i="4"/>
  <c r="C1081" i="4"/>
  <c r="C1486" i="4"/>
  <c r="C1977" i="4"/>
  <c r="C49" i="4"/>
  <c r="C2350" i="4"/>
  <c r="C1101" i="4"/>
  <c r="C5195" i="4"/>
  <c r="C484" i="4"/>
  <c r="C1851" i="4"/>
  <c r="C2553" i="4"/>
  <c r="C1376" i="4"/>
  <c r="C1659" i="4"/>
  <c r="C263" i="4"/>
  <c r="C3608" i="4"/>
  <c r="C375" i="4"/>
  <c r="C3334" i="4"/>
  <c r="C1921" i="4"/>
  <c r="C1374" i="4"/>
  <c r="C1991" i="4"/>
  <c r="C3950" i="4"/>
  <c r="C4802" i="4"/>
  <c r="C2267" i="4"/>
  <c r="C4608" i="4"/>
  <c r="C5710" i="4"/>
  <c r="C2397" i="4"/>
  <c r="C656" i="4"/>
  <c r="C2711" i="4"/>
  <c r="C2713" i="4"/>
  <c r="C4742" i="4"/>
  <c r="C5274" i="4"/>
  <c r="C3107" i="4"/>
  <c r="C3695" i="4"/>
  <c r="C685" i="4"/>
  <c r="C6355" i="4"/>
  <c r="C6404" i="4"/>
  <c r="C4471" i="4"/>
  <c r="C4423" i="4"/>
  <c r="C7502" i="4"/>
  <c r="C4315" i="4"/>
  <c r="C2670" i="4"/>
  <c r="C2429" i="4"/>
  <c r="C959" i="4"/>
  <c r="C5363" i="4"/>
  <c r="C4715" i="4"/>
  <c r="C3709" i="4"/>
  <c r="C5031" i="4"/>
  <c r="C293" i="4"/>
  <c r="C6263" i="4"/>
  <c r="C5960" i="4"/>
  <c r="C3157" i="4"/>
  <c r="C6930" i="4"/>
  <c r="C507" i="4"/>
  <c r="C588" i="4"/>
  <c r="C4621" i="4"/>
  <c r="C3886" i="4"/>
  <c r="C2440" i="4"/>
  <c r="C3413" i="4"/>
  <c r="C1760" i="4"/>
  <c r="C6641" i="4"/>
  <c r="C1144" i="4"/>
  <c r="C4188" i="4"/>
  <c r="C4725" i="4"/>
  <c r="C6017" i="4"/>
  <c r="C6202" i="4"/>
  <c r="C4623" i="4"/>
  <c r="C6394" i="4"/>
  <c r="C3141" i="4"/>
  <c r="C369" i="4"/>
  <c r="C2988" i="4"/>
  <c r="C1848" i="4"/>
  <c r="C2250" i="4"/>
  <c r="C2040" i="4"/>
  <c r="C8172" i="4"/>
  <c r="C1545" i="4"/>
  <c r="C5743" i="4"/>
  <c r="C5459" i="4"/>
  <c r="C5046" i="4"/>
  <c r="C2164" i="4"/>
  <c r="C208" i="4"/>
  <c r="C1693" i="4"/>
  <c r="C1827" i="4"/>
  <c r="C2336" i="4"/>
  <c r="C2961" i="4"/>
  <c r="C2269" i="4"/>
  <c r="C189" i="4"/>
  <c r="C3052" i="4"/>
  <c r="C3700" i="4"/>
  <c r="C2726" i="4"/>
  <c r="C2280" i="4"/>
  <c r="C9717" i="4"/>
  <c r="C3009" i="4"/>
  <c r="C4279" i="4"/>
  <c r="C3982" i="4"/>
  <c r="C5247" i="4"/>
  <c r="C6277" i="4"/>
  <c r="C6145" i="4"/>
  <c r="C2968" i="4"/>
  <c r="C168" i="4"/>
  <c r="C2779" i="4"/>
  <c r="C4216" i="4"/>
  <c r="C715" i="4"/>
  <c r="C4179" i="4"/>
  <c r="C381" i="4"/>
  <c r="C3646" i="4"/>
  <c r="C2929" i="4"/>
  <c r="C3794" i="4"/>
  <c r="C3233" i="4"/>
  <c r="C3916" i="4"/>
  <c r="C5669" i="4"/>
  <c r="C5411" i="4"/>
  <c r="C5545" i="4"/>
  <c r="C5122" i="4"/>
  <c r="C1964" i="4"/>
  <c r="C7" i="4"/>
  <c r="C993" i="4"/>
  <c r="C573" i="4"/>
  <c r="C3501" i="4"/>
  <c r="C6975" i="4"/>
  <c r="C4281" i="4"/>
  <c r="C4247" i="4"/>
  <c r="C5700" i="4"/>
  <c r="C6481" i="4"/>
  <c r="C7019" i="4"/>
  <c r="C1560" i="4"/>
  <c r="C882" i="4"/>
  <c r="C3010" i="4"/>
  <c r="C112" i="4"/>
  <c r="C4425" i="4"/>
  <c r="C840" i="4"/>
  <c r="C2212" i="4"/>
  <c r="C1330" i="4"/>
  <c r="C5925" i="4"/>
  <c r="C1530" i="4"/>
  <c r="C1711" i="4"/>
  <c r="C834" i="4"/>
  <c r="C2125" i="4"/>
  <c r="C5403" i="4"/>
  <c r="C3237" i="4"/>
  <c r="C2263" i="4"/>
  <c r="C3831" i="4"/>
  <c r="C1696" i="4"/>
  <c r="C4662" i="4"/>
  <c r="C2300" i="4"/>
  <c r="C2570" i="4"/>
  <c r="C5259" i="4"/>
  <c r="C4585" i="4"/>
  <c r="C6818" i="4"/>
  <c r="C8474" i="4"/>
  <c r="C3317" i="4"/>
  <c r="C5855" i="4"/>
  <c r="C3792" i="4"/>
  <c r="C8323" i="4"/>
  <c r="C4250" i="4"/>
  <c r="C3676" i="4"/>
  <c r="C1210" i="4"/>
  <c r="C4055" i="4"/>
  <c r="C1797" i="4"/>
  <c r="C1209" i="4"/>
  <c r="C3048" i="4"/>
  <c r="C238" i="4"/>
  <c r="C104" i="4"/>
  <c r="C451" i="4"/>
  <c r="C1106" i="4"/>
  <c r="C305" i="4"/>
  <c r="C2260" i="4"/>
  <c r="C2883" i="4"/>
  <c r="C4270" i="4"/>
  <c r="C3657" i="4"/>
  <c r="C2886" i="4"/>
  <c r="C2348" i="4"/>
  <c r="C1336" i="4"/>
  <c r="C1216" i="4"/>
  <c r="C1271" i="4"/>
  <c r="C2983" i="4"/>
  <c r="C3094" i="4"/>
  <c r="C4262" i="4"/>
  <c r="C2597" i="4"/>
  <c r="C5626" i="4"/>
  <c r="C3420" i="4"/>
  <c r="C4659" i="4"/>
  <c r="C4016" i="4"/>
  <c r="C4321" i="4"/>
  <c r="C6814" i="4"/>
  <c r="C2291" i="4"/>
  <c r="C3973" i="4"/>
  <c r="C956" i="4"/>
  <c r="C57" i="4"/>
  <c r="C45" i="4"/>
  <c r="C3596" i="4"/>
  <c r="C125" i="4"/>
  <c r="C2353" i="4"/>
  <c r="C1896" i="4"/>
  <c r="C2634" i="4"/>
  <c r="C1512" i="4"/>
  <c r="C5809" i="4"/>
  <c r="C2082" i="4"/>
  <c r="C1630" i="4"/>
  <c r="C55" i="4"/>
  <c r="C2541" i="4"/>
  <c r="C2186" i="4"/>
  <c r="C1806" i="4"/>
  <c r="C3499" i="4"/>
  <c r="C526" i="4"/>
  <c r="C4493" i="4"/>
  <c r="C2725" i="4"/>
  <c r="C417" i="4"/>
  <c r="C3805" i="4"/>
  <c r="C737" i="4"/>
  <c r="C3368" i="4"/>
  <c r="C1253" i="4"/>
  <c r="C4838" i="4"/>
  <c r="C3964" i="4"/>
  <c r="C3171" i="4"/>
  <c r="C5010" i="4"/>
  <c r="C2534" i="4"/>
  <c r="C4703" i="4"/>
  <c r="C2224" i="4"/>
  <c r="C3421" i="4"/>
  <c r="C5450" i="4"/>
  <c r="C6285" i="4"/>
  <c r="C6732" i="4"/>
  <c r="C976" i="4"/>
  <c r="C725" i="4"/>
  <c r="C380" i="4"/>
  <c r="C3562" i="4"/>
  <c r="C1598" i="4"/>
  <c r="C194" i="4"/>
  <c r="C2572" i="4"/>
  <c r="C599" i="4"/>
  <c r="C3661" i="4"/>
  <c r="C242" i="4"/>
  <c r="C1221" i="4"/>
  <c r="C3054" i="4"/>
  <c r="C1434" i="4"/>
  <c r="C3124" i="4"/>
  <c r="C1852" i="4"/>
  <c r="C3879" i="4"/>
  <c r="C4663" i="4"/>
  <c r="C2774" i="4"/>
  <c r="C530" i="4"/>
  <c r="C1881" i="4"/>
  <c r="C772" i="4"/>
  <c r="C862" i="4"/>
  <c r="C3714" i="4"/>
  <c r="C2707" i="4"/>
  <c r="C2016" i="4"/>
  <c r="C3867" i="4"/>
  <c r="C4035" i="4"/>
  <c r="C5936" i="4"/>
  <c r="C4883" i="4"/>
  <c r="C7573" i="4"/>
  <c r="C5284" i="4"/>
  <c r="C8919" i="4"/>
  <c r="C2309" i="4"/>
  <c r="C1586" i="4"/>
  <c r="C2418" i="4"/>
  <c r="C1369" i="4"/>
  <c r="C966" i="4"/>
  <c r="C2026" i="4"/>
  <c r="C2163" i="4"/>
  <c r="C4369" i="4"/>
  <c r="C2027" i="4"/>
  <c r="C1347" i="4"/>
  <c r="C2845" i="4"/>
  <c r="C4879" i="4"/>
  <c r="C1388" i="4"/>
  <c r="C31" i="4"/>
  <c r="C4204" i="4"/>
  <c r="C2996" i="4"/>
  <c r="C3914" i="4"/>
  <c r="C2515" i="4"/>
  <c r="C3221" i="4"/>
  <c r="C2281" i="4"/>
  <c r="C3586" i="4"/>
  <c r="C2342" i="4"/>
  <c r="C3403" i="4"/>
  <c r="C1088" i="4"/>
  <c r="C2421" i="4"/>
  <c r="C1968" i="4"/>
  <c r="C3392" i="4"/>
  <c r="C3838" i="4"/>
  <c r="C1490" i="4"/>
  <c r="C4246" i="4"/>
  <c r="C8442" i="4"/>
  <c r="C3441" i="4"/>
  <c r="C5058" i="4"/>
  <c r="C6682" i="4"/>
  <c r="C5154" i="4"/>
  <c r="C2375" i="4"/>
  <c r="C3194" i="4"/>
  <c r="C2528" i="4"/>
  <c r="C5310" i="4"/>
  <c r="C4070" i="4"/>
  <c r="C2748" i="4"/>
  <c r="C3627" i="4"/>
  <c r="C5277" i="4"/>
  <c r="C6834" i="4"/>
  <c r="C4593" i="4"/>
  <c r="C6157" i="4"/>
  <c r="C7980" i="4"/>
  <c r="C8580" i="4"/>
  <c r="C7814" i="4"/>
  <c r="C3952" i="4"/>
  <c r="C3881" i="4"/>
  <c r="C2647" i="4"/>
  <c r="C1467" i="4"/>
  <c r="C3218" i="4"/>
  <c r="C2962" i="4"/>
  <c r="C2608" i="4"/>
  <c r="C5997" i="4"/>
  <c r="C2668" i="4"/>
  <c r="C5969" i="4"/>
  <c r="C6824" i="4"/>
  <c r="C6940" i="4"/>
  <c r="C6662" i="4"/>
  <c r="C7163" i="4"/>
  <c r="C5149" i="4"/>
  <c r="C2591" i="4"/>
  <c r="C3644" i="4"/>
  <c r="C2512" i="4"/>
  <c r="C3741" i="4"/>
  <c r="C2812" i="4"/>
  <c r="C863" i="4"/>
  <c r="C4040" i="4"/>
  <c r="C8649" i="4"/>
  <c r="C4245" i="4"/>
  <c r="C5406" i="4"/>
  <c r="C7648" i="4"/>
  <c r="C4772" i="4"/>
  <c r="C5871" i="4"/>
  <c r="C6352" i="4"/>
  <c r="C8656" i="4"/>
  <c r="C5434" i="4"/>
  <c r="C5820" i="4"/>
  <c r="C4874" i="4"/>
  <c r="C2197" i="4"/>
  <c r="C3985" i="4"/>
  <c r="C4812" i="4"/>
  <c r="C6286" i="4"/>
  <c r="C3251" i="4"/>
  <c r="C7953" i="4"/>
  <c r="C3419" i="4"/>
  <c r="C4821" i="4"/>
  <c r="C7022" i="4"/>
  <c r="C6920" i="4"/>
  <c r="C6775" i="4"/>
  <c r="C5414" i="4"/>
  <c r="C6264" i="4"/>
  <c r="C4282" i="4"/>
  <c r="C4804" i="4"/>
  <c r="C3685" i="4"/>
  <c r="C6626" i="4"/>
  <c r="C6595" i="4"/>
  <c r="C702" i="4"/>
  <c r="C6943" i="4"/>
  <c r="C4037" i="4"/>
  <c r="C5894" i="4"/>
  <c r="C259" i="4"/>
  <c r="C4552" i="4"/>
  <c r="C4028" i="4"/>
  <c r="C6624" i="4"/>
  <c r="C4045" i="4"/>
  <c r="C1280" i="4"/>
  <c r="C5163" i="4"/>
  <c r="C3670" i="4"/>
  <c r="C870" i="4"/>
  <c r="C5371" i="4"/>
  <c r="C5288" i="4"/>
  <c r="C5492" i="4"/>
  <c r="C4491" i="4"/>
  <c r="C1946" i="4"/>
  <c r="C4769" i="4"/>
  <c r="C1137" i="4"/>
  <c r="C859" i="4"/>
  <c r="C618" i="4"/>
  <c r="C2910" i="4"/>
  <c r="C3242" i="4"/>
  <c r="C1818" i="4"/>
  <c r="C6708" i="4"/>
  <c r="C3022" i="4"/>
  <c r="C5586" i="4"/>
  <c r="C3811" i="4"/>
  <c r="C1015" i="4"/>
  <c r="C1643" i="4"/>
  <c r="C1767" i="4"/>
  <c r="C2357" i="4"/>
  <c r="C4290" i="4"/>
  <c r="C873" i="4"/>
  <c r="C676" i="4"/>
  <c r="C2477" i="4"/>
  <c r="C4610" i="4"/>
  <c r="C4846" i="4"/>
  <c r="C8021" i="4"/>
  <c r="C8835" i="4"/>
  <c r="C166" i="4"/>
  <c r="C932" i="4"/>
  <c r="C1694" i="4"/>
  <c r="C411" i="4"/>
  <c r="C733" i="4"/>
  <c r="C3394" i="4"/>
  <c r="C2233" i="4"/>
  <c r="C452" i="4"/>
  <c r="C1866" i="4"/>
  <c r="C1116" i="4"/>
  <c r="C357" i="4"/>
  <c r="C2667" i="4"/>
  <c r="C1428" i="4"/>
  <c r="C2074" i="4"/>
  <c r="C2424" i="4"/>
  <c r="C1201" i="4"/>
  <c r="C1077" i="4"/>
  <c r="C1043" i="4"/>
  <c r="C4720" i="4"/>
  <c r="C1387" i="4"/>
  <c r="C360" i="4"/>
  <c r="C3379" i="4"/>
  <c r="C5360" i="4"/>
  <c r="C6259" i="4"/>
  <c r="C4131" i="4"/>
  <c r="C1283" i="4"/>
  <c r="C908" i="4"/>
  <c r="C1719" i="4"/>
  <c r="C3357" i="4"/>
  <c r="C5261" i="4"/>
  <c r="C3303" i="4"/>
  <c r="C4236" i="4"/>
  <c r="C1180" i="4"/>
  <c r="C10786" i="4"/>
  <c r="C2204" i="4"/>
  <c r="C1889" i="4"/>
  <c r="C867" i="4"/>
  <c r="C4395" i="4"/>
  <c r="C1095" i="4"/>
  <c r="C401" i="4"/>
  <c r="C3358" i="4"/>
  <c r="C2640" i="4"/>
  <c r="C2457" i="4"/>
  <c r="C130" i="4"/>
  <c r="C1764" i="4"/>
  <c r="C2039" i="4"/>
  <c r="C1052" i="4"/>
  <c r="C164" i="4"/>
  <c r="C670" i="4"/>
  <c r="C1515" i="4"/>
  <c r="C1306" i="4"/>
  <c r="C557" i="4"/>
  <c r="C2550" i="4"/>
  <c r="C2098" i="4"/>
  <c r="C3672" i="4"/>
  <c r="C2864" i="4"/>
  <c r="C1420" i="4"/>
  <c r="C3245" i="4"/>
  <c r="C5455" i="4"/>
  <c r="C3968" i="4"/>
  <c r="C101" i="4"/>
  <c r="C2491" i="4"/>
  <c r="C2372" i="4"/>
  <c r="C785" i="4"/>
  <c r="C5378" i="4"/>
  <c r="C2126" i="4"/>
  <c r="C4974" i="4"/>
  <c r="C3807" i="4"/>
  <c r="C3208" i="4"/>
  <c r="C1982" i="4"/>
  <c r="C7073" i="4"/>
  <c r="C4004" i="4"/>
  <c r="C5035" i="4"/>
  <c r="C5959" i="4"/>
  <c r="C5663" i="4"/>
  <c r="C7085" i="4"/>
  <c r="C6476" i="4"/>
  <c r="C7544" i="4"/>
  <c r="C2369" i="4"/>
  <c r="C391" i="4"/>
  <c r="C3887" i="4"/>
  <c r="C5473" i="4"/>
  <c r="C871" i="4"/>
  <c r="C4180" i="4"/>
  <c r="C2831" i="4"/>
  <c r="C4722" i="4"/>
  <c r="C6106" i="4"/>
  <c r="C6799" i="4"/>
  <c r="C1844" i="4"/>
  <c r="C2518" i="4"/>
  <c r="C5352" i="4"/>
  <c r="C5901" i="4"/>
  <c r="C2455" i="4"/>
  <c r="C3739" i="4"/>
  <c r="C4854" i="4"/>
  <c r="C4555" i="4"/>
  <c r="C1759" i="4"/>
  <c r="C4094" i="4"/>
  <c r="C5361" i="4"/>
  <c r="C6923" i="4"/>
  <c r="C1878" i="4"/>
  <c r="C5201" i="4"/>
  <c r="C6213" i="4"/>
  <c r="C3526" i="4"/>
  <c r="C5140" i="4"/>
  <c r="C5463" i="4"/>
  <c r="C7676" i="4"/>
  <c r="C1951" i="4"/>
  <c r="C5401" i="4"/>
  <c r="C4389" i="4"/>
  <c r="C3998" i="4"/>
  <c r="C6362" i="4"/>
  <c r="C3750" i="4"/>
  <c r="C2325" i="4"/>
  <c r="C806" i="4"/>
  <c r="C3139" i="4"/>
  <c r="C3223" i="4"/>
  <c r="C4640" i="4"/>
  <c r="C6676" i="4"/>
  <c r="C4424" i="4"/>
  <c r="C4132" i="4"/>
  <c r="C2143" i="4"/>
  <c r="C6625" i="4"/>
  <c r="C4697" i="4"/>
  <c r="C123" i="4"/>
  <c r="C4848" i="4"/>
  <c r="C529" i="4"/>
  <c r="C4952" i="4"/>
  <c r="C7328" i="4"/>
  <c r="C1649" i="4"/>
  <c r="C2840" i="4"/>
  <c r="C3960" i="4"/>
  <c r="C2304" i="4"/>
  <c r="C7144" i="4"/>
  <c r="C6027" i="4"/>
  <c r="C2527" i="4"/>
  <c r="C6903" i="4"/>
  <c r="C5706" i="4"/>
  <c r="C480" i="4"/>
  <c r="C3954" i="4"/>
  <c r="C1900" i="4"/>
  <c r="C4186" i="4"/>
  <c r="C1603" i="4"/>
  <c r="C1617" i="4"/>
  <c r="C10043" i="4"/>
  <c r="C2058" i="4"/>
  <c r="C3799" i="4"/>
  <c r="C5190" i="4"/>
  <c r="C2552" i="4"/>
  <c r="C5318" i="4"/>
  <c r="C5875" i="4"/>
  <c r="C4916" i="4"/>
  <c r="C8215" i="4"/>
  <c r="C491" i="4"/>
  <c r="C4783" i="4"/>
  <c r="C887" i="4"/>
  <c r="C827" i="4"/>
  <c r="C1966" i="4"/>
  <c r="C3164" i="4"/>
  <c r="C4182" i="4"/>
  <c r="C755" i="4"/>
  <c r="C1031" i="4"/>
  <c r="C308" i="4"/>
  <c r="C1668" i="4"/>
  <c r="C1573" i="4"/>
  <c r="C3455" i="4"/>
  <c r="C5733" i="4"/>
  <c r="C3728" i="4"/>
  <c r="C2679" i="4"/>
  <c r="C2343" i="4"/>
  <c r="C631" i="4"/>
  <c r="C823" i="4"/>
  <c r="C2396" i="4"/>
  <c r="C4142" i="4"/>
  <c r="C5903" i="4"/>
  <c r="C4884" i="4"/>
  <c r="C5864" i="4"/>
  <c r="C3686" i="4"/>
  <c r="C4192" i="4"/>
  <c r="C6584" i="4"/>
  <c r="C3824" i="4"/>
  <c r="C3858" i="4"/>
  <c r="C59" i="4"/>
  <c r="C80" i="4"/>
  <c r="C339" i="4"/>
  <c r="C67" i="4"/>
  <c r="C2498" i="4"/>
  <c r="C1255" i="4"/>
  <c r="C2785" i="4"/>
  <c r="C1562" i="4"/>
  <c r="C3542" i="4"/>
  <c r="C1108" i="4"/>
  <c r="C18" i="4"/>
  <c r="C1440" i="4"/>
  <c r="C2939" i="4"/>
  <c r="C1753" i="4"/>
  <c r="C2341" i="4"/>
  <c r="C2329" i="4"/>
  <c r="C1525" i="4"/>
  <c r="C286" i="4"/>
  <c r="C3912" i="4"/>
  <c r="C3069" i="4"/>
  <c r="C274" i="4"/>
  <c r="C2783" i="4"/>
  <c r="C903" i="4"/>
  <c r="C4519" i="4"/>
  <c r="C3213" i="4"/>
  <c r="C5437" i="4"/>
  <c r="C5134" i="4"/>
  <c r="C2991" i="4"/>
  <c r="C2032" i="4"/>
  <c r="C7280" i="4"/>
  <c r="C3519" i="4"/>
  <c r="C5642" i="4"/>
  <c r="C7219" i="4"/>
  <c r="C10009" i="4"/>
  <c r="C1024" i="4"/>
  <c r="C848" i="4"/>
  <c r="C1926" i="4"/>
  <c r="C1716" i="4"/>
  <c r="C2571" i="4"/>
  <c r="C1430" i="4"/>
  <c r="C1551" i="4"/>
  <c r="C2680" i="4"/>
  <c r="C3027" i="4"/>
  <c r="C1875" i="4"/>
  <c r="C1202" i="4"/>
  <c r="C220" i="4"/>
  <c r="C2104" i="4"/>
  <c r="C1230" i="4"/>
  <c r="C1329" i="4"/>
  <c r="C3244" i="4"/>
  <c r="C171" i="4"/>
  <c r="C4064" i="4"/>
  <c r="C5045" i="4"/>
  <c r="C2393" i="4"/>
  <c r="C3234" i="4"/>
  <c r="C2108" i="4"/>
  <c r="C4525" i="4"/>
  <c r="C2095" i="4"/>
  <c r="C1744" i="4"/>
  <c r="C3087" i="4"/>
  <c r="C3326" i="4"/>
  <c r="C8287" i="4"/>
  <c r="C4745" i="4"/>
  <c r="C3136" i="4"/>
  <c r="C7052" i="4"/>
  <c r="C4746" i="4"/>
  <c r="C8337" i="4"/>
  <c r="C1251" i="4"/>
  <c r="C3703" i="4"/>
  <c r="C681" i="4"/>
  <c r="C1340" i="4"/>
  <c r="C2547" i="4"/>
  <c r="C4427" i="4"/>
  <c r="C2414" i="4"/>
  <c r="C1284" i="4"/>
  <c r="C5778" i="4"/>
  <c r="C2642" i="4"/>
  <c r="C2628" i="4"/>
  <c r="C6731" i="4"/>
  <c r="C3684" i="4"/>
  <c r="C1118" i="4"/>
  <c r="C3323" i="4"/>
  <c r="C1775" i="4"/>
  <c r="C2804" i="4"/>
  <c r="C3261" i="4"/>
  <c r="C2208" i="4"/>
  <c r="C617" i="4"/>
  <c r="C2998" i="4"/>
  <c r="C1647" i="4"/>
  <c r="C550" i="4"/>
  <c r="C558" i="4"/>
  <c r="C709" i="4"/>
  <c r="C2344" i="4"/>
  <c r="C2994" i="4"/>
  <c r="C4504" i="4"/>
  <c r="C6388" i="4"/>
  <c r="C2415" i="4"/>
  <c r="C2736" i="4"/>
  <c r="C3231" i="4"/>
  <c r="C4013" i="4"/>
  <c r="C5104" i="4"/>
  <c r="C5113" i="4"/>
  <c r="C4554" i="4"/>
  <c r="C1916" i="4"/>
  <c r="C2734" i="4"/>
  <c r="C1503" i="4"/>
  <c r="C54" i="4"/>
  <c r="C364" i="4"/>
  <c r="C479" i="4"/>
  <c r="C2555" i="4"/>
  <c r="C1853" i="4"/>
  <c r="C5000" i="4"/>
  <c r="C2485" i="4"/>
  <c r="C869" i="4"/>
  <c r="C4547" i="4"/>
  <c r="C3129" i="4"/>
  <c r="C1293" i="4"/>
  <c r="C2858" i="4"/>
  <c r="C2314" i="4"/>
  <c r="C2361" i="4"/>
  <c r="C2247" i="4"/>
  <c r="C3755" i="4"/>
  <c r="C4297" i="4"/>
  <c r="C1680" i="4"/>
  <c r="C896" i="4"/>
  <c r="C3335" i="4"/>
  <c r="C1312" i="4"/>
  <c r="C1974" i="4"/>
  <c r="C774" i="4"/>
  <c r="C2624" i="4"/>
  <c r="C2056" i="4"/>
  <c r="C4056" i="4"/>
  <c r="C3137" i="4"/>
  <c r="C9498" i="4"/>
  <c r="C6463" i="4"/>
  <c r="C6328" i="4"/>
  <c r="C1960" i="4"/>
  <c r="C5525" i="4"/>
  <c r="C4189" i="4"/>
  <c r="C4652" i="4"/>
  <c r="C3535" i="4"/>
  <c r="C3360" i="4"/>
  <c r="C2621" i="4"/>
  <c r="C5020" i="4"/>
  <c r="C5072" i="4"/>
  <c r="C2676" i="4"/>
  <c r="C5126" i="4"/>
  <c r="C4549" i="4"/>
  <c r="C1591" i="4"/>
  <c r="C8471" i="4"/>
  <c r="C5400" i="4"/>
  <c r="C7071" i="4"/>
  <c r="C7166" i="4"/>
  <c r="C9327" i="4"/>
  <c r="C6459" i="4"/>
  <c r="C2631" i="4"/>
  <c r="C2201" i="4"/>
  <c r="C2242" i="4"/>
  <c r="C2278" i="4"/>
  <c r="C3266" i="4"/>
  <c r="C4589" i="4"/>
  <c r="C5151" i="4"/>
  <c r="C8980" i="4"/>
  <c r="C5927" i="4"/>
  <c r="C9003" i="4"/>
  <c r="C1992" i="4"/>
  <c r="C3597" i="4"/>
  <c r="C6950" i="4"/>
  <c r="C8741" i="4"/>
  <c r="C5720" i="4"/>
  <c r="C4088" i="4"/>
  <c r="C6982" i="4"/>
  <c r="C3796" i="4"/>
  <c r="C4760" i="4"/>
  <c r="C5480" i="4"/>
  <c r="C3789" i="4"/>
  <c r="C2048" i="4"/>
  <c r="C2849" i="4"/>
  <c r="C8205" i="4"/>
  <c r="C2320" i="4"/>
  <c r="C4527" i="4"/>
  <c r="C1235" i="4"/>
  <c r="C8441" i="4"/>
  <c r="C8520" i="4"/>
  <c r="C3090" i="4"/>
  <c r="C7907" i="4"/>
  <c r="C8418" i="4"/>
  <c r="C7572" i="4"/>
  <c r="C2826" i="4"/>
  <c r="C4267" i="4"/>
  <c r="C2446" i="4"/>
  <c r="C4932" i="4"/>
  <c r="C5092" i="4"/>
  <c r="C8126" i="4"/>
  <c r="C5799" i="4"/>
  <c r="C4911" i="4"/>
  <c r="C6609" i="4"/>
  <c r="C10250" i="4"/>
  <c r="C6100" i="4"/>
  <c r="C4340" i="4"/>
  <c r="C7447" i="4"/>
  <c r="C3201" i="4"/>
  <c r="C6092" i="4"/>
  <c r="C3868" i="4"/>
  <c r="C8537" i="4"/>
  <c r="C6305" i="4"/>
  <c r="C8916" i="4"/>
  <c r="C3806" i="4"/>
  <c r="C2504" i="4"/>
  <c r="C3614" i="4"/>
  <c r="C3253" i="4"/>
  <c r="C10106" i="4"/>
  <c r="C4707" i="4"/>
  <c r="C10122" i="4"/>
  <c r="C5932" i="4"/>
  <c r="C5470" i="4"/>
  <c r="C9472" i="4"/>
  <c r="C8571" i="4"/>
  <c r="C7546" i="4"/>
  <c r="C7550" i="4"/>
  <c r="C8065" i="4"/>
  <c r="C4054" i="4"/>
  <c r="C7020" i="4"/>
  <c r="C5366" i="4"/>
  <c r="C2756" i="4"/>
  <c r="C510" i="4"/>
  <c r="C2142" i="4"/>
  <c r="C4207" i="4"/>
  <c r="C2699" i="4"/>
  <c r="C2312" i="4"/>
  <c r="C4446" i="4"/>
  <c r="C7631" i="4"/>
  <c r="C6497" i="4"/>
  <c r="C5181" i="4"/>
  <c r="C7053" i="4"/>
  <c r="C2391" i="4"/>
  <c r="C3102" i="4"/>
  <c r="C8846" i="4"/>
  <c r="C1416" i="4"/>
  <c r="C5941" i="4"/>
  <c r="C7719" i="4"/>
  <c r="C3931" i="4"/>
  <c r="C5241" i="4"/>
  <c r="C2716" i="4"/>
  <c r="C4338" i="4"/>
  <c r="C3008" i="4"/>
  <c r="C4606" i="4"/>
  <c r="C8064" i="4"/>
  <c r="C8507" i="4"/>
  <c r="C5673" i="4"/>
  <c r="C8448" i="4"/>
  <c r="C3133" i="4"/>
  <c r="C1375" i="4"/>
  <c r="C5677" i="4"/>
  <c r="C756" i="4"/>
  <c r="C3316" i="4"/>
  <c r="C4836" i="4"/>
  <c r="C809" i="4"/>
  <c r="C2279" i="4"/>
  <c r="C3160" i="4"/>
  <c r="C2256" i="4"/>
  <c r="C4598" i="4"/>
  <c r="C3913" i="4"/>
  <c r="C3088" i="4"/>
  <c r="C3590" i="4"/>
  <c r="C4997" i="4"/>
  <c r="C4001" i="4"/>
  <c r="C8086" i="4"/>
  <c r="C6319" i="4"/>
  <c r="C5707" i="4"/>
  <c r="C5243" i="4"/>
  <c r="C6136" i="4"/>
  <c r="C5683" i="4"/>
  <c r="C7291" i="4"/>
  <c r="C6735" i="4"/>
  <c r="C10518" i="4"/>
  <c r="C3749" i="4"/>
  <c r="C4229" i="4"/>
  <c r="C3690" i="4"/>
  <c r="C1112" i="4"/>
  <c r="C2352" i="4"/>
  <c r="C1234" i="4"/>
  <c r="C3654" i="4"/>
  <c r="C3666" i="4"/>
  <c r="C5427" i="4"/>
  <c r="C4283" i="4"/>
  <c r="C2718" i="4"/>
  <c r="C1919" i="4"/>
  <c r="C3383" i="4"/>
  <c r="C2167" i="4"/>
  <c r="C6438" i="4"/>
  <c r="C3464" i="4"/>
  <c r="C1208" i="4"/>
  <c r="C6739" i="4"/>
  <c r="C6220" i="4"/>
  <c r="C8245" i="4"/>
  <c r="C10205" i="4"/>
  <c r="C7660" i="4"/>
  <c r="C6532" i="4"/>
  <c r="C10083" i="4"/>
  <c r="C1037" i="4"/>
  <c r="C2112" i="4"/>
  <c r="C449" i="4"/>
  <c r="C1299" i="4"/>
  <c r="C845" i="4"/>
  <c r="C5643" i="4"/>
  <c r="C3474" i="4"/>
  <c r="C3652" i="4"/>
  <c r="C1651" i="4"/>
  <c r="C4324" i="4"/>
  <c r="C4046" i="4"/>
  <c r="C4820" i="4"/>
  <c r="C5111" i="4"/>
  <c r="C5394" i="4"/>
  <c r="C995" i="4"/>
  <c r="C4385" i="4"/>
  <c r="C4670" i="4"/>
  <c r="C7358" i="4"/>
  <c r="C5732" i="4"/>
  <c r="C2788" i="4"/>
  <c r="C3813" i="4"/>
  <c r="C3787" i="4"/>
  <c r="C4580" i="4"/>
  <c r="C5421" i="4"/>
  <c r="C5369" i="4"/>
  <c r="C3571" i="4"/>
  <c r="C3595" i="4"/>
  <c r="C6612" i="4"/>
  <c r="C8787" i="4"/>
  <c r="C4239" i="4"/>
  <c r="C5688" i="4"/>
  <c r="C8014" i="4"/>
  <c r="C6349" i="4"/>
  <c r="C3580" i="4"/>
  <c r="C3823" i="4"/>
  <c r="C1731" i="4"/>
  <c r="C317" i="4"/>
  <c r="C4113" i="4"/>
  <c r="C5725" i="4"/>
  <c r="C3230" i="4"/>
  <c r="C4727" i="4"/>
  <c r="C5727" i="4"/>
  <c r="C2562" i="4"/>
  <c r="C3143" i="4"/>
  <c r="C668" i="4"/>
  <c r="C1738" i="4"/>
  <c r="C177" i="4"/>
  <c r="C173" i="4"/>
  <c r="C3341" i="4"/>
  <c r="C1289" i="4"/>
  <c r="C325" i="4"/>
  <c r="C3733" i="4"/>
  <c r="C1110" i="4"/>
  <c r="C3350" i="4"/>
  <c r="C7399" i="4"/>
  <c r="C3182" i="4"/>
  <c r="C1879" i="4"/>
  <c r="C3619" i="4"/>
  <c r="C5940" i="4"/>
  <c r="C4705" i="4"/>
  <c r="C4465" i="4"/>
  <c r="C5218" i="4"/>
  <c r="C4457" i="4"/>
  <c r="C4741" i="4"/>
  <c r="C5614" i="4"/>
  <c r="C4775" i="4"/>
  <c r="C3567" i="4"/>
  <c r="C4858" i="4"/>
  <c r="C5930" i="4"/>
  <c r="C6557" i="4"/>
  <c r="C6581" i="4"/>
  <c r="C8271" i="4"/>
  <c r="C2009" i="4"/>
  <c r="C1628" i="4"/>
  <c r="C1109" i="4"/>
  <c r="C1567" i="4"/>
  <c r="C5451" i="4"/>
  <c r="C673" i="4"/>
  <c r="C2177" i="4"/>
  <c r="C8772" i="4"/>
  <c r="C1214" i="4"/>
  <c r="C4656" i="4"/>
  <c r="C5070" i="4"/>
  <c r="C7583" i="4"/>
  <c r="C3780" i="4"/>
  <c r="C1776" i="4"/>
  <c r="C1457" i="4"/>
  <c r="C2220" i="4"/>
  <c r="C3424" i="4"/>
  <c r="C5962" i="4"/>
  <c r="C4600" i="4"/>
  <c r="C5708" i="4"/>
  <c r="C3490" i="4"/>
  <c r="C2723" i="4"/>
  <c r="C8909" i="4"/>
  <c r="C4717" i="4"/>
  <c r="C7559" i="4"/>
  <c r="C5670" i="4"/>
  <c r="C8041" i="4"/>
  <c r="C5789" i="4"/>
  <c r="C6243" i="4"/>
  <c r="C2187" i="4"/>
  <c r="C3195" i="4"/>
  <c r="C1746" i="4"/>
  <c r="C2191" i="4"/>
  <c r="C829" i="4"/>
  <c r="C2359" i="4"/>
  <c r="C4184" i="4"/>
  <c r="C3426" i="4"/>
  <c r="C3808" i="4"/>
  <c r="C6199" i="4"/>
  <c r="C1600" i="4"/>
  <c r="C2511" i="4"/>
  <c r="C4991" i="4"/>
  <c r="C5423" i="4"/>
  <c r="C978" i="4"/>
  <c r="C3588" i="4"/>
  <c r="C4921" i="4"/>
  <c r="C4981" i="4"/>
  <c r="C6985" i="4"/>
  <c r="C7062" i="4"/>
  <c r="C8469" i="4"/>
  <c r="C8562" i="4"/>
  <c r="C6451" i="4"/>
  <c r="C6014" i="4"/>
  <c r="C7016" i="4"/>
  <c r="C2560" i="4"/>
  <c r="C4692" i="4"/>
  <c r="C5534" i="4"/>
  <c r="C6066" i="4"/>
  <c r="C5256" i="4"/>
  <c r="C6390" i="4"/>
  <c r="C5585" i="4"/>
  <c r="C7776" i="4"/>
  <c r="C6996" i="4"/>
  <c r="C8301" i="4"/>
  <c r="C5937" i="4"/>
  <c r="C8407" i="4"/>
  <c r="C9080" i="4"/>
  <c r="C9606" i="4"/>
  <c r="C10123" i="4"/>
  <c r="C6096" i="4"/>
  <c r="C6933" i="4"/>
  <c r="C5563" i="4"/>
  <c r="C6050" i="4"/>
  <c r="C6525" i="4"/>
  <c r="C5621" i="4"/>
  <c r="C5933" i="4"/>
  <c r="C6981" i="4"/>
  <c r="C8216" i="4"/>
  <c r="C8690" i="4"/>
  <c r="C6764" i="4"/>
  <c r="C9011" i="4"/>
  <c r="C3723" i="4"/>
  <c r="C5848" i="4"/>
  <c r="C5784" i="4"/>
  <c r="C4918" i="4"/>
  <c r="C3566" i="4"/>
  <c r="C3013" i="4"/>
  <c r="C5100" i="4"/>
  <c r="C7809" i="4"/>
  <c r="C5993" i="4"/>
  <c r="C6063" i="4"/>
  <c r="C4912" i="4"/>
  <c r="C6550" i="4"/>
  <c r="C1816" i="4"/>
  <c r="C9079" i="4"/>
  <c r="C5373" i="4"/>
  <c r="C7826" i="4"/>
  <c r="C6345" i="4"/>
  <c r="C4786" i="4"/>
  <c r="C6006" i="4"/>
  <c r="C2503" i="4"/>
  <c r="C4158" i="4"/>
  <c r="C2622" i="4"/>
  <c r="C3737" i="4"/>
  <c r="C2000" i="4"/>
  <c r="C5765" i="4"/>
  <c r="C7368" i="4"/>
  <c r="C8637" i="4"/>
  <c r="C6095" i="4"/>
  <c r="C4370" i="4"/>
  <c r="C4293" i="4"/>
  <c r="C7394" i="4"/>
  <c r="C6195" i="4"/>
  <c r="C8882" i="4"/>
  <c r="C8259" i="4"/>
  <c r="C5857" i="4"/>
  <c r="C8447" i="4"/>
  <c r="C935" i="4"/>
  <c r="C7862" i="4"/>
  <c r="C7032" i="4"/>
  <c r="C6244" i="4"/>
  <c r="C7355" i="4"/>
  <c r="C3376" i="4"/>
  <c r="C2900" i="4"/>
  <c r="C6218" i="4"/>
  <c r="C5232" i="4"/>
  <c r="C6088" i="4"/>
  <c r="C1983" i="4"/>
  <c r="C1011" i="4"/>
  <c r="C1908" i="4"/>
  <c r="C2671" i="4"/>
  <c r="C4149" i="4"/>
  <c r="C3782" i="4"/>
  <c r="C4564" i="4"/>
  <c r="C3162" i="4"/>
  <c r="C5238" i="4"/>
  <c r="C3773" i="4"/>
  <c r="C3355" i="4"/>
  <c r="C6695" i="4"/>
  <c r="C2358" i="4"/>
  <c r="C3320" i="4"/>
  <c r="C4009" i="4"/>
  <c r="C4295" i="4"/>
  <c r="C5603" i="4"/>
  <c r="C4586" i="4"/>
  <c r="C2384" i="4"/>
  <c r="C4548" i="4"/>
  <c r="C6585" i="4"/>
  <c r="C6693" i="4"/>
  <c r="C6978" i="4"/>
  <c r="C6542" i="4"/>
  <c r="C5811" i="4"/>
  <c r="C8150" i="4"/>
  <c r="C5075" i="4"/>
  <c r="C984" i="4"/>
  <c r="C2210" i="4"/>
  <c r="C5486" i="4"/>
  <c r="C3533" i="4"/>
  <c r="C4655" i="4"/>
  <c r="C4417" i="4"/>
  <c r="C3630" i="4"/>
  <c r="C3183" i="4"/>
  <c r="C4990" i="4"/>
  <c r="C3030" i="4"/>
  <c r="C4172" i="4"/>
  <c r="C1162" i="4"/>
  <c r="C4082" i="4"/>
  <c r="C1695" i="4"/>
  <c r="C5951" i="4"/>
  <c r="C6904" i="4"/>
  <c r="C3665" i="4"/>
  <c r="C3962" i="4"/>
  <c r="C2814" i="4"/>
  <c r="C1563" i="4"/>
  <c r="C3574" i="4"/>
  <c r="C2638" i="4"/>
  <c r="C4463" i="4"/>
  <c r="C7834" i="4"/>
  <c r="C5795" i="4"/>
  <c r="C4224" i="4"/>
  <c r="C7109" i="4"/>
  <c r="C7380" i="4"/>
  <c r="C5691" i="4"/>
  <c r="C7115" i="4"/>
  <c r="C5814" i="4"/>
  <c r="C7132" i="4"/>
  <c r="C3128" i="4"/>
  <c r="C816" i="4"/>
  <c r="C1999" i="4"/>
  <c r="C350" i="4"/>
  <c r="C4169" i="4"/>
  <c r="C5053" i="4"/>
  <c r="C1672" i="4"/>
  <c r="C6272" i="4"/>
  <c r="C3716" i="4"/>
  <c r="C2024" i="4"/>
  <c r="C1895" i="4"/>
  <c r="C2974" i="4"/>
  <c r="C4304" i="4"/>
  <c r="C1126" i="4"/>
  <c r="C6188" i="4"/>
  <c r="C2928" i="4"/>
  <c r="C3074" i="4"/>
  <c r="C3816" i="4"/>
  <c r="C5883" i="4"/>
  <c r="C6067" i="4"/>
  <c r="C4167" i="4"/>
  <c r="C3222" i="4"/>
  <c r="C4810" i="4"/>
  <c r="C6629" i="4"/>
  <c r="C4318" i="4"/>
  <c r="C8734" i="4"/>
  <c r="C5689" i="4"/>
  <c r="C9239" i="4"/>
  <c r="C5497" i="4"/>
  <c r="C9399" i="4"/>
  <c r="C6336" i="4"/>
  <c r="C1012" i="4"/>
  <c r="C3435" i="4"/>
  <c r="C3885" i="4"/>
  <c r="C6646" i="4"/>
  <c r="C10118" i="4"/>
  <c r="C6856" i="4"/>
  <c r="C2478" i="4"/>
  <c r="C2972" i="4"/>
  <c r="C4350" i="4"/>
  <c r="C1860" i="4"/>
  <c r="C2199" i="4"/>
  <c r="C4363" i="4"/>
  <c r="C5756" i="4"/>
  <c r="C6597" i="4"/>
  <c r="C4840" i="4"/>
  <c r="C4450" i="4"/>
  <c r="C3584" i="4"/>
  <c r="C3715" i="4"/>
  <c r="C4781" i="4"/>
  <c r="C8427" i="4"/>
  <c r="C5289" i="4"/>
  <c r="C4880" i="4"/>
  <c r="C4328" i="4"/>
  <c r="C10467" i="4"/>
  <c r="C8225" i="4"/>
  <c r="C1359" i="4"/>
  <c r="C1754" i="4"/>
  <c r="C804" i="4"/>
  <c r="C133" i="4"/>
  <c r="C2923" i="4"/>
  <c r="C4650" i="4"/>
  <c r="C6048" i="4"/>
  <c r="C3706" i="4"/>
  <c r="C4620" i="4"/>
  <c r="C5145" i="4"/>
  <c r="C3938" i="4"/>
  <c r="C5726" i="4"/>
  <c r="C7892" i="4"/>
  <c r="C3941" i="4"/>
  <c r="C5302" i="4"/>
  <c r="C4393" i="4"/>
  <c r="C4447" i="4"/>
  <c r="C3525" i="4"/>
  <c r="C6460" i="4"/>
  <c r="C6888" i="4"/>
  <c r="C4940" i="4"/>
  <c r="C5714" i="4"/>
  <c r="C5012" i="4"/>
  <c r="C4756" i="4"/>
  <c r="C5303" i="4"/>
  <c r="C9779" i="4"/>
  <c r="C8584" i="4"/>
  <c r="C8449" i="4"/>
  <c r="C7494" i="4"/>
  <c r="C8327" i="4"/>
  <c r="C7425" i="4"/>
  <c r="C6028" i="4"/>
  <c r="C6320" i="4"/>
  <c r="C5664" i="4"/>
  <c r="C5015" i="4"/>
  <c r="C5116" i="4"/>
  <c r="C8612" i="4"/>
  <c r="C2765" i="4"/>
  <c r="C2781" i="4"/>
  <c r="C6621" i="4"/>
  <c r="C9047" i="4"/>
  <c r="C5696" i="4"/>
  <c r="C8232" i="4"/>
  <c r="C7988" i="4"/>
  <c r="C8391" i="4"/>
  <c r="C9287" i="4"/>
  <c r="C9151" i="4"/>
  <c r="C10789" i="4"/>
  <c r="C4307" i="4"/>
  <c r="C9966" i="4"/>
  <c r="C5817" i="4"/>
  <c r="C5125" i="4"/>
  <c r="C6227" i="4"/>
  <c r="C9566" i="4"/>
  <c r="C4892" i="4"/>
  <c r="C3761" i="4"/>
  <c r="C6146" i="4"/>
  <c r="C8152" i="4"/>
  <c r="C8456" i="4"/>
  <c r="C10058" i="4"/>
  <c r="C4191" i="4"/>
  <c r="C3767" i="4"/>
  <c r="C3083" i="4"/>
  <c r="C5384" i="4"/>
  <c r="C2288" i="4"/>
  <c r="C2760" i="4"/>
  <c r="C3866" i="4"/>
  <c r="C2592" i="4"/>
  <c r="C3610" i="4"/>
  <c r="C4778" i="4"/>
  <c r="C5658" i="4"/>
  <c r="C1554" i="4"/>
  <c r="C2505" i="4"/>
  <c r="C6590" i="4"/>
  <c r="C5984" i="4"/>
  <c r="C7756" i="4"/>
  <c r="C9041" i="4"/>
  <c r="C10113" i="4"/>
  <c r="C9529" i="4"/>
  <c r="C5392" i="4"/>
  <c r="C5112" i="4"/>
  <c r="C7495" i="4"/>
  <c r="C4288" i="4"/>
  <c r="C318" i="4"/>
  <c r="C4651" i="4"/>
  <c r="C1795" i="4"/>
  <c r="C4852" i="4"/>
  <c r="C2120" i="4"/>
  <c r="C5775" i="4"/>
  <c r="C3467" i="4"/>
  <c r="C3642" i="4"/>
  <c r="C3028" i="4"/>
  <c r="C4232" i="4"/>
  <c r="C6037" i="4"/>
  <c r="C5084" i="4"/>
  <c r="C5491" i="4"/>
  <c r="C6168" i="4"/>
  <c r="C9986" i="4"/>
  <c r="C6138" i="4"/>
  <c r="C3734" i="4"/>
  <c r="C2151" i="4"/>
  <c r="C2775" i="4"/>
  <c r="C2420" i="4"/>
  <c r="C4068" i="4"/>
  <c r="C4472" i="4"/>
  <c r="C1894" i="4"/>
  <c r="C3850" i="4"/>
  <c r="C4998" i="4"/>
  <c r="C4123" i="4"/>
  <c r="C7972" i="4"/>
  <c r="C4415" i="4"/>
  <c r="C7270" i="4"/>
  <c r="C8060" i="4"/>
  <c r="C2698" i="4"/>
  <c r="C1976" i="4"/>
  <c r="C2681" i="4"/>
  <c r="C2949" i="4"/>
  <c r="C2330" i="4"/>
  <c r="C3321" i="4"/>
  <c r="C2002" i="4"/>
  <c r="C3697" i="4"/>
  <c r="C6890" i="4"/>
  <c r="C3856" i="4"/>
  <c r="C5356" i="4"/>
  <c r="C6819" i="4"/>
  <c r="C5420" i="4"/>
  <c r="C6902" i="4"/>
  <c r="C7973" i="4"/>
  <c r="C5671" i="4"/>
  <c r="C3161" i="4"/>
  <c r="C292" i="4"/>
  <c r="C1021" i="4"/>
  <c r="C51" i="4"/>
  <c r="C2502" i="4"/>
  <c r="C4257" i="4"/>
  <c r="C2253" i="4"/>
  <c r="C3585" i="4"/>
  <c r="C3604" i="4"/>
  <c r="C3169" i="4"/>
  <c r="C4421" i="4"/>
  <c r="C2301" i="4"/>
  <c r="C6282" i="4"/>
  <c r="C5056" i="4"/>
  <c r="C3071" i="4"/>
  <c r="C343" i="4"/>
  <c r="C2245" i="4"/>
  <c r="C2411" i="4"/>
  <c r="C1546" i="4"/>
  <c r="C1864" i="4"/>
  <c r="C2861" i="4"/>
  <c r="C3781" i="4"/>
  <c r="C5093" i="4"/>
  <c r="C4031" i="4"/>
  <c r="C3249" i="4"/>
  <c r="C3926" i="4"/>
  <c r="C2613" i="4"/>
  <c r="C1454" i="4"/>
  <c r="C1975" i="4"/>
  <c r="C5263" i="4"/>
  <c r="C5147" i="4"/>
  <c r="C7298" i="4"/>
  <c r="C3423" i="4"/>
  <c r="C5568" i="4"/>
  <c r="C6267" i="4"/>
  <c r="C7640" i="4"/>
  <c r="C7783" i="4"/>
  <c r="C2137" i="4"/>
  <c r="C597" i="4"/>
  <c r="C1393" i="4"/>
  <c r="C95" i="4"/>
  <c r="C847" i="4"/>
  <c r="C635" i="4"/>
  <c r="C1325" i="4"/>
  <c r="C4003" i="4"/>
  <c r="C2743" i="4"/>
  <c r="C4348" i="4"/>
  <c r="C1143" i="4"/>
  <c r="C7363" i="4"/>
  <c r="C4508" i="4"/>
  <c r="C2275" i="4"/>
  <c r="C5027" i="4"/>
  <c r="C3710" i="4"/>
  <c r="C1133" i="4"/>
  <c r="C4964" i="4"/>
  <c r="C4806" i="4"/>
  <c r="C1796" i="4"/>
  <c r="C3327" i="4"/>
  <c r="C1152" i="4"/>
  <c r="C3988" i="4"/>
  <c r="C4926" i="4"/>
  <c r="C4963" i="4"/>
  <c r="C2802" i="4"/>
  <c r="C2930" i="4"/>
  <c r="C6718" i="4"/>
  <c r="C8228" i="4"/>
  <c r="C10112" i="4"/>
  <c r="C604" i="4"/>
  <c r="C4312" i="4"/>
  <c r="C821" i="4"/>
  <c r="C77" i="4"/>
  <c r="C3081" i="4"/>
  <c r="C2243" i="4"/>
  <c r="C6129" i="4"/>
  <c r="C2986" i="4"/>
  <c r="C2155" i="4"/>
  <c r="C5587" i="4"/>
  <c r="C1256" i="4"/>
  <c r="C942" i="4"/>
  <c r="C3349" i="4"/>
  <c r="C3037" i="4"/>
  <c r="C5320" i="4"/>
  <c r="C6934" i="4"/>
  <c r="C3955" i="4"/>
  <c r="C8662" i="4"/>
  <c r="C5198" i="4"/>
  <c r="C3040" i="4"/>
  <c r="C4470" i="4"/>
  <c r="C4187" i="4"/>
  <c r="C3154" i="4"/>
  <c r="C4978" i="4"/>
  <c r="C9572" i="4"/>
  <c r="C7246" i="4"/>
  <c r="C5506" i="4"/>
  <c r="C7143" i="4"/>
  <c r="C8625" i="4"/>
  <c r="C1577" i="4"/>
  <c r="C729" i="4"/>
  <c r="C1125" i="4"/>
  <c r="C6496" i="4"/>
  <c r="C3312" i="4"/>
  <c r="C460" i="4"/>
  <c r="C2106" i="4"/>
  <c r="C1967" i="4"/>
  <c r="C1634" i="4"/>
  <c r="C4127" i="4"/>
  <c r="C408" i="4"/>
  <c r="C2924" i="4"/>
  <c r="C1576" i="4"/>
  <c r="C4882" i="4"/>
  <c r="C3228" i="4"/>
  <c r="C3906" i="4"/>
  <c r="C3735" i="4"/>
  <c r="C4018" i="4"/>
  <c r="C7435" i="4"/>
  <c r="C1465" i="4"/>
  <c r="C3903" i="4"/>
  <c r="C2770" i="4"/>
  <c r="C4648" i="4"/>
  <c r="C7842" i="4"/>
  <c r="C10385" i="4"/>
  <c r="C6529" i="4"/>
  <c r="C5338" i="4"/>
  <c r="C6081" i="4"/>
  <c r="C6052" i="4"/>
  <c r="C4430" i="4"/>
  <c r="C7564" i="4"/>
  <c r="C8181" i="4"/>
  <c r="C3085" i="4"/>
  <c r="C3763" i="4"/>
  <c r="C2811" i="4"/>
  <c r="C549" i="4"/>
  <c r="C3997" i="4"/>
  <c r="C2331" i="4"/>
  <c r="C1170" i="4"/>
  <c r="C405" i="4"/>
  <c r="C1945" i="4"/>
  <c r="C517" i="4"/>
  <c r="C5153" i="4"/>
  <c r="C1500" i="4"/>
  <c r="C8707" i="4"/>
  <c r="C7371" i="4"/>
  <c r="C2111" i="4"/>
  <c r="C2735" i="4"/>
  <c r="C5847" i="4"/>
  <c r="C5250" i="4"/>
  <c r="C3999" i="4"/>
  <c r="C5094" i="4"/>
  <c r="C5797" i="4"/>
  <c r="C4110" i="4"/>
  <c r="C4872" i="4"/>
  <c r="C5311" i="4"/>
  <c r="C9139" i="4"/>
  <c r="C3698" i="4"/>
  <c r="C4367" i="4"/>
  <c r="C7013" i="4"/>
  <c r="C9331" i="4"/>
  <c r="C3756" i="4"/>
  <c r="C1158" i="4"/>
  <c r="C5129" i="4"/>
  <c r="C1859" i="4"/>
  <c r="C1778" i="4"/>
  <c r="C6956" i="4"/>
  <c r="C5542" i="4"/>
  <c r="C3673" i="4"/>
  <c r="C7074" i="4"/>
  <c r="C6926" i="4"/>
  <c r="C9888" i="4"/>
  <c r="C1536" i="4"/>
  <c r="C3764" i="4"/>
  <c r="C2740" i="4"/>
  <c r="C4875" i="4"/>
  <c r="C6672" i="4"/>
  <c r="C4767" i="4"/>
  <c r="C7758" i="4"/>
  <c r="C8047" i="4"/>
  <c r="C6990" i="4"/>
  <c r="C9321" i="4"/>
  <c r="C7089" i="4"/>
  <c r="C2976" i="4"/>
  <c r="C4807" i="4"/>
  <c r="C1453" i="4"/>
  <c r="C4053" i="4"/>
  <c r="C4199" i="4"/>
  <c r="C8235" i="4"/>
  <c r="C5798" i="4"/>
  <c r="C8770" i="4"/>
  <c r="C4073" i="4"/>
  <c r="C10798" i="4"/>
  <c r="C4695" i="4"/>
  <c r="C7537" i="4"/>
  <c r="C8678" i="4"/>
  <c r="C10729" i="4"/>
  <c r="C10498" i="4"/>
  <c r="C1755" i="4"/>
  <c r="C4693" i="4"/>
  <c r="C5115" i="4"/>
  <c r="C4698" i="4"/>
  <c r="C6647" i="4"/>
  <c r="C6030" i="4"/>
  <c r="C6344" i="4"/>
  <c r="C4753" i="4"/>
  <c r="C7478" i="4"/>
  <c r="C10239" i="4"/>
  <c r="C7898" i="4"/>
  <c r="C5900" i="4"/>
  <c r="C2792" i="4"/>
  <c r="C4360" i="4"/>
  <c r="C2625" i="4"/>
  <c r="C5275" i="4"/>
  <c r="C8381" i="4"/>
  <c r="C5912" i="4"/>
  <c r="C6805" i="4"/>
  <c r="C7860" i="4"/>
  <c r="C4157" i="4"/>
  <c r="C7530" i="4"/>
  <c r="C7686" i="4"/>
  <c r="C3937" i="4"/>
  <c r="C9657" i="4"/>
  <c r="C7390" i="4"/>
  <c r="C7893" i="4"/>
  <c r="C8570" i="4"/>
  <c r="C9516" i="4"/>
  <c r="C2311" i="4"/>
  <c r="C5187" i="4"/>
  <c r="C4679" i="4"/>
  <c r="C1808" i="4"/>
  <c r="C8360" i="4"/>
  <c r="C5831" i="4"/>
  <c r="C4830" i="4"/>
  <c r="C5223" i="4"/>
  <c r="C5954" i="4"/>
  <c r="C5665" i="4"/>
  <c r="C8761" i="4"/>
  <c r="C8257" i="4"/>
  <c r="C8538" i="4"/>
  <c r="C8055" i="4"/>
  <c r="C8499" i="4"/>
  <c r="C7322" i="4"/>
  <c r="C6782" i="4"/>
  <c r="C6221" i="4"/>
  <c r="C6915" i="4"/>
  <c r="C6504" i="4"/>
  <c r="C4931" i="4"/>
  <c r="C6841" i="4"/>
  <c r="C7663" i="4"/>
  <c r="C7386" i="4"/>
  <c r="C5549" i="4"/>
  <c r="C3058" i="4"/>
  <c r="C9532" i="4"/>
  <c r="C9728" i="4"/>
  <c r="C4440" i="4"/>
  <c r="C4562" i="4"/>
  <c r="C3882" i="4"/>
  <c r="C2630" i="4"/>
  <c r="C5137" i="4"/>
  <c r="C2200" i="4"/>
  <c r="C6851" i="4"/>
  <c r="C9853" i="4"/>
  <c r="C4690" i="4"/>
  <c r="C8865" i="4"/>
  <c r="C5270" i="4"/>
  <c r="C3339" i="4"/>
  <c r="C9136" i="4"/>
  <c r="C7822" i="4"/>
  <c r="C8193" i="4"/>
  <c r="C8334" i="4"/>
  <c r="C3748" i="4"/>
  <c r="C5293" i="4"/>
  <c r="C4774" i="4"/>
  <c r="C8078" i="4"/>
  <c r="C2134" i="4"/>
  <c r="C4834" i="4"/>
  <c r="C2480" i="4"/>
  <c r="C2367" i="4"/>
  <c r="C6965" i="4"/>
  <c r="C4680" i="4"/>
  <c r="C2866" i="4"/>
  <c r="C3918" i="4"/>
  <c r="C2867" i="4"/>
  <c r="C2290" i="4"/>
  <c r="C3766" i="4"/>
  <c r="C3450" i="4"/>
  <c r="C2997" i="4"/>
  <c r="C2888" i="4"/>
  <c r="C4896" i="4"/>
  <c r="C3456" i="4"/>
  <c r="C3393" i="4"/>
  <c r="C1444" i="4"/>
  <c r="C6663" i="4"/>
  <c r="C3041" i="4"/>
  <c r="C2719" i="4"/>
  <c r="C7426" i="4"/>
  <c r="C6822" i="4"/>
  <c r="C5030" i="4"/>
  <c r="C5216" i="4"/>
  <c r="C5496" i="4"/>
  <c r="C9104" i="4"/>
  <c r="C6236" i="4"/>
  <c r="C7828" i="4"/>
  <c r="C8039" i="4"/>
  <c r="C9642" i="4"/>
  <c r="C289" i="4"/>
  <c r="C1845" i="4"/>
  <c r="C3802" i="4"/>
  <c r="C4649" i="4"/>
  <c r="C3247" i="4"/>
  <c r="C7021" i="4"/>
  <c r="C4442" i="4"/>
  <c r="C5202" i="4"/>
  <c r="C1327" i="4"/>
  <c r="C2579" i="4"/>
  <c r="C2569" i="4"/>
  <c r="C3647" i="4"/>
  <c r="C2985" i="4"/>
  <c r="C4847" i="4"/>
  <c r="C3721" i="4"/>
  <c r="C4164" i="4"/>
  <c r="C3134" i="4"/>
  <c r="C3578" i="4"/>
  <c r="C3215" i="4"/>
  <c r="C4518" i="4"/>
  <c r="C2584" i="4"/>
  <c r="C6846" i="4"/>
  <c r="C8336" i="4"/>
  <c r="C6069" i="4"/>
  <c r="C3977" i="4"/>
  <c r="C3649" i="4"/>
  <c r="C3873" i="4"/>
  <c r="C5837" i="4"/>
  <c r="C2909" i="4"/>
  <c r="C10479" i="4"/>
  <c r="C7791" i="4"/>
  <c r="C7149" i="4"/>
  <c r="C3779" i="4"/>
  <c r="C2141" i="4"/>
  <c r="C3429" i="4"/>
  <c r="C4404" i="4"/>
  <c r="C4396" i="4"/>
  <c r="C6777" i="4"/>
  <c r="C5102" i="4"/>
  <c r="C5389" i="4"/>
  <c r="C855" i="4"/>
  <c r="C6779" i="4"/>
  <c r="C5815" i="4"/>
  <c r="C3098" i="4"/>
  <c r="C4980" i="4"/>
  <c r="C5386" i="4"/>
  <c r="C4122" i="4"/>
  <c r="C4565" i="4"/>
  <c r="C7211" i="4"/>
  <c r="C2102" i="4"/>
  <c r="C4751" i="4"/>
  <c r="C4929" i="4"/>
  <c r="C5041" i="4"/>
  <c r="C3880" i="4"/>
  <c r="C7208" i="4"/>
  <c r="C8994" i="4"/>
  <c r="C4857" i="4"/>
  <c r="C3512" i="4"/>
  <c r="C6021" i="4"/>
  <c r="C8735" i="4"/>
  <c r="C8658" i="4"/>
  <c r="C10595" i="4"/>
  <c r="C3274" i="4"/>
  <c r="C2823" i="4"/>
  <c r="C1802" i="4"/>
  <c r="C3471" i="4"/>
  <c r="C3920" i="4"/>
  <c r="C5686" i="4"/>
  <c r="C5069" i="4"/>
  <c r="C3050" i="4"/>
  <c r="C6169" i="4"/>
  <c r="C4048" i="4"/>
  <c r="C1869" i="4"/>
  <c r="C3483" i="4"/>
  <c r="C5131" i="4"/>
  <c r="C5101" i="4"/>
  <c r="C5246" i="4"/>
  <c r="C3486" i="4"/>
  <c r="C5464" i="4"/>
  <c r="C4197" i="4"/>
  <c r="C5634" i="4"/>
  <c r="C2657" i="4"/>
  <c r="C3990" i="4"/>
  <c r="C4517" i="4"/>
  <c r="C5703" i="4"/>
  <c r="C8776" i="4"/>
  <c r="C6547" i="4"/>
  <c r="C7785" i="4"/>
  <c r="C6430" i="4"/>
  <c r="C5239" i="4"/>
  <c r="C6874" i="4"/>
  <c r="C8970" i="4"/>
  <c r="C4657" i="4"/>
  <c r="C4855" i="4"/>
  <c r="C8166" i="4"/>
  <c r="C7325" i="4"/>
  <c r="C8473" i="4"/>
  <c r="C397" i="4"/>
  <c r="C4878" i="4"/>
  <c r="C554" i="4"/>
  <c r="C3399" i="4"/>
  <c r="C734" i="4"/>
  <c r="C2160" i="4"/>
  <c r="C2087" i="4"/>
  <c r="C3857" i="4"/>
  <c r="C2520" i="4"/>
  <c r="C2399" i="4"/>
  <c r="C5504" i="4"/>
  <c r="C2316" i="4"/>
  <c r="C4437" i="4"/>
  <c r="C3791" i="4"/>
  <c r="C3624" i="4"/>
  <c r="C3919" i="4"/>
  <c r="C6074" i="4"/>
  <c r="C4627" i="4"/>
  <c r="C4942" i="4"/>
  <c r="C2907" i="4"/>
  <c r="C4170" i="4"/>
  <c r="C8840" i="4"/>
  <c r="C3388" i="4"/>
  <c r="C2438" i="4"/>
  <c r="C8200" i="4"/>
  <c r="C6065" i="4"/>
  <c r="C4970" i="4"/>
  <c r="C5408" i="4"/>
  <c r="C4737" i="4"/>
  <c r="C7235" i="4"/>
  <c r="C6193" i="4"/>
  <c r="C10376" i="4"/>
  <c r="C8482" i="4"/>
  <c r="C4002" i="4"/>
  <c r="C6734" i="4"/>
  <c r="C5800" i="4"/>
  <c r="C4062" i="4"/>
  <c r="C8997" i="4"/>
  <c r="C8004" i="4"/>
  <c r="C6448" i="4"/>
  <c r="C5975" i="4"/>
  <c r="C8675" i="4"/>
  <c r="C7384" i="4"/>
  <c r="C4359" i="4"/>
  <c r="C4484" i="4"/>
  <c r="C7692" i="4"/>
  <c r="C7551" i="4"/>
  <c r="C9734" i="4"/>
  <c r="C5042" i="4"/>
  <c r="C7541" i="4"/>
  <c r="C7031" i="4"/>
  <c r="C10815" i="4"/>
  <c r="C10771" i="4"/>
  <c r="C4109" i="4"/>
  <c r="C6534" i="4"/>
  <c r="C3476" i="4"/>
  <c r="C5566" i="4"/>
  <c r="C2952" i="4"/>
  <c r="C5709" i="4"/>
  <c r="C7535" i="4"/>
  <c r="C9083" i="4"/>
  <c r="C5742" i="4"/>
  <c r="C8786" i="4"/>
  <c r="C9015" i="4"/>
  <c r="C6439" i="4"/>
  <c r="C7996" i="4"/>
  <c r="C9489" i="4"/>
  <c r="C7346" i="4"/>
  <c r="C4961" i="4"/>
  <c r="C8116" i="4"/>
  <c r="C7045" i="4"/>
  <c r="C6376" i="4"/>
  <c r="C9108" i="4"/>
  <c r="C6817" i="4"/>
  <c r="C10565" i="4"/>
  <c r="C4373" i="4"/>
  <c r="C5839" i="4"/>
  <c r="C6545" i="4"/>
  <c r="C126" i="4"/>
  <c r="C3917" i="4"/>
  <c r="C8434" i="4"/>
  <c r="C3594" i="4"/>
  <c r="C1928" i="4"/>
  <c r="C3084" i="4"/>
  <c r="C3012" i="4"/>
  <c r="C3042" i="4"/>
  <c r="C6791" i="4"/>
  <c r="C8319" i="4"/>
  <c r="C5066" i="4"/>
  <c r="C6921" i="4"/>
  <c r="C7264" i="4"/>
  <c r="C1887" i="4"/>
  <c r="C4408" i="4"/>
  <c r="C4899" i="4"/>
  <c r="C1516" i="4"/>
  <c r="C9339" i="4"/>
  <c r="C5257" i="4"/>
  <c r="C5385" i="4"/>
  <c r="C4007" i="4"/>
  <c r="C3564" i="4"/>
  <c r="C2568" i="4"/>
  <c r="C2773" i="4"/>
  <c r="C3777" i="4"/>
  <c r="C6391" i="4"/>
  <c r="C3945" i="4"/>
  <c r="C7220" i="4"/>
  <c r="C7440" i="4"/>
  <c r="C4171" i="4"/>
  <c r="C1728" i="4"/>
  <c r="C3871" i="4"/>
  <c r="C4622" i="4"/>
  <c r="C3479" i="4"/>
  <c r="C2580" i="4"/>
  <c r="C5265" i="4"/>
  <c r="C3568" i="4"/>
  <c r="C7178" i="4"/>
  <c r="C5821" i="4"/>
  <c r="C5231" i="4"/>
  <c r="C7432" i="4"/>
  <c r="C6419" i="4"/>
  <c r="C10384" i="4"/>
  <c r="C4528" i="4"/>
  <c r="C6784" i="4"/>
  <c r="C3295" i="4"/>
  <c r="C6124" i="4"/>
  <c r="C3893" i="4"/>
  <c r="C4233" i="4"/>
  <c r="C1783" i="4"/>
  <c r="C6271" i="4"/>
  <c r="C5323" i="4"/>
  <c r="C5650" i="4"/>
  <c r="C2893" i="4"/>
  <c r="C7520" i="4"/>
  <c r="C7548" i="4"/>
  <c r="C2686" i="4"/>
  <c r="C10437" i="4"/>
  <c r="C5752" i="4"/>
  <c r="C8805" i="4"/>
  <c r="C9272" i="4"/>
  <c r="C285" i="4"/>
  <c r="C1506" i="4"/>
  <c r="C713" i="4"/>
  <c r="C9655" i="4"/>
  <c r="C1723" i="4"/>
  <c r="C3023" i="4"/>
  <c r="C4259" i="4"/>
  <c r="C3437" i="4"/>
  <c r="C4469" i="4"/>
  <c r="C1868" i="4"/>
  <c r="C2790" i="4"/>
  <c r="C1276" i="4"/>
  <c r="C2356" i="4"/>
  <c r="C782" i="4"/>
  <c r="C1228" i="4"/>
  <c r="C4273" i="4"/>
  <c r="C5773" i="4"/>
  <c r="C3944" i="4"/>
  <c r="C3865" i="4"/>
  <c r="C5106" i="4"/>
  <c r="C8605" i="4"/>
  <c r="C10215" i="4"/>
  <c r="C946" i="4"/>
  <c r="C3643" i="4"/>
  <c r="C4449" i="4"/>
  <c r="C5719" i="4"/>
  <c r="C4287" i="4"/>
  <c r="C2565" i="4"/>
  <c r="C5404" i="4"/>
  <c r="C6631" i="4"/>
  <c r="C7055" i="4"/>
  <c r="C4867" i="4"/>
  <c r="C10505" i="4"/>
  <c r="C1836" i="4"/>
  <c r="C2955" i="4"/>
  <c r="C1068" i="4"/>
  <c r="C4604" i="4"/>
  <c r="C2643" i="4"/>
  <c r="C3500" i="4"/>
  <c r="C3691" i="4"/>
  <c r="C4819" i="4"/>
  <c r="C1682" i="4"/>
  <c r="C671" i="4"/>
  <c r="C699" i="4"/>
  <c r="C482" i="4"/>
  <c r="C1988" i="4"/>
  <c r="C941" i="4"/>
  <c r="C5790" i="4"/>
  <c r="C6696" i="4"/>
  <c r="C3411" i="4"/>
  <c r="C3719" i="4"/>
  <c r="C2940" i="4"/>
  <c r="C4966" i="4"/>
  <c r="C5597" i="4"/>
  <c r="C3056" i="4"/>
  <c r="C3921" i="4"/>
  <c r="C3511" i="4"/>
  <c r="C8349" i="4"/>
  <c r="C3678" i="4"/>
  <c r="C2692" i="4"/>
  <c r="C5168" i="4"/>
  <c r="C3517" i="4"/>
  <c r="C4202" i="4"/>
  <c r="C8069" i="4"/>
  <c r="C9184" i="4"/>
  <c r="C8109" i="4"/>
  <c r="C7486" i="4"/>
  <c r="C632" i="4"/>
  <c r="C891" i="4"/>
  <c r="C3651" i="4"/>
  <c r="C4435" i="4"/>
  <c r="C6113" i="4"/>
  <c r="C1980" i="4"/>
  <c r="C218" i="4"/>
  <c r="C621" i="4"/>
  <c r="C1192" i="4"/>
  <c r="C3180" i="4"/>
  <c r="C1181" i="4"/>
  <c r="C5237" i="4"/>
  <c r="C3491" i="4"/>
  <c r="C2766" i="4"/>
  <c r="C6519" i="4"/>
  <c r="C4694" i="4"/>
  <c r="C2222" i="4"/>
  <c r="C3304" i="4"/>
  <c r="C4193" i="4"/>
  <c r="C4106" i="4"/>
  <c r="C7867" i="4"/>
  <c r="C5095" i="4"/>
  <c r="C4584" i="4"/>
  <c r="C6024" i="4"/>
  <c r="C4901" i="4"/>
  <c r="C4708" i="4"/>
  <c r="C7183" i="4"/>
  <c r="C1151" i="4"/>
  <c r="C3582" i="4"/>
  <c r="C4286" i="4"/>
  <c r="C1839" i="4"/>
  <c r="C592" i="4"/>
  <c r="C2433" i="4"/>
  <c r="C1704" i="4"/>
  <c r="C1300" i="4"/>
  <c r="C1891" i="4"/>
  <c r="C4925" i="4"/>
  <c r="C5209" i="4"/>
  <c r="C3516" i="4"/>
  <c r="C3897" i="4"/>
  <c r="C4141" i="4"/>
  <c r="C134" i="4"/>
  <c r="C4468" i="4"/>
  <c r="C5399" i="4"/>
  <c r="C4615" i="4"/>
  <c r="C5117" i="4"/>
  <c r="C2036" i="4"/>
  <c r="C2852" i="4"/>
  <c r="C5577" i="4"/>
  <c r="C4005" i="4"/>
  <c r="C5478" i="4"/>
  <c r="C7782" i="4"/>
  <c r="C7507" i="4"/>
  <c r="C1026" i="4"/>
  <c r="C1036" i="4"/>
  <c r="C103" i="4"/>
  <c r="C137" i="4"/>
  <c r="C250" i="4"/>
  <c r="C1742" i="4"/>
  <c r="C2049" i="4"/>
  <c r="C3453" i="4"/>
  <c r="C3549" i="4"/>
  <c r="C1581" i="4"/>
  <c r="C4222" i="4"/>
  <c r="C1831" i="4"/>
  <c r="C3599" i="4"/>
  <c r="C4796" i="4"/>
  <c r="C2439" i="4"/>
  <c r="C2292" i="4"/>
  <c r="C3731" i="4"/>
  <c r="C2089" i="4"/>
  <c r="C1856" i="4"/>
  <c r="C1646" i="4"/>
  <c r="C1720" i="4"/>
  <c r="C3795" i="4"/>
  <c r="C4602" i="4"/>
  <c r="C4893" i="4"/>
  <c r="C3061" i="4"/>
  <c r="C2084" i="4"/>
  <c r="C4403" i="4"/>
  <c r="C7553" i="4"/>
  <c r="C5881" i="4"/>
  <c r="C8552" i="4"/>
  <c r="C4486" i="4"/>
  <c r="C5818" i="4"/>
  <c r="C7377" i="4"/>
  <c r="C6801" i="4"/>
  <c r="C3289" i="4"/>
  <c r="C6598" i="4"/>
  <c r="C4674" i="4"/>
  <c r="C4289" i="4"/>
  <c r="C3812" i="4"/>
  <c r="C6128" i="4"/>
  <c r="C1472" i="4"/>
  <c r="C4047" i="4"/>
  <c r="C8694" i="4"/>
  <c r="C6745" i="4"/>
  <c r="C4612" i="4"/>
  <c r="C4339" i="4"/>
  <c r="C3848" i="4"/>
  <c r="C3762" i="4"/>
  <c r="C2733" i="4"/>
  <c r="C4596" i="4"/>
  <c r="C6673" i="4"/>
  <c r="C6208" i="4"/>
  <c r="C8265" i="4"/>
  <c r="C4928" i="4"/>
  <c r="C4668" i="4"/>
  <c r="C4411" i="4"/>
  <c r="C6804" i="4"/>
  <c r="C5283" i="4"/>
  <c r="C6905" i="4"/>
  <c r="C8178" i="4"/>
  <c r="C5165" i="4"/>
  <c r="C2365" i="4"/>
  <c r="C5120" i="4"/>
  <c r="C5396" i="4"/>
  <c r="C8188" i="4"/>
  <c r="C6957" i="4"/>
  <c r="C8953" i="4"/>
  <c r="C6364" i="4"/>
  <c r="C4917" i="4"/>
  <c r="C7069" i="4"/>
  <c r="C7312" i="4"/>
  <c r="C7555" i="4"/>
  <c r="C2557" i="4"/>
  <c r="C7995" i="4"/>
  <c r="C2833" i="4"/>
  <c r="C6674" i="4"/>
  <c r="C4976" i="4"/>
  <c r="C8583" i="4"/>
  <c r="C5867" i="4"/>
  <c r="C8277" i="4"/>
  <c r="C6299" i="4"/>
  <c r="C5532" i="4"/>
  <c r="C5728" i="4"/>
  <c r="C3745" i="4"/>
  <c r="C6827" i="4"/>
  <c r="C7533" i="4"/>
  <c r="C8029" i="4"/>
  <c r="C5574" i="4"/>
  <c r="C2119" i="4"/>
  <c r="C4576" i="4"/>
  <c r="C3679" i="4"/>
  <c r="C4218" i="4"/>
  <c r="C1616" i="4"/>
  <c r="C5913" i="4"/>
  <c r="C5562" i="4"/>
  <c r="C4906" i="4"/>
  <c r="C5555" i="4"/>
  <c r="C7011" i="4"/>
  <c r="C5722" i="4"/>
  <c r="C9802" i="4"/>
  <c r="C7609" i="4"/>
  <c r="C7614" i="4"/>
  <c r="C3477" i="4"/>
  <c r="C6083" i="4"/>
  <c r="C3959" i="4"/>
  <c r="C1683" i="4"/>
  <c r="C5334" i="4"/>
  <c r="C5695" i="4"/>
  <c r="C6071" i="4"/>
  <c r="C9103" i="4"/>
  <c r="C6061" i="4"/>
  <c r="C6104" i="4"/>
  <c r="C9051" i="4"/>
  <c r="C7265" i="4"/>
  <c r="C6939" i="4"/>
  <c r="C7997" i="4"/>
  <c r="C8565" i="4"/>
  <c r="C7392" i="4"/>
  <c r="C9336" i="4"/>
  <c r="C3927" i="4"/>
  <c r="C3451" i="4"/>
  <c r="C5123" i="4"/>
  <c r="C3148" i="4"/>
  <c r="C6119" i="4"/>
  <c r="C6156" i="4"/>
  <c r="C5296" i="4"/>
  <c r="C6756" i="4"/>
  <c r="C4818" i="4"/>
  <c r="C7585" i="4"/>
  <c r="C6573" i="4"/>
  <c r="C5594" i="4"/>
  <c r="C4782" i="4"/>
  <c r="C3203" i="4"/>
  <c r="C4089" i="4"/>
  <c r="C2192" i="4"/>
  <c r="C3971" i="4"/>
  <c r="C6338" i="4"/>
  <c r="C5569" i="4"/>
  <c r="C6742" i="4"/>
  <c r="C5458" i="4"/>
  <c r="C5884" i="4"/>
  <c r="C6991" i="4"/>
  <c r="C5661" i="4"/>
  <c r="C6474" i="4"/>
  <c r="C7439" i="4"/>
  <c r="C6486" i="4"/>
  <c r="C7751" i="4"/>
  <c r="C7164" i="4"/>
  <c r="C8641" i="4"/>
  <c r="C5630" i="4"/>
  <c r="C5023" i="4"/>
  <c r="C1488" i="4"/>
  <c r="C5767" i="4"/>
  <c r="C3738" i="4"/>
  <c r="C3119" i="4"/>
  <c r="C2717" i="4"/>
  <c r="C4826" i="4"/>
  <c r="C3842" i="4"/>
  <c r="C710" i="4"/>
  <c r="C3412" i="4"/>
  <c r="C6256" i="4"/>
  <c r="C3353" i="4"/>
  <c r="C4749" i="4"/>
  <c r="C1244" i="4"/>
  <c r="C5335" i="4"/>
  <c r="C3025" i="4"/>
  <c r="C5415" i="4"/>
  <c r="C3188" i="4"/>
  <c r="C5619" i="4"/>
  <c r="C6397" i="4"/>
  <c r="C7108" i="4"/>
  <c r="C8002" i="4"/>
  <c r="C5124" i="4"/>
  <c r="C8003" i="4"/>
  <c r="C2447" i="4"/>
  <c r="C119" i="4"/>
  <c r="C158" i="4"/>
  <c r="C5372" i="4"/>
  <c r="C2006" i="4"/>
  <c r="C4145" i="4"/>
  <c r="C3573" i="4"/>
  <c r="C5764" i="4"/>
  <c r="C1752" i="4"/>
  <c r="C5741" i="4"/>
  <c r="C1153" i="4"/>
  <c r="C4682" i="4"/>
  <c r="C6843" i="4"/>
  <c r="C3910" i="4"/>
  <c r="C2662" i="4"/>
  <c r="C6860" i="4"/>
  <c r="C8401" i="4"/>
  <c r="C3472" i="4"/>
  <c r="C5085" i="4"/>
  <c r="C4480" i="4"/>
  <c r="C5206" i="4"/>
  <c r="C2576" i="4"/>
  <c r="C7142" i="4"/>
  <c r="C6613" i="4"/>
  <c r="C4766" i="4"/>
  <c r="C6586" i="4"/>
  <c r="C6036" i="4"/>
  <c r="C6873" i="4"/>
  <c r="C6771" i="4"/>
  <c r="C9920" i="4"/>
  <c r="C7772" i="4"/>
  <c r="C8829" i="4"/>
  <c r="C3199" i="4"/>
  <c r="C5651" i="4"/>
  <c r="C1526" i="4"/>
  <c r="C3518" i="4"/>
  <c r="C5018" i="4"/>
  <c r="C3774" i="4"/>
  <c r="C8359" i="4"/>
  <c r="C5717" i="4"/>
  <c r="C3556" i="4"/>
  <c r="C3363" i="4"/>
  <c r="C5368" i="4"/>
  <c r="C4987" i="4"/>
  <c r="C1249" i="4"/>
  <c r="C1959" i="4"/>
  <c r="C5897" i="4"/>
  <c r="C7058" i="4"/>
  <c r="C3969" i="4"/>
  <c r="C4634" i="4"/>
  <c r="C3179" i="4"/>
  <c r="C1272" i="4"/>
  <c r="C3226" i="4"/>
  <c r="C5329" i="4"/>
  <c r="C6455" i="4"/>
  <c r="C4752" i="4"/>
  <c r="C9109" i="4"/>
  <c r="C8757" i="4"/>
  <c r="C2463" i="4"/>
  <c r="C542" i="4"/>
  <c r="C5748" i="4"/>
  <c r="C1912" i="4"/>
  <c r="C1855" i="4"/>
  <c r="C6228" i="4"/>
  <c r="C4251" i="4"/>
  <c r="C2272" i="4"/>
  <c r="C2159" i="4"/>
  <c r="C3757" i="4"/>
  <c r="C1850" i="4"/>
  <c r="C3318" i="4"/>
  <c r="C6807" i="4"/>
  <c r="C3387" i="4"/>
  <c r="C3280" i="4"/>
  <c r="C6147" i="4"/>
  <c r="C3506" i="4"/>
  <c r="C4478" i="4"/>
  <c r="C5517" i="4"/>
  <c r="C4794" i="4"/>
  <c r="C3019" i="4"/>
  <c r="C3324" i="4"/>
  <c r="C4632" i="4"/>
  <c r="C6000" i="4"/>
  <c r="C6254" i="4"/>
  <c r="C8231" i="4"/>
  <c r="C6205" i="4"/>
  <c r="C6149" i="4"/>
  <c r="C5777" i="4"/>
  <c r="C7930" i="4"/>
  <c r="C4507" i="4"/>
  <c r="C4137" i="4"/>
  <c r="C777" i="4"/>
  <c r="C3829" i="4"/>
  <c r="C1652" i="4"/>
  <c r="C4305" i="4"/>
  <c r="C5412" i="4"/>
  <c r="C4120" i="4"/>
  <c r="C3184" i="4"/>
  <c r="C1481" i="4"/>
  <c r="C3876" i="4"/>
  <c r="C4764" i="4"/>
  <c r="C2064" i="4"/>
  <c r="C301" i="4"/>
  <c r="C6032" i="4"/>
  <c r="C5698" i="4"/>
  <c r="C5306" i="4"/>
  <c r="C6007" i="4"/>
  <c r="C3675" i="4"/>
  <c r="C1800" i="4"/>
  <c r="C3214" i="4"/>
  <c r="C7460" i="4"/>
  <c r="C5397" i="4"/>
  <c r="C6927" i="4"/>
  <c r="C8698" i="4"/>
  <c r="C6450" i="4"/>
  <c r="C3896" i="4"/>
  <c r="C6746" i="4"/>
  <c r="C6952" i="4"/>
  <c r="C9201" i="4"/>
  <c r="C7158" i="4"/>
  <c r="C2895" i="4"/>
  <c r="C4464" i="4"/>
  <c r="C8415" i="4"/>
  <c r="C6859" i="4"/>
  <c r="C4057" i="4"/>
  <c r="C5747" i="4"/>
  <c r="C5724" i="4"/>
  <c r="C6616" i="4"/>
  <c r="C4849" i="4"/>
  <c r="C4865" i="4"/>
  <c r="C4558" i="4"/>
  <c r="C8505" i="4"/>
  <c r="C7839" i="4"/>
  <c r="C6180" i="4"/>
  <c r="C4342" i="4"/>
  <c r="C4190" i="4"/>
  <c r="C5346" i="4"/>
  <c r="C6238" i="4"/>
  <c r="C6313" i="4"/>
  <c r="C5746" i="4"/>
  <c r="C6883" i="4"/>
  <c r="C7335" i="4"/>
  <c r="C2172" i="4"/>
  <c r="C3583" i="4"/>
  <c r="C6165" i="4"/>
  <c r="C4862" i="4"/>
  <c r="C1078" i="4"/>
  <c r="C2881" i="4"/>
  <c r="C1264" i="4"/>
  <c r="C165" i="4"/>
  <c r="C1531" i="4"/>
  <c r="C2543" i="4"/>
  <c r="C3629" i="4"/>
  <c r="C2496" i="4"/>
  <c r="C3702" i="4"/>
  <c r="C3270" i="4"/>
  <c r="C1100" i="4"/>
  <c r="C4773" i="4"/>
  <c r="C7028" i="4"/>
  <c r="C5342" i="4"/>
  <c r="C4669" i="4"/>
  <c r="C5787" i="4"/>
  <c r="C5073" i="4"/>
  <c r="C8960" i="4"/>
  <c r="C3377" i="4"/>
  <c r="C641" i="4"/>
  <c r="C3396" i="4"/>
  <c r="C1458" i="4"/>
  <c r="C698" i="4"/>
  <c r="C1963" i="4"/>
  <c r="C3276" i="4"/>
  <c r="C1316" i="4"/>
  <c r="C4100" i="4"/>
  <c r="C1134" i="4"/>
  <c r="C3460" i="4"/>
  <c r="C1470" i="4"/>
  <c r="C4314" i="4"/>
  <c r="C1507" i="4"/>
  <c r="C4235" i="4"/>
  <c r="C4177" i="4"/>
  <c r="C6714" i="4"/>
  <c r="C3778" i="4"/>
  <c r="C3395" i="4"/>
  <c r="C1166" i="4"/>
  <c r="C2423" i="4"/>
  <c r="C3827" i="4"/>
  <c r="C2551" i="4"/>
  <c r="C4992" i="4"/>
  <c r="C7591" i="4"/>
  <c r="C4729" i="4"/>
  <c r="C1914" i="4"/>
  <c r="C6541" i="4"/>
  <c r="C768" i="4"/>
  <c r="C1787" i="4"/>
  <c r="C4099" i="4"/>
  <c r="C4738" i="4"/>
  <c r="C6262" i="4"/>
  <c r="C2945" i="4"/>
  <c r="C2145" i="4"/>
  <c r="C3414" i="4"/>
  <c r="C224" i="4"/>
  <c r="C1890" i="4"/>
  <c r="C4731" i="4"/>
  <c r="C490" i="4"/>
  <c r="C707" i="4"/>
  <c r="C6112" i="4"/>
  <c r="C258" i="4"/>
  <c r="C2990" i="4"/>
  <c r="C2548" i="4"/>
  <c r="C1326" i="4"/>
  <c r="C4357" i="4"/>
  <c r="C4514" i="4"/>
  <c r="C4256" i="4"/>
  <c r="C5666" i="4"/>
  <c r="C6016" i="4"/>
  <c r="C4388" i="4"/>
  <c r="C2918" i="4"/>
  <c r="C1113" i="4"/>
  <c r="C4416" i="4"/>
  <c r="C4473" i="4"/>
  <c r="C3835" i="4"/>
  <c r="C2973" i="4"/>
  <c r="C4477" i="4"/>
  <c r="C4601" i="4"/>
  <c r="C3970" i="4"/>
  <c r="C8171" i="4"/>
  <c r="C4432" i="4"/>
  <c r="C4455" i="4"/>
  <c r="C5449" i="4"/>
  <c r="C1882" i="4"/>
  <c r="C626" i="4"/>
  <c r="C2585" i="4"/>
  <c r="C5317" i="4"/>
  <c r="C633" i="4"/>
  <c r="C1254" i="4"/>
  <c r="C3563" i="4"/>
  <c r="C4613" i="4"/>
  <c r="C6001" i="4"/>
  <c r="C5986" i="4"/>
  <c r="C2882" i="4"/>
  <c r="C2303" i="4"/>
  <c r="C1288" i="4"/>
  <c r="C62" i="4"/>
  <c r="C2232" i="4"/>
  <c r="C2957" i="4"/>
  <c r="C146" i="4"/>
  <c r="C3332" i="4"/>
  <c r="C3152" i="4"/>
  <c r="C3854" i="4"/>
  <c r="C3847" i="4"/>
  <c r="C2960" i="4"/>
  <c r="C4209" i="4"/>
  <c r="C4402" i="4"/>
  <c r="C4723" i="4"/>
  <c r="C3956" i="4"/>
  <c r="C2825" i="4"/>
  <c r="C326" i="4"/>
  <c r="C3336" i="4"/>
  <c r="C6842" i="4"/>
  <c r="C7080" i="4"/>
  <c r="C2510" i="4"/>
  <c r="C7258" i="4"/>
  <c r="C6518" i="4"/>
  <c r="C4611" i="4"/>
  <c r="C6055" i="4"/>
  <c r="C6366" i="4"/>
  <c r="C10054" i="4"/>
  <c r="C9374" i="4"/>
  <c r="C10499" i="4"/>
  <c r="C5082" i="4"/>
  <c r="C2175" i="4"/>
  <c r="C7490" i="4"/>
  <c r="C485" i="4"/>
  <c r="C1544" i="4"/>
  <c r="C4029" i="4"/>
  <c r="C4017" i="4"/>
  <c r="C5565" i="4"/>
  <c r="C3306" i="4"/>
  <c r="C6974" i="4"/>
  <c r="C5889" i="4"/>
  <c r="C7735" i="4"/>
  <c r="C4264" i="4"/>
  <c r="C5428" i="4"/>
  <c r="C4454" i="4"/>
  <c r="C4542" i="4"/>
  <c r="C6464" i="4"/>
  <c r="C7876" i="4"/>
  <c r="C7780" i="4"/>
  <c r="C5353" i="4"/>
  <c r="C6717" i="4"/>
  <c r="C5776" i="4"/>
  <c r="C5907" i="4"/>
  <c r="C1735" i="4"/>
  <c r="C3729" i="4"/>
  <c r="C2822" i="4"/>
  <c r="C3576" i="4"/>
  <c r="C5905" i="4"/>
  <c r="C8263" i="4"/>
  <c r="C6025" i="4"/>
  <c r="C3809" i="4"/>
  <c r="C3776" i="4"/>
  <c r="C4790" i="4"/>
  <c r="C5646" i="4"/>
  <c r="C7156" i="4"/>
  <c r="C7259" i="4"/>
  <c r="C7057" i="4"/>
  <c r="C4933" i="4"/>
  <c r="C1927" i="4"/>
  <c r="C4041" i="4"/>
  <c r="C3125" i="4"/>
  <c r="C3864" i="4"/>
  <c r="C8090" i="4"/>
  <c r="C5852" i="4"/>
  <c r="C8789" i="4"/>
  <c r="C4953" i="4"/>
  <c r="C4434" i="4"/>
  <c r="C4032" i="4"/>
  <c r="C5286" i="4"/>
  <c r="C5312" i="4"/>
  <c r="C7939" i="4"/>
  <c r="C7199" i="4"/>
  <c r="C10907" i="4"/>
  <c r="C5992" i="4"/>
  <c r="C4208" i="4"/>
  <c r="C5476" i="4"/>
  <c r="C8365" i="4"/>
  <c r="C4886" i="4"/>
  <c r="C6469" i="4"/>
  <c r="C6755" i="4"/>
  <c r="C4400" i="4"/>
  <c r="C6289" i="4"/>
  <c r="C8767" i="4"/>
  <c r="C9638" i="4"/>
  <c r="C7050" i="4"/>
  <c r="C10740" i="4"/>
  <c r="C3389" i="4"/>
  <c r="C5424" i="4"/>
  <c r="C2617" i="4"/>
  <c r="C4461" i="4"/>
  <c r="C2843" i="4"/>
  <c r="C5159" i="4"/>
  <c r="C6691" i="4"/>
  <c r="C8006" i="4"/>
  <c r="C5519" i="4"/>
  <c r="C7174" i="4"/>
  <c r="C10109" i="4"/>
  <c r="C4366" i="4"/>
  <c r="C9210" i="4"/>
  <c r="C7912" i="4"/>
  <c r="C5485" i="4"/>
  <c r="C2008" i="4"/>
  <c r="C8903" i="4"/>
  <c r="C4977" i="4"/>
  <c r="C8655" i="4"/>
  <c r="C4332" i="4"/>
  <c r="C9241" i="4"/>
  <c r="C3066" i="4"/>
  <c r="C9401" i="4"/>
  <c r="C7148" i="4"/>
  <c r="C1171" i="4"/>
  <c r="C5825" i="4"/>
  <c r="C5588" i="4"/>
  <c r="C5949" i="4"/>
  <c r="C6488" i="4"/>
  <c r="C6312" i="4"/>
  <c r="C8397" i="4"/>
  <c r="C7313" i="4"/>
  <c r="C7523" i="4"/>
  <c r="C329" i="4"/>
  <c r="C1236" i="4"/>
  <c r="C5381" i="4"/>
  <c r="C5148" i="4"/>
  <c r="C3502" i="4"/>
  <c r="C3925" i="4"/>
  <c r="C5872" i="4"/>
  <c r="C8926" i="4"/>
  <c r="C6008" i="4"/>
  <c r="C5564" i="4"/>
  <c r="C3433" i="4"/>
  <c r="C2714" i="4"/>
  <c r="C2466" i="4"/>
  <c r="C3127" i="4"/>
  <c r="C2885" i="4"/>
  <c r="C2392" i="4"/>
  <c r="C7926" i="4"/>
  <c r="C10341" i="4"/>
  <c r="C3401" i="4"/>
  <c r="C5130" i="4"/>
  <c r="C9045" i="4"/>
  <c r="C7167" i="4"/>
  <c r="C10460" i="4"/>
  <c r="C2764" i="4"/>
  <c r="C5059" i="4"/>
  <c r="C2697" i="4"/>
  <c r="C2745" i="4"/>
  <c r="C2599" i="4"/>
  <c r="C6967" i="4"/>
  <c r="C4265" i="4"/>
  <c r="C4672" i="4"/>
  <c r="C4377" i="4"/>
  <c r="C3800" i="4"/>
  <c r="C3689" i="4"/>
  <c r="C5631" i="4"/>
  <c r="C1745" i="4"/>
  <c r="C3559" i="4"/>
  <c r="C3482" i="4"/>
  <c r="C3592" i="4"/>
  <c r="C7469" i="4"/>
  <c r="C5662" i="4"/>
  <c r="C6844" i="4"/>
  <c r="C6487" i="4"/>
  <c r="C6870" i="4"/>
  <c r="C7567" i="4"/>
  <c r="C10583" i="4"/>
  <c r="C9301" i="4"/>
  <c r="C128" i="4"/>
  <c r="C2871" i="4"/>
  <c r="C4051" i="4"/>
  <c r="C4152" i="4"/>
  <c r="C2261" i="4"/>
  <c r="C6553" i="4"/>
  <c r="C3495" i="4"/>
  <c r="C3754" i="4"/>
  <c r="C3976" i="4"/>
  <c r="C1739" i="4"/>
  <c r="C3915" i="4"/>
  <c r="C3416" i="4"/>
  <c r="C3268" i="4"/>
  <c r="C4165" i="4"/>
  <c r="C4647" i="4"/>
  <c r="C4025" i="4"/>
  <c r="C3487" i="4"/>
  <c r="C2816" i="4"/>
  <c r="C7919" i="4"/>
  <c r="C5593" i="4"/>
  <c r="C5956" i="4"/>
  <c r="C7075" i="4"/>
  <c r="C4414" i="4"/>
  <c r="C4522" i="4"/>
  <c r="C6897" i="4"/>
  <c r="C8361" i="4"/>
  <c r="C10364" i="4"/>
  <c r="C2926" i="4"/>
  <c r="C354" i="4"/>
  <c r="C2808" i="4"/>
  <c r="C2789" i="4"/>
  <c r="C4090" i="4"/>
  <c r="C1354" i="4"/>
  <c r="C5849" i="4"/>
  <c r="C3328" i="4"/>
  <c r="C4989" i="4"/>
  <c r="C4706" i="4"/>
  <c r="C2709" i="4"/>
  <c r="C3939" i="4"/>
  <c r="C2554" i="4"/>
  <c r="C6578" i="4"/>
  <c r="C1784" i="4"/>
  <c r="C109" i="4"/>
  <c r="C6976" i="4"/>
  <c r="C4709" i="4"/>
  <c r="C4595" i="4"/>
  <c r="C6405" i="4"/>
  <c r="C5687" i="4"/>
  <c r="C2577" i="4"/>
  <c r="C5418" i="4"/>
  <c r="C1608" i="4"/>
  <c r="C4937" i="4"/>
  <c r="C2856" i="4"/>
  <c r="C3045" i="4"/>
  <c r="C6750" i="4"/>
  <c r="C8782" i="4"/>
  <c r="C5822" i="4"/>
  <c r="C8247" i="4"/>
  <c r="C7843" i="4"/>
  <c r="C8951" i="4"/>
  <c r="C6334" i="4"/>
  <c r="C3704" i="4"/>
  <c r="C6347" i="4"/>
  <c r="C8806" i="4"/>
  <c r="C6622" i="4"/>
  <c r="C6426" i="4"/>
  <c r="C8845" i="4"/>
  <c r="C6121" i="4"/>
  <c r="C10578" i="4"/>
  <c r="C1901" i="4"/>
  <c r="C1509" i="4"/>
  <c r="C2508" i="4"/>
  <c r="C377" i="4"/>
  <c r="C2390" i="4"/>
  <c r="C3422" i="4"/>
  <c r="C5087" i="4"/>
  <c r="C3994" i="4"/>
  <c r="C5354" i="4"/>
  <c r="C5531" i="4"/>
  <c r="C5693" i="4"/>
  <c r="C4451" i="4"/>
  <c r="C3539" i="4"/>
  <c r="C5431" i="4"/>
  <c r="C3359" i="4"/>
  <c r="C2431" i="4"/>
  <c r="C6130" i="4"/>
  <c r="C4965" i="4"/>
  <c r="C4438" i="4"/>
  <c r="C6848" i="4"/>
  <c r="C1924" i="4"/>
  <c r="C3872" i="4"/>
  <c r="C4557" i="4"/>
  <c r="C5955" i="4"/>
  <c r="C9828" i="4"/>
  <c r="C5444" i="4"/>
  <c r="C9383" i="4"/>
  <c r="C5640" i="4"/>
  <c r="C6206" i="4"/>
  <c r="C5551" i="4"/>
  <c r="C5649" i="4"/>
  <c r="C4136" i="4"/>
  <c r="C9019" i="4"/>
  <c r="C7970" i="4"/>
  <c r="C6830" i="4"/>
  <c r="C1624" i="4"/>
  <c r="C5740" i="4"/>
  <c r="C4934" i="4"/>
  <c r="C4828" i="4"/>
  <c r="C4252" i="4"/>
  <c r="C6882" i="4"/>
  <c r="C5219" i="4"/>
  <c r="C4776" i="4"/>
  <c r="C6343" i="4"/>
  <c r="C6865" i="4"/>
  <c r="C5074" i="4"/>
  <c r="C6269" i="4"/>
  <c r="C6409" i="4"/>
  <c r="C7482" i="4"/>
  <c r="C8384" i="4"/>
  <c r="C8952" i="4"/>
  <c r="C6222" i="4"/>
  <c r="C9343" i="4"/>
  <c r="C7067" i="4"/>
  <c r="C7065" i="4"/>
  <c r="C8350" i="4"/>
  <c r="C5648" i="4"/>
  <c r="C5641" i="4"/>
  <c r="C3593" i="4"/>
  <c r="C6863" i="4"/>
  <c r="C6659" i="4"/>
  <c r="C3489" i="4"/>
  <c r="C7956" i="4"/>
  <c r="C6359" i="4"/>
  <c r="C5681" i="4"/>
  <c r="C4805" i="4"/>
  <c r="C4590" i="4"/>
  <c r="C6150" i="4"/>
  <c r="C9389" i="4"/>
  <c r="C5013" i="4"/>
  <c r="C7192" i="4"/>
  <c r="C6434" i="4"/>
  <c r="C7929" i="4"/>
  <c r="C10386" i="4"/>
  <c r="C10513" i="4"/>
  <c r="C7522" i="4"/>
  <c r="C6062" i="4"/>
  <c r="C6514" i="4"/>
  <c r="C3785" i="4"/>
  <c r="C3457" i="4"/>
  <c r="C6029" i="4"/>
  <c r="C3681" i="4"/>
  <c r="C6086" i="4"/>
  <c r="C8985" i="4"/>
  <c r="C4793" i="4"/>
  <c r="C6183" i="4"/>
  <c r="C5253" i="4"/>
  <c r="C5783" i="4"/>
  <c r="C6703" i="4"/>
  <c r="C10198" i="4"/>
  <c r="C7592" i="4"/>
  <c r="C8756" i="4"/>
  <c r="C10688" i="4"/>
  <c r="C5602" i="4"/>
  <c r="C4078" i="4"/>
  <c r="C4716" i="4"/>
  <c r="C5842" i="4"/>
  <c r="C5167" i="4"/>
  <c r="C6917" i="4"/>
  <c r="C7773" i="4"/>
  <c r="C4863" i="4"/>
  <c r="C7433" i="4"/>
  <c r="C4566" i="4"/>
  <c r="C7915" i="4"/>
  <c r="C8040" i="4"/>
  <c r="C8191" i="4"/>
  <c r="C4364" i="4"/>
  <c r="C6231" i="4"/>
  <c r="C7616" i="4"/>
  <c r="C7760" i="4"/>
  <c r="C6174" i="4"/>
  <c r="C7010" i="4"/>
  <c r="C9271" i="4"/>
  <c r="C9142" i="4"/>
  <c r="C6327" i="4"/>
  <c r="C4841" i="4"/>
  <c r="C7389" i="4"/>
  <c r="C6302" i="4"/>
  <c r="C6060" i="4"/>
  <c r="C3313" i="4"/>
  <c r="C3607" i="4"/>
  <c r="C6329" i="4"/>
  <c r="C3031" i="4"/>
  <c r="C5024" i="4"/>
  <c r="C6310" i="4"/>
  <c r="C10016" i="4"/>
  <c r="C5760" i="4"/>
  <c r="C4881" i="4"/>
  <c r="C6040" i="4"/>
  <c r="C7475" i="4"/>
  <c r="C9434" i="4"/>
  <c r="C6560" i="4"/>
  <c r="C6605" i="4"/>
  <c r="C7749" i="4"/>
  <c r="C10864" i="4"/>
  <c r="C7393" i="4"/>
  <c r="C5734" i="4"/>
  <c r="C5052" i="4"/>
  <c r="C3577" i="4"/>
  <c r="C3367" i="4"/>
  <c r="C4957" i="4"/>
  <c r="C5994" i="4"/>
  <c r="C7615" i="4"/>
  <c r="C9095" i="4"/>
  <c r="C6635" i="4"/>
  <c r="C10444" i="4"/>
  <c r="C8101" i="4"/>
  <c r="C6492" i="4"/>
  <c r="C9502" i="4"/>
  <c r="C5440" i="4"/>
  <c r="C9533" i="4"/>
  <c r="C9354" i="4"/>
  <c r="C10267" i="4"/>
  <c r="C8283" i="4"/>
  <c r="C5716" i="4"/>
  <c r="C3825" i="4"/>
  <c r="C4513" i="4"/>
  <c r="C6103" i="4"/>
  <c r="C6122" i="4"/>
  <c r="C2684" i="4"/>
  <c r="C6143" i="4"/>
  <c r="C6399" i="4"/>
  <c r="C9317" i="4"/>
  <c r="C6433" i="4"/>
  <c r="C6850" i="4"/>
  <c r="C5711" i="4"/>
  <c r="C8395" i="4"/>
  <c r="C7601" i="4"/>
  <c r="C5779" i="4"/>
  <c r="C6257" i="4"/>
  <c r="C10005" i="4"/>
  <c r="C7874" i="4"/>
  <c r="C4147" i="4"/>
  <c r="C3436" i="4"/>
  <c r="C8739" i="4"/>
  <c r="C7040" i="4"/>
  <c r="C5142" i="4"/>
  <c r="C4667" i="4"/>
  <c r="C2614" i="4"/>
  <c r="C3983" i="4"/>
  <c r="C1902" i="4"/>
  <c r="C4904" i="4"/>
  <c r="C2805" i="4"/>
  <c r="C3051" i="4"/>
  <c r="C5468" i="4"/>
  <c r="C6004" i="4"/>
  <c r="C7731" i="4"/>
  <c r="C5331" i="4"/>
  <c r="C4081" i="4"/>
  <c r="C5622" i="4"/>
  <c r="C4984" i="4"/>
  <c r="C2953" i="4"/>
  <c r="C5443" i="4"/>
  <c r="C6490" i="4"/>
  <c r="C7103" i="4"/>
  <c r="C8686" i="4"/>
  <c r="C6958" i="4"/>
  <c r="C10335" i="4"/>
  <c r="C6308" i="4"/>
  <c r="C9163" i="4"/>
  <c r="C5759" i="4"/>
  <c r="C8367" i="4"/>
  <c r="C2655" i="4"/>
  <c r="C5887" i="4"/>
  <c r="C2302" i="4"/>
  <c r="C3551" i="4"/>
  <c r="C3724" i="4"/>
  <c r="C3870" i="4"/>
  <c r="C9082" i="4"/>
  <c r="C6838" i="4"/>
  <c r="C6059" i="4"/>
  <c r="C7289" i="4"/>
  <c r="C5685" i="4"/>
  <c r="C2863" i="4"/>
  <c r="C4765" i="4"/>
  <c r="C3117" i="4"/>
  <c r="C4327" i="4"/>
  <c r="C8094" i="4"/>
  <c r="C6031" i="4"/>
  <c r="C4505" i="4"/>
  <c r="C6568" i="4"/>
  <c r="C5364" i="4"/>
  <c r="C3241" i="4"/>
  <c r="C6246" i="4"/>
  <c r="C5744" i="4"/>
  <c r="C3049" i="4"/>
  <c r="C6478" i="4"/>
  <c r="C5313" i="4"/>
  <c r="C8104" i="4"/>
  <c r="C10222" i="4"/>
  <c r="C8400" i="4"/>
  <c r="C7154" i="4"/>
  <c r="C5844" i="4"/>
  <c r="C7137" i="4"/>
  <c r="C6853" i="4"/>
  <c r="C6485" i="4"/>
  <c r="C6064" i="4"/>
  <c r="C3192" i="4"/>
  <c r="C2921" i="4"/>
  <c r="C4066" i="4"/>
  <c r="C4343" i="4"/>
  <c r="C4063" i="4"/>
  <c r="C5419" i="4"/>
  <c r="C7698" i="4"/>
  <c r="C4310" i="4"/>
  <c r="C5040" i="4"/>
  <c r="C5482" i="4"/>
  <c r="C4226" i="4"/>
  <c r="C3538" i="4"/>
  <c r="C7193" i="4"/>
  <c r="C6922" i="4"/>
  <c r="C7775" i="4"/>
  <c r="C10596" i="4"/>
  <c r="C9209" i="4"/>
  <c r="C9417" i="4"/>
  <c r="C7480" i="4"/>
  <c r="C7493" i="4"/>
  <c r="C7400" i="4"/>
  <c r="C2296" i="4"/>
  <c r="C5271" i="4"/>
  <c r="C4345" i="4"/>
  <c r="C3277" i="4"/>
  <c r="C3929" i="4"/>
  <c r="C4755" i="4"/>
  <c r="C2898" i="4"/>
  <c r="C7025" i="4"/>
  <c r="C3409" i="4"/>
  <c r="C4183" i="4"/>
  <c r="C2484" i="4"/>
  <c r="C3145" i="4"/>
  <c r="C3024" i="4"/>
  <c r="C5527" i="4"/>
  <c r="C5273" i="4"/>
  <c r="C2865" i="4"/>
  <c r="C5251" i="4"/>
  <c r="C6034" i="4"/>
  <c r="C4391" i="4"/>
  <c r="C8606" i="4"/>
  <c r="C8304" i="4"/>
  <c r="C8808" i="4"/>
  <c r="C5802" i="4"/>
  <c r="C5080" i="4"/>
  <c r="C7248" i="4"/>
  <c r="C9179" i="4"/>
  <c r="C5557" i="4"/>
  <c r="C6720" i="4"/>
  <c r="C6203" i="4"/>
  <c r="C5088" i="4"/>
  <c r="C6298" i="4"/>
  <c r="C8266" i="4"/>
  <c r="C8765" i="4"/>
  <c r="C10288" i="4"/>
  <c r="C3297" i="4"/>
  <c r="C6297" i="4"/>
  <c r="C4761" i="4"/>
  <c r="C4323" i="4"/>
  <c r="C7574" i="4"/>
  <c r="C7769" i="4"/>
  <c r="C3569" i="4"/>
  <c r="C7441" i="4"/>
  <c r="C8579" i="4"/>
  <c r="C7261" i="4"/>
  <c r="C9057" i="4"/>
  <c r="C10509" i="4"/>
  <c r="C6348" i="4"/>
  <c r="C6564" i="4"/>
  <c r="C6142" i="4"/>
  <c r="C6658" i="4"/>
  <c r="C8142" i="4"/>
  <c r="C8406" i="4"/>
  <c r="C9636" i="4"/>
  <c r="C5321" i="4"/>
  <c r="C5477" i="4"/>
  <c r="C5827" i="4"/>
  <c r="C6039" i="4"/>
  <c r="C6445" i="4"/>
  <c r="C7094" i="4"/>
  <c r="C7536" i="4"/>
  <c r="C5761" i="4"/>
  <c r="C4311" i="4"/>
  <c r="C8737" i="4"/>
  <c r="C6373" i="4"/>
  <c r="C10695" i="4"/>
  <c r="C5033" i="4"/>
  <c r="C7768" i="4"/>
  <c r="C7690" i="4"/>
  <c r="C5971" i="4"/>
  <c r="C8891" i="4"/>
  <c r="C7623" i="4"/>
  <c r="C6127" i="4"/>
  <c r="C7318" i="4"/>
  <c r="C7179" i="4"/>
  <c r="C8054" i="4"/>
  <c r="C9118" i="4"/>
  <c r="C10084" i="4"/>
  <c r="C5488" i="4"/>
  <c r="C8408" i="4"/>
  <c r="C7453" i="4"/>
  <c r="C8563" i="4"/>
  <c r="C8762" i="4"/>
  <c r="C9188" i="4"/>
  <c r="C3480" i="4"/>
  <c r="C4718" i="4"/>
  <c r="C6749" i="4"/>
  <c r="C5169" i="4"/>
  <c r="C4326" i="4"/>
  <c r="C5540" i="4"/>
  <c r="C7128" i="4"/>
  <c r="C8269" i="4"/>
  <c r="C3953" i="4"/>
  <c r="C7657" i="4"/>
  <c r="C9846" i="4"/>
  <c r="C5796" i="4"/>
  <c r="C7968" i="4"/>
  <c r="C6265" i="4"/>
  <c r="C8617" i="4"/>
  <c r="C5584" i="4"/>
  <c r="C8881" i="4"/>
  <c r="C10150" i="4"/>
  <c r="C4959" i="4"/>
  <c r="C4545" i="4"/>
  <c r="C5718" i="4"/>
  <c r="C5679" i="4"/>
  <c r="C8475" i="4"/>
  <c r="C6512" i="4"/>
  <c r="C6422" i="4"/>
  <c r="C5678" i="4"/>
  <c r="C7672" i="4"/>
  <c r="C6216" i="4"/>
  <c r="C7133" i="4"/>
  <c r="C5970" i="4"/>
  <c r="C9663" i="4"/>
  <c r="C5422" i="4"/>
  <c r="C4837" i="4"/>
  <c r="C6946" i="4"/>
  <c r="C6582" i="4"/>
  <c r="C6354" i="4"/>
  <c r="C6889" i="4"/>
  <c r="C4833" i="4"/>
  <c r="C7281" i="4"/>
  <c r="C9396" i="4"/>
  <c r="C6306" i="4"/>
  <c r="C8363" i="4"/>
  <c r="C7243" i="4"/>
  <c r="C8207" i="4"/>
  <c r="C8325" i="4"/>
  <c r="C8136" i="4"/>
  <c r="C6760" i="4"/>
  <c r="C4381" i="4"/>
  <c r="C6544" i="4"/>
  <c r="C8100" i="4"/>
  <c r="C7034" i="4"/>
  <c r="C6912" i="4"/>
  <c r="C9029" i="4"/>
  <c r="C5150" i="4"/>
  <c r="C8497" i="4"/>
  <c r="C8229" i="4"/>
  <c r="C9304" i="4"/>
  <c r="C7521" i="4"/>
  <c r="C6084" i="4"/>
  <c r="C6936" i="4"/>
  <c r="C8581" i="4"/>
  <c r="C8731" i="4"/>
  <c r="C8844" i="4"/>
  <c r="C5425" i="4"/>
  <c r="C4439" i="4"/>
  <c r="C5512" i="4"/>
  <c r="C5917" i="4"/>
  <c r="C6384" i="4"/>
  <c r="C6162" i="4"/>
  <c r="C7225" i="4"/>
  <c r="C3504" i="4"/>
  <c r="C8582" i="4"/>
  <c r="C6961" i="4"/>
  <c r="C8607" i="4"/>
  <c r="C7693" i="4"/>
  <c r="C7500" i="4"/>
  <c r="C9442" i="4"/>
  <c r="C7481" i="4"/>
  <c r="C4799" i="4"/>
  <c r="C5185" i="4"/>
  <c r="C5896" i="4"/>
  <c r="C6906" i="4"/>
  <c r="C4544" i="4"/>
  <c r="C9091" i="4"/>
  <c r="C6539" i="4"/>
  <c r="C3696" i="4"/>
  <c r="C9006" i="4"/>
  <c r="C9464" i="4"/>
  <c r="C7816" i="4"/>
  <c r="C9131" i="4"/>
  <c r="C6548" i="4"/>
  <c r="C8631" i="4"/>
  <c r="C7618" i="4"/>
  <c r="C2917" i="4"/>
  <c r="C4523" i="4"/>
  <c r="C4272" i="4"/>
  <c r="C5182" i="4"/>
  <c r="C6649" i="4"/>
  <c r="C3951" i="4"/>
  <c r="C3995" i="4"/>
  <c r="C3972" i="4"/>
  <c r="C3662" i="4"/>
  <c r="C7937" i="4"/>
  <c r="C3400" i="4"/>
  <c r="C6191" i="4"/>
  <c r="C6178" i="4"/>
  <c r="C4985" i="4"/>
  <c r="C5367" i="4"/>
  <c r="C6473" i="4"/>
  <c r="C5576" i="4"/>
  <c r="C4871" i="4"/>
  <c r="C8627" i="4"/>
  <c r="C10098" i="4"/>
  <c r="C8314" i="4"/>
  <c r="C3888" i="4"/>
  <c r="C7927" i="4"/>
  <c r="C8810" i="4"/>
  <c r="C7107" i="4"/>
  <c r="C7272" i="4"/>
  <c r="C7015" i="4"/>
  <c r="C1933" i="4"/>
  <c r="C3834" i="4"/>
  <c r="C2413" i="4"/>
  <c r="C5164" i="4"/>
  <c r="C4299" i="4"/>
  <c r="C4676" i="4"/>
  <c r="C5186" i="4"/>
  <c r="C3006" i="4"/>
  <c r="C8549" i="4"/>
  <c r="C5615" i="4"/>
  <c r="C1380" i="4"/>
  <c r="C3989" i="4"/>
  <c r="C6197" i="4"/>
  <c r="C6175" i="4"/>
  <c r="C5208" i="4"/>
  <c r="C3544" i="4"/>
  <c r="C5393" i="4"/>
  <c r="C8276" i="4"/>
  <c r="C4080" i="4"/>
  <c r="C9325" i="4"/>
  <c r="C9333" i="4"/>
  <c r="C7737" i="4"/>
  <c r="C6535" i="4"/>
  <c r="C5233" i="4"/>
  <c r="C6657" i="4"/>
  <c r="C7866" i="4"/>
  <c r="C8169" i="4"/>
  <c r="C8601" i="4"/>
  <c r="C9298" i="4"/>
  <c r="C7210" i="4"/>
  <c r="C9196" i="4"/>
  <c r="C4075" i="4"/>
  <c r="C4379" i="4"/>
  <c r="C2605" i="4"/>
  <c r="C3448" i="4"/>
  <c r="C6711" i="4"/>
  <c r="C2708" i="4"/>
  <c r="C3949" i="4"/>
  <c r="C8203" i="4"/>
  <c r="C1701" i="4"/>
  <c r="C5520" i="4"/>
  <c r="C4994" i="4"/>
  <c r="C3736" i="4"/>
  <c r="C8436" i="4"/>
  <c r="C3440" i="4"/>
  <c r="C10307" i="4"/>
  <c r="C7268" i="4"/>
  <c r="C10626" i="4"/>
  <c r="C9758" i="4"/>
  <c r="C9004" i="4"/>
  <c r="C6857" i="4"/>
  <c r="C7827" i="4"/>
  <c r="C7554" i="4"/>
  <c r="C1829" i="4"/>
  <c r="C4955" i="4"/>
  <c r="C2045" i="4"/>
  <c r="C3329" i="4"/>
  <c r="C1619" i="4"/>
  <c r="C4643" i="4"/>
  <c r="C4561" i="4"/>
  <c r="C3849" i="4"/>
  <c r="C5637" i="4"/>
  <c r="C5860" i="4"/>
  <c r="C4824" i="4"/>
  <c r="C6457" i="4"/>
  <c r="C3449" i="4"/>
  <c r="C2327" i="4"/>
  <c r="C4721" i="4"/>
  <c r="C7359" i="4"/>
  <c r="C5924" i="4"/>
  <c r="C7684" i="4"/>
  <c r="C4341" i="4"/>
  <c r="C4870" i="4"/>
  <c r="C7673" i="4"/>
  <c r="C10563" i="4"/>
  <c r="C5135" i="4"/>
  <c r="C4487" i="4"/>
  <c r="C7266" i="4"/>
  <c r="C6135" i="4"/>
  <c r="C8130" i="4"/>
  <c r="C4658" i="4"/>
  <c r="C6896" i="4"/>
  <c r="C8796" i="4"/>
  <c r="C6757" i="4"/>
  <c r="C10480" i="4"/>
  <c r="C6969" i="4"/>
  <c r="C6224" i="4"/>
  <c r="C6993" i="4"/>
  <c r="C5034" i="4"/>
  <c r="C5044" i="4"/>
  <c r="C3503" i="4"/>
  <c r="C8338" i="4"/>
  <c r="C8525" i="4"/>
  <c r="C6589" i="4"/>
  <c r="C6234" i="4"/>
  <c r="C7710" i="4"/>
  <c r="C8212" i="4"/>
  <c r="C7642" i="4"/>
  <c r="C8345" i="4"/>
  <c r="C9936" i="4"/>
  <c r="C7948" i="4"/>
  <c r="C7301" i="4"/>
  <c r="C8293" i="4"/>
  <c r="C9676" i="4"/>
  <c r="C10845" i="4"/>
  <c r="C9016" i="4"/>
  <c r="C6489" i="4"/>
  <c r="C5910" i="4"/>
  <c r="C6840" i="4"/>
  <c r="C7560" i="4"/>
  <c r="C7410" i="4"/>
  <c r="C6253" i="4"/>
  <c r="C7216" i="4"/>
  <c r="C5866" i="4"/>
  <c r="C9024" i="4"/>
  <c r="C5781" i="4"/>
  <c r="C6454" i="4"/>
  <c r="C8439" i="4"/>
  <c r="C6098" i="4"/>
  <c r="C8590" i="4"/>
  <c r="C7770" i="4"/>
  <c r="C9243" i="4"/>
  <c r="C7470" i="4"/>
  <c r="C6270" i="4"/>
  <c r="C8924" i="4"/>
  <c r="C6941" i="4"/>
  <c r="C5441" i="4"/>
  <c r="C9155" i="4"/>
  <c r="C8991" i="4"/>
  <c r="C7485" i="4"/>
  <c r="C7147" i="4"/>
  <c r="C5254" i="4"/>
  <c r="C7041" i="4"/>
  <c r="C7902" i="4"/>
  <c r="C8979" i="4"/>
  <c r="C10304" i="4"/>
  <c r="C7370" i="4"/>
  <c r="C5308" i="4"/>
  <c r="C4654" i="4"/>
  <c r="C5978" i="4"/>
  <c r="C3240" i="4"/>
  <c r="C6769" i="4"/>
  <c r="C6829" i="4"/>
  <c r="C5191" i="4"/>
  <c r="C5980" i="4"/>
  <c r="C7999" i="4"/>
  <c r="C7566" i="4"/>
  <c r="C8315" i="4"/>
  <c r="C8019" i="4"/>
  <c r="C6442" i="4"/>
  <c r="C4954" i="4"/>
  <c r="C6166" i="4"/>
  <c r="C7343" i="4"/>
  <c r="C5204" i="4"/>
  <c r="C6986" i="4"/>
  <c r="C5656" i="4"/>
  <c r="C6085" i="4"/>
  <c r="C8759" i="4"/>
  <c r="C6435" i="4"/>
  <c r="C7884" i="4"/>
  <c r="C7695" i="4"/>
  <c r="C7697" i="4"/>
  <c r="C7467" i="4"/>
  <c r="C6666" i="4"/>
  <c r="C4033" i="4"/>
  <c r="C7005" i="4"/>
  <c r="C4823" i="4"/>
  <c r="C7155" i="4"/>
  <c r="C5481" i="4"/>
  <c r="C10325" i="4"/>
  <c r="C7340" i="4"/>
  <c r="C8544" i="4"/>
  <c r="C9352" i="4"/>
  <c r="C8566" i="4"/>
  <c r="C6094" i="4"/>
  <c r="C4831" i="4"/>
  <c r="C4660" i="4"/>
  <c r="C7201" i="4"/>
  <c r="C6530" i="4"/>
  <c r="C8387" i="4"/>
  <c r="C5600" i="4"/>
  <c r="C9246" i="4"/>
  <c r="C6053" i="4"/>
  <c r="C6513" i="4"/>
  <c r="C5395" i="4"/>
  <c r="C4618" i="4"/>
  <c r="C7169" i="4"/>
  <c r="C9236" i="4"/>
  <c r="C5786" i="4"/>
  <c r="C4975" i="4"/>
  <c r="C7897" i="4"/>
  <c r="C8175" i="4"/>
  <c r="C5801" i="4"/>
  <c r="C9369" i="4"/>
  <c r="C6126" i="4"/>
  <c r="C8455" i="4"/>
  <c r="C4983" i="4"/>
  <c r="C6054" i="4"/>
  <c r="C6700" i="4"/>
  <c r="C6395" i="4"/>
  <c r="C4902" i="4"/>
  <c r="C5657" i="4"/>
  <c r="C8032" i="4"/>
  <c r="C7027" i="4"/>
  <c r="C9415" i="4"/>
  <c r="C7819" i="4"/>
  <c r="C6108" i="4"/>
  <c r="C10637" i="4"/>
  <c r="C4531" i="4"/>
  <c r="C4536" i="4"/>
  <c r="C3993" i="4"/>
  <c r="C5438" i="4"/>
  <c r="C5326" i="4"/>
  <c r="C4361" i="4"/>
  <c r="C5105" i="4"/>
  <c r="C5510" i="4"/>
  <c r="C4101" i="4"/>
  <c r="C3677" i="4"/>
  <c r="C6878" i="4"/>
  <c r="C4351" i="4"/>
  <c r="C9033" i="4"/>
  <c r="C8258" i="4"/>
  <c r="C8633" i="4"/>
  <c r="C7864" i="4"/>
  <c r="C5793" i="4"/>
  <c r="C4394" i="4"/>
  <c r="C7724" i="4"/>
  <c r="C6786" i="4"/>
  <c r="C4228" i="4"/>
  <c r="C10705" i="4"/>
  <c r="C6385" i="4"/>
  <c r="C5298" i="4"/>
  <c r="C5305" i="4"/>
  <c r="C4225" i="4"/>
  <c r="C7813" i="4"/>
  <c r="C5989" i="4"/>
  <c r="C9166" i="4"/>
  <c r="C8108" i="4"/>
  <c r="C8127" i="4"/>
  <c r="C8939" i="4"/>
  <c r="C8545" i="4"/>
  <c r="C9856" i="4"/>
  <c r="C6401" i="4"/>
  <c r="C10428" i="4"/>
  <c r="C3255" i="4"/>
  <c r="C3439" i="4"/>
  <c r="C4353" i="4"/>
  <c r="C6610" i="4"/>
  <c r="C4384" i="4"/>
  <c r="C4372" i="4"/>
  <c r="C3552" i="4"/>
  <c r="C5047" i="4"/>
  <c r="C5929" i="4"/>
  <c r="C3079" i="4"/>
  <c r="C4058" i="4"/>
  <c r="C6999" i="4"/>
  <c r="C4642" i="4"/>
  <c r="C4675" i="4"/>
  <c r="C9054" i="4"/>
  <c r="C6078" i="4"/>
  <c r="C7593" i="4"/>
  <c r="C4890" i="4"/>
  <c r="C4176" i="4"/>
  <c r="C7046" i="4"/>
  <c r="C9068" i="4"/>
  <c r="C5882" i="4"/>
  <c r="C4331" i="4"/>
  <c r="C4541" i="4"/>
  <c r="C6803" i="4"/>
  <c r="C6413" i="4"/>
  <c r="C8883" i="4"/>
  <c r="C6167" i="4"/>
  <c r="C7308" i="4"/>
  <c r="C7547" i="4"/>
  <c r="C7344" i="4"/>
  <c r="C10024" i="4"/>
  <c r="C3708" i="4"/>
  <c r="C4597" i="4"/>
  <c r="C3337" i="4"/>
  <c r="C3105" i="4"/>
  <c r="C5178" i="4"/>
  <c r="C5327" i="4"/>
  <c r="C3840" i="4"/>
  <c r="C4563" i="4"/>
  <c r="C3743" i="4"/>
  <c r="C4494" i="4"/>
  <c r="C2732" i="4"/>
  <c r="C5731" i="4"/>
  <c r="C5139" i="4"/>
  <c r="C10497" i="4"/>
  <c r="C7083" i="4"/>
  <c r="C5754" i="4"/>
  <c r="C7338" i="4"/>
  <c r="C8609" i="4"/>
  <c r="C7369" i="4"/>
  <c r="C9358" i="4"/>
  <c r="C6583" i="4"/>
  <c r="C6321" i="4"/>
  <c r="C8242" i="4"/>
  <c r="C9279" i="4"/>
  <c r="C9962" i="4"/>
  <c r="C3293" i="4"/>
  <c r="C4291" i="4"/>
  <c r="C3591" i="4"/>
  <c r="C8451" i="4"/>
  <c r="C5967" i="4"/>
  <c r="C3623" i="4"/>
  <c r="C6012" i="4"/>
  <c r="C4091" i="4"/>
  <c r="C5514" i="4"/>
  <c r="C6743" i="4"/>
  <c r="C6371" i="4"/>
  <c r="C7879" i="4"/>
  <c r="C6787" i="4"/>
  <c r="C6916" i="4"/>
  <c r="C3901" i="4"/>
  <c r="C7562" i="4"/>
  <c r="C3659" i="4"/>
  <c r="C7851" i="4"/>
  <c r="C5768" i="4"/>
  <c r="C8863" i="4"/>
  <c r="C6268" i="4"/>
  <c r="C8968" i="4"/>
  <c r="C6932" i="4"/>
  <c r="C7296" i="4"/>
  <c r="C4020" i="4"/>
  <c r="C5589" i="4"/>
  <c r="C4034" i="4"/>
  <c r="C5610" i="4"/>
  <c r="C6458" i="4"/>
  <c r="C5736" i="4"/>
  <c r="C6683" i="4"/>
  <c r="C9784" i="4"/>
  <c r="C7082" i="4"/>
  <c r="C7297" i="4"/>
  <c r="C6945" i="4"/>
  <c r="C7285" i="4"/>
  <c r="C6898" i="4"/>
  <c r="C7622" i="4"/>
  <c r="C5461" i="4"/>
  <c r="C7245" i="4"/>
  <c r="C6901" i="4"/>
  <c r="C10359" i="4"/>
  <c r="C6966" i="4"/>
  <c r="C9913" i="4"/>
  <c r="C6418" i="4"/>
  <c r="C6652" i="4"/>
  <c r="C9025" i="4"/>
  <c r="C8453" i="4"/>
  <c r="C8237" i="4"/>
  <c r="C6654" i="4"/>
  <c r="C8681" i="4"/>
  <c r="C6680" i="4"/>
  <c r="C6987" i="4"/>
  <c r="C7664" i="4"/>
  <c r="C7589" i="4"/>
  <c r="C10274" i="4"/>
  <c r="C4006" i="4"/>
  <c r="C5824" i="4"/>
  <c r="C7232" i="4"/>
  <c r="C9419" i="4"/>
  <c r="C8118" i="4"/>
  <c r="C8532" i="4"/>
  <c r="C6141" i="4"/>
  <c r="C4503" i="4"/>
  <c r="C7330" i="4"/>
  <c r="C8752" i="4"/>
  <c r="C8098" i="4"/>
  <c r="C4789" i="4"/>
  <c r="C5183" i="4"/>
  <c r="C7190" i="4"/>
  <c r="C7757" i="4"/>
  <c r="C6107" i="4"/>
  <c r="C7570" i="4"/>
  <c r="C6139" i="4"/>
  <c r="C5886" i="4"/>
  <c r="C5290" i="4"/>
  <c r="C4572" i="4"/>
  <c r="C6035" i="4"/>
  <c r="C6864" i="4"/>
  <c r="C6472" i="4"/>
  <c r="C8643" i="4"/>
  <c r="C5260" i="4"/>
  <c r="C4732" i="4"/>
  <c r="C6517" i="4"/>
  <c r="C8165" i="4"/>
  <c r="C6928" i="4"/>
  <c r="C5474" i="4"/>
  <c r="C6233" i="4"/>
  <c r="C7489" i="4"/>
  <c r="C7777" i="4"/>
  <c r="C7512" i="4"/>
  <c r="C10515" i="4"/>
  <c r="C6523" i="4"/>
  <c r="C6587" i="4"/>
  <c r="C4219" i="4"/>
  <c r="C3841" i="4"/>
  <c r="C9344" i="4"/>
  <c r="C4065" i="4"/>
  <c r="C10163" i="4"/>
  <c r="C5099" i="4"/>
  <c r="C4520" i="4"/>
  <c r="C3197" i="4"/>
  <c r="C6368" i="4"/>
  <c r="C6209" i="4"/>
  <c r="C8600" i="4"/>
  <c r="C7116" i="4"/>
  <c r="C8610" i="4"/>
  <c r="C8374" i="4"/>
  <c r="C3496" i="4"/>
  <c r="C4481" i="4"/>
  <c r="C8329" i="4"/>
  <c r="C8223" i="4"/>
  <c r="C4510" i="4"/>
  <c r="C7835" i="4"/>
  <c r="C5343" i="4"/>
  <c r="C6887" i="4"/>
  <c r="C5146" i="4"/>
  <c r="C7908" i="4"/>
  <c r="C7855" i="4"/>
  <c r="C8996" i="4"/>
  <c r="C7764" i="4"/>
  <c r="C9310" i="4"/>
  <c r="C3768" i="4"/>
  <c r="C5556" i="4"/>
  <c r="C8343" i="4"/>
  <c r="C8613" i="4"/>
  <c r="C6826" i="4"/>
  <c r="C7395" i="4"/>
  <c r="C9559" i="4"/>
  <c r="C8208" i="4"/>
  <c r="C6407" i="4"/>
  <c r="C6109" i="4"/>
  <c r="C9709" i="4"/>
  <c r="C4024" i="4"/>
  <c r="C8679" i="4"/>
  <c r="C8944" i="4"/>
  <c r="C5266" i="4"/>
  <c r="C7787" i="4"/>
  <c r="C7726" i="4"/>
  <c r="C6101" i="4"/>
  <c r="C9319" i="4"/>
  <c r="C7145" i="4"/>
  <c r="C5981" i="4"/>
  <c r="C4422" i="4"/>
  <c r="C5928" i="4"/>
  <c r="C7527" i="4"/>
  <c r="C6623" i="4"/>
  <c r="C9759" i="4"/>
  <c r="C4319" i="4"/>
  <c r="C8256" i="4"/>
  <c r="C8799" i="4"/>
  <c r="C8164" i="4"/>
  <c r="C9001" i="4"/>
  <c r="C4362" i="4"/>
  <c r="C10780" i="4"/>
  <c r="C8614" i="4"/>
  <c r="C9514" i="4"/>
  <c r="C4924" i="4"/>
  <c r="C5730" i="4"/>
  <c r="C6332" i="4"/>
  <c r="C6911" i="4"/>
  <c r="C9165" i="4"/>
  <c r="C7044" i="4"/>
  <c r="C5170" i="4"/>
  <c r="C9300" i="4"/>
  <c r="C4511" i="4"/>
  <c r="C6907" i="4"/>
  <c r="C8652" i="4"/>
  <c r="C6670" i="4"/>
  <c r="C8812" i="4"/>
  <c r="C9014" i="4"/>
  <c r="C4641" i="4"/>
  <c r="C4914" i="4"/>
  <c r="C5319" i="4"/>
  <c r="C7528" i="4"/>
  <c r="C1751" i="4"/>
  <c r="C4556" i="4"/>
  <c r="C6068" i="4"/>
  <c r="C7416" i="4"/>
  <c r="C6255" i="4"/>
  <c r="C3488" i="4"/>
  <c r="C4815" i="4"/>
  <c r="C5212" i="4"/>
  <c r="C4624" i="4"/>
  <c r="C8989" i="4"/>
  <c r="C6567" i="4"/>
  <c r="C7556" i="4"/>
  <c r="C10573" i="4"/>
  <c r="C6774" i="4"/>
  <c r="C6506" i="4"/>
  <c r="C5430" i="4"/>
  <c r="C7687" i="4"/>
  <c r="C10209" i="4"/>
  <c r="C8196" i="4"/>
  <c r="C9254" i="4"/>
  <c r="C8822" i="4"/>
  <c r="C2286" i="4"/>
  <c r="C5888" i="4"/>
  <c r="C4630" i="4"/>
  <c r="C5738" i="4"/>
  <c r="C7529" i="4"/>
  <c r="C6091" i="4"/>
  <c r="C3290" i="4"/>
  <c r="C1943" i="4"/>
  <c r="C2752" i="4"/>
  <c r="C4482" i="4"/>
  <c r="C5544" i="4"/>
  <c r="C5919" i="4"/>
  <c r="C3760" i="4"/>
  <c r="C5873" i="4"/>
  <c r="C10507" i="4"/>
  <c r="C5684" i="4"/>
  <c r="C6003" i="4"/>
  <c r="C5791" i="4"/>
  <c r="C6614" i="4"/>
  <c r="C8307" i="4"/>
  <c r="C7367" i="4"/>
  <c r="C10615" i="4"/>
  <c r="C8654" i="4"/>
  <c r="C8866" i="4"/>
  <c r="C8918" i="4"/>
  <c r="C9989" i="4"/>
  <c r="C3410" i="4"/>
  <c r="C7218" i="4"/>
  <c r="C3505" i="4"/>
  <c r="C6044" i="4"/>
  <c r="C4255" i="4"/>
  <c r="C4885" i="4"/>
  <c r="C7360" i="4"/>
  <c r="C5152" i="4"/>
  <c r="C5439" i="4"/>
  <c r="C2135" i="4"/>
  <c r="C3158" i="4"/>
  <c r="C7800" i="4"/>
  <c r="C6638" i="4"/>
  <c r="C4008" i="4"/>
  <c r="C4401" i="4"/>
  <c r="C7331" i="4"/>
  <c r="C7214" i="4"/>
  <c r="C4271" i="4"/>
  <c r="C7376" i="4"/>
  <c r="C5921" i="4"/>
  <c r="C10661" i="4"/>
  <c r="C8156" i="4"/>
  <c r="C8611" i="4"/>
  <c r="C5931" i="4"/>
  <c r="C8240" i="4"/>
  <c r="C7974" i="4"/>
  <c r="C10367" i="4"/>
  <c r="C4747" i="4"/>
  <c r="C5841" i="4"/>
  <c r="C3978" i="4"/>
  <c r="C2874" i="4"/>
  <c r="C2884" i="4"/>
  <c r="C6766" i="4"/>
  <c r="C3784" i="4"/>
  <c r="C6219" i="4"/>
  <c r="C4499" i="4"/>
  <c r="C3101" i="4"/>
  <c r="C8691" i="4"/>
  <c r="C2516" i="4"/>
  <c r="C2050" i="4"/>
  <c r="C6809" i="4"/>
  <c r="C6493" i="4"/>
  <c r="C5632" i="4"/>
  <c r="C7251" i="4"/>
  <c r="C5508" i="4"/>
  <c r="C3928" i="4"/>
  <c r="C3600" i="4"/>
  <c r="C6089" i="4"/>
  <c r="C3632" i="4"/>
  <c r="C6885" i="4"/>
  <c r="C7903" i="4"/>
  <c r="C5467" i="4"/>
  <c r="C7588" i="4"/>
  <c r="C4689" i="4"/>
  <c r="C5211" i="4"/>
  <c r="C8179" i="4"/>
  <c r="C7465" i="4"/>
  <c r="C7526" i="4"/>
  <c r="C9073" i="4"/>
  <c r="C7241" i="4"/>
  <c r="C7101" i="4"/>
  <c r="C5029" i="4"/>
  <c r="C5416" i="4"/>
  <c r="C8158" i="4"/>
  <c r="C5166" i="4"/>
  <c r="C6301" i="4"/>
  <c r="C6510" i="4"/>
  <c r="C8324" i="4"/>
  <c r="C8180" i="4"/>
  <c r="C6689" i="4"/>
  <c r="C8189" i="4"/>
  <c r="C9225" i="4"/>
  <c r="C9450" i="4"/>
  <c r="C6759" i="4"/>
  <c r="C9284" i="4"/>
  <c r="C9297" i="4"/>
  <c r="C5803" i="4"/>
  <c r="C7106" i="4"/>
  <c r="C10235" i="4"/>
  <c r="C9517" i="4"/>
  <c r="C10644" i="4"/>
  <c r="C5344" i="4"/>
  <c r="C4588" i="4"/>
  <c r="C8768" i="4"/>
  <c r="C5934" i="4"/>
  <c r="C9526" i="4"/>
  <c r="C8113" i="4"/>
  <c r="C8312" i="4"/>
  <c r="C8716" i="4"/>
  <c r="C9070" i="4"/>
  <c r="C7458" i="4"/>
  <c r="C5826" i="4"/>
  <c r="C6994" i="4"/>
  <c r="C6235" i="4"/>
  <c r="C7464" i="4"/>
  <c r="C8529" i="4"/>
  <c r="C8596" i="4"/>
  <c r="C5998" i="4"/>
  <c r="C5091" i="4"/>
  <c r="C6600" i="4"/>
  <c r="C7418" i="4"/>
  <c r="C6537" i="4"/>
  <c r="C7422" i="4"/>
  <c r="C7303" i="4"/>
  <c r="C7314" i="4"/>
  <c r="C10879" i="4"/>
  <c r="C4726" i="4"/>
  <c r="C5180" i="4"/>
  <c r="C9479" i="4"/>
  <c r="C8356" i="4"/>
  <c r="C7525" i="4"/>
  <c r="C6951" i="4"/>
  <c r="C7511" i="4"/>
  <c r="C9178" i="4"/>
  <c r="C8769" i="4"/>
  <c r="C8121" i="4"/>
  <c r="C7933" i="4"/>
  <c r="C6383" i="4"/>
  <c r="C10412" i="4"/>
  <c r="C8141" i="4"/>
  <c r="C8740" i="4"/>
  <c r="C8031" i="4"/>
  <c r="C8372" i="4"/>
  <c r="C9240" i="4"/>
  <c r="C7307" i="4"/>
  <c r="C6953" i="4"/>
  <c r="C7319" i="4"/>
  <c r="C10778" i="4"/>
  <c r="C8603" i="4"/>
  <c r="C8353" i="4"/>
  <c r="C5982" i="4"/>
  <c r="C6214" i="4"/>
  <c r="C6617" i="4"/>
  <c r="C8195" i="4"/>
  <c r="C10684" i="4"/>
  <c r="C5916" i="4"/>
  <c r="C6436" i="4"/>
  <c r="C6290" i="4"/>
  <c r="C6929" i="4"/>
  <c r="C7638" i="4"/>
  <c r="C7350" i="4"/>
  <c r="C7182" i="4"/>
  <c r="C7596" i="4"/>
  <c r="C7326" i="4"/>
  <c r="C7599" i="4"/>
  <c r="C8508" i="4"/>
  <c r="C8007" i="4"/>
  <c r="C8421" i="4"/>
  <c r="C7739" i="4"/>
  <c r="C5009" i="4"/>
  <c r="C7310" i="4"/>
  <c r="C7436" i="4"/>
  <c r="C4941" i="4"/>
  <c r="C5048" i="4"/>
  <c r="C7734" i="4"/>
  <c r="C7279" i="4"/>
  <c r="C7936" i="4"/>
  <c r="C10762" i="4"/>
  <c r="C7743" i="4"/>
  <c r="C8335" i="4"/>
  <c r="C6247" i="4"/>
  <c r="C6132" i="4"/>
  <c r="C8030" i="4"/>
  <c r="C6120" i="4"/>
  <c r="C8788" i="4"/>
  <c r="C7674" i="4"/>
  <c r="C6705" i="4"/>
  <c r="C8131" i="4"/>
  <c r="C8379" i="4"/>
  <c r="C9219" i="4"/>
  <c r="C9916" i="4"/>
  <c r="C2875" i="4"/>
  <c r="C4084" i="4"/>
  <c r="C3035" i="4"/>
  <c r="C4095" i="4"/>
  <c r="C6881" i="4"/>
  <c r="C6747" i="4"/>
  <c r="C6730" i="4"/>
  <c r="C7662" i="4"/>
  <c r="C5976" i="4"/>
  <c r="C8298" i="4"/>
  <c r="C2815" i="4"/>
  <c r="C5128" i="4"/>
  <c r="C5177" i="4"/>
  <c r="C8377" i="4"/>
  <c r="C6736" i="4"/>
  <c r="C6591" i="4"/>
  <c r="C7078" i="4"/>
  <c r="C7186" i="4"/>
  <c r="C7437" i="4"/>
  <c r="C5676" i="4"/>
  <c r="C9493" i="4"/>
  <c r="C8962" i="4"/>
  <c r="C8025" i="4"/>
  <c r="C10251" i="4"/>
  <c r="C6400" i="4"/>
  <c r="C7799" i="4"/>
  <c r="C10322" i="4"/>
  <c r="C6296" i="4"/>
  <c r="C10441" i="4"/>
  <c r="C7825" i="4"/>
  <c r="C5846" i="4"/>
  <c r="C8371" i="4"/>
  <c r="C6283" i="4"/>
  <c r="C4988" i="4"/>
  <c r="C6577" i="4"/>
  <c r="C4734" i="4"/>
  <c r="C3110" i="4"/>
  <c r="C5627" i="4"/>
  <c r="C7352" i="4"/>
  <c r="C4666" i="4"/>
  <c r="C7185" i="4"/>
  <c r="C8559" i="4"/>
  <c r="C7146" i="4"/>
  <c r="C3057" i="4"/>
  <c r="C4895" i="4"/>
  <c r="C8958" i="4"/>
  <c r="C9390" i="4"/>
  <c r="C8251" i="4"/>
  <c r="C8727" i="4"/>
  <c r="C7815" i="4"/>
  <c r="C7136" i="4"/>
  <c r="C7383" i="4"/>
  <c r="C6789" i="4"/>
  <c r="C6869" i="4"/>
  <c r="C8236" i="4"/>
  <c r="C8092" i="4"/>
  <c r="C6555" i="4"/>
  <c r="C10495" i="4"/>
  <c r="C7987" i="4"/>
  <c r="C6832" i="4"/>
  <c r="C6375" i="4"/>
  <c r="C9507" i="4"/>
  <c r="C9585" i="4"/>
  <c r="C8706" i="4"/>
  <c r="C5022" i="4"/>
  <c r="C4280" i="4"/>
  <c r="C5794" i="4"/>
  <c r="C7327" i="4"/>
  <c r="C8056" i="4"/>
  <c r="C6200" i="4"/>
  <c r="C6876" i="4"/>
  <c r="C3378" i="4"/>
  <c r="C7909" i="4"/>
  <c r="C3075" i="4"/>
  <c r="C7823" i="4"/>
  <c r="C6816" i="4"/>
  <c r="C8074" i="4"/>
  <c r="C7215" i="4"/>
  <c r="C3330" i="4"/>
  <c r="C2839" i="4"/>
  <c r="C5355" i="4"/>
  <c r="C8071" i="4"/>
  <c r="C9193" i="4"/>
  <c r="C10796" i="4"/>
  <c r="C7641" i="4"/>
  <c r="C6087" i="4"/>
  <c r="C5735" i="4"/>
  <c r="C5629" i="4"/>
  <c r="C6880" i="4"/>
  <c r="C10532" i="4"/>
  <c r="C8347" i="4"/>
  <c r="C6620" i="4"/>
  <c r="C8389" i="4"/>
  <c r="C10190" i="4"/>
  <c r="C8946" i="4"/>
  <c r="C5448" i="4"/>
  <c r="C5938" i="4"/>
  <c r="C2389" i="4"/>
  <c r="C7890" i="4"/>
  <c r="C5339" i="4"/>
  <c r="C6011" i="4"/>
  <c r="C8619" i="4"/>
  <c r="C4474" i="4"/>
  <c r="C8730" i="4"/>
  <c r="C6543" i="4"/>
  <c r="C4856" i="4"/>
  <c r="C3730" i="4"/>
  <c r="C4399" i="4"/>
  <c r="C7694" i="4"/>
  <c r="C3415" i="4"/>
  <c r="C5398" i="4"/>
  <c r="C7750" i="4"/>
  <c r="C7087" i="4"/>
  <c r="C6093" i="4"/>
  <c r="C8496" i="4"/>
  <c r="C3135" i="4"/>
  <c r="C6207" i="4"/>
  <c r="C10111" i="4"/>
  <c r="C8554" i="4"/>
  <c r="C7126" i="4"/>
  <c r="C6574" i="4"/>
  <c r="C8712" i="4"/>
  <c r="C6634" i="4"/>
  <c r="C5332" i="4"/>
  <c r="C10806" i="4"/>
  <c r="C7619" i="4"/>
  <c r="C5272" i="4"/>
  <c r="C2581" i="4"/>
  <c r="C3587" i="4"/>
  <c r="C7451" i="4"/>
  <c r="C4945" i="4"/>
  <c r="C8124" i="4"/>
  <c r="C6245" i="4"/>
  <c r="C7895" i="4"/>
  <c r="C5388" i="4"/>
  <c r="C4125" i="4"/>
  <c r="C4633" i="4"/>
  <c r="C8224" i="4"/>
  <c r="C6276" i="4"/>
  <c r="C3770" i="4"/>
  <c r="C6033" i="4"/>
  <c r="C7581" i="4"/>
  <c r="C6110" i="4"/>
  <c r="C6899" i="4"/>
  <c r="C9059" i="4"/>
  <c r="C9143" i="4"/>
  <c r="C3557" i="4"/>
  <c r="C6155" i="4"/>
  <c r="C3405" i="4"/>
  <c r="C4763" i="4"/>
  <c r="C6501" i="4"/>
  <c r="C9544" i="4"/>
  <c r="C9999" i="4"/>
  <c r="C6561" i="4"/>
  <c r="C6963" i="4"/>
  <c r="C6339" i="4"/>
  <c r="C6572" i="4"/>
  <c r="C8370" i="4"/>
  <c r="C9313" i="4"/>
  <c r="C10653" i="4"/>
  <c r="C7713" i="4"/>
  <c r="C6249" i="4"/>
  <c r="C8495" i="4"/>
  <c r="C6499" i="4"/>
  <c r="C7118" i="4"/>
  <c r="C5472" i="4"/>
  <c r="C10141" i="4"/>
  <c r="C7387" i="4"/>
  <c r="C8083" i="4"/>
  <c r="C7121" i="4"/>
  <c r="C6748" i="4"/>
  <c r="C7454" i="4"/>
  <c r="C8405" i="4"/>
  <c r="C7364" i="4"/>
  <c r="C7388" i="4"/>
  <c r="C6970" i="4"/>
  <c r="C6076" i="4"/>
  <c r="C10171" i="4"/>
  <c r="C9721" i="4"/>
  <c r="C7668" i="4"/>
  <c r="C9675" i="4"/>
  <c r="C10536" i="4"/>
  <c r="C8145" i="4"/>
  <c r="C10697" i="4"/>
  <c r="C6780" i="4"/>
  <c r="C7129" i="4"/>
  <c r="C7354" i="4"/>
  <c r="C8736" i="4"/>
  <c r="C9462" i="4"/>
  <c r="C10667" i="4"/>
  <c r="C5624" i="4"/>
  <c r="C10714" i="4"/>
  <c r="C6983" i="4"/>
  <c r="C9984" i="4"/>
  <c r="C10172" i="4"/>
  <c r="C7018" i="4"/>
  <c r="C5772" i="4"/>
  <c r="C8067" i="4"/>
  <c r="C8901" i="4"/>
  <c r="C8110" i="4"/>
  <c r="C10805" i="4"/>
  <c r="C10860" i="4"/>
  <c r="C7545" i="4"/>
  <c r="C6531" i="4"/>
  <c r="C5950" i="4"/>
  <c r="C8107" i="4"/>
  <c r="C7928" i="4"/>
  <c r="C10694" i="4"/>
  <c r="C4059" i="4"/>
  <c r="C6852" i="4"/>
  <c r="C7620" i="4"/>
  <c r="C5616" i="4"/>
  <c r="C6949" i="4"/>
  <c r="C6330" i="4"/>
  <c r="C7796" i="4"/>
  <c r="C9323" i="4"/>
  <c r="C6562" i="4"/>
  <c r="C9060" i="4"/>
  <c r="C6232" i="4"/>
  <c r="C10770" i="4"/>
  <c r="C7810" i="4"/>
  <c r="C9129" i="4"/>
  <c r="C8120" i="4"/>
  <c r="C6131" i="4"/>
  <c r="C3758" i="4"/>
  <c r="C5107" i="4"/>
  <c r="C8888" i="4"/>
  <c r="C8567" i="4"/>
  <c r="C9578" i="4"/>
  <c r="C6508" i="4"/>
  <c r="C6808" i="4"/>
  <c r="C6295" i="4"/>
  <c r="C6309" i="4"/>
  <c r="C7316" i="4"/>
  <c r="C8479" i="4"/>
  <c r="C7320" i="4"/>
  <c r="C6604" i="4"/>
  <c r="C7722" i="4"/>
  <c r="C9085" i="4"/>
  <c r="C6877" i="4"/>
  <c r="C3712" i="4"/>
  <c r="C6467" i="4"/>
  <c r="C7518" i="4"/>
  <c r="C7629" i="4"/>
  <c r="C7269" i="4"/>
  <c r="C7515" i="4"/>
  <c r="C6009" i="4"/>
  <c r="C6694" i="4"/>
  <c r="C9097" i="4"/>
  <c r="C10560" i="4"/>
  <c r="C5599" i="4"/>
  <c r="C10046" i="4"/>
  <c r="C6370" i="4"/>
  <c r="C4108" i="4"/>
  <c r="C8598" i="4"/>
  <c r="C8430" i="4"/>
  <c r="C9567" i="4"/>
  <c r="C8648" i="4"/>
  <c r="C10196" i="4"/>
  <c r="C6980" i="4"/>
  <c r="C10610" i="4"/>
  <c r="C8477" i="4"/>
  <c r="C5935" i="4"/>
  <c r="C8227" i="4"/>
  <c r="C8947" i="4"/>
  <c r="C6038" i="4"/>
  <c r="C10477" i="4"/>
  <c r="C7452" i="4"/>
  <c r="C8742" i="4"/>
  <c r="C7586" i="4"/>
  <c r="C7802" i="4"/>
  <c r="C4696" i="4"/>
  <c r="C7788" i="4"/>
  <c r="C4560" i="4"/>
  <c r="C5964" i="4"/>
  <c r="C6446" i="4"/>
  <c r="C3159" i="4"/>
  <c r="C5196" i="4"/>
  <c r="C7703" i="4"/>
  <c r="C5638" i="4"/>
  <c r="C5390" i="4"/>
  <c r="C7793" i="4"/>
  <c r="C9078" i="4"/>
  <c r="C6599" i="4"/>
  <c r="C7120" i="4"/>
  <c r="C8458" i="4"/>
  <c r="C8159" i="4"/>
  <c r="C4501" i="4"/>
  <c r="C8616" i="4"/>
  <c r="C6538" i="4"/>
  <c r="C7508" i="4"/>
  <c r="C6687" i="4"/>
  <c r="C8884" i="4"/>
  <c r="C8243" i="4"/>
  <c r="C9909" i="4"/>
  <c r="C6559" i="4"/>
  <c r="C5571" i="4"/>
  <c r="C7284" i="4"/>
  <c r="C8553" i="4"/>
  <c r="C8900" i="4"/>
  <c r="C6057" i="4"/>
  <c r="C7113" i="4"/>
  <c r="C8753" i="4"/>
  <c r="C4443" i="4"/>
  <c r="C4249" i="4"/>
  <c r="C7459" i="4"/>
  <c r="C4030" i="4"/>
  <c r="C7781" i="4"/>
  <c r="C7498" i="4"/>
  <c r="C5051" i="4"/>
  <c r="C4594" i="4"/>
  <c r="C6800" i="4"/>
  <c r="C6821" i="4"/>
  <c r="C7077" i="4"/>
  <c r="C7704" i="4"/>
  <c r="C5607" i="4"/>
  <c r="C4827" i="4"/>
  <c r="C4842" i="4"/>
  <c r="C6420" i="4"/>
  <c r="C5625" i="4"/>
  <c r="C7274" i="4"/>
  <c r="C6728" i="4"/>
  <c r="C7993" i="4"/>
  <c r="C8986" i="4"/>
  <c r="C5357" i="4"/>
  <c r="C8516" i="4"/>
  <c r="C5948" i="4"/>
  <c r="C7715" i="4"/>
  <c r="C7001" i="4"/>
  <c r="C9941" i="4"/>
  <c r="C5227" i="4"/>
  <c r="C2381" i="4"/>
  <c r="C3205" i="4"/>
  <c r="C10800" i="4"/>
  <c r="C7119" i="4"/>
  <c r="C3305" i="4"/>
  <c r="C6697" i="4"/>
  <c r="C4864" i="4"/>
  <c r="C6403" i="4"/>
  <c r="C6812" i="4"/>
  <c r="C6505" i="4"/>
  <c r="C9312" i="4"/>
  <c r="C7558" i="4"/>
  <c r="C7237" i="4"/>
  <c r="C8099" i="4"/>
  <c r="C5405" i="4"/>
  <c r="C5330" i="4"/>
  <c r="C6802" i="4"/>
  <c r="C5906" i="4"/>
  <c r="C8364" i="4"/>
  <c r="C8927" i="4"/>
  <c r="C7230" i="4"/>
  <c r="C7236" i="4"/>
  <c r="C9017" i="4"/>
  <c r="C7024" i="4"/>
  <c r="C8942" i="4"/>
  <c r="C7949" i="4"/>
  <c r="C7471" i="4"/>
  <c r="C8982" i="4"/>
  <c r="C8362" i="4"/>
  <c r="C9075" i="4"/>
  <c r="C5217" i="4"/>
  <c r="C6639" i="4"/>
  <c r="C9387" i="4"/>
  <c r="C2573" i="4"/>
  <c r="C7295" i="4"/>
  <c r="C5081" i="4"/>
  <c r="C6351" i="4"/>
  <c r="C6566" i="4"/>
  <c r="C5902" i="4"/>
  <c r="C8585" i="4"/>
  <c r="C5108" i="4"/>
  <c r="C6495" i="4"/>
  <c r="C3545" i="4"/>
  <c r="C6360" i="4"/>
  <c r="C5963" i="4"/>
  <c r="C2969" i="4"/>
  <c r="C4999" i="4"/>
  <c r="C5507" i="4"/>
  <c r="C8907" i="4"/>
  <c r="C7858" i="4"/>
  <c r="C4217" i="4"/>
  <c r="C4014" i="4"/>
  <c r="C5880" i="4"/>
  <c r="C7385" i="4"/>
  <c r="C5918" i="4"/>
  <c r="C8457" i="4"/>
  <c r="C8604" i="4"/>
  <c r="C8709" i="4"/>
  <c r="C6813" i="4"/>
  <c r="C7779" i="4"/>
  <c r="C9049" i="4"/>
  <c r="C9263" i="4"/>
  <c r="C6992" i="4"/>
  <c r="C10134" i="4"/>
  <c r="C10554" i="4"/>
  <c r="C4044" i="4"/>
  <c r="C3038" i="4"/>
  <c r="C4129" i="4"/>
  <c r="C6137" i="4"/>
  <c r="C7942" i="4"/>
  <c r="C7967" i="4"/>
  <c r="C6105" i="4"/>
  <c r="C3817" i="4"/>
  <c r="C4803" i="4"/>
  <c r="C5268" i="4"/>
  <c r="C3257" i="4"/>
  <c r="C5285" i="4"/>
  <c r="C4380" i="4"/>
  <c r="C5899" i="4"/>
  <c r="C9088" i="4"/>
  <c r="C4532" i="4"/>
  <c r="C7911" i="4"/>
  <c r="C8515" i="4"/>
  <c r="C6664" i="4"/>
  <c r="C6648" i="4"/>
  <c r="C7095" i="4"/>
  <c r="C5999" i="4"/>
  <c r="C7569" i="4"/>
  <c r="C6726" i="4"/>
  <c r="C5830" i="4"/>
  <c r="C5712" i="4"/>
  <c r="C6212" i="4"/>
  <c r="C9134" i="4"/>
  <c r="C7852" i="4"/>
  <c r="C9864" i="4"/>
  <c r="C9924" i="4"/>
  <c r="C9646" i="4"/>
  <c r="C10334" i="4"/>
  <c r="C5435" i="4"/>
  <c r="C5242" i="4"/>
  <c r="C6671" i="4"/>
  <c r="C7254" i="4"/>
  <c r="C8079" i="4"/>
  <c r="C8082" i="4"/>
  <c r="C7117" i="4"/>
  <c r="C8597" i="4"/>
  <c r="C8541" i="4"/>
  <c r="C8501" i="4"/>
  <c r="C8578" i="4"/>
  <c r="C7029" i="4"/>
  <c r="C5295" i="4"/>
  <c r="C6665" i="4"/>
  <c r="C9968" i="4"/>
  <c r="C8773" i="4"/>
  <c r="C7628" i="4"/>
  <c r="C8892" i="4"/>
  <c r="C7733" i="4"/>
  <c r="C7356" i="4"/>
  <c r="C7429" i="4"/>
  <c r="C6079" i="4"/>
  <c r="C7165" i="4"/>
  <c r="C7669" i="4"/>
  <c r="C10885" i="4"/>
  <c r="C7063" i="4"/>
  <c r="C7275" i="4"/>
  <c r="C7986" i="4"/>
  <c r="C6988" i="4"/>
  <c r="C8117" i="4"/>
  <c r="C5996" i="4"/>
  <c r="C7488" i="4"/>
  <c r="C9858" i="4"/>
  <c r="C5843" i="4"/>
  <c r="C8941" i="4"/>
  <c r="C8008" i="4"/>
  <c r="C7637" i="4"/>
  <c r="C9576" i="4"/>
  <c r="C7424" i="4"/>
  <c r="C8328" i="4"/>
  <c r="C6575" i="4"/>
  <c r="C6484" i="4"/>
  <c r="C9549" i="4"/>
  <c r="C6322" i="4"/>
  <c r="C5469" i="4"/>
  <c r="C9289" i="4"/>
  <c r="C6022" i="4"/>
  <c r="C5553" i="4"/>
  <c r="C8011" i="4"/>
  <c r="C8049" i="4"/>
  <c r="C6148" i="4"/>
  <c r="C8560" i="4"/>
  <c r="C8013" i="4"/>
  <c r="C4581" i="4"/>
  <c r="C4571" i="4"/>
  <c r="C6461" i="4"/>
  <c r="C5914" i="4"/>
  <c r="C6709" i="4"/>
  <c r="C6781" i="4"/>
  <c r="C6161" i="4"/>
  <c r="C8290" i="4"/>
  <c r="C7806" i="4"/>
  <c r="C8779" i="4"/>
  <c r="C4817" i="4"/>
  <c r="C10538" i="4"/>
  <c r="C9130" i="4"/>
  <c r="C5904" i="4"/>
  <c r="C9182" i="4"/>
  <c r="C7288" i="4"/>
  <c r="C8160" i="4"/>
  <c r="C5138" i="4"/>
  <c r="C7332" i="4"/>
  <c r="C6210" i="4"/>
  <c r="C6686" i="4"/>
  <c r="C9094" i="4"/>
  <c r="C7000" i="4"/>
  <c r="C8517" i="4"/>
  <c r="C7173" i="4"/>
  <c r="C10035" i="4"/>
  <c r="C4138" i="4"/>
  <c r="C4162" i="4"/>
  <c r="C6423" i="4"/>
  <c r="C7457" i="4"/>
  <c r="C4744" i="4"/>
  <c r="C6540" i="4"/>
  <c r="C5252" i="4"/>
  <c r="C8589" i="4"/>
  <c r="C9039" i="4"/>
  <c r="C7357" i="4"/>
  <c r="C8036" i="4"/>
  <c r="C6783" i="4"/>
  <c r="C9611" i="4"/>
  <c r="C9736" i="4"/>
  <c r="C9660" i="4"/>
  <c r="C5068" i="4"/>
  <c r="C1663" i="4"/>
  <c r="C4022" i="4"/>
  <c r="C1198" i="4"/>
  <c r="C6248" i="4"/>
  <c r="C6773" i="4"/>
  <c r="C6551" i="4"/>
  <c r="C5863" i="4"/>
  <c r="C7474" i="4"/>
  <c r="C5829" i="4"/>
  <c r="C6317" i="4"/>
  <c r="C6196" i="4"/>
  <c r="C5578" i="4"/>
  <c r="C6177" i="4"/>
  <c r="C7910" i="4"/>
  <c r="C4524" i="4"/>
  <c r="C7202" i="4"/>
  <c r="C5785" i="4"/>
  <c r="C7899" i="4"/>
  <c r="C7408" i="4"/>
  <c r="C7678" i="4"/>
  <c r="C6820" i="4"/>
  <c r="C8255" i="4"/>
  <c r="C5382" i="4"/>
  <c r="C9159" i="4"/>
  <c r="C7256" i="4"/>
  <c r="C8536" i="4"/>
  <c r="C9458" i="4"/>
  <c r="C5471" i="4"/>
  <c r="C4200" i="4"/>
  <c r="C4410" i="4"/>
  <c r="C1471" i="4"/>
  <c r="C4114" i="4"/>
  <c r="C5862" i="4"/>
  <c r="C8557" i="4"/>
  <c r="C4814" i="4"/>
  <c r="C6045" i="4"/>
  <c r="C5909" i="4"/>
  <c r="C5109" i="4"/>
  <c r="C6444" i="4"/>
  <c r="C4210" i="4"/>
  <c r="C4071" i="4"/>
  <c r="C4201" i="4"/>
  <c r="C6839" i="4"/>
  <c r="C6023" i="4"/>
  <c r="C6465" i="4"/>
  <c r="C4845" i="4"/>
  <c r="C7151" i="4"/>
  <c r="C4412" i="4"/>
  <c r="C6046" i="4"/>
  <c r="C6226" i="4"/>
  <c r="C6836" i="4"/>
  <c r="C7086" i="4"/>
  <c r="C9395" i="4"/>
  <c r="C4780" i="4"/>
  <c r="C7438" i="4"/>
  <c r="C6163" i="4"/>
  <c r="C5983" i="4"/>
  <c r="C8115" i="4"/>
  <c r="C8684" i="4"/>
  <c r="C4801" i="4"/>
  <c r="C9609" i="4"/>
  <c r="C5127" i="4"/>
  <c r="C5065" i="4"/>
  <c r="C2672" i="4"/>
  <c r="C5612" i="4"/>
  <c r="C6075" i="4"/>
  <c r="C7043" i="4"/>
  <c r="C4334" i="4"/>
  <c r="C4352" i="4"/>
  <c r="C4787" i="4"/>
  <c r="C5225" i="4"/>
  <c r="C5057" i="4"/>
  <c r="C6372" i="4"/>
  <c r="C5570" i="4"/>
  <c r="C7681" i="4"/>
  <c r="C4711" i="4"/>
  <c r="C6593" i="4"/>
  <c r="C9183" i="4"/>
  <c r="C10473" i="4"/>
  <c r="C9043" i="4"/>
  <c r="C8022" i="4"/>
  <c r="C6656" i="4"/>
  <c r="C6630" i="4"/>
  <c r="C9976" i="4"/>
  <c r="C7299" i="4"/>
  <c r="C6596" i="4"/>
  <c r="C4993" i="4"/>
  <c r="C6389" i="4"/>
  <c r="C6453" i="4"/>
  <c r="C9362" i="4"/>
  <c r="C10080" i="4"/>
  <c r="C5953" i="4"/>
  <c r="C3062" i="4"/>
  <c r="C5533" i="4"/>
  <c r="C4231" i="4"/>
  <c r="C9597" i="4"/>
  <c r="C4996" i="4"/>
  <c r="C6393" i="4"/>
  <c r="C7636" i="4"/>
  <c r="C4948" i="4"/>
  <c r="C6549" i="4"/>
  <c r="C4876" i="4"/>
  <c r="C6668" i="4"/>
  <c r="C5110" i="4"/>
  <c r="C5518" i="4"/>
  <c r="C5750" i="4"/>
  <c r="C5876" i="4"/>
  <c r="C6316" i="4"/>
  <c r="C6528" i="4"/>
  <c r="C3361" i="4"/>
  <c r="C3369" i="4"/>
  <c r="C7223" i="4"/>
  <c r="C6767" i="4"/>
  <c r="C7152" i="4"/>
  <c r="C6159" i="4"/>
  <c r="C9058" i="4"/>
  <c r="C8340" i="4"/>
  <c r="C6685" i="4"/>
  <c r="C4777" i="4"/>
  <c r="C5141" i="4"/>
  <c r="C9341" i="4"/>
  <c r="C7805" i="4"/>
  <c r="C7139" i="4"/>
  <c r="C5269" i="4"/>
  <c r="C7305" i="4"/>
  <c r="C6795" i="4"/>
  <c r="C8057" i="4"/>
  <c r="C9020" i="4"/>
  <c r="C4502" i="4"/>
  <c r="C3540" i="4"/>
  <c r="C2675" i="4"/>
  <c r="C3473" i="4"/>
  <c r="C4535" i="4"/>
  <c r="C6402" i="4"/>
  <c r="C5808" i="4"/>
  <c r="C6005" i="4"/>
  <c r="C6070" i="4"/>
  <c r="C5635" i="4"/>
  <c r="C6082" i="4"/>
  <c r="C6181" i="4"/>
  <c r="C5300" i="4"/>
  <c r="C8540" i="4"/>
  <c r="C6274" i="4"/>
  <c r="C6072" i="4"/>
  <c r="C6509" i="4"/>
  <c r="C8708" i="4"/>
  <c r="C3553" i="4"/>
  <c r="C6356" i="4"/>
  <c r="C3561" i="4"/>
  <c r="C6365" i="4"/>
  <c r="C6861" i="4"/>
  <c r="C6314" i="4"/>
  <c r="C7336" i="4"/>
  <c r="C7509" i="4"/>
  <c r="C8190" i="4"/>
  <c r="C8157" i="4"/>
  <c r="C7176" i="4"/>
  <c r="C9353" i="4"/>
  <c r="C8682" i="4"/>
  <c r="C7665" i="4"/>
  <c r="C9678" i="4"/>
  <c r="C7110" i="4"/>
  <c r="C7979" i="4"/>
  <c r="C6441" i="4"/>
  <c r="C5952" i="4"/>
  <c r="C7763" i="4"/>
  <c r="C9221" i="4"/>
  <c r="C4785" i="4"/>
  <c r="C6962" i="4"/>
  <c r="C8701" i="4"/>
  <c r="C8260" i="4"/>
  <c r="C9326" i="4"/>
  <c r="C10572" i="4"/>
  <c r="C6324" i="4"/>
  <c r="C10506" i="4"/>
  <c r="C10787" i="4"/>
  <c r="C10089" i="4"/>
  <c r="C8187" i="4"/>
  <c r="C8718" i="4"/>
  <c r="C7597" i="4"/>
  <c r="C7093" i="4"/>
  <c r="C8573" i="4"/>
  <c r="C7701" i="4"/>
  <c r="C8999" i="4"/>
  <c r="C5891" i="4"/>
  <c r="C7717" i="4"/>
  <c r="C7600" i="4"/>
  <c r="C8591" i="4"/>
  <c r="C8009" i="4"/>
  <c r="C10775" i="4"/>
  <c r="C6998" i="4"/>
  <c r="C8143" i="4"/>
  <c r="C8368" i="4"/>
  <c r="C7991" i="4"/>
  <c r="C7625" i="4"/>
  <c r="C7789" i="4"/>
  <c r="C6378" i="4"/>
  <c r="C7445" i="4"/>
  <c r="C6794" i="4"/>
  <c r="C9296" i="4"/>
  <c r="C10301" i="4"/>
  <c r="C10129" i="4"/>
  <c r="C6468" i="4"/>
  <c r="C10038" i="4"/>
  <c r="C9013" i="4"/>
  <c r="C4922" i="4"/>
  <c r="C4344" i="4"/>
  <c r="C7602" i="4"/>
  <c r="C8424" i="4"/>
  <c r="C8416" i="4"/>
  <c r="C7725" i="4"/>
  <c r="C10061" i="4"/>
  <c r="C6909" i="4"/>
  <c r="C5704" i="4"/>
  <c r="C7076" i="4"/>
  <c r="C7857" i="4"/>
  <c r="C5923" i="4"/>
  <c r="C8303" i="4"/>
  <c r="C8339" i="4"/>
  <c r="C7162" i="4"/>
  <c r="C6160" i="4"/>
  <c r="C8950" i="4"/>
  <c r="C7840" i="4"/>
  <c r="C7255" i="4"/>
  <c r="C3520" i="4"/>
  <c r="C6077" i="4"/>
  <c r="C6964" i="4"/>
  <c r="C6919" i="4"/>
  <c r="C8824" i="4"/>
  <c r="C6651" i="4"/>
  <c r="C5890" i="4"/>
  <c r="C5745" i="4"/>
  <c r="C6010" i="4"/>
  <c r="C10435" i="4"/>
  <c r="C8820" i="4"/>
  <c r="C9673" i="4"/>
  <c r="C8222" i="4"/>
  <c r="C9397" i="4"/>
  <c r="C9292" i="4"/>
  <c r="C7333" i="4"/>
  <c r="C10462" i="4"/>
  <c r="C7224" i="4"/>
  <c r="C7845" i="4"/>
  <c r="C6796" i="4"/>
  <c r="C7189" i="4"/>
  <c r="C8285" i="4"/>
  <c r="C9723" i="4"/>
  <c r="C9996" i="4"/>
  <c r="C4166" i="4"/>
  <c r="C6825" i="4"/>
  <c r="C3904" i="4"/>
  <c r="C9536" i="4"/>
  <c r="C6879" i="4"/>
  <c r="C7961" i="4"/>
  <c r="C9355" i="4"/>
  <c r="C6754" i="4"/>
  <c r="C7282" i="4"/>
  <c r="C6833" i="4"/>
  <c r="C5294" i="4"/>
  <c r="C8087" i="4"/>
  <c r="C6432" i="4"/>
  <c r="C8316" i="4"/>
  <c r="C7966" i="4"/>
  <c r="C9698" i="4"/>
  <c r="C4490" i="4"/>
  <c r="C4097" i="4"/>
  <c r="C4526" i="4"/>
  <c r="C4049" i="4"/>
  <c r="C5188" i="4"/>
  <c r="C4309" i="4"/>
  <c r="C5832" i="4"/>
  <c r="C9035" i="4"/>
  <c r="C6894" i="4"/>
  <c r="C5633" i="4"/>
  <c r="C5672" i="4"/>
  <c r="C6333" i="4"/>
  <c r="C7613" i="4"/>
  <c r="C7918" i="4"/>
  <c r="C6217" i="4"/>
  <c r="C5407" i="4"/>
  <c r="C7916" i="4"/>
  <c r="C5465" i="4"/>
  <c r="C7921" i="4"/>
  <c r="C8375" i="4"/>
  <c r="C8095" i="4"/>
  <c r="C6741" i="4"/>
  <c r="C7727" i="4"/>
  <c r="C7051" i="4"/>
  <c r="C8533" i="4"/>
  <c r="C8262" i="4"/>
  <c r="C10332" i="4"/>
  <c r="C3725" i="4"/>
  <c r="C5391" i="4"/>
  <c r="C4407" i="4"/>
  <c r="C4413" i="4"/>
  <c r="C6381" i="4"/>
  <c r="C6049" i="4"/>
  <c r="C6154" i="4"/>
  <c r="C8211" i="4"/>
  <c r="C5572" i="4"/>
  <c r="C7026" i="4"/>
  <c r="C6080" i="4"/>
  <c r="C6182" i="4"/>
  <c r="C7877" i="4"/>
  <c r="C6412" i="4"/>
  <c r="C7708" i="4"/>
  <c r="C6114" i="4"/>
  <c r="C7361" i="4"/>
  <c r="C8688" i="4"/>
  <c r="C7347" i="4"/>
  <c r="C6287" i="4"/>
  <c r="C7300" i="4"/>
  <c r="C5489" i="4"/>
  <c r="C7039" i="4"/>
  <c r="C8676" i="4"/>
  <c r="C7932" i="4"/>
  <c r="C8528" i="4"/>
  <c r="C9291" i="4"/>
  <c r="C8410" i="4"/>
  <c r="C10070" i="4"/>
  <c r="C6097" i="4"/>
  <c r="C3510" i="4"/>
  <c r="C4079" i="4"/>
  <c r="C6326" i="4"/>
  <c r="C5067" i="4"/>
  <c r="C8380" i="4"/>
  <c r="C7503" i="4"/>
  <c r="C5617" i="4"/>
  <c r="C6867" i="4"/>
  <c r="C5103" i="4"/>
  <c r="C5788" i="4"/>
  <c r="C6872" i="4"/>
  <c r="C6702" i="4"/>
  <c r="C7415" i="4"/>
  <c r="C6353" i="4"/>
  <c r="C7688" i="4"/>
  <c r="C5591" i="4"/>
  <c r="C5606" i="4"/>
  <c r="C7952" i="4"/>
  <c r="C6776" i="4"/>
  <c r="C7584" i="4"/>
  <c r="C7960" i="4"/>
  <c r="C5769" i="4"/>
  <c r="C7608" i="4"/>
  <c r="C7175" i="4"/>
  <c r="C7883" i="4"/>
  <c r="C8599" i="4"/>
  <c r="C7913" i="4"/>
  <c r="C7180" i="4"/>
  <c r="C3465" i="4"/>
  <c r="C3615" i="4"/>
  <c r="C5560" i="4"/>
  <c r="C5267" i="4"/>
  <c r="C5036" i="4"/>
  <c r="C7334" i="4"/>
  <c r="C6415" i="4"/>
  <c r="C7443" i="4"/>
  <c r="C6194" i="4"/>
  <c r="C6398" i="4"/>
  <c r="C7168" i="4"/>
  <c r="C8151" i="4"/>
  <c r="C8163" i="4"/>
  <c r="C5297" i="4"/>
  <c r="C8618" i="4"/>
  <c r="C6823" i="4"/>
  <c r="C7253" i="4"/>
  <c r="C9274" i="4"/>
  <c r="C7131" i="4"/>
  <c r="C5911" i="4"/>
  <c r="C7606" i="4"/>
  <c r="C5118" i="4"/>
  <c r="C7519" i="4"/>
  <c r="C7943" i="4"/>
  <c r="C7404" i="4"/>
  <c r="C10843" i="4"/>
  <c r="C4298" i="4"/>
  <c r="C3769" i="4"/>
  <c r="C6043" i="4"/>
  <c r="C5723" i="4"/>
  <c r="C10673" i="4"/>
  <c r="C6862" i="4"/>
  <c r="C6721" i="4"/>
  <c r="C6751" i="4"/>
  <c r="C6913" i="4"/>
  <c r="C8733" i="4"/>
  <c r="C5375" i="4"/>
  <c r="C7407" i="4"/>
  <c r="C5922" i="4"/>
  <c r="C3909" i="4"/>
  <c r="C7759" i="4"/>
  <c r="C6335" i="4"/>
  <c r="C6471" i="4"/>
  <c r="C5376" i="4"/>
  <c r="C5387" i="4"/>
  <c r="C8317" i="4"/>
  <c r="C5973" i="4"/>
  <c r="C7420" i="4"/>
  <c r="C7938" i="4"/>
  <c r="C9342" i="4"/>
  <c r="C5974" i="4"/>
  <c r="C6729" i="4"/>
  <c r="C6594" i="4"/>
  <c r="C5558" i="4"/>
  <c r="C9273" i="4"/>
  <c r="C7349" i="4"/>
  <c r="C6798" i="4"/>
  <c r="C9534" i="4"/>
  <c r="C7977" i="4"/>
  <c r="C6849" i="4"/>
  <c r="C8956" i="4"/>
  <c r="C7222" i="4"/>
  <c r="C8842" i="4"/>
  <c r="C9674" i="4"/>
  <c r="C6058" i="4"/>
  <c r="C8220" i="4"/>
  <c r="C8264" i="4"/>
  <c r="C6325" i="4"/>
  <c r="C5016" i="4"/>
  <c r="C10713" i="4"/>
  <c r="C9422" i="4"/>
  <c r="C7006" i="4"/>
  <c r="C5947" i="4"/>
  <c r="C6047" i="4"/>
  <c r="C8129" i="4"/>
  <c r="C6698" i="4"/>
  <c r="C6293" i="4"/>
  <c r="C9206" i="4"/>
  <c r="C7651" i="4"/>
  <c r="C8911" i="4"/>
  <c r="C7610" i="4"/>
  <c r="C10849" i="4"/>
  <c r="C9652" i="4"/>
  <c r="C8252" i="4"/>
  <c r="C9504" i="4"/>
  <c r="C9911" i="4"/>
  <c r="C10353" i="4"/>
  <c r="C10030" i="4"/>
  <c r="C5426" i="4"/>
  <c r="C8569" i="4"/>
  <c r="C7273" i="4"/>
  <c r="C7643" i="4"/>
  <c r="C8390" i="4"/>
  <c r="C10523" i="4"/>
  <c r="C10837" i="4"/>
  <c r="C10867" i="4"/>
  <c r="C8233" i="4"/>
  <c r="C7341" i="4"/>
  <c r="C8275" i="4"/>
  <c r="C8068" i="4"/>
  <c r="C7666" i="4"/>
  <c r="C7419" i="4"/>
  <c r="C8373" i="4"/>
  <c r="C7723" i="4"/>
  <c r="C9940" i="4"/>
  <c r="C9144" i="4"/>
  <c r="C10686" i="4"/>
  <c r="C10529" i="4"/>
  <c r="C10608" i="4"/>
  <c r="C9738" i="4"/>
  <c r="C9974" i="4"/>
  <c r="C6688" i="4"/>
  <c r="C8710" i="4"/>
  <c r="C8543" i="4"/>
  <c r="C8096" i="4"/>
  <c r="C8615" i="4"/>
  <c r="C6960" i="4"/>
  <c r="C8034" i="4"/>
  <c r="C7873" i="4"/>
  <c r="C7353" i="4"/>
  <c r="C8053" i="4"/>
  <c r="C8326" i="4"/>
  <c r="C10187" i="4"/>
  <c r="C7847" i="4"/>
  <c r="C7765" i="4"/>
  <c r="C7881" i="4"/>
  <c r="C7971" i="4"/>
  <c r="C7516" i="4"/>
  <c r="C5870" i="4"/>
  <c r="C8468" i="4"/>
  <c r="C8476" i="4"/>
  <c r="C5780" i="4"/>
  <c r="C6636" i="4"/>
  <c r="C8593" i="4"/>
  <c r="C8930" i="4"/>
  <c r="C10730" i="4"/>
  <c r="C7130" i="4"/>
  <c r="C8134" i="4"/>
  <c r="C7964" i="4"/>
  <c r="C8498" i="4"/>
  <c r="C6806" i="4"/>
  <c r="C8313" i="4"/>
  <c r="C7604" i="4"/>
  <c r="C5500" i="4"/>
  <c r="C8816" i="4"/>
  <c r="C5158" i="4"/>
  <c r="C7607" i="4"/>
  <c r="C9385" i="4"/>
  <c r="C10634" i="4"/>
  <c r="C7504" i="4"/>
  <c r="C7200" i="4"/>
  <c r="C6563" i="4"/>
  <c r="C10156" i="4"/>
  <c r="C7885" i="4"/>
  <c r="C8051" i="4"/>
  <c r="C5001" i="4"/>
  <c r="C7172" i="4"/>
  <c r="C7081" i="4"/>
  <c r="C6893" i="4"/>
  <c r="C9242" i="4"/>
  <c r="C10398" i="4"/>
  <c r="C10735" i="4"/>
  <c r="C7923" i="4"/>
  <c r="C7135" i="4"/>
  <c r="C7233" i="4"/>
  <c r="C6358" i="4"/>
  <c r="C5682" i="4"/>
  <c r="C3668" i="4"/>
  <c r="C7375" i="4"/>
  <c r="C5493" i="4"/>
  <c r="C8066" i="4"/>
  <c r="C6153" i="4"/>
  <c r="C9231" i="4"/>
  <c r="C7206" i="4"/>
  <c r="C5524" i="4"/>
  <c r="C6650" i="4"/>
  <c r="C8184" i="4"/>
  <c r="C5877" i="4"/>
  <c r="C6201" i="4"/>
  <c r="C7339" i="4"/>
  <c r="C7891" i="4"/>
  <c r="C7348" i="4"/>
  <c r="C9084" i="4"/>
  <c r="C7413" i="4"/>
  <c r="C8346" i="4"/>
  <c r="C8726" i="4"/>
  <c r="C6250" i="4"/>
  <c r="C10478" i="4"/>
  <c r="C8758" i="4"/>
  <c r="C9683" i="4"/>
  <c r="C8977" i="4"/>
  <c r="C10708" i="4"/>
  <c r="C7538" i="4"/>
  <c r="C7257" i="4"/>
  <c r="C5028" i="4"/>
  <c r="C5737" i="4"/>
  <c r="C5758" i="4"/>
  <c r="C5879" i="4"/>
  <c r="C7771" i="4"/>
  <c r="C7321" i="4"/>
  <c r="C6278" i="4"/>
  <c r="C6715" i="4"/>
  <c r="C7161" i="4"/>
  <c r="C9412" i="4"/>
  <c r="C8847" i="4"/>
  <c r="C7712" i="4"/>
  <c r="C9677" i="4"/>
  <c r="C7127" i="4"/>
  <c r="C8945" i="4"/>
  <c r="C7061" i="4"/>
  <c r="C8042" i="4"/>
  <c r="C7658" i="4"/>
  <c r="C8677" i="4"/>
  <c r="C10062" i="4"/>
  <c r="C6466" i="4"/>
  <c r="C8417" i="4"/>
  <c r="C7102" i="4"/>
  <c r="C8785" i="4"/>
  <c r="C10779" i="4"/>
  <c r="C5526" i="4"/>
  <c r="C8010" i="4"/>
  <c r="C4762" i="4"/>
  <c r="C5205" i="4"/>
  <c r="C6918" i="4"/>
  <c r="C6242" i="4"/>
  <c r="C5552" i="4"/>
  <c r="C8419" i="4"/>
  <c r="C8197" i="4"/>
  <c r="C7639" i="4"/>
  <c r="C6603" i="4"/>
  <c r="C6602" i="4"/>
  <c r="C4358" i="4"/>
  <c r="C6733" i="4"/>
  <c r="C9466" i="4"/>
  <c r="C8503" i="4"/>
  <c r="C8357" i="4"/>
  <c r="C6811" i="4"/>
  <c r="C6013" i="4"/>
  <c r="C9727" i="4"/>
  <c r="C5823" i="4"/>
  <c r="C7900" i="4"/>
  <c r="C6511" i="4"/>
  <c r="C7097" i="4"/>
  <c r="C9518" i="4"/>
  <c r="C9953" i="4"/>
  <c r="C8467" i="4"/>
  <c r="C9197" i="4"/>
  <c r="C10417" i="4"/>
  <c r="C6431" i="4"/>
  <c r="C5278" i="4"/>
  <c r="C6955" i="4"/>
  <c r="C8574" i="4"/>
  <c r="C5038" i="4"/>
  <c r="C5753" i="4"/>
  <c r="C7037" i="4"/>
  <c r="C7157" i="4"/>
  <c r="C7872" i="4"/>
  <c r="C8174" i="4"/>
  <c r="C7362" i="4"/>
  <c r="C8971" i="4"/>
  <c r="C5885" i="4"/>
  <c r="C4808" i="4"/>
  <c r="C7934" i="4"/>
  <c r="C7064" i="4"/>
  <c r="C8791" i="4"/>
  <c r="C6667" i="4"/>
  <c r="C7428" i="4"/>
  <c r="C7351" i="4"/>
  <c r="C7661" i="4"/>
  <c r="C8012" i="4"/>
  <c r="C8750" i="4"/>
  <c r="C5521" i="4"/>
  <c r="C8798" i="4"/>
  <c r="C4825" i="4"/>
  <c r="C10137" i="4"/>
  <c r="C9692" i="4"/>
  <c r="C6304" i="4"/>
  <c r="C7056" i="4"/>
  <c r="C4771" i="4"/>
  <c r="C7177" i="4"/>
  <c r="C5828" i="4"/>
  <c r="C6765" i="4"/>
  <c r="C8745" i="4"/>
  <c r="C6900" i="4"/>
  <c r="C8850" i="4"/>
  <c r="C10015" i="4"/>
  <c r="C8885" i="4"/>
  <c r="C9119" i="4"/>
  <c r="C8153" i="4"/>
  <c r="C8595" i="4"/>
  <c r="C5878" i="4"/>
  <c r="C6910" i="4"/>
  <c r="C6292" i="4"/>
  <c r="C7207" i="4"/>
  <c r="C6942" i="4"/>
  <c r="C9847" i="4"/>
  <c r="C6606" i="4"/>
  <c r="C8161" i="4"/>
  <c r="C7748" i="4"/>
  <c r="C8673" i="4"/>
  <c r="C7951" i="4"/>
  <c r="C8033" i="4"/>
  <c r="C6479" i="4"/>
  <c r="C6252" i="4"/>
  <c r="C5729" i="4"/>
  <c r="C7421" i="4"/>
  <c r="C10823" i="4"/>
  <c r="C10302" i="4"/>
  <c r="C10315" i="4"/>
  <c r="C9793" i="4"/>
  <c r="C10456" i="4"/>
  <c r="C10846" i="4"/>
  <c r="C10733" i="4"/>
  <c r="C9982" i="4"/>
  <c r="C10785" i="4"/>
  <c r="C10390" i="4"/>
  <c r="C7373" i="4"/>
  <c r="C8774" i="4"/>
  <c r="C8938" i="4"/>
  <c r="C9950" i="4"/>
  <c r="C9027" i="4"/>
  <c r="C8871" i="4"/>
  <c r="C10321" i="4"/>
  <c r="C9486" i="4"/>
  <c r="C10279" i="4"/>
  <c r="C8527" i="4"/>
  <c r="C7682" i="4"/>
  <c r="C9449" i="4"/>
  <c r="C9945" i="4"/>
  <c r="C7159" i="4"/>
  <c r="C8827" i="4"/>
  <c r="C10217" i="4"/>
  <c r="C10898" i="4"/>
  <c r="C10148" i="4"/>
  <c r="C8640" i="4"/>
  <c r="C9600" i="4"/>
  <c r="C10893" i="4"/>
  <c r="C10021" i="4"/>
  <c r="C10490" i="4"/>
  <c r="C10766" i="4"/>
  <c r="C8119" i="4"/>
  <c r="C8576" i="4"/>
  <c r="C9056" i="4"/>
  <c r="C10263" i="4"/>
  <c r="C8309" i="4"/>
  <c r="C9880" i="4"/>
  <c r="C9768" i="4"/>
  <c r="C9426" i="4"/>
  <c r="C9403" i="4"/>
  <c r="C10340" i="4"/>
  <c r="C5966" i="4"/>
  <c r="C9295" i="4"/>
  <c r="C9363" i="4"/>
  <c r="C10079" i="4"/>
  <c r="C10587" i="4"/>
  <c r="C5680" i="4"/>
  <c r="C10540" i="4"/>
  <c r="C7950" i="4"/>
  <c r="C10383" i="4"/>
  <c r="C10765" i="4"/>
  <c r="C7035" i="4"/>
  <c r="C8821" i="4"/>
  <c r="C6421" i="4"/>
  <c r="C6788" i="4"/>
  <c r="C7292" i="4"/>
  <c r="C8268" i="4"/>
  <c r="C8209" i="4"/>
  <c r="C8811" i="4"/>
  <c r="C9373" i="4"/>
  <c r="C8504" i="4"/>
  <c r="C10096" i="4"/>
  <c r="C9788" i="4"/>
  <c r="C9040" i="4"/>
  <c r="C8484" i="4"/>
  <c r="C7311" i="4"/>
  <c r="C10010" i="4"/>
  <c r="C9161" i="4"/>
  <c r="C8660" i="4"/>
  <c r="C6410" i="4"/>
  <c r="C8344" i="4"/>
  <c r="C10757" i="4"/>
  <c r="C8493" i="4"/>
  <c r="C10402" i="4"/>
  <c r="C10567" i="4"/>
  <c r="C10579" i="4"/>
  <c r="C7720" i="4"/>
  <c r="C7575" i="4"/>
  <c r="C8642" i="4"/>
  <c r="C8080" i="4"/>
  <c r="C8111" i="4"/>
  <c r="C9214" i="4"/>
  <c r="C7841" i="4"/>
  <c r="C8076" i="4"/>
  <c r="C7683" i="4"/>
  <c r="C7517" i="4"/>
  <c r="C8214" i="4"/>
  <c r="C10114" i="4"/>
  <c r="C6170" i="4"/>
  <c r="C8657" i="4"/>
  <c r="C9030" i="4"/>
  <c r="C8088" i="4"/>
  <c r="C8902" i="4"/>
  <c r="C10844" i="4"/>
  <c r="C8425" i="4"/>
  <c r="C8547" i="4"/>
  <c r="C8699" i="4"/>
  <c r="C6280" i="4"/>
  <c r="C7561" i="4"/>
  <c r="C6331" i="4"/>
  <c r="C10416" i="4"/>
  <c r="C8864" i="4"/>
  <c r="C10656" i="4"/>
  <c r="C7227" i="4"/>
  <c r="C6580" i="4"/>
  <c r="C7804" i="4"/>
  <c r="C5868" i="4"/>
  <c r="C7856" i="4"/>
  <c r="C5810" i="4"/>
  <c r="C7965" i="4"/>
  <c r="C6719" i="4"/>
  <c r="C5452" i="4"/>
  <c r="C8747" i="4"/>
  <c r="C9769" i="4"/>
  <c r="C10727" i="4"/>
  <c r="C10165" i="4"/>
  <c r="C8133" i="4"/>
  <c r="C7689" i="4"/>
  <c r="C9801" i="4"/>
  <c r="C8114" i="4"/>
  <c r="C6724" i="4"/>
  <c r="C7670" i="4"/>
  <c r="C6868" i="4"/>
  <c r="C10040" i="4"/>
  <c r="C7450" i="4"/>
  <c r="C7880" i="4"/>
  <c r="C8530" i="4"/>
  <c r="C8511" i="4"/>
  <c r="C8472" i="4"/>
  <c r="C9259" i="4"/>
  <c r="C8399" i="4"/>
  <c r="C10208" i="4"/>
  <c r="C7138" i="4"/>
  <c r="C7060" i="4"/>
  <c r="C8830" i="4"/>
  <c r="C7786" i="4"/>
  <c r="C7896" i="4"/>
  <c r="C4701" i="4"/>
  <c r="C5200" i="4"/>
  <c r="C5156" i="4"/>
  <c r="C9105" i="4"/>
  <c r="C7709" i="4"/>
  <c r="C6251" i="4"/>
  <c r="C7012" i="4"/>
  <c r="C9954" i="4"/>
  <c r="C5628" i="4"/>
  <c r="C9561" i="4"/>
  <c r="C10436" i="4"/>
  <c r="C8139" i="4"/>
  <c r="C7088" i="4"/>
  <c r="C7247" i="4"/>
  <c r="C5590" i="4"/>
  <c r="C7612" i="4"/>
  <c r="C8860" i="4"/>
  <c r="C10645" i="4"/>
  <c r="C7832" i="4"/>
  <c r="C6601" i="4"/>
  <c r="C4958" i="4"/>
  <c r="C5945" i="4"/>
  <c r="C9579" i="4"/>
  <c r="C5501" i="4"/>
  <c r="C7302" i="4"/>
  <c r="C7238" i="4"/>
  <c r="C6770" i="4"/>
  <c r="C7994" i="4"/>
  <c r="C7212" i="4"/>
  <c r="C7752" i="4"/>
  <c r="C6866" i="4"/>
  <c r="C7379" i="4"/>
  <c r="C6972" i="4"/>
  <c r="C5445" i="4"/>
  <c r="C6369" i="4"/>
  <c r="C9115" i="4"/>
  <c r="C10225" i="4"/>
  <c r="C7204" i="4"/>
  <c r="C6396" i="4"/>
  <c r="C7290" i="4"/>
  <c r="C7170" i="4"/>
  <c r="C7924" i="4"/>
  <c r="C7990" i="4"/>
  <c r="C6522" i="4"/>
  <c r="C7112" i="4"/>
  <c r="C7870" i="4"/>
  <c r="C9795" i="4"/>
  <c r="C9956" i="4"/>
  <c r="C9564" i="4"/>
  <c r="C6931" i="4"/>
  <c r="C6763" i="4"/>
  <c r="C6215" i="4"/>
  <c r="C5763" i="4"/>
  <c r="C6350" i="4"/>
  <c r="C7267" i="4"/>
  <c r="C4960" i="4"/>
  <c r="C8322" i="4"/>
  <c r="C8506" i="4"/>
  <c r="C7047" i="4"/>
  <c r="C10882" i="4"/>
  <c r="C8748" i="4"/>
  <c r="C8512" i="4"/>
  <c r="C7578" i="4"/>
  <c r="C8972" i="4"/>
  <c r="C5770" i="4"/>
  <c r="C8292" i="4"/>
  <c r="C7004" i="4"/>
  <c r="C5347" i="4"/>
  <c r="C7448" i="4"/>
  <c r="C8201" i="4"/>
  <c r="C7557" i="4"/>
  <c r="C7848" i="4"/>
  <c r="C7736" i="4"/>
  <c r="C9473" i="4"/>
  <c r="C7506" i="4"/>
  <c r="C6099" i="4"/>
  <c r="C8749" i="4"/>
  <c r="C5537" i="4"/>
  <c r="C7221" i="4"/>
  <c r="C9822" i="4"/>
  <c r="C10369" i="4"/>
  <c r="C9644" i="4"/>
  <c r="C9090" i="4"/>
  <c r="C10042" i="4"/>
  <c r="C6281" i="4"/>
  <c r="C4995" i="4"/>
  <c r="C4860" i="4"/>
  <c r="C6618" i="4"/>
  <c r="C5561" i="4"/>
  <c r="C9366" i="4"/>
  <c r="C7114" i="4"/>
  <c r="C10153" i="4"/>
  <c r="C9862" i="4"/>
  <c r="C6886" i="4"/>
  <c r="C5374" i="4"/>
  <c r="C7868" i="4"/>
  <c r="C7455" i="4"/>
  <c r="C7187" i="4"/>
  <c r="C8647" i="4"/>
  <c r="C8509" i="4"/>
  <c r="C7571" i="4"/>
  <c r="C9135" i="4"/>
  <c r="C10442" i="4"/>
  <c r="C6758" i="4"/>
  <c r="C6462" i="4"/>
  <c r="C9523" i="4"/>
  <c r="C10687" i="4"/>
  <c r="C7992" i="4"/>
  <c r="C10874" i="4"/>
  <c r="C8693" i="4"/>
  <c r="C7728" i="4"/>
  <c r="C7957" i="4"/>
  <c r="C8488" i="4"/>
  <c r="C10696" i="4"/>
  <c r="C10135" i="4"/>
  <c r="C10648" i="4"/>
  <c r="C9174" i="4"/>
  <c r="C10289" i="4"/>
  <c r="C8383" i="4"/>
  <c r="C9416" i="4"/>
  <c r="C8809" i="4"/>
  <c r="C9490" i="4"/>
  <c r="C10681" i="4"/>
  <c r="C10691" i="4"/>
  <c r="C10001" i="4"/>
  <c r="C6831" i="4"/>
  <c r="C8177" i="4"/>
  <c r="C8687" i="4"/>
  <c r="C10756" i="4"/>
  <c r="C7656" i="4"/>
  <c r="C9645" i="4"/>
  <c r="C9509" i="4"/>
  <c r="C8480" i="4"/>
  <c r="C10095" i="4"/>
  <c r="C8535" i="4"/>
  <c r="C9072" i="4"/>
  <c r="C9684" i="4"/>
  <c r="C8949" i="4"/>
  <c r="C9340" i="4"/>
  <c r="C10266" i="4"/>
  <c r="C8851" i="4"/>
  <c r="C8978" i="4"/>
  <c r="C9400" i="4"/>
  <c r="C9760" i="4"/>
  <c r="C9036" i="4"/>
  <c r="C9707" i="4"/>
  <c r="C9308" i="4"/>
  <c r="C10192" i="4"/>
  <c r="C7671" i="4"/>
  <c r="C9053" i="4"/>
  <c r="C10093" i="4"/>
  <c r="C8433" i="4"/>
  <c r="C9931" i="4"/>
  <c r="C8823" i="4"/>
  <c r="C9626" i="4"/>
  <c r="C9745" i="4"/>
  <c r="C9665" i="4"/>
  <c r="C9871" i="4"/>
  <c r="C10292" i="4"/>
  <c r="C7100" i="4"/>
  <c r="C8423" i="4"/>
  <c r="C9990" i="4"/>
  <c r="C7850" i="4"/>
  <c r="C9456" i="4"/>
  <c r="C9938" i="4"/>
  <c r="C9732" i="4"/>
  <c r="C9265" i="4"/>
  <c r="C7194" i="4"/>
  <c r="C9695" i="4"/>
  <c r="C7463" i="4"/>
  <c r="C9234" i="4"/>
  <c r="C7869" i="4"/>
  <c r="C8015" i="4"/>
  <c r="C7160" i="4"/>
  <c r="C10850" i="4"/>
  <c r="C7491" i="4"/>
  <c r="C8700" i="4"/>
  <c r="C7920" i="4"/>
  <c r="C7462" i="4"/>
  <c r="C7188" i="4"/>
  <c r="C8351" i="4"/>
  <c r="C8310" i="4"/>
  <c r="C10314" i="4"/>
  <c r="C10271" i="4"/>
  <c r="C10642" i="4"/>
  <c r="C9474" i="4"/>
  <c r="C6524" i="4"/>
  <c r="C8645" i="4"/>
  <c r="C7079" i="4"/>
  <c r="C10797" i="4"/>
  <c r="C9393" i="4"/>
  <c r="C5513" i="4"/>
  <c r="C7838" i="4"/>
  <c r="C6924" i="4"/>
  <c r="C6884" i="4"/>
  <c r="C5611" i="4"/>
  <c r="C7068" i="4"/>
  <c r="C9330" i="4"/>
  <c r="C9835" i="4"/>
  <c r="C6847" i="4"/>
  <c r="C10629" i="4"/>
  <c r="C7925" i="4"/>
  <c r="C6294" i="4"/>
  <c r="C7705" i="4"/>
  <c r="C10158" i="4"/>
  <c r="C7935" i="4"/>
  <c r="C8202" i="4"/>
  <c r="C7730" i="4"/>
  <c r="C7111" i="4"/>
  <c r="C7894" i="4"/>
  <c r="C10598" i="4"/>
  <c r="C6660" i="4"/>
  <c r="C8669" i="4"/>
  <c r="C8199" i="4"/>
  <c r="C7104" i="4"/>
  <c r="C7859" i="4"/>
  <c r="C8342" i="4"/>
  <c r="C8296" i="4"/>
  <c r="C8464" i="4"/>
  <c r="C7461" i="4"/>
  <c r="C10508" i="4"/>
  <c r="C9185" i="4"/>
  <c r="C5609" i="4"/>
  <c r="C7878" i="4"/>
  <c r="C8341" i="4"/>
  <c r="C8934" i="4"/>
  <c r="C7598" i="4"/>
  <c r="C6117" i="4"/>
  <c r="C7627" i="4"/>
  <c r="C8523" i="4"/>
  <c r="C7742" i="4"/>
  <c r="C6653" i="4"/>
  <c r="C7549" i="4"/>
  <c r="C7716" i="4"/>
  <c r="C7124" i="4"/>
  <c r="C8162" i="4"/>
  <c r="C7141" i="4"/>
  <c r="C8005" i="4"/>
  <c r="C6382" i="4"/>
  <c r="C8048" i="4"/>
  <c r="C7150" i="4"/>
  <c r="C5988" i="4"/>
  <c r="C9688" i="4"/>
  <c r="C8140" i="4"/>
  <c r="C8794" i="4"/>
  <c r="C5692" i="4"/>
  <c r="C5701" i="4"/>
  <c r="C5539" i="4"/>
  <c r="C7105" i="4"/>
  <c r="C9309" i="4"/>
  <c r="C7278" i="4"/>
  <c r="C4873" i="4"/>
  <c r="C6186" i="4"/>
  <c r="C8608" i="4"/>
  <c r="C8234" i="4"/>
  <c r="C7978" i="4"/>
  <c r="C5926" i="4"/>
  <c r="C6737" i="4"/>
  <c r="C8186" i="4"/>
  <c r="C5410" i="4"/>
  <c r="C6346" i="4"/>
  <c r="C10549" i="4"/>
  <c r="C6546" i="4"/>
  <c r="C8635" i="4"/>
  <c r="C6116" i="4"/>
  <c r="C6018" i="4"/>
  <c r="C7582" i="4"/>
  <c r="C8062" i="4"/>
  <c r="C9100" i="4"/>
  <c r="C9981" i="4"/>
  <c r="C10897" i="4"/>
  <c r="C7396" i="4"/>
  <c r="C8073" i="4"/>
  <c r="C7231" i="4"/>
  <c r="C10689" i="4"/>
  <c r="C8868" i="4"/>
  <c r="C9520" i="4"/>
  <c r="C10255" i="4"/>
  <c r="C4512" i="4"/>
  <c r="C8261" i="4"/>
  <c r="C5054" i="4"/>
  <c r="C7250" i="4"/>
  <c r="C8137" i="4"/>
  <c r="C7947" i="4"/>
  <c r="C6954" i="4"/>
  <c r="C5063" i="4"/>
  <c r="C7853" i="4"/>
  <c r="C7059" i="4"/>
  <c r="C8091" i="4"/>
  <c r="C7477" i="4"/>
  <c r="C7563" i="4"/>
  <c r="C10103" i="4"/>
  <c r="C9731" i="4"/>
  <c r="C9703" i="4"/>
  <c r="C6184" i="4"/>
  <c r="C5697" i="4"/>
  <c r="C4292" i="4"/>
  <c r="C4530" i="4"/>
  <c r="C5487" i="4"/>
  <c r="C4553" i="4"/>
  <c r="C6627" i="4"/>
  <c r="C8194" i="4"/>
  <c r="C9038" i="4"/>
  <c r="C6102" i="4"/>
  <c r="C6521" i="4"/>
  <c r="C9894" i="4"/>
  <c r="C9223" i="4"/>
  <c r="C7982" i="4"/>
  <c r="C5432" i="4"/>
  <c r="C7417" i="4"/>
  <c r="C4754" i="4"/>
  <c r="C8561" i="4"/>
  <c r="C8981" i="4"/>
  <c r="C8038" i="4"/>
  <c r="C9471" i="4"/>
  <c r="C8466" i="4"/>
  <c r="C7479" i="4"/>
  <c r="C8146" i="4"/>
  <c r="C8886" i="4"/>
  <c r="C5813" i="4"/>
  <c r="C7345" i="4"/>
  <c r="C9478" i="4"/>
  <c r="C8653" i="4"/>
  <c r="C10836" i="4"/>
  <c r="C9410" i="4"/>
  <c r="C9216" i="4"/>
  <c r="C10400" i="4"/>
  <c r="C7524" i="4"/>
  <c r="C6989" i="4"/>
  <c r="C7195" i="4"/>
  <c r="C5547" i="4"/>
  <c r="C8272" i="4"/>
  <c r="C8943" i="4"/>
  <c r="C7427" i="4"/>
  <c r="C6554" i="4"/>
  <c r="C7036" i="4"/>
  <c r="C6223" i="4"/>
  <c r="C7317" i="4"/>
  <c r="C8332" i="4"/>
  <c r="C6273" i="4"/>
  <c r="C7048" i="4"/>
  <c r="C8502" i="4"/>
  <c r="C5819" i="4"/>
  <c r="C8024" i="4"/>
  <c r="C8289" i="4"/>
  <c r="C8650" i="4"/>
  <c r="C8910" i="4"/>
  <c r="C9302" i="4"/>
  <c r="C8826" i="4"/>
  <c r="C6707" i="4"/>
  <c r="C6311" i="4"/>
  <c r="C8219" i="4"/>
  <c r="C6176" i="4"/>
  <c r="C9983" i="4"/>
  <c r="C8366" i="4"/>
  <c r="C9832" i="4"/>
  <c r="C10232" i="4"/>
  <c r="C5771" i="4"/>
  <c r="C6914" i="4"/>
  <c r="C8206" i="4"/>
  <c r="C4322" i="4"/>
  <c r="C5304" i="4"/>
  <c r="C7239" i="4"/>
  <c r="C7184" i="4"/>
  <c r="C8629" i="4"/>
  <c r="C8084" i="4"/>
  <c r="C8128" i="4"/>
  <c r="C4798" i="4"/>
  <c r="C7226" i="4"/>
  <c r="C8428" i="4"/>
  <c r="C8147" i="4"/>
  <c r="C5567" i="4"/>
  <c r="C6565" i="4"/>
  <c r="C9538" i="4"/>
  <c r="C10654" i="4"/>
  <c r="C7409" i="4"/>
  <c r="C9146" i="4"/>
  <c r="C9408" i="4"/>
  <c r="C8872" i="4"/>
  <c r="C7861" i="4"/>
  <c r="C8358" i="4"/>
  <c r="C7252" i="4"/>
  <c r="C10890" i="4"/>
  <c r="C9022" i="4"/>
  <c r="C10440" i="4"/>
  <c r="C9726" i="4"/>
  <c r="C10423" i="4"/>
  <c r="C10866" i="4"/>
  <c r="C9973" i="4"/>
  <c r="C9669" i="4"/>
  <c r="C8895" i="4"/>
  <c r="C9235" i="4"/>
  <c r="C9335" i="4"/>
  <c r="C10655" i="4"/>
  <c r="C8667" i="4"/>
  <c r="C10734" i="4"/>
  <c r="C8491" i="4"/>
  <c r="C9622" i="4"/>
  <c r="C10813" i="4"/>
  <c r="C8173" i="4"/>
  <c r="C8988" i="4"/>
  <c r="C9708" i="4"/>
  <c r="C10068" i="4"/>
  <c r="C10261" i="4"/>
  <c r="C9524" i="4"/>
  <c r="C10182" i="4"/>
  <c r="C10173" i="4"/>
  <c r="C10108" i="4"/>
  <c r="C10520" i="4"/>
  <c r="C7007" i="4"/>
  <c r="C10339" i="4"/>
  <c r="C9545" i="4"/>
  <c r="C7659" i="4"/>
  <c r="C9050" i="4"/>
  <c r="C9421" i="4"/>
  <c r="C9522" i="4"/>
  <c r="C8354" i="4"/>
  <c r="C8183" i="4"/>
  <c r="C8670" i="4"/>
  <c r="C7811" i="4"/>
  <c r="C10835" i="4"/>
  <c r="C9607" i="4"/>
  <c r="C8594" i="4"/>
  <c r="C8874" i="4"/>
  <c r="C9648" i="4"/>
  <c r="C8376" i="4"/>
  <c r="C8001" i="4"/>
  <c r="C7626" i="4"/>
  <c r="C8281" i="4"/>
  <c r="C10285" i="4"/>
  <c r="C10139" i="4"/>
  <c r="C10628" i="4"/>
  <c r="C6260" i="4"/>
  <c r="C8320" i="4"/>
  <c r="C7092" i="4"/>
  <c r="C7513" i="4"/>
  <c r="C7023" i="4"/>
  <c r="C7579" i="4"/>
  <c r="C7372" i="4"/>
  <c r="C8966" i="4"/>
  <c r="C6151" i="4"/>
  <c r="C8839" i="4"/>
  <c r="C6678" i="4"/>
  <c r="C9446" i="4"/>
  <c r="C10294" i="4"/>
  <c r="C9591" i="4"/>
  <c r="C9307" i="4"/>
  <c r="C9668" i="4"/>
  <c r="C10354" i="4"/>
  <c r="C9222" i="4"/>
  <c r="C7070" i="4"/>
  <c r="C8089" i="4"/>
  <c r="C9952" i="4"/>
  <c r="C8300" i="4"/>
  <c r="C7497" i="4"/>
  <c r="C8548" i="4"/>
  <c r="C10027" i="4"/>
  <c r="C6111" i="4"/>
  <c r="C7830" i="4"/>
  <c r="C5961" i="4"/>
  <c r="C8045" i="4"/>
  <c r="C7412" i="4"/>
  <c r="C9028" i="4"/>
  <c r="C9943" i="4"/>
  <c r="C9569" i="4"/>
  <c r="C9148" i="4"/>
  <c r="C6752" i="4"/>
  <c r="C9757" i="4"/>
  <c r="C8487" i="4"/>
  <c r="C8135" i="4"/>
  <c r="C8413" i="4"/>
  <c r="C7820" i="4"/>
  <c r="C6323" i="4"/>
  <c r="C7969" i="4"/>
  <c r="C8429" i="4"/>
  <c r="C10685" i="4"/>
  <c r="C10155" i="4"/>
  <c r="C10719" i="4"/>
  <c r="C7431" i="4"/>
  <c r="C7679" i="4"/>
  <c r="C7568" i="4"/>
  <c r="C5192" i="4"/>
  <c r="C6858" i="4"/>
  <c r="C7998" i="4"/>
  <c r="C9357" i="4"/>
  <c r="C8398" i="4"/>
  <c r="C10840" i="4"/>
  <c r="C9294" i="4"/>
  <c r="C10286" i="4"/>
  <c r="C6456" i="4"/>
  <c r="C8781" i="4"/>
  <c r="C4809" i="4"/>
  <c r="C9878" i="4"/>
  <c r="C8632" i="4"/>
  <c r="C10711" i="4"/>
  <c r="C9451" i="4"/>
  <c r="C10470" i="4"/>
  <c r="C7484" i="4"/>
  <c r="C7808" i="4"/>
  <c r="C10034" i="4"/>
  <c r="C8917" i="4"/>
  <c r="C6408" i="4"/>
  <c r="C8588" i="4"/>
  <c r="C9725" i="4"/>
  <c r="C10712" i="4"/>
  <c r="C6948" i="4"/>
  <c r="C6738" i="4"/>
  <c r="C7962" i="4"/>
  <c r="C5175" i="4"/>
  <c r="C6414" i="4"/>
  <c r="C8167" i="4"/>
  <c r="C6855" i="4"/>
  <c r="C4735" i="4"/>
  <c r="C8403" i="4"/>
  <c r="C6608" i="4"/>
  <c r="C7539" i="4"/>
  <c r="C5580" i="4"/>
  <c r="C7732" i="4"/>
  <c r="C6772" i="4"/>
  <c r="C7476" i="4"/>
  <c r="C8465" i="4"/>
  <c r="C5792" i="4"/>
  <c r="C7983" i="4"/>
  <c r="C10828" i="4"/>
  <c r="C9364" i="4"/>
  <c r="C7621" i="4"/>
  <c r="C6633" i="4"/>
  <c r="C7590" i="4"/>
  <c r="C7685" i="4"/>
  <c r="C9368" i="4"/>
  <c r="C9048" i="4"/>
  <c r="C7277" i="4"/>
  <c r="C7244" i="4"/>
  <c r="C8683" i="4"/>
  <c r="C7134" i="4"/>
  <c r="C6416" i="4"/>
  <c r="C6480" i="4"/>
  <c r="C6515" i="4"/>
  <c r="C8355" i="4"/>
  <c r="C10393" i="4"/>
  <c r="C9670" i="4"/>
  <c r="C9798" i="4"/>
  <c r="C9457" i="4"/>
  <c r="C9790" i="4"/>
  <c r="C7196" i="4"/>
  <c r="C6971" i="4"/>
  <c r="C7217" i="4"/>
  <c r="C6225" i="4"/>
  <c r="C6437" i="4"/>
  <c r="C8176" i="4"/>
  <c r="C4175" i="4"/>
  <c r="C8976" i="4"/>
  <c r="C6661" i="4"/>
  <c r="C7632" i="4"/>
  <c r="C7122" i="4"/>
  <c r="C8394" i="4"/>
  <c r="C5660" i="4"/>
  <c r="C7249" i="4"/>
  <c r="C7729" i="4"/>
  <c r="C6190" i="4"/>
  <c r="C7473" i="4"/>
  <c r="C7309" i="4"/>
  <c r="C8531" i="4"/>
  <c r="C10488" i="4"/>
  <c r="C9318" i="4"/>
  <c r="C10312" i="4"/>
  <c r="C7091" i="4"/>
  <c r="C9679" i="4"/>
  <c r="C9023" i="4"/>
  <c r="C8714" i="4"/>
  <c r="C10299" i="4"/>
  <c r="C8411" i="4"/>
  <c r="C10791" i="4"/>
  <c r="C10387" i="4"/>
  <c r="C6712" i="4"/>
  <c r="C6164" i="4"/>
  <c r="C6835" i="4"/>
  <c r="C5869" i="4"/>
  <c r="C8450" i="4"/>
  <c r="C7329" i="4"/>
  <c r="C9153" i="4"/>
  <c r="C4550" i="4"/>
  <c r="C9613" i="4"/>
  <c r="C6908" i="4"/>
  <c r="C6387" i="4"/>
  <c r="C8445" i="4"/>
  <c r="C8519" i="4"/>
  <c r="C9334" i="4"/>
  <c r="C8037" i="4"/>
  <c r="C6315" i="4"/>
  <c r="C7496" i="4"/>
  <c r="C7774" i="4"/>
  <c r="C9204" i="4"/>
  <c r="C7262" i="4"/>
  <c r="C7922" i="4"/>
  <c r="C8828" i="4"/>
  <c r="C8954" i="4"/>
  <c r="C6237" i="4"/>
  <c r="C4375" i="4"/>
  <c r="C7644" i="4"/>
  <c r="C6669" i="4"/>
  <c r="C7542" i="4"/>
  <c r="C7959" i="4"/>
  <c r="C9303" i="4"/>
  <c r="C6500" i="4"/>
  <c r="C5484" i="4"/>
  <c r="C5096" i="4"/>
  <c r="C4374" i="4"/>
  <c r="C6761" i="4"/>
  <c r="C9123" i="4"/>
  <c r="C7014" i="4"/>
  <c r="C7829" i="4"/>
  <c r="C4897" i="4"/>
  <c r="C9154" i="4"/>
  <c r="C6797" i="4"/>
  <c r="C8274" i="4"/>
  <c r="C7594" i="4"/>
  <c r="C7633" i="4"/>
  <c r="C5713" i="4"/>
  <c r="C5017" i="4"/>
  <c r="C8859" i="4"/>
  <c r="C8963" i="4"/>
  <c r="C10504" i="4"/>
  <c r="C7229" i="4"/>
  <c r="C10679" i="4"/>
  <c r="C9777" i="4"/>
  <c r="C9787" i="4"/>
  <c r="C9311" i="4"/>
  <c r="C8123" i="4"/>
  <c r="C9475" i="4"/>
  <c r="C10814" i="4"/>
  <c r="C8906" i="4"/>
  <c r="C8267" i="4"/>
  <c r="C10832" i="4"/>
  <c r="C9008" i="4"/>
  <c r="C9167" i="4"/>
  <c r="C9378" i="4"/>
  <c r="C8555" i="4"/>
  <c r="C7794" i="4"/>
  <c r="C9780" i="4"/>
  <c r="C8848" i="4"/>
  <c r="C10602" i="4"/>
  <c r="C8937" i="4"/>
  <c r="C8921" i="4"/>
  <c r="C9230" i="4"/>
  <c r="C8664" i="4"/>
  <c r="C8514" i="4"/>
  <c r="C9248" i="4"/>
  <c r="C8858" i="4"/>
  <c r="C10550" i="4"/>
  <c r="C9391" i="4"/>
  <c r="C10181" i="4"/>
  <c r="C9942" i="4"/>
  <c r="C7645" i="4"/>
  <c r="C8492" i="4"/>
  <c r="C9181" i="4"/>
  <c r="C10389" i="4"/>
  <c r="C7849" i="4"/>
  <c r="C9092" i="4"/>
  <c r="C9967" i="4"/>
  <c r="C8760" i="4"/>
  <c r="C7611" i="4"/>
  <c r="C10795" i="4"/>
  <c r="C10489" i="4"/>
  <c r="C7882" i="4"/>
  <c r="C9258" i="4"/>
  <c r="C7543" i="4"/>
  <c r="C7675" i="4"/>
  <c r="C10434" i="4"/>
  <c r="C10755" i="4"/>
  <c r="C9823" i="4"/>
  <c r="C10405" i="4"/>
  <c r="C8711" i="4"/>
  <c r="C9985" i="4"/>
  <c r="C8771" i="4"/>
  <c r="C10200" i="4"/>
  <c r="C8843" i="4"/>
  <c r="C10461" i="4"/>
  <c r="C10448" i="4"/>
  <c r="C10810" i="4"/>
  <c r="C8490" i="4"/>
  <c r="C7901" i="4"/>
  <c r="C6997" i="4"/>
  <c r="C8998" i="4"/>
  <c r="C8112" i="4"/>
  <c r="C5620" i="4"/>
  <c r="C5845" i="4"/>
  <c r="C7378" i="4"/>
  <c r="C6185" i="4"/>
  <c r="C9901" i="4"/>
  <c r="C9857" i="4"/>
  <c r="C8106" i="4"/>
  <c r="C10548" i="4"/>
  <c r="C8452" i="4"/>
  <c r="C9687" i="4"/>
  <c r="C9705" i="4"/>
  <c r="C10281" i="4"/>
  <c r="C9746" i="4"/>
  <c r="C10858" i="4"/>
  <c r="C6526" i="4"/>
  <c r="C8198" i="4"/>
  <c r="C7324" i="4"/>
  <c r="C8144" i="4"/>
  <c r="C7401" i="4"/>
  <c r="C5417" i="4"/>
  <c r="C5942" i="4"/>
  <c r="C6727" i="4"/>
  <c r="C7755" i="4"/>
  <c r="C10736" i="4"/>
  <c r="C8889" i="4"/>
  <c r="C9042" i="4"/>
  <c r="C10306" i="4"/>
  <c r="C9329" i="4"/>
  <c r="C7499" i="4"/>
  <c r="C10189" i="4"/>
  <c r="C9749" i="4"/>
  <c r="C9772" i="4"/>
  <c r="C9430" i="4"/>
  <c r="C10419" i="4"/>
  <c r="C8500" i="4"/>
  <c r="C8908" i="4"/>
  <c r="C7576" i="4"/>
  <c r="C10537" i="4"/>
  <c r="C9515" i="4"/>
  <c r="C7721" i="4"/>
  <c r="C7066" i="4"/>
  <c r="C9212" i="4"/>
  <c r="C9465" i="4"/>
  <c r="C9691" i="4"/>
  <c r="C7084" i="4"/>
  <c r="C7691" i="4"/>
  <c r="C8620" i="4"/>
  <c r="C7958" i="4"/>
  <c r="C8539" i="4"/>
  <c r="C10380" i="4"/>
  <c r="C9409" i="4"/>
  <c r="C9531" i="4"/>
  <c r="C5174" i="4"/>
  <c r="C7430" i="4"/>
  <c r="C7072" i="4"/>
  <c r="C10086" i="4"/>
  <c r="C10635" i="4"/>
  <c r="C10378" i="4"/>
  <c r="C7276" i="4"/>
  <c r="C9513" i="4"/>
  <c r="C9461" i="4"/>
  <c r="C7510" i="4"/>
  <c r="C7033" i="4"/>
  <c r="C7654" i="4"/>
  <c r="C7337" i="4"/>
  <c r="C8385" i="4"/>
  <c r="C9686" i="4"/>
  <c r="C10912" i="4"/>
  <c r="C8813" i="4"/>
  <c r="C8929" i="4"/>
  <c r="C10905" i="4"/>
  <c r="C9394" i="4"/>
  <c r="C9786" i="4"/>
  <c r="C8836" i="4"/>
  <c r="C10303" i="4"/>
  <c r="C8719" i="4"/>
  <c r="C10666" i="4"/>
  <c r="C10493" i="4"/>
  <c r="C10535" i="4"/>
  <c r="C10889" i="4"/>
  <c r="C8925" i="4"/>
  <c r="C9128" i="4"/>
  <c r="C10413" i="4"/>
  <c r="C9568" i="4"/>
  <c r="C9912" i="4"/>
  <c r="C9896" i="4"/>
  <c r="C9288" i="4"/>
  <c r="C9384" i="4"/>
  <c r="C9392" i="4"/>
  <c r="C10454" i="4"/>
  <c r="C8878" i="4"/>
  <c r="C10721" i="4"/>
  <c r="C9766" i="4"/>
  <c r="C9411" i="4"/>
  <c r="C9840" i="4"/>
  <c r="C8729" i="4"/>
  <c r="C9782" i="4"/>
  <c r="C10459" i="4"/>
  <c r="C10145" i="4"/>
  <c r="C10528" i="4"/>
  <c r="C10918" i="4"/>
  <c r="C9797" i="4"/>
  <c r="C8575" i="4"/>
  <c r="C8697" i="4"/>
  <c r="C8964" i="4"/>
  <c r="C9838" i="4"/>
  <c r="C9112" i="4"/>
  <c r="C10834" i="4"/>
  <c r="C10631" i="4"/>
  <c r="C9649" i="4"/>
  <c r="C10050" i="4"/>
  <c r="C10044" i="4"/>
  <c r="C10126" i="4"/>
  <c r="C9140" i="4"/>
  <c r="C10214" i="4"/>
  <c r="C10450" i="4"/>
  <c r="C9093" i="4"/>
  <c r="C10581" i="4"/>
  <c r="C9637" i="4"/>
  <c r="C8853" i="4"/>
  <c r="C10883" i="4"/>
  <c r="C9961" i="4"/>
  <c r="C9388" i="4"/>
  <c r="C9643" i="4"/>
  <c r="C9551" i="4"/>
  <c r="C7234" i="4"/>
  <c r="C6261" i="4"/>
  <c r="C9398" i="4"/>
  <c r="C5608" i="4"/>
  <c r="C7886" i="4"/>
  <c r="C10677" i="4"/>
  <c r="C9126" i="4"/>
  <c r="C9539" i="4"/>
  <c r="C10075" i="4"/>
  <c r="C9641" i="4"/>
  <c r="C8890" i="4"/>
  <c r="C9438" i="4"/>
  <c r="C9062" i="4"/>
  <c r="C8454" i="4"/>
  <c r="C9662" i="4"/>
  <c r="C9232" i="4"/>
  <c r="C10379" i="4"/>
  <c r="C10482" i="4"/>
  <c r="C10725" i="4"/>
  <c r="C10291" i="4"/>
  <c r="C8204" i="4"/>
  <c r="C7323" i="4"/>
  <c r="C8023" i="4"/>
  <c r="C7580" i="4"/>
  <c r="C7090" i="4"/>
  <c r="C7653" i="4"/>
  <c r="C8393" i="4"/>
  <c r="C9747" i="4"/>
  <c r="C9863" i="4"/>
  <c r="C10115" i="4"/>
  <c r="C9893" i="4"/>
  <c r="C10503" i="4"/>
  <c r="C7940" i="4"/>
  <c r="C10750" i="4"/>
  <c r="C10357" i="4"/>
  <c r="C9441" i="4"/>
  <c r="C10804" i="4"/>
  <c r="C6716" i="4"/>
  <c r="C7650" i="4"/>
  <c r="C7125" i="4"/>
  <c r="C7442" i="4"/>
  <c r="C10921" i="4"/>
  <c r="C5705" i="4"/>
  <c r="C8426" i="4"/>
  <c r="C7989" i="4"/>
  <c r="C6158" i="4"/>
  <c r="C6073" i="4"/>
  <c r="C7411" i="4"/>
  <c r="C8311" i="4"/>
  <c r="C9211" i="4"/>
  <c r="C9949" i="4"/>
  <c r="C7181" i="4"/>
  <c r="C10146" i="4"/>
  <c r="C9454" i="4"/>
  <c r="C8213" i="4"/>
  <c r="C9269" i="4"/>
  <c r="C10728" i="4"/>
  <c r="C9741" i="4"/>
  <c r="C8000" i="4"/>
  <c r="C7365" i="4"/>
  <c r="C7745" i="4"/>
  <c r="C9658" i="4"/>
  <c r="C5943" i="4"/>
  <c r="C7049" i="4"/>
  <c r="C8897" i="4"/>
  <c r="C7381" i="4"/>
  <c r="C8955" i="4"/>
  <c r="C8913" i="4"/>
  <c r="C9262" i="4"/>
  <c r="C9928" i="4"/>
  <c r="C10270" i="4"/>
  <c r="C9827" i="4"/>
  <c r="C9599" i="4"/>
  <c r="C7099" i="4"/>
  <c r="C7140" i="4"/>
  <c r="C10827" i="4"/>
  <c r="C7706" i="4"/>
  <c r="C5835" i="4"/>
  <c r="C7514" i="4"/>
  <c r="C9829" i="4"/>
  <c r="C7914" i="4"/>
  <c r="C9220" i="4"/>
  <c r="C8689" i="4"/>
  <c r="C8564" i="4"/>
  <c r="C9512" i="4"/>
  <c r="C9629" i="4"/>
  <c r="C10052" i="4"/>
  <c r="C9145" i="4"/>
  <c r="C9890" i="4"/>
  <c r="C10857" i="4"/>
  <c r="C9876" i="4"/>
  <c r="C9293" i="4"/>
  <c r="C10910" i="4"/>
  <c r="C10702" i="4"/>
  <c r="C9505" i="4"/>
  <c r="C7707" i="4"/>
  <c r="C10663" i="4"/>
  <c r="C9558" i="4"/>
  <c r="C10732" i="4"/>
  <c r="C8755" i="4"/>
  <c r="C9021" i="4"/>
  <c r="C10703" i="4"/>
  <c r="C9873" i="4"/>
  <c r="C9860" i="4"/>
  <c r="C10168" i="4"/>
  <c r="C9469" i="4"/>
  <c r="C8182" i="4"/>
  <c r="C9175" i="4"/>
  <c r="C8873" i="4"/>
  <c r="C8931" i="4"/>
  <c r="C10641" i="4"/>
  <c r="C10253" i="4"/>
  <c r="C8149" i="4"/>
  <c r="C10760" i="4"/>
  <c r="C9580" i="4"/>
  <c r="C9476" i="4"/>
  <c r="C9903" i="4"/>
  <c r="C9227" i="4"/>
  <c r="C10377" i="4"/>
  <c r="C9875" i="4"/>
  <c r="C9865" i="4"/>
  <c r="C10026" i="4"/>
  <c r="C10668" i="4"/>
  <c r="C8122" i="4"/>
  <c r="C9224" i="4"/>
  <c r="C9106" i="4"/>
  <c r="C10149" i="4"/>
  <c r="C9324" i="4"/>
  <c r="C10601" i="4"/>
  <c r="C10018" i="4"/>
  <c r="C10057" i="4"/>
  <c r="C8713" i="4"/>
  <c r="C10516" i="4"/>
  <c r="C8460" i="4"/>
  <c r="C9656" i="4"/>
  <c r="C10659" i="4"/>
  <c r="C10886" i="4"/>
  <c r="C9756" i="4"/>
  <c r="C10873" i="4"/>
  <c r="C9702" i="4"/>
  <c r="C6211" i="4"/>
  <c r="C7054" i="4"/>
  <c r="C8489" i="4"/>
  <c r="C6558" i="4"/>
  <c r="C8378" i="4"/>
  <c r="C9634" i="4"/>
  <c r="C10521" i="4"/>
  <c r="C10724" i="4"/>
  <c r="C8249" i="4"/>
  <c r="C10744" i="4"/>
  <c r="C9583" i="4"/>
  <c r="C8297" i="4"/>
  <c r="C6959" i="4"/>
  <c r="C8077" i="4"/>
  <c r="C8626" i="4"/>
  <c r="C6503" i="4"/>
  <c r="C7680" i="4"/>
  <c r="C6443" i="4"/>
  <c r="C8915" i="4"/>
  <c r="C8715" i="4"/>
  <c r="C9455" i="4"/>
  <c r="C8672" i="4"/>
  <c r="C8695" i="4"/>
  <c r="C9730" i="4"/>
  <c r="C7795" i="4"/>
  <c r="C10483" i="4"/>
  <c r="C10880" i="4"/>
  <c r="C9680" i="4"/>
  <c r="C7423" i="4"/>
  <c r="C9195" i="4"/>
  <c r="C7917" i="4"/>
  <c r="C10853" i="4"/>
  <c r="C6291" i="4"/>
  <c r="C8217" i="4"/>
  <c r="C7767" i="4"/>
  <c r="C7754" i="4"/>
  <c r="C10006" i="4"/>
  <c r="C8807" i="4"/>
  <c r="C8132" i="4"/>
  <c r="C8044" i="4"/>
  <c r="C9748" i="4"/>
  <c r="C10174" i="4"/>
  <c r="C10191" i="4"/>
  <c r="C7844" i="4"/>
  <c r="C8621" i="4"/>
  <c r="C7191" i="4"/>
  <c r="C10541" i="4"/>
  <c r="C8138" i="4"/>
  <c r="C6722" i="4"/>
  <c r="C7205" i="4"/>
  <c r="C8148" i="4"/>
  <c r="C9994" i="4"/>
  <c r="C8893" i="4"/>
  <c r="C9111" i="4"/>
  <c r="C8352" i="4"/>
  <c r="C10409" i="4"/>
  <c r="C9096" i="4"/>
  <c r="C9594" i="4"/>
  <c r="C8253" i="4"/>
  <c r="C8388" i="4"/>
  <c r="C8995" i="4"/>
  <c r="C7798" i="4"/>
  <c r="C6699" i="4"/>
  <c r="C9172" i="4"/>
  <c r="C9114" i="4"/>
  <c r="C6134" i="4"/>
  <c r="C9121" i="4"/>
  <c r="C7741" i="4"/>
  <c r="C9034" i="4"/>
  <c r="C10856" i="4"/>
  <c r="C9737" i="4"/>
  <c r="C9360" i="4"/>
  <c r="C8990" i="4"/>
  <c r="C9602" i="4"/>
  <c r="C8983" i="4"/>
  <c r="C9584" i="4"/>
  <c r="C10443" i="4"/>
  <c r="C7824" i="4"/>
  <c r="C10469" i="4"/>
  <c r="C9877" i="4"/>
  <c r="C7213" i="4"/>
  <c r="C9935" i="4"/>
  <c r="C10276" i="4"/>
  <c r="C10019" i="4"/>
  <c r="C7603" i="4"/>
  <c r="C9812" i="4"/>
  <c r="C10311" i="4"/>
  <c r="C9789" i="4"/>
  <c r="C10633" i="4"/>
  <c r="C10830" i="4"/>
  <c r="C9527" i="4"/>
  <c r="C10722" i="4"/>
  <c r="C8288" i="4"/>
  <c r="C8446" i="4"/>
  <c r="C10326" i="4"/>
  <c r="C8801" i="4"/>
  <c r="C8861" i="4"/>
  <c r="C10368" i="4"/>
  <c r="C10273" i="4"/>
  <c r="C10472" i="4"/>
  <c r="C9277" i="4"/>
  <c r="C7635" i="4"/>
  <c r="C10580" i="4"/>
  <c r="C10848" i="4"/>
  <c r="C9837" i="4"/>
  <c r="C10124" i="4"/>
  <c r="C8017" i="4"/>
  <c r="C9867" i="4"/>
  <c r="C9800" i="4"/>
  <c r="C9099" i="4"/>
  <c r="C10424" i="4"/>
  <c r="C10358" i="4"/>
  <c r="C9601" i="4"/>
  <c r="C10063" i="4"/>
  <c r="C10025" i="4"/>
  <c r="C10049" i="4"/>
  <c r="C10188" i="4"/>
  <c r="C8899" i="4"/>
  <c r="C10201" i="4"/>
  <c r="C10152" i="4"/>
  <c r="C9113" i="4"/>
  <c r="C10064" i="4"/>
  <c r="C10627" i="4"/>
  <c r="C10007" i="4"/>
  <c r="C8831" i="4"/>
  <c r="C9563" i="4"/>
  <c r="C10131" i="4"/>
  <c r="C9186" i="4"/>
  <c r="C9380" i="4"/>
  <c r="C10059" i="4"/>
  <c r="C8969" i="4"/>
  <c r="C10000" i="4"/>
  <c r="C10395" i="4"/>
  <c r="C10517" i="4"/>
  <c r="C10704" i="4"/>
  <c r="C7696" i="4"/>
  <c r="C6042" i="4"/>
  <c r="C7747" i="4"/>
  <c r="C5856" i="4"/>
  <c r="C8046" i="4"/>
  <c r="C8210" i="4"/>
  <c r="C8933" i="4"/>
  <c r="C7981" i="4"/>
  <c r="C7624" i="4"/>
  <c r="C8894" i="4"/>
  <c r="C9065" i="4"/>
  <c r="C9762" i="4"/>
  <c r="C9918" i="4"/>
  <c r="C10347" i="4"/>
  <c r="C7382" i="4"/>
  <c r="C10333" i="4"/>
  <c r="C5550" i="4"/>
  <c r="C8751" i="4"/>
  <c r="C8692" i="4"/>
  <c r="C7587" i="4"/>
  <c r="C10210" i="4"/>
  <c r="C7945" i="4"/>
  <c r="C10085" i="4"/>
  <c r="C7888" i="4"/>
  <c r="C8623" i="4"/>
  <c r="C5751" i="4"/>
  <c r="C8254" i="4"/>
  <c r="C7762" i="4"/>
  <c r="C8550" i="4"/>
  <c r="C10296" i="4"/>
  <c r="C9173" i="4"/>
  <c r="C9425" i="4"/>
  <c r="C7203" i="4"/>
  <c r="C9605" i="4"/>
  <c r="C8170" i="4"/>
  <c r="C8819" i="4"/>
  <c r="C6123" i="4"/>
  <c r="C7315" i="4"/>
  <c r="C8075" i="4"/>
  <c r="C7038" i="4"/>
  <c r="C10533" i="4"/>
  <c r="C10002" i="4"/>
  <c r="C10099" i="4"/>
  <c r="C8414" i="4"/>
  <c r="C9947" i="4"/>
  <c r="C10280" i="4"/>
  <c r="C9751" i="4"/>
  <c r="C10826" i="4"/>
  <c r="C9724" i="4"/>
  <c r="C10194" i="4"/>
  <c r="C7577" i="4"/>
  <c r="C8967" i="4"/>
  <c r="C8777" i="4"/>
  <c r="C6588" i="4"/>
  <c r="C10575" i="4"/>
  <c r="C6377" i="4"/>
  <c r="C5133" i="4"/>
  <c r="C7391" i="4"/>
  <c r="C5460" i="4"/>
  <c r="C7963" i="4"/>
  <c r="C5812" i="4"/>
  <c r="C10577" i="4"/>
  <c r="C9018" i="4"/>
  <c r="C10906" i="4"/>
  <c r="C7487" i="4"/>
  <c r="C9791" i="4"/>
  <c r="C8948" i="4"/>
  <c r="C9386" i="4"/>
  <c r="C10039" i="4"/>
  <c r="C7863" i="4"/>
  <c r="C8461" i="4"/>
  <c r="C8898" i="4"/>
  <c r="C9922" i="4"/>
  <c r="C9541" i="4"/>
  <c r="C9199" i="4"/>
  <c r="C10839" i="4"/>
  <c r="C10077" i="4"/>
  <c r="C9540" i="4"/>
  <c r="C10256" i="4"/>
  <c r="C10526" i="4"/>
  <c r="C9448" i="4"/>
  <c r="C9420" i="4"/>
  <c r="C9061" i="4"/>
  <c r="C8085" i="4"/>
  <c r="C9930" i="4"/>
  <c r="C9895" i="4"/>
  <c r="C8743" i="4"/>
  <c r="C9345" i="4"/>
  <c r="C9162" i="4"/>
  <c r="C9200" i="4"/>
  <c r="C9496" i="4"/>
  <c r="C10741" i="4"/>
  <c r="C8728" i="4"/>
  <c r="C9815" i="4"/>
  <c r="C9581" i="4"/>
  <c r="C10245" i="4"/>
  <c r="C8330" i="4"/>
  <c r="C8696" i="4"/>
  <c r="C8644" i="4"/>
  <c r="C9774" i="4"/>
  <c r="C8666" i="4"/>
  <c r="C10349" i="4"/>
  <c r="C9176" i="4"/>
  <c r="C10013" i="4"/>
  <c r="C10913" i="4"/>
  <c r="C10530" i="4"/>
  <c r="C8438" i="4"/>
  <c r="C9870" i="4"/>
  <c r="C9428" i="4"/>
  <c r="C8059" i="4"/>
  <c r="C10047" i="4"/>
  <c r="C9755" i="4"/>
  <c r="C10612" i="4"/>
  <c r="C9635" i="4"/>
  <c r="C10808" i="4"/>
  <c r="C9191" i="4"/>
  <c r="C8348" i="4"/>
  <c r="C9431" i="4"/>
  <c r="C10236" i="4"/>
  <c r="C9810" i="4"/>
  <c r="C9443" i="4"/>
  <c r="C10313" i="4"/>
  <c r="C9892" i="4"/>
  <c r="C10183" i="4"/>
  <c r="C10597" i="4"/>
  <c r="C8103" i="4"/>
  <c r="C8795" i="4"/>
  <c r="C8703" i="4"/>
  <c r="C10881" i="4"/>
  <c r="C9879" i="4"/>
  <c r="C9917" i="4"/>
  <c r="C7505" i="4"/>
  <c r="C5226" i="4"/>
  <c r="C9007" i="4"/>
  <c r="C10206" i="4"/>
  <c r="C10117" i="4"/>
  <c r="C8481" i="4"/>
  <c r="C9158" i="4"/>
  <c r="C10632" i="4"/>
  <c r="C10811" i="4"/>
  <c r="C9672" i="4"/>
  <c r="C9808" i="4"/>
  <c r="C9869" i="4"/>
  <c r="C6637" i="4"/>
  <c r="C8081" i="4"/>
  <c r="C6632" i="4"/>
  <c r="C9290" i="4"/>
  <c r="C6452" i="4"/>
  <c r="C10511" i="4"/>
  <c r="C8817" i="4"/>
  <c r="C9778" i="4"/>
  <c r="C9031" i="4"/>
  <c r="C8646" i="4"/>
  <c r="C9803" i="4"/>
  <c r="C8105" i="4"/>
  <c r="C9933" i="4"/>
  <c r="C9882" i="4"/>
  <c r="C8961" i="4"/>
  <c r="C9149" i="4"/>
  <c r="C10207" i="4"/>
  <c r="C10788" i="4"/>
  <c r="C9620" i="4"/>
  <c r="C7003" i="4"/>
  <c r="C8592" i="4"/>
  <c r="C7875" i="4"/>
  <c r="C9208" i="4"/>
  <c r="C10164" i="4"/>
  <c r="C10407" i="4"/>
  <c r="C7837" i="4"/>
  <c r="C8016" i="4"/>
  <c r="C8624" i="4"/>
  <c r="C9608" i="4"/>
  <c r="C8238" i="4"/>
  <c r="C8270" i="4"/>
  <c r="C10690" i="4"/>
  <c r="C10127" i="4"/>
  <c r="C9270" i="4"/>
  <c r="C10738" i="4"/>
  <c r="C10036" i="4"/>
  <c r="C9169" i="4"/>
  <c r="C10468" i="4"/>
  <c r="C6570" i="4"/>
  <c r="C7096" i="4"/>
  <c r="C9249" i="4"/>
  <c r="C10542" i="4"/>
  <c r="C9946" i="4"/>
  <c r="C7714" i="4"/>
  <c r="C9955" i="4"/>
  <c r="C9958" i="4"/>
  <c r="C8280" i="4"/>
  <c r="C9164" i="4"/>
  <c r="C9824" i="4"/>
  <c r="C10120" i="4"/>
  <c r="C10599" i="4"/>
  <c r="C10591" i="4"/>
  <c r="C10593" i="4"/>
  <c r="C6628" i="4"/>
  <c r="C7702" i="4"/>
  <c r="C9547" i="4"/>
  <c r="C9432" i="4"/>
  <c r="C9074" i="4"/>
  <c r="C10698" i="4"/>
  <c r="C8026" i="4"/>
  <c r="C8586" i="4"/>
  <c r="C7397" i="4"/>
  <c r="C9484" i="4"/>
  <c r="C10072" i="4"/>
  <c r="C9404" i="4"/>
  <c r="C10662" i="4"/>
  <c r="C9841" i="4"/>
  <c r="C10875" i="4"/>
  <c r="C9631" i="4"/>
  <c r="C8965" i="4"/>
  <c r="C7738" i="4"/>
  <c r="C9069" i="4"/>
  <c r="C9713" i="4"/>
  <c r="C8369" i="4"/>
  <c r="C8279" i="4"/>
  <c r="C8973" i="4"/>
  <c r="C10463" i="4"/>
  <c r="C10151" i="4"/>
  <c r="C9690" i="4"/>
  <c r="C10110" i="4"/>
  <c r="C10638" i="4"/>
  <c r="C10904" i="4"/>
  <c r="C9868" i="4"/>
  <c r="C10820" i="4"/>
  <c r="C10401" i="4"/>
  <c r="C9842" i="4"/>
  <c r="C8680" i="4"/>
  <c r="C8887" i="4"/>
  <c r="C10825" i="4"/>
  <c r="C10683" i="4"/>
  <c r="C9697" i="4"/>
  <c r="C9593" i="4"/>
  <c r="C10319" i="4"/>
  <c r="C9628" i="4"/>
  <c r="C9682" i="4"/>
  <c r="C10094" i="4"/>
  <c r="C9693" i="4"/>
  <c r="C9650" i="4"/>
  <c r="C9794" i="4"/>
  <c r="C9089" i="4"/>
  <c r="C9555" i="4"/>
  <c r="C10556" i="4"/>
  <c r="C10363" i="4"/>
  <c r="C9729" i="4"/>
  <c r="C8766" i="4"/>
  <c r="C10569" i="4"/>
  <c r="C8879" i="4"/>
  <c r="C9346" i="4"/>
  <c r="C10863" i="4"/>
  <c r="C8905" i="4"/>
  <c r="C10841" i="4"/>
  <c r="C10914" i="4"/>
  <c r="C10768" i="4"/>
  <c r="C9577" i="4"/>
  <c r="C9252" i="4"/>
  <c r="C9280" i="4"/>
  <c r="C9492" i="4"/>
  <c r="C9488" i="4"/>
  <c r="C10284" i="4"/>
  <c r="C10716" i="4"/>
  <c r="C8622" i="4"/>
  <c r="C9365" i="4"/>
  <c r="C9107" i="4"/>
  <c r="C10185" i="4"/>
  <c r="C10226" i="4"/>
  <c r="C9964" i="4"/>
  <c r="C10318" i="4"/>
  <c r="C9565" i="4"/>
  <c r="C9604" i="4"/>
  <c r="C9773" i="4"/>
  <c r="C10396" i="4"/>
  <c r="C9588" i="4"/>
  <c r="C10605" i="4"/>
  <c r="C8877" i="4"/>
  <c r="C8510" i="4"/>
  <c r="C9921" i="4"/>
  <c r="C10524" i="4"/>
  <c r="C8880" i="4"/>
  <c r="C9256" i="4"/>
  <c r="C5592" i="4"/>
  <c r="C7846" i="4"/>
  <c r="C8282" i="4"/>
  <c r="C7985" i="4"/>
  <c r="C8932" i="4"/>
  <c r="C7905" i="4"/>
  <c r="C10329" i="4"/>
  <c r="C9704" i="4"/>
  <c r="C10616" i="4"/>
  <c r="C8299" i="4"/>
  <c r="C8923" i="4"/>
  <c r="C10420" i="4"/>
  <c r="C9190" i="4"/>
  <c r="C9775" i="4"/>
  <c r="C9806" i="4"/>
  <c r="C9844" i="4"/>
  <c r="C10706" i="4"/>
  <c r="C7565" i="4"/>
  <c r="C10433" i="4"/>
  <c r="C7871" i="4"/>
  <c r="C7605" i="4"/>
  <c r="C7746" i="4"/>
  <c r="C6875" i="4"/>
  <c r="C10324" i="4"/>
  <c r="C8382" i="4"/>
  <c r="C9934" i="4"/>
  <c r="C8246" i="4"/>
  <c r="C9765" i="4"/>
  <c r="C8286" i="4"/>
  <c r="C9939" i="4"/>
  <c r="C10343" i="4"/>
  <c r="C10330" i="4"/>
  <c r="C9700" i="4"/>
  <c r="C9508" i="4"/>
  <c r="C6725" i="4"/>
  <c r="C5782" i="4"/>
  <c r="C5958" i="4"/>
  <c r="C8241" i="4"/>
  <c r="C9278" i="4"/>
  <c r="C10485" i="4"/>
  <c r="C8957" i="4"/>
  <c r="C8478" i="4"/>
  <c r="C9125" i="4"/>
  <c r="C8542" i="4"/>
  <c r="C10136" i="4"/>
  <c r="C10878" i="4"/>
  <c r="C9970" i="4"/>
  <c r="C10408" i="4"/>
  <c r="C9192" i="4"/>
  <c r="C8440" i="4"/>
  <c r="C8912" i="4"/>
  <c r="C10894" i="4"/>
  <c r="C7975" i="4"/>
  <c r="C8838" i="4"/>
  <c r="C10618" i="4"/>
  <c r="C8558" i="4"/>
  <c r="C7931" i="4"/>
  <c r="C8483" i="4"/>
  <c r="C8556" i="4"/>
  <c r="C8568" i="4"/>
  <c r="C9257" i="4"/>
  <c r="C9413" i="4"/>
  <c r="C10406" i="4"/>
  <c r="C10466" i="4"/>
  <c r="C10492" i="4"/>
  <c r="C9817" i="4"/>
  <c r="C9859" i="4"/>
  <c r="C9776" i="4"/>
  <c r="C10328" i="4"/>
  <c r="C10305" i="4"/>
  <c r="C10297" i="4"/>
  <c r="C10308" i="4"/>
  <c r="C9589" i="4"/>
  <c r="C9926" i="4"/>
  <c r="C10650" i="4"/>
  <c r="C10361" i="4"/>
  <c r="C9992" i="4"/>
  <c r="C9574" i="4"/>
  <c r="C10759" i="4"/>
  <c r="C9207" i="4"/>
  <c r="C10087" i="4"/>
  <c r="C10621" i="4"/>
  <c r="C9891" i="4"/>
  <c r="C10700" i="4"/>
  <c r="C8857" i="4"/>
  <c r="C8638" i="4"/>
  <c r="C10851" i="4"/>
  <c r="C10438" i="4"/>
  <c r="C9851" i="4"/>
  <c r="C10545" i="4"/>
  <c r="C10179" i="4"/>
  <c r="C10833" i="4"/>
  <c r="C9459" i="4"/>
  <c r="C9685" i="4"/>
  <c r="C10177" i="4"/>
  <c r="C8783" i="4"/>
  <c r="C9750" i="4"/>
  <c r="C9671" i="4"/>
  <c r="C8412" i="4"/>
  <c r="C9770" i="4"/>
  <c r="C9814" i="4"/>
  <c r="C9852" i="4"/>
  <c r="C9562" i="4"/>
  <c r="C9328" i="4"/>
  <c r="C9979" i="4"/>
  <c r="C8738" i="4"/>
  <c r="C9885" i="4"/>
  <c r="C8837" i="4"/>
  <c r="C10203" i="4"/>
  <c r="C9463" i="4"/>
  <c r="C8746" i="4"/>
  <c r="C10474" i="4"/>
  <c r="C10290" i="4"/>
  <c r="C10167" i="4"/>
  <c r="C10758" i="4"/>
  <c r="C9525" i="4"/>
  <c r="C9689" i="4"/>
  <c r="C9407" i="4"/>
  <c r="C9821" i="4"/>
  <c r="C9481" i="4"/>
  <c r="C10381" i="4"/>
  <c r="C8305" i="4"/>
  <c r="C8702" i="4"/>
  <c r="C6644" i="4"/>
  <c r="C10592" i="4"/>
  <c r="C10147" i="4"/>
  <c r="C8513" i="4"/>
  <c r="C9528" i="4"/>
  <c r="C9005" i="4"/>
  <c r="C9282" i="4"/>
  <c r="C10355" i="4"/>
  <c r="C10552" i="4"/>
  <c r="C10397" i="4"/>
  <c r="C9251" i="4"/>
  <c r="C10571" i="4"/>
  <c r="C10233" i="4"/>
  <c r="C6417" i="4"/>
  <c r="C8790" i="4"/>
  <c r="C8093" i="4"/>
  <c r="C8043" i="4"/>
  <c r="C10665" i="4"/>
  <c r="C10227" i="4"/>
  <c r="C9991" i="4"/>
  <c r="C9694" i="4"/>
  <c r="C9681" i="4"/>
  <c r="C10561" i="4"/>
  <c r="C10527" i="4"/>
  <c r="C8278" i="4"/>
  <c r="C10365" i="4"/>
  <c r="C8396" i="4"/>
  <c r="C6944" i="4"/>
  <c r="C8992" i="4"/>
  <c r="C8125" i="4"/>
  <c r="C8551" i="4"/>
  <c r="C8725" i="4"/>
  <c r="C10229" i="4"/>
  <c r="C9843" i="4"/>
  <c r="C10066" i="4"/>
  <c r="C10484" i="4"/>
  <c r="C10899" i="4"/>
  <c r="C9963" i="4"/>
  <c r="C10082" i="4"/>
  <c r="C10219" i="4"/>
  <c r="C8534" i="4"/>
  <c r="C10283" i="4"/>
  <c r="C8661" i="4"/>
  <c r="C10802" i="4"/>
  <c r="C9910" i="4"/>
  <c r="C10816" i="4"/>
  <c r="C8602" i="4"/>
  <c r="C7984" i="4"/>
  <c r="C9381" i="4"/>
  <c r="C9371" i="4"/>
  <c r="C8720" i="4"/>
  <c r="C7946" i="4"/>
  <c r="C9180" i="4"/>
  <c r="C9560" i="4"/>
  <c r="C10854" i="4"/>
  <c r="C8936" i="4"/>
  <c r="C8959" i="4"/>
  <c r="C10323" i="4"/>
  <c r="C9781" i="4"/>
  <c r="C9537" i="4"/>
  <c r="C10547" i="4"/>
  <c r="C10426" i="4"/>
  <c r="C9157" i="4"/>
  <c r="C10176" i="4"/>
  <c r="C10031" i="4"/>
  <c r="C10669" i="4"/>
  <c r="C9907" i="4"/>
  <c r="C9915" i="4"/>
  <c r="C10649" i="4"/>
  <c r="C9661" i="4"/>
  <c r="C9229" i="4"/>
  <c r="C10160" i="4"/>
  <c r="C10445" i="4"/>
  <c r="C9521" i="4"/>
  <c r="C9836" i="4"/>
  <c r="C9959" i="4"/>
  <c r="C10723" i="4"/>
  <c r="C10370" i="4"/>
  <c r="C10604" i="4"/>
  <c r="C9250" i="4"/>
  <c r="C9556" i="4"/>
  <c r="C10159" i="4"/>
  <c r="C10199" i="4"/>
  <c r="C10073" i="4"/>
  <c r="C9491" i="4"/>
  <c r="C10512" i="4"/>
  <c r="C9127" i="4"/>
  <c r="C9177" i="4"/>
  <c r="C8463" i="4"/>
  <c r="C9198" i="4"/>
  <c r="C7534" i="4"/>
  <c r="C10162" i="4"/>
  <c r="C10876" i="4"/>
  <c r="C10582" i="4"/>
  <c r="C10211" i="4"/>
  <c r="C9087" i="4"/>
  <c r="C9264" i="4"/>
  <c r="C10184" i="4"/>
  <c r="C9666" i="4"/>
  <c r="C9447" i="4"/>
  <c r="C9203" i="4"/>
  <c r="C10022" i="4"/>
  <c r="C10594" i="4"/>
  <c r="C9452" i="4"/>
  <c r="C9897" i="4"/>
  <c r="C10861" i="4"/>
  <c r="C10831" i="4"/>
  <c r="C9883" i="4"/>
  <c r="C10613" i="4"/>
  <c r="C9785" i="4"/>
  <c r="C10838" i="4"/>
  <c r="C10269" i="4"/>
  <c r="C9548" i="4"/>
  <c r="C9377" i="4"/>
  <c r="C9804" i="4"/>
  <c r="C9819" i="4"/>
  <c r="C9315" i="4"/>
  <c r="C9944" i="4"/>
  <c r="C10693" i="4"/>
  <c r="C10252" i="4"/>
  <c r="C10048" i="4"/>
  <c r="C9825" i="4"/>
  <c r="C5833" i="4"/>
  <c r="C6753" i="4"/>
  <c r="C8485" i="4"/>
  <c r="C10570" i="4"/>
  <c r="C8920" i="4"/>
  <c r="C10707" i="4"/>
  <c r="C9818" i="4"/>
  <c r="C10116" i="4"/>
  <c r="C9535" i="4"/>
  <c r="C10023" i="4"/>
  <c r="C10415" i="4"/>
  <c r="C8250" i="4"/>
  <c r="C9266" i="4"/>
  <c r="C10606" i="4"/>
  <c r="C9988" i="4"/>
  <c r="C5529" i="4"/>
  <c r="C7017" i="4"/>
  <c r="C8522" i="4"/>
  <c r="C9598" i="4"/>
  <c r="C8639" i="4"/>
  <c r="C8308" i="4"/>
  <c r="C9647" i="4"/>
  <c r="C8462" i="4"/>
  <c r="C8431" i="4"/>
  <c r="C8526" i="4"/>
  <c r="C9102" i="4"/>
  <c r="C9044" i="4"/>
  <c r="C9316" i="4"/>
  <c r="C9805" i="4"/>
  <c r="C8226" i="4"/>
  <c r="C8855" i="4"/>
  <c r="C5721" i="4"/>
  <c r="C8420" i="4"/>
  <c r="C8239" i="4"/>
  <c r="C9322" i="4"/>
  <c r="C7634" i="4"/>
  <c r="C9783" i="4"/>
  <c r="C9625" i="4"/>
  <c r="C7260" i="4"/>
  <c r="C8587" i="4"/>
  <c r="C8974" i="4"/>
  <c r="C9826" i="4"/>
  <c r="C10652" i="4"/>
  <c r="C9467" i="4"/>
  <c r="C10824" i="4"/>
  <c r="C10794" i="4"/>
  <c r="C9286" i="4"/>
  <c r="C9439" i="4"/>
  <c r="C8443" i="4"/>
  <c r="C8763" i="4"/>
  <c r="C8524" i="4"/>
  <c r="C7197" i="4"/>
  <c r="C10345" i="4"/>
  <c r="C9187" i="4"/>
  <c r="C10161" i="4"/>
  <c r="C9133" i="4"/>
  <c r="C10429" i="4"/>
  <c r="C9632" i="4"/>
  <c r="C10169" i="4"/>
  <c r="C9501" i="4"/>
  <c r="C9132" i="4"/>
  <c r="C10282" i="4"/>
  <c r="C10726" i="4"/>
  <c r="C8470" i="4"/>
  <c r="C10056" i="4"/>
  <c r="C9226" i="4"/>
  <c r="C10772" i="4"/>
  <c r="C10803" i="4"/>
  <c r="C9066" i="4"/>
  <c r="C10487" i="4"/>
  <c r="C9349" i="4"/>
  <c r="C10350" i="4"/>
  <c r="C10862" i="4"/>
  <c r="C9356" i="4"/>
  <c r="C10264" i="4"/>
  <c r="C10275" i="4"/>
  <c r="C10920" i="4"/>
  <c r="C8792" i="4"/>
  <c r="C9237" i="4"/>
  <c r="C10821" i="4"/>
  <c r="C10193" i="4"/>
  <c r="C10249" i="4"/>
  <c r="C8804" i="4"/>
  <c r="C9712" i="4"/>
  <c r="C10658" i="4"/>
  <c r="C9267" i="4"/>
  <c r="C9116" i="4"/>
  <c r="C10872" i="4"/>
  <c r="C10091" i="4"/>
  <c r="C10254" i="4"/>
  <c r="C10065" i="4"/>
  <c r="C8984" i="4"/>
  <c r="C8825" i="4"/>
  <c r="C10611" i="4"/>
  <c r="C8422" i="4"/>
  <c r="C9633" i="4"/>
  <c r="C8273" i="4"/>
  <c r="C9557" i="4"/>
  <c r="C9359" i="4"/>
  <c r="C10170" i="4"/>
  <c r="C9887" i="4"/>
  <c r="C9217" i="4"/>
  <c r="C9653" i="4"/>
  <c r="C10143" i="4"/>
  <c r="C9743" i="4"/>
  <c r="C10643" i="4"/>
  <c r="C10896" i="4"/>
  <c r="C9437" i="4"/>
  <c r="C10519" i="4"/>
  <c r="C9799" i="4"/>
  <c r="C8832" i="4"/>
  <c r="C9519" i="4"/>
  <c r="C9957" i="4"/>
  <c r="C10553" i="4"/>
  <c r="C8875" i="4"/>
  <c r="C7405" i="4"/>
  <c r="C9848" i="4"/>
  <c r="C9000" i="4"/>
  <c r="C10344" i="4"/>
  <c r="C10609" i="4"/>
  <c r="C10510" i="4"/>
  <c r="C10373" i="4"/>
  <c r="C10682" i="4"/>
  <c r="C9711" i="4"/>
  <c r="C10258" i="4"/>
  <c r="C9592" i="4"/>
  <c r="C10020" i="4"/>
  <c r="C9767" i="4"/>
  <c r="C7444" i="4"/>
  <c r="C10295" i="4"/>
  <c r="C8459" i="4"/>
  <c r="C8072" i="4"/>
  <c r="C10128" i="4"/>
  <c r="C10178" i="4"/>
  <c r="C10195" i="4"/>
  <c r="C10204" i="4"/>
  <c r="C10660" i="4"/>
  <c r="C9763" i="4"/>
  <c r="C9854" i="4"/>
  <c r="C10911" i="4"/>
  <c r="C9012" i="4"/>
  <c r="C10915" i="4"/>
  <c r="C9275" i="4"/>
  <c r="C8392" i="4"/>
  <c r="C10105" i="4"/>
  <c r="C8876" i="4"/>
  <c r="C10012" i="4"/>
  <c r="C10053" i="4"/>
  <c r="C10916" i="4"/>
  <c r="C10749" i="4"/>
  <c r="C10494" i="4"/>
  <c r="C9998" i="4"/>
  <c r="C10769" i="4"/>
  <c r="C8668" i="4"/>
  <c r="C10140" i="4"/>
  <c r="C10427" i="4"/>
  <c r="C8321" i="4"/>
  <c r="C8018" i="4"/>
  <c r="C9764" i="4"/>
  <c r="C10718" i="4"/>
  <c r="C9427" i="4"/>
  <c r="C9796" i="4"/>
  <c r="C9722" i="4"/>
  <c r="C7677" i="4"/>
  <c r="C10465" i="4"/>
  <c r="C10157" i="4"/>
  <c r="C8834" i="4"/>
  <c r="C10902" i="4"/>
  <c r="C9350" i="4"/>
  <c r="C10555" i="4"/>
  <c r="C9406" i="4"/>
  <c r="C10074" i="4"/>
  <c r="C9117" i="4"/>
  <c r="C10680" i="4"/>
  <c r="C9098" i="4"/>
  <c r="C8818" i="4"/>
  <c r="C10620" i="4"/>
  <c r="C9733" i="4"/>
  <c r="C9654" i="4"/>
  <c r="C10590" i="4"/>
  <c r="C9052" i="4"/>
  <c r="C10715" i="4"/>
  <c r="C8870" i="4"/>
  <c r="C9543" i="4"/>
  <c r="C10014" i="4"/>
  <c r="C9740" i="4"/>
  <c r="C10783" i="4"/>
  <c r="C10257" i="4"/>
  <c r="C8922" i="4"/>
  <c r="C9260" i="4"/>
  <c r="C10316" i="4"/>
  <c r="C9571" i="4"/>
  <c r="C9651" i="4"/>
  <c r="C10742" i="4"/>
  <c r="C10399" i="4"/>
  <c r="C10092" i="4"/>
  <c r="C10430" i="4"/>
  <c r="C10320" i="4"/>
  <c r="C10212" i="4"/>
  <c r="C10624" i="4"/>
  <c r="C10739" i="4"/>
  <c r="C10342" i="4"/>
  <c r="C10888" i="4"/>
  <c r="C10317" i="4"/>
  <c r="C10525" i="4"/>
  <c r="C10411" i="4"/>
  <c r="C10647" i="4"/>
  <c r="C9245" i="4"/>
  <c r="C9460" i="4"/>
  <c r="C9285" i="4"/>
  <c r="C10544" i="4"/>
  <c r="C10107" i="4"/>
  <c r="C9898" i="4"/>
  <c r="C10502" i="4"/>
  <c r="C10268" i="4"/>
  <c r="C9972" i="4"/>
  <c r="C10852" i="4"/>
  <c r="C9305" i="4"/>
  <c r="C10029" i="4"/>
  <c r="C9554" i="4"/>
  <c r="C8291" i="4"/>
  <c r="C10008" i="4"/>
  <c r="C9614" i="4"/>
  <c r="C10807" i="4"/>
  <c r="C10822" i="4"/>
  <c r="C10446" i="4"/>
  <c r="C10847" i="4"/>
  <c r="C10186" i="4"/>
  <c r="C10870" i="4"/>
  <c r="C10747" i="4"/>
  <c r="C10720" i="4"/>
  <c r="C10884" i="4"/>
  <c r="C10240" i="4"/>
  <c r="C9881" i="4"/>
  <c r="C10418" i="4"/>
  <c r="C10458" i="4"/>
  <c r="C9244" i="4"/>
  <c r="C9553" i="4"/>
  <c r="C7699" i="4"/>
  <c r="C9122" i="4"/>
  <c r="C7904" i="4"/>
  <c r="C10784" i="4"/>
  <c r="C8778" i="4"/>
  <c r="C9742" i="4"/>
  <c r="C9900" i="4"/>
  <c r="C9480" i="4"/>
  <c r="C9436" i="4"/>
  <c r="C9975" i="4"/>
  <c r="C10799" i="4"/>
  <c r="C10754" i="4"/>
  <c r="C8050" i="4"/>
  <c r="C8027" i="4"/>
  <c r="C8221" i="4"/>
  <c r="C9086" i="4"/>
  <c r="C10476" i="4"/>
  <c r="C9435" i="4"/>
  <c r="C10869" i="4"/>
  <c r="C9664" i="4"/>
  <c r="C9889" i="4"/>
  <c r="C10842" i="4"/>
  <c r="C9753" i="4"/>
  <c r="C9120" i="4"/>
  <c r="C9405" i="4"/>
  <c r="C8409" i="4"/>
  <c r="C10241" i="4"/>
  <c r="C8577" i="4"/>
  <c r="C10138" i="4"/>
  <c r="C8035" i="4"/>
  <c r="C8061" i="4"/>
  <c r="C9839" i="4"/>
  <c r="C10100" i="4"/>
  <c r="C10636" i="4"/>
  <c r="C10045" i="4"/>
  <c r="C10237" i="4"/>
  <c r="C10090" i="4"/>
  <c r="C9627" i="4"/>
  <c r="C8793" i="4"/>
  <c r="C9314" i="4"/>
  <c r="C9009" i="4"/>
  <c r="C9429" i="4"/>
  <c r="C9884" i="4"/>
  <c r="C10447" i="4"/>
  <c r="C9586" i="4"/>
  <c r="C9067" i="4"/>
  <c r="C8869" i="4"/>
  <c r="C9002" i="4"/>
  <c r="C8634" i="4"/>
  <c r="C9905" i="4"/>
  <c r="C8636" i="4"/>
  <c r="C8800" i="4"/>
  <c r="C10522" i="4"/>
  <c r="C10574" i="4"/>
  <c r="C10600" i="4"/>
  <c r="C10534" i="4"/>
  <c r="C10360" i="4"/>
  <c r="C9332" i="4"/>
  <c r="C10692" i="4"/>
  <c r="C10781" i="4"/>
  <c r="C9861" i="4"/>
  <c r="C10242" i="4"/>
  <c r="C10451" i="4"/>
  <c r="C9948" i="4"/>
  <c r="C8744" i="4"/>
  <c r="C9367" i="4"/>
  <c r="C8854" i="4"/>
  <c r="C10877" i="4"/>
  <c r="C9951" i="4"/>
  <c r="C10672" i="4"/>
  <c r="C10202" i="4"/>
  <c r="C10404" i="4"/>
  <c r="C10228" i="4"/>
  <c r="C10071" i="4"/>
  <c r="C9987" i="4"/>
  <c r="C10391" i="4"/>
  <c r="C10220" i="4"/>
  <c r="C10625" i="4"/>
  <c r="C10588" i="4"/>
  <c r="C10664" i="4"/>
  <c r="C10767" i="4"/>
  <c r="C10586" i="4"/>
  <c r="C9485" i="4"/>
  <c r="C9268" i="4"/>
  <c r="C10362" i="4"/>
  <c r="C10180" i="4"/>
  <c r="C9348" i="4"/>
  <c r="C10243" i="4"/>
  <c r="C9807" i="4"/>
  <c r="C9659" i="4"/>
  <c r="C9739" i="4"/>
  <c r="C10699" i="4"/>
  <c r="C10331" i="4"/>
  <c r="C10221" i="4"/>
  <c r="C10491" i="4"/>
  <c r="C10500" i="4"/>
  <c r="C8518" i="4"/>
  <c r="C7803" i="4"/>
  <c r="C9639" i="4"/>
  <c r="C9542" i="4"/>
  <c r="C10300" i="4"/>
  <c r="C10033" i="4"/>
  <c r="C9752" i="4"/>
  <c r="C10895" i="4"/>
  <c r="C10743" i="4"/>
  <c r="C9714" i="4"/>
  <c r="C9320" i="4"/>
  <c r="C10701" i="4"/>
  <c r="C9587" i="4"/>
  <c r="C8294" i="4"/>
  <c r="C9997" i="4"/>
  <c r="C10539" i="4"/>
  <c r="C9849" i="4"/>
  <c r="C10166" i="4"/>
  <c r="C8721" i="4"/>
  <c r="C8856" i="4"/>
  <c r="C9582" i="4"/>
  <c r="C9026" i="4"/>
  <c r="C10801" i="4"/>
  <c r="C10710" i="4"/>
  <c r="C8486" i="4"/>
  <c r="C8302" i="4"/>
  <c r="C9971" i="4"/>
  <c r="C7667" i="4"/>
  <c r="C7700" i="4"/>
  <c r="C9886" i="4"/>
  <c r="C9424" i="4"/>
  <c r="C9138" i="4"/>
  <c r="C8803" i="4"/>
  <c r="C9418" i="4"/>
  <c r="C9347" i="4"/>
  <c r="C9716" i="4"/>
  <c r="C9978" i="4"/>
  <c r="C8705" i="4"/>
  <c r="C8494" i="4"/>
  <c r="C10388" i="4"/>
  <c r="C8867" i="4"/>
  <c r="C7552" i="4"/>
  <c r="C8546" i="4"/>
  <c r="C10055" i="4"/>
  <c r="C9255" i="4"/>
  <c r="C10060" i="4"/>
  <c r="C10076" i="4"/>
  <c r="C9701" i="4"/>
  <c r="C9189" i="4"/>
  <c r="C9590" i="4"/>
  <c r="C10900" i="4"/>
  <c r="C10903" i="4"/>
  <c r="C9170" i="4"/>
  <c r="C10551" i="4"/>
  <c r="C9619" i="4"/>
  <c r="C8940" i="4"/>
  <c r="C9338" i="4"/>
  <c r="C9382" i="4"/>
  <c r="C9010" i="4"/>
  <c r="C9744" i="4"/>
  <c r="C10622" i="4"/>
  <c r="C10041" i="4"/>
  <c r="C9283" i="4"/>
  <c r="C9595" i="4"/>
  <c r="C9615" i="4"/>
  <c r="C9444" i="4"/>
  <c r="C9993" i="4"/>
  <c r="C9046" i="4"/>
  <c r="C10452" i="4"/>
  <c r="C8155" i="4"/>
  <c r="C7807" i="4"/>
  <c r="C10130" i="4"/>
  <c r="C9281" i="4"/>
  <c r="C7887" i="4"/>
  <c r="C8628" i="4"/>
  <c r="C10557" i="4"/>
  <c r="C8704" i="4"/>
  <c r="C8717" i="4"/>
  <c r="C8732" i="4"/>
  <c r="C8331" i="4"/>
  <c r="C8671" i="4"/>
  <c r="C9573" i="4"/>
  <c r="C10559" i="4"/>
  <c r="C9977" i="4"/>
  <c r="C10356" i="4"/>
  <c r="C10585" i="4"/>
  <c r="C10763" i="4"/>
  <c r="C7595" i="4"/>
  <c r="C9171" i="4"/>
  <c r="C10453" i="4"/>
  <c r="C10449" i="4"/>
  <c r="C10133" i="4"/>
  <c r="C10309" i="4"/>
  <c r="C10425" i="4"/>
  <c r="C10471" i="4"/>
  <c r="C10543" i="4"/>
  <c r="C10403" i="4"/>
  <c r="C10589" i="4"/>
  <c r="C10607" i="4"/>
  <c r="C10293" i="4"/>
  <c r="C10818" i="4"/>
  <c r="C10410" i="4"/>
  <c r="C9156" i="4"/>
  <c r="C9596" i="4"/>
  <c r="C10247" i="4"/>
  <c r="C10829" i="4"/>
  <c r="C10475" i="4"/>
  <c r="C10265" i="4"/>
  <c r="C10277" i="4"/>
  <c r="C10287" i="4"/>
  <c r="C9995" i="4"/>
  <c r="C10102" i="4"/>
  <c r="C10793" i="4"/>
  <c r="C10614" i="4"/>
  <c r="C10439" i="4"/>
  <c r="C10887" i="4"/>
  <c r="C10674" i="4"/>
  <c r="C8975" i="4"/>
  <c r="C9754" i="4"/>
  <c r="C9276" i="4"/>
  <c r="C10011" i="4"/>
  <c r="C9202" i="4"/>
  <c r="C9696" i="4"/>
  <c r="C9414" i="4"/>
  <c r="C10657" i="4"/>
  <c r="C9124" i="4"/>
  <c r="C9495" i="4"/>
  <c r="C10230" i="4"/>
  <c r="C10917" i="4"/>
  <c r="C9902" i="4"/>
  <c r="C9710" i="4"/>
  <c r="C10260" i="4"/>
  <c r="C9506" i="4"/>
  <c r="C9470" i="4"/>
  <c r="C9445" i="4"/>
  <c r="C9071" i="4"/>
  <c r="C10745" i="4"/>
  <c r="C9899" i="4"/>
  <c r="C10366" i="4"/>
  <c r="C9253" i="4"/>
  <c r="C9477" i="4"/>
  <c r="C9468" i="4"/>
  <c r="C10546" i="4"/>
  <c r="C8833" i="4"/>
  <c r="C10568" i="4"/>
  <c r="C8432" i="4"/>
  <c r="C9603" i="4"/>
  <c r="C10224" i="4"/>
  <c r="C9906" i="4"/>
  <c r="C10431" i="4"/>
  <c r="C9820" i="4"/>
  <c r="C10088" i="4"/>
  <c r="C10761" i="4"/>
  <c r="C10327" i="4"/>
  <c r="C10121" i="4"/>
  <c r="C9919" i="4"/>
  <c r="C10776" i="4"/>
  <c r="C10855" i="4"/>
  <c r="C9610" i="4"/>
  <c r="C10737" i="4"/>
  <c r="C10017" i="4"/>
  <c r="C10421" i="4"/>
  <c r="C10457" i="4"/>
  <c r="C10709" i="4"/>
  <c r="C10782" i="4"/>
  <c r="C8862" i="4"/>
  <c r="C10371" i="4"/>
  <c r="C9511" i="4"/>
  <c r="C9379" i="4"/>
  <c r="C9497" i="4"/>
  <c r="C10175" i="4"/>
  <c r="C9101" i="4"/>
  <c r="C8775" i="4"/>
  <c r="C9141" i="4"/>
  <c r="C10346" i="4"/>
  <c r="C10819" i="4"/>
  <c r="C10891" i="4"/>
  <c r="C10375" i="4"/>
  <c r="C9621" i="4"/>
  <c r="C10514" i="4"/>
  <c r="C10352" i="4"/>
  <c r="C10868" i="4"/>
  <c r="C10639" i="4"/>
  <c r="C8674" i="4"/>
  <c r="C10154" i="4"/>
  <c r="C10901" i="4"/>
  <c r="C10675" i="4"/>
  <c r="C9233" i="4"/>
  <c r="C10028" i="4"/>
  <c r="C9640" i="4"/>
  <c r="C10564" i="4"/>
  <c r="C10892" i="4"/>
  <c r="C10731" i="4"/>
  <c r="C9215" i="4"/>
  <c r="C10865" i="4"/>
  <c r="C10566" i="4"/>
  <c r="C9402" i="4"/>
  <c r="C9482" i="4"/>
  <c r="C9735" i="4"/>
  <c r="C9453" i="4"/>
  <c r="C9830" i="4"/>
  <c r="N320" i="2"/>
  <c r="N87" i="2"/>
  <c r="C9816" i="4"/>
  <c r="C9929" i="4"/>
  <c r="C9667" i="4"/>
  <c r="C8572" i="4"/>
  <c r="C8230" i="4"/>
  <c r="C10336" i="4"/>
  <c r="C9147" i="4"/>
  <c r="C9499" i="4"/>
  <c r="C10197" i="4"/>
  <c r="C9194" i="4"/>
  <c r="C8663" i="4"/>
  <c r="C9932" i="4"/>
  <c r="C9500" i="4"/>
  <c r="C9205" i="4"/>
  <c r="C10238" i="4"/>
  <c r="C9372" i="4"/>
  <c r="C10337" i="4"/>
  <c r="C10051" i="4"/>
  <c r="C10859" i="4"/>
  <c r="C10382" i="4"/>
  <c r="C10717" i="4"/>
  <c r="C10792" i="4"/>
  <c r="C9487" i="4"/>
  <c r="C9718" i="4"/>
  <c r="C10262" i="4"/>
  <c r="C9440" i="4"/>
  <c r="C9617" i="4"/>
  <c r="C8797" i="4"/>
  <c r="C9969" i="4"/>
  <c r="C9706" i="4"/>
  <c r="C9552" i="4"/>
  <c r="C10531" i="4"/>
  <c r="C10871" i="4"/>
  <c r="C9546" i="4"/>
  <c r="C9719" i="4"/>
  <c r="C9813" i="4"/>
  <c r="C9908" i="4"/>
  <c r="C10746" i="4"/>
  <c r="C9612" i="4"/>
  <c r="C9228" i="4"/>
  <c r="C9937" i="4"/>
  <c r="C10004" i="4"/>
  <c r="C10464" i="4"/>
  <c r="C9370" i="4"/>
  <c r="C8784" i="4"/>
  <c r="C10272" i="4"/>
  <c r="C10278" i="4"/>
  <c r="C9927" i="4"/>
  <c r="C10231" i="4"/>
  <c r="C10259" i="4"/>
  <c r="C10576" i="4"/>
  <c r="C9850" i="4"/>
  <c r="C9792" i="4"/>
  <c r="C9866" i="4"/>
  <c r="C10414" i="4"/>
  <c r="C9261" i="4"/>
  <c r="C9494" i="4"/>
  <c r="C9855" i="4"/>
  <c r="C8841" i="4"/>
  <c r="C8754" i="4"/>
  <c r="C8052" i="4"/>
  <c r="C10678" i="4"/>
  <c r="C8070" i="4"/>
  <c r="C10078" i="4"/>
  <c r="C9337" i="4"/>
  <c r="C10773" i="4"/>
  <c r="C10422" i="4"/>
  <c r="C9213" i="4"/>
  <c r="C9630" i="4"/>
  <c r="C9238" i="4"/>
  <c r="C9433" i="4"/>
  <c r="C10081" i="4"/>
  <c r="C9623" i="4"/>
  <c r="C10142" i="4"/>
  <c r="C10338" i="4"/>
  <c r="C10132" i="4"/>
  <c r="C10248" i="4"/>
  <c r="C10374" i="4"/>
  <c r="N24" i="2"/>
  <c r="N69" i="2"/>
  <c r="N198" i="2"/>
  <c r="C10562" i="4"/>
  <c r="C10298" i="4"/>
  <c r="C10003" i="4"/>
  <c r="C9624" i="4"/>
  <c r="C9510" i="4"/>
  <c r="C8814" i="4"/>
  <c r="C8097" i="4"/>
  <c r="C8651" i="4"/>
  <c r="C10119" i="4"/>
  <c r="C10909" i="4"/>
  <c r="C10603" i="4"/>
  <c r="C10671" i="4"/>
  <c r="C10623" i="4"/>
  <c r="C10481" i="4"/>
  <c r="C9761" i="4"/>
  <c r="C10809" i="4"/>
  <c r="C10908" i="4"/>
  <c r="C9834" i="4"/>
  <c r="C9715" i="4"/>
  <c r="C10101" i="4"/>
  <c r="C10501" i="4"/>
  <c r="C9503" i="4"/>
  <c r="C10125" i="4"/>
  <c r="C10097" i="4"/>
  <c r="C10486" i="4"/>
  <c r="C10670" i="4"/>
  <c r="C10223" i="4"/>
  <c r="C9980" i="4"/>
  <c r="C10558" i="4"/>
  <c r="C9076" i="4"/>
  <c r="C7778" i="4"/>
  <c r="C8852" i="4"/>
  <c r="C9218" i="4"/>
  <c r="C10213" i="4"/>
  <c r="C9925" i="4"/>
  <c r="C10372" i="4"/>
  <c r="C10144" i="4"/>
  <c r="C10067" i="4"/>
  <c r="C10619" i="4"/>
  <c r="C8896" i="4"/>
  <c r="C8935" i="4"/>
  <c r="C10244" i="4"/>
  <c r="C10104" i="4"/>
  <c r="C10234" i="4"/>
  <c r="C10216" i="4"/>
  <c r="C9833" i="4"/>
  <c r="C10646" i="4"/>
  <c r="C9483" i="4"/>
  <c r="C9874" i="4"/>
  <c r="C8780" i="4"/>
  <c r="C10218" i="4"/>
  <c r="C8318" i="4"/>
  <c r="C10496" i="4"/>
  <c r="C10753" i="4"/>
  <c r="C9831" i="4"/>
  <c r="C8904" i="4"/>
  <c r="C9960" i="4"/>
  <c r="C10774" i="4"/>
  <c r="C10812" i="4"/>
  <c r="C10919" i="4"/>
  <c r="C10351" i="4"/>
  <c r="C9077" i="4"/>
  <c r="C8764" i="4"/>
  <c r="C8815" i="4"/>
  <c r="C9811" i="4"/>
  <c r="C8987" i="4"/>
  <c r="C9550" i="4"/>
  <c r="C10348" i="4"/>
  <c r="C10392" i="4"/>
  <c r="C9914" i="4"/>
  <c r="C10751" i="4"/>
  <c r="C9923" i="4"/>
  <c r="C10777" i="4"/>
  <c r="C10584" i="4"/>
  <c r="C10310" i="4"/>
  <c r="C10617" i="4"/>
  <c r="C10455" i="4"/>
  <c r="C8914" i="4"/>
  <c r="C10651" i="4"/>
  <c r="C9809" i="4"/>
  <c r="C9247" i="4"/>
  <c r="C9699" i="4"/>
  <c r="C9570" i="4"/>
  <c r="C10752" i="4"/>
  <c r="C10630" i="4"/>
  <c r="C10069" i="4"/>
  <c r="C10032" i="4"/>
  <c r="C9771" i="4"/>
  <c r="C10817" i="4"/>
  <c r="C10640" i="4"/>
  <c r="N45" i="2"/>
  <c r="N68" i="2"/>
  <c r="N149" i="2"/>
  <c r="L423" i="2"/>
  <c r="L453" i="2"/>
  <c r="L88" i="2"/>
  <c r="L228" i="2"/>
  <c r="L207" i="2"/>
  <c r="L138" i="2"/>
  <c r="L82" i="2"/>
  <c r="L199" i="2"/>
  <c r="L243" i="2"/>
  <c r="L382" i="2"/>
  <c r="I50" i="2"/>
  <c r="D284" i="2"/>
  <c r="D43" i="2"/>
  <c r="I60" i="2"/>
  <c r="L25" i="2"/>
  <c r="D363" i="2"/>
  <c r="L32" i="2"/>
  <c r="D179" i="2"/>
  <c r="I29" i="2"/>
  <c r="I552" i="2"/>
  <c r="I291" i="2"/>
  <c r="I137" i="2"/>
  <c r="D44" i="2"/>
  <c r="L43" i="2"/>
  <c r="D211" i="2"/>
  <c r="L211" i="2" s="1"/>
  <c r="I32" i="2"/>
  <c r="I321" i="2"/>
  <c r="L321" i="2"/>
  <c r="I362" i="2"/>
  <c r="D33" i="2"/>
  <c r="L14" i="2"/>
  <c r="I14" i="2"/>
  <c r="D281" i="2"/>
  <c r="L281" i="2" s="1"/>
  <c r="I55" i="2"/>
  <c r="D95" i="2"/>
  <c r="L95" i="2" s="1"/>
  <c r="L147" i="2"/>
  <c r="L179" i="2"/>
  <c r="I94" i="2"/>
  <c r="I178" i="2"/>
  <c r="I283" i="2"/>
  <c r="D112" i="2"/>
  <c r="D109" i="2"/>
  <c r="I338" i="2"/>
  <c r="L70" i="2"/>
  <c r="D26" i="2"/>
  <c r="I38" i="2"/>
  <c r="I106" i="2"/>
  <c r="D61" i="2"/>
  <c r="I287" i="2"/>
  <c r="L284" i="2"/>
  <c r="D124" i="2"/>
  <c r="D15" i="2"/>
  <c r="L363" i="2"/>
  <c r="L389" i="2"/>
  <c r="I545" i="2"/>
  <c r="I132" i="2"/>
  <c r="L169" i="2"/>
  <c r="I267" i="2"/>
  <c r="I62" i="2"/>
  <c r="D143" i="2"/>
  <c r="L143" i="2" s="1"/>
  <c r="I117" i="2"/>
  <c r="D184" i="2"/>
  <c r="L184" i="2" s="1"/>
  <c r="I166" i="2"/>
  <c r="I309" i="2"/>
  <c r="I539" i="2"/>
  <c r="D310" i="2"/>
  <c r="L310" i="2" s="1"/>
  <c r="D78" i="2"/>
  <c r="I103" i="2"/>
  <c r="D238" i="2"/>
  <c r="I85" i="2"/>
  <c r="L112" i="2"/>
  <c r="L124" i="2"/>
  <c r="D546" i="2"/>
  <c r="L546" i="2" s="1"/>
  <c r="D136" i="2"/>
  <c r="L136" i="2" s="1"/>
  <c r="L73" i="2"/>
  <c r="L489" i="2"/>
  <c r="D127" i="2"/>
  <c r="L127" i="2" s="1"/>
  <c r="D218" i="2"/>
  <c r="D256" i="2"/>
  <c r="L256" i="2" s="1"/>
  <c r="D470" i="2"/>
  <c r="L470" i="2" s="1"/>
  <c r="I428" i="2"/>
  <c r="L302" i="2"/>
  <c r="L44" i="2"/>
  <c r="L109" i="2"/>
  <c r="I185" i="2"/>
  <c r="D372" i="2"/>
  <c r="D172" i="2"/>
  <c r="L172" i="2" s="1"/>
  <c r="I26" i="2"/>
  <c r="D141" i="2"/>
  <c r="I164" i="2"/>
  <c r="L164" i="2"/>
  <c r="D160" i="2"/>
  <c r="D19" i="2"/>
  <c r="L19" i="2" s="1"/>
  <c r="L61" i="2"/>
  <c r="I25" i="2"/>
  <c r="I175" i="2"/>
  <c r="D51" i="2"/>
  <c r="I99" i="2"/>
  <c r="L15" i="2"/>
  <c r="D100" i="2"/>
  <c r="L100" i="2" s="1"/>
  <c r="D64" i="2"/>
  <c r="L232" i="2"/>
  <c r="D324" i="2"/>
  <c r="L324" i="2" s="1"/>
  <c r="L238" i="2"/>
  <c r="D68" i="2"/>
  <c r="L10" i="2"/>
  <c r="I379" i="2"/>
  <c r="D40" i="2"/>
  <c r="L40" i="2" s="1"/>
  <c r="L39" i="2"/>
  <c r="I139" i="2"/>
  <c r="I51" i="2"/>
  <c r="L51" i="2"/>
  <c r="D49" i="2"/>
  <c r="L49" i="2" s="1"/>
  <c r="I242" i="2"/>
  <c r="L372" i="2"/>
  <c r="I323" i="2"/>
  <c r="L496" i="2"/>
  <c r="L46" i="2"/>
  <c r="L71" i="2"/>
  <c r="D273" i="2"/>
  <c r="L273" i="2" s="1"/>
  <c r="D380" i="2"/>
  <c r="L380" i="2" s="1"/>
  <c r="D327" i="2"/>
  <c r="D105" i="2"/>
  <c r="L105" i="2" s="1"/>
  <c r="D31" i="2"/>
  <c r="L31" i="2" s="1"/>
  <c r="I529" i="2"/>
  <c r="I70" i="2"/>
  <c r="D34" i="2"/>
  <c r="L201" i="2"/>
  <c r="I111" i="2"/>
  <c r="L268" i="2"/>
  <c r="L64" i="2"/>
  <c r="I272" i="2"/>
  <c r="I104" i="2"/>
  <c r="I448" i="2"/>
  <c r="I162" i="2"/>
  <c r="I20" i="2"/>
  <c r="D181" i="2"/>
  <c r="D252" i="2"/>
  <c r="L252" i="2" s="1"/>
  <c r="L150" i="2"/>
  <c r="I227" i="2"/>
  <c r="D170" i="2"/>
  <c r="I182" i="2"/>
  <c r="I510" i="2"/>
  <c r="D79" i="2"/>
  <c r="L79" i="2" s="1"/>
  <c r="L78" i="2"/>
  <c r="D338" i="2"/>
  <c r="L338" i="2" s="1"/>
  <c r="L69" i="2"/>
  <c r="D134" i="2"/>
  <c r="L134" i="2" s="1"/>
  <c r="I133" i="2"/>
  <c r="D163" i="2"/>
  <c r="L163" i="2" s="1"/>
  <c r="I251" i="2"/>
  <c r="I210" i="2"/>
  <c r="D213" i="2"/>
  <c r="L213" i="2" s="1"/>
  <c r="I113" i="2"/>
  <c r="D339" i="2"/>
  <c r="L339" i="2" s="1"/>
  <c r="I212" i="2"/>
  <c r="D114" i="2"/>
  <c r="L114" i="2" s="1"/>
  <c r="I43" i="2"/>
  <c r="D167" i="2"/>
  <c r="L167" i="2" s="1"/>
  <c r="D12" i="2"/>
  <c r="L12" i="2" s="1"/>
  <c r="D292" i="2"/>
  <c r="L292" i="2" s="1"/>
  <c r="D288" i="2"/>
  <c r="L288" i="2" s="1"/>
  <c r="D42" i="2"/>
  <c r="L42" i="2" s="1"/>
  <c r="D233" i="2"/>
  <c r="L233" i="2" s="1"/>
  <c r="I18" i="2"/>
  <c r="D104" i="2"/>
  <c r="L104" i="2" s="1"/>
  <c r="I183" i="2"/>
  <c r="I280" i="2"/>
  <c r="I41" i="2"/>
  <c r="I301" i="2"/>
  <c r="I42" i="2"/>
  <c r="I135" i="2"/>
  <c r="D540" i="2"/>
  <c r="L540" i="2" s="1"/>
  <c r="D118" i="2"/>
  <c r="L118" i="2" s="1"/>
  <c r="I44" i="2"/>
  <c r="D27" i="2"/>
  <c r="L27" i="2" s="1"/>
  <c r="D45" i="2"/>
  <c r="L45" i="2" s="1"/>
  <c r="D21" i="2"/>
  <c r="L21" i="2" s="1"/>
  <c r="D449" i="2"/>
  <c r="L449" i="2" s="1"/>
  <c r="D86" i="2"/>
  <c r="L86" i="2" s="1"/>
  <c r="I142" i="2"/>
  <c r="I326" i="2"/>
  <c r="D429" i="2"/>
  <c r="L429" i="2" s="1"/>
  <c r="D322" i="2"/>
  <c r="L322" i="2" s="1"/>
  <c r="D553" i="2"/>
  <c r="L553" i="2" s="1"/>
  <c r="D202" i="2"/>
  <c r="L202" i="2" s="1"/>
  <c r="I140" i="2"/>
  <c r="I171" i="2"/>
  <c r="I77" i="2"/>
  <c r="I302" i="2"/>
  <c r="D63" i="2"/>
  <c r="L63" i="2" s="1"/>
  <c r="I33" i="2"/>
  <c r="I78" i="2"/>
  <c r="I126" i="2"/>
  <c r="I123" i="2"/>
  <c r="D177" i="2"/>
  <c r="L177" i="2" s="1"/>
  <c r="D99" i="2"/>
  <c r="L99" i="2" s="1"/>
  <c r="I159" i="2"/>
  <c r="D303" i="2"/>
  <c r="L303" i="2" s="1"/>
  <c r="D107" i="2"/>
  <c r="L107" i="2" s="1"/>
  <c r="I392" i="2"/>
  <c r="D511" i="2"/>
  <c r="L511" i="2" s="1"/>
  <c r="D97" i="2"/>
  <c r="L97" i="2" s="1"/>
  <c r="I63" i="2"/>
  <c r="I337" i="2"/>
  <c r="D186" i="2"/>
  <c r="L186" i="2" s="1"/>
  <c r="D393" i="2"/>
  <c r="L393" i="2" s="1"/>
  <c r="I371" i="2"/>
  <c r="D93" i="2"/>
  <c r="L93" i="2" s="1"/>
  <c r="I176" i="2"/>
  <c r="I98" i="2"/>
  <c r="D52" i="2"/>
  <c r="L52" i="2" s="1"/>
  <c r="I48" i="2"/>
  <c r="D176" i="2"/>
  <c r="L176" i="2" s="1"/>
  <c r="I217" i="2"/>
  <c r="I92" i="2"/>
  <c r="I96" i="2"/>
  <c r="D66" i="2"/>
  <c r="L66" i="2" s="1"/>
  <c r="D30" i="2"/>
  <c r="L30" i="2" s="1"/>
  <c r="I469" i="2"/>
  <c r="D219" i="2"/>
  <c r="L219" i="2" s="1"/>
  <c r="I218" i="2"/>
  <c r="D187" i="2"/>
  <c r="L187" i="2" s="1"/>
  <c r="I186" i="2"/>
  <c r="I67" i="2"/>
  <c r="D129" i="2"/>
  <c r="L129" i="2" s="1"/>
  <c r="I128" i="2"/>
  <c r="D56" i="2"/>
  <c r="L56" i="2" s="1"/>
  <c r="D37" i="2"/>
  <c r="L37" i="2" s="1"/>
  <c r="I108" i="2"/>
  <c r="D183" i="2"/>
  <c r="L183" i="2" s="1"/>
  <c r="D20" i="2"/>
  <c r="L20" i="2" s="1"/>
  <c r="I110" i="2"/>
  <c r="I91" i="2"/>
  <c r="D18" i="2"/>
  <c r="L18" i="2" s="1"/>
  <c r="D140" i="2"/>
  <c r="L140" i="2" s="1"/>
  <c r="D133" i="2"/>
  <c r="L133" i="2" s="1"/>
  <c r="D530" i="2"/>
  <c r="L530" i="2" s="1"/>
  <c r="D92" i="2"/>
  <c r="L92" i="2" s="1"/>
  <c r="I304" i="2"/>
  <c r="D196" i="2"/>
  <c r="L196" i="2" s="1"/>
  <c r="I19" i="2"/>
  <c r="D75" i="2"/>
  <c r="L75" i="2" s="1"/>
  <c r="D305" i="2"/>
  <c r="L305" i="2" s="1"/>
  <c r="I79" i="2"/>
  <c r="D80" i="2"/>
  <c r="L80" i="2" s="1"/>
  <c r="I30" i="2"/>
  <c r="D154" i="2"/>
  <c r="L154" i="2" s="1"/>
  <c r="I74" i="2"/>
  <c r="I39" i="2"/>
  <c r="D111" i="2"/>
  <c r="L111" i="2" s="1"/>
  <c r="I153" i="2"/>
  <c r="D59" i="2"/>
  <c r="L59" i="2" s="1"/>
  <c r="I58" i="2"/>
  <c r="D165" i="2"/>
  <c r="L165" i="2" s="1"/>
  <c r="D54" i="2"/>
  <c r="L54" i="2" s="1"/>
  <c r="I53" i="2"/>
  <c r="I458" i="2"/>
  <c r="D459" i="2"/>
  <c r="L459" i="2" s="1"/>
  <c r="D472" i="2"/>
  <c r="L472" i="2" s="1"/>
  <c r="I471" i="2"/>
  <c r="I509" i="2"/>
  <c r="D510" i="2"/>
  <c r="L510" i="2" s="1"/>
  <c r="D346" i="2"/>
  <c r="L346" i="2" s="1"/>
  <c r="I345" i="2"/>
  <c r="D348" i="2"/>
  <c r="L348" i="2" s="1"/>
  <c r="I347" i="2"/>
  <c r="I189" i="2"/>
  <c r="D190" i="2"/>
  <c r="L190" i="2" s="1"/>
  <c r="I380" i="2"/>
  <c r="D381" i="2"/>
  <c r="L381" i="2" s="1"/>
  <c r="D499" i="2"/>
  <c r="L499" i="2" s="1"/>
  <c r="I498" i="2"/>
  <c r="D115" i="2"/>
  <c r="L115" i="2" s="1"/>
  <c r="I114" i="2"/>
  <c r="I480" i="2"/>
  <c r="D481" i="2"/>
  <c r="L481" i="2" s="1"/>
  <c r="I607" i="2"/>
  <c r="D608" i="2"/>
  <c r="L608" i="2" s="1"/>
  <c r="I209" i="2"/>
  <c r="D210" i="2"/>
  <c r="L210" i="2" s="1"/>
  <c r="I120" i="2"/>
  <c r="D121" i="2"/>
  <c r="L121" i="2" s="1"/>
  <c r="D48" i="2"/>
  <c r="L48" i="2" s="1"/>
  <c r="I47" i="2"/>
  <c r="I540" i="2"/>
  <c r="D541" i="2"/>
  <c r="L541" i="2" s="1"/>
  <c r="D98" i="2"/>
  <c r="L98" i="2" s="1"/>
  <c r="I97" i="2"/>
  <c r="I375" i="2"/>
  <c r="D376" i="2"/>
  <c r="L376" i="2" s="1"/>
  <c r="I496" i="2"/>
  <c r="D497" i="2"/>
  <c r="L497" i="2" s="1"/>
  <c r="I192" i="2"/>
  <c r="D193" i="2"/>
  <c r="L193" i="2" s="1"/>
  <c r="D47" i="2"/>
  <c r="L47" i="2" s="1"/>
  <c r="I46" i="2"/>
  <c r="D189" i="2"/>
  <c r="L189" i="2" s="1"/>
  <c r="I188" i="2"/>
  <c r="D500" i="2"/>
  <c r="L500" i="2" s="1"/>
  <c r="I499" i="2"/>
  <c r="I416" i="2"/>
  <c r="D417" i="2"/>
  <c r="L417" i="2" s="1"/>
  <c r="D53" i="2"/>
  <c r="L53" i="2" s="1"/>
  <c r="I52" i="2"/>
  <c r="I71" i="2"/>
  <c r="D72" i="2"/>
  <c r="L72" i="2" s="1"/>
  <c r="D221" i="2"/>
  <c r="L221" i="2" s="1"/>
  <c r="I220" i="2"/>
  <c r="D386" i="2"/>
  <c r="L386" i="2" s="1"/>
  <c r="I385" i="2"/>
  <c r="I505" i="2"/>
  <c r="D506" i="2"/>
  <c r="L506" i="2" s="1"/>
  <c r="I274" i="2"/>
  <c r="D275" i="2"/>
  <c r="L275" i="2" s="1"/>
  <c r="I245" i="2"/>
  <c r="D246" i="2"/>
  <c r="L246" i="2" s="1"/>
  <c r="I474" i="2"/>
  <c r="D475" i="2"/>
  <c r="L475" i="2" s="1"/>
  <c r="D433" i="2"/>
  <c r="L433" i="2" s="1"/>
  <c r="I432" i="2"/>
  <c r="I549" i="2"/>
  <c r="D550" i="2"/>
  <c r="L550" i="2" s="1"/>
  <c r="D209" i="2"/>
  <c r="L209" i="2" s="1"/>
  <c r="I208" i="2"/>
  <c r="D308" i="2"/>
  <c r="L308" i="2" s="1"/>
  <c r="I307" i="2"/>
  <c r="I391" i="2"/>
  <c r="D392" i="2"/>
  <c r="L392" i="2" s="1"/>
  <c r="D76" i="2"/>
  <c r="L76" i="2" s="1"/>
  <c r="I75" i="2"/>
  <c r="D353" i="2"/>
  <c r="L353" i="2" s="1"/>
  <c r="I352" i="2"/>
  <c r="I66" i="2"/>
  <c r="D67" i="2"/>
  <c r="L67" i="2" s="1"/>
  <c r="I516" i="2"/>
  <c r="D517" i="2"/>
  <c r="L517" i="2" s="1"/>
  <c r="D269" i="2"/>
  <c r="L269" i="2" s="1"/>
  <c r="I268" i="2"/>
  <c r="D83" i="2"/>
  <c r="L83" i="2" s="1"/>
  <c r="I82" i="2"/>
  <c r="D198" i="2"/>
  <c r="L198" i="2" s="1"/>
  <c r="I197" i="2"/>
  <c r="D503" i="2"/>
  <c r="L503" i="2" s="1"/>
  <c r="I502" i="2"/>
  <c r="I451" i="2"/>
  <c r="D452" i="2"/>
  <c r="L452" i="2" s="1"/>
  <c r="D65" i="2"/>
  <c r="L65" i="2" s="1"/>
  <c r="I64" i="2"/>
  <c r="D84" i="2"/>
  <c r="L84" i="2" s="1"/>
  <c r="I83" i="2"/>
  <c r="I222" i="2"/>
  <c r="D223" i="2"/>
  <c r="L223" i="2" s="1"/>
  <c r="D401" i="2"/>
  <c r="L401" i="2" s="1"/>
  <c r="I400" i="2"/>
  <c r="I526" i="2"/>
  <c r="D527" i="2"/>
  <c r="L527" i="2" s="1"/>
  <c r="I286" i="2"/>
  <c r="D287" i="2"/>
  <c r="L287" i="2" s="1"/>
  <c r="D258" i="2"/>
  <c r="L258" i="2" s="1"/>
  <c r="I257" i="2"/>
  <c r="I500" i="2"/>
  <c r="D501" i="2"/>
  <c r="L501" i="2" s="1"/>
  <c r="D445" i="2"/>
  <c r="L445" i="2" s="1"/>
  <c r="I444" i="2"/>
  <c r="I561" i="2"/>
  <c r="D562" i="2"/>
  <c r="L562" i="2" s="1"/>
  <c r="I355" i="2"/>
  <c r="D356" i="2"/>
  <c r="L356" i="2" s="1"/>
  <c r="I504" i="2"/>
  <c r="D505" i="2"/>
  <c r="L505" i="2" s="1"/>
  <c r="D593" i="2"/>
  <c r="L593" i="2" s="1"/>
  <c r="I592" i="2"/>
  <c r="I332" i="2"/>
  <c r="D333" i="2"/>
  <c r="L333" i="2" s="1"/>
  <c r="D525" i="2"/>
  <c r="L525" i="2" s="1"/>
  <c r="I524" i="2"/>
  <c r="D262" i="2"/>
  <c r="L262" i="2" s="1"/>
  <c r="I261" i="2"/>
  <c r="D36" i="2"/>
  <c r="L36" i="2" s="1"/>
  <c r="I35" i="2"/>
  <c r="D604" i="2"/>
  <c r="L604" i="2" s="1"/>
  <c r="I603" i="2"/>
  <c r="D515" i="2"/>
  <c r="L515" i="2" s="1"/>
  <c r="I514" i="2"/>
  <c r="I310" i="2"/>
  <c r="D311" i="2"/>
  <c r="L311" i="2" s="1"/>
  <c r="D255" i="2"/>
  <c r="L255" i="2" s="1"/>
  <c r="I254" i="2"/>
  <c r="I393" i="2"/>
  <c r="D394" i="2"/>
  <c r="L394" i="2" s="1"/>
  <c r="I334" i="2"/>
  <c r="D335" i="2"/>
  <c r="L335" i="2" s="1"/>
  <c r="I548" i="2"/>
  <c r="D549" i="2"/>
  <c r="L549" i="2" s="1"/>
  <c r="D331" i="2"/>
  <c r="L331" i="2" s="1"/>
  <c r="I330" i="2"/>
  <c r="I12" i="2"/>
  <c r="D13" i="2"/>
  <c r="L13" i="2" s="1"/>
  <c r="I109" i="2"/>
  <c r="D110" i="2"/>
  <c r="L110" i="2" s="1"/>
  <c r="I578" i="2"/>
  <c r="D579" i="2"/>
  <c r="L579" i="2" s="1"/>
  <c r="D360" i="2"/>
  <c r="L360" i="2" s="1"/>
  <c r="I359" i="2"/>
  <c r="D205" i="2"/>
  <c r="L205" i="2" s="1"/>
  <c r="I204" i="2"/>
  <c r="D96" i="2"/>
  <c r="L96" i="2" s="1"/>
  <c r="I95" i="2"/>
  <c r="D518" i="2"/>
  <c r="L518" i="2" s="1"/>
  <c r="I517" i="2"/>
  <c r="I285" i="2"/>
  <c r="D286" i="2"/>
  <c r="L286" i="2" s="1"/>
  <c r="I234" i="2"/>
  <c r="D235" i="2"/>
  <c r="L235" i="2" s="1"/>
  <c r="I404" i="2"/>
  <c r="D405" i="2"/>
  <c r="L405" i="2" s="1"/>
  <c r="I354" i="2"/>
  <c r="D355" i="2"/>
  <c r="L355" i="2" s="1"/>
  <c r="I282" i="2"/>
  <c r="D283" i="2"/>
  <c r="L283" i="2" s="1"/>
  <c r="D245" i="2"/>
  <c r="L245" i="2" s="1"/>
  <c r="I244" i="2"/>
  <c r="D434" i="2"/>
  <c r="L434" i="2" s="1"/>
  <c r="I433" i="2"/>
  <c r="D144" i="2"/>
  <c r="L144" i="2" s="1"/>
  <c r="I143" i="2"/>
  <c r="I258" i="2"/>
  <c r="D259" i="2"/>
  <c r="L259" i="2" s="1"/>
  <c r="D446" i="2"/>
  <c r="L446" i="2" s="1"/>
  <c r="I445" i="2"/>
  <c r="D602" i="2"/>
  <c r="L602" i="2" s="1"/>
  <c r="I601" i="2"/>
  <c r="I346" i="2"/>
  <c r="D347" i="2"/>
  <c r="L347" i="2" s="1"/>
  <c r="I317" i="2"/>
  <c r="D318" i="2"/>
  <c r="L318" i="2" s="1"/>
  <c r="D217" i="2"/>
  <c r="L217" i="2" s="1"/>
  <c r="I216" i="2"/>
  <c r="D592" i="2"/>
  <c r="L592" i="2" s="1"/>
  <c r="I591" i="2"/>
  <c r="I441" i="2"/>
  <c r="D442" i="2"/>
  <c r="L442" i="2" s="1"/>
  <c r="D561" i="2"/>
  <c r="L561" i="2" s="1"/>
  <c r="I560" i="2"/>
  <c r="D254" i="2"/>
  <c r="L254" i="2" s="1"/>
  <c r="I253" i="2"/>
  <c r="D296" i="2"/>
  <c r="L296" i="2" s="1"/>
  <c r="I295" i="2"/>
  <c r="D473" i="2"/>
  <c r="L473" i="2" s="1"/>
  <c r="I472" i="2"/>
  <c r="I134" i="2"/>
  <c r="D135" i="2"/>
  <c r="L135" i="2" s="1"/>
  <c r="D368" i="2"/>
  <c r="L368" i="2" s="1"/>
  <c r="I367" i="2"/>
  <c r="D532" i="2"/>
  <c r="L532" i="2" s="1"/>
  <c r="I531" i="2"/>
  <c r="D556" i="2"/>
  <c r="L556" i="2" s="1"/>
  <c r="I555" i="2"/>
  <c r="I249" i="2"/>
  <c r="D250" i="2"/>
  <c r="L250" i="2" s="1"/>
  <c r="D477" i="2"/>
  <c r="L477" i="2" s="1"/>
  <c r="I476" i="2"/>
  <c r="D119" i="2"/>
  <c r="L119" i="2" s="1"/>
  <c r="I118" i="2"/>
  <c r="D457" i="2"/>
  <c r="L457" i="2" s="1"/>
  <c r="I456" i="2"/>
  <c r="D57" i="2"/>
  <c r="L57" i="2" s="1"/>
  <c r="I56" i="2"/>
  <c r="I138" i="2"/>
  <c r="D139" i="2"/>
  <c r="L139" i="2" s="1"/>
  <c r="I284" i="2"/>
  <c r="D285" i="2"/>
  <c r="L285" i="2" s="1"/>
  <c r="I155" i="2"/>
  <c r="D156" i="2"/>
  <c r="L156" i="2" s="1"/>
  <c r="D542" i="2"/>
  <c r="L542" i="2" s="1"/>
  <c r="I541" i="2"/>
  <c r="I535" i="2"/>
  <c r="D536" i="2"/>
  <c r="L536" i="2" s="1"/>
  <c r="I273" i="2"/>
  <c r="D274" i="2"/>
  <c r="L274" i="2" s="1"/>
  <c r="I411" i="2"/>
  <c r="D412" i="2"/>
  <c r="L412" i="2" s="1"/>
  <c r="I265" i="2"/>
  <c r="D266" i="2"/>
  <c r="L266" i="2" s="1"/>
  <c r="D438" i="2"/>
  <c r="L438" i="2" s="1"/>
  <c r="I437" i="2"/>
  <c r="I213" i="2"/>
  <c r="D214" i="2"/>
  <c r="L214" i="2" s="1"/>
  <c r="I503" i="2"/>
  <c r="D504" i="2"/>
  <c r="L504" i="2" s="1"/>
  <c r="D332" i="2"/>
  <c r="L332" i="2" s="1"/>
  <c r="I331" i="2"/>
  <c r="I84" i="2"/>
  <c r="D85" i="2"/>
  <c r="L85" i="2" s="1"/>
  <c r="D514" i="2"/>
  <c r="L514" i="2" s="1"/>
  <c r="I513" i="2"/>
  <c r="D413" i="2"/>
  <c r="L413" i="2" s="1"/>
  <c r="I412" i="2"/>
  <c r="I250" i="2"/>
  <c r="D251" i="2"/>
  <c r="L251" i="2" s="1"/>
  <c r="D362" i="2"/>
  <c r="L362" i="2" s="1"/>
  <c r="I361" i="2"/>
  <c r="D162" i="2"/>
  <c r="L162" i="2" s="1"/>
  <c r="I161" i="2"/>
  <c r="I262" i="2"/>
  <c r="D263" i="2"/>
  <c r="L263" i="2" s="1"/>
  <c r="D62" i="2"/>
  <c r="L62" i="2" s="1"/>
  <c r="I61" i="2"/>
  <c r="I224" i="2"/>
  <c r="D225" i="2"/>
  <c r="L225" i="2" s="1"/>
  <c r="D155" i="2"/>
  <c r="L155" i="2" s="1"/>
  <c r="I154" i="2"/>
  <c r="I281" i="2"/>
  <c r="D282" i="2"/>
  <c r="L282" i="2" s="1"/>
  <c r="D125" i="2"/>
  <c r="L125" i="2" s="1"/>
  <c r="I124" i="2"/>
  <c r="D216" i="2"/>
  <c r="L216" i="2" s="1"/>
  <c r="I215" i="2"/>
  <c r="D149" i="2"/>
  <c r="L149" i="2" s="1"/>
  <c r="I148" i="2"/>
  <c r="I370" i="2"/>
  <c r="D371" i="2"/>
  <c r="L371" i="2" s="1"/>
  <c r="D607" i="2"/>
  <c r="L607" i="2" s="1"/>
  <c r="I606" i="2"/>
  <c r="D341" i="2"/>
  <c r="L341" i="2" s="1"/>
  <c r="I340" i="2"/>
  <c r="D260" i="2"/>
  <c r="L260" i="2" s="1"/>
  <c r="I259" i="2"/>
  <c r="I151" i="2"/>
  <c r="D152" i="2"/>
  <c r="L152" i="2" s="1"/>
  <c r="D490" i="2"/>
  <c r="L490" i="2" s="1"/>
  <c r="I489" i="2"/>
  <c r="I551" i="2"/>
  <c r="D552" i="2"/>
  <c r="L552" i="2" s="1"/>
  <c r="D90" i="2"/>
  <c r="L90" i="2" s="1"/>
  <c r="I89" i="2"/>
  <c r="D350" i="2"/>
  <c r="L350" i="2" s="1"/>
  <c r="I349" i="2"/>
  <c r="D591" i="2"/>
  <c r="L591" i="2" s="1"/>
  <c r="I590" i="2"/>
  <c r="D451" i="2"/>
  <c r="L451" i="2" s="1"/>
  <c r="I450" i="2"/>
  <c r="D24" i="2"/>
  <c r="L24" i="2" s="1"/>
  <c r="I23" i="2"/>
  <c r="I511" i="2"/>
  <c r="D512" i="2"/>
  <c r="L512" i="2" s="1"/>
  <c r="D158" i="2"/>
  <c r="L158" i="2" s="1"/>
  <c r="I157" i="2"/>
  <c r="D17" i="2"/>
  <c r="L17" i="2" s="1"/>
  <c r="I16" i="2"/>
  <c r="I408" i="2"/>
  <c r="D409" i="2"/>
  <c r="L409" i="2" s="1"/>
  <c r="I303" i="2"/>
  <c r="D304" i="2"/>
  <c r="L304" i="2" s="1"/>
  <c r="I462" i="2"/>
  <c r="D463" i="2"/>
  <c r="L463" i="2" s="1"/>
  <c r="D270" i="2"/>
  <c r="L270" i="2" s="1"/>
  <c r="I269" i="2"/>
  <c r="D344" i="2"/>
  <c r="L344" i="2" s="1"/>
  <c r="I343" i="2"/>
  <c r="I319" i="2"/>
  <c r="D320" i="2"/>
  <c r="L320" i="2" s="1"/>
  <c r="D240" i="2"/>
  <c r="L240" i="2" s="1"/>
  <c r="I239" i="2"/>
  <c r="D488" i="2"/>
  <c r="L488" i="2" s="1"/>
  <c r="I487" i="2"/>
  <c r="D605" i="2"/>
  <c r="L605" i="2" s="1"/>
  <c r="I604" i="2"/>
  <c r="I410" i="2"/>
  <c r="D411" i="2"/>
  <c r="L411" i="2" s="1"/>
  <c r="I453" i="2"/>
  <c r="D454" i="2"/>
  <c r="L454" i="2" s="1"/>
  <c r="D330" i="2"/>
  <c r="L330" i="2" s="1"/>
  <c r="I329" i="2"/>
  <c r="D146" i="2"/>
  <c r="L146" i="2" s="1"/>
  <c r="I145" i="2"/>
  <c r="I211" i="2"/>
  <c r="D212" i="2"/>
  <c r="L212" i="2" s="1"/>
  <c r="D180" i="2"/>
  <c r="L180" i="2" s="1"/>
  <c r="I179" i="2"/>
  <c r="D484" i="2"/>
  <c r="L484" i="2" s="1"/>
  <c r="I483" i="2"/>
  <c r="D466" i="2"/>
  <c r="L466" i="2" s="1"/>
  <c r="I465" i="2"/>
  <c r="I203" i="2"/>
  <c r="D204" i="2"/>
  <c r="L204" i="2" s="1"/>
  <c r="D435" i="2"/>
  <c r="L435" i="2" s="1"/>
  <c r="I434" i="2"/>
  <c r="I181" i="2"/>
  <c r="D182" i="2"/>
  <c r="L182" i="2" s="1"/>
  <c r="D478" i="2"/>
  <c r="L478" i="2" s="1"/>
  <c r="I477" i="2"/>
  <c r="D385" i="2"/>
  <c r="L385" i="2" s="1"/>
  <c r="I384" i="2"/>
  <c r="I366" i="2"/>
  <c r="D367" i="2"/>
  <c r="L367" i="2" s="1"/>
  <c r="I466" i="2"/>
  <c r="D467" i="2"/>
  <c r="L467" i="2" s="1"/>
  <c r="D526" i="2"/>
  <c r="L526" i="2" s="1"/>
  <c r="I525" i="2"/>
  <c r="D60" i="2"/>
  <c r="L60" i="2" s="1"/>
  <c r="I59" i="2"/>
  <c r="D538" i="2"/>
  <c r="L538" i="2" s="1"/>
  <c r="I537" i="2"/>
  <c r="I271" i="2"/>
  <c r="D272" i="2"/>
  <c r="L272" i="2" s="1"/>
  <c r="I563" i="2"/>
  <c r="D564" i="2"/>
  <c r="L564" i="2" s="1"/>
  <c r="I565" i="2"/>
  <c r="D566" i="2"/>
  <c r="L566" i="2" s="1"/>
  <c r="D306" i="2"/>
  <c r="L306" i="2" s="1"/>
  <c r="I305" i="2"/>
  <c r="D418" i="2"/>
  <c r="L418" i="2" s="1"/>
  <c r="I417" i="2"/>
  <c r="I429" i="2"/>
  <c r="D430" i="2"/>
  <c r="L430" i="2" s="1"/>
  <c r="I358" i="2"/>
  <c r="D359" i="2"/>
  <c r="L359" i="2" s="1"/>
  <c r="D492" i="2"/>
  <c r="L492" i="2" s="1"/>
  <c r="I491" i="2"/>
  <c r="D370" i="2"/>
  <c r="L370" i="2" s="1"/>
  <c r="I369" i="2"/>
  <c r="D334" i="2"/>
  <c r="L334" i="2" s="1"/>
  <c r="I333" i="2"/>
  <c r="I536" i="2"/>
  <c r="D537" i="2"/>
  <c r="L537" i="2" s="1"/>
  <c r="I501" i="2"/>
  <c r="D502" i="2"/>
  <c r="L502" i="2" s="1"/>
  <c r="I423" i="2"/>
  <c r="D424" i="2"/>
  <c r="L424" i="2" s="1"/>
  <c r="I177" i="2"/>
  <c r="D178" i="2"/>
  <c r="L178" i="2" s="1"/>
  <c r="I129" i="2"/>
  <c r="D130" i="2"/>
  <c r="L130" i="2" s="1"/>
  <c r="I214" i="2"/>
  <c r="D215" i="2"/>
  <c r="L215" i="2" s="1"/>
  <c r="I226" i="2"/>
  <c r="D227" i="2"/>
  <c r="L227" i="2" s="1"/>
  <c r="I327" i="2"/>
  <c r="D328" i="2"/>
  <c r="L328" i="2" s="1"/>
  <c r="I547" i="2"/>
  <c r="D548" i="2"/>
  <c r="L548" i="2" s="1"/>
  <c r="I356" i="2"/>
  <c r="D357" i="2"/>
  <c r="L357" i="2" s="1"/>
  <c r="D416" i="2"/>
  <c r="L416" i="2" s="1"/>
  <c r="I415" i="2"/>
  <c r="D384" i="2"/>
  <c r="L384" i="2" s="1"/>
  <c r="I383" i="2"/>
  <c r="I508" i="2"/>
  <c r="D509" i="2"/>
  <c r="L509" i="2" s="1"/>
  <c r="I573" i="2"/>
  <c r="D574" i="2"/>
  <c r="L574" i="2" s="1"/>
  <c r="I270" i="2"/>
  <c r="D271" i="2"/>
  <c r="L271" i="2" s="1"/>
  <c r="D89" i="2"/>
  <c r="L89" i="2" s="1"/>
  <c r="I88" i="2"/>
  <c r="D38" i="2"/>
  <c r="L38" i="2" s="1"/>
  <c r="I37" i="2"/>
  <c r="D113" i="2"/>
  <c r="L113" i="2" s="1"/>
  <c r="I112" i="2"/>
  <c r="I421" i="2"/>
  <c r="D422" i="2"/>
  <c r="L422" i="2" s="1"/>
  <c r="D609" i="2"/>
  <c r="L609" i="2" s="1"/>
  <c r="I608" i="2"/>
  <c r="I57" i="2"/>
  <c r="D58" i="2"/>
  <c r="L58" i="2" s="1"/>
  <c r="D425" i="2"/>
  <c r="L425" i="2" s="1"/>
  <c r="I424" i="2"/>
  <c r="I228" i="2"/>
  <c r="D229" i="2"/>
  <c r="L229" i="2" s="1"/>
  <c r="I194" i="2"/>
  <c r="D195" i="2"/>
  <c r="L195" i="2" s="1"/>
  <c r="I357" i="2"/>
  <c r="D358" i="2"/>
  <c r="L358" i="2" s="1"/>
  <c r="D276" i="2"/>
  <c r="L276" i="2" s="1"/>
  <c r="I275" i="2"/>
  <c r="I528" i="2"/>
  <c r="D529" i="2"/>
  <c r="L529" i="2" s="1"/>
  <c r="I520" i="2"/>
  <c r="D521" i="2"/>
  <c r="L521" i="2" s="1"/>
  <c r="D315" i="2"/>
  <c r="L315" i="2" s="1"/>
  <c r="I314" i="2"/>
  <c r="D161" i="2"/>
  <c r="L161" i="2" s="1"/>
  <c r="I160" i="2"/>
  <c r="I382" i="2"/>
  <c r="D383" i="2"/>
  <c r="L383" i="2" s="1"/>
  <c r="I523" i="2"/>
  <c r="D524" i="2"/>
  <c r="L524" i="2" s="1"/>
  <c r="I230" i="2"/>
  <c r="D231" i="2"/>
  <c r="L231" i="2" s="1"/>
  <c r="I550" i="2"/>
  <c r="D551" i="2"/>
  <c r="L551" i="2" s="1"/>
  <c r="I557" i="2"/>
  <c r="D558" i="2"/>
  <c r="L558" i="2" s="1"/>
  <c r="I482" i="2"/>
  <c r="D483" i="2"/>
  <c r="L483" i="2" s="1"/>
  <c r="D145" i="2"/>
  <c r="L145" i="2" s="1"/>
  <c r="I144" i="2"/>
  <c r="I266" i="2"/>
  <c r="D267" i="2"/>
  <c r="L267" i="2" s="1"/>
  <c r="I187" i="2"/>
  <c r="D188" i="2"/>
  <c r="L188" i="2" s="1"/>
  <c r="D23" i="2"/>
  <c r="L23" i="2" s="1"/>
  <c r="I22" i="2"/>
  <c r="I246" i="2"/>
  <c r="D247" i="2"/>
  <c r="L247" i="2" s="1"/>
  <c r="D476" i="2"/>
  <c r="L476" i="2" s="1"/>
  <c r="I475" i="2"/>
  <c r="I342" i="2"/>
  <c r="D343" i="2"/>
  <c r="L343" i="2" s="1"/>
  <c r="D464" i="2"/>
  <c r="L464" i="2" s="1"/>
  <c r="I463" i="2"/>
  <c r="I600" i="2"/>
  <c r="D601" i="2"/>
  <c r="L601" i="2" s="1"/>
  <c r="I427" i="2"/>
  <c r="D428" i="2"/>
  <c r="L428" i="2" s="1"/>
  <c r="D185" i="2"/>
  <c r="L185" i="2" s="1"/>
  <c r="I184" i="2"/>
  <c r="D206" i="2"/>
  <c r="L206" i="2" s="1"/>
  <c r="I205" i="2"/>
  <c r="D295" i="2"/>
  <c r="L295" i="2" s="1"/>
  <c r="I294" i="2"/>
  <c r="D444" i="2"/>
  <c r="L444" i="2" s="1"/>
  <c r="I443" i="2"/>
  <c r="I569" i="2"/>
  <c r="D570" i="2"/>
  <c r="L570" i="2" s="1"/>
  <c r="I406" i="2"/>
  <c r="D407" i="2"/>
  <c r="L407" i="2" s="1"/>
  <c r="D378" i="2"/>
  <c r="L378" i="2" s="1"/>
  <c r="I377" i="2"/>
  <c r="D277" i="2"/>
  <c r="L277" i="2" s="1"/>
  <c r="I276" i="2"/>
  <c r="I494" i="2"/>
  <c r="D495" i="2"/>
  <c r="L495" i="2" s="1"/>
  <c r="D491" i="2"/>
  <c r="L491" i="2" s="1"/>
  <c r="I490" i="2"/>
  <c r="D236" i="2"/>
  <c r="L236" i="2" s="1"/>
  <c r="I235" i="2"/>
  <c r="D408" i="2"/>
  <c r="L408" i="2" s="1"/>
  <c r="I407" i="2"/>
  <c r="D557" i="2"/>
  <c r="L557" i="2" s="1"/>
  <c r="I556" i="2"/>
  <c r="I141" i="2"/>
  <c r="D142" i="2"/>
  <c r="L142" i="2" s="1"/>
  <c r="I351" i="2"/>
  <c r="D352" i="2"/>
  <c r="L352" i="2" s="1"/>
  <c r="D377" i="2"/>
  <c r="L377" i="2" s="1"/>
  <c r="I376" i="2"/>
  <c r="D349" i="2"/>
  <c r="L349" i="2" s="1"/>
  <c r="I348" i="2"/>
  <c r="D226" i="2"/>
  <c r="L226" i="2" s="1"/>
  <c r="I225" i="2"/>
  <c r="I152" i="2"/>
  <c r="D153" i="2"/>
  <c r="L153" i="2" s="1"/>
  <c r="D222" i="2"/>
  <c r="L222" i="2" s="1"/>
  <c r="I221" i="2"/>
  <c r="I156" i="2"/>
  <c r="D157" i="2"/>
  <c r="L157" i="2" s="1"/>
  <c r="D595" i="2"/>
  <c r="L595" i="2" s="1"/>
  <c r="I594" i="2"/>
  <c r="I233" i="2"/>
  <c r="D234" i="2"/>
  <c r="L234" i="2" s="1"/>
  <c r="D77" i="2"/>
  <c r="L77" i="2" s="1"/>
  <c r="I76" i="2"/>
  <c r="I102" i="2"/>
  <c r="D103" i="2"/>
  <c r="L103" i="2" s="1"/>
  <c r="D547" i="2"/>
  <c r="L547" i="2" s="1"/>
  <c r="I546" i="2"/>
  <c r="D191" i="2"/>
  <c r="L191" i="2" s="1"/>
  <c r="I190" i="2"/>
  <c r="I597" i="2"/>
  <c r="D598" i="2"/>
  <c r="L598" i="2" s="1"/>
  <c r="I199" i="2"/>
  <c r="D200" i="2"/>
  <c r="L200" i="2" s="1"/>
  <c r="D257" i="2"/>
  <c r="L257" i="2" s="1"/>
  <c r="I256" i="2"/>
  <c r="I609" i="2"/>
  <c r="I158" i="2"/>
  <c r="D159" i="2"/>
  <c r="L159" i="2" s="1"/>
  <c r="I93" i="2"/>
  <c r="D94" i="2"/>
  <c r="L94" i="2" s="1"/>
  <c r="D137" i="2"/>
  <c r="L137" i="2" s="1"/>
  <c r="I136" i="2"/>
  <c r="I260" i="2"/>
  <c r="D261" i="2"/>
  <c r="L261" i="2" s="1"/>
  <c r="D594" i="2"/>
  <c r="L594" i="2" s="1"/>
  <c r="I593" i="2"/>
  <c r="D461" i="2"/>
  <c r="L461" i="2" s="1"/>
  <c r="I460" i="2"/>
  <c r="D342" i="2"/>
  <c r="L342" i="2" s="1"/>
  <c r="I341" i="2"/>
  <c r="I165" i="2"/>
  <c r="D166" i="2"/>
  <c r="L166" i="2" s="1"/>
  <c r="I467" i="2"/>
  <c r="D468" i="2"/>
  <c r="L468" i="2" s="1"/>
  <c r="I532" i="2"/>
  <c r="D533" i="2"/>
  <c r="L533" i="2" s="1"/>
  <c r="D253" i="2"/>
  <c r="L253" i="2" s="1"/>
  <c r="I252" i="2"/>
  <c r="D116" i="2"/>
  <c r="L116" i="2" s="1"/>
  <c r="I115" i="2"/>
  <c r="D173" i="2"/>
  <c r="L173" i="2" s="1"/>
  <c r="I172" i="2"/>
  <c r="I435" i="2"/>
  <c r="D436" i="2"/>
  <c r="L436" i="2" s="1"/>
  <c r="I582" i="2"/>
  <c r="D583" i="2"/>
  <c r="L583" i="2" s="1"/>
  <c r="D317" i="2"/>
  <c r="L317" i="2" s="1"/>
  <c r="I316" i="2"/>
  <c r="I479" i="2"/>
  <c r="D480" i="2"/>
  <c r="L480" i="2" s="1"/>
  <c r="I449" i="2"/>
  <c r="D450" i="2"/>
  <c r="L450" i="2" s="1"/>
  <c r="D81" i="2"/>
  <c r="L81" i="2" s="1"/>
  <c r="I80" i="2"/>
  <c r="D361" i="2"/>
  <c r="L361" i="2" s="1"/>
  <c r="I360" i="2"/>
  <c r="I438" i="2"/>
  <c r="D439" i="2"/>
  <c r="L439" i="2" s="1"/>
  <c r="D486" i="2"/>
  <c r="L486" i="2" s="1"/>
  <c r="I485" i="2"/>
  <c r="D290" i="2"/>
  <c r="L290" i="2" s="1"/>
  <c r="I289" i="2"/>
  <c r="D396" i="2"/>
  <c r="L396" i="2" s="1"/>
  <c r="I395" i="2"/>
  <c r="D365" i="2"/>
  <c r="L365" i="2" s="1"/>
  <c r="I364" i="2"/>
  <c r="I538" i="2"/>
  <c r="D539" i="2"/>
  <c r="L539" i="2" s="1"/>
  <c r="D603" i="2"/>
  <c r="L603" i="2" s="1"/>
  <c r="I602" i="2"/>
  <c r="D474" i="2"/>
  <c r="L474" i="2" s="1"/>
  <c r="I473" i="2"/>
  <c r="D458" i="2"/>
  <c r="L458" i="2" s="1"/>
  <c r="I457" i="2"/>
  <c r="I238" i="2"/>
  <c r="D239" i="2"/>
  <c r="L239" i="2" s="1"/>
  <c r="I105" i="2"/>
  <c r="D106" i="2"/>
  <c r="L106" i="2" s="1"/>
  <c r="D588" i="2"/>
  <c r="L588" i="2" s="1"/>
  <c r="I587" i="2"/>
  <c r="O13" i="2"/>
  <c r="P13" i="2"/>
  <c r="D174" i="2"/>
  <c r="L174" i="2" s="1"/>
  <c r="I173" i="2"/>
  <c r="D606" i="2"/>
  <c r="L606" i="2" s="1"/>
  <c r="I605" i="2"/>
  <c r="D575" i="2"/>
  <c r="L575" i="2" s="1"/>
  <c r="I574" i="2"/>
  <c r="D586" i="2"/>
  <c r="L586" i="2" s="1"/>
  <c r="I585" i="2"/>
  <c r="D508" i="2"/>
  <c r="L508" i="2" s="1"/>
  <c r="I507" i="2"/>
  <c r="I374" i="2"/>
  <c r="D375" i="2"/>
  <c r="L375" i="2" s="1"/>
  <c r="D242" i="2"/>
  <c r="L242" i="2" s="1"/>
  <c r="I241" i="2"/>
  <c r="D294" i="2"/>
  <c r="L294" i="2" s="1"/>
  <c r="I293" i="2"/>
  <c r="I174" i="2"/>
  <c r="D175" i="2"/>
  <c r="L175" i="2" s="1"/>
  <c r="I492" i="2"/>
  <c r="D493" i="2"/>
  <c r="L493" i="2" s="1"/>
  <c r="D410" i="2"/>
  <c r="L410" i="2" s="1"/>
  <c r="I409" i="2"/>
  <c r="D293" i="2"/>
  <c r="L293" i="2" s="1"/>
  <c r="I292" i="2"/>
  <c r="D366" i="2"/>
  <c r="L366" i="2" s="1"/>
  <c r="I365" i="2"/>
  <c r="D563" i="2"/>
  <c r="L563" i="2" s="1"/>
  <c r="I562" i="2"/>
  <c r="I522" i="2"/>
  <c r="D523" i="2"/>
  <c r="L523" i="2" s="1"/>
  <c r="D494" i="2"/>
  <c r="L494" i="2" s="1"/>
  <c r="I493" i="2"/>
  <c r="D485" i="2"/>
  <c r="L485" i="2" s="1"/>
  <c r="I484" i="2"/>
  <c r="I207" i="2"/>
  <c r="D208" i="2"/>
  <c r="L208" i="2" s="1"/>
  <c r="I571" i="2"/>
  <c r="D572" i="2"/>
  <c r="L572" i="2" s="1"/>
  <c r="D507" i="2"/>
  <c r="L507" i="2" s="1"/>
  <c r="I506" i="2"/>
  <c r="D427" i="2"/>
  <c r="L427" i="2" s="1"/>
  <c r="I426" i="2"/>
  <c r="D128" i="2"/>
  <c r="L128" i="2" s="1"/>
  <c r="I127" i="2"/>
  <c r="D16" i="2"/>
  <c r="L16" i="2" s="1"/>
  <c r="I15" i="2"/>
  <c r="I170" i="2"/>
  <c r="D171" i="2"/>
  <c r="L171" i="2" s="1"/>
  <c r="D580" i="2"/>
  <c r="L580" i="2" s="1"/>
  <c r="I579" i="2"/>
  <c r="D387" i="2"/>
  <c r="L387" i="2" s="1"/>
  <c r="I386" i="2"/>
  <c r="D528" i="2"/>
  <c r="L528" i="2" s="1"/>
  <c r="I527" i="2"/>
  <c r="D399" i="2"/>
  <c r="L399" i="2" s="1"/>
  <c r="I398" i="2"/>
  <c r="I583" i="2"/>
  <c r="D584" i="2"/>
  <c r="L584" i="2" s="1"/>
  <c r="I399" i="2"/>
  <c r="D400" i="2"/>
  <c r="L400" i="2" s="1"/>
  <c r="D498" i="2"/>
  <c r="L498" i="2" s="1"/>
  <c r="I497" i="2"/>
  <c r="D437" i="2"/>
  <c r="L437" i="2" s="1"/>
  <c r="I436" i="2"/>
  <c r="I243" i="2"/>
  <c r="D244" i="2"/>
  <c r="L244" i="2" s="1"/>
  <c r="D312" i="2"/>
  <c r="L312" i="2" s="1"/>
  <c r="I311" i="2"/>
  <c r="D487" i="2"/>
  <c r="L487" i="2" s="1"/>
  <c r="I486" i="2"/>
  <c r="D585" i="2"/>
  <c r="L585" i="2" s="1"/>
  <c r="I584" i="2"/>
  <c r="I430" i="2"/>
  <c r="D431" i="2"/>
  <c r="L431" i="2" s="1"/>
  <c r="D402" i="2"/>
  <c r="L402" i="2" s="1"/>
  <c r="I401" i="2"/>
  <c r="I300" i="2"/>
  <c r="D301" i="2"/>
  <c r="L301" i="2" s="1"/>
  <c r="D519" i="2"/>
  <c r="L519" i="2" s="1"/>
  <c r="I518" i="2"/>
  <c r="I459" i="2"/>
  <c r="D460" i="2"/>
  <c r="L460" i="2" s="1"/>
  <c r="I21" i="2"/>
  <c r="D22" i="2"/>
  <c r="L22" i="2" s="1"/>
  <c r="D555" i="2"/>
  <c r="L555" i="2" s="1"/>
  <c r="I554" i="2"/>
  <c r="I387" i="2"/>
  <c r="D388" i="2"/>
  <c r="L388" i="2" s="1"/>
  <c r="I378" i="2"/>
  <c r="D379" i="2"/>
  <c r="L379" i="2" s="1"/>
  <c r="D462" i="2"/>
  <c r="L462" i="2" s="1"/>
  <c r="I461" i="2"/>
  <c r="D447" i="2"/>
  <c r="L447" i="2" s="1"/>
  <c r="I446" i="2"/>
  <c r="D554" i="2"/>
  <c r="L554" i="2" s="1"/>
  <c r="I553" i="2"/>
  <c r="D117" i="2"/>
  <c r="L117" i="2" s="1"/>
  <c r="I116" i="2"/>
  <c r="I468" i="2"/>
  <c r="D469" i="2"/>
  <c r="L469" i="2" s="1"/>
  <c r="D126" i="2"/>
  <c r="L126" i="2" s="1"/>
  <c r="I125" i="2"/>
  <c r="I515" i="2"/>
  <c r="D516" i="2"/>
  <c r="L516" i="2" s="1"/>
  <c r="I368" i="2"/>
  <c r="D369" i="2"/>
  <c r="L369" i="2" s="1"/>
  <c r="D102" i="2"/>
  <c r="L102" i="2" s="1"/>
  <c r="I101" i="2"/>
  <c r="D41" i="2"/>
  <c r="L41" i="2" s="1"/>
  <c r="I40" i="2"/>
  <c r="I544" i="2"/>
  <c r="D545" i="2"/>
  <c r="L545" i="2" s="1"/>
  <c r="I86" i="2"/>
  <c r="D87" i="2"/>
  <c r="L87" i="2" s="1"/>
  <c r="I298" i="2"/>
  <c r="D299" i="2"/>
  <c r="L299" i="2" s="1"/>
  <c r="D300" i="2"/>
  <c r="L300" i="2" s="1"/>
  <c r="I299" i="2"/>
  <c r="D108" i="2"/>
  <c r="L108" i="2" s="1"/>
  <c r="I107" i="2"/>
  <c r="D194" i="2"/>
  <c r="L194" i="2" s="1"/>
  <c r="I193" i="2"/>
  <c r="D264" i="2"/>
  <c r="L264" i="2" s="1"/>
  <c r="I263" i="2"/>
  <c r="D101" i="2"/>
  <c r="L101" i="2" s="1"/>
  <c r="I100" i="2"/>
  <c r="D420" i="2"/>
  <c r="L420" i="2" s="1"/>
  <c r="I419" i="2"/>
  <c r="I322" i="2"/>
  <c r="D323" i="2"/>
  <c r="L323" i="2" s="1"/>
  <c r="D520" i="2"/>
  <c r="L520" i="2" s="1"/>
  <c r="I519" i="2"/>
  <c r="I588" i="2"/>
  <c r="D589" i="2"/>
  <c r="L589" i="2" s="1"/>
  <c r="D291" i="2"/>
  <c r="L291" i="2" s="1"/>
  <c r="I290" i="2"/>
  <c r="I167" i="2"/>
  <c r="D168" i="2"/>
  <c r="L168" i="2" s="1"/>
  <c r="D559" i="2"/>
  <c r="L559" i="2" s="1"/>
  <c r="I558" i="2"/>
  <c r="D241" i="2"/>
  <c r="L241" i="2" s="1"/>
  <c r="I240" i="2"/>
  <c r="D35" i="2"/>
  <c r="L35" i="2" s="1"/>
  <c r="I34" i="2"/>
  <c r="D534" i="2"/>
  <c r="L534" i="2" s="1"/>
  <c r="I533" i="2"/>
  <c r="D576" i="2"/>
  <c r="L576" i="2" s="1"/>
  <c r="I575" i="2"/>
  <c r="I353" i="2"/>
  <c r="D354" i="2"/>
  <c r="L354" i="2" s="1"/>
  <c r="I470" i="2"/>
  <c r="D471" i="2"/>
  <c r="L471" i="2" s="1"/>
  <c r="D148" i="2"/>
  <c r="L148" i="2" s="1"/>
  <c r="I147" i="2"/>
  <c r="I339" i="2"/>
  <c r="D340" i="2"/>
  <c r="L340" i="2" s="1"/>
  <c r="D192" i="2"/>
  <c r="L192" i="2" s="1"/>
  <c r="I191" i="2"/>
  <c r="I394" i="2"/>
  <c r="D395" i="2"/>
  <c r="L395" i="2" s="1"/>
  <c r="D91" i="2"/>
  <c r="L91" i="2" s="1"/>
  <c r="I90" i="2"/>
  <c r="D131" i="2"/>
  <c r="L131" i="2" s="1"/>
  <c r="I130" i="2"/>
  <c r="D28" i="2"/>
  <c r="L28" i="2" s="1"/>
  <c r="I27" i="2"/>
  <c r="I308" i="2"/>
  <c r="D309" i="2"/>
  <c r="L309" i="2" s="1"/>
  <c r="D391" i="2"/>
  <c r="L391" i="2" s="1"/>
  <c r="I390" i="2"/>
  <c r="I363" i="2"/>
  <c r="D364" i="2"/>
  <c r="L364" i="2" s="1"/>
  <c r="D197" i="2"/>
  <c r="L197" i="2" s="1"/>
  <c r="I196" i="2"/>
  <c r="I296" i="2"/>
  <c r="D297" i="2"/>
  <c r="L297" i="2" s="1"/>
  <c r="D456" i="2"/>
  <c r="L456" i="2" s="1"/>
  <c r="I455" i="2"/>
  <c r="I418" i="2"/>
  <c r="D419" i="2"/>
  <c r="L419" i="2" s="1"/>
  <c r="I389" i="2"/>
  <c r="D390" i="2"/>
  <c r="L390" i="2" s="1"/>
  <c r="D289" i="2"/>
  <c r="L289" i="2" s="1"/>
  <c r="I288" i="2"/>
  <c r="D465" i="2"/>
  <c r="L465" i="2" s="1"/>
  <c r="I464" i="2"/>
  <c r="D319" i="2"/>
  <c r="L319" i="2" s="1"/>
  <c r="I318" i="2"/>
  <c r="D11" i="2"/>
  <c r="L11" i="2" s="1"/>
  <c r="I10" i="2"/>
  <c r="D151" i="2"/>
  <c r="L151" i="2" s="1"/>
  <c r="I150" i="2"/>
  <c r="D597" i="2"/>
  <c r="L597" i="2" s="1"/>
  <c r="I596" i="2"/>
  <c r="D479" i="2"/>
  <c r="L479" i="2" s="1"/>
  <c r="I478" i="2"/>
  <c r="D571" i="2"/>
  <c r="L571" i="2" s="1"/>
  <c r="I570" i="2"/>
  <c r="D440" i="2"/>
  <c r="L440" i="2" s="1"/>
  <c r="I439" i="2"/>
  <c r="I481" i="2"/>
  <c r="D482" i="2"/>
  <c r="L482" i="2" s="1"/>
  <c r="D513" i="2"/>
  <c r="L513" i="2" s="1"/>
  <c r="I512" i="2"/>
  <c r="I534" i="2"/>
  <c r="D535" i="2"/>
  <c r="L535" i="2" s="1"/>
  <c r="I279" i="2"/>
  <c r="D280" i="2"/>
  <c r="L280" i="2" s="1"/>
  <c r="D314" i="2"/>
  <c r="L314" i="2" s="1"/>
  <c r="I313" i="2"/>
  <c r="D544" i="2"/>
  <c r="L544" i="2" s="1"/>
  <c r="I543" i="2"/>
  <c r="I586" i="2"/>
  <c r="D587" i="2"/>
  <c r="L587" i="2" s="1"/>
  <c r="I442" i="2"/>
  <c r="D443" i="2"/>
  <c r="L443" i="2" s="1"/>
  <c r="D414" i="2"/>
  <c r="L414" i="2" s="1"/>
  <c r="I413" i="2"/>
  <c r="D313" i="2"/>
  <c r="L313" i="2" s="1"/>
  <c r="I312" i="2"/>
  <c r="D531" i="2"/>
  <c r="L531" i="2" s="1"/>
  <c r="I530" i="2"/>
  <c r="D351" i="2"/>
  <c r="L351" i="2" s="1"/>
  <c r="I350" i="2"/>
  <c r="D55" i="2"/>
  <c r="L55" i="2" s="1"/>
  <c r="I54" i="2"/>
  <c r="I344" i="2"/>
  <c r="D345" i="2"/>
  <c r="L345" i="2" s="1"/>
  <c r="I447" i="2"/>
  <c r="D448" i="2"/>
  <c r="L448" i="2" s="1"/>
  <c r="I336" i="2"/>
  <c r="D337" i="2"/>
  <c r="L337" i="2" s="1"/>
  <c r="D74" i="2"/>
  <c r="L74" i="2" s="1"/>
  <c r="I73" i="2"/>
  <c r="D567" i="2"/>
  <c r="L567" i="2" s="1"/>
  <c r="I566" i="2"/>
  <c r="I580" i="2"/>
  <c r="D581" i="2"/>
  <c r="L581" i="2" s="1"/>
  <c r="I219" i="2"/>
  <c r="D220" i="2"/>
  <c r="L220" i="2" s="1"/>
  <c r="D569" i="2"/>
  <c r="L569" i="2" s="1"/>
  <c r="I568" i="2"/>
  <c r="I372" i="2"/>
  <c r="D373" i="2"/>
  <c r="L373" i="2" s="1"/>
  <c r="D404" i="2"/>
  <c r="L404" i="2" s="1"/>
  <c r="I403" i="2"/>
  <c r="D398" i="2"/>
  <c r="L398" i="2" s="1"/>
  <c r="I397" i="2"/>
  <c r="D397" i="2"/>
  <c r="L397" i="2" s="1"/>
  <c r="I396" i="2"/>
  <c r="D50" i="2"/>
  <c r="L50" i="2" s="1"/>
  <c r="I49" i="2"/>
  <c r="D29" i="2"/>
  <c r="L29" i="2" s="1"/>
  <c r="I28" i="2"/>
  <c r="I414" i="2"/>
  <c r="D415" i="2"/>
  <c r="L415" i="2" s="1"/>
  <c r="D421" i="2"/>
  <c r="L421" i="2" s="1"/>
  <c r="I420" i="2"/>
  <c r="D403" i="2"/>
  <c r="L403" i="2" s="1"/>
  <c r="I402" i="2"/>
  <c r="I236" i="2"/>
  <c r="D237" i="2"/>
  <c r="L237" i="2" s="1"/>
  <c r="D279" i="2"/>
  <c r="L279" i="2" s="1"/>
  <c r="I278" i="2"/>
  <c r="D326" i="2"/>
  <c r="L326" i="2" s="1"/>
  <c r="I325" i="2"/>
  <c r="I122" i="2"/>
  <c r="D123" i="2"/>
  <c r="L123" i="2" s="1"/>
  <c r="I559" i="2"/>
  <c r="D560" i="2"/>
  <c r="L560" i="2" s="1"/>
  <c r="D120" i="2"/>
  <c r="L120" i="2" s="1"/>
  <c r="I119" i="2"/>
  <c r="D568" i="2"/>
  <c r="L568" i="2" s="1"/>
  <c r="I567" i="2"/>
  <c r="I595" i="2"/>
  <c r="D596" i="2"/>
  <c r="L596" i="2" s="1"/>
  <c r="I247" i="2"/>
  <c r="D248" i="2"/>
  <c r="L248" i="2" s="1"/>
  <c r="I131" i="2"/>
  <c r="D132" i="2"/>
  <c r="L132" i="2" s="1"/>
  <c r="D230" i="2"/>
  <c r="L230" i="2" s="1"/>
  <c r="I229" i="2"/>
  <c r="I202" i="2"/>
  <c r="D203" i="2"/>
  <c r="L203" i="2" s="1"/>
  <c r="D374" i="2"/>
  <c r="L374" i="2" s="1"/>
  <c r="I373" i="2"/>
  <c r="D278" i="2"/>
  <c r="L278" i="2" s="1"/>
  <c r="I277" i="2"/>
  <c r="D590" i="2"/>
  <c r="L590" i="2" s="1"/>
  <c r="I589" i="2"/>
  <c r="D336" i="2"/>
  <c r="L336" i="2" s="1"/>
  <c r="I335" i="2"/>
  <c r="D582" i="2"/>
  <c r="L582" i="2" s="1"/>
  <c r="I581" i="2"/>
  <c r="D432" i="2"/>
  <c r="L432" i="2" s="1"/>
  <c r="I431" i="2"/>
  <c r="I264" i="2"/>
  <c r="D265" i="2"/>
  <c r="L265" i="2" s="1"/>
  <c r="D573" i="2"/>
  <c r="L573" i="2" s="1"/>
  <c r="I572" i="2"/>
  <c r="D122" i="2"/>
  <c r="L122" i="2" s="1"/>
  <c r="I121" i="2"/>
  <c r="D298" i="2"/>
  <c r="L298" i="2" s="1"/>
  <c r="I297" i="2"/>
  <c r="D599" i="2"/>
  <c r="L599" i="2" s="1"/>
  <c r="I598" i="2"/>
  <c r="I576" i="2"/>
  <c r="D577" i="2"/>
  <c r="L577" i="2" s="1"/>
  <c r="D406" i="2"/>
  <c r="L406" i="2" s="1"/>
  <c r="I405" i="2"/>
  <c r="D224" i="2"/>
  <c r="L224" i="2" s="1"/>
  <c r="I223" i="2"/>
  <c r="I521" i="2"/>
  <c r="D522" i="2"/>
  <c r="L522" i="2" s="1"/>
  <c r="I440" i="2"/>
  <c r="D441" i="2"/>
  <c r="L441" i="2" s="1"/>
  <c r="I564" i="2"/>
  <c r="D565" i="2"/>
  <c r="L565" i="2" s="1"/>
  <c r="I315" i="2"/>
  <c r="D316" i="2"/>
  <c r="L316" i="2" s="1"/>
  <c r="D329" i="2"/>
  <c r="L329" i="2" s="1"/>
  <c r="I328" i="2"/>
  <c r="D578" i="2"/>
  <c r="L578" i="2" s="1"/>
  <c r="I577" i="2"/>
  <c r="I599" i="2"/>
  <c r="D600" i="2"/>
  <c r="L600" i="2" s="1"/>
  <c r="I454" i="2"/>
  <c r="D455" i="2"/>
  <c r="L455" i="2" s="1"/>
  <c r="I425" i="2"/>
  <c r="D426" i="2"/>
  <c r="L426" i="2" s="1"/>
  <c r="D325" i="2"/>
  <c r="L325" i="2" s="1"/>
  <c r="I324" i="2"/>
  <c r="I542" i="2"/>
  <c r="D543" i="2"/>
  <c r="L543" i="2" s="1"/>
  <c r="I306" i="2"/>
  <c r="D307" i="2"/>
  <c r="L307" i="2" s="1"/>
  <c r="I248" i="2"/>
  <c r="D249" i="2"/>
  <c r="L249" i="2" s="1"/>
  <c r="M453" i="2"/>
  <c r="M228" i="2"/>
  <c r="M138" i="2"/>
  <c r="M199" i="2"/>
  <c r="M382" i="2"/>
  <c r="M283" i="2"/>
  <c r="M60" i="2"/>
  <c r="M362" i="2"/>
  <c r="M178" i="2"/>
  <c r="M423" i="2"/>
  <c r="M88" i="2"/>
  <c r="M207" i="2"/>
  <c r="M82" i="2"/>
  <c r="M243" i="2"/>
  <c r="M50" i="2"/>
  <c r="M42" i="2"/>
  <c r="M25" i="2"/>
  <c r="M32" i="2"/>
  <c r="N32" i="2" l="1"/>
  <c r="N25" i="2"/>
  <c r="N42" i="2"/>
  <c r="N50" i="2"/>
  <c r="N243" i="2"/>
  <c r="N82" i="2"/>
  <c r="N207" i="2"/>
  <c r="N88" i="2"/>
  <c r="N423" i="2"/>
  <c r="N178" i="2"/>
  <c r="N362" i="2"/>
  <c r="N60" i="2"/>
  <c r="N283" i="2"/>
  <c r="N382" i="2"/>
  <c r="N199" i="2"/>
  <c r="N138" i="2"/>
  <c r="N228" i="2"/>
  <c r="N453" i="2"/>
  <c r="P18" i="2"/>
  <c r="O10" i="2"/>
  <c r="L170" i="2"/>
  <c r="L68" i="2"/>
  <c r="L327" i="2"/>
  <c r="L218" i="2"/>
  <c r="L181" i="2"/>
  <c r="L160" i="2"/>
  <c r="L33" i="2"/>
  <c r="L141" i="2"/>
  <c r="L34" i="2"/>
  <c r="L26" i="2"/>
  <c r="P12" i="2"/>
  <c r="O45" i="2" l="1"/>
  <c r="P33" i="2"/>
  <c r="O57" i="2"/>
  <c r="O309" i="2"/>
  <c r="O30" i="2"/>
  <c r="O18" i="2"/>
  <c r="O93" i="2"/>
  <c r="O15" i="2"/>
  <c r="P10" i="2"/>
  <c r="I7" i="1" s="1"/>
  <c r="O609" i="2"/>
  <c r="O249" i="2"/>
  <c r="O81" i="2"/>
  <c r="O27" i="2"/>
  <c r="O69" i="2"/>
  <c r="O21" i="2"/>
  <c r="O129" i="2"/>
  <c r="O189" i="2"/>
  <c r="O153" i="2"/>
  <c r="O24" i="2"/>
  <c r="O117" i="2"/>
  <c r="O489" i="2"/>
  <c r="O33" i="2"/>
  <c r="O105" i="2"/>
  <c r="O12" i="2"/>
  <c r="O369" i="2"/>
  <c r="P21" i="2"/>
  <c r="P189" i="2"/>
  <c r="P249" i="2"/>
  <c r="P69" i="2"/>
  <c r="P117" i="2"/>
  <c r="P15" i="2"/>
  <c r="P153" i="2"/>
  <c r="P369" i="2"/>
  <c r="P105" i="2"/>
  <c r="P57" i="2"/>
  <c r="P27" i="2"/>
  <c r="P309" i="2"/>
  <c r="P609" i="2"/>
  <c r="P24" i="2"/>
  <c r="P129" i="2"/>
  <c r="P30" i="2"/>
  <c r="P93" i="2"/>
  <c r="P489" i="2"/>
  <c r="P81" i="2"/>
  <c r="P45" i="2"/>
  <c r="I11" i="1" l="1"/>
  <c r="I8" i="1"/>
  <c r="I15" i="1"/>
  <c r="I10" i="1"/>
  <c r="I17" i="1"/>
  <c r="I24" i="1"/>
  <c r="I9" i="1"/>
  <c r="I22" i="1"/>
  <c r="I23" i="1"/>
  <c r="I18" i="1"/>
  <c r="I26" i="1"/>
  <c r="I30" i="1"/>
  <c r="I25" i="1"/>
  <c r="I12" i="1"/>
  <c r="I21" i="1"/>
  <c r="I19" i="1"/>
  <c r="I29" i="1"/>
  <c r="I28" i="1"/>
  <c r="I20" i="1"/>
  <c r="I27" i="1"/>
  <c r="I13" i="1"/>
  <c r="I16" i="1"/>
  <c r="I14" i="1"/>
</calcChain>
</file>

<file path=xl/sharedStrings.xml><?xml version="1.0" encoding="utf-8"?>
<sst xmlns="http://schemas.openxmlformats.org/spreadsheetml/2006/main" count="276" uniqueCount="253">
  <si>
    <t>390X1</t>
  </si>
  <si>
    <t>Fecha inicio</t>
  </si>
  <si>
    <t>Fecha fin</t>
  </si>
  <si>
    <t>Tasa deposito</t>
  </si>
  <si>
    <t>Tasa ZC (cash)</t>
  </si>
  <si>
    <t>3X1</t>
  </si>
  <si>
    <t>6X1</t>
  </si>
  <si>
    <t>9X1</t>
  </si>
  <si>
    <t>13X1</t>
  </si>
  <si>
    <t>26X1</t>
  </si>
  <si>
    <t>39X1</t>
  </si>
  <si>
    <t>52X1</t>
  </si>
  <si>
    <t>65X1</t>
  </si>
  <si>
    <t>91X1</t>
  </si>
  <si>
    <t>130X1</t>
  </si>
  <si>
    <t>195X1</t>
  </si>
  <si>
    <t>260X1</t>
  </si>
  <si>
    <t>Fecha fin cupón</t>
  </si>
  <si>
    <t>Fecha ini. cupón</t>
  </si>
  <si>
    <t>NPV Flt Leg</t>
  </si>
  <si>
    <t>Valor Nominal</t>
  </si>
  <si>
    <t>Tasa swap</t>
  </si>
  <si>
    <t>Disc. Fact.</t>
  </si>
  <si>
    <t>Tasa desc.</t>
  </si>
  <si>
    <t>Fecha pago cupón</t>
  </si>
  <si>
    <t>NPV IRS</t>
  </si>
  <si>
    <t>Pago fija / Recibo Variable</t>
  </si>
  <si>
    <t>Días Venc.</t>
  </si>
  <si>
    <t>NPV Fxd Leg</t>
  </si>
  <si>
    <t>Input de Mercado</t>
  </si>
  <si>
    <t>Fecha de la curva</t>
  </si>
  <si>
    <t>Tasa de mercado</t>
  </si>
  <si>
    <t>Parte del cupón</t>
  </si>
  <si>
    <t>Tasa forward</t>
  </si>
  <si>
    <t>Nodo (días)</t>
  </si>
  <si>
    <t>Plazo en días</t>
  </si>
  <si>
    <t>Interp Lin ACT/360</t>
  </si>
  <si>
    <t>Interp exp act 360</t>
  </si>
  <si>
    <t>Interpolación por splines</t>
  </si>
  <si>
    <t>Sw</t>
  </si>
  <si>
    <t>390X2</t>
  </si>
  <si>
    <t>390X3</t>
  </si>
  <si>
    <t>390X4</t>
  </si>
  <si>
    <t>390X5</t>
  </si>
  <si>
    <t>390X6</t>
  </si>
  <si>
    <t>390X7</t>
  </si>
  <si>
    <t>390X8</t>
  </si>
  <si>
    <t>390X9</t>
  </si>
  <si>
    <t>390X10</t>
  </si>
  <si>
    <t>390X11</t>
  </si>
  <si>
    <t>390X12</t>
  </si>
  <si>
    <t>390X13</t>
  </si>
  <si>
    <t>390X14</t>
  </si>
  <si>
    <t>390X15</t>
  </si>
  <si>
    <t>390X16</t>
  </si>
  <si>
    <t>390X17</t>
  </si>
  <si>
    <t>390X18</t>
  </si>
  <si>
    <t>390X19</t>
  </si>
  <si>
    <t>390X20</t>
  </si>
  <si>
    <t>390X21</t>
  </si>
  <si>
    <t>390X22</t>
  </si>
  <si>
    <t>390X23</t>
  </si>
  <si>
    <t>390X24</t>
  </si>
  <si>
    <t>390X25</t>
  </si>
  <si>
    <t>390X26</t>
  </si>
  <si>
    <t>390X27</t>
  </si>
  <si>
    <t>390X28</t>
  </si>
  <si>
    <t>390X29</t>
  </si>
  <si>
    <t>390X30</t>
  </si>
  <si>
    <t>390X31</t>
  </si>
  <si>
    <t>390X32</t>
  </si>
  <si>
    <t>390X33</t>
  </si>
  <si>
    <t>390X34</t>
  </si>
  <si>
    <t>390X35</t>
  </si>
  <si>
    <t>390X36</t>
  </si>
  <si>
    <t>390X37</t>
  </si>
  <si>
    <t>390X38</t>
  </si>
  <si>
    <t>390X39</t>
  </si>
  <si>
    <t>390X40</t>
  </si>
  <si>
    <t>390X41</t>
  </si>
  <si>
    <t>390X42</t>
  </si>
  <si>
    <t>390X43</t>
  </si>
  <si>
    <t>390X44</t>
  </si>
  <si>
    <t>390X45</t>
  </si>
  <si>
    <t>390X46</t>
  </si>
  <si>
    <t>390X47</t>
  </si>
  <si>
    <t>390X48</t>
  </si>
  <si>
    <t>390X49</t>
  </si>
  <si>
    <t>390X50</t>
  </si>
  <si>
    <t>390X51</t>
  </si>
  <si>
    <t>390X52</t>
  </si>
  <si>
    <t>390X53</t>
  </si>
  <si>
    <t>390X54</t>
  </si>
  <si>
    <t>390X55</t>
  </si>
  <si>
    <t>390X56</t>
  </si>
  <si>
    <t>390X57</t>
  </si>
  <si>
    <t>390X58</t>
  </si>
  <si>
    <t>390X59</t>
  </si>
  <si>
    <t>390X60</t>
  </si>
  <si>
    <t>390X61</t>
  </si>
  <si>
    <t>390X62</t>
  </si>
  <si>
    <t>390X63</t>
  </si>
  <si>
    <t>390X64</t>
  </si>
  <si>
    <t>390X65</t>
  </si>
  <si>
    <t>390X66</t>
  </si>
  <si>
    <t>390X67</t>
  </si>
  <si>
    <t>390X68</t>
  </si>
  <si>
    <t>390X69</t>
  </si>
  <si>
    <t>390X70</t>
  </si>
  <si>
    <t>390X71</t>
  </si>
  <si>
    <t>390X72</t>
  </si>
  <si>
    <t>390X73</t>
  </si>
  <si>
    <t>390X74</t>
  </si>
  <si>
    <t>390X75</t>
  </si>
  <si>
    <t>390X76</t>
  </si>
  <si>
    <t>390X77</t>
  </si>
  <si>
    <t>390X78</t>
  </si>
  <si>
    <t>390X79</t>
  </si>
  <si>
    <t>390X80</t>
  </si>
  <si>
    <t>390X81</t>
  </si>
  <si>
    <t>390X82</t>
  </si>
  <si>
    <t>390X83</t>
  </si>
  <si>
    <t>390X84</t>
  </si>
  <si>
    <t>390X85</t>
  </si>
  <si>
    <t>390X86</t>
  </si>
  <si>
    <t>390X87</t>
  </si>
  <si>
    <t>390X88</t>
  </si>
  <si>
    <t>390X89</t>
  </si>
  <si>
    <t>390X90</t>
  </si>
  <si>
    <t>390X91</t>
  </si>
  <si>
    <t>390X92</t>
  </si>
  <si>
    <t>390X93</t>
  </si>
  <si>
    <t>390X94</t>
  </si>
  <si>
    <t>390X95</t>
  </si>
  <si>
    <t>390X96</t>
  </si>
  <si>
    <t>390X97</t>
  </si>
  <si>
    <t>390X98</t>
  </si>
  <si>
    <t>390X99</t>
  </si>
  <si>
    <t>390X100</t>
  </si>
  <si>
    <t>390X101</t>
  </si>
  <si>
    <t>390X102</t>
  </si>
  <si>
    <t>390X103</t>
  </si>
  <si>
    <t>390X104</t>
  </si>
  <si>
    <t>390X105</t>
  </si>
  <si>
    <t>390X106</t>
  </si>
  <si>
    <t>390X107</t>
  </si>
  <si>
    <t>390X108</t>
  </si>
  <si>
    <t>390X109</t>
  </si>
  <si>
    <t>390X110</t>
  </si>
  <si>
    <t>390X111</t>
  </si>
  <si>
    <t>390X112</t>
  </si>
  <si>
    <t>390X113</t>
  </si>
  <si>
    <t>390X114</t>
  </si>
  <si>
    <t>390X115</t>
  </si>
  <si>
    <t>390X116</t>
  </si>
  <si>
    <t>390X117</t>
  </si>
  <si>
    <t>390X118</t>
  </si>
  <si>
    <t>390X119</t>
  </si>
  <si>
    <t>390X120</t>
  </si>
  <si>
    <t>390X121</t>
  </si>
  <si>
    <t>390X122</t>
  </si>
  <si>
    <t>390X123</t>
  </si>
  <si>
    <t>390X124</t>
  </si>
  <si>
    <t>390X125</t>
  </si>
  <si>
    <t>390X126</t>
  </si>
  <si>
    <t>390X127</t>
  </si>
  <si>
    <t>390X128</t>
  </si>
  <si>
    <t>390X129</t>
  </si>
  <si>
    <t>390X130</t>
  </si>
  <si>
    <t>390X131</t>
  </si>
  <si>
    <t>390X132</t>
  </si>
  <si>
    <t>390X133</t>
  </si>
  <si>
    <t>390X134</t>
  </si>
  <si>
    <t>390X135</t>
  </si>
  <si>
    <t>390X136</t>
  </si>
  <si>
    <t>390X137</t>
  </si>
  <si>
    <t>390X138</t>
  </si>
  <si>
    <t>390X139</t>
  </si>
  <si>
    <t>390X140</t>
  </si>
  <si>
    <t>390X141</t>
  </si>
  <si>
    <t>390X142</t>
  </si>
  <si>
    <t>390X143</t>
  </si>
  <si>
    <t>390X144</t>
  </si>
  <si>
    <t>390X145</t>
  </si>
  <si>
    <t>390X146</t>
  </si>
  <si>
    <t>390X147</t>
  </si>
  <si>
    <t>390X148</t>
  </si>
  <si>
    <t>390X149</t>
  </si>
  <si>
    <t>390X150</t>
  </si>
  <si>
    <t>390X151</t>
  </si>
  <si>
    <t>390X152</t>
  </si>
  <si>
    <t>390X153</t>
  </si>
  <si>
    <t>390X154</t>
  </si>
  <si>
    <t>390X155</t>
  </si>
  <si>
    <t>390X156</t>
  </si>
  <si>
    <t>390X157</t>
  </si>
  <si>
    <t>390X158</t>
  </si>
  <si>
    <t>390X159</t>
  </si>
  <si>
    <t>390X160</t>
  </si>
  <si>
    <t>390X161</t>
  </si>
  <si>
    <t>390X162</t>
  </si>
  <si>
    <t>390X163</t>
  </si>
  <si>
    <t>390X164</t>
  </si>
  <si>
    <t>390X165</t>
  </si>
  <si>
    <t>390X166</t>
  </si>
  <si>
    <t>390X167</t>
  </si>
  <si>
    <t>390X168</t>
  </si>
  <si>
    <t>390X169</t>
  </si>
  <si>
    <t>390X170</t>
  </si>
  <si>
    <t>390X171</t>
  </si>
  <si>
    <t>390X172</t>
  </si>
  <si>
    <t>390X173</t>
  </si>
  <si>
    <t>390X174</t>
  </si>
  <si>
    <t>390X175</t>
  </si>
  <si>
    <t>390X176</t>
  </si>
  <si>
    <t>390X177</t>
  </si>
  <si>
    <t>390X178</t>
  </si>
  <si>
    <t>390X179</t>
  </si>
  <si>
    <t>390X180</t>
  </si>
  <si>
    <t>390X181</t>
  </si>
  <si>
    <t>390X182</t>
  </si>
  <si>
    <t>390X183</t>
  </si>
  <si>
    <t>390X184</t>
  </si>
  <si>
    <t>390X185</t>
  </si>
  <si>
    <t>390X186</t>
  </si>
  <si>
    <t>390X187</t>
  </si>
  <si>
    <t>390X188</t>
  </si>
  <si>
    <t>390X189</t>
  </si>
  <si>
    <t>390X190</t>
  </si>
  <si>
    <t>390X191</t>
  </si>
  <si>
    <t>390X192</t>
  </si>
  <si>
    <t>390X193</t>
  </si>
  <si>
    <t>390X194</t>
  </si>
  <si>
    <t>390X195</t>
  </si>
  <si>
    <t>390X196</t>
  </si>
  <si>
    <t>390X197</t>
  </si>
  <si>
    <t>390X198</t>
  </si>
  <si>
    <t>390X199</t>
  </si>
  <si>
    <t>390X200</t>
  </si>
  <si>
    <t>390X201</t>
  </si>
  <si>
    <t>390X202</t>
  </si>
  <si>
    <t>390X203</t>
  </si>
  <si>
    <t>390X204</t>
  </si>
  <si>
    <t>390X205</t>
  </si>
  <si>
    <t>390X206</t>
  </si>
  <si>
    <t>390X207</t>
  </si>
  <si>
    <t>390X208</t>
  </si>
  <si>
    <t>390X209</t>
  </si>
  <si>
    <t>390X210</t>
  </si>
  <si>
    <t>390X211</t>
  </si>
  <si>
    <t>days</t>
  </si>
  <si>
    <t>months</t>
  </si>
  <si>
    <t>Fecha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</si>
</sst>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7" formatCode="&quot;$&quot;#,##0.00;\-&quot;$&quot;#,##0.00"/>
    <numFmt numFmtId="8" formatCode="&quot;$&quot;#,##0.00;[Red]\-&quot;$&quot;#,##0.00"/>
    <numFmt numFmtId="164" formatCode="#,##0.0000"/>
    <numFmt numFmtId="165" formatCode="#,##0.00000"/>
    <numFmt numFmtId="166" formatCode="0.0000%"/>
    <numFmt numFmtId="167" formatCode="#,##0.000000"/>
    <numFmt numFmtId="168" formatCode="#,##0.0000000"/>
    <numFmt numFmtId="169" formatCode="#,##0.00000000"/>
    <numFmt numFmtId="170" formatCode="_(* #,##0.0000000_);_(* \(#,##0.0000000\);_(* &quot;-&quot;??_);_(@_)"/>
    <numFmt numFmtId="171" formatCode="0.0000"/>
    <numFmt numFmtId="172" formatCode="0.00000%"/>
  </numFmts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</font>
    <font>
      <sz val="11"/>
      <color theme="0" tint="-4.9989318521683403E-2"/>
      <name val="Calibri"/>
      <family val="2"/>
      <scheme val="minor"/>
    </font>
    <font>
      <b/>
      <i/>
      <sz val="10"/>
      <name val="Arial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2" fillId="0" borderId="0"/>
    <xf numFmtId="0" fontId="1" fillId="0" borderId="0"/>
  </cellStyleXfs>
  <cellXfs count="59">
    <xf numFmtId="0" fontId="0" fillId="0" borderId="0" xfId="0"/>
    <xf numFmtId="0" fontId="3" fillId="0" borderId="1" xfId="1" applyFont="1" applyBorder="1" applyAlignment="1">
      <alignment horizontal="center"/>
    </xf>
    <xf numFmtId="0" fontId="0" fillId="0" borderId="0" xfId="1" applyFont="1" applyBorder="1" applyAlignment="1">
      <alignment horizontal="center"/>
    </xf>
    <xf numFmtId="0" fontId="0" fillId="0" borderId="0" xfId="1" applyFont="1" applyAlignment="1">
      <alignment horizontal="center"/>
    </xf>
    <xf numFmtId="15" fontId="0" fillId="0" borderId="0" xfId="1" applyNumberFormat="1" applyFont="1"/>
    <xf numFmtId="0" fontId="3" fillId="0" borderId="1" xfId="1" applyFont="1" applyFill="1" applyBorder="1" applyAlignment="1">
      <alignment horizontal="center"/>
    </xf>
    <xf numFmtId="4" fontId="0" fillId="0" borderId="0" xfId="1" applyNumberFormat="1" applyFont="1" applyFill="1"/>
    <xf numFmtId="168" fontId="0" fillId="0" borderId="0" xfId="1" applyNumberFormat="1" applyFont="1" applyFill="1"/>
    <xf numFmtId="8" fontId="0" fillId="0" borderId="0" xfId="1" applyNumberFormat="1" applyFont="1" applyFill="1"/>
    <xf numFmtId="167" fontId="0" fillId="0" borderId="0" xfId="1" applyNumberFormat="1" applyFont="1" applyFill="1" applyAlignment="1">
      <alignment horizontal="center"/>
    </xf>
    <xf numFmtId="167" fontId="0" fillId="0" borderId="0" xfId="1" applyNumberFormat="1" applyFont="1" applyFill="1"/>
    <xf numFmtId="169" fontId="0" fillId="0" borderId="0" xfId="1" applyNumberFormat="1" applyFont="1" applyAlignment="1">
      <alignment horizontal="center"/>
    </xf>
    <xf numFmtId="165" fontId="0" fillId="0" borderId="0" xfId="1" applyNumberFormat="1" applyFont="1" applyFill="1"/>
    <xf numFmtId="164" fontId="0" fillId="0" borderId="0" xfId="1" applyNumberFormat="1" applyFont="1" applyAlignment="1">
      <alignment horizontal="center"/>
    </xf>
    <xf numFmtId="0" fontId="3" fillId="0" borderId="0" xfId="1" applyFont="1" applyFill="1" applyBorder="1" applyAlignment="1">
      <alignment horizontal="center"/>
    </xf>
    <xf numFmtId="15" fontId="0" fillId="0" borderId="1" xfId="1" applyNumberFormat="1" applyFont="1" applyFill="1" applyBorder="1" applyAlignment="1">
      <alignment horizontal="center"/>
    </xf>
    <xf numFmtId="10" fontId="7" fillId="2" borderId="0" xfId="0" applyNumberFormat="1" applyFont="1" applyFill="1"/>
    <xf numFmtId="10" fontId="7" fillId="3" borderId="0" xfId="0" applyNumberFormat="1" applyFont="1" applyFill="1"/>
    <xf numFmtId="2" fontId="7" fillId="3" borderId="0" xfId="0" applyNumberFormat="1" applyFont="1" applyFill="1"/>
    <xf numFmtId="1" fontId="7" fillId="2" borderId="0" xfId="0" applyNumberFormat="1" applyFont="1" applyFill="1"/>
    <xf numFmtId="1" fontId="7" fillId="3" borderId="0" xfId="0" applyNumberFormat="1" applyFont="1" applyFill="1"/>
    <xf numFmtId="14" fontId="0" fillId="0" borderId="1" xfId="1" applyNumberFormat="1" applyFont="1" applyBorder="1" applyAlignment="1">
      <alignment horizontal="center"/>
    </xf>
    <xf numFmtId="0" fontId="8" fillId="0" borderId="2" xfId="1" applyFont="1" applyBorder="1" applyAlignment="1">
      <alignment horizontal="center"/>
    </xf>
    <xf numFmtId="0" fontId="8" fillId="0" borderId="3" xfId="1" applyFont="1" applyBorder="1" applyAlignment="1">
      <alignment horizontal="center"/>
    </xf>
    <xf numFmtId="0" fontId="8" fillId="0" borderId="3" xfId="1" applyFont="1" applyFill="1" applyBorder="1" applyAlignment="1">
      <alignment horizontal="center"/>
    </xf>
    <xf numFmtId="0" fontId="8" fillId="0" borderId="4" xfId="1" applyFont="1" applyFill="1" applyBorder="1" applyAlignment="1">
      <alignment horizontal="center"/>
    </xf>
    <xf numFmtId="0" fontId="3" fillId="0" borderId="0" xfId="0" applyFont="1"/>
    <xf numFmtId="0" fontId="7" fillId="2" borderId="0" xfId="0" applyNumberFormat="1" applyFont="1" applyFill="1"/>
    <xf numFmtId="0" fontId="0" fillId="0" borderId="0" xfId="0" applyAlignment="1">
      <alignment horizontal="center"/>
    </xf>
    <xf numFmtId="170" fontId="0" fillId="0" borderId="0" xfId="0" applyNumberFormat="1" applyFill="1" applyBorder="1" applyAlignment="1">
      <alignment horizontal="center"/>
    </xf>
    <xf numFmtId="0" fontId="2" fillId="0" borderId="0" xfId="0" applyFont="1"/>
    <xf numFmtId="7" fontId="0" fillId="0" borderId="0" xfId="0" applyNumberFormat="1"/>
    <xf numFmtId="0" fontId="1" fillId="0" borderId="0" xfId="3"/>
    <xf numFmtId="0" fontId="1" fillId="0" borderId="0" xfId="3" applyFont="1"/>
    <xf numFmtId="171" fontId="7" fillId="3" borderId="0" xfId="0" applyNumberFormat="1" applyFont="1" applyFill="1"/>
    <xf numFmtId="0" fontId="0" fillId="0" borderId="0" xfId="0" applyFill="1"/>
    <xf numFmtId="0" fontId="3" fillId="0" borderId="1" xfId="1" applyFont="1" applyFill="1" applyBorder="1" applyAlignment="1">
      <alignment horizontal="left"/>
    </xf>
    <xf numFmtId="15" fontId="0" fillId="0" borderId="1" xfId="1" applyNumberFormat="1" applyFont="1" applyFill="1" applyBorder="1" applyAlignment="1">
      <alignment horizontal="right"/>
    </xf>
    <xf numFmtId="0" fontId="3" fillId="0" borderId="1" xfId="1" applyFont="1" applyFill="1" applyBorder="1"/>
    <xf numFmtId="4" fontId="0" fillId="0" borderId="1" xfId="1" applyNumberFormat="1" applyFont="1" applyFill="1" applyBorder="1" applyAlignment="1">
      <alignment horizontal="right"/>
    </xf>
    <xf numFmtId="0" fontId="0" fillId="0" borderId="1" xfId="1" applyFont="1" applyFill="1" applyBorder="1" applyAlignment="1">
      <alignment horizontal="right"/>
    </xf>
    <xf numFmtId="0" fontId="0" fillId="0" borderId="0" xfId="1" applyFont="1" applyFill="1" applyAlignment="1">
      <alignment horizontal="center"/>
    </xf>
    <xf numFmtId="15" fontId="2" fillId="0" borderId="1" xfId="1" applyNumberFormat="1" applyFont="1" applyFill="1" applyBorder="1" applyAlignment="1">
      <alignment horizontal="center"/>
    </xf>
    <xf numFmtId="15" fontId="4" fillId="0" borderId="1" xfId="1" applyNumberFormat="1" applyFont="1" applyFill="1" applyBorder="1" applyAlignment="1">
      <alignment horizontal="center"/>
    </xf>
    <xf numFmtId="166" fontId="0" fillId="0" borderId="1" xfId="1" applyNumberFormat="1" applyFont="1" applyFill="1" applyBorder="1"/>
    <xf numFmtId="164" fontId="0" fillId="0" borderId="1" xfId="1" applyNumberFormat="1" applyFont="1" applyFill="1" applyBorder="1" applyAlignment="1">
      <alignment horizontal="center"/>
    </xf>
    <xf numFmtId="166" fontId="0" fillId="0" borderId="1" xfId="1" applyNumberFormat="1" applyFont="1" applyFill="1" applyBorder="1" applyAlignment="1">
      <alignment horizontal="center"/>
    </xf>
    <xf numFmtId="167" fontId="0" fillId="0" borderId="1" xfId="1" applyNumberFormat="1" applyFont="1" applyFill="1" applyBorder="1" applyAlignment="1">
      <alignment horizontal="center"/>
    </xf>
    <xf numFmtId="0" fontId="0" fillId="0" borderId="1" xfId="1" applyFont="1" applyFill="1" applyBorder="1" applyAlignment="1">
      <alignment horizontal="center"/>
    </xf>
    <xf numFmtId="4" fontId="0" fillId="0" borderId="1" xfId="1" applyNumberFormat="1" applyFont="1" applyFill="1" applyBorder="1" applyAlignment="1">
      <alignment horizontal="center"/>
    </xf>
    <xf numFmtId="15" fontId="5" fillId="0" borderId="1" xfId="1" applyNumberFormat="1" applyFont="1" applyFill="1" applyBorder="1" applyAlignment="1">
      <alignment horizontal="center"/>
    </xf>
    <xf numFmtId="15" fontId="0" fillId="0" borderId="0" xfId="1" applyNumberFormat="1" applyFont="1" applyFill="1"/>
    <xf numFmtId="169" fontId="0" fillId="0" borderId="0" xfId="1" applyNumberFormat="1" applyFont="1" applyFill="1" applyAlignment="1">
      <alignment horizontal="center"/>
    </xf>
    <xf numFmtId="14" fontId="9" fillId="3" borderId="0" xfId="3" applyNumberFormat="1" applyFont="1" applyFill="1"/>
    <xf numFmtId="0" fontId="2" fillId="0" borderId="0" xfId="0" applyFont="1" applyFill="1"/>
    <xf numFmtId="172" fontId="7" fillId="2" borderId="0" xfId="0" applyNumberFormat="1" applyFont="1" applyFill="1"/>
    <xf numFmtId="0" fontId="3" fillId="0" borderId="5" xfId="1" applyFont="1" applyFill="1" applyBorder="1" applyAlignment="1">
      <alignment horizontal="left"/>
    </xf>
    <xf numFmtId="15" fontId="0" fillId="0" borderId="5" xfId="1" applyNumberFormat="1" applyFont="1" applyFill="1" applyBorder="1" applyAlignment="1">
      <alignment horizontal="right"/>
    </xf>
    <xf numFmtId="14" fontId="9" fillId="2" borderId="0" xfId="3" applyNumberFormat="1" applyFont="1" applyFill="1"/>
  </cellXfs>
  <cellStyles count="4">
    <cellStyle name="_x000b_À_x000d__x0014__x0016_À_x0018__x001a_À_x001d_" xfId="1"/>
    <cellStyle name="Normal" xfId="0" builtinId="0"/>
    <cellStyle name="Normal 2" xfId="2"/>
    <cellStyle name="Normal 3" xfId="3"/>
  </cellStyles>
  <dxfs count="0"/>
  <tableStyles count="1" defaultTableStyle="TableStyleMedium2" defaultPivotStyle="PivotStyleLight16">
    <tableStyle name="Estilo de tabla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L39"/>
  <sheetViews>
    <sheetView tabSelected="1" workbookViewId="0">
      <selection activeCell="G15" sqref="G15"/>
    </sheetView>
  </sheetViews>
  <sheetFormatPr defaultRowHeight="12.75" x14ac:dyDescent="0.2"/>
  <cols>
    <col min="2" max="2" width="16.5703125" customWidth="1"/>
    <col min="3" max="3" width="17.140625" bestFit="1" customWidth="1"/>
    <col min="4" max="4" width="12.42578125" bestFit="1" customWidth="1"/>
    <col min="5" max="5" width="10.7109375" bestFit="1" customWidth="1"/>
    <col min="6" max="6" width="16.7109375" bestFit="1" customWidth="1"/>
    <col min="7" max="7" width="14.5703125" bestFit="1" customWidth="1"/>
    <col min="8" max="8" width="9.140625" customWidth="1"/>
    <col min="9" max="9" width="15.42578125" bestFit="1" customWidth="1"/>
    <col min="11" max="11" width="15.42578125" bestFit="1" customWidth="1"/>
  </cols>
  <sheetData>
    <row r="2" spans="1:12" x14ac:dyDescent="0.2">
      <c r="B2" s="1" t="s">
        <v>30</v>
      </c>
      <c r="C2" s="21">
        <v>42662</v>
      </c>
    </row>
    <row r="4" spans="1:12" x14ac:dyDescent="0.2">
      <c r="B4" s="2"/>
      <c r="C4" s="3"/>
      <c r="D4" s="3"/>
      <c r="E4" s="3"/>
      <c r="F4" s="3"/>
    </row>
    <row r="5" spans="1:12" x14ac:dyDescent="0.2">
      <c r="B5" s="22" t="s">
        <v>34</v>
      </c>
      <c r="C5" s="23" t="s">
        <v>29</v>
      </c>
      <c r="D5" s="23" t="s">
        <v>1</v>
      </c>
      <c r="E5" s="23" t="s">
        <v>2</v>
      </c>
      <c r="F5" s="23" t="s">
        <v>31</v>
      </c>
      <c r="G5" s="23" t="s">
        <v>4</v>
      </c>
      <c r="H5" s="24" t="s">
        <v>27</v>
      </c>
      <c r="I5" s="25" t="s">
        <v>25</v>
      </c>
      <c r="K5" s="14"/>
    </row>
    <row r="6" spans="1:12" ht="15" x14ac:dyDescent="0.25">
      <c r="B6" s="27">
        <v>1</v>
      </c>
      <c r="C6" s="16" t="s">
        <v>3</v>
      </c>
      <c r="D6" s="58">
        <v>42662</v>
      </c>
      <c r="E6" s="58">
        <v>42663</v>
      </c>
      <c r="F6" s="16">
        <v>4.0999999999999995E-3</v>
      </c>
      <c r="G6" s="55">
        <f>-LN(1/(1+F6*H6/360))*360/H6</f>
        <v>4.0999766529258626E-3</v>
      </c>
      <c r="H6" s="19">
        <f>E6-$C$2</f>
        <v>1</v>
      </c>
      <c r="I6" s="19"/>
      <c r="J6" s="32"/>
      <c r="K6" s="13"/>
    </row>
    <row r="7" spans="1:12" ht="15" x14ac:dyDescent="0.25">
      <c r="A7">
        <f>B6</f>
        <v>1</v>
      </c>
      <c r="B7" s="18">
        <v>28</v>
      </c>
      <c r="C7" s="17" t="s">
        <v>39</v>
      </c>
      <c r="D7" s="53">
        <v>42664</v>
      </c>
      <c r="E7" s="53">
        <v>42695</v>
      </c>
      <c r="F7" s="17">
        <v>4.0999999999999995E-3</v>
      </c>
      <c r="G7" s="17">
        <v>0.02</v>
      </c>
      <c r="H7" s="20">
        <f t="shared" ref="H7:H20" si="0">E7-$C$2</f>
        <v>33</v>
      </c>
      <c r="I7" s="34">
        <f>VLOOKUP(B7,SWAPS!A:P,16,)-VLOOKUP(B7,SWAPS!A:P,15,)</f>
        <v>-1042.9438061880055</v>
      </c>
      <c r="J7" s="32"/>
      <c r="K7" s="13"/>
    </row>
    <row r="8" spans="1:12" ht="15" x14ac:dyDescent="0.25">
      <c r="A8">
        <f t="shared" ref="A8:A30" si="1">B7</f>
        <v>28</v>
      </c>
      <c r="B8" s="18">
        <v>84</v>
      </c>
      <c r="C8" s="17" t="s">
        <v>39</v>
      </c>
      <c r="D8" s="53">
        <v>42664</v>
      </c>
      <c r="E8" s="53">
        <v>42758</v>
      </c>
      <c r="F8" s="17">
        <v>4.6800000000000001E-3</v>
      </c>
      <c r="G8" s="17">
        <v>0.02</v>
      </c>
      <c r="H8" s="20">
        <f t="shared" si="0"/>
        <v>96</v>
      </c>
      <c r="I8" s="34">
        <f>VLOOKUP(B8,SWAPS!A:P,16,)-VLOOKUP(B8,SWAPS!A:P,15,)</f>
        <v>-3567.115639341534</v>
      </c>
      <c r="J8" s="33"/>
      <c r="K8" s="13"/>
      <c r="L8" s="31"/>
    </row>
    <row r="9" spans="1:12" ht="15" x14ac:dyDescent="0.25">
      <c r="A9">
        <f t="shared" si="1"/>
        <v>84</v>
      </c>
      <c r="B9" s="18">
        <v>168</v>
      </c>
      <c r="C9" s="17" t="s">
        <v>39</v>
      </c>
      <c r="D9" s="53">
        <v>42664</v>
      </c>
      <c r="E9" s="53">
        <v>42846</v>
      </c>
      <c r="F9" s="17">
        <v>5.2199999999999998E-3</v>
      </c>
      <c r="G9" s="17">
        <v>0.02</v>
      </c>
      <c r="H9" s="20">
        <f t="shared" si="0"/>
        <v>184</v>
      </c>
      <c r="I9" s="34">
        <f>VLOOKUP(B9,SWAPS!A:P,16,)-VLOOKUP(B9,SWAPS!A:P,15,)</f>
        <v>-6867.0527102404503</v>
      </c>
      <c r="J9" s="32"/>
      <c r="K9" s="13"/>
      <c r="L9" s="31"/>
    </row>
    <row r="10" spans="1:12" ht="15" x14ac:dyDescent="0.25">
      <c r="A10">
        <f t="shared" si="1"/>
        <v>168</v>
      </c>
      <c r="B10" s="18">
        <v>252</v>
      </c>
      <c r="C10" s="17" t="s">
        <v>39</v>
      </c>
      <c r="D10" s="53">
        <v>42664</v>
      </c>
      <c r="E10" s="53">
        <v>42937</v>
      </c>
      <c r="F10" s="17">
        <v>5.5700000000000003E-3</v>
      </c>
      <c r="G10" s="17">
        <v>0.02</v>
      </c>
      <c r="H10" s="20">
        <f t="shared" si="0"/>
        <v>275</v>
      </c>
      <c r="I10" s="34">
        <f>VLOOKUP(B10,SWAPS!A:P,16,)-VLOOKUP(B10,SWAPS!A:P,15,)</f>
        <v>-10033.54887073845</v>
      </c>
      <c r="J10" s="32"/>
      <c r="K10" s="13"/>
      <c r="L10" s="31"/>
    </row>
    <row r="11" spans="1:12" ht="15" x14ac:dyDescent="0.25">
      <c r="A11">
        <f t="shared" si="1"/>
        <v>252</v>
      </c>
      <c r="B11" s="18">
        <v>336</v>
      </c>
      <c r="C11" s="17" t="s">
        <v>39</v>
      </c>
      <c r="D11" s="53">
        <v>42664</v>
      </c>
      <c r="E11" s="53">
        <v>43031</v>
      </c>
      <c r="F11" s="17">
        <v>5.8499999999999993E-3</v>
      </c>
      <c r="G11" s="17">
        <v>0.02</v>
      </c>
      <c r="H11" s="20">
        <f>E11-$C$2</f>
        <v>369</v>
      </c>
      <c r="I11" s="34">
        <f>VLOOKUP(B11,SWAPS!A:P,16,)-VLOOKUP(B11,SWAPS!A:P,15,)</f>
        <v>-13088.286238120192</v>
      </c>
      <c r="J11" s="32"/>
      <c r="K11" s="13"/>
      <c r="L11" s="31"/>
    </row>
    <row r="12" spans="1:12" ht="15" x14ac:dyDescent="0.25">
      <c r="A12">
        <f t="shared" si="1"/>
        <v>336</v>
      </c>
      <c r="B12" s="18">
        <v>420</v>
      </c>
      <c r="C12" s="17" t="s">
        <v>39</v>
      </c>
      <c r="D12" s="53">
        <v>42664</v>
      </c>
      <c r="E12" s="53">
        <v>43122</v>
      </c>
      <c r="F12" s="17">
        <v>6.0999999999999995E-3</v>
      </c>
      <c r="G12" s="17">
        <v>0.02</v>
      </c>
      <c r="H12" s="20">
        <f>E12-$C$2</f>
        <v>460</v>
      </c>
      <c r="I12" s="34">
        <f>VLOOKUP(B12,SWAPS!A:P,16,)-VLOOKUP(B12,SWAPS!A:P,15,)</f>
        <v>-16034.313336602943</v>
      </c>
      <c r="J12" s="32"/>
      <c r="K12" s="13"/>
      <c r="L12" s="31"/>
    </row>
    <row r="13" spans="1:12" ht="15" x14ac:dyDescent="0.25">
      <c r="A13">
        <f t="shared" si="1"/>
        <v>420</v>
      </c>
      <c r="B13" s="18">
        <v>504</v>
      </c>
      <c r="C13" s="17" t="s">
        <v>39</v>
      </c>
      <c r="D13" s="53">
        <v>42664</v>
      </c>
      <c r="E13" s="53">
        <v>43213</v>
      </c>
      <c r="F13" s="17">
        <v>6.3200000000000001E-3</v>
      </c>
      <c r="G13" s="17">
        <v>0.02</v>
      </c>
      <c r="H13" s="20">
        <f t="shared" si="0"/>
        <v>551</v>
      </c>
      <c r="I13" s="34">
        <f>VLOOKUP(B13,SWAPS!A:P,16,)-VLOOKUP(B13,SWAPS!A:P,15,)</f>
        <v>-18893.046829842046</v>
      </c>
      <c r="J13" s="32"/>
      <c r="K13" s="13"/>
      <c r="L13" s="31"/>
    </row>
    <row r="14" spans="1:12" ht="15" x14ac:dyDescent="0.25">
      <c r="A14">
        <f t="shared" si="1"/>
        <v>504</v>
      </c>
      <c r="B14" s="18">
        <v>588</v>
      </c>
      <c r="C14" s="17" t="s">
        <v>39</v>
      </c>
      <c r="D14" s="53">
        <v>42664</v>
      </c>
      <c r="E14" s="53">
        <v>43304</v>
      </c>
      <c r="F14" s="17">
        <v>6.5200000000000006E-3</v>
      </c>
      <c r="G14" s="17">
        <v>0.02</v>
      </c>
      <c r="H14" s="20">
        <f t="shared" si="0"/>
        <v>642</v>
      </c>
      <c r="I14" s="34">
        <f>VLOOKUP(B14,SWAPS!A:P,16,)-VLOOKUP(B14,SWAPS!A:P,15,)</f>
        <v>-21669.649972323641</v>
      </c>
      <c r="J14" s="32"/>
      <c r="K14" s="13"/>
      <c r="L14" s="31"/>
    </row>
    <row r="15" spans="1:12" ht="15" x14ac:dyDescent="0.25">
      <c r="A15">
        <f t="shared" si="1"/>
        <v>588</v>
      </c>
      <c r="B15" s="18">
        <v>672</v>
      </c>
      <c r="C15" s="17" t="s">
        <v>39</v>
      </c>
      <c r="D15" s="53">
        <v>42664</v>
      </c>
      <c r="E15" s="53">
        <v>43395</v>
      </c>
      <c r="F15" s="17">
        <v>6.7100000000000007E-3</v>
      </c>
      <c r="G15" s="17">
        <v>0.02</v>
      </c>
      <c r="H15" s="20">
        <f t="shared" si="0"/>
        <v>733</v>
      </c>
      <c r="I15" s="34">
        <f>VLOOKUP(B15,SWAPS!A:P,16,)-VLOOKUP(B15,SWAPS!A:P,15,)</f>
        <v>-24360.085895062872</v>
      </c>
      <c r="J15" s="32"/>
      <c r="K15" s="13"/>
      <c r="L15" s="31"/>
    </row>
    <row r="16" spans="1:12" ht="15" x14ac:dyDescent="0.25">
      <c r="A16">
        <f t="shared" si="1"/>
        <v>672</v>
      </c>
      <c r="B16" s="18">
        <v>1008</v>
      </c>
      <c r="C16" s="17" t="s">
        <v>39</v>
      </c>
      <c r="D16" s="53">
        <v>42664</v>
      </c>
      <c r="E16" s="53">
        <v>43759</v>
      </c>
      <c r="F16" s="17">
        <v>7.4199999999999995E-3</v>
      </c>
      <c r="G16" s="17">
        <v>0.02</v>
      </c>
      <c r="H16" s="20">
        <f t="shared" si="0"/>
        <v>1097</v>
      </c>
      <c r="I16" s="34">
        <f>VLOOKUP(B16,SWAPS!A:P,16,)-VLOOKUP(B16,SWAPS!A:P,15,)</f>
        <v>-34271.483083298132</v>
      </c>
      <c r="J16" s="32"/>
      <c r="K16" s="13"/>
      <c r="L16" s="31"/>
    </row>
    <row r="17" spans="1:12" ht="15" x14ac:dyDescent="0.25">
      <c r="A17">
        <f t="shared" si="1"/>
        <v>1008</v>
      </c>
      <c r="B17" s="18">
        <v>1344</v>
      </c>
      <c r="C17" s="17" t="s">
        <v>39</v>
      </c>
      <c r="D17" s="53">
        <v>42664</v>
      </c>
      <c r="E17" s="53">
        <v>44125</v>
      </c>
      <c r="F17" s="17">
        <v>8.1300000000000001E-3</v>
      </c>
      <c r="G17" s="17">
        <v>0.02</v>
      </c>
      <c r="H17" s="20">
        <f t="shared" si="0"/>
        <v>1463</v>
      </c>
      <c r="I17" s="34">
        <f>VLOOKUP(B17,SWAPS!A:P,16,)-VLOOKUP(B17,SWAPS!A:P,15,)</f>
        <v>-42723.291090641273</v>
      </c>
      <c r="J17" s="32"/>
      <c r="K17" s="13"/>
      <c r="L17" s="31"/>
    </row>
    <row r="18" spans="1:12" ht="15" x14ac:dyDescent="0.25">
      <c r="A18">
        <f t="shared" si="1"/>
        <v>1344</v>
      </c>
      <c r="B18" s="18">
        <v>1680</v>
      </c>
      <c r="C18" s="17" t="s">
        <v>39</v>
      </c>
      <c r="D18" s="53">
        <v>42664</v>
      </c>
      <c r="E18" s="53">
        <v>44490</v>
      </c>
      <c r="F18" s="17">
        <v>8.8599999999999998E-3</v>
      </c>
      <c r="G18" s="17">
        <v>0.02</v>
      </c>
      <c r="H18" s="20">
        <f t="shared" si="0"/>
        <v>1828</v>
      </c>
      <c r="I18" s="34">
        <f>VLOOKUP(B18,SWAPS!A:P,16,)-VLOOKUP(B18,SWAPS!A:P,15,)</f>
        <v>-49664.932886781644</v>
      </c>
      <c r="J18" s="32"/>
      <c r="K18" s="13"/>
      <c r="L18" s="31"/>
    </row>
    <row r="19" spans="1:12" ht="15" x14ac:dyDescent="0.25">
      <c r="A19">
        <f t="shared" si="1"/>
        <v>1680</v>
      </c>
      <c r="B19" s="18">
        <v>2016</v>
      </c>
      <c r="C19" s="17" t="s">
        <v>39</v>
      </c>
      <c r="D19" s="53">
        <v>42664</v>
      </c>
      <c r="E19" s="53">
        <v>44855</v>
      </c>
      <c r="F19" s="17">
        <v>9.6200000000000001E-3</v>
      </c>
      <c r="G19" s="17">
        <v>0.02</v>
      </c>
      <c r="H19" s="20">
        <f t="shared" si="0"/>
        <v>2193</v>
      </c>
      <c r="I19" s="34">
        <f>VLOOKUP(B19,SWAPS!A:P,16,)-VLOOKUP(B19,SWAPS!A:P,15,)</f>
        <v>-55030.514933246799</v>
      </c>
      <c r="J19" s="32"/>
      <c r="K19" s="13"/>
      <c r="L19" s="31"/>
    </row>
    <row r="20" spans="1:12" ht="15" x14ac:dyDescent="0.25">
      <c r="A20">
        <f t="shared" si="1"/>
        <v>2016</v>
      </c>
      <c r="B20" s="18">
        <v>2352</v>
      </c>
      <c r="C20" s="17" t="s">
        <v>39</v>
      </c>
      <c r="D20" s="53">
        <v>42664</v>
      </c>
      <c r="E20" s="53">
        <v>45222</v>
      </c>
      <c r="F20" s="17">
        <v>1.0329999999999999E-2</v>
      </c>
      <c r="G20" s="17">
        <v>0.02</v>
      </c>
      <c r="H20" s="20">
        <f t="shared" si="0"/>
        <v>2560</v>
      </c>
      <c r="I20" s="34">
        <f>VLOOKUP(B20,SWAPS!A:P,16,)-VLOOKUP(B20,SWAPS!A:P,15,)</f>
        <v>-59272.843334486359</v>
      </c>
      <c r="J20" s="32"/>
      <c r="K20" s="13"/>
      <c r="L20" s="31"/>
    </row>
    <row r="21" spans="1:12" ht="15" x14ac:dyDescent="0.25">
      <c r="A21">
        <f t="shared" si="1"/>
        <v>2352</v>
      </c>
      <c r="B21" s="18">
        <v>2688</v>
      </c>
      <c r="C21" s="17" t="s">
        <v>39</v>
      </c>
      <c r="D21" s="53">
        <v>42664</v>
      </c>
      <c r="E21" s="53">
        <v>45586</v>
      </c>
      <c r="F21" s="17">
        <v>1.098E-2</v>
      </c>
      <c r="G21" s="17">
        <v>0.02</v>
      </c>
      <c r="H21" s="20">
        <f t="shared" ref="H21:H30" si="2">E21-$C$2</f>
        <v>2924</v>
      </c>
      <c r="I21" s="34">
        <f>VLOOKUP(B21,SWAPS!A:P,16,)-VLOOKUP(B21,SWAPS!A:P,15,)</f>
        <v>-62620.882616351271</v>
      </c>
      <c r="J21" s="32"/>
      <c r="K21" s="13"/>
    </row>
    <row r="22" spans="1:12" ht="15" x14ac:dyDescent="0.25">
      <c r="A22">
        <f t="shared" si="1"/>
        <v>2688</v>
      </c>
      <c r="B22" s="18">
        <v>3024</v>
      </c>
      <c r="C22" s="17" t="s">
        <v>39</v>
      </c>
      <c r="D22" s="53">
        <v>42664</v>
      </c>
      <c r="E22" s="53">
        <v>45951</v>
      </c>
      <c r="F22" s="17">
        <v>1.1559999999999999E-2</v>
      </c>
      <c r="G22" s="17">
        <v>0.02</v>
      </c>
      <c r="H22" s="20">
        <f t="shared" si="2"/>
        <v>3289</v>
      </c>
      <c r="I22" s="34">
        <f>VLOOKUP(B22,SWAPS!A:P,16,)-VLOOKUP(B22,SWAPS!A:P,15,)</f>
        <v>-65330.012300146263</v>
      </c>
      <c r="J22" s="32"/>
      <c r="K22" s="13"/>
    </row>
    <row r="23" spans="1:12" ht="15" x14ac:dyDescent="0.25">
      <c r="A23">
        <f t="shared" si="1"/>
        <v>3024</v>
      </c>
      <c r="B23" s="18">
        <v>3360</v>
      </c>
      <c r="C23" s="17" t="s">
        <v>39</v>
      </c>
      <c r="D23" s="53">
        <v>42664</v>
      </c>
      <c r="E23" s="53">
        <v>46316</v>
      </c>
      <c r="F23" s="17">
        <v>1.208E-2</v>
      </c>
      <c r="G23" s="17">
        <v>0.02</v>
      </c>
      <c r="H23" s="20">
        <f t="shared" si="2"/>
        <v>3654</v>
      </c>
      <c r="I23" s="34">
        <f>VLOOKUP(B23,SWAPS!A:P,16,)-VLOOKUP(B23,SWAPS!A:P,15,)</f>
        <v>-67510.567180287209</v>
      </c>
      <c r="J23" s="32"/>
      <c r="K23" s="13"/>
    </row>
    <row r="24" spans="1:12" ht="15" x14ac:dyDescent="0.25">
      <c r="A24">
        <f t="shared" si="1"/>
        <v>3360</v>
      </c>
      <c r="B24" s="18">
        <v>4032</v>
      </c>
      <c r="C24" s="17" t="s">
        <v>39</v>
      </c>
      <c r="D24" s="53">
        <v>42664</v>
      </c>
      <c r="E24" s="53">
        <v>47049</v>
      </c>
      <c r="F24" s="17">
        <v>1.298E-2</v>
      </c>
      <c r="G24" s="17">
        <v>0.02</v>
      </c>
      <c r="H24" s="20">
        <f t="shared" si="2"/>
        <v>4387</v>
      </c>
      <c r="I24" s="34">
        <f>VLOOKUP(B24,SWAPS!A:P,16,)-VLOOKUP(B24,SWAPS!A:P,15,)</f>
        <v>-70541.468042107386</v>
      </c>
      <c r="J24" s="32"/>
      <c r="K24" s="13"/>
    </row>
    <row r="25" spans="1:12" ht="15" x14ac:dyDescent="0.25">
      <c r="A25">
        <f t="shared" si="1"/>
        <v>4032</v>
      </c>
      <c r="B25" s="18">
        <v>5040</v>
      </c>
      <c r="C25" s="17" t="s">
        <v>39</v>
      </c>
      <c r="D25" s="53">
        <v>42664</v>
      </c>
      <c r="E25" s="53">
        <v>48142</v>
      </c>
      <c r="F25" s="17">
        <v>1.3959999999999998E-2</v>
      </c>
      <c r="G25" s="17">
        <v>0.02</v>
      </c>
      <c r="H25" s="20">
        <f t="shared" si="2"/>
        <v>5480</v>
      </c>
      <c r="I25" s="34">
        <f>VLOOKUP(B25,SWAPS!A:P,16,)-VLOOKUP(B25,SWAPS!A:P,15,)</f>
        <v>-73885.648502066615</v>
      </c>
      <c r="J25" s="32"/>
      <c r="K25" s="13"/>
    </row>
    <row r="26" spans="1:12" ht="15" x14ac:dyDescent="0.25">
      <c r="A26">
        <f t="shared" si="1"/>
        <v>5040</v>
      </c>
      <c r="B26" s="18">
        <v>6720</v>
      </c>
      <c r="C26" s="17" t="s">
        <v>39</v>
      </c>
      <c r="D26" s="53">
        <v>42664</v>
      </c>
      <c r="E26" s="53">
        <v>49969</v>
      </c>
      <c r="F26" s="17">
        <v>1.494E-2</v>
      </c>
      <c r="G26" s="17">
        <v>0.02</v>
      </c>
      <c r="H26" s="20">
        <f t="shared" si="2"/>
        <v>7307</v>
      </c>
      <c r="I26" s="34">
        <f>VLOOKUP(B26,SWAPS!A:P,16,)-VLOOKUP(B26,SWAPS!A:P,15,)</f>
        <v>-79006.511559526727</v>
      </c>
      <c r="J26" s="32"/>
      <c r="K26" s="13"/>
    </row>
    <row r="27" spans="1:12" ht="15" x14ac:dyDescent="0.25">
      <c r="A27">
        <f t="shared" si="1"/>
        <v>6720</v>
      </c>
      <c r="B27" s="18">
        <v>8400</v>
      </c>
      <c r="C27" s="17" t="s">
        <v>39</v>
      </c>
      <c r="D27" s="53">
        <v>42664</v>
      </c>
      <c r="E27" s="53">
        <v>51795</v>
      </c>
      <c r="F27" s="17">
        <v>1.538E-2</v>
      </c>
      <c r="G27" s="17">
        <v>0.02</v>
      </c>
      <c r="H27" s="20">
        <f t="shared" si="2"/>
        <v>9133</v>
      </c>
      <c r="I27" s="34">
        <f>VLOOKUP(B27,SWAPS!A:P,16,)-VLOOKUP(B27,SWAPS!A:P,15,)</f>
        <v>-86365.174829361902</v>
      </c>
      <c r="J27" s="32"/>
      <c r="K27" s="13"/>
    </row>
    <row r="28" spans="1:12" ht="15" x14ac:dyDescent="0.25">
      <c r="A28">
        <f t="shared" si="1"/>
        <v>8400</v>
      </c>
      <c r="B28" s="18">
        <v>10080</v>
      </c>
      <c r="C28" s="17" t="s">
        <v>39</v>
      </c>
      <c r="D28" s="53">
        <v>42664</v>
      </c>
      <c r="E28" s="53">
        <v>53622</v>
      </c>
      <c r="F28" s="17">
        <f>J28/100</f>
        <v>0</v>
      </c>
      <c r="G28" s="17">
        <v>0.02</v>
      </c>
      <c r="H28" s="20">
        <f t="shared" si="2"/>
        <v>10960</v>
      </c>
      <c r="I28" s="34">
        <f>VLOOKUP(B28,SWAPS!A:P,16,)-VLOOKUP(B28,SWAPS!A:P,15,)</f>
        <v>-428790.93615119607</v>
      </c>
      <c r="J28" s="32"/>
      <c r="K28" s="13"/>
    </row>
    <row r="29" spans="1:12" ht="15" x14ac:dyDescent="0.25">
      <c r="A29">
        <f t="shared" si="1"/>
        <v>10080</v>
      </c>
      <c r="B29" s="18">
        <v>13440</v>
      </c>
      <c r="C29" s="17" t="s">
        <v>39</v>
      </c>
      <c r="D29" s="53">
        <v>42664</v>
      </c>
      <c r="E29" s="53">
        <v>57276</v>
      </c>
      <c r="F29" s="17">
        <f t="shared" ref="F29:F30" si="3">J29/100</f>
        <v>0</v>
      </c>
      <c r="G29" s="17">
        <v>0.02</v>
      </c>
      <c r="H29" s="20">
        <f t="shared" si="2"/>
        <v>14614</v>
      </c>
      <c r="I29" s="34">
        <f>VLOOKUP(B29,SWAPS!A:P,16,)-VLOOKUP(B29,SWAPS!A:P,15,)</f>
        <v>-526056.26490629325</v>
      </c>
      <c r="J29" s="32"/>
      <c r="K29" s="13"/>
    </row>
    <row r="30" spans="1:12" ht="15" x14ac:dyDescent="0.25">
      <c r="A30">
        <f t="shared" si="1"/>
        <v>13440</v>
      </c>
      <c r="B30" s="18">
        <v>16800</v>
      </c>
      <c r="C30" s="17" t="s">
        <v>39</v>
      </c>
      <c r="D30" s="53">
        <v>42664</v>
      </c>
      <c r="E30" s="53">
        <v>60926</v>
      </c>
      <c r="F30" s="17">
        <f t="shared" si="3"/>
        <v>0</v>
      </c>
      <c r="G30" s="17">
        <v>0.02</v>
      </c>
      <c r="H30" s="20">
        <f t="shared" si="2"/>
        <v>18264</v>
      </c>
      <c r="I30" s="34">
        <f>VLOOKUP(B30,SWAPS!A:P,16,)-VLOOKUP(B30,SWAPS!A:P,15,)</f>
        <v>-606759.27913141472</v>
      </c>
      <c r="J30" s="32"/>
      <c r="K30" s="13"/>
    </row>
    <row r="31" spans="1:12" x14ac:dyDescent="0.2">
      <c r="F31" s="4"/>
      <c r="G31" s="11"/>
    </row>
    <row r="32" spans="1:12" x14ac:dyDescent="0.2">
      <c r="F32" s="4"/>
      <c r="G32" s="11"/>
    </row>
    <row r="33" spans="6:7" x14ac:dyDescent="0.2">
      <c r="F33" s="4"/>
      <c r="G33" s="11"/>
    </row>
    <row r="34" spans="6:7" x14ac:dyDescent="0.2">
      <c r="F34" s="4"/>
      <c r="G34" s="11"/>
    </row>
    <row r="35" spans="6:7" x14ac:dyDescent="0.2">
      <c r="F35" s="4"/>
      <c r="G35" s="11"/>
    </row>
    <row r="36" spans="6:7" x14ac:dyDescent="0.2">
      <c r="F36" s="4"/>
      <c r="G36" s="11"/>
    </row>
    <row r="37" spans="6:7" x14ac:dyDescent="0.2">
      <c r="F37" s="4"/>
      <c r="G37" s="11"/>
    </row>
    <row r="38" spans="6:7" x14ac:dyDescent="0.2">
      <c r="F38" s="4"/>
      <c r="G38" s="11"/>
    </row>
    <row r="39" spans="6:7" x14ac:dyDescent="0.2">
      <c r="G39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AA779"/>
  <sheetViews>
    <sheetView topLeftCell="A66" workbookViewId="0">
      <selection activeCell="M13" sqref="M13"/>
    </sheetView>
  </sheetViews>
  <sheetFormatPr defaultRowHeight="12.75" x14ac:dyDescent="0.2"/>
  <cols>
    <col min="1" max="1" width="6" style="35" bestFit="1" customWidth="1"/>
    <col min="2" max="2" width="8" style="35" hidden="1" customWidth="1"/>
    <col min="3" max="3" width="7.140625" style="35" bestFit="1" customWidth="1"/>
    <col min="4" max="4" width="26" style="35" bestFit="1" customWidth="1"/>
    <col min="5" max="5" width="15.7109375" style="35" bestFit="1" customWidth="1"/>
    <col min="6" max="6" width="12.85546875" style="35" hidden="1" customWidth="1"/>
    <col min="7" max="7" width="16.85546875" style="35" hidden="1" customWidth="1"/>
    <col min="8" max="8" width="15.7109375" style="35" hidden="1" customWidth="1"/>
    <col min="9" max="9" width="18.140625" style="35" bestFit="1" customWidth="1"/>
    <col min="10" max="10" width="12.85546875" style="35" bestFit="1" customWidth="1"/>
    <col min="11" max="11" width="11.42578125" style="35" bestFit="1" customWidth="1"/>
    <col min="12" max="12" width="15.5703125" style="35" bestFit="1" customWidth="1"/>
    <col min="13" max="13" width="12.28515625" style="35" bestFit="1" customWidth="1"/>
    <col min="14" max="14" width="10.28515625" style="35" bestFit="1" customWidth="1"/>
    <col min="15" max="15" width="12.7109375" style="35" bestFit="1" customWidth="1"/>
    <col min="16" max="16" width="12.85546875" style="35" bestFit="1" customWidth="1"/>
    <col min="17" max="16384" width="9.140625" style="35"/>
  </cols>
  <sheetData>
    <row r="3" spans="1:27" x14ac:dyDescent="0.2">
      <c r="D3" s="56"/>
      <c r="E3" s="57"/>
    </row>
    <row r="4" spans="1:27" x14ac:dyDescent="0.2">
      <c r="D4" s="36" t="s">
        <v>252</v>
      </c>
      <c r="E4" s="37">
        <f>CURVA!C2</f>
        <v>42662</v>
      </c>
    </row>
    <row r="5" spans="1:27" x14ac:dyDescent="0.2">
      <c r="D5" s="38" t="s">
        <v>20</v>
      </c>
      <c r="E5" s="39">
        <v>1000000</v>
      </c>
    </row>
    <row r="6" spans="1:27" x14ac:dyDescent="0.2">
      <c r="D6" s="38" t="s">
        <v>26</v>
      </c>
      <c r="E6" s="40">
        <v>1</v>
      </c>
    </row>
    <row r="9" spans="1:27" x14ac:dyDescent="0.2">
      <c r="A9" s="54" t="s">
        <v>250</v>
      </c>
      <c r="C9" s="54" t="s">
        <v>251</v>
      </c>
      <c r="D9" s="5" t="s">
        <v>18</v>
      </c>
      <c r="E9" s="5" t="s">
        <v>17</v>
      </c>
      <c r="F9" s="5"/>
      <c r="G9" s="5"/>
      <c r="H9" s="5"/>
      <c r="I9" s="5" t="s">
        <v>24</v>
      </c>
      <c r="J9" s="5" t="s">
        <v>33</v>
      </c>
      <c r="K9" s="5" t="s">
        <v>21</v>
      </c>
      <c r="L9" s="5" t="s">
        <v>32</v>
      </c>
      <c r="M9" s="5" t="s">
        <v>23</v>
      </c>
      <c r="N9" s="5" t="s">
        <v>22</v>
      </c>
      <c r="O9" s="5" t="s">
        <v>19</v>
      </c>
      <c r="P9" s="5" t="s">
        <v>28</v>
      </c>
    </row>
    <row r="10" spans="1:27" x14ac:dyDescent="0.2">
      <c r="A10" s="41">
        <f>C10*28</f>
        <v>28</v>
      </c>
      <c r="C10" s="41">
        <v>1</v>
      </c>
      <c r="D10" s="15">
        <f>E4</f>
        <v>42662</v>
      </c>
      <c r="E10" s="42">
        <f>$E$4+28*C10</f>
        <v>42690</v>
      </c>
      <c r="F10" s="42"/>
      <c r="G10" s="42"/>
      <c r="H10" s="42"/>
      <c r="I10" s="43">
        <f t="shared" ref="I10:I73" si="0">E10</f>
        <v>42690</v>
      </c>
      <c r="J10" s="44">
        <f>forward($E$4,D10,E10,CURVA!$H$6:H20,CURVA!$G$6:G20)</f>
        <v>1.7527557765941091E-2</v>
      </c>
      <c r="K10" s="44">
        <f>CURVA!F7</f>
        <v>4.0999999999999995E-3</v>
      </c>
      <c r="L10" s="45">
        <f>(E10-D10)/360</f>
        <v>7.7777777777777779E-2</v>
      </c>
      <c r="M10" s="46">
        <f>interpola(E10-$E$4,CURVA!$H$6:$H$20,CURVA!$G$6:$G$20)</f>
        <v>1.7515621352019665E-2</v>
      </c>
      <c r="N10" s="47">
        <f>EXP(-M10*(E10-$E$4)/360)</f>
        <v>0.99863860143979721</v>
      </c>
      <c r="O10" s="48">
        <f>IF(K10="","",SUMPRODUCT($J$10:J10,$L$10:L10,$N$10:N10)*$E$5)</f>
        <v>1361.3985602026964</v>
      </c>
      <c r="P10" s="48">
        <f>IF(K10="","",SUMPRODUCT($L$10:L10,$N$10:N10)*$K10*$E$5)</f>
        <v>318.45475401469088</v>
      </c>
      <c r="Q10" s="6"/>
      <c r="R10" s="12"/>
      <c r="S10" s="7"/>
      <c r="T10" s="8"/>
      <c r="U10" s="8"/>
      <c r="V10" s="9"/>
      <c r="W10" s="9"/>
      <c r="X10" s="10"/>
      <c r="Y10" s="8"/>
      <c r="Z10" s="8"/>
      <c r="AA10" s="9"/>
    </row>
    <row r="11" spans="1:27" x14ac:dyDescent="0.2">
      <c r="A11" s="41">
        <f t="shared" ref="A11:A74" si="1">C11*28</f>
        <v>56</v>
      </c>
      <c r="C11" s="41">
        <v>2</v>
      </c>
      <c r="D11" s="15">
        <f>E10</f>
        <v>42690</v>
      </c>
      <c r="E11" s="42">
        <f>$E$4+28*C11</f>
        <v>42718</v>
      </c>
      <c r="F11" s="42"/>
      <c r="G11" s="42"/>
      <c r="H11" s="15"/>
      <c r="I11" s="43">
        <f t="shared" si="0"/>
        <v>42718</v>
      </c>
      <c r="J11" s="44">
        <f>forward($E$4,D11,E11,CURVA!$H$6:H21,CURVA!$G$6:G21)</f>
        <v>2.2504050285588724E-2</v>
      </c>
      <c r="K11" s="44" t="str">
        <f>IFERROR(VLOOKUP(A11,CURVA!$B$8:$F$30,5,0),"")</f>
        <v/>
      </c>
      <c r="L11" s="45">
        <f t="shared" ref="L11:L74" si="2">(E11-D11)/360</f>
        <v>7.7777777777777779E-2</v>
      </c>
      <c r="M11" s="46">
        <f>interpola(E11-$E$4,CURVA!$H$6:$H$20,CURVA!$G$6:$G$20)</f>
        <v>0.02</v>
      </c>
      <c r="N11" s="47">
        <f t="shared" ref="N11:N74" si="3">EXP(-M11*(E11-$E$4)/360)</f>
        <v>0.99689372338021565</v>
      </c>
      <c r="O11" s="48"/>
      <c r="P11" s="48"/>
      <c r="Q11" s="6"/>
      <c r="R11" s="12"/>
      <c r="S11" s="7"/>
      <c r="T11" s="8"/>
      <c r="U11" s="8"/>
      <c r="V11" s="9"/>
      <c r="W11" s="9"/>
      <c r="X11" s="10"/>
      <c r="Y11" s="8"/>
      <c r="Z11" s="8"/>
      <c r="AA11" s="9"/>
    </row>
    <row r="12" spans="1:27" x14ac:dyDescent="0.2">
      <c r="A12" s="41">
        <f t="shared" si="1"/>
        <v>84</v>
      </c>
      <c r="B12" s="41" t="s">
        <v>5</v>
      </c>
      <c r="C12" s="41">
        <v>3</v>
      </c>
      <c r="D12" s="15">
        <f>E11</f>
        <v>42718</v>
      </c>
      <c r="E12" s="42">
        <f t="shared" ref="E12:E74" si="4">$E$4+28*C12</f>
        <v>42746</v>
      </c>
      <c r="F12" s="42"/>
      <c r="G12" s="42"/>
      <c r="H12" s="15"/>
      <c r="I12" s="43">
        <f t="shared" si="0"/>
        <v>42746</v>
      </c>
      <c r="J12" s="44">
        <f>forward($E$4,D12,E12,CURVA!$H$6:H22,CURVA!$G$6:G22)</f>
        <v>2.0015563624537411E-2</v>
      </c>
      <c r="K12" s="44">
        <f>IFERROR(VLOOKUP(A12,CURVA!$B$8:$F$30,5,0),"")</f>
        <v>4.6800000000000001E-3</v>
      </c>
      <c r="L12" s="45">
        <f t="shared" si="2"/>
        <v>7.7777777777777779E-2</v>
      </c>
      <c r="M12" s="46">
        <f>interpola(E12-$E$4,CURVA!$H$6:$H$20,CURVA!$G$6:$G$20)</f>
        <v>0.02</v>
      </c>
      <c r="N12" s="47">
        <f t="shared" si="3"/>
        <v>0.9953442053036935</v>
      </c>
      <c r="O12" s="49">
        <f>IF(K12="","",SUMPRODUCT($J$10:J12,$L$10:L12,$N$10:N12)*$E$5)</f>
        <v>4655.7946963065633</v>
      </c>
      <c r="P12" s="49">
        <f>IF(K12="","",SUMPRODUCT($L$10:L12,$N$10:N12)*$K12*$E$5)</f>
        <v>1088.6790569650291</v>
      </c>
      <c r="Q12" s="6"/>
      <c r="R12" s="12"/>
      <c r="S12" s="7"/>
      <c r="T12" s="8"/>
      <c r="U12" s="8"/>
      <c r="V12" s="9"/>
      <c r="W12" s="9"/>
      <c r="X12" s="10"/>
      <c r="Y12" s="8"/>
      <c r="Z12" s="8"/>
      <c r="AA12" s="9"/>
    </row>
    <row r="13" spans="1:27" x14ac:dyDescent="0.2">
      <c r="A13" s="41">
        <f t="shared" si="1"/>
        <v>112</v>
      </c>
      <c r="C13" s="41">
        <v>4</v>
      </c>
      <c r="D13" s="15">
        <f t="shared" ref="D13:D76" si="5">E12</f>
        <v>42746</v>
      </c>
      <c r="E13" s="42">
        <f t="shared" si="4"/>
        <v>42774</v>
      </c>
      <c r="F13" s="42"/>
      <c r="G13" s="42"/>
      <c r="H13" s="15"/>
      <c r="I13" s="43">
        <f t="shared" si="0"/>
        <v>42774</v>
      </c>
      <c r="J13" s="44">
        <f>forward($E$4,D13,E13,CURVA!$H$6:H23,CURVA!$G$6:G23)</f>
        <v>2.0015563624537411E-2</v>
      </c>
      <c r="K13" s="44" t="str">
        <f>IFERROR(VLOOKUP(A13,CURVA!$B$8:$F$30,5,0),"")</f>
        <v/>
      </c>
      <c r="L13" s="45">
        <f t="shared" si="2"/>
        <v>7.7777777777777779E-2</v>
      </c>
      <c r="M13" s="46">
        <f>interpola(E13-$E$4,CURVA!$H$6:$H$20,CURVA!$G$6:$G$20)</f>
        <v>0.02</v>
      </c>
      <c r="N13" s="47">
        <f t="shared" si="3"/>
        <v>0.99379709571486985</v>
      </c>
      <c r="O13" s="49" t="str">
        <f>IF(K13="","",SUMPRODUCT($J$10:J13,$L$10:L13,$N$10:N13)*$E$5)</f>
        <v/>
      </c>
      <c r="P13" s="49" t="str">
        <f>IF(K13="","",SUMPRODUCT($L$10:L13,$N$10:N13)*$K13*$E$5)</f>
        <v/>
      </c>
      <c r="Q13" s="6"/>
      <c r="R13" s="12"/>
      <c r="S13" s="7"/>
      <c r="T13" s="8"/>
      <c r="U13" s="8"/>
      <c r="V13" s="9"/>
      <c r="W13" s="9"/>
      <c r="X13" s="10"/>
      <c r="Y13" s="8"/>
      <c r="Z13" s="8"/>
      <c r="AA13" s="9"/>
    </row>
    <row r="14" spans="1:27" x14ac:dyDescent="0.2">
      <c r="A14" s="41">
        <f t="shared" si="1"/>
        <v>140</v>
      </c>
      <c r="C14" s="41">
        <v>5</v>
      </c>
      <c r="D14" s="15">
        <f t="shared" si="5"/>
        <v>42774</v>
      </c>
      <c r="E14" s="42">
        <f t="shared" si="4"/>
        <v>42802</v>
      </c>
      <c r="F14" s="42"/>
      <c r="G14" s="42"/>
      <c r="H14" s="15"/>
      <c r="I14" s="43">
        <f t="shared" si="0"/>
        <v>42802</v>
      </c>
      <c r="J14" s="44">
        <f>forward($E$4,D14,E14,CURVA!$H$6:H24,CURVA!$G$6:G24)</f>
        <v>2.0015563624537411E-2</v>
      </c>
      <c r="K14" s="44" t="str">
        <f>IFERROR(VLOOKUP(A14,CURVA!$B$8:$F$30,5,0),"")</f>
        <v/>
      </c>
      <c r="L14" s="45">
        <f t="shared" si="2"/>
        <v>7.7777777777777779E-2</v>
      </c>
      <c r="M14" s="46">
        <f>interpola(E14-$E$4,CURVA!$H$6:$H$20,CURVA!$G$6:$G$20)</f>
        <v>0.02</v>
      </c>
      <c r="N14" s="47">
        <f t="shared" si="3"/>
        <v>0.99225239087012074</v>
      </c>
      <c r="O14" s="49" t="str">
        <f>IF(K14="","",SUMPRODUCT($J$10:J14,$L$10:L14,$N$10:N14)*$E$5)</f>
        <v/>
      </c>
      <c r="P14" s="49" t="str">
        <f>IF(K14="","",SUMPRODUCT($L$10:L14,$N$10:N14)*$K14*$E$5)</f>
        <v/>
      </c>
      <c r="Q14" s="6"/>
      <c r="R14" s="12"/>
      <c r="S14" s="7"/>
      <c r="T14" s="8"/>
      <c r="U14" s="8"/>
      <c r="V14" s="9"/>
      <c r="W14" s="9"/>
      <c r="X14" s="10"/>
      <c r="Y14" s="8"/>
      <c r="Z14" s="8"/>
      <c r="AA14" s="9"/>
    </row>
    <row r="15" spans="1:27" x14ac:dyDescent="0.2">
      <c r="A15" s="41">
        <f t="shared" si="1"/>
        <v>168</v>
      </c>
      <c r="B15" s="41" t="s">
        <v>6</v>
      </c>
      <c r="C15" s="41">
        <v>6</v>
      </c>
      <c r="D15" s="15">
        <f t="shared" si="5"/>
        <v>42802</v>
      </c>
      <c r="E15" s="42">
        <f t="shared" si="4"/>
        <v>42830</v>
      </c>
      <c r="F15" s="42"/>
      <c r="G15" s="42"/>
      <c r="H15" s="15"/>
      <c r="I15" s="43">
        <f t="shared" si="0"/>
        <v>42830</v>
      </c>
      <c r="J15" s="44">
        <f>forward($E$4,D15,E15,CURVA!$H$6:H25,CURVA!$G$6:G25)</f>
        <v>2.0015563624537411E-2</v>
      </c>
      <c r="K15" s="44">
        <f>IFERROR(VLOOKUP(A15,CURVA!$B$8:$F$30,5,0),"")</f>
        <v>5.2199999999999998E-3</v>
      </c>
      <c r="L15" s="45">
        <f t="shared" si="2"/>
        <v>7.7777777777777779E-2</v>
      </c>
      <c r="M15" s="46">
        <f>interpola(E15-$E$4,CURVA!$H$6:$H$20,CURVA!$G$6:$G$20)</f>
        <v>0.02</v>
      </c>
      <c r="N15" s="47">
        <f t="shared" si="3"/>
        <v>0.99071008703164121</v>
      </c>
      <c r="O15" s="49">
        <f>IF(K15="","",SUMPRODUCT($J$10:J15,$L$10:L15,$N$10:N15)*$E$5)</f>
        <v>9289.9129683590272</v>
      </c>
      <c r="P15" s="49">
        <f>IF(K15="","",SUMPRODUCT($L$10:L15,$N$10:N15)*$K15*$E$5)</f>
        <v>2422.8602581185769</v>
      </c>
      <c r="Q15" s="6"/>
      <c r="R15" s="12"/>
      <c r="S15" s="7"/>
      <c r="T15" s="8"/>
      <c r="U15" s="8"/>
      <c r="V15" s="9"/>
      <c r="W15" s="9"/>
      <c r="X15" s="10"/>
      <c r="Y15" s="8"/>
      <c r="Z15" s="8"/>
      <c r="AA15" s="9"/>
    </row>
    <row r="16" spans="1:27" x14ac:dyDescent="0.2">
      <c r="A16" s="41">
        <f t="shared" si="1"/>
        <v>196</v>
      </c>
      <c r="C16" s="41">
        <v>7</v>
      </c>
      <c r="D16" s="15">
        <f t="shared" si="5"/>
        <v>42830</v>
      </c>
      <c r="E16" s="42">
        <f t="shared" si="4"/>
        <v>42858</v>
      </c>
      <c r="F16" s="42"/>
      <c r="G16" s="42"/>
      <c r="H16" s="15"/>
      <c r="I16" s="43">
        <f t="shared" si="0"/>
        <v>42858</v>
      </c>
      <c r="J16" s="44">
        <f>forward($E$4,D16,E16,CURVA!$H$6:H26,CURVA!$G$6:G26)</f>
        <v>2.0015563624537411E-2</v>
      </c>
      <c r="K16" s="44" t="str">
        <f>IFERROR(VLOOKUP(A16,CURVA!$B$8:$F$30,5,0),"")</f>
        <v/>
      </c>
      <c r="L16" s="45">
        <f t="shared" si="2"/>
        <v>7.7777777777777779E-2</v>
      </c>
      <c r="M16" s="46">
        <f>interpola(E16-$E$4,CURVA!$H$6:$H$20,CURVA!$G$6:$G$20)</f>
        <v>0.02</v>
      </c>
      <c r="N16" s="47">
        <f t="shared" si="3"/>
        <v>0.98917018046743577</v>
      </c>
      <c r="O16" s="49" t="str">
        <f>IF(K16="","",SUMPRODUCT($J$10:J16,$L$10:L16,$N$10:N16)*$E$5)</f>
        <v/>
      </c>
      <c r="P16" s="49" t="str">
        <f>IF(K16="","",SUMPRODUCT($L$10:L16,$N$10:N16)*$K16*$E$5)</f>
        <v/>
      </c>
      <c r="Q16" s="6"/>
      <c r="R16" s="12"/>
      <c r="S16" s="7"/>
      <c r="T16" s="8"/>
      <c r="U16" s="8"/>
      <c r="V16" s="9"/>
      <c r="W16" s="9"/>
      <c r="X16" s="10"/>
      <c r="Y16" s="8"/>
      <c r="Z16" s="8"/>
      <c r="AA16" s="9"/>
    </row>
    <row r="17" spans="1:27" x14ac:dyDescent="0.2">
      <c r="A17" s="41">
        <f t="shared" si="1"/>
        <v>224</v>
      </c>
      <c r="C17" s="41">
        <v>8</v>
      </c>
      <c r="D17" s="15">
        <f t="shared" si="5"/>
        <v>42858</v>
      </c>
      <c r="E17" s="42">
        <f t="shared" si="4"/>
        <v>42886</v>
      </c>
      <c r="F17" s="42"/>
      <c r="G17" s="42"/>
      <c r="H17" s="15"/>
      <c r="I17" s="43">
        <f t="shared" si="0"/>
        <v>42886</v>
      </c>
      <c r="J17" s="44">
        <f>forward($E$4,D17,E17,CURVA!$H$6:H27,CURVA!$G$6:G27)</f>
        <v>2.0015563624537411E-2</v>
      </c>
      <c r="K17" s="44" t="str">
        <f>IFERROR(VLOOKUP(A17,CURVA!$B$8:$F$30,5,0),"")</f>
        <v/>
      </c>
      <c r="L17" s="45">
        <f t="shared" si="2"/>
        <v>7.7777777777777779E-2</v>
      </c>
      <c r="M17" s="46">
        <f>interpola(E17-$E$4,CURVA!$H$6:$H$20,CURVA!$G$6:$G$20)</f>
        <v>0.02</v>
      </c>
      <c r="N17" s="47">
        <f t="shared" si="3"/>
        <v>0.98763266745131029</v>
      </c>
      <c r="O17" s="49" t="str">
        <f>IF(K17="","",SUMPRODUCT($J$10:J17,$L$10:L17,$N$10:N17)*$E$5)</f>
        <v/>
      </c>
      <c r="P17" s="49" t="str">
        <f>IF(K17="","",SUMPRODUCT($L$10:L17,$N$10:N17)*$K17*$E$5)</f>
        <v/>
      </c>
      <c r="Q17" s="6"/>
      <c r="R17" s="12"/>
      <c r="S17" s="7"/>
      <c r="T17" s="8"/>
      <c r="U17" s="8"/>
      <c r="V17" s="9"/>
      <c r="W17" s="9"/>
      <c r="X17" s="10"/>
      <c r="Y17" s="8"/>
      <c r="Z17" s="8"/>
      <c r="AA17" s="9"/>
    </row>
    <row r="18" spans="1:27" x14ac:dyDescent="0.2">
      <c r="A18" s="41">
        <f t="shared" si="1"/>
        <v>252</v>
      </c>
      <c r="B18" s="41" t="s">
        <v>7</v>
      </c>
      <c r="C18" s="41">
        <v>9</v>
      </c>
      <c r="D18" s="15">
        <f>E17</f>
        <v>42886</v>
      </c>
      <c r="E18" s="42">
        <f>$E$4+28*C18</f>
        <v>42914</v>
      </c>
      <c r="F18" s="42"/>
      <c r="G18" s="42"/>
      <c r="H18" s="15"/>
      <c r="I18" s="43">
        <f t="shared" si="0"/>
        <v>42914</v>
      </c>
      <c r="J18" s="44">
        <f>forward($E$4,D18,E18,CURVA!$H$6:H28,CURVA!$G$6:G28)</f>
        <v>2.0015563624537411E-2</v>
      </c>
      <c r="K18" s="44">
        <f>IFERROR(VLOOKUP(A18,CURVA!$B$8:$F$30,5,0),"")</f>
        <v>5.5700000000000003E-3</v>
      </c>
      <c r="L18" s="45">
        <f t="shared" si="2"/>
        <v>7.7777777777777779E-2</v>
      </c>
      <c r="M18" s="46">
        <f>interpola(E18-$E$4,CURVA!$H$6:$H$20,CURVA!$G$6:$G$20)</f>
        <v>0.02</v>
      </c>
      <c r="N18" s="47">
        <f t="shared" si="3"/>
        <v>0.98609754426286189</v>
      </c>
      <c r="O18" s="49">
        <f>IF(K18="","",SUMPRODUCT($J$10:J18,$L$10:L18,$N$10:N18)*$E$5)</f>
        <v>13902.455737138414</v>
      </c>
      <c r="P18" s="49">
        <f>IF(K18="","",SUMPRODUCT($L$10:L18,$N$10:N18)*$K18*$E$5)</f>
        <v>3868.9068663999633</v>
      </c>
      <c r="Q18" s="6"/>
      <c r="R18" s="12"/>
      <c r="S18" s="7"/>
      <c r="T18" s="8"/>
      <c r="U18" s="8"/>
      <c r="V18" s="9"/>
      <c r="W18" s="9"/>
      <c r="X18" s="10"/>
      <c r="Y18" s="8"/>
      <c r="Z18" s="8"/>
      <c r="AA18" s="9"/>
    </row>
    <row r="19" spans="1:27" x14ac:dyDescent="0.2">
      <c r="A19" s="41">
        <f t="shared" si="1"/>
        <v>280</v>
      </c>
      <c r="C19" s="41">
        <v>10</v>
      </c>
      <c r="D19" s="15">
        <f>E18</f>
        <v>42914</v>
      </c>
      <c r="E19" s="42">
        <f t="shared" si="4"/>
        <v>42942</v>
      </c>
      <c r="F19" s="42"/>
      <c r="G19" s="42"/>
      <c r="H19" s="15"/>
      <c r="I19" s="43">
        <f t="shared" si="0"/>
        <v>42942</v>
      </c>
      <c r="J19" s="44">
        <f>forward($E$4,D19,E19,CURVA!$H$6:H29,CURVA!$G$6:G29)</f>
        <v>2.0015563624537411E-2</v>
      </c>
      <c r="K19" s="44" t="str">
        <f>IFERROR(VLOOKUP(A19,CURVA!$B$8:$F$30,5,0),"")</f>
        <v/>
      </c>
      <c r="L19" s="45">
        <f t="shared" si="2"/>
        <v>7.7777777777777779E-2</v>
      </c>
      <c r="M19" s="46">
        <f>interpola(E19-$E$4,CURVA!$H$6:$H$20,CURVA!$G$6:$G$20)</f>
        <v>0.02</v>
      </c>
      <c r="N19" s="47">
        <f t="shared" si="3"/>
        <v>0.98456480718747097</v>
      </c>
      <c r="O19" s="49" t="str">
        <f>IF(K19="","",SUMPRODUCT($J$10:J19,$L$10:L19,$N$10:N19)*$E$5)</f>
        <v/>
      </c>
      <c r="P19" s="49" t="str">
        <f>IF(K19="","",SUMPRODUCT($L$10:L19,$N$10:N19)*$K19*$E$5)</f>
        <v/>
      </c>
      <c r="Q19" s="6"/>
      <c r="R19" s="12"/>
      <c r="S19" s="7"/>
    </row>
    <row r="20" spans="1:27" x14ac:dyDescent="0.2">
      <c r="A20" s="41">
        <f t="shared" si="1"/>
        <v>308</v>
      </c>
      <c r="C20" s="41">
        <v>11</v>
      </c>
      <c r="D20" s="15">
        <f t="shared" si="5"/>
        <v>42942</v>
      </c>
      <c r="E20" s="42">
        <f t="shared" si="4"/>
        <v>42970</v>
      </c>
      <c r="F20" s="42"/>
      <c r="G20" s="42"/>
      <c r="H20" s="15"/>
      <c r="I20" s="43">
        <f t="shared" si="0"/>
        <v>42970</v>
      </c>
      <c r="J20" s="44">
        <f>forward($E$4,D20,E20,CURVA!$H$6:H30,CURVA!$G$6:G30)</f>
        <v>2.0015563624537411E-2</v>
      </c>
      <c r="K20" s="44" t="str">
        <f>IFERROR(VLOOKUP(A20,CURVA!$B$8:$F$30,5,0),"")</f>
        <v/>
      </c>
      <c r="L20" s="45">
        <f t="shared" si="2"/>
        <v>7.7777777777777779E-2</v>
      </c>
      <c r="M20" s="46">
        <f>interpola(E20-$E$4,CURVA!$H$6:$H$20,CURVA!$G$6:$G$20)</f>
        <v>0.02</v>
      </c>
      <c r="N20" s="47">
        <f t="shared" si="3"/>
        <v>0.9830344525162914</v>
      </c>
      <c r="O20" s="49" t="str">
        <f>IF(K20="","",SUMPRODUCT($J$10:J20,$L$10:L20,$N$10:N20)*$E$5)</f>
        <v/>
      </c>
      <c r="P20" s="49" t="str">
        <f>IF(K20="","",SUMPRODUCT($L$10:L20,$N$10:N20)*$K20*$E$5)</f>
        <v/>
      </c>
      <c r="Q20" s="6"/>
      <c r="R20" s="12"/>
      <c r="S20" s="7"/>
      <c r="AA20" s="8"/>
    </row>
    <row r="21" spans="1:27" x14ac:dyDescent="0.2">
      <c r="A21" s="41">
        <f t="shared" si="1"/>
        <v>336</v>
      </c>
      <c r="C21" s="41">
        <v>12</v>
      </c>
      <c r="D21" s="15">
        <f t="shared" si="5"/>
        <v>42970</v>
      </c>
      <c r="E21" s="42">
        <f t="shared" si="4"/>
        <v>42998</v>
      </c>
      <c r="F21" s="42"/>
      <c r="G21" s="42"/>
      <c r="H21" s="15"/>
      <c r="I21" s="43">
        <f t="shared" si="0"/>
        <v>42998</v>
      </c>
      <c r="J21" s="44">
        <f>forward($E$4,D21,E21,CURVA!$H$6:H31,CURVA!$G$6:G31)</f>
        <v>2.0015563624537411E-2</v>
      </c>
      <c r="K21" s="44">
        <f>IFERROR(VLOOKUP(A21,CURVA!$B$8:$F$30,5,0),"")</f>
        <v>5.8499999999999993E-3</v>
      </c>
      <c r="L21" s="45">
        <f t="shared" si="2"/>
        <v>7.7777777777777779E-2</v>
      </c>
      <c r="M21" s="46">
        <f>interpola(E21-$E$4,CURVA!$H$6:$H$20,CURVA!$G$6:$G$20)</f>
        <v>0.02</v>
      </c>
      <c r="N21" s="47">
        <f t="shared" si="3"/>
        <v>0.98150647654624201</v>
      </c>
      <c r="O21" s="49">
        <f>IF(K21="","",SUMPRODUCT($J$10:J21,$L$10:L21,$N$10:N21)*$E$5)</f>
        <v>18493.523453758429</v>
      </c>
      <c r="P21" s="49">
        <f>IF(K21="","",SUMPRODUCT($L$10:L21,$N$10:N21)*$K21*$E$5)</f>
        <v>5405.2372156382371</v>
      </c>
      <c r="Q21" s="6"/>
      <c r="R21" s="12"/>
      <c r="S21" s="7"/>
    </row>
    <row r="22" spans="1:27" x14ac:dyDescent="0.2">
      <c r="A22" s="41">
        <f t="shared" si="1"/>
        <v>364</v>
      </c>
      <c r="B22" s="41" t="s">
        <v>8</v>
      </c>
      <c r="C22" s="41">
        <v>13</v>
      </c>
      <c r="D22" s="15">
        <f t="shared" si="5"/>
        <v>42998</v>
      </c>
      <c r="E22" s="42">
        <f t="shared" si="4"/>
        <v>43026</v>
      </c>
      <c r="F22" s="42"/>
      <c r="G22" s="42"/>
      <c r="H22" s="15"/>
      <c r="I22" s="43">
        <f t="shared" si="0"/>
        <v>43026</v>
      </c>
      <c r="J22" s="44">
        <f>forward($E$4,D22,E22,CURVA!$H$6:H32,CURVA!$G$6:G32)</f>
        <v>2.0015563624537411E-2</v>
      </c>
      <c r="K22" s="44" t="str">
        <f>IFERROR(VLOOKUP(A22,CURVA!$B$8:$F$30,5,0),"")</f>
        <v/>
      </c>
      <c r="L22" s="45">
        <f t="shared" si="2"/>
        <v>7.7777777777777779E-2</v>
      </c>
      <c r="M22" s="46">
        <f>interpola(E22-$E$4,CURVA!$H$6:$H$20,CURVA!$G$6:$G$20)</f>
        <v>0.02</v>
      </c>
      <c r="N22" s="47">
        <f t="shared" si="3"/>
        <v>0.97998087557999747</v>
      </c>
      <c r="O22" s="49" t="str">
        <f>IF(K22="","",SUMPRODUCT($J$10:J22,$L$10:L22,$N$10:N22)*$E$5)</f>
        <v/>
      </c>
      <c r="P22" s="49" t="str">
        <f>IF(K22="","",SUMPRODUCT($L$10:L22,$N$10:N22)*$K22*$E$5)</f>
        <v/>
      </c>
      <c r="Q22" s="6"/>
      <c r="R22" s="12"/>
      <c r="S22" s="7"/>
    </row>
    <row r="23" spans="1:27" x14ac:dyDescent="0.2">
      <c r="A23" s="41">
        <f t="shared" si="1"/>
        <v>392</v>
      </c>
      <c r="C23" s="41">
        <v>14</v>
      </c>
      <c r="D23" s="15">
        <f t="shared" si="5"/>
        <v>43026</v>
      </c>
      <c r="E23" s="42">
        <f t="shared" si="4"/>
        <v>43054</v>
      </c>
      <c r="F23" s="42"/>
      <c r="G23" s="42"/>
      <c r="H23" s="15"/>
      <c r="I23" s="43">
        <f t="shared" si="0"/>
        <v>43054</v>
      </c>
      <c r="J23" s="44">
        <f>forward($E$4,D23,E23,CURVA!$H$6:H33,CURVA!$G$6:G33)</f>
        <v>2.0015563624537411E-2</v>
      </c>
      <c r="K23" s="44" t="str">
        <f>IFERROR(VLOOKUP(A23,CURVA!$B$8:$F$30,5,0),"")</f>
        <v/>
      </c>
      <c r="L23" s="45">
        <f t="shared" si="2"/>
        <v>7.7777777777777779E-2</v>
      </c>
      <c r="M23" s="46">
        <f>interpola(E23-$E$4,CURVA!$H$6:$H$20,CURVA!$G$6:$G$20)</f>
        <v>0.02</v>
      </c>
      <c r="N23" s="47">
        <f t="shared" si="3"/>
        <v>0.9784576459259795</v>
      </c>
      <c r="O23" s="49" t="str">
        <f>IF(K23="","",SUMPRODUCT($J$10:J23,$L$10:L23,$N$10:N23)*$E$5)</f>
        <v/>
      </c>
      <c r="P23" s="49" t="str">
        <f>IF(K23="","",SUMPRODUCT($L$10:L23,$N$10:N23)*$K23*$E$5)</f>
        <v/>
      </c>
      <c r="Q23" s="6"/>
      <c r="R23" s="12"/>
      <c r="S23" s="7"/>
    </row>
    <row r="24" spans="1:27" x14ac:dyDescent="0.2">
      <c r="A24" s="41">
        <f t="shared" si="1"/>
        <v>420</v>
      </c>
      <c r="C24" s="41">
        <v>15</v>
      </c>
      <c r="D24" s="15">
        <f t="shared" si="5"/>
        <v>43054</v>
      </c>
      <c r="E24" s="42">
        <f t="shared" si="4"/>
        <v>43082</v>
      </c>
      <c r="F24" s="42"/>
      <c r="G24" s="42"/>
      <c r="H24" s="15"/>
      <c r="I24" s="43">
        <f t="shared" si="0"/>
        <v>43082</v>
      </c>
      <c r="J24" s="44">
        <f>forward($E$4,D24,E24,CURVA!$H$6:H34,CURVA!$G$6:G34)</f>
        <v>2.0015563624537411E-2</v>
      </c>
      <c r="K24" s="44">
        <f>IFERROR(VLOOKUP(A24,CURVA!$B$8:$F$30,5,0),"")</f>
        <v>6.0999999999999995E-3</v>
      </c>
      <c r="L24" s="45">
        <f t="shared" si="2"/>
        <v>7.7777777777777779E-2</v>
      </c>
      <c r="M24" s="46">
        <f>interpola(E24-$E$4,CURVA!$H$6:$H$20,CURVA!$G$6:$G$20)</f>
        <v>0.02</v>
      </c>
      <c r="N24" s="47">
        <f t="shared" si="3"/>
        <v>0.97693678389834759</v>
      </c>
      <c r="O24" s="49">
        <f>IF(K24="","",SUMPRODUCT($J$10:J24,$L$10:L24,$N$10:N24)*$E$5)</f>
        <v>23063.216101653019</v>
      </c>
      <c r="P24" s="49">
        <f>IF(K24="","",SUMPRODUCT($L$10:L24,$N$10:N24)*$K24*$E$5)</f>
        <v>7028.9027650500766</v>
      </c>
      <c r="Q24" s="6"/>
      <c r="R24" s="12"/>
      <c r="S24" s="7"/>
    </row>
    <row r="25" spans="1:27" x14ac:dyDescent="0.2">
      <c r="A25" s="41">
        <f t="shared" si="1"/>
        <v>448</v>
      </c>
      <c r="C25" s="41">
        <v>16</v>
      </c>
      <c r="D25" s="15">
        <f t="shared" si="5"/>
        <v>43082</v>
      </c>
      <c r="E25" s="42">
        <f t="shared" si="4"/>
        <v>43110</v>
      </c>
      <c r="F25" s="42"/>
      <c r="G25" s="42"/>
      <c r="H25" s="15"/>
      <c r="I25" s="43">
        <f t="shared" si="0"/>
        <v>43110</v>
      </c>
      <c r="J25" s="44">
        <f>forward($E$4,D25,E25,CURVA!$H$6:H35,CURVA!$G$6:G35)</f>
        <v>2.0015563624537411E-2</v>
      </c>
      <c r="K25" s="44" t="str">
        <f>IFERROR(VLOOKUP(A25,CURVA!$B$8:$F$30,5,0),"")</f>
        <v/>
      </c>
      <c r="L25" s="45">
        <f t="shared" si="2"/>
        <v>7.7777777777777779E-2</v>
      </c>
      <c r="M25" s="46">
        <f>interpola(E25-$E$4,CURVA!$H$6:$H$20,CURVA!$G$6:$G$20)</f>
        <v>0.02</v>
      </c>
      <c r="N25" s="47">
        <f t="shared" si="3"/>
        <v>0.9754182858169903</v>
      </c>
      <c r="O25" s="49" t="str">
        <f>IF(K25="","",SUMPRODUCT($J$10:J25,$L$10:L25,$N$10:N25)*$E$5)</f>
        <v/>
      </c>
      <c r="P25" s="49" t="str">
        <f>IF(K25="","",SUMPRODUCT($L$10:L25,$N$10:N25)*$K25*$E$5)</f>
        <v/>
      </c>
      <c r="Q25" s="6"/>
      <c r="R25" s="12"/>
      <c r="S25" s="7"/>
    </row>
    <row r="26" spans="1:27" x14ac:dyDescent="0.2">
      <c r="A26" s="41">
        <f t="shared" si="1"/>
        <v>476</v>
      </c>
      <c r="C26" s="41">
        <v>17</v>
      </c>
      <c r="D26" s="15">
        <f t="shared" si="5"/>
        <v>43110</v>
      </c>
      <c r="E26" s="42">
        <f t="shared" si="4"/>
        <v>43138</v>
      </c>
      <c r="F26" s="42"/>
      <c r="G26" s="42"/>
      <c r="H26" s="15"/>
      <c r="I26" s="43">
        <f t="shared" si="0"/>
        <v>43138</v>
      </c>
      <c r="J26" s="44">
        <f>forward($E$4,D26,E26,CURVA!$H$6:H36,CURVA!$G$6:G36)</f>
        <v>2.0015563624537411E-2</v>
      </c>
      <c r="K26" s="44" t="str">
        <f>IFERROR(VLOOKUP(A26,CURVA!$B$8:$F$30,5,0),"")</f>
        <v/>
      </c>
      <c r="L26" s="45">
        <f t="shared" si="2"/>
        <v>7.7777777777777779E-2</v>
      </c>
      <c r="M26" s="46">
        <f>interpola(E26-$E$4,CURVA!$H$6:$H$20,CURVA!$G$6:$G$20)</f>
        <v>0.02</v>
      </c>
      <c r="N26" s="47">
        <f t="shared" si="3"/>
        <v>0.97390214800751673</v>
      </c>
      <c r="O26" s="49" t="str">
        <f>IF(K26="","",SUMPRODUCT($J$10:J26,$L$10:L26,$N$10:N26)*$E$5)</f>
        <v/>
      </c>
      <c r="P26" s="49" t="str">
        <f>IF(K26="","",SUMPRODUCT($L$10:L26,$N$10:N26)*$K26*$E$5)</f>
        <v/>
      </c>
      <c r="Q26" s="6"/>
      <c r="R26" s="12"/>
      <c r="S26" s="7"/>
    </row>
    <row r="27" spans="1:27" x14ac:dyDescent="0.2">
      <c r="A27" s="41">
        <f t="shared" si="1"/>
        <v>504</v>
      </c>
      <c r="C27" s="41">
        <v>18</v>
      </c>
      <c r="D27" s="15">
        <f t="shared" si="5"/>
        <v>43138</v>
      </c>
      <c r="E27" s="42">
        <f t="shared" si="4"/>
        <v>43166</v>
      </c>
      <c r="F27" s="42"/>
      <c r="G27" s="42"/>
      <c r="H27" s="15"/>
      <c r="I27" s="43">
        <f t="shared" si="0"/>
        <v>43166</v>
      </c>
      <c r="J27" s="44">
        <f>forward($E$4,D27,E27,CURVA!$H$6:H37,CURVA!$G$6:G37)</f>
        <v>2.0015563624537411E-2</v>
      </c>
      <c r="K27" s="44">
        <f>IFERROR(VLOOKUP(A27,CURVA!$B$8:$F$30,5,0),"")</f>
        <v>6.3200000000000001E-3</v>
      </c>
      <c r="L27" s="45">
        <f t="shared" si="2"/>
        <v>7.7777777777777779E-2</v>
      </c>
      <c r="M27" s="46">
        <f>interpola(E27-$E$4,CURVA!$H$6:$H$20,CURVA!$G$6:$G$20)</f>
        <v>0.02</v>
      </c>
      <c r="N27" s="47">
        <f t="shared" si="3"/>
        <v>0.97238836680124685</v>
      </c>
      <c r="O27" s="49">
        <f>IF(K27="","",SUMPRODUCT($J$10:J27,$L$10:L27,$N$10:N27)*$E$5)</f>
        <v>27611.633198753796</v>
      </c>
      <c r="P27" s="49">
        <f>IF(K27="","",SUMPRODUCT($L$10:L27,$N$10:N27)*$K27*$E$5)</f>
        <v>8718.5863689117523</v>
      </c>
      <c r="Q27" s="6"/>
      <c r="R27" s="12"/>
      <c r="S27" s="7"/>
    </row>
    <row r="28" spans="1:27" x14ac:dyDescent="0.2">
      <c r="A28" s="41">
        <f t="shared" si="1"/>
        <v>532</v>
      </c>
      <c r="C28" s="41">
        <v>19</v>
      </c>
      <c r="D28" s="15">
        <f t="shared" si="5"/>
        <v>43166</v>
      </c>
      <c r="E28" s="42">
        <f t="shared" si="4"/>
        <v>43194</v>
      </c>
      <c r="F28" s="42"/>
      <c r="G28" s="42"/>
      <c r="H28" s="15"/>
      <c r="I28" s="43">
        <f t="shared" si="0"/>
        <v>43194</v>
      </c>
      <c r="J28" s="44">
        <f>forward($E$4,D28,E28,CURVA!$H$6:H38,CURVA!$G$6:G38)</f>
        <v>2.0015563624537411E-2</v>
      </c>
      <c r="K28" s="44" t="str">
        <f>IFERROR(VLOOKUP(A28,CURVA!$B$8:$F$30,5,0),"")</f>
        <v/>
      </c>
      <c r="L28" s="45">
        <f t="shared" si="2"/>
        <v>7.7777777777777779E-2</v>
      </c>
      <c r="M28" s="46">
        <f>interpola(E28-$E$4,CURVA!$H$6:$H$20,CURVA!$G$6:$G$20)</f>
        <v>0.02</v>
      </c>
      <c r="N28" s="47">
        <f t="shared" si="3"/>
        <v>0.97087693853520329</v>
      </c>
      <c r="O28" s="49" t="str">
        <f>IF(K28="","",SUMPRODUCT($J$10:J28,$L$10:L28,$N$10:N28)*$E$5)</f>
        <v/>
      </c>
      <c r="P28" s="49" t="str">
        <f>IF(K28="","",SUMPRODUCT($L$10:L28,$N$10:N28)*$K28*$E$5)</f>
        <v/>
      </c>
      <c r="Q28" s="6"/>
      <c r="R28" s="12"/>
      <c r="S28" s="7"/>
    </row>
    <row r="29" spans="1:27" x14ac:dyDescent="0.2">
      <c r="A29" s="41">
        <f t="shared" si="1"/>
        <v>560</v>
      </c>
      <c r="C29" s="41">
        <v>20</v>
      </c>
      <c r="D29" s="15">
        <f t="shared" si="5"/>
        <v>43194</v>
      </c>
      <c r="E29" s="42">
        <f t="shared" si="4"/>
        <v>43222</v>
      </c>
      <c r="F29" s="42"/>
      <c r="G29" s="42"/>
      <c r="H29" s="15"/>
      <c r="I29" s="43">
        <f t="shared" si="0"/>
        <v>43222</v>
      </c>
      <c r="J29" s="44">
        <f>forward($E$4,D29,E29,CURVA!$H$6:H39,CURVA!$G$6:G39)</f>
        <v>2.0015563624537411E-2</v>
      </c>
      <c r="K29" s="44" t="str">
        <f>IFERROR(VLOOKUP(A29,CURVA!$B$8:$F$30,5,0),"")</f>
        <v/>
      </c>
      <c r="L29" s="45">
        <f t="shared" si="2"/>
        <v>7.7777777777777779E-2</v>
      </c>
      <c r="M29" s="46">
        <f>interpola(E29-$E$4,CURVA!$H$6:$H$20,CURVA!$G$6:$G$20)</f>
        <v>0.02</v>
      </c>
      <c r="N29" s="47">
        <f t="shared" si="3"/>
        <v>0.96936785955210192</v>
      </c>
      <c r="O29" s="49" t="str">
        <f>IF(K29="","",SUMPRODUCT($J$10:J29,$L$10:L29,$N$10:N29)*$E$5)</f>
        <v/>
      </c>
      <c r="P29" s="49" t="str">
        <f>IF(K29="","",SUMPRODUCT($L$10:L29,$N$10:N29)*$K29*$E$5)</f>
        <v/>
      </c>
      <c r="Q29" s="6"/>
      <c r="R29" s="12"/>
      <c r="S29" s="7"/>
    </row>
    <row r="30" spans="1:27" x14ac:dyDescent="0.2">
      <c r="A30" s="41">
        <f t="shared" si="1"/>
        <v>588</v>
      </c>
      <c r="C30" s="41">
        <v>21</v>
      </c>
      <c r="D30" s="15">
        <f t="shared" si="5"/>
        <v>43222</v>
      </c>
      <c r="E30" s="42">
        <f t="shared" si="4"/>
        <v>43250</v>
      </c>
      <c r="F30" s="42"/>
      <c r="G30" s="42"/>
      <c r="H30" s="15"/>
      <c r="I30" s="43">
        <f t="shared" si="0"/>
        <v>43250</v>
      </c>
      <c r="J30" s="44">
        <f>forward($E$4,D30,E30,CURVA!$H$6:H40,CURVA!$G$6:G40)</f>
        <v>2.0015563624537411E-2</v>
      </c>
      <c r="K30" s="44">
        <f>IFERROR(VLOOKUP(A30,CURVA!$B$8:$F$30,5,0),"")</f>
        <v>6.5200000000000006E-3</v>
      </c>
      <c r="L30" s="45">
        <f t="shared" si="2"/>
        <v>7.7777777777777779E-2</v>
      </c>
      <c r="M30" s="46">
        <f>interpola(E30-$E$4,CURVA!$H$6:$H$20,CURVA!$G$6:$G$20)</f>
        <v>0.02</v>
      </c>
      <c r="N30" s="47">
        <f t="shared" si="3"/>
        <v>0.96786112620034348</v>
      </c>
      <c r="O30" s="49">
        <f>IF(K30="","",SUMPRODUCT($J$10:J30,$L$10:L30,$N$10:N30)*$E$5)</f>
        <v>32138.873799657296</v>
      </c>
      <c r="P30" s="49">
        <f>IF(K30="","",SUMPRODUCT($L$10:L30,$N$10:N30)*$K30*$E$5)</f>
        <v>10469.223827333655</v>
      </c>
      <c r="Q30" s="6"/>
      <c r="R30" s="12"/>
      <c r="S30" s="7"/>
    </row>
    <row r="31" spans="1:27" x14ac:dyDescent="0.2">
      <c r="A31" s="41">
        <f t="shared" si="1"/>
        <v>616</v>
      </c>
      <c r="C31" s="41">
        <v>22</v>
      </c>
      <c r="D31" s="15">
        <f t="shared" si="5"/>
        <v>43250</v>
      </c>
      <c r="E31" s="42">
        <f t="shared" si="4"/>
        <v>43278</v>
      </c>
      <c r="F31" s="42"/>
      <c r="G31" s="42"/>
      <c r="H31" s="15"/>
      <c r="I31" s="43">
        <f t="shared" si="0"/>
        <v>43278</v>
      </c>
      <c r="J31" s="44">
        <f>forward($E$4,D31,E31,CURVA!$H$6:H41,CURVA!$G$6:G41)</f>
        <v>2.0015563624537411E-2</v>
      </c>
      <c r="K31" s="44" t="str">
        <f>IFERROR(VLOOKUP(A31,CURVA!$B$8:$F$30,5,0),"")</f>
        <v/>
      </c>
      <c r="L31" s="45">
        <f t="shared" si="2"/>
        <v>7.7777777777777779E-2</v>
      </c>
      <c r="M31" s="46">
        <f>interpola(E31-$E$4,CURVA!$H$6:$H$20,CURVA!$G$6:$G$20)</f>
        <v>0.02</v>
      </c>
      <c r="N31" s="47">
        <f t="shared" si="3"/>
        <v>0.96635673483400475</v>
      </c>
      <c r="O31" s="49" t="str">
        <f>IF(K31="","",SUMPRODUCT($J$10:J31,$L$10:L31,$N$10:N31)*$E$5)</f>
        <v/>
      </c>
      <c r="P31" s="49" t="str">
        <f>IF(K31="","",SUMPRODUCT($L$10:L31,$N$10:N31)*$K31*$E$5)</f>
        <v/>
      </c>
      <c r="Q31" s="6"/>
      <c r="R31" s="12"/>
      <c r="S31" s="7"/>
    </row>
    <row r="32" spans="1:27" x14ac:dyDescent="0.2">
      <c r="A32" s="41">
        <f t="shared" si="1"/>
        <v>644</v>
      </c>
      <c r="C32" s="41">
        <v>23</v>
      </c>
      <c r="D32" s="15">
        <f t="shared" si="5"/>
        <v>43278</v>
      </c>
      <c r="E32" s="42">
        <f t="shared" si="4"/>
        <v>43306</v>
      </c>
      <c r="F32" s="42"/>
      <c r="G32" s="42"/>
      <c r="H32" s="15"/>
      <c r="I32" s="43">
        <f t="shared" si="0"/>
        <v>43306</v>
      </c>
      <c r="J32" s="44">
        <f>forward($E$4,D32,E32,CURVA!$H$6:H42,CURVA!$G$6:G42)</f>
        <v>2.0015563624537411E-2</v>
      </c>
      <c r="K32" s="44" t="str">
        <f>IFERROR(VLOOKUP(A32,CURVA!$B$8:$F$30,5,0),"")</f>
        <v/>
      </c>
      <c r="L32" s="45">
        <f t="shared" si="2"/>
        <v>7.7777777777777779E-2</v>
      </c>
      <c r="M32" s="46">
        <f>interpola(E32-$E$4,CURVA!$H$6:$H$20,CURVA!$G$6:$G$20)</f>
        <v>0.02</v>
      </c>
      <c r="N32" s="47">
        <f t="shared" si="3"/>
        <v>0.96485468181282918</v>
      </c>
      <c r="O32" s="49" t="str">
        <f>IF(K32="","",SUMPRODUCT($J$10:J32,$L$10:L32,$N$10:N32)*$E$5)</f>
        <v/>
      </c>
      <c r="P32" s="49" t="str">
        <f>IF(K32="","",SUMPRODUCT($L$10:L32,$N$10:N32)*$K32*$E$5)</f>
        <v/>
      </c>
      <c r="Q32" s="6"/>
      <c r="R32" s="12"/>
      <c r="S32" s="7"/>
    </row>
    <row r="33" spans="1:19" x14ac:dyDescent="0.2">
      <c r="A33" s="41">
        <f t="shared" si="1"/>
        <v>672</v>
      </c>
      <c r="C33" s="41">
        <v>24</v>
      </c>
      <c r="D33" s="15">
        <f t="shared" si="5"/>
        <v>43306</v>
      </c>
      <c r="E33" s="42">
        <f t="shared" si="4"/>
        <v>43334</v>
      </c>
      <c r="F33" s="42"/>
      <c r="G33" s="42"/>
      <c r="H33" s="15"/>
      <c r="I33" s="43">
        <f t="shared" si="0"/>
        <v>43334</v>
      </c>
      <c r="J33" s="44">
        <f>forward($E$4,D33,E33,CURVA!$H$6:H43,CURVA!$G$6:G43)</f>
        <v>2.0015563624537411E-2</v>
      </c>
      <c r="K33" s="44">
        <f>IFERROR(VLOOKUP(A33,CURVA!$B$8:$F$30,5,0),"")</f>
        <v>6.7100000000000007E-3</v>
      </c>
      <c r="L33" s="45">
        <f t="shared" si="2"/>
        <v>7.7777777777777779E-2</v>
      </c>
      <c r="M33" s="46">
        <f>interpola(E33-$E$4,CURVA!$H$6:$H$20,CURVA!$G$6:$G$20)</f>
        <v>0.02</v>
      </c>
      <c r="N33" s="47">
        <f t="shared" si="3"/>
        <v>0.96335496350221872</v>
      </c>
      <c r="O33" s="49">
        <f>IF(K33="","",SUMPRODUCT($J$10:J33,$L$10:L33,$N$10:N33)*$E$5)</f>
        <v>36645.036497782217</v>
      </c>
      <c r="P33" s="49">
        <f>IF(K33="","",SUMPRODUCT($L$10:L33,$N$10:N33)*$K33*$E$5)</f>
        <v>12284.950602719346</v>
      </c>
      <c r="Q33" s="6"/>
      <c r="R33" s="12"/>
      <c r="S33" s="7"/>
    </row>
    <row r="34" spans="1:19" x14ac:dyDescent="0.2">
      <c r="A34" s="41">
        <f t="shared" si="1"/>
        <v>700</v>
      </c>
      <c r="C34" s="41">
        <v>25</v>
      </c>
      <c r="D34" s="15">
        <f t="shared" si="5"/>
        <v>43334</v>
      </c>
      <c r="E34" s="42">
        <f t="shared" si="4"/>
        <v>43362</v>
      </c>
      <c r="F34" s="42"/>
      <c r="G34" s="42"/>
      <c r="H34" s="15"/>
      <c r="I34" s="43">
        <f t="shared" si="0"/>
        <v>43362</v>
      </c>
      <c r="J34" s="44">
        <f>forward($E$4,D34,E34,CURVA!$H$6:H44,CURVA!$G$6:G44)</f>
        <v>2.0015563624537411E-2</v>
      </c>
      <c r="K34" s="44" t="str">
        <f>IFERROR(VLOOKUP(A34,CURVA!$B$8:$F$30,5,0),"")</f>
        <v/>
      </c>
      <c r="L34" s="45">
        <f t="shared" si="2"/>
        <v>7.7777777777777779E-2</v>
      </c>
      <c r="M34" s="46">
        <f>interpola(E34-$E$4,CURVA!$H$6:$H$20,CURVA!$G$6:$G$20)</f>
        <v>0.02</v>
      </c>
      <c r="N34" s="47">
        <f t="shared" si="3"/>
        <v>0.96185757627322455</v>
      </c>
      <c r="O34" s="49" t="str">
        <f>IF(K34="","",SUMPRODUCT($J$10:J34,$L$10:L34,$N$10:N34)*$E$5)</f>
        <v/>
      </c>
      <c r="P34" s="49" t="str">
        <f>IF(K34="","",SUMPRODUCT($L$10:L34,$N$10:N34)*$K34*$E$5)</f>
        <v/>
      </c>
      <c r="Q34" s="6"/>
      <c r="R34" s="12"/>
      <c r="S34" s="7"/>
    </row>
    <row r="35" spans="1:19" x14ac:dyDescent="0.2">
      <c r="A35" s="41">
        <f t="shared" si="1"/>
        <v>728</v>
      </c>
      <c r="B35" s="41" t="s">
        <v>9</v>
      </c>
      <c r="C35" s="41">
        <v>26</v>
      </c>
      <c r="D35" s="15">
        <f t="shared" si="5"/>
        <v>43362</v>
      </c>
      <c r="E35" s="42">
        <f t="shared" si="4"/>
        <v>43390</v>
      </c>
      <c r="F35" s="42"/>
      <c r="G35" s="42"/>
      <c r="H35" s="15"/>
      <c r="I35" s="43">
        <f t="shared" si="0"/>
        <v>43390</v>
      </c>
      <c r="J35" s="44">
        <f>forward($E$4,D35,E35,CURVA!$H$6:H45,CURVA!$G$6:G45)</f>
        <v>2.0015563624537411E-2</v>
      </c>
      <c r="K35" s="44" t="str">
        <f>IFERROR(VLOOKUP(A35,CURVA!$B$8:$F$30,5,0),"")</f>
        <v/>
      </c>
      <c r="L35" s="45">
        <f t="shared" si="2"/>
        <v>7.7777777777777779E-2</v>
      </c>
      <c r="M35" s="46">
        <f>interpola(E35-$E$4,CURVA!$H$6:$H$20,CURVA!$G$6:$G$20)</f>
        <v>0.02</v>
      </c>
      <c r="N35" s="47">
        <f t="shared" si="3"/>
        <v>0.96036251650253857</v>
      </c>
      <c r="O35" s="49" t="str">
        <f>IF(K35="","",SUMPRODUCT($J$10:J35,$L$10:L35,$N$10:N35)*$E$5)</f>
        <v/>
      </c>
      <c r="P35" s="49" t="str">
        <f>IF(K35="","",SUMPRODUCT($L$10:L35,$N$10:N35)*$K35*$E$5)</f>
        <v/>
      </c>
      <c r="Q35" s="6"/>
      <c r="R35" s="12"/>
      <c r="S35" s="7"/>
    </row>
    <row r="36" spans="1:19" x14ac:dyDescent="0.2">
      <c r="A36" s="41">
        <f t="shared" si="1"/>
        <v>756</v>
      </c>
      <c r="C36" s="41">
        <v>27</v>
      </c>
      <c r="D36" s="15">
        <f t="shared" si="5"/>
        <v>43390</v>
      </c>
      <c r="E36" s="42">
        <f t="shared" si="4"/>
        <v>43418</v>
      </c>
      <c r="F36" s="42"/>
      <c r="G36" s="42"/>
      <c r="H36" s="15"/>
      <c r="I36" s="43">
        <f t="shared" si="0"/>
        <v>43418</v>
      </c>
      <c r="J36" s="44">
        <f>forward($E$4,D36,E36,CURVA!$H$6:H46,CURVA!$G$6:G46)</f>
        <v>2.0015563624537411E-2</v>
      </c>
      <c r="K36" s="44" t="str">
        <f>IFERROR(VLOOKUP(A36,CURVA!$B$8:$F$30,5,0),"")</f>
        <v/>
      </c>
      <c r="L36" s="45">
        <f t="shared" si="2"/>
        <v>7.7777777777777779E-2</v>
      </c>
      <c r="M36" s="46">
        <f>interpola(E36-$E$4,CURVA!$H$6:$H$20,CURVA!$G$6:$G$20)</f>
        <v>0.02</v>
      </c>
      <c r="N36" s="47">
        <f t="shared" si="3"/>
        <v>0.95886978057248451</v>
      </c>
      <c r="O36" s="49" t="str">
        <f>IF(K36="","",SUMPRODUCT($J$10:J36,$L$10:L36,$N$10:N36)*$E$5)</f>
        <v/>
      </c>
      <c r="P36" s="49" t="str">
        <f>IF(K36="","",SUMPRODUCT($L$10:L36,$N$10:N36)*$K36*$E$5)</f>
        <v/>
      </c>
      <c r="Q36" s="6"/>
      <c r="R36" s="12"/>
      <c r="S36" s="7"/>
    </row>
    <row r="37" spans="1:19" x14ac:dyDescent="0.2">
      <c r="A37" s="41">
        <f t="shared" si="1"/>
        <v>784</v>
      </c>
      <c r="C37" s="41">
        <v>28</v>
      </c>
      <c r="D37" s="15">
        <f t="shared" si="5"/>
        <v>43418</v>
      </c>
      <c r="E37" s="42">
        <f t="shared" si="4"/>
        <v>43446</v>
      </c>
      <c r="F37" s="42"/>
      <c r="G37" s="42"/>
      <c r="H37" s="15"/>
      <c r="I37" s="43">
        <f t="shared" si="0"/>
        <v>43446</v>
      </c>
      <c r="J37" s="44">
        <f>forward($E$4,D37,E37,CURVA!$H$6:H47,CURVA!$G$6:G47)</f>
        <v>2.0015563624537411E-2</v>
      </c>
      <c r="K37" s="44" t="str">
        <f>IFERROR(VLOOKUP(A37,CURVA!$B$8:$F$30,5,0),"")</f>
        <v/>
      </c>
      <c r="L37" s="45">
        <f t="shared" si="2"/>
        <v>7.7777777777777779E-2</v>
      </c>
      <c r="M37" s="46">
        <f>interpola(E37-$E$4,CURVA!$H$6:$H$20,CURVA!$G$6:$G$20)</f>
        <v>0.02</v>
      </c>
      <c r="N37" s="47">
        <f t="shared" si="3"/>
        <v>0.95737936487100939</v>
      </c>
      <c r="O37" s="49" t="str">
        <f>IF(K37="","",SUMPRODUCT($J$10:J37,$L$10:L37,$N$10:N37)*$E$5)</f>
        <v/>
      </c>
      <c r="P37" s="49" t="str">
        <f>IF(K37="","",SUMPRODUCT($L$10:L37,$N$10:N37)*$K37*$E$5)</f>
        <v/>
      </c>
      <c r="Q37" s="6"/>
      <c r="R37" s="12"/>
      <c r="S37" s="7"/>
    </row>
    <row r="38" spans="1:19" x14ac:dyDescent="0.2">
      <c r="A38" s="41">
        <f t="shared" si="1"/>
        <v>812</v>
      </c>
      <c r="C38" s="41">
        <v>29</v>
      </c>
      <c r="D38" s="15">
        <f t="shared" si="5"/>
        <v>43446</v>
      </c>
      <c r="E38" s="42">
        <f t="shared" si="4"/>
        <v>43474</v>
      </c>
      <c r="F38" s="42"/>
      <c r="G38" s="42"/>
      <c r="H38" s="15"/>
      <c r="I38" s="43">
        <f t="shared" si="0"/>
        <v>43474</v>
      </c>
      <c r="J38" s="44">
        <f>forward($E$4,D38,E38,CURVA!$H$6:H48,CURVA!$G$6:G48)</f>
        <v>2.0015563624537411E-2</v>
      </c>
      <c r="K38" s="44" t="str">
        <f>IFERROR(VLOOKUP(A38,CURVA!$B$8:$F$30,5,0),"")</f>
        <v/>
      </c>
      <c r="L38" s="45">
        <f t="shared" si="2"/>
        <v>7.7777777777777779E-2</v>
      </c>
      <c r="M38" s="46">
        <f>interpola(E38-$E$4,CURVA!$H$6:$H$20,CURVA!$G$6:$G$20)</f>
        <v>0.02</v>
      </c>
      <c r="N38" s="47">
        <f t="shared" si="3"/>
        <v>0.95589126579167449</v>
      </c>
      <c r="O38" s="49" t="str">
        <f>IF(K38="","",SUMPRODUCT($J$10:J38,$L$10:L38,$N$10:N38)*$E$5)</f>
        <v/>
      </c>
      <c r="P38" s="49" t="str">
        <f>IF(K38="","",SUMPRODUCT($L$10:L38,$N$10:N38)*$K38*$E$5)</f>
        <v/>
      </c>
      <c r="Q38" s="6"/>
      <c r="R38" s="12"/>
      <c r="S38" s="7"/>
    </row>
    <row r="39" spans="1:19" x14ac:dyDescent="0.2">
      <c r="A39" s="41">
        <f t="shared" si="1"/>
        <v>840</v>
      </c>
      <c r="C39" s="41">
        <v>30</v>
      </c>
      <c r="D39" s="15">
        <f t="shared" si="5"/>
        <v>43474</v>
      </c>
      <c r="E39" s="42">
        <f t="shared" si="4"/>
        <v>43502</v>
      </c>
      <c r="F39" s="42"/>
      <c r="G39" s="42"/>
      <c r="H39" s="15"/>
      <c r="I39" s="43">
        <f t="shared" si="0"/>
        <v>43502</v>
      </c>
      <c r="J39" s="44">
        <f>forward($E$4,D39,E39,CURVA!$H$6:H49,CURVA!$G$6:G49)</f>
        <v>2.0015563624537411E-2</v>
      </c>
      <c r="K39" s="44" t="str">
        <f>IFERROR(VLOOKUP(A39,CURVA!$B$8:$F$30,5,0),"")</f>
        <v/>
      </c>
      <c r="L39" s="45">
        <f t="shared" si="2"/>
        <v>7.7777777777777779E-2</v>
      </c>
      <c r="M39" s="46">
        <f>interpola(E39-$E$4,CURVA!$H$6:$H$20,CURVA!$G$6:$G$20)</f>
        <v>0.02</v>
      </c>
      <c r="N39" s="47">
        <f t="shared" si="3"/>
        <v>0.95440547973364664</v>
      </c>
      <c r="O39" s="49" t="str">
        <f>IF(K39="","",SUMPRODUCT($J$10:J39,$L$10:L39,$N$10:N39)*$E$5)</f>
        <v/>
      </c>
      <c r="P39" s="49" t="str">
        <f>IF(K39="","",SUMPRODUCT($L$10:L39,$N$10:N39)*$K39*$E$5)</f>
        <v/>
      </c>
      <c r="Q39" s="6"/>
      <c r="R39" s="12"/>
      <c r="S39" s="7"/>
    </row>
    <row r="40" spans="1:19" x14ac:dyDescent="0.2">
      <c r="A40" s="41">
        <f t="shared" si="1"/>
        <v>868</v>
      </c>
      <c r="C40" s="41">
        <v>31</v>
      </c>
      <c r="D40" s="15">
        <f t="shared" si="5"/>
        <v>43502</v>
      </c>
      <c r="E40" s="42">
        <f t="shared" si="4"/>
        <v>43530</v>
      </c>
      <c r="F40" s="42"/>
      <c r="G40" s="42"/>
      <c r="H40" s="15"/>
      <c r="I40" s="43">
        <f t="shared" si="0"/>
        <v>43530</v>
      </c>
      <c r="J40" s="44">
        <f>forward($E$4,D40,E40,CURVA!$H$6:H50,CURVA!$G$6:G50)</f>
        <v>2.0015563624537411E-2</v>
      </c>
      <c r="K40" s="44" t="str">
        <f>IFERROR(VLOOKUP(A40,CURVA!$B$8:$F$30,5,0),"")</f>
        <v/>
      </c>
      <c r="L40" s="45">
        <f t="shared" si="2"/>
        <v>7.7777777777777779E-2</v>
      </c>
      <c r="M40" s="46">
        <f>interpola(E40-$E$4,CURVA!$H$6:$H$20,CURVA!$G$6:$G$20)</f>
        <v>0.02</v>
      </c>
      <c r="N40" s="47">
        <f t="shared" si="3"/>
        <v>0.95292200310168973</v>
      </c>
      <c r="O40" s="49" t="str">
        <f>IF(K40="","",SUMPRODUCT($J$10:J40,$L$10:L40,$N$10:N40)*$E$5)</f>
        <v/>
      </c>
      <c r="P40" s="49" t="str">
        <f>IF(K40="","",SUMPRODUCT($L$10:L40,$N$10:N40)*$K40*$E$5)</f>
        <v/>
      </c>
      <c r="Q40" s="6"/>
      <c r="R40" s="12"/>
      <c r="S40" s="7"/>
    </row>
    <row r="41" spans="1:19" x14ac:dyDescent="0.2">
      <c r="A41" s="41">
        <f t="shared" si="1"/>
        <v>896</v>
      </c>
      <c r="C41" s="41">
        <v>32</v>
      </c>
      <c r="D41" s="15">
        <f t="shared" si="5"/>
        <v>43530</v>
      </c>
      <c r="E41" s="42">
        <f t="shared" si="4"/>
        <v>43558</v>
      </c>
      <c r="F41" s="42"/>
      <c r="G41" s="42"/>
      <c r="H41" s="15"/>
      <c r="I41" s="43">
        <f t="shared" si="0"/>
        <v>43558</v>
      </c>
      <c r="J41" s="44">
        <f>forward($E$4,D41,E41,CURVA!$H$6:H51,CURVA!$G$6:G51)</f>
        <v>2.0015563624537411E-2</v>
      </c>
      <c r="K41" s="44" t="str">
        <f>IFERROR(VLOOKUP(A41,CURVA!$B$8:$F$30,5,0),"")</f>
        <v/>
      </c>
      <c r="L41" s="45">
        <f t="shared" si="2"/>
        <v>7.7777777777777779E-2</v>
      </c>
      <c r="M41" s="46">
        <f>interpola(E41-$E$4,CURVA!$H$6:$H$20,CURVA!$G$6:$G$20)</f>
        <v>0.02</v>
      </c>
      <c r="N41" s="47">
        <f t="shared" si="3"/>
        <v>0.95144083230615584</v>
      </c>
      <c r="O41" s="49" t="str">
        <f>IF(K41="","",SUMPRODUCT($J$10:J41,$L$10:L41,$N$10:N41)*$E$5)</f>
        <v/>
      </c>
      <c r="P41" s="49" t="str">
        <f>IF(K41="","",SUMPRODUCT($L$10:L41,$N$10:N41)*$K41*$E$5)</f>
        <v/>
      </c>
      <c r="Q41" s="6"/>
      <c r="R41" s="12"/>
      <c r="S41" s="7"/>
    </row>
    <row r="42" spans="1:19" x14ac:dyDescent="0.2">
      <c r="A42" s="41">
        <f t="shared" si="1"/>
        <v>924</v>
      </c>
      <c r="C42" s="41">
        <v>33</v>
      </c>
      <c r="D42" s="15">
        <f t="shared" si="5"/>
        <v>43558</v>
      </c>
      <c r="E42" s="42">
        <f t="shared" si="4"/>
        <v>43586</v>
      </c>
      <c r="F42" s="42"/>
      <c r="G42" s="42"/>
      <c r="H42" s="15"/>
      <c r="I42" s="43">
        <f t="shared" si="0"/>
        <v>43586</v>
      </c>
      <c r="J42" s="44">
        <f>forward($E$4,D42,E42,CURVA!$H$6:H52,CURVA!$G$6:G52)</f>
        <v>2.0015563624537411E-2</v>
      </c>
      <c r="K42" s="44" t="str">
        <f>IFERROR(VLOOKUP(A42,CURVA!$B$8:$F$30,5,0),"")</f>
        <v/>
      </c>
      <c r="L42" s="45">
        <f t="shared" si="2"/>
        <v>7.7777777777777779E-2</v>
      </c>
      <c r="M42" s="46">
        <f>interpola(E42-$E$4,CURVA!$H$6:$H$20,CURVA!$G$6:$G$20)</f>
        <v>0.02</v>
      </c>
      <c r="N42" s="47">
        <f t="shared" si="3"/>
        <v>0.94996196376297681</v>
      </c>
      <c r="O42" s="49" t="str">
        <f>IF(K42="","",SUMPRODUCT($J$10:J42,$L$10:L42,$N$10:N42)*$E$5)</f>
        <v/>
      </c>
      <c r="P42" s="49" t="str">
        <f>IF(K42="","",SUMPRODUCT($L$10:L42,$N$10:N42)*$K42*$E$5)</f>
        <v/>
      </c>
      <c r="Q42" s="6"/>
      <c r="R42" s="12"/>
      <c r="S42" s="7"/>
    </row>
    <row r="43" spans="1:19" x14ac:dyDescent="0.2">
      <c r="A43" s="41">
        <f t="shared" si="1"/>
        <v>952</v>
      </c>
      <c r="C43" s="41">
        <v>34</v>
      </c>
      <c r="D43" s="15">
        <f t="shared" si="5"/>
        <v>43586</v>
      </c>
      <c r="E43" s="42">
        <f t="shared" si="4"/>
        <v>43614</v>
      </c>
      <c r="F43" s="42"/>
      <c r="G43" s="42"/>
      <c r="H43" s="15"/>
      <c r="I43" s="43">
        <f t="shared" si="0"/>
        <v>43614</v>
      </c>
      <c r="J43" s="44">
        <f>forward($E$4,D43,E43,CURVA!$H$6:H53,CURVA!$G$6:G53)</f>
        <v>2.0015563624537411E-2</v>
      </c>
      <c r="K43" s="44" t="str">
        <f>IFERROR(VLOOKUP(A43,CURVA!$B$8:$F$30,5,0),"")</f>
        <v/>
      </c>
      <c r="L43" s="45">
        <f t="shared" si="2"/>
        <v>7.7777777777777779E-2</v>
      </c>
      <c r="M43" s="46">
        <f>interpola(E43-$E$4,CURVA!$H$6:$H$20,CURVA!$G$6:$G$20)</f>
        <v>0.02</v>
      </c>
      <c r="N43" s="47">
        <f t="shared" si="3"/>
        <v>0.94848539389365505</v>
      </c>
      <c r="O43" s="49" t="str">
        <f>IF(K43="","",SUMPRODUCT($J$10:J43,$L$10:L43,$N$10:N43)*$E$5)</f>
        <v/>
      </c>
      <c r="P43" s="49" t="str">
        <f>IF(K43="","",SUMPRODUCT($L$10:L43,$N$10:N43)*$K43*$E$5)</f>
        <v/>
      </c>
      <c r="Q43" s="6"/>
      <c r="R43" s="12"/>
      <c r="S43" s="7"/>
    </row>
    <row r="44" spans="1:19" x14ac:dyDescent="0.2">
      <c r="A44" s="41">
        <f t="shared" si="1"/>
        <v>980</v>
      </c>
      <c r="C44" s="41">
        <v>35</v>
      </c>
      <c r="D44" s="15">
        <f t="shared" si="5"/>
        <v>43614</v>
      </c>
      <c r="E44" s="42">
        <f t="shared" si="4"/>
        <v>43642</v>
      </c>
      <c r="F44" s="42"/>
      <c r="G44" s="42"/>
      <c r="H44" s="15"/>
      <c r="I44" s="43">
        <f t="shared" si="0"/>
        <v>43642</v>
      </c>
      <c r="J44" s="44">
        <f>forward($E$4,D44,E44,CURVA!$H$6:H54,CURVA!$G$6:G54)</f>
        <v>2.0015563624537411E-2</v>
      </c>
      <c r="K44" s="44" t="str">
        <f>IFERROR(VLOOKUP(A44,CURVA!$B$8:$F$30,5,0),"")</f>
        <v/>
      </c>
      <c r="L44" s="45">
        <f t="shared" si="2"/>
        <v>7.7777777777777779E-2</v>
      </c>
      <c r="M44" s="46">
        <f>interpola(E44-$E$4,CURVA!$H$6:$H$20,CURVA!$G$6:$G$20)</f>
        <v>0.02</v>
      </c>
      <c r="N44" s="47">
        <f t="shared" si="3"/>
        <v>0.94701111912525548</v>
      </c>
      <c r="O44" s="49" t="str">
        <f>IF(K44="","",SUMPRODUCT($J$10:J44,$L$10:L44,$N$10:N44)*$E$5)</f>
        <v/>
      </c>
      <c r="P44" s="49" t="str">
        <f>IF(K44="","",SUMPRODUCT($L$10:L44,$N$10:N44)*$K44*$E$5)</f>
        <v/>
      </c>
      <c r="Q44" s="6"/>
      <c r="R44" s="12"/>
      <c r="S44" s="7"/>
    </row>
    <row r="45" spans="1:19" x14ac:dyDescent="0.2">
      <c r="A45" s="41">
        <f t="shared" si="1"/>
        <v>1008</v>
      </c>
      <c r="C45" s="41">
        <v>36</v>
      </c>
      <c r="D45" s="15">
        <f t="shared" si="5"/>
        <v>43642</v>
      </c>
      <c r="E45" s="42">
        <f t="shared" si="4"/>
        <v>43670</v>
      </c>
      <c r="F45" s="42"/>
      <c r="G45" s="42"/>
      <c r="H45" s="15"/>
      <c r="I45" s="43">
        <f t="shared" si="0"/>
        <v>43670</v>
      </c>
      <c r="J45" s="44">
        <f>forward($E$4,D45,E45,CURVA!$H$6:H55,CURVA!$G$6:G55)</f>
        <v>2.0015563624537411E-2</v>
      </c>
      <c r="K45" s="44">
        <f>IFERROR(VLOOKUP(A45,CURVA!$B$8:$F$30,5,0),"")</f>
        <v>7.4199999999999995E-3</v>
      </c>
      <c r="L45" s="45">
        <f t="shared" si="2"/>
        <v>7.7777777777777779E-2</v>
      </c>
      <c r="M45" s="46">
        <f>interpola(E45-$E$4,CURVA!$H$6:$H$20,CURVA!$G$6:$G$20)</f>
        <v>0.02</v>
      </c>
      <c r="N45" s="47">
        <f t="shared" si="3"/>
        <v>0.94553913589039629</v>
      </c>
      <c r="O45" s="49">
        <f>IF(K45="","",SUMPRODUCT($J$10:J45,$L$10:L45,$N$10:N45)*$E$5)</f>
        <v>54460.864109605143</v>
      </c>
      <c r="P45" s="49">
        <f>IF(K45="","",SUMPRODUCT($L$10:L45,$N$10:N45)*$K45*$E$5)</f>
        <v>20189.381026307012</v>
      </c>
      <c r="Q45" s="6"/>
      <c r="R45" s="12"/>
      <c r="S45" s="7"/>
    </row>
    <row r="46" spans="1:19" x14ac:dyDescent="0.2">
      <c r="A46" s="41">
        <f t="shared" si="1"/>
        <v>1036</v>
      </c>
      <c r="C46" s="41">
        <v>37</v>
      </c>
      <c r="D46" s="15">
        <f t="shared" si="5"/>
        <v>43670</v>
      </c>
      <c r="E46" s="42">
        <f t="shared" si="4"/>
        <v>43698</v>
      </c>
      <c r="F46" s="42"/>
      <c r="G46" s="42"/>
      <c r="H46" s="15"/>
      <c r="I46" s="43">
        <f t="shared" si="0"/>
        <v>43698</v>
      </c>
      <c r="J46" s="44">
        <f>forward($E$4,D46,E46,CURVA!$H$6:H56,CURVA!$G$6:G56)</f>
        <v>2.0015563624537411E-2</v>
      </c>
      <c r="K46" s="44" t="str">
        <f>IFERROR(VLOOKUP(A46,CURVA!$B$8:$F$30,5,0),"")</f>
        <v/>
      </c>
      <c r="L46" s="45">
        <f t="shared" si="2"/>
        <v>7.7777777777777779E-2</v>
      </c>
      <c r="M46" s="46">
        <f>interpola(E46-$E$4,CURVA!$H$6:$H$20,CURVA!$G$6:$G$20)</f>
        <v>0.02</v>
      </c>
      <c r="N46" s="47">
        <f t="shared" si="3"/>
        <v>0.94406944062724085</v>
      </c>
      <c r="O46" s="49" t="str">
        <f>IF(K46="","",SUMPRODUCT($J$10:J46,$L$10:L46,$N$10:N46)*$E$5)</f>
        <v/>
      </c>
      <c r="P46" s="49" t="str">
        <f>IF(K46="","",SUMPRODUCT($L$10:L46,$N$10:N46)*$K46*$E$5)</f>
        <v/>
      </c>
      <c r="Q46" s="6"/>
      <c r="R46" s="12"/>
      <c r="S46" s="7"/>
    </row>
    <row r="47" spans="1:19" x14ac:dyDescent="0.2">
      <c r="A47" s="41">
        <f t="shared" si="1"/>
        <v>1064</v>
      </c>
      <c r="C47" s="41">
        <v>38</v>
      </c>
      <c r="D47" s="15">
        <f t="shared" si="5"/>
        <v>43698</v>
      </c>
      <c r="E47" s="42">
        <f t="shared" si="4"/>
        <v>43726</v>
      </c>
      <c r="F47" s="42"/>
      <c r="G47" s="42"/>
      <c r="H47" s="15"/>
      <c r="I47" s="43">
        <f t="shared" si="0"/>
        <v>43726</v>
      </c>
      <c r="J47" s="44">
        <f>forward($E$4,D47,E47,CURVA!$H$6:H57,CURVA!$G$6:G57)</f>
        <v>2.0015563624537411E-2</v>
      </c>
      <c r="K47" s="44" t="str">
        <f>IFERROR(VLOOKUP(A47,CURVA!$B$8:$F$30,5,0),"")</f>
        <v/>
      </c>
      <c r="L47" s="45">
        <f t="shared" si="2"/>
        <v>7.7777777777777779E-2</v>
      </c>
      <c r="M47" s="46">
        <f>interpola(E47-$E$4,CURVA!$H$6:$H$20,CURVA!$G$6:$G$20)</f>
        <v>0.02</v>
      </c>
      <c r="N47" s="47">
        <f t="shared" si="3"/>
        <v>0.94260202977948881</v>
      </c>
      <c r="O47" s="49" t="str">
        <f>IF(K47="","",SUMPRODUCT($J$10:J47,$L$10:L47,$N$10:N47)*$E$5)</f>
        <v/>
      </c>
      <c r="P47" s="49" t="str">
        <f>IF(K47="","",SUMPRODUCT($L$10:L47,$N$10:N47)*$K47*$E$5)</f>
        <v/>
      </c>
      <c r="Q47" s="6"/>
      <c r="R47" s="12"/>
      <c r="S47" s="7"/>
    </row>
    <row r="48" spans="1:19" x14ac:dyDescent="0.2">
      <c r="A48" s="41">
        <f t="shared" si="1"/>
        <v>1092</v>
      </c>
      <c r="B48" s="41" t="s">
        <v>10</v>
      </c>
      <c r="C48" s="41">
        <v>39</v>
      </c>
      <c r="D48" s="15">
        <f t="shared" si="5"/>
        <v>43726</v>
      </c>
      <c r="E48" s="42">
        <f t="shared" si="4"/>
        <v>43754</v>
      </c>
      <c r="F48" s="42"/>
      <c r="G48" s="42"/>
      <c r="H48" s="15"/>
      <c r="I48" s="43">
        <f t="shared" si="0"/>
        <v>43754</v>
      </c>
      <c r="J48" s="44">
        <f>forward($E$4,D48,E48,CURVA!$H$6:H58,CURVA!$G$6:G58)</f>
        <v>2.0015563624537411E-2</v>
      </c>
      <c r="K48" s="44" t="str">
        <f>IFERROR(VLOOKUP(A48,CURVA!$B$8:$F$30,5,0),"")</f>
        <v/>
      </c>
      <c r="L48" s="45">
        <f t="shared" si="2"/>
        <v>7.7777777777777779E-2</v>
      </c>
      <c r="M48" s="46">
        <f>interpola(E48-$E$4,CURVA!$H$6:$H$20,CURVA!$G$6:$G$20)</f>
        <v>0.02</v>
      </c>
      <c r="N48" s="47">
        <f t="shared" si="3"/>
        <v>0.9411368997963675</v>
      </c>
      <c r="O48" s="49" t="str">
        <f>IF(K48="","",SUMPRODUCT($J$10:J48,$L$10:L48,$N$10:N48)*$E$5)</f>
        <v/>
      </c>
      <c r="P48" s="49" t="str">
        <f>IF(K48="","",SUMPRODUCT($L$10:L48,$N$10:N48)*$K48*$E$5)</f>
        <v/>
      </c>
      <c r="Q48" s="6"/>
      <c r="R48" s="12"/>
      <c r="S48" s="7"/>
    </row>
    <row r="49" spans="1:19" x14ac:dyDescent="0.2">
      <c r="A49" s="41">
        <f t="shared" si="1"/>
        <v>1120</v>
      </c>
      <c r="C49" s="41">
        <v>40</v>
      </c>
      <c r="D49" s="15">
        <f t="shared" si="5"/>
        <v>43754</v>
      </c>
      <c r="E49" s="42">
        <f t="shared" si="4"/>
        <v>43782</v>
      </c>
      <c r="F49" s="42"/>
      <c r="G49" s="42"/>
      <c r="H49" s="15"/>
      <c r="I49" s="43">
        <f t="shared" si="0"/>
        <v>43782</v>
      </c>
      <c r="J49" s="44">
        <f>forward($E$4,D49,E49,CURVA!$H$6:H59,CURVA!$G$6:G59)</f>
        <v>2.0015563624537411E-2</v>
      </c>
      <c r="K49" s="44" t="str">
        <f>IFERROR(VLOOKUP(A49,CURVA!$B$8:$F$30,5,0),"")</f>
        <v/>
      </c>
      <c r="L49" s="45">
        <f t="shared" si="2"/>
        <v>7.7777777777777779E-2</v>
      </c>
      <c r="M49" s="46">
        <f>interpola(E49-$E$4,CURVA!$H$6:$H$20,CURVA!$G$6:$G$20)</f>
        <v>0.02</v>
      </c>
      <c r="N49" s="47">
        <f t="shared" si="3"/>
        <v>0.93967404713262348</v>
      </c>
      <c r="O49" s="49" t="str">
        <f>IF(K49="","",SUMPRODUCT($J$10:J49,$L$10:L49,$N$10:N49)*$E$5)</f>
        <v/>
      </c>
      <c r="P49" s="49" t="str">
        <f>IF(K49="","",SUMPRODUCT($L$10:L49,$N$10:N49)*$K49*$E$5)</f>
        <v/>
      </c>
      <c r="Q49" s="6"/>
      <c r="R49" s="12"/>
      <c r="S49" s="7"/>
    </row>
    <row r="50" spans="1:19" x14ac:dyDescent="0.2">
      <c r="A50" s="41">
        <f t="shared" si="1"/>
        <v>1148</v>
      </c>
      <c r="C50" s="41">
        <v>41</v>
      </c>
      <c r="D50" s="15">
        <f t="shared" si="5"/>
        <v>43782</v>
      </c>
      <c r="E50" s="42">
        <f t="shared" si="4"/>
        <v>43810</v>
      </c>
      <c r="F50" s="42"/>
      <c r="G50" s="42"/>
      <c r="H50" s="15"/>
      <c r="I50" s="43">
        <f t="shared" si="0"/>
        <v>43810</v>
      </c>
      <c r="J50" s="44">
        <f>forward($E$4,D50,E50,CURVA!$H$6:H60,CURVA!$G$6:G60)</f>
        <v>2.0015563624537411E-2</v>
      </c>
      <c r="K50" s="44" t="str">
        <f>IFERROR(VLOOKUP(A50,CURVA!$B$8:$F$30,5,0),"")</f>
        <v/>
      </c>
      <c r="L50" s="45">
        <f t="shared" si="2"/>
        <v>7.7777777777777779E-2</v>
      </c>
      <c r="M50" s="46">
        <f>interpola(E50-$E$4,CURVA!$H$6:$H$20,CURVA!$G$6:$G$20)</f>
        <v>0.02</v>
      </c>
      <c r="N50" s="47">
        <f t="shared" si="3"/>
        <v>0.9382134682485137</v>
      </c>
      <c r="O50" s="49" t="str">
        <f>IF(K50="","",SUMPRODUCT($J$10:J50,$L$10:L50,$N$10:N50)*$E$5)</f>
        <v/>
      </c>
      <c r="P50" s="49" t="str">
        <f>IF(K50="","",SUMPRODUCT($L$10:L50,$N$10:N50)*$K50*$E$5)</f>
        <v/>
      </c>
      <c r="Q50" s="6"/>
      <c r="R50" s="12"/>
      <c r="S50" s="7"/>
    </row>
    <row r="51" spans="1:19" x14ac:dyDescent="0.2">
      <c r="A51" s="41">
        <f t="shared" si="1"/>
        <v>1176</v>
      </c>
      <c r="C51" s="41">
        <v>42</v>
      </c>
      <c r="D51" s="15">
        <f t="shared" si="5"/>
        <v>43810</v>
      </c>
      <c r="E51" s="42">
        <f t="shared" si="4"/>
        <v>43838</v>
      </c>
      <c r="F51" s="42"/>
      <c r="G51" s="42"/>
      <c r="H51" s="15"/>
      <c r="I51" s="43">
        <f t="shared" si="0"/>
        <v>43838</v>
      </c>
      <c r="J51" s="44">
        <f>forward($E$4,D51,E51,CURVA!$H$6:H61,CURVA!$G$6:G61)</f>
        <v>2.0015563624537411E-2</v>
      </c>
      <c r="K51" s="44" t="str">
        <f>IFERROR(VLOOKUP(A51,CURVA!$B$8:$F$30,5,0),"")</f>
        <v/>
      </c>
      <c r="L51" s="45">
        <f t="shared" si="2"/>
        <v>7.7777777777777779E-2</v>
      </c>
      <c r="M51" s="46">
        <f>interpola(E51-$E$4,CURVA!$H$6:$H$20,CURVA!$G$6:$G$20)</f>
        <v>0.02</v>
      </c>
      <c r="N51" s="47">
        <f t="shared" si="3"/>
        <v>0.93675515960979727</v>
      </c>
      <c r="O51" s="49" t="str">
        <f>IF(K51="","",SUMPRODUCT($J$10:J51,$L$10:L51,$N$10:N51)*$E$5)</f>
        <v/>
      </c>
      <c r="P51" s="49" t="str">
        <f>IF(K51="","",SUMPRODUCT($L$10:L51,$N$10:N51)*$K51*$E$5)</f>
        <v/>
      </c>
      <c r="Q51" s="6"/>
      <c r="R51" s="12"/>
      <c r="S51" s="7"/>
    </row>
    <row r="52" spans="1:19" x14ac:dyDescent="0.2">
      <c r="A52" s="41">
        <f t="shared" si="1"/>
        <v>1204</v>
      </c>
      <c r="C52" s="41">
        <v>43</v>
      </c>
      <c r="D52" s="15">
        <f t="shared" si="5"/>
        <v>43838</v>
      </c>
      <c r="E52" s="42">
        <f t="shared" si="4"/>
        <v>43866</v>
      </c>
      <c r="F52" s="42"/>
      <c r="G52" s="42"/>
      <c r="H52" s="15"/>
      <c r="I52" s="43">
        <f t="shared" si="0"/>
        <v>43866</v>
      </c>
      <c r="J52" s="44">
        <f>forward($E$4,D52,E52,CURVA!$H$6:H62,CURVA!$G$6:G62)</f>
        <v>2.0015563624537411E-2</v>
      </c>
      <c r="K52" s="44" t="str">
        <f>IFERROR(VLOOKUP(A52,CURVA!$B$8:$F$30,5,0),"")</f>
        <v/>
      </c>
      <c r="L52" s="45">
        <f t="shared" si="2"/>
        <v>7.7777777777777779E-2</v>
      </c>
      <c r="M52" s="46">
        <f>interpola(E52-$E$4,CURVA!$H$6:$H$20,CURVA!$G$6:$G$20)</f>
        <v>0.02</v>
      </c>
      <c r="N52" s="47">
        <f t="shared" si="3"/>
        <v>0.93529911768772656</v>
      </c>
      <c r="O52" s="49" t="str">
        <f>IF(K52="","",SUMPRODUCT($J$10:J52,$L$10:L52,$N$10:N52)*$E$5)</f>
        <v/>
      </c>
      <c r="P52" s="49" t="str">
        <f>IF(K52="","",SUMPRODUCT($L$10:L52,$N$10:N52)*$K52*$E$5)</f>
        <v/>
      </c>
      <c r="Q52" s="6"/>
      <c r="R52" s="12"/>
      <c r="S52" s="7"/>
    </row>
    <row r="53" spans="1:19" x14ac:dyDescent="0.2">
      <c r="A53" s="41">
        <f t="shared" si="1"/>
        <v>1232</v>
      </c>
      <c r="C53" s="41">
        <v>44</v>
      </c>
      <c r="D53" s="15">
        <f t="shared" si="5"/>
        <v>43866</v>
      </c>
      <c r="E53" s="42">
        <f t="shared" si="4"/>
        <v>43894</v>
      </c>
      <c r="F53" s="42"/>
      <c r="G53" s="42"/>
      <c r="H53" s="15"/>
      <c r="I53" s="43">
        <f t="shared" si="0"/>
        <v>43894</v>
      </c>
      <c r="J53" s="44">
        <f>forward($E$4,D53,E53,CURVA!$H$6:H63,CURVA!$G$6:G63)</f>
        <v>2.0015563624537411E-2</v>
      </c>
      <c r="K53" s="44" t="str">
        <f>IFERROR(VLOOKUP(A53,CURVA!$B$8:$F$30,5,0),"")</f>
        <v/>
      </c>
      <c r="L53" s="45">
        <f t="shared" si="2"/>
        <v>7.7777777777777779E-2</v>
      </c>
      <c r="M53" s="46">
        <f>interpola(E53-$E$4,CURVA!$H$6:$H$20,CURVA!$G$6:$G$20)</f>
        <v>0.02</v>
      </c>
      <c r="N53" s="47">
        <f t="shared" si="3"/>
        <v>0.93384533895903898</v>
      </c>
      <c r="O53" s="49" t="str">
        <f>IF(K53="","",SUMPRODUCT($J$10:J53,$L$10:L53,$N$10:N53)*$E$5)</f>
        <v/>
      </c>
      <c r="P53" s="49" t="str">
        <f>IF(K53="","",SUMPRODUCT($L$10:L53,$N$10:N53)*$K53*$E$5)</f>
        <v/>
      </c>
      <c r="Q53" s="6"/>
      <c r="R53" s="12"/>
      <c r="S53" s="7"/>
    </row>
    <row r="54" spans="1:19" x14ac:dyDescent="0.2">
      <c r="A54" s="41">
        <f t="shared" si="1"/>
        <v>1260</v>
      </c>
      <c r="C54" s="41">
        <v>45</v>
      </c>
      <c r="D54" s="15">
        <f t="shared" si="5"/>
        <v>43894</v>
      </c>
      <c r="E54" s="42">
        <f t="shared" si="4"/>
        <v>43922</v>
      </c>
      <c r="F54" s="42"/>
      <c r="G54" s="42"/>
      <c r="H54" s="15"/>
      <c r="I54" s="43">
        <f t="shared" si="0"/>
        <v>43922</v>
      </c>
      <c r="J54" s="44">
        <f>forward($E$4,D54,E54,CURVA!$H$6:H64,CURVA!$G$6:G64)</f>
        <v>2.0015563624537411E-2</v>
      </c>
      <c r="K54" s="44" t="str">
        <f>IFERROR(VLOOKUP(A54,CURVA!$B$8:$F$30,5,0),"")</f>
        <v/>
      </c>
      <c r="L54" s="45">
        <f t="shared" si="2"/>
        <v>7.7777777777777779E-2</v>
      </c>
      <c r="M54" s="46">
        <f>interpola(E54-$E$4,CURVA!$H$6:$H$20,CURVA!$G$6:$G$20)</f>
        <v>0.02</v>
      </c>
      <c r="N54" s="47">
        <f t="shared" si="3"/>
        <v>0.93239381990594827</v>
      </c>
      <c r="O54" s="49" t="str">
        <f>IF(K54="","",SUMPRODUCT($J$10:J54,$L$10:L54,$N$10:N54)*$E$5)</f>
        <v/>
      </c>
      <c r="P54" s="49" t="str">
        <f>IF(K54="","",SUMPRODUCT($L$10:L54,$N$10:N54)*$K54*$E$5)</f>
        <v/>
      </c>
      <c r="Q54" s="6"/>
      <c r="R54" s="12"/>
      <c r="S54" s="7"/>
    </row>
    <row r="55" spans="1:19" x14ac:dyDescent="0.2">
      <c r="A55" s="41">
        <f t="shared" si="1"/>
        <v>1288</v>
      </c>
      <c r="C55" s="41">
        <v>46</v>
      </c>
      <c r="D55" s="15">
        <f t="shared" si="5"/>
        <v>43922</v>
      </c>
      <c r="E55" s="42">
        <f t="shared" si="4"/>
        <v>43950</v>
      </c>
      <c r="F55" s="42"/>
      <c r="G55" s="42"/>
      <c r="H55" s="15"/>
      <c r="I55" s="43">
        <f t="shared" si="0"/>
        <v>43950</v>
      </c>
      <c r="J55" s="44">
        <f>forward($E$4,D55,E55,CURVA!$H$6:H65,CURVA!$G$6:G65)</f>
        <v>2.0015563624537411E-2</v>
      </c>
      <c r="K55" s="44" t="str">
        <f>IFERROR(VLOOKUP(A55,CURVA!$B$8:$F$30,5,0),"")</f>
        <v/>
      </c>
      <c r="L55" s="45">
        <f t="shared" si="2"/>
        <v>7.7777777777777779E-2</v>
      </c>
      <c r="M55" s="46">
        <f>interpola(E55-$E$4,CURVA!$H$6:$H$20,CURVA!$G$6:$G$20)</f>
        <v>0.02</v>
      </c>
      <c r="N55" s="47">
        <f t="shared" si="3"/>
        <v>0.93094455701613588</v>
      </c>
      <c r="O55" s="49" t="str">
        <f>IF(K55="","",SUMPRODUCT($J$10:J55,$L$10:L55,$N$10:N55)*$E$5)</f>
        <v/>
      </c>
      <c r="P55" s="49" t="str">
        <f>IF(K55="","",SUMPRODUCT($L$10:L55,$N$10:N55)*$K55*$E$5)</f>
        <v/>
      </c>
      <c r="Q55" s="6"/>
      <c r="R55" s="12"/>
      <c r="S55" s="7"/>
    </row>
    <row r="56" spans="1:19" x14ac:dyDescent="0.2">
      <c r="A56" s="41">
        <f t="shared" si="1"/>
        <v>1316</v>
      </c>
      <c r="C56" s="41">
        <v>47</v>
      </c>
      <c r="D56" s="15">
        <f t="shared" si="5"/>
        <v>43950</v>
      </c>
      <c r="E56" s="42">
        <f t="shared" si="4"/>
        <v>43978</v>
      </c>
      <c r="F56" s="42"/>
      <c r="G56" s="42"/>
      <c r="H56" s="15"/>
      <c r="I56" s="43">
        <f t="shared" si="0"/>
        <v>43978</v>
      </c>
      <c r="J56" s="44">
        <f>forward($E$4,D56,E56,CURVA!$H$6:H66,CURVA!$G$6:G66)</f>
        <v>2.0015563624537411E-2</v>
      </c>
      <c r="K56" s="44" t="str">
        <f>IFERROR(VLOOKUP(A56,CURVA!$B$8:$F$30,5,0),"")</f>
        <v/>
      </c>
      <c r="L56" s="45">
        <f t="shared" si="2"/>
        <v>7.7777777777777779E-2</v>
      </c>
      <c r="M56" s="46">
        <f>interpola(E56-$E$4,CURVA!$H$6:$H$20,CURVA!$G$6:$G$20)</f>
        <v>0.02</v>
      </c>
      <c r="N56" s="47">
        <f t="shared" si="3"/>
        <v>0.92949754678274299</v>
      </c>
      <c r="O56" s="49" t="str">
        <f>IF(K56="","",SUMPRODUCT($J$10:J56,$L$10:L56,$N$10:N56)*$E$5)</f>
        <v/>
      </c>
      <c r="P56" s="49" t="str">
        <f>IF(K56="","",SUMPRODUCT($L$10:L56,$N$10:N56)*$K56*$E$5)</f>
        <v/>
      </c>
      <c r="Q56" s="6"/>
      <c r="R56" s="12"/>
      <c r="S56" s="7"/>
    </row>
    <row r="57" spans="1:19" x14ac:dyDescent="0.2">
      <c r="A57" s="41">
        <f t="shared" si="1"/>
        <v>1344</v>
      </c>
      <c r="C57" s="41">
        <v>48</v>
      </c>
      <c r="D57" s="15">
        <f t="shared" si="5"/>
        <v>43978</v>
      </c>
      <c r="E57" s="42">
        <f t="shared" si="4"/>
        <v>44006</v>
      </c>
      <c r="F57" s="42"/>
      <c r="G57" s="42"/>
      <c r="H57" s="15"/>
      <c r="I57" s="43">
        <f t="shared" si="0"/>
        <v>44006</v>
      </c>
      <c r="J57" s="44">
        <f>forward($E$4,D57,E57,CURVA!$H$6:H67,CURVA!$G$6:G67)</f>
        <v>2.0015563624537411E-2</v>
      </c>
      <c r="K57" s="44">
        <f>IFERROR(VLOOKUP(A57,CURVA!$B$8:$F$30,5,0),"")</f>
        <v>8.1300000000000001E-3</v>
      </c>
      <c r="L57" s="45">
        <f t="shared" si="2"/>
        <v>7.7777777777777779E-2</v>
      </c>
      <c r="M57" s="46">
        <f>interpola(E57-$E$4,CURVA!$H$6:$H$20,CURVA!$G$6:$G$20)</f>
        <v>0.02</v>
      </c>
      <c r="N57" s="47">
        <f t="shared" si="3"/>
        <v>0.92805278570436112</v>
      </c>
      <c r="O57" s="49">
        <f>IF(K57="","",SUMPRODUCT($J$10:J57,$L$10:L57,$N$10:N57)*$E$5)</f>
        <v>71947.214295640733</v>
      </c>
      <c r="P57" s="49">
        <f>IF(K57="","",SUMPRODUCT($L$10:L57,$N$10:N57)*$K57*$E$5)</f>
        <v>29223.923204999461</v>
      </c>
      <c r="Q57" s="6"/>
      <c r="R57" s="12"/>
      <c r="S57" s="7"/>
    </row>
    <row r="58" spans="1:19" x14ac:dyDescent="0.2">
      <c r="A58" s="41">
        <f t="shared" si="1"/>
        <v>1372</v>
      </c>
      <c r="C58" s="41">
        <v>49</v>
      </c>
      <c r="D58" s="15">
        <f t="shared" si="5"/>
        <v>44006</v>
      </c>
      <c r="E58" s="42">
        <f t="shared" si="4"/>
        <v>44034</v>
      </c>
      <c r="F58" s="42"/>
      <c r="G58" s="42"/>
      <c r="H58" s="15"/>
      <c r="I58" s="43">
        <f t="shared" si="0"/>
        <v>44034</v>
      </c>
      <c r="J58" s="44">
        <f>forward($E$4,D58,E58,CURVA!$H$6:H68,CURVA!$G$6:G68)</f>
        <v>2.0015563624537411E-2</v>
      </c>
      <c r="K58" s="44" t="str">
        <f>IFERROR(VLOOKUP(A58,CURVA!$B$8:$F$30,5,0),"")</f>
        <v/>
      </c>
      <c r="L58" s="45">
        <f t="shared" si="2"/>
        <v>7.7777777777777779E-2</v>
      </c>
      <c r="M58" s="46">
        <f>interpola(E58-$E$4,CURVA!$H$6:$H$20,CURVA!$G$6:$G$20)</f>
        <v>0.02</v>
      </c>
      <c r="N58" s="47">
        <f t="shared" si="3"/>
        <v>0.92661027028502474</v>
      </c>
      <c r="O58" s="49" t="str">
        <f>IF(K58="","",SUMPRODUCT($J$10:J58,$L$10:L58,$N$10:N58)*$E$5)</f>
        <v/>
      </c>
      <c r="P58" s="49" t="str">
        <f>IF(K58="","",SUMPRODUCT($L$10:L58,$N$10:N58)*$K58*$E$5)</f>
        <v/>
      </c>
      <c r="Q58" s="6"/>
      <c r="R58" s="12"/>
      <c r="S58" s="7"/>
    </row>
    <row r="59" spans="1:19" x14ac:dyDescent="0.2">
      <c r="A59" s="41">
        <f t="shared" si="1"/>
        <v>1400</v>
      </c>
      <c r="C59" s="41">
        <v>50</v>
      </c>
      <c r="D59" s="15">
        <f t="shared" si="5"/>
        <v>44034</v>
      </c>
      <c r="E59" s="42">
        <f t="shared" si="4"/>
        <v>44062</v>
      </c>
      <c r="F59" s="42"/>
      <c r="G59" s="42"/>
      <c r="H59" s="15"/>
      <c r="I59" s="43">
        <f t="shared" si="0"/>
        <v>44062</v>
      </c>
      <c r="J59" s="44">
        <f>forward($E$4,D59,E59,CURVA!$H$6:H69,CURVA!$G$6:G69)</f>
        <v>2.0015563624537411E-2</v>
      </c>
      <c r="K59" s="44" t="str">
        <f>IFERROR(VLOOKUP(A59,CURVA!$B$8:$F$30,5,0),"")</f>
        <v/>
      </c>
      <c r="L59" s="45">
        <f t="shared" si="2"/>
        <v>7.7777777777777779E-2</v>
      </c>
      <c r="M59" s="46">
        <f>interpola(E59-$E$4,CURVA!$H$6:$H$20,CURVA!$G$6:$G$20)</f>
        <v>0.02</v>
      </c>
      <c r="N59" s="47">
        <f t="shared" si="3"/>
        <v>0.925169997034202</v>
      </c>
      <c r="O59" s="49" t="str">
        <f>IF(K59="","",SUMPRODUCT($J$10:J59,$L$10:L59,$N$10:N59)*$E$5)</f>
        <v/>
      </c>
      <c r="P59" s="49" t="str">
        <f>IF(K59="","",SUMPRODUCT($L$10:L59,$N$10:N59)*$K59*$E$5)</f>
        <v/>
      </c>
      <c r="Q59" s="6"/>
      <c r="R59" s="12"/>
      <c r="S59" s="7"/>
    </row>
    <row r="60" spans="1:19" x14ac:dyDescent="0.2">
      <c r="A60" s="41">
        <f t="shared" si="1"/>
        <v>1428</v>
      </c>
      <c r="C60" s="41">
        <v>51</v>
      </c>
      <c r="D60" s="15">
        <f t="shared" si="5"/>
        <v>44062</v>
      </c>
      <c r="E60" s="42">
        <f t="shared" si="4"/>
        <v>44090</v>
      </c>
      <c r="F60" s="42"/>
      <c r="G60" s="42"/>
      <c r="H60" s="15"/>
      <c r="I60" s="43">
        <f t="shared" si="0"/>
        <v>44090</v>
      </c>
      <c r="J60" s="44">
        <f>forward($E$4,D60,E60,CURVA!$H$6:H70,CURVA!$G$6:G70)</f>
        <v>2.0015563624537411E-2</v>
      </c>
      <c r="K60" s="44" t="str">
        <f>IFERROR(VLOOKUP(A60,CURVA!$B$8:$F$30,5,0),"")</f>
        <v/>
      </c>
      <c r="L60" s="45">
        <f t="shared" si="2"/>
        <v>7.7777777777777779E-2</v>
      </c>
      <c r="M60" s="46">
        <f>interpola(E60-$E$4,CURVA!$H$6:$H$20,CURVA!$G$6:$G$20)</f>
        <v>0.02</v>
      </c>
      <c r="N60" s="47">
        <f t="shared" si="3"/>
        <v>0.92373196246678635</v>
      </c>
      <c r="O60" s="49" t="str">
        <f>IF(K60="","",SUMPRODUCT($J$10:J60,$L$10:L60,$N$10:N60)*$E$5)</f>
        <v/>
      </c>
      <c r="P60" s="49" t="str">
        <f>IF(K60="","",SUMPRODUCT($L$10:L60,$N$10:N60)*$K60*$E$5)</f>
        <v/>
      </c>
      <c r="Q60" s="6"/>
      <c r="R60" s="12"/>
      <c r="S60" s="7"/>
    </row>
    <row r="61" spans="1:19" x14ac:dyDescent="0.2">
      <c r="A61" s="41">
        <f t="shared" si="1"/>
        <v>1456</v>
      </c>
      <c r="B61" s="41" t="s">
        <v>11</v>
      </c>
      <c r="C61" s="41">
        <v>52</v>
      </c>
      <c r="D61" s="15">
        <f t="shared" si="5"/>
        <v>44090</v>
      </c>
      <c r="E61" s="42">
        <f t="shared" si="4"/>
        <v>44118</v>
      </c>
      <c r="F61" s="42"/>
      <c r="G61" s="42"/>
      <c r="H61" s="15"/>
      <c r="I61" s="43">
        <f t="shared" si="0"/>
        <v>44118</v>
      </c>
      <c r="J61" s="44">
        <f>forward($E$4,D61,E61,CURVA!$H$6:H71,CURVA!$G$6:G71)</f>
        <v>2.0015563624537411E-2</v>
      </c>
      <c r="K61" s="44" t="str">
        <f>IFERROR(VLOOKUP(A61,CURVA!$B$8:$F$30,5,0),"")</f>
        <v/>
      </c>
      <c r="L61" s="45">
        <f t="shared" si="2"/>
        <v>7.7777777777777779E-2</v>
      </c>
      <c r="M61" s="46">
        <f>interpola(E61-$E$4,CURVA!$H$6:$H$20,CURVA!$G$6:$G$20)</f>
        <v>0.02</v>
      </c>
      <c r="N61" s="47">
        <f t="shared" si="3"/>
        <v>0.9222961631030886</v>
      </c>
      <c r="O61" s="49" t="str">
        <f>IF(K61="","",SUMPRODUCT($J$10:J61,$L$10:L61,$N$10:N61)*$E$5)</f>
        <v/>
      </c>
      <c r="P61" s="49" t="str">
        <f>IF(K61="","",SUMPRODUCT($L$10:L61,$N$10:N61)*$K61*$E$5)</f>
        <v/>
      </c>
      <c r="Q61" s="6"/>
      <c r="R61" s="12"/>
      <c r="S61" s="7"/>
    </row>
    <row r="62" spans="1:19" x14ac:dyDescent="0.2">
      <c r="A62" s="41">
        <f t="shared" si="1"/>
        <v>1484</v>
      </c>
      <c r="C62" s="41">
        <v>53</v>
      </c>
      <c r="D62" s="15">
        <f t="shared" si="5"/>
        <v>44118</v>
      </c>
      <c r="E62" s="42">
        <f t="shared" si="4"/>
        <v>44146</v>
      </c>
      <c r="F62" s="42"/>
      <c r="G62" s="42"/>
      <c r="H62" s="15"/>
      <c r="I62" s="43">
        <f t="shared" si="0"/>
        <v>44146</v>
      </c>
      <c r="J62" s="44">
        <f>forward($E$4,D62,E62,CURVA!$H$6:H72,CURVA!$G$6:G72)</f>
        <v>2.0015563624537411E-2</v>
      </c>
      <c r="K62" s="44" t="str">
        <f>IFERROR(VLOOKUP(A62,CURVA!$B$8:$F$30,5,0),"")</f>
        <v/>
      </c>
      <c r="L62" s="45">
        <f t="shared" si="2"/>
        <v>7.7777777777777779E-2</v>
      </c>
      <c r="M62" s="46">
        <f>interpola(E62-$E$4,CURVA!$H$6:$H$20,CURVA!$G$6:$G$20)</f>
        <v>0.02</v>
      </c>
      <c r="N62" s="47">
        <f t="shared" si="3"/>
        <v>0.9208625954688282</v>
      </c>
      <c r="O62" s="49" t="str">
        <f>IF(K62="","",SUMPRODUCT($J$10:J62,$L$10:L62,$N$10:N62)*$E$5)</f>
        <v/>
      </c>
      <c r="P62" s="49" t="str">
        <f>IF(K62="","",SUMPRODUCT($L$10:L62,$N$10:N62)*$K62*$E$5)</f>
        <v/>
      </c>
      <c r="Q62" s="6"/>
      <c r="R62" s="12"/>
      <c r="S62" s="7"/>
    </row>
    <row r="63" spans="1:19" x14ac:dyDescent="0.2">
      <c r="A63" s="41">
        <f t="shared" si="1"/>
        <v>1512</v>
      </c>
      <c r="C63" s="41">
        <v>54</v>
      </c>
      <c r="D63" s="15">
        <f t="shared" si="5"/>
        <v>44146</v>
      </c>
      <c r="E63" s="42">
        <f t="shared" si="4"/>
        <v>44174</v>
      </c>
      <c r="F63" s="42"/>
      <c r="G63" s="42"/>
      <c r="H63" s="15"/>
      <c r="I63" s="43">
        <f t="shared" si="0"/>
        <v>44174</v>
      </c>
      <c r="J63" s="44">
        <f>forward($E$4,D63,E63,CURVA!$H$6:H73,CURVA!$G$6:G73)</f>
        <v>2.0015563624537411E-2</v>
      </c>
      <c r="K63" s="44" t="str">
        <f>IFERROR(VLOOKUP(A63,CURVA!$B$8:$F$30,5,0),"")</f>
        <v/>
      </c>
      <c r="L63" s="45">
        <f t="shared" si="2"/>
        <v>7.7777777777777779E-2</v>
      </c>
      <c r="M63" s="46">
        <f>interpola(E63-$E$4,CURVA!$H$6:$H$20,CURVA!$G$6:$G$20)</f>
        <v>0.02</v>
      </c>
      <c r="N63" s="47">
        <f t="shared" si="3"/>
        <v>0.91943125609512466</v>
      </c>
      <c r="O63" s="49" t="str">
        <f>IF(K63="","",SUMPRODUCT($J$10:J63,$L$10:L63,$N$10:N63)*$E$5)</f>
        <v/>
      </c>
      <c r="P63" s="49" t="str">
        <f>IF(K63="","",SUMPRODUCT($L$10:L63,$N$10:N63)*$K63*$E$5)</f>
        <v/>
      </c>
      <c r="Q63" s="6"/>
      <c r="R63" s="12"/>
      <c r="S63" s="7"/>
    </row>
    <row r="64" spans="1:19" x14ac:dyDescent="0.2">
      <c r="A64" s="41">
        <f t="shared" si="1"/>
        <v>1540</v>
      </c>
      <c r="C64" s="41">
        <v>55</v>
      </c>
      <c r="D64" s="15">
        <f t="shared" si="5"/>
        <v>44174</v>
      </c>
      <c r="E64" s="42">
        <f t="shared" si="4"/>
        <v>44202</v>
      </c>
      <c r="F64" s="42"/>
      <c r="G64" s="42"/>
      <c r="H64" s="15"/>
      <c r="I64" s="43">
        <f t="shared" si="0"/>
        <v>44202</v>
      </c>
      <c r="J64" s="44">
        <f>forward($E$4,D64,E64,CURVA!$H$6:H74,CURVA!$G$6:G74)</f>
        <v>2.0015563624537411E-2</v>
      </c>
      <c r="K64" s="44" t="str">
        <f>IFERROR(VLOOKUP(A64,CURVA!$B$8:$F$30,5,0),"")</f>
        <v/>
      </c>
      <c r="L64" s="45">
        <f t="shared" si="2"/>
        <v>7.7777777777777779E-2</v>
      </c>
      <c r="M64" s="46">
        <f>interpola(E64-$E$4,CURVA!$H$6:$H$20,CURVA!$G$6:$G$20)</f>
        <v>0.02</v>
      </c>
      <c r="N64" s="47">
        <f t="shared" si="3"/>
        <v>0.91800214151848947</v>
      </c>
      <c r="O64" s="49" t="str">
        <f>IF(K64="","",SUMPRODUCT($J$10:J64,$L$10:L64,$N$10:N64)*$E$5)</f>
        <v/>
      </c>
      <c r="P64" s="49" t="str">
        <f>IF(K64="","",SUMPRODUCT($L$10:L64,$N$10:N64)*$K64*$E$5)</f>
        <v/>
      </c>
      <c r="Q64" s="6"/>
      <c r="R64" s="12"/>
      <c r="S64" s="7"/>
    </row>
    <row r="65" spans="1:19" x14ac:dyDescent="0.2">
      <c r="A65" s="41">
        <f t="shared" si="1"/>
        <v>1568</v>
      </c>
      <c r="C65" s="41">
        <v>56</v>
      </c>
      <c r="D65" s="15">
        <f t="shared" si="5"/>
        <v>44202</v>
      </c>
      <c r="E65" s="42">
        <f t="shared" si="4"/>
        <v>44230</v>
      </c>
      <c r="F65" s="42"/>
      <c r="G65" s="42"/>
      <c r="H65" s="15"/>
      <c r="I65" s="43">
        <f t="shared" si="0"/>
        <v>44230</v>
      </c>
      <c r="J65" s="44">
        <f>forward($E$4,D65,E65,CURVA!$H$6:H75,CURVA!$G$6:G75)</f>
        <v>2.0015563624537411E-2</v>
      </c>
      <c r="K65" s="44" t="str">
        <f>IFERROR(VLOOKUP(A65,CURVA!$B$8:$F$30,5,0),"")</f>
        <v/>
      </c>
      <c r="L65" s="45">
        <f t="shared" si="2"/>
        <v>7.7777777777777779E-2</v>
      </c>
      <c r="M65" s="46">
        <f>interpola(E65-$E$4,CURVA!$H$6:$H$20,CURVA!$G$6:$G$20)</f>
        <v>0.02</v>
      </c>
      <c r="N65" s="47">
        <f t="shared" si="3"/>
        <v>0.91657524828081738</v>
      </c>
      <c r="O65" s="49" t="str">
        <f>IF(K65="","",SUMPRODUCT($J$10:J65,$L$10:L65,$N$10:N65)*$E$5)</f>
        <v/>
      </c>
      <c r="P65" s="49" t="str">
        <f>IF(K65="","",SUMPRODUCT($L$10:L65,$N$10:N65)*$K65*$E$5)</f>
        <v/>
      </c>
      <c r="Q65" s="6"/>
      <c r="R65" s="12"/>
      <c r="S65" s="7"/>
    </row>
    <row r="66" spans="1:19" x14ac:dyDescent="0.2">
      <c r="A66" s="41">
        <f t="shared" si="1"/>
        <v>1596</v>
      </c>
      <c r="C66" s="41">
        <v>57</v>
      </c>
      <c r="D66" s="15">
        <f t="shared" si="5"/>
        <v>44230</v>
      </c>
      <c r="E66" s="42">
        <f t="shared" si="4"/>
        <v>44258</v>
      </c>
      <c r="F66" s="42"/>
      <c r="G66" s="42"/>
      <c r="H66" s="15"/>
      <c r="I66" s="43">
        <f t="shared" si="0"/>
        <v>44258</v>
      </c>
      <c r="J66" s="44">
        <f>forward($E$4,D66,E66,CURVA!$H$6:H76,CURVA!$G$6:G76)</f>
        <v>2.0015563624537411E-2</v>
      </c>
      <c r="K66" s="44" t="str">
        <f>IFERROR(VLOOKUP(A66,CURVA!$B$8:$F$30,5,0),"")</f>
        <v/>
      </c>
      <c r="L66" s="45">
        <f t="shared" si="2"/>
        <v>7.7777777777777779E-2</v>
      </c>
      <c r="M66" s="46">
        <f>interpola(E66-$E$4,CURVA!$H$6:$H$20,CURVA!$G$6:$G$20)</f>
        <v>0.02</v>
      </c>
      <c r="N66" s="47">
        <f t="shared" si="3"/>
        <v>0.91515057292937851</v>
      </c>
      <c r="O66" s="49" t="str">
        <f>IF(K66="","",SUMPRODUCT($J$10:J66,$L$10:L66,$N$10:N66)*$E$5)</f>
        <v/>
      </c>
      <c r="P66" s="49" t="str">
        <f>IF(K66="","",SUMPRODUCT($L$10:L66,$N$10:N66)*$K66*$E$5)</f>
        <v/>
      </c>
      <c r="Q66" s="6"/>
      <c r="R66" s="12"/>
      <c r="S66" s="7"/>
    </row>
    <row r="67" spans="1:19" x14ac:dyDescent="0.2">
      <c r="A67" s="41">
        <f t="shared" si="1"/>
        <v>1624</v>
      </c>
      <c r="C67" s="41">
        <v>58</v>
      </c>
      <c r="D67" s="15">
        <f t="shared" si="5"/>
        <v>44258</v>
      </c>
      <c r="E67" s="42">
        <f t="shared" si="4"/>
        <v>44286</v>
      </c>
      <c r="F67" s="42"/>
      <c r="G67" s="42"/>
      <c r="H67" s="15"/>
      <c r="I67" s="43">
        <f t="shared" si="0"/>
        <v>44286</v>
      </c>
      <c r="J67" s="44">
        <f>forward($E$4,D67,E67,CURVA!$H$6:H77,CURVA!$G$6:G77)</f>
        <v>2.0015563624537411E-2</v>
      </c>
      <c r="K67" s="44" t="str">
        <f>IFERROR(VLOOKUP(A67,CURVA!$B$8:$F$30,5,0),"")</f>
        <v/>
      </c>
      <c r="L67" s="45">
        <f t="shared" si="2"/>
        <v>7.7777777777777779E-2</v>
      </c>
      <c r="M67" s="46">
        <f>interpola(E67-$E$4,CURVA!$H$6:$H$20,CURVA!$G$6:$G$20)</f>
        <v>0.02</v>
      </c>
      <c r="N67" s="47">
        <f t="shared" si="3"/>
        <v>0.91372811201680959</v>
      </c>
      <c r="O67" s="49" t="str">
        <f>IF(K67="","",SUMPRODUCT($J$10:J67,$L$10:L67,$N$10:N67)*$E$5)</f>
        <v/>
      </c>
      <c r="P67" s="49" t="str">
        <f>IF(K67="","",SUMPRODUCT($L$10:L67,$N$10:N67)*$K67*$E$5)</f>
        <v/>
      </c>
      <c r="Q67" s="6"/>
      <c r="R67" s="12"/>
      <c r="S67" s="7"/>
    </row>
    <row r="68" spans="1:19" x14ac:dyDescent="0.2">
      <c r="A68" s="41">
        <f t="shared" si="1"/>
        <v>1652</v>
      </c>
      <c r="C68" s="41">
        <v>59</v>
      </c>
      <c r="D68" s="15">
        <f t="shared" si="5"/>
        <v>44286</v>
      </c>
      <c r="E68" s="42">
        <f t="shared" si="4"/>
        <v>44314</v>
      </c>
      <c r="F68" s="42"/>
      <c r="G68" s="42"/>
      <c r="H68" s="15"/>
      <c r="I68" s="43">
        <f t="shared" si="0"/>
        <v>44314</v>
      </c>
      <c r="J68" s="44">
        <f>forward($E$4,D68,E68,CURVA!$H$6:H78,CURVA!$G$6:G78)</f>
        <v>2.0015563624537411E-2</v>
      </c>
      <c r="K68" s="44" t="str">
        <f>IFERROR(VLOOKUP(A68,CURVA!$B$8:$F$30,5,0),"")</f>
        <v/>
      </c>
      <c r="L68" s="45">
        <f t="shared" si="2"/>
        <v>7.7777777777777779E-2</v>
      </c>
      <c r="M68" s="46">
        <f>interpola(E68-$E$4,CURVA!$H$6:$H$20,CURVA!$G$6:$G$20)</f>
        <v>0.02</v>
      </c>
      <c r="N68" s="47">
        <f t="shared" si="3"/>
        <v>0.91230786210110582</v>
      </c>
      <c r="O68" s="49" t="str">
        <f>IF(K68="","",SUMPRODUCT($J$10:J68,$L$10:L68,$N$10:N68)*$E$5)</f>
        <v/>
      </c>
      <c r="P68" s="49" t="str">
        <f>IF(K68="","",SUMPRODUCT($L$10:L68,$N$10:N68)*$K68*$E$5)</f>
        <v/>
      </c>
      <c r="Q68" s="6"/>
      <c r="R68" s="12"/>
      <c r="S68" s="7"/>
    </row>
    <row r="69" spans="1:19" x14ac:dyDescent="0.2">
      <c r="A69" s="41">
        <f t="shared" si="1"/>
        <v>1680</v>
      </c>
      <c r="C69" s="41">
        <v>60</v>
      </c>
      <c r="D69" s="15">
        <f t="shared" si="5"/>
        <v>44314</v>
      </c>
      <c r="E69" s="42">
        <f t="shared" si="4"/>
        <v>44342</v>
      </c>
      <c r="F69" s="42"/>
      <c r="G69" s="42"/>
      <c r="H69" s="15"/>
      <c r="I69" s="43">
        <f t="shared" si="0"/>
        <v>44342</v>
      </c>
      <c r="J69" s="44">
        <f>forward($E$4,D69,E69,CURVA!$H$6:H79,CURVA!$G$6:G79)</f>
        <v>2.0015563624537411E-2</v>
      </c>
      <c r="K69" s="44">
        <f>IFERROR(VLOOKUP(A69,CURVA!$B$8:$F$30,5,0),"")</f>
        <v>8.8599999999999998E-3</v>
      </c>
      <c r="L69" s="45">
        <f t="shared" si="2"/>
        <v>7.7777777777777779E-2</v>
      </c>
      <c r="M69" s="46">
        <f>interpola(E69-$E$4,CURVA!$H$6:$H$20,CURVA!$G$6:$G$20)</f>
        <v>0.02</v>
      </c>
      <c r="N69" s="47">
        <f t="shared" si="3"/>
        <v>0.91088981974561212</v>
      </c>
      <c r="O69" s="49">
        <f>IF(K69="","",SUMPRODUCT($J$10:J69,$L$10:L69,$N$10:N69)*$E$5)</f>
        <v>89110.18025439026</v>
      </c>
      <c r="P69" s="49">
        <f>IF(K69="","",SUMPRODUCT($L$10:L69,$N$10:N69)*$K69*$E$5)</f>
        <v>39445.247367608616</v>
      </c>
      <c r="Q69" s="6"/>
      <c r="R69" s="12"/>
      <c r="S69" s="7"/>
    </row>
    <row r="70" spans="1:19" x14ac:dyDescent="0.2">
      <c r="A70" s="41">
        <f t="shared" si="1"/>
        <v>1708</v>
      </c>
      <c r="C70" s="41">
        <v>61</v>
      </c>
      <c r="D70" s="15">
        <f t="shared" si="5"/>
        <v>44342</v>
      </c>
      <c r="E70" s="42">
        <f t="shared" si="4"/>
        <v>44370</v>
      </c>
      <c r="F70" s="42"/>
      <c r="G70" s="42"/>
      <c r="H70" s="15"/>
      <c r="I70" s="43">
        <f t="shared" si="0"/>
        <v>44370</v>
      </c>
      <c r="J70" s="44">
        <f>forward($E$4,D70,E70,CURVA!$H$6:H80,CURVA!$G$6:G80)</f>
        <v>2.0015563624537411E-2</v>
      </c>
      <c r="K70" s="44" t="str">
        <f>IFERROR(VLOOKUP(A70,CURVA!$B$8:$F$30,5,0),"")</f>
        <v/>
      </c>
      <c r="L70" s="45">
        <f t="shared" si="2"/>
        <v>7.7777777777777779E-2</v>
      </c>
      <c r="M70" s="46">
        <f>interpola(E70-$E$4,CURVA!$H$6:$H$20,CURVA!$G$6:$G$20)</f>
        <v>0.02</v>
      </c>
      <c r="N70" s="47">
        <f t="shared" si="3"/>
        <v>0.9094739815190156</v>
      </c>
      <c r="O70" s="49" t="str">
        <f>IF(K70="","",SUMPRODUCT($J$10:J70,$L$10:L70,$N$10:N70)*$E$5)</f>
        <v/>
      </c>
      <c r="P70" s="49" t="str">
        <f>IF(K70="","",SUMPRODUCT($L$10:L70,$N$10:N70)*$K70*$E$5)</f>
        <v/>
      </c>
      <c r="Q70" s="6"/>
      <c r="R70" s="12"/>
      <c r="S70" s="7"/>
    </row>
    <row r="71" spans="1:19" x14ac:dyDescent="0.2">
      <c r="A71" s="41">
        <f t="shared" si="1"/>
        <v>1736</v>
      </c>
      <c r="C71" s="41">
        <v>62</v>
      </c>
      <c r="D71" s="15">
        <f t="shared" si="5"/>
        <v>44370</v>
      </c>
      <c r="E71" s="42">
        <f t="shared" si="4"/>
        <v>44398</v>
      </c>
      <c r="F71" s="42"/>
      <c r="G71" s="42"/>
      <c r="H71" s="15"/>
      <c r="I71" s="43">
        <f t="shared" si="0"/>
        <v>44398</v>
      </c>
      <c r="J71" s="44">
        <f>forward($E$4,D71,E71,CURVA!$H$6:H81,CURVA!$G$6:G81)</f>
        <v>2.0015563624537411E-2</v>
      </c>
      <c r="K71" s="44" t="str">
        <f>IFERROR(VLOOKUP(A71,CURVA!$B$8:$F$30,5,0),"")</f>
        <v/>
      </c>
      <c r="L71" s="45">
        <f t="shared" si="2"/>
        <v>7.7777777777777779E-2</v>
      </c>
      <c r="M71" s="46">
        <f>interpola(E71-$E$4,CURVA!$H$6:$H$20,CURVA!$G$6:$G$20)</f>
        <v>0.02</v>
      </c>
      <c r="N71" s="47">
        <f t="shared" si="3"/>
        <v>0.90806034399533675</v>
      </c>
      <c r="O71" s="49" t="str">
        <f>IF(K71="","",SUMPRODUCT($J$10:J71,$L$10:L71,$N$10:N71)*$E$5)</f>
        <v/>
      </c>
      <c r="P71" s="49" t="str">
        <f>IF(K71="","",SUMPRODUCT($L$10:L71,$N$10:N71)*$K71*$E$5)</f>
        <v/>
      </c>
      <c r="Q71" s="6"/>
      <c r="R71" s="12"/>
      <c r="S71" s="7"/>
    </row>
    <row r="72" spans="1:19" x14ac:dyDescent="0.2">
      <c r="A72" s="41">
        <f t="shared" si="1"/>
        <v>1764</v>
      </c>
      <c r="C72" s="41">
        <v>63</v>
      </c>
      <c r="D72" s="15">
        <f t="shared" si="5"/>
        <v>44398</v>
      </c>
      <c r="E72" s="42">
        <f t="shared" si="4"/>
        <v>44426</v>
      </c>
      <c r="F72" s="42"/>
      <c r="G72" s="42"/>
      <c r="H72" s="15"/>
      <c r="I72" s="43">
        <f t="shared" si="0"/>
        <v>44426</v>
      </c>
      <c r="J72" s="44">
        <f>forward($E$4,D72,E72,CURVA!$H$6:H82,CURVA!$G$6:G82)</f>
        <v>2.0015563624537411E-2</v>
      </c>
      <c r="K72" s="44" t="str">
        <f>IFERROR(VLOOKUP(A72,CURVA!$B$8:$F$30,5,0),"")</f>
        <v/>
      </c>
      <c r="L72" s="45">
        <f t="shared" si="2"/>
        <v>7.7777777777777779E-2</v>
      </c>
      <c r="M72" s="46">
        <f>interpola(E72-$E$4,CURVA!$H$6:$H$20,CURVA!$G$6:$G$20)</f>
        <v>0.02</v>
      </c>
      <c r="N72" s="47">
        <f t="shared" si="3"/>
        <v>0.90664890375392093</v>
      </c>
      <c r="O72" s="49" t="str">
        <f>IF(K72="","",SUMPRODUCT($J$10:J72,$L$10:L72,$N$10:N72)*$E$5)</f>
        <v/>
      </c>
      <c r="P72" s="49" t="str">
        <f>IF(K72="","",SUMPRODUCT($L$10:L72,$N$10:N72)*$K72*$E$5)</f>
        <v/>
      </c>
      <c r="Q72" s="6"/>
      <c r="R72" s="12"/>
      <c r="S72" s="7"/>
    </row>
    <row r="73" spans="1:19" x14ac:dyDescent="0.2">
      <c r="A73" s="41">
        <f t="shared" si="1"/>
        <v>1792</v>
      </c>
      <c r="C73" s="41">
        <v>64</v>
      </c>
      <c r="D73" s="15">
        <f t="shared" si="5"/>
        <v>44426</v>
      </c>
      <c r="E73" s="42">
        <f t="shared" si="4"/>
        <v>44454</v>
      </c>
      <c r="F73" s="42"/>
      <c r="G73" s="42"/>
      <c r="H73" s="15"/>
      <c r="I73" s="43">
        <f t="shared" si="0"/>
        <v>44454</v>
      </c>
      <c r="J73" s="44">
        <f>forward($E$4,D73,E73,CURVA!$H$6:H83,CURVA!$G$6:G83)</f>
        <v>2.0015563624537411E-2</v>
      </c>
      <c r="K73" s="44" t="str">
        <f>IFERROR(VLOOKUP(A73,CURVA!$B$8:$F$30,5,0),"")</f>
        <v/>
      </c>
      <c r="L73" s="45">
        <f t="shared" si="2"/>
        <v>7.7777777777777779E-2</v>
      </c>
      <c r="M73" s="46">
        <f>interpola(E73-$E$4,CURVA!$H$6:$H$20,CURVA!$G$6:$G$20)</f>
        <v>0.02</v>
      </c>
      <c r="N73" s="47">
        <f t="shared" si="3"/>
        <v>0.90523965737943068</v>
      </c>
      <c r="O73" s="49" t="str">
        <f>IF(K73="","",SUMPRODUCT($J$10:J73,$L$10:L73,$N$10:N73)*$E$5)</f>
        <v/>
      </c>
      <c r="P73" s="49" t="str">
        <f>IF(K73="","",SUMPRODUCT($L$10:L73,$N$10:N73)*$K73*$E$5)</f>
        <v/>
      </c>
      <c r="Q73" s="6"/>
      <c r="R73" s="12"/>
      <c r="S73" s="7"/>
    </row>
    <row r="74" spans="1:19" x14ac:dyDescent="0.2">
      <c r="A74" s="41">
        <f t="shared" si="1"/>
        <v>1820</v>
      </c>
      <c r="B74" s="41" t="s">
        <v>12</v>
      </c>
      <c r="C74" s="41">
        <v>65</v>
      </c>
      <c r="D74" s="15">
        <f t="shared" si="5"/>
        <v>44454</v>
      </c>
      <c r="E74" s="42">
        <f t="shared" si="4"/>
        <v>44482</v>
      </c>
      <c r="F74" s="42"/>
      <c r="G74" s="42"/>
      <c r="H74" s="15"/>
      <c r="I74" s="43">
        <f t="shared" ref="I74:I137" si="6">E74</f>
        <v>44482</v>
      </c>
      <c r="J74" s="44">
        <f>forward($E$4,D74,E74,CURVA!$H$6:H84,CURVA!$G$6:G84)</f>
        <v>2.0015563624537411E-2</v>
      </c>
      <c r="K74" s="44" t="str">
        <f>IFERROR(VLOOKUP(A74,CURVA!$B$8:$F$30,5,0),"")</f>
        <v/>
      </c>
      <c r="L74" s="45">
        <f t="shared" si="2"/>
        <v>7.7777777777777779E-2</v>
      </c>
      <c r="M74" s="46">
        <f>interpola(E74-$E$4,CURVA!$H$6:$H$20,CURVA!$G$6:$G$20)</f>
        <v>0.02</v>
      </c>
      <c r="N74" s="47">
        <f t="shared" si="3"/>
        <v>0.90383260146183697</v>
      </c>
      <c r="O74" s="49" t="str">
        <f>IF(K74="","",SUMPRODUCT($J$10:J74,$L$10:L74,$N$10:N74)*$E$5)</f>
        <v/>
      </c>
      <c r="P74" s="49" t="str">
        <f>IF(K74="","",SUMPRODUCT($L$10:L74,$N$10:N74)*$K74*$E$5)</f>
        <v/>
      </c>
      <c r="Q74" s="6"/>
      <c r="R74" s="12"/>
      <c r="S74" s="7"/>
    </row>
    <row r="75" spans="1:19" x14ac:dyDescent="0.2">
      <c r="A75" s="41">
        <f t="shared" ref="A75:A138" si="7">C75*28</f>
        <v>1848</v>
      </c>
      <c r="C75" s="41">
        <v>66</v>
      </c>
      <c r="D75" s="15">
        <f t="shared" si="5"/>
        <v>44482</v>
      </c>
      <c r="E75" s="42">
        <f t="shared" ref="E75:E138" si="8">$E$4+28*C75</f>
        <v>44510</v>
      </c>
      <c r="F75" s="42"/>
      <c r="G75" s="42"/>
      <c r="H75" s="15"/>
      <c r="I75" s="43">
        <f t="shared" si="6"/>
        <v>44510</v>
      </c>
      <c r="J75" s="44">
        <f>forward($E$4,D75,E75,CURVA!$H$6:H85,CURVA!$G$6:G85)</f>
        <v>2.0015563624537411E-2</v>
      </c>
      <c r="K75" s="44" t="str">
        <f>IFERROR(VLOOKUP(A75,CURVA!$B$8:$F$30,5,0),"")</f>
        <v/>
      </c>
      <c r="L75" s="45">
        <f t="shared" ref="L75:L138" si="9">(E75-D75)/360</f>
        <v>7.7777777777777779E-2</v>
      </c>
      <c r="M75" s="46">
        <f>interpola(E75-$E$4,CURVA!$H$6:$H$20,CURVA!$G$6:$G$20)</f>
        <v>0.02</v>
      </c>
      <c r="N75" s="47">
        <f t="shared" ref="N75:N138" si="10">EXP(-M75*(E75-$E$4)/360)</f>
        <v>0.90242773259641129</v>
      </c>
      <c r="O75" s="49" t="str">
        <f>IF(K75="","",SUMPRODUCT($J$10:J75,$L$10:L75,$N$10:N75)*$E$5)</f>
        <v/>
      </c>
      <c r="P75" s="49" t="str">
        <f>IF(K75="","",SUMPRODUCT($L$10:L75,$N$10:N75)*$K75*$E$5)</f>
        <v/>
      </c>
      <c r="Q75" s="6"/>
      <c r="R75" s="12"/>
      <c r="S75" s="7"/>
    </row>
    <row r="76" spans="1:19" x14ac:dyDescent="0.2">
      <c r="A76" s="41">
        <f t="shared" si="7"/>
        <v>1876</v>
      </c>
      <c r="C76" s="41">
        <v>67</v>
      </c>
      <c r="D76" s="15">
        <f t="shared" si="5"/>
        <v>44510</v>
      </c>
      <c r="E76" s="42">
        <f t="shared" si="8"/>
        <v>44538</v>
      </c>
      <c r="F76" s="42"/>
      <c r="G76" s="42"/>
      <c r="H76" s="15"/>
      <c r="I76" s="43">
        <f t="shared" si="6"/>
        <v>44538</v>
      </c>
      <c r="J76" s="44">
        <f>forward($E$4,D76,E76,CURVA!$H$6:H86,CURVA!$G$6:G86)</f>
        <v>2.0015563624537411E-2</v>
      </c>
      <c r="K76" s="44" t="str">
        <f>IFERROR(VLOOKUP(A76,CURVA!$B$8:$F$30,5,0),"")</f>
        <v/>
      </c>
      <c r="L76" s="45">
        <f t="shared" si="9"/>
        <v>7.7777777777777779E-2</v>
      </c>
      <c r="M76" s="46">
        <f>interpola(E76-$E$4,CURVA!$H$6:$H$20,CURVA!$G$6:$G$20)</f>
        <v>0.02</v>
      </c>
      <c r="N76" s="47">
        <f t="shared" si="10"/>
        <v>0.90102504738371714</v>
      </c>
      <c r="O76" s="49" t="str">
        <f>IF(K76="","",SUMPRODUCT($J$10:J76,$L$10:L76,$N$10:N76)*$E$5)</f>
        <v/>
      </c>
      <c r="P76" s="49" t="str">
        <f>IF(K76="","",SUMPRODUCT($L$10:L76,$N$10:N76)*$K76*$E$5)</f>
        <v/>
      </c>
      <c r="Q76" s="6"/>
      <c r="R76" s="12"/>
      <c r="S76" s="7"/>
    </row>
    <row r="77" spans="1:19" x14ac:dyDescent="0.2">
      <c r="A77" s="41">
        <f t="shared" si="7"/>
        <v>1904</v>
      </c>
      <c r="C77" s="41">
        <v>68</v>
      </c>
      <c r="D77" s="15">
        <f t="shared" ref="D77:D140" si="11">E76</f>
        <v>44538</v>
      </c>
      <c r="E77" s="42">
        <f t="shared" si="8"/>
        <v>44566</v>
      </c>
      <c r="F77" s="42"/>
      <c r="G77" s="42"/>
      <c r="H77" s="15"/>
      <c r="I77" s="43">
        <f t="shared" si="6"/>
        <v>44566</v>
      </c>
      <c r="J77" s="44">
        <f>forward($E$4,D77,E77,CURVA!$H$6:H87,CURVA!$G$6:G87)</f>
        <v>2.0015563624537411E-2</v>
      </c>
      <c r="K77" s="44" t="str">
        <f>IFERROR(VLOOKUP(A77,CURVA!$B$8:$F$30,5,0),"")</f>
        <v/>
      </c>
      <c r="L77" s="45">
        <f t="shared" si="9"/>
        <v>7.7777777777777779E-2</v>
      </c>
      <c r="M77" s="46">
        <f>interpola(E77-$E$4,CURVA!$H$6:$H$20,CURVA!$G$6:$G$20)</f>
        <v>0.02</v>
      </c>
      <c r="N77" s="47">
        <f t="shared" si="10"/>
        <v>0.8996245424296021</v>
      </c>
      <c r="O77" s="49" t="str">
        <f>IF(K77="","",SUMPRODUCT($J$10:J77,$L$10:L77,$N$10:N77)*$E$5)</f>
        <v/>
      </c>
      <c r="P77" s="49" t="str">
        <f>IF(K77="","",SUMPRODUCT($L$10:L77,$N$10:N77)*$K77*$E$5)</f>
        <v/>
      </c>
      <c r="Q77" s="6"/>
      <c r="R77" s="12"/>
      <c r="S77" s="7"/>
    </row>
    <row r="78" spans="1:19" x14ac:dyDescent="0.2">
      <c r="A78" s="41">
        <f t="shared" si="7"/>
        <v>1932</v>
      </c>
      <c r="C78" s="41">
        <v>69</v>
      </c>
      <c r="D78" s="15">
        <f t="shared" si="11"/>
        <v>44566</v>
      </c>
      <c r="E78" s="42">
        <f t="shared" si="8"/>
        <v>44594</v>
      </c>
      <c r="F78" s="42"/>
      <c r="G78" s="42"/>
      <c r="H78" s="15"/>
      <c r="I78" s="43">
        <f t="shared" si="6"/>
        <v>44594</v>
      </c>
      <c r="J78" s="44">
        <f>forward($E$4,D78,E78,CURVA!$H$6:H88,CURVA!$G$6:G88)</f>
        <v>2.0015563624537411E-2</v>
      </c>
      <c r="K78" s="44" t="str">
        <f>IFERROR(VLOOKUP(A78,CURVA!$B$8:$F$30,5,0),"")</f>
        <v/>
      </c>
      <c r="L78" s="45">
        <f t="shared" si="9"/>
        <v>7.7777777777777779E-2</v>
      </c>
      <c r="M78" s="46">
        <f>interpola(E78-$E$4,CURVA!$H$6:$H$20,CURVA!$G$6:$G$20)</f>
        <v>0.02</v>
      </c>
      <c r="N78" s="47">
        <f t="shared" si="10"/>
        <v>0.89822621434518901</v>
      </c>
      <c r="O78" s="49" t="str">
        <f>IF(K78="","",SUMPRODUCT($J$10:J78,$L$10:L78,$N$10:N78)*$E$5)</f>
        <v/>
      </c>
      <c r="P78" s="49" t="str">
        <f>IF(K78="","",SUMPRODUCT($L$10:L78,$N$10:N78)*$K78*$E$5)</f>
        <v/>
      </c>
      <c r="Q78" s="6"/>
      <c r="R78" s="12"/>
      <c r="S78" s="7"/>
    </row>
    <row r="79" spans="1:19" x14ac:dyDescent="0.2">
      <c r="A79" s="41">
        <f t="shared" si="7"/>
        <v>1960</v>
      </c>
      <c r="C79" s="41">
        <v>70</v>
      </c>
      <c r="D79" s="15">
        <f t="shared" si="11"/>
        <v>44594</v>
      </c>
      <c r="E79" s="42">
        <f t="shared" si="8"/>
        <v>44622</v>
      </c>
      <c r="F79" s="42"/>
      <c r="G79" s="42"/>
      <c r="H79" s="15"/>
      <c r="I79" s="43">
        <f t="shared" si="6"/>
        <v>44622</v>
      </c>
      <c r="J79" s="44">
        <f>forward($E$4,D79,E79,CURVA!$H$6:H89,CURVA!$G$6:G89)</f>
        <v>2.0015563624537411E-2</v>
      </c>
      <c r="K79" s="44" t="str">
        <f>IFERROR(VLOOKUP(A79,CURVA!$B$8:$F$30,5,0),"")</f>
        <v/>
      </c>
      <c r="L79" s="45">
        <f t="shared" si="9"/>
        <v>7.7777777777777779E-2</v>
      </c>
      <c r="M79" s="46">
        <f>interpola(E79-$E$4,CURVA!$H$6:$H$20,CURVA!$G$6:$G$20)</f>
        <v>0.02</v>
      </c>
      <c r="N79" s="47">
        <f t="shared" si="10"/>
        <v>0.8968300597468688</v>
      </c>
      <c r="O79" s="49" t="str">
        <f>IF(K79="","",SUMPRODUCT($J$10:J79,$L$10:L79,$N$10:N79)*$E$5)</f>
        <v/>
      </c>
      <c r="P79" s="49" t="str">
        <f>IF(K79="","",SUMPRODUCT($L$10:L79,$N$10:N79)*$K79*$E$5)</f>
        <v/>
      </c>
      <c r="Q79" s="6"/>
      <c r="R79" s="12"/>
      <c r="S79" s="7"/>
    </row>
    <row r="80" spans="1:19" x14ac:dyDescent="0.2">
      <c r="A80" s="41">
        <f t="shared" si="7"/>
        <v>1988</v>
      </c>
      <c r="C80" s="41">
        <v>71</v>
      </c>
      <c r="D80" s="15">
        <f t="shared" si="11"/>
        <v>44622</v>
      </c>
      <c r="E80" s="42">
        <f t="shared" si="8"/>
        <v>44650</v>
      </c>
      <c r="F80" s="42"/>
      <c r="G80" s="42"/>
      <c r="H80" s="15"/>
      <c r="I80" s="43">
        <f t="shared" si="6"/>
        <v>44650</v>
      </c>
      <c r="J80" s="44">
        <f>forward($E$4,D80,E80,CURVA!$H$6:H90,CURVA!$G$6:G90)</f>
        <v>2.0015563624537411E-2</v>
      </c>
      <c r="K80" s="44" t="str">
        <f>IFERROR(VLOOKUP(A80,CURVA!$B$8:$F$30,5,0),"")</f>
        <v/>
      </c>
      <c r="L80" s="45">
        <f t="shared" si="9"/>
        <v>7.7777777777777779E-2</v>
      </c>
      <c r="M80" s="46">
        <f>interpola(E80-$E$4,CURVA!$H$6:$H$20,CURVA!$G$6:$G$20)</f>
        <v>0.02</v>
      </c>
      <c r="N80" s="47">
        <f t="shared" si="10"/>
        <v>0.89543607525629121</v>
      </c>
      <c r="O80" s="49" t="str">
        <f>IF(K80="","",SUMPRODUCT($J$10:J80,$L$10:L80,$N$10:N80)*$E$5)</f>
        <v/>
      </c>
      <c r="P80" s="49" t="str">
        <f>IF(K80="","",SUMPRODUCT($L$10:L80,$N$10:N80)*$K80*$E$5)</f>
        <v/>
      </c>
      <c r="Q80" s="6"/>
      <c r="R80" s="12"/>
      <c r="S80" s="7"/>
    </row>
    <row r="81" spans="1:19" x14ac:dyDescent="0.2">
      <c r="A81" s="41">
        <f t="shared" si="7"/>
        <v>2016</v>
      </c>
      <c r="C81" s="41">
        <v>72</v>
      </c>
      <c r="D81" s="15">
        <f t="shared" si="11"/>
        <v>44650</v>
      </c>
      <c r="E81" s="42">
        <f t="shared" si="8"/>
        <v>44678</v>
      </c>
      <c r="F81" s="42"/>
      <c r="G81" s="42"/>
      <c r="H81" s="15"/>
      <c r="I81" s="43">
        <f t="shared" si="6"/>
        <v>44678</v>
      </c>
      <c r="J81" s="44">
        <f>forward($E$4,D81,E81,CURVA!$H$6:H91,CURVA!$G$6:G91)</f>
        <v>2.0015563624537411E-2</v>
      </c>
      <c r="K81" s="44">
        <f>IFERROR(VLOOKUP(A81,CURVA!$B$8:$F$30,5,0),"")</f>
        <v>9.6200000000000001E-3</v>
      </c>
      <c r="L81" s="45">
        <f t="shared" si="9"/>
        <v>7.7777777777777779E-2</v>
      </c>
      <c r="M81" s="46">
        <f>interpola(E81-$E$4,CURVA!$H$6:$H$20,CURVA!$G$6:$G$20)</f>
        <v>0.02</v>
      </c>
      <c r="N81" s="47">
        <f t="shared" si="10"/>
        <v>0.89404425750035721</v>
      </c>
      <c r="O81" s="49">
        <f>IF(K81="","",SUMPRODUCT($J$10:J81,$L$10:L81,$N$10:N81)*$E$5)</f>
        <v>105955.74249964558</v>
      </c>
      <c r="P81" s="49">
        <f>IF(K81="","",SUMPRODUCT($L$10:L81,$N$10:N81)*$K81*$E$5)</f>
        <v>50925.227566398782</v>
      </c>
      <c r="Q81" s="6"/>
      <c r="R81" s="12"/>
      <c r="S81" s="7"/>
    </row>
    <row r="82" spans="1:19" x14ac:dyDescent="0.2">
      <c r="A82" s="41">
        <f t="shared" si="7"/>
        <v>2044</v>
      </c>
      <c r="C82" s="41">
        <v>73</v>
      </c>
      <c r="D82" s="15">
        <f t="shared" si="11"/>
        <v>44678</v>
      </c>
      <c r="E82" s="42">
        <f t="shared" si="8"/>
        <v>44706</v>
      </c>
      <c r="F82" s="42"/>
      <c r="G82" s="42"/>
      <c r="H82" s="15"/>
      <c r="I82" s="43">
        <f t="shared" si="6"/>
        <v>44706</v>
      </c>
      <c r="J82" s="44">
        <f>forward($E$4,D82,E82,CURVA!$H$6:H92,CURVA!$G$6:G92)</f>
        <v>2.0015563624537411E-2</v>
      </c>
      <c r="K82" s="44" t="str">
        <f>IFERROR(VLOOKUP(A82,CURVA!$B$8:$F$30,5,0),"")</f>
        <v/>
      </c>
      <c r="L82" s="45">
        <f t="shared" si="9"/>
        <v>7.7777777777777779E-2</v>
      </c>
      <c r="M82" s="46">
        <f>interpola(E82-$E$4,CURVA!$H$6:$H$20,CURVA!$G$6:$G$20)</f>
        <v>0.02</v>
      </c>
      <c r="N82" s="47">
        <f t="shared" si="10"/>
        <v>0.89265460311121103</v>
      </c>
      <c r="O82" s="49" t="str">
        <f>IF(K82="","",SUMPRODUCT($J$10:J82,$L$10:L82,$N$10:N82)*$E$5)</f>
        <v/>
      </c>
      <c r="P82" s="49" t="str">
        <f>IF(K82="","",SUMPRODUCT($L$10:L82,$N$10:N82)*$K82*$E$5)</f>
        <v/>
      </c>
      <c r="Q82" s="6"/>
      <c r="R82" s="12"/>
      <c r="S82" s="7"/>
    </row>
    <row r="83" spans="1:19" x14ac:dyDescent="0.2">
      <c r="A83" s="41">
        <f t="shared" si="7"/>
        <v>2072</v>
      </c>
      <c r="C83" s="41">
        <v>74</v>
      </c>
      <c r="D83" s="15">
        <f t="shared" si="11"/>
        <v>44706</v>
      </c>
      <c r="E83" s="42">
        <f t="shared" si="8"/>
        <v>44734</v>
      </c>
      <c r="F83" s="42"/>
      <c r="G83" s="42"/>
      <c r="H83" s="15"/>
      <c r="I83" s="43">
        <f t="shared" si="6"/>
        <v>44734</v>
      </c>
      <c r="J83" s="44">
        <f>forward($E$4,D83,E83,CURVA!$H$6:H93,CURVA!$G$6:G93)</f>
        <v>2.0015563624537411E-2</v>
      </c>
      <c r="K83" s="44" t="str">
        <f>IFERROR(VLOOKUP(A83,CURVA!$B$8:$F$30,5,0),"")</f>
        <v/>
      </c>
      <c r="L83" s="45">
        <f t="shared" si="9"/>
        <v>7.7777777777777779E-2</v>
      </c>
      <c r="M83" s="46">
        <f>interpola(E83-$E$4,CURVA!$H$6:$H$20,CURVA!$G$6:$G$20)</f>
        <v>0.02</v>
      </c>
      <c r="N83" s="47">
        <f t="shared" si="10"/>
        <v>0.89126710872623138</v>
      </c>
      <c r="O83" s="49" t="str">
        <f>IF(K83="","",SUMPRODUCT($J$10:J83,$L$10:L83,$N$10:N83)*$E$5)</f>
        <v/>
      </c>
      <c r="P83" s="49" t="str">
        <f>IF(K83="","",SUMPRODUCT($L$10:L83,$N$10:N83)*$K83*$E$5)</f>
        <v/>
      </c>
      <c r="Q83" s="6"/>
      <c r="R83" s="12"/>
      <c r="S83" s="7"/>
    </row>
    <row r="84" spans="1:19" x14ac:dyDescent="0.2">
      <c r="A84" s="41">
        <f t="shared" si="7"/>
        <v>2100</v>
      </c>
      <c r="C84" s="41">
        <v>75</v>
      </c>
      <c r="D84" s="15">
        <f t="shared" si="11"/>
        <v>44734</v>
      </c>
      <c r="E84" s="42">
        <f t="shared" si="8"/>
        <v>44762</v>
      </c>
      <c r="F84" s="42"/>
      <c r="G84" s="42"/>
      <c r="H84" s="15"/>
      <c r="I84" s="43">
        <f t="shared" si="6"/>
        <v>44762</v>
      </c>
      <c r="J84" s="44">
        <f>forward($E$4,D84,E84,CURVA!$H$6:H94,CURVA!$G$6:G94)</f>
        <v>2.0015563624537411E-2</v>
      </c>
      <c r="K84" s="44" t="str">
        <f>IFERROR(VLOOKUP(A84,CURVA!$B$8:$F$30,5,0),"")</f>
        <v/>
      </c>
      <c r="L84" s="45">
        <f t="shared" si="9"/>
        <v>7.7777777777777779E-2</v>
      </c>
      <c r="M84" s="46">
        <f>interpola(E84-$E$4,CURVA!$H$6:$H$20,CURVA!$G$6:$G$20)</f>
        <v>0.02</v>
      </c>
      <c r="N84" s="47">
        <f t="shared" si="10"/>
        <v>0.88988177098802379</v>
      </c>
      <c r="O84" s="49" t="str">
        <f>IF(K84="","",SUMPRODUCT($J$10:J84,$L$10:L84,$N$10:N84)*$E$5)</f>
        <v/>
      </c>
      <c r="P84" s="49" t="str">
        <f>IF(K84="","",SUMPRODUCT($L$10:L84,$N$10:N84)*$K84*$E$5)</f>
        <v/>
      </c>
      <c r="Q84" s="6"/>
      <c r="R84" s="12"/>
      <c r="S84" s="7"/>
    </row>
    <row r="85" spans="1:19" x14ac:dyDescent="0.2">
      <c r="A85" s="41">
        <f t="shared" si="7"/>
        <v>2128</v>
      </c>
      <c r="C85" s="41">
        <v>76</v>
      </c>
      <c r="D85" s="15">
        <f t="shared" si="11"/>
        <v>44762</v>
      </c>
      <c r="E85" s="42">
        <f t="shared" si="8"/>
        <v>44790</v>
      </c>
      <c r="F85" s="42"/>
      <c r="G85" s="42"/>
      <c r="H85" s="15"/>
      <c r="I85" s="43">
        <f t="shared" si="6"/>
        <v>44790</v>
      </c>
      <c r="J85" s="44">
        <f>forward($E$4,D85,E85,CURVA!$H$6:H95,CURVA!$G$6:G95)</f>
        <v>2.0015563624537411E-2</v>
      </c>
      <c r="K85" s="44" t="str">
        <f>IFERROR(VLOOKUP(A85,CURVA!$B$8:$F$30,5,0),"")</f>
        <v/>
      </c>
      <c r="L85" s="45">
        <f t="shared" si="9"/>
        <v>7.7777777777777779E-2</v>
      </c>
      <c r="M85" s="46">
        <f>interpola(E85-$E$4,CURVA!$H$6:$H$20,CURVA!$G$6:$G$20)</f>
        <v>0.02</v>
      </c>
      <c r="N85" s="47">
        <f t="shared" si="10"/>
        <v>0.88849858654441227</v>
      </c>
      <c r="O85" s="49" t="str">
        <f>IF(K85="","",SUMPRODUCT($J$10:J85,$L$10:L85,$N$10:N85)*$E$5)</f>
        <v/>
      </c>
      <c r="P85" s="49" t="str">
        <f>IF(K85="","",SUMPRODUCT($L$10:L85,$N$10:N85)*$K85*$E$5)</f>
        <v/>
      </c>
      <c r="Q85" s="6"/>
      <c r="R85" s="12"/>
      <c r="S85" s="7"/>
    </row>
    <row r="86" spans="1:19" x14ac:dyDescent="0.2">
      <c r="A86" s="41">
        <f t="shared" si="7"/>
        <v>2156</v>
      </c>
      <c r="C86" s="41">
        <v>77</v>
      </c>
      <c r="D86" s="15">
        <f t="shared" si="11"/>
        <v>44790</v>
      </c>
      <c r="E86" s="42">
        <f t="shared" si="8"/>
        <v>44818</v>
      </c>
      <c r="F86" s="42"/>
      <c r="G86" s="42"/>
      <c r="H86" s="15"/>
      <c r="I86" s="43">
        <f t="shared" si="6"/>
        <v>44818</v>
      </c>
      <c r="J86" s="44">
        <f>forward($E$4,D86,E86,CURVA!$H$6:H96,CURVA!$G$6:G96)</f>
        <v>2.0015563624537411E-2</v>
      </c>
      <c r="K86" s="44" t="str">
        <f>IFERROR(VLOOKUP(A86,CURVA!$B$8:$F$30,5,0),"")</f>
        <v/>
      </c>
      <c r="L86" s="45">
        <f t="shared" si="9"/>
        <v>7.7777777777777779E-2</v>
      </c>
      <c r="M86" s="46">
        <f>interpola(E86-$E$4,CURVA!$H$6:$H$20,CURVA!$G$6:$G$20)</f>
        <v>0.02</v>
      </c>
      <c r="N86" s="47">
        <f t="shared" si="10"/>
        <v>0.88711755204843146</v>
      </c>
      <c r="O86" s="49" t="str">
        <f>IF(K86="","",SUMPRODUCT($J$10:J86,$L$10:L86,$N$10:N86)*$E$5)</f>
        <v/>
      </c>
      <c r="P86" s="49" t="str">
        <f>IF(K86="","",SUMPRODUCT($L$10:L86,$N$10:N86)*$K86*$E$5)</f>
        <v/>
      </c>
      <c r="Q86" s="6"/>
      <c r="R86" s="12"/>
      <c r="S86" s="7"/>
    </row>
    <row r="87" spans="1:19" x14ac:dyDescent="0.2">
      <c r="A87" s="41">
        <f t="shared" si="7"/>
        <v>2184</v>
      </c>
      <c r="C87" s="41">
        <v>78</v>
      </c>
      <c r="D87" s="15">
        <f t="shared" si="11"/>
        <v>44818</v>
      </c>
      <c r="E87" s="42">
        <f t="shared" si="8"/>
        <v>44846</v>
      </c>
      <c r="F87" s="42"/>
      <c r="G87" s="42"/>
      <c r="H87" s="15"/>
      <c r="I87" s="43">
        <f t="shared" si="6"/>
        <v>44846</v>
      </c>
      <c r="J87" s="44">
        <f>forward($E$4,D87,E87,CURVA!$H$6:H97,CURVA!$G$6:G97)</f>
        <v>2.0015563624537411E-2</v>
      </c>
      <c r="K87" s="44" t="str">
        <f>IFERROR(VLOOKUP(A87,CURVA!$B$8:$F$30,5,0),"")</f>
        <v/>
      </c>
      <c r="L87" s="45">
        <f t="shared" si="9"/>
        <v>7.7777777777777779E-2</v>
      </c>
      <c r="M87" s="46">
        <f>interpola(E87-$E$4,CURVA!$H$6:$H$20,CURVA!$G$6:$G$20)</f>
        <v>0.02</v>
      </c>
      <c r="N87" s="47">
        <f t="shared" si="10"/>
        <v>0.88573866415831792</v>
      </c>
      <c r="O87" s="49" t="str">
        <f>IF(K87="","",SUMPRODUCT($J$10:J87,$L$10:L87,$N$10:N87)*$E$5)</f>
        <v/>
      </c>
      <c r="P87" s="49" t="str">
        <f>IF(K87="","",SUMPRODUCT($L$10:L87,$N$10:N87)*$K87*$E$5)</f>
        <v/>
      </c>
      <c r="Q87" s="6"/>
      <c r="R87" s="12"/>
      <c r="S87" s="7"/>
    </row>
    <row r="88" spans="1:19" x14ac:dyDescent="0.2">
      <c r="A88" s="41">
        <f t="shared" si="7"/>
        <v>2212</v>
      </c>
      <c r="C88" s="41">
        <v>79</v>
      </c>
      <c r="D88" s="15">
        <f t="shared" si="11"/>
        <v>44846</v>
      </c>
      <c r="E88" s="42">
        <f t="shared" si="8"/>
        <v>44874</v>
      </c>
      <c r="F88" s="42"/>
      <c r="G88" s="42"/>
      <c r="H88" s="15"/>
      <c r="I88" s="43">
        <f t="shared" si="6"/>
        <v>44874</v>
      </c>
      <c r="J88" s="44">
        <f>forward($E$4,D88,E88,CURVA!$H$6:H98,CURVA!$G$6:G98)</f>
        <v>2.0015563624537411E-2</v>
      </c>
      <c r="K88" s="44" t="str">
        <f>IFERROR(VLOOKUP(A88,CURVA!$B$8:$F$30,5,0),"")</f>
        <v/>
      </c>
      <c r="L88" s="45">
        <f t="shared" si="9"/>
        <v>7.7777777777777779E-2</v>
      </c>
      <c r="M88" s="46">
        <f>interpola(E88-$E$4,CURVA!$H$6:$H$20,CURVA!$G$6:$G$20)</f>
        <v>0.02</v>
      </c>
      <c r="N88" s="47">
        <f t="shared" si="10"/>
        <v>0.88436191953750298</v>
      </c>
      <c r="O88" s="49" t="str">
        <f>IF(K88="","",SUMPRODUCT($J$10:J88,$L$10:L88,$N$10:N88)*$E$5)</f>
        <v/>
      </c>
      <c r="P88" s="49" t="str">
        <f>IF(K88="","",SUMPRODUCT($L$10:L88,$N$10:N88)*$K88*$E$5)</f>
        <v/>
      </c>
      <c r="Q88" s="6"/>
      <c r="R88" s="12"/>
      <c r="S88" s="7"/>
    </row>
    <row r="89" spans="1:19" x14ac:dyDescent="0.2">
      <c r="A89" s="41">
        <f t="shared" si="7"/>
        <v>2240</v>
      </c>
      <c r="C89" s="41">
        <v>80</v>
      </c>
      <c r="D89" s="15">
        <f t="shared" si="11"/>
        <v>44874</v>
      </c>
      <c r="E89" s="42">
        <f t="shared" si="8"/>
        <v>44902</v>
      </c>
      <c r="F89" s="42"/>
      <c r="G89" s="42"/>
      <c r="H89" s="15"/>
      <c r="I89" s="43">
        <f t="shared" si="6"/>
        <v>44902</v>
      </c>
      <c r="J89" s="44">
        <f>forward($E$4,D89,E89,CURVA!$H$6:H99,CURVA!$G$6:G99)</f>
        <v>2.0015563624537411E-2</v>
      </c>
      <c r="K89" s="44" t="str">
        <f>IFERROR(VLOOKUP(A89,CURVA!$B$8:$F$30,5,0),"")</f>
        <v/>
      </c>
      <c r="L89" s="45">
        <f t="shared" si="9"/>
        <v>7.7777777777777779E-2</v>
      </c>
      <c r="M89" s="46">
        <f>interpola(E89-$E$4,CURVA!$H$6:$H$20,CURVA!$G$6:$G$20)</f>
        <v>0.02</v>
      </c>
      <c r="N89" s="47">
        <f t="shared" si="10"/>
        <v>0.88298731485460391</v>
      </c>
      <c r="O89" s="49" t="str">
        <f>IF(K89="","",SUMPRODUCT($J$10:J89,$L$10:L89,$N$10:N89)*$E$5)</f>
        <v/>
      </c>
      <c r="P89" s="49" t="str">
        <f>IF(K89="","",SUMPRODUCT($L$10:L89,$N$10:N89)*$K89*$E$5)</f>
        <v/>
      </c>
      <c r="Q89" s="6"/>
      <c r="R89" s="12"/>
      <c r="S89" s="7"/>
    </row>
    <row r="90" spans="1:19" x14ac:dyDescent="0.2">
      <c r="A90" s="41">
        <f t="shared" si="7"/>
        <v>2268</v>
      </c>
      <c r="C90" s="41">
        <v>81</v>
      </c>
      <c r="D90" s="15">
        <f t="shared" si="11"/>
        <v>44902</v>
      </c>
      <c r="E90" s="42">
        <f t="shared" si="8"/>
        <v>44930</v>
      </c>
      <c r="F90" s="42"/>
      <c r="G90" s="42"/>
      <c r="H90" s="15"/>
      <c r="I90" s="43">
        <f t="shared" si="6"/>
        <v>44930</v>
      </c>
      <c r="J90" s="44">
        <f>forward($E$4,D90,E90,CURVA!$H$6:H100,CURVA!$G$6:G100)</f>
        <v>2.0015563624537411E-2</v>
      </c>
      <c r="K90" s="44" t="str">
        <f>IFERROR(VLOOKUP(A90,CURVA!$B$8:$F$30,5,0),"")</f>
        <v/>
      </c>
      <c r="L90" s="45">
        <f t="shared" si="9"/>
        <v>7.7777777777777779E-2</v>
      </c>
      <c r="M90" s="46">
        <f>interpola(E90-$E$4,CURVA!$H$6:$H$20,CURVA!$G$6:$G$20)</f>
        <v>0.02</v>
      </c>
      <c r="N90" s="47">
        <f t="shared" si="10"/>
        <v>0.88161484678341606</v>
      </c>
      <c r="O90" s="49" t="str">
        <f>IF(K90="","",SUMPRODUCT($J$10:J90,$L$10:L90,$N$10:N90)*$E$5)</f>
        <v/>
      </c>
      <c r="P90" s="49" t="str">
        <f>IF(K90="","",SUMPRODUCT($L$10:L90,$N$10:N90)*$K90*$E$5)</f>
        <v/>
      </c>
      <c r="Q90" s="6"/>
      <c r="R90" s="12"/>
      <c r="S90" s="7"/>
    </row>
    <row r="91" spans="1:19" x14ac:dyDescent="0.2">
      <c r="A91" s="41">
        <f t="shared" si="7"/>
        <v>2296</v>
      </c>
      <c r="C91" s="41">
        <v>82</v>
      </c>
      <c r="D91" s="15">
        <f t="shared" si="11"/>
        <v>44930</v>
      </c>
      <c r="E91" s="42">
        <f t="shared" si="8"/>
        <v>44958</v>
      </c>
      <c r="F91" s="42"/>
      <c r="G91" s="42"/>
      <c r="H91" s="15"/>
      <c r="I91" s="43">
        <f t="shared" si="6"/>
        <v>44958</v>
      </c>
      <c r="J91" s="44">
        <f>forward($E$4,D91,E91,CURVA!$H$6:H101,CURVA!$G$6:G101)</f>
        <v>2.0015563624537411E-2</v>
      </c>
      <c r="K91" s="44" t="str">
        <f>IFERROR(VLOOKUP(A91,CURVA!$B$8:$F$30,5,0),"")</f>
        <v/>
      </c>
      <c r="L91" s="45">
        <f t="shared" si="9"/>
        <v>7.7777777777777779E-2</v>
      </c>
      <c r="M91" s="46">
        <f>interpola(E91-$E$4,CURVA!$H$6:$H$20,CURVA!$G$6:$G$20)</f>
        <v>0.02</v>
      </c>
      <c r="N91" s="47">
        <f t="shared" si="10"/>
        <v>0.88024451200290488</v>
      </c>
      <c r="O91" s="49" t="str">
        <f>IF(K91="","",SUMPRODUCT($J$10:J91,$L$10:L91,$N$10:N91)*$E$5)</f>
        <v/>
      </c>
      <c r="P91" s="49" t="str">
        <f>IF(K91="","",SUMPRODUCT($L$10:L91,$N$10:N91)*$K91*$E$5)</f>
        <v/>
      </c>
      <c r="Q91" s="6"/>
      <c r="R91" s="12"/>
      <c r="S91" s="7"/>
    </row>
    <row r="92" spans="1:19" x14ac:dyDescent="0.2">
      <c r="A92" s="41">
        <f t="shared" si="7"/>
        <v>2324</v>
      </c>
      <c r="C92" s="41">
        <v>83</v>
      </c>
      <c r="D92" s="15">
        <f t="shared" si="11"/>
        <v>44958</v>
      </c>
      <c r="E92" s="42">
        <f t="shared" si="8"/>
        <v>44986</v>
      </c>
      <c r="F92" s="42"/>
      <c r="G92" s="42"/>
      <c r="H92" s="15"/>
      <c r="I92" s="43">
        <f t="shared" si="6"/>
        <v>44986</v>
      </c>
      <c r="J92" s="44">
        <f>forward($E$4,D92,E92,CURVA!$H$6:H102,CURVA!$G$6:G102)</f>
        <v>2.0015563624537411E-2</v>
      </c>
      <c r="K92" s="44" t="str">
        <f>IFERROR(VLOOKUP(A92,CURVA!$B$8:$F$30,5,0),"")</f>
        <v/>
      </c>
      <c r="L92" s="45">
        <f t="shared" si="9"/>
        <v>7.7777777777777779E-2</v>
      </c>
      <c r="M92" s="46">
        <f>interpola(E92-$E$4,CURVA!$H$6:$H$20,CURVA!$G$6:$G$20)</f>
        <v>0.02</v>
      </c>
      <c r="N92" s="47">
        <f t="shared" si="10"/>
        <v>0.87887630719719789</v>
      </c>
      <c r="O92" s="49" t="str">
        <f>IF(K92="","",SUMPRODUCT($J$10:J92,$L$10:L92,$N$10:N92)*$E$5)</f>
        <v/>
      </c>
      <c r="P92" s="49" t="str">
        <f>IF(K92="","",SUMPRODUCT($L$10:L92,$N$10:N92)*$K92*$E$5)</f>
        <v/>
      </c>
      <c r="Q92" s="6"/>
      <c r="R92" s="12"/>
      <c r="S92" s="7"/>
    </row>
    <row r="93" spans="1:19" x14ac:dyDescent="0.2">
      <c r="A93" s="41">
        <f t="shared" si="7"/>
        <v>2352</v>
      </c>
      <c r="C93" s="41">
        <v>84</v>
      </c>
      <c r="D93" s="15">
        <f t="shared" si="11"/>
        <v>44986</v>
      </c>
      <c r="E93" s="42">
        <f t="shared" si="8"/>
        <v>45014</v>
      </c>
      <c r="F93" s="42"/>
      <c r="G93" s="42"/>
      <c r="H93" s="15"/>
      <c r="I93" s="43">
        <f t="shared" si="6"/>
        <v>45014</v>
      </c>
      <c r="J93" s="44">
        <f>forward($E$4,D93,E93,CURVA!$H$6:H103,CURVA!$G$6:G103)</f>
        <v>2.0015563624537411E-2</v>
      </c>
      <c r="K93" s="44">
        <f>IFERROR(VLOOKUP(A93,CURVA!$B$8:$F$30,5,0),"")</f>
        <v>1.0329999999999999E-2</v>
      </c>
      <c r="L93" s="45">
        <f t="shared" si="9"/>
        <v>7.7777777777777779E-2</v>
      </c>
      <c r="M93" s="46">
        <f>interpola(E93-$E$4,CURVA!$H$6:$H$20,CURVA!$G$6:$G$20)</f>
        <v>0.02</v>
      </c>
      <c r="N93" s="47">
        <f t="shared" si="10"/>
        <v>0.87751022905557674</v>
      </c>
      <c r="O93" s="49">
        <f>IF(K93="","",SUMPRODUCT($J$10:J93,$L$10:L93,$N$10:N93)*$E$5)</f>
        <v>122489.77094442653</v>
      </c>
      <c r="P93" s="49">
        <f>IF(K93="","",SUMPRODUCT($L$10:L93,$N$10:N93)*$K93*$E$5)</f>
        <v>63216.927609940176</v>
      </c>
      <c r="Q93" s="6"/>
      <c r="R93" s="12"/>
      <c r="S93" s="7"/>
    </row>
    <row r="94" spans="1:19" x14ac:dyDescent="0.2">
      <c r="A94" s="41">
        <f t="shared" si="7"/>
        <v>2380</v>
      </c>
      <c r="C94" s="41">
        <v>85</v>
      </c>
      <c r="D94" s="15">
        <f t="shared" si="11"/>
        <v>45014</v>
      </c>
      <c r="E94" s="42">
        <f t="shared" si="8"/>
        <v>45042</v>
      </c>
      <c r="F94" s="42"/>
      <c r="G94" s="42"/>
      <c r="H94" s="15"/>
      <c r="I94" s="43">
        <f t="shared" si="6"/>
        <v>45042</v>
      </c>
      <c r="J94" s="44">
        <f>forward($E$4,D94,E94,CURVA!$H$6:H104,CURVA!$G$6:G104)</f>
        <v>2.0015563624537411E-2</v>
      </c>
      <c r="K94" s="44" t="str">
        <f>IFERROR(VLOOKUP(A94,CURVA!$B$8:$F$30,5,0),"")</f>
        <v/>
      </c>
      <c r="L94" s="45">
        <f t="shared" si="9"/>
        <v>7.7777777777777779E-2</v>
      </c>
      <c r="M94" s="46">
        <f>interpola(E94-$E$4,CURVA!$H$6:$H$20,CURVA!$G$6:$G$20)</f>
        <v>0.02</v>
      </c>
      <c r="N94" s="47">
        <f t="shared" si="10"/>
        <v>0.87614627427246883</v>
      </c>
      <c r="O94" s="49" t="str">
        <f>IF(K94="","",SUMPRODUCT($J$10:J94,$L$10:L94,$N$10:N94)*$E$5)</f>
        <v/>
      </c>
      <c r="P94" s="49" t="str">
        <f>IF(K94="","",SUMPRODUCT($L$10:L94,$N$10:N94)*$K94*$E$5)</f>
        <v/>
      </c>
      <c r="Q94" s="6"/>
      <c r="R94" s="12"/>
      <c r="S94" s="7"/>
    </row>
    <row r="95" spans="1:19" x14ac:dyDescent="0.2">
      <c r="A95" s="41">
        <f t="shared" si="7"/>
        <v>2408</v>
      </c>
      <c r="C95" s="41">
        <v>86</v>
      </c>
      <c r="D95" s="15">
        <f t="shared" si="11"/>
        <v>45042</v>
      </c>
      <c r="E95" s="42">
        <f t="shared" si="8"/>
        <v>45070</v>
      </c>
      <c r="F95" s="42"/>
      <c r="G95" s="42"/>
      <c r="H95" s="15"/>
      <c r="I95" s="43">
        <f t="shared" si="6"/>
        <v>45070</v>
      </c>
      <c r="J95" s="44">
        <f>forward($E$4,D95,E95,CURVA!$H$6:H105,CURVA!$G$6:G105)</f>
        <v>2.0015563624537411E-2</v>
      </c>
      <c r="K95" s="44" t="str">
        <f>IFERROR(VLOOKUP(A95,CURVA!$B$8:$F$30,5,0),"")</f>
        <v/>
      </c>
      <c r="L95" s="45">
        <f t="shared" si="9"/>
        <v>7.7777777777777779E-2</v>
      </c>
      <c r="M95" s="46">
        <f>interpola(E95-$E$4,CURVA!$H$6:$H$20,CURVA!$G$6:$G$20)</f>
        <v>0.02</v>
      </c>
      <c r="N95" s="47">
        <f t="shared" si="10"/>
        <v>0.87478443954743978</v>
      </c>
      <c r="O95" s="49" t="str">
        <f>IF(K95="","",SUMPRODUCT($J$10:J95,$L$10:L95,$N$10:N95)*$E$5)</f>
        <v/>
      </c>
      <c r="P95" s="49" t="str">
        <f>IF(K95="","",SUMPRODUCT($L$10:L95,$N$10:N95)*$K95*$E$5)</f>
        <v/>
      </c>
      <c r="Q95" s="6"/>
      <c r="R95" s="12"/>
      <c r="S95" s="7"/>
    </row>
    <row r="96" spans="1:19" x14ac:dyDescent="0.2">
      <c r="A96" s="41">
        <f t="shared" si="7"/>
        <v>2436</v>
      </c>
      <c r="C96" s="41">
        <v>87</v>
      </c>
      <c r="D96" s="15">
        <f t="shared" si="11"/>
        <v>45070</v>
      </c>
      <c r="E96" s="42">
        <f t="shared" si="8"/>
        <v>45098</v>
      </c>
      <c r="F96" s="42"/>
      <c r="G96" s="42"/>
      <c r="H96" s="15"/>
      <c r="I96" s="43">
        <f t="shared" si="6"/>
        <v>45098</v>
      </c>
      <c r="J96" s="44">
        <f>forward($E$4,D96,E96,CURVA!$H$6:H106,CURVA!$G$6:G106)</f>
        <v>2.0015563624537411E-2</v>
      </c>
      <c r="K96" s="44" t="str">
        <f>IFERROR(VLOOKUP(A96,CURVA!$B$8:$F$30,5,0),"")</f>
        <v/>
      </c>
      <c r="L96" s="45">
        <f t="shared" si="9"/>
        <v>7.7777777777777779E-2</v>
      </c>
      <c r="M96" s="46">
        <f>interpola(E96-$E$4,CURVA!$H$6:$H$20,CURVA!$G$6:$G$20)</f>
        <v>0.02</v>
      </c>
      <c r="N96" s="47">
        <f t="shared" si="10"/>
        <v>0.87342472158518514</v>
      </c>
      <c r="O96" s="49" t="str">
        <f>IF(K96="","",SUMPRODUCT($J$10:J96,$L$10:L96,$N$10:N96)*$E$5)</f>
        <v/>
      </c>
      <c r="P96" s="49" t="str">
        <f>IF(K96="","",SUMPRODUCT($L$10:L96,$N$10:N96)*$K96*$E$5)</f>
        <v/>
      </c>
      <c r="Q96" s="6"/>
      <c r="R96" s="12"/>
      <c r="S96" s="7"/>
    </row>
    <row r="97" spans="1:19" x14ac:dyDescent="0.2">
      <c r="A97" s="41">
        <f t="shared" si="7"/>
        <v>2464</v>
      </c>
      <c r="C97" s="41">
        <v>88</v>
      </c>
      <c r="D97" s="15">
        <f t="shared" si="11"/>
        <v>45098</v>
      </c>
      <c r="E97" s="42">
        <f t="shared" si="8"/>
        <v>45126</v>
      </c>
      <c r="F97" s="42"/>
      <c r="G97" s="42"/>
      <c r="H97" s="15"/>
      <c r="I97" s="43">
        <f t="shared" si="6"/>
        <v>45126</v>
      </c>
      <c r="J97" s="44">
        <f>forward($E$4,D97,E97,CURVA!$H$6:H107,CURVA!$G$6:G107)</f>
        <v>2.0015563624537411E-2</v>
      </c>
      <c r="K97" s="44" t="str">
        <f>IFERROR(VLOOKUP(A97,CURVA!$B$8:$F$30,5,0),"")</f>
        <v/>
      </c>
      <c r="L97" s="45">
        <f t="shared" si="9"/>
        <v>7.7777777777777779E-2</v>
      </c>
      <c r="M97" s="46">
        <f>interpola(E97-$E$4,CURVA!$H$6:$H$20,CURVA!$G$6:$G$20)</f>
        <v>0.02</v>
      </c>
      <c r="N97" s="47">
        <f t="shared" si="10"/>
        <v>0.87206711709552243</v>
      </c>
      <c r="O97" s="49" t="str">
        <f>IF(K97="","",SUMPRODUCT($J$10:J97,$L$10:L97,$N$10:N97)*$E$5)</f>
        <v/>
      </c>
      <c r="P97" s="49" t="str">
        <f>IF(K97="","",SUMPRODUCT($L$10:L97,$N$10:N97)*$K97*$E$5)</f>
        <v/>
      </c>
      <c r="Q97" s="6"/>
      <c r="R97" s="12"/>
      <c r="S97" s="7"/>
    </row>
    <row r="98" spans="1:19" x14ac:dyDescent="0.2">
      <c r="A98" s="41">
        <f t="shared" si="7"/>
        <v>2492</v>
      </c>
      <c r="C98" s="41">
        <v>89</v>
      </c>
      <c r="D98" s="15">
        <f t="shared" si="11"/>
        <v>45126</v>
      </c>
      <c r="E98" s="42">
        <f t="shared" si="8"/>
        <v>45154</v>
      </c>
      <c r="F98" s="42"/>
      <c r="G98" s="42"/>
      <c r="H98" s="15"/>
      <c r="I98" s="43">
        <f t="shared" si="6"/>
        <v>45154</v>
      </c>
      <c r="J98" s="44">
        <f>forward($E$4,D98,E98,CURVA!$H$6:H108,CURVA!$G$6:G108)</f>
        <v>2.0015563624537411E-2</v>
      </c>
      <c r="K98" s="44" t="str">
        <f>IFERROR(VLOOKUP(A98,CURVA!$B$8:$F$30,5,0),"")</f>
        <v/>
      </c>
      <c r="L98" s="45">
        <f t="shared" si="9"/>
        <v>7.7777777777777779E-2</v>
      </c>
      <c r="M98" s="46">
        <f>interpola(E98-$E$4,CURVA!$H$6:$H$20,CURVA!$G$6:$G$20)</f>
        <v>0.02</v>
      </c>
      <c r="N98" s="47">
        <f t="shared" si="10"/>
        <v>0.87071162279338332</v>
      </c>
      <c r="O98" s="49" t="str">
        <f>IF(K98="","",SUMPRODUCT($J$10:J98,$L$10:L98,$N$10:N98)*$E$5)</f>
        <v/>
      </c>
      <c r="P98" s="49" t="str">
        <f>IF(K98="","",SUMPRODUCT($L$10:L98,$N$10:N98)*$K98*$E$5)</f>
        <v/>
      </c>
      <c r="Q98" s="6"/>
      <c r="R98" s="12"/>
      <c r="S98" s="7"/>
    </row>
    <row r="99" spans="1:19" x14ac:dyDescent="0.2">
      <c r="A99" s="41">
        <f t="shared" si="7"/>
        <v>2520</v>
      </c>
      <c r="C99" s="41">
        <v>90</v>
      </c>
      <c r="D99" s="15">
        <f t="shared" si="11"/>
        <v>45154</v>
      </c>
      <c r="E99" s="42">
        <f t="shared" si="8"/>
        <v>45182</v>
      </c>
      <c r="F99" s="42"/>
      <c r="G99" s="42"/>
      <c r="H99" s="15"/>
      <c r="I99" s="43">
        <f t="shared" si="6"/>
        <v>45182</v>
      </c>
      <c r="J99" s="44">
        <f>forward($E$4,D99,E99,CURVA!$H$6:H109,CURVA!$G$6:G109)</f>
        <v>2.0015563624537411E-2</v>
      </c>
      <c r="K99" s="44" t="str">
        <f>IFERROR(VLOOKUP(A99,CURVA!$B$8:$F$30,5,0),"")</f>
        <v/>
      </c>
      <c r="L99" s="45">
        <f t="shared" si="9"/>
        <v>7.7777777777777779E-2</v>
      </c>
      <c r="M99" s="46">
        <f>interpola(E99-$E$4,CURVA!$H$6:$H$20,CURVA!$G$6:$G$20)</f>
        <v>0.02</v>
      </c>
      <c r="N99" s="47">
        <f t="shared" si="10"/>
        <v>0.86935823539880586</v>
      </c>
      <c r="O99" s="49" t="str">
        <f>IF(K99="","",SUMPRODUCT($J$10:J99,$L$10:L99,$N$10:N99)*$E$5)</f>
        <v/>
      </c>
      <c r="P99" s="49" t="str">
        <f>IF(K99="","",SUMPRODUCT($L$10:L99,$N$10:N99)*$K99*$E$5)</f>
        <v/>
      </c>
      <c r="Q99" s="6"/>
      <c r="R99" s="12"/>
      <c r="S99" s="7"/>
    </row>
    <row r="100" spans="1:19" x14ac:dyDescent="0.2">
      <c r="A100" s="41">
        <f t="shared" si="7"/>
        <v>2548</v>
      </c>
      <c r="B100" s="41" t="s">
        <v>13</v>
      </c>
      <c r="C100" s="41">
        <v>91</v>
      </c>
      <c r="D100" s="15">
        <f t="shared" si="11"/>
        <v>45182</v>
      </c>
      <c r="E100" s="42">
        <f t="shared" si="8"/>
        <v>45210</v>
      </c>
      <c r="F100" s="42"/>
      <c r="G100" s="42"/>
      <c r="H100" s="15"/>
      <c r="I100" s="43">
        <f t="shared" si="6"/>
        <v>45210</v>
      </c>
      <c r="J100" s="44">
        <f>forward($E$4,D100,E100,CURVA!$H$6:H110,CURVA!$G$6:G110)</f>
        <v>2.0015563624537411E-2</v>
      </c>
      <c r="K100" s="44" t="str">
        <f>IFERROR(VLOOKUP(A100,CURVA!$B$8:$F$30,5,0),"")</f>
        <v/>
      </c>
      <c r="L100" s="45">
        <f t="shared" si="9"/>
        <v>7.7777777777777779E-2</v>
      </c>
      <c r="M100" s="46">
        <f>interpola(E100-$E$4,CURVA!$H$6:$H$20,CURVA!$G$6:$G$20)</f>
        <v>0.02</v>
      </c>
      <c r="N100" s="47">
        <f t="shared" si="10"/>
        <v>0.86800695163692576</v>
      </c>
      <c r="O100" s="49" t="str">
        <f>IF(K100="","",SUMPRODUCT($J$10:J100,$L$10:L100,$N$10:N100)*$E$5)</f>
        <v/>
      </c>
      <c r="P100" s="49" t="str">
        <f>IF(K100="","",SUMPRODUCT($L$10:L100,$N$10:N100)*$K100*$E$5)</f>
        <v/>
      </c>
      <c r="Q100" s="6"/>
      <c r="R100" s="12"/>
      <c r="S100" s="7"/>
    </row>
    <row r="101" spans="1:19" x14ac:dyDescent="0.2">
      <c r="A101" s="41">
        <f t="shared" si="7"/>
        <v>2576</v>
      </c>
      <c r="C101" s="41">
        <v>92</v>
      </c>
      <c r="D101" s="15">
        <f t="shared" si="11"/>
        <v>45210</v>
      </c>
      <c r="E101" s="42">
        <f t="shared" si="8"/>
        <v>45238</v>
      </c>
      <c r="F101" s="42"/>
      <c r="G101" s="42"/>
      <c r="H101" s="15"/>
      <c r="I101" s="43">
        <f t="shared" si="6"/>
        <v>45238</v>
      </c>
      <c r="J101" s="44">
        <f>forward($E$4,D101,E101,CURVA!$H$6:H111,CURVA!$G$6:G111)</f>
        <v>2.0015563624537411E-2</v>
      </c>
      <c r="K101" s="44" t="str">
        <f>IFERROR(VLOOKUP(A101,CURVA!$B$8:$F$30,5,0),"")</f>
        <v/>
      </c>
      <c r="L101" s="45">
        <f t="shared" si="9"/>
        <v>7.7777777777777779E-2</v>
      </c>
      <c r="M101" s="46">
        <f>interpola(E101-$E$4,CURVA!$H$6:$H$20,CURVA!$G$6:$G$20)</f>
        <v>0.02</v>
      </c>
      <c r="N101" s="47">
        <f t="shared" si="10"/>
        <v>0.86665776823796947</v>
      </c>
      <c r="O101" s="49" t="str">
        <f>IF(K101="","",SUMPRODUCT($J$10:J101,$L$10:L101,$N$10:N101)*$E$5)</f>
        <v/>
      </c>
      <c r="P101" s="49" t="str">
        <f>IF(K101="","",SUMPRODUCT($L$10:L101,$N$10:N101)*$K101*$E$5)</f>
        <v/>
      </c>
      <c r="Q101" s="6"/>
      <c r="R101" s="12"/>
      <c r="S101" s="7"/>
    </row>
    <row r="102" spans="1:19" x14ac:dyDescent="0.2">
      <c r="A102" s="41">
        <f t="shared" si="7"/>
        <v>2604</v>
      </c>
      <c r="C102" s="41">
        <v>93</v>
      </c>
      <c r="D102" s="15">
        <f t="shared" si="11"/>
        <v>45238</v>
      </c>
      <c r="E102" s="42">
        <f t="shared" si="8"/>
        <v>45266</v>
      </c>
      <c r="F102" s="42"/>
      <c r="G102" s="42"/>
      <c r="H102" s="15"/>
      <c r="I102" s="43">
        <f t="shared" si="6"/>
        <v>45266</v>
      </c>
      <c r="J102" s="44">
        <f>forward($E$4,D102,E102,CURVA!$H$6:H112,CURVA!$G$6:G112)</f>
        <v>2.0015563624537411E-2</v>
      </c>
      <c r="K102" s="44" t="str">
        <f>IFERROR(VLOOKUP(A102,CURVA!$B$8:$F$30,5,0),"")</f>
        <v/>
      </c>
      <c r="L102" s="45">
        <f t="shared" si="9"/>
        <v>7.7777777777777779E-2</v>
      </c>
      <c r="M102" s="46">
        <f>interpola(E102-$E$4,CURVA!$H$6:$H$20,CURVA!$G$6:$G$20)</f>
        <v>0.02</v>
      </c>
      <c r="N102" s="47">
        <f t="shared" si="10"/>
        <v>0.8653106819372457</v>
      </c>
      <c r="O102" s="49" t="str">
        <f>IF(K102="","",SUMPRODUCT($J$10:J102,$L$10:L102,$N$10:N102)*$E$5)</f>
        <v/>
      </c>
      <c r="P102" s="49" t="str">
        <f>IF(K102="","",SUMPRODUCT($L$10:L102,$N$10:N102)*$K102*$E$5)</f>
        <v/>
      </c>
      <c r="Q102" s="6"/>
      <c r="R102" s="12"/>
      <c r="S102" s="7"/>
    </row>
    <row r="103" spans="1:19" x14ac:dyDescent="0.2">
      <c r="A103" s="41">
        <f t="shared" si="7"/>
        <v>2632</v>
      </c>
      <c r="C103" s="41">
        <v>94</v>
      </c>
      <c r="D103" s="15">
        <f t="shared" si="11"/>
        <v>45266</v>
      </c>
      <c r="E103" s="42">
        <f t="shared" si="8"/>
        <v>45294</v>
      </c>
      <c r="F103" s="42"/>
      <c r="G103" s="42"/>
      <c r="H103" s="15"/>
      <c r="I103" s="43">
        <f t="shared" si="6"/>
        <v>45294</v>
      </c>
      <c r="J103" s="44">
        <f>forward($E$4,D103,E103,CURVA!$H$6:H113,CURVA!$G$6:G113)</f>
        <v>2.0015563624537411E-2</v>
      </c>
      <c r="K103" s="44" t="str">
        <f>IFERROR(VLOOKUP(A103,CURVA!$B$8:$F$30,5,0),"")</f>
        <v/>
      </c>
      <c r="L103" s="45">
        <f t="shared" si="9"/>
        <v>7.7777777777777779E-2</v>
      </c>
      <c r="M103" s="46">
        <f>interpola(E103-$E$4,CURVA!$H$6:$H$20,CURVA!$G$6:$G$20)</f>
        <v>0.02</v>
      </c>
      <c r="N103" s="47">
        <f t="shared" si="10"/>
        <v>0.86396568947513741</v>
      </c>
      <c r="O103" s="49" t="str">
        <f>IF(K103="","",SUMPRODUCT($J$10:J103,$L$10:L103,$N$10:N103)*$E$5)</f>
        <v/>
      </c>
      <c r="P103" s="49" t="str">
        <f>IF(K103="","",SUMPRODUCT($L$10:L103,$N$10:N103)*$K103*$E$5)</f>
        <v/>
      </c>
      <c r="Q103" s="6"/>
      <c r="R103" s="12"/>
      <c r="S103" s="7"/>
    </row>
    <row r="104" spans="1:19" x14ac:dyDescent="0.2">
      <c r="A104" s="41">
        <f t="shared" si="7"/>
        <v>2660</v>
      </c>
      <c r="C104" s="41">
        <v>95</v>
      </c>
      <c r="D104" s="15">
        <f t="shared" si="11"/>
        <v>45294</v>
      </c>
      <c r="E104" s="42">
        <f t="shared" si="8"/>
        <v>45322</v>
      </c>
      <c r="F104" s="42"/>
      <c r="G104" s="42"/>
      <c r="H104" s="15"/>
      <c r="I104" s="43">
        <f t="shared" si="6"/>
        <v>45322</v>
      </c>
      <c r="J104" s="44">
        <f>forward($E$4,D104,E104,CURVA!$H$6:H114,CURVA!$G$6:G114)</f>
        <v>2.0015563624537411E-2</v>
      </c>
      <c r="K104" s="44" t="str">
        <f>IFERROR(VLOOKUP(A104,CURVA!$B$8:$F$30,5,0),"")</f>
        <v/>
      </c>
      <c r="L104" s="45">
        <f t="shared" si="9"/>
        <v>7.7777777777777779E-2</v>
      </c>
      <c r="M104" s="46">
        <f>interpola(E104-$E$4,CURVA!$H$6:$H$20,CURVA!$G$6:$G$20)</f>
        <v>0.02</v>
      </c>
      <c r="N104" s="47">
        <f t="shared" si="10"/>
        <v>0.86262278759709432</v>
      </c>
      <c r="O104" s="49" t="str">
        <f>IF(K104="","",SUMPRODUCT($J$10:J104,$L$10:L104,$N$10:N104)*$E$5)</f>
        <v/>
      </c>
      <c r="P104" s="49" t="str">
        <f>IF(K104="","",SUMPRODUCT($L$10:L104,$N$10:N104)*$K104*$E$5)</f>
        <v/>
      </c>
      <c r="Q104" s="6"/>
      <c r="R104" s="12"/>
      <c r="S104" s="7"/>
    </row>
    <row r="105" spans="1:19" x14ac:dyDescent="0.2">
      <c r="A105" s="41">
        <f t="shared" si="7"/>
        <v>2688</v>
      </c>
      <c r="C105" s="41">
        <v>96</v>
      </c>
      <c r="D105" s="15">
        <f t="shared" si="11"/>
        <v>45322</v>
      </c>
      <c r="E105" s="42">
        <f t="shared" si="8"/>
        <v>45350</v>
      </c>
      <c r="F105" s="42"/>
      <c r="G105" s="42"/>
      <c r="H105" s="15"/>
      <c r="I105" s="43">
        <f t="shared" si="6"/>
        <v>45350</v>
      </c>
      <c r="J105" s="44">
        <f>forward($E$4,D105,E105,CURVA!$H$6:H115,CURVA!$G$6:G115)</f>
        <v>2.0015563624537411E-2</v>
      </c>
      <c r="K105" s="44">
        <f>IFERROR(VLOOKUP(A105,CURVA!$B$8:$F$30,5,0),"")</f>
        <v>1.098E-2</v>
      </c>
      <c r="L105" s="45">
        <f t="shared" si="9"/>
        <v>7.7777777777777779E-2</v>
      </c>
      <c r="M105" s="46">
        <f>interpola(E105-$E$4,CURVA!$H$6:$H$20,CURVA!$G$6:$G$20)</f>
        <v>0.02</v>
      </c>
      <c r="N105" s="47">
        <f t="shared" si="10"/>
        <v>0.86128197305362486</v>
      </c>
      <c r="O105" s="49">
        <f>IF(K105="","",SUMPRODUCT($J$10:J105,$L$10:L105,$N$10:N105)*$E$5)</f>
        <v>138718.02694637884</v>
      </c>
      <c r="P105" s="49">
        <f>IF(K105="","",SUMPRODUCT($L$10:L105,$N$10:N105)*$K105*$E$5)</f>
        <v>76097.144330027571</v>
      </c>
      <c r="Q105" s="6"/>
      <c r="R105" s="12"/>
      <c r="S105" s="7"/>
    </row>
    <row r="106" spans="1:19" x14ac:dyDescent="0.2">
      <c r="A106" s="41">
        <f t="shared" si="7"/>
        <v>2716</v>
      </c>
      <c r="C106" s="41">
        <v>97</v>
      </c>
      <c r="D106" s="15">
        <f t="shared" si="11"/>
        <v>45350</v>
      </c>
      <c r="E106" s="42">
        <f t="shared" si="8"/>
        <v>45378</v>
      </c>
      <c r="F106" s="42"/>
      <c r="G106" s="42"/>
      <c r="H106" s="15"/>
      <c r="I106" s="43">
        <f t="shared" si="6"/>
        <v>45378</v>
      </c>
      <c r="J106" s="44">
        <f>forward($E$4,D106,E106,CURVA!$H$6:H116,CURVA!$G$6:G116)</f>
        <v>2.0015563624537411E-2</v>
      </c>
      <c r="K106" s="44" t="str">
        <f>IFERROR(VLOOKUP(A106,CURVA!$B$8:$F$30,5,0),"")</f>
        <v/>
      </c>
      <c r="L106" s="45">
        <f t="shared" si="9"/>
        <v>7.7777777777777779E-2</v>
      </c>
      <c r="M106" s="46">
        <f>interpola(E106-$E$4,CURVA!$H$6:$H$20,CURVA!$G$6:$G$20)</f>
        <v>0.02</v>
      </c>
      <c r="N106" s="47">
        <f t="shared" si="10"/>
        <v>0.85994324260028832</v>
      </c>
      <c r="O106" s="49" t="str">
        <f>IF(K106="","",SUMPRODUCT($J$10:J106,$L$10:L106,$N$10:N106)*$E$5)</f>
        <v/>
      </c>
      <c r="P106" s="49" t="str">
        <f>IF(K106="","",SUMPRODUCT($L$10:L106,$N$10:N106)*$K106*$E$5)</f>
        <v/>
      </c>
      <c r="Q106" s="6"/>
      <c r="R106" s="12"/>
      <c r="S106" s="7"/>
    </row>
    <row r="107" spans="1:19" x14ac:dyDescent="0.2">
      <c r="A107" s="41">
        <f t="shared" si="7"/>
        <v>2744</v>
      </c>
      <c r="C107" s="41">
        <v>98</v>
      </c>
      <c r="D107" s="15">
        <f t="shared" si="11"/>
        <v>45378</v>
      </c>
      <c r="E107" s="42">
        <f t="shared" si="8"/>
        <v>45406</v>
      </c>
      <c r="F107" s="42"/>
      <c r="G107" s="42"/>
      <c r="H107" s="15"/>
      <c r="I107" s="43">
        <f t="shared" si="6"/>
        <v>45406</v>
      </c>
      <c r="J107" s="44">
        <f>forward($E$4,D107,E107,CURVA!$H$6:H117,CURVA!$G$6:G117)</f>
        <v>2.0015563624537411E-2</v>
      </c>
      <c r="K107" s="44" t="str">
        <f>IFERROR(VLOOKUP(A107,CURVA!$B$8:$F$30,5,0),"")</f>
        <v/>
      </c>
      <c r="L107" s="45">
        <f t="shared" si="9"/>
        <v>7.7777777777777779E-2</v>
      </c>
      <c r="M107" s="46">
        <f>interpola(E107-$E$4,CURVA!$H$6:$H$20,CURVA!$G$6:$G$20)</f>
        <v>0.02</v>
      </c>
      <c r="N107" s="47">
        <f t="shared" si="10"/>
        <v>0.85860659299768671</v>
      </c>
      <c r="O107" s="49" t="str">
        <f>IF(K107="","",SUMPRODUCT($J$10:J107,$L$10:L107,$N$10:N107)*$E$5)</f>
        <v/>
      </c>
      <c r="P107" s="49" t="str">
        <f>IF(K107="","",SUMPRODUCT($L$10:L107,$N$10:N107)*$K107*$E$5)</f>
        <v/>
      </c>
      <c r="Q107" s="6"/>
      <c r="R107" s="12"/>
      <c r="S107" s="7"/>
    </row>
    <row r="108" spans="1:19" x14ac:dyDescent="0.2">
      <c r="A108" s="41">
        <f t="shared" si="7"/>
        <v>2772</v>
      </c>
      <c r="C108" s="41">
        <v>99</v>
      </c>
      <c r="D108" s="15">
        <f t="shared" si="11"/>
        <v>45406</v>
      </c>
      <c r="E108" s="42">
        <f t="shared" si="8"/>
        <v>45434</v>
      </c>
      <c r="F108" s="42"/>
      <c r="G108" s="42"/>
      <c r="H108" s="15"/>
      <c r="I108" s="43">
        <f t="shared" si="6"/>
        <v>45434</v>
      </c>
      <c r="J108" s="44">
        <f>forward($E$4,D108,E108,CURVA!$H$6:H118,CURVA!$G$6:G118)</f>
        <v>2.0015563624537411E-2</v>
      </c>
      <c r="K108" s="44" t="str">
        <f>IFERROR(VLOOKUP(A108,CURVA!$B$8:$F$30,5,0),"")</f>
        <v/>
      </c>
      <c r="L108" s="45">
        <f t="shared" si="9"/>
        <v>7.7777777777777779E-2</v>
      </c>
      <c r="M108" s="46">
        <f>interpola(E108-$E$4,CURVA!$H$6:$H$20,CURVA!$G$6:$G$20)</f>
        <v>0.02</v>
      </c>
      <c r="N108" s="47">
        <f t="shared" si="10"/>
        <v>0.8572720210114575</v>
      </c>
      <c r="O108" s="49" t="str">
        <f>IF(K108="","",SUMPRODUCT($J$10:J108,$L$10:L108,$N$10:N108)*$E$5)</f>
        <v/>
      </c>
      <c r="P108" s="49" t="str">
        <f>IF(K108="","",SUMPRODUCT($L$10:L108,$N$10:N108)*$K108*$E$5)</f>
        <v/>
      </c>
      <c r="Q108" s="6"/>
      <c r="R108" s="12"/>
      <c r="S108" s="7"/>
    </row>
    <row r="109" spans="1:19" x14ac:dyDescent="0.2">
      <c r="A109" s="41">
        <f t="shared" si="7"/>
        <v>2800</v>
      </c>
      <c r="C109" s="41">
        <v>100</v>
      </c>
      <c r="D109" s="15">
        <f t="shared" si="11"/>
        <v>45434</v>
      </c>
      <c r="E109" s="42">
        <f t="shared" si="8"/>
        <v>45462</v>
      </c>
      <c r="F109" s="42"/>
      <c r="G109" s="42"/>
      <c r="H109" s="15"/>
      <c r="I109" s="43">
        <f t="shared" si="6"/>
        <v>45462</v>
      </c>
      <c r="J109" s="44">
        <f>forward($E$4,D109,E109,CURVA!$H$6:H119,CURVA!$G$6:G119)</f>
        <v>2.0015563624537411E-2</v>
      </c>
      <c r="K109" s="44" t="str">
        <f>IFERROR(VLOOKUP(A109,CURVA!$B$8:$F$30,5,0),"")</f>
        <v/>
      </c>
      <c r="L109" s="45">
        <f t="shared" si="9"/>
        <v>7.7777777777777779E-2</v>
      </c>
      <c r="M109" s="46">
        <f>interpola(E109-$E$4,CURVA!$H$6:$H$20,CURVA!$G$6:$G$20)</f>
        <v>0.02</v>
      </c>
      <c r="N109" s="47">
        <f t="shared" si="10"/>
        <v>0.8559395234122652</v>
      </c>
      <c r="O109" s="49" t="str">
        <f>IF(K109="","",SUMPRODUCT($J$10:J109,$L$10:L109,$N$10:N109)*$E$5)</f>
        <v/>
      </c>
      <c r="P109" s="49" t="str">
        <f>IF(K109="","",SUMPRODUCT($L$10:L109,$N$10:N109)*$K109*$E$5)</f>
        <v/>
      </c>
      <c r="Q109" s="6"/>
      <c r="R109" s="12"/>
      <c r="S109" s="7"/>
    </row>
    <row r="110" spans="1:19" x14ac:dyDescent="0.2">
      <c r="A110" s="41">
        <f t="shared" si="7"/>
        <v>2828</v>
      </c>
      <c r="C110" s="41">
        <v>101</v>
      </c>
      <c r="D110" s="15">
        <f t="shared" si="11"/>
        <v>45462</v>
      </c>
      <c r="E110" s="42">
        <f t="shared" si="8"/>
        <v>45490</v>
      </c>
      <c r="F110" s="42"/>
      <c r="G110" s="42"/>
      <c r="H110" s="15"/>
      <c r="I110" s="43">
        <f t="shared" si="6"/>
        <v>45490</v>
      </c>
      <c r="J110" s="44">
        <f>forward($E$4,D110,E110,CURVA!$H$6:H120,CURVA!$G$6:G120)</f>
        <v>2.0015563624537411E-2</v>
      </c>
      <c r="K110" s="44" t="str">
        <f>IFERROR(VLOOKUP(A110,CURVA!$B$8:$F$30,5,0),"")</f>
        <v/>
      </c>
      <c r="L110" s="45">
        <f t="shared" si="9"/>
        <v>7.7777777777777779E-2</v>
      </c>
      <c r="M110" s="46">
        <f>interpola(E110-$E$4,CURVA!$H$6:$H$20,CURVA!$G$6:$G$20)</f>
        <v>0.02</v>
      </c>
      <c r="N110" s="47">
        <f t="shared" si="10"/>
        <v>0.85460909697579424</v>
      </c>
      <c r="O110" s="49" t="str">
        <f>IF(K110="","",SUMPRODUCT($J$10:J110,$L$10:L110,$N$10:N110)*$E$5)</f>
        <v/>
      </c>
      <c r="P110" s="49" t="str">
        <f>IF(K110="","",SUMPRODUCT($L$10:L110,$N$10:N110)*$K110*$E$5)</f>
        <v/>
      </c>
      <c r="Q110" s="6"/>
      <c r="R110" s="12"/>
      <c r="S110" s="7"/>
    </row>
    <row r="111" spans="1:19" x14ac:dyDescent="0.2">
      <c r="A111" s="41">
        <f t="shared" si="7"/>
        <v>2856</v>
      </c>
      <c r="C111" s="41">
        <v>102</v>
      </c>
      <c r="D111" s="15">
        <f t="shared" si="11"/>
        <v>45490</v>
      </c>
      <c r="E111" s="42">
        <f t="shared" si="8"/>
        <v>45518</v>
      </c>
      <c r="F111" s="42"/>
      <c r="G111" s="42"/>
      <c r="H111" s="15"/>
      <c r="I111" s="43">
        <f t="shared" si="6"/>
        <v>45518</v>
      </c>
      <c r="J111" s="44">
        <f>forward($E$4,D111,E111,CURVA!$H$6:H121,CURVA!$G$6:G121)</f>
        <v>2.0015563624537411E-2</v>
      </c>
      <c r="K111" s="44" t="str">
        <f>IFERROR(VLOOKUP(A111,CURVA!$B$8:$F$30,5,0),"")</f>
        <v/>
      </c>
      <c r="L111" s="45">
        <f t="shared" si="9"/>
        <v>7.7777777777777779E-2</v>
      </c>
      <c r="M111" s="46">
        <f>interpola(E111-$E$4,CURVA!$H$6:$H$20,CURVA!$G$6:$G$20)</f>
        <v>0.02</v>
      </c>
      <c r="N111" s="47">
        <f t="shared" si="10"/>
        <v>0.85328073848274033</v>
      </c>
      <c r="O111" s="49" t="str">
        <f>IF(K111="","",SUMPRODUCT($J$10:J111,$L$10:L111,$N$10:N111)*$E$5)</f>
        <v/>
      </c>
      <c r="P111" s="49" t="str">
        <f>IF(K111="","",SUMPRODUCT($L$10:L111,$N$10:N111)*$K111*$E$5)</f>
        <v/>
      </c>
      <c r="Q111" s="6"/>
      <c r="R111" s="12"/>
      <c r="S111" s="7"/>
    </row>
    <row r="112" spans="1:19" x14ac:dyDescent="0.2">
      <c r="A112" s="41">
        <f t="shared" si="7"/>
        <v>2884</v>
      </c>
      <c r="C112" s="41">
        <v>103</v>
      </c>
      <c r="D112" s="15">
        <f t="shared" si="11"/>
        <v>45518</v>
      </c>
      <c r="E112" s="42">
        <f t="shared" si="8"/>
        <v>45546</v>
      </c>
      <c r="F112" s="42"/>
      <c r="G112" s="42"/>
      <c r="H112" s="15"/>
      <c r="I112" s="43">
        <f t="shared" si="6"/>
        <v>45546</v>
      </c>
      <c r="J112" s="44">
        <f>forward($E$4,D112,E112,CURVA!$H$6:H122,CURVA!$G$6:G122)</f>
        <v>2.0015563624537411E-2</v>
      </c>
      <c r="K112" s="44" t="str">
        <f>IFERROR(VLOOKUP(A112,CURVA!$B$8:$F$30,5,0),"")</f>
        <v/>
      </c>
      <c r="L112" s="45">
        <f t="shared" si="9"/>
        <v>7.7777777777777779E-2</v>
      </c>
      <c r="M112" s="46">
        <f>interpola(E112-$E$4,CURVA!$H$6:$H$20,CURVA!$G$6:$G$20)</f>
        <v>0.02</v>
      </c>
      <c r="N112" s="47">
        <f t="shared" si="10"/>
        <v>0.85195444471880333</v>
      </c>
      <c r="O112" s="49" t="str">
        <f>IF(K112="","",SUMPRODUCT($J$10:J112,$L$10:L112,$N$10:N112)*$E$5)</f>
        <v/>
      </c>
      <c r="P112" s="49" t="str">
        <f>IF(K112="","",SUMPRODUCT($L$10:L112,$N$10:N112)*$K112*$E$5)</f>
        <v/>
      </c>
      <c r="Q112" s="6"/>
      <c r="R112" s="12"/>
      <c r="S112" s="7"/>
    </row>
    <row r="113" spans="1:19" x14ac:dyDescent="0.2">
      <c r="A113" s="41">
        <f t="shared" si="7"/>
        <v>2912</v>
      </c>
      <c r="C113" s="41">
        <v>104</v>
      </c>
      <c r="D113" s="15">
        <f t="shared" si="11"/>
        <v>45546</v>
      </c>
      <c r="E113" s="42">
        <f t="shared" si="8"/>
        <v>45574</v>
      </c>
      <c r="F113" s="42"/>
      <c r="G113" s="42"/>
      <c r="H113" s="15"/>
      <c r="I113" s="43">
        <f t="shared" si="6"/>
        <v>45574</v>
      </c>
      <c r="J113" s="44">
        <f>forward($E$4,D113,E113,CURVA!$H$6:H123,CURVA!$G$6:G123)</f>
        <v>2.0015563624537411E-2</v>
      </c>
      <c r="K113" s="44" t="str">
        <f>IFERROR(VLOOKUP(A113,CURVA!$B$8:$F$30,5,0),"")</f>
        <v/>
      </c>
      <c r="L113" s="45">
        <f t="shared" si="9"/>
        <v>7.7777777777777779E-2</v>
      </c>
      <c r="M113" s="46">
        <f>interpola(E113-$E$4,CURVA!$H$6:$H$20,CURVA!$G$6:$G$20)</f>
        <v>0.02</v>
      </c>
      <c r="N113" s="47">
        <f t="shared" si="10"/>
        <v>0.85063021247467907</v>
      </c>
      <c r="O113" s="49" t="str">
        <f>IF(K113="","",SUMPRODUCT($J$10:J113,$L$10:L113,$N$10:N113)*$E$5)</f>
        <v/>
      </c>
      <c r="P113" s="49" t="str">
        <f>IF(K113="","",SUMPRODUCT($L$10:L113,$N$10:N113)*$K113*$E$5)</f>
        <v/>
      </c>
      <c r="Q113" s="6"/>
      <c r="R113" s="12"/>
      <c r="S113" s="7"/>
    </row>
    <row r="114" spans="1:19" x14ac:dyDescent="0.2">
      <c r="A114" s="41">
        <f t="shared" si="7"/>
        <v>2940</v>
      </c>
      <c r="C114" s="41">
        <v>105</v>
      </c>
      <c r="D114" s="15">
        <f t="shared" si="11"/>
        <v>45574</v>
      </c>
      <c r="E114" s="42">
        <f t="shared" si="8"/>
        <v>45602</v>
      </c>
      <c r="F114" s="42"/>
      <c r="G114" s="42"/>
      <c r="H114" s="15"/>
      <c r="I114" s="43">
        <f t="shared" si="6"/>
        <v>45602</v>
      </c>
      <c r="J114" s="44">
        <f>forward($E$4,D114,E114,CURVA!$H$6:H124,CURVA!$G$6:G124)</f>
        <v>2.0015563624537411E-2</v>
      </c>
      <c r="K114" s="44" t="str">
        <f>IFERROR(VLOOKUP(A114,CURVA!$B$8:$F$30,5,0),"")</f>
        <v/>
      </c>
      <c r="L114" s="45">
        <f t="shared" si="9"/>
        <v>7.7777777777777779E-2</v>
      </c>
      <c r="M114" s="46">
        <f>interpola(E114-$E$4,CURVA!$H$6:$H$20,CURVA!$G$6:$G$20)</f>
        <v>0.02</v>
      </c>
      <c r="N114" s="47">
        <f t="shared" si="10"/>
        <v>0.84930803854605186</v>
      </c>
      <c r="O114" s="49" t="str">
        <f>IF(K114="","",SUMPRODUCT($J$10:J114,$L$10:L114,$N$10:N114)*$E$5)</f>
        <v/>
      </c>
      <c r="P114" s="49" t="str">
        <f>IF(K114="","",SUMPRODUCT($L$10:L114,$N$10:N114)*$K114*$E$5)</f>
        <v/>
      </c>
      <c r="Q114" s="6"/>
      <c r="R114" s="12"/>
      <c r="S114" s="7"/>
    </row>
    <row r="115" spans="1:19" x14ac:dyDescent="0.2">
      <c r="A115" s="41">
        <f t="shared" si="7"/>
        <v>2968</v>
      </c>
      <c r="C115" s="41">
        <v>106</v>
      </c>
      <c r="D115" s="15">
        <f t="shared" si="11"/>
        <v>45602</v>
      </c>
      <c r="E115" s="42">
        <f t="shared" si="8"/>
        <v>45630</v>
      </c>
      <c r="F115" s="42"/>
      <c r="G115" s="42"/>
      <c r="H115" s="15"/>
      <c r="I115" s="43">
        <f t="shared" si="6"/>
        <v>45630</v>
      </c>
      <c r="J115" s="44">
        <f>forward($E$4,D115,E115,CURVA!$H$6:H125,CURVA!$G$6:G125)</f>
        <v>2.0015563624537411E-2</v>
      </c>
      <c r="K115" s="44" t="str">
        <f>IFERROR(VLOOKUP(A115,CURVA!$B$8:$F$30,5,0),"")</f>
        <v/>
      </c>
      <c r="L115" s="45">
        <f t="shared" si="9"/>
        <v>7.7777777777777779E-2</v>
      </c>
      <c r="M115" s="46">
        <f>interpola(E115-$E$4,CURVA!$H$6:$H$20,CURVA!$G$6:$G$20)</f>
        <v>0.02</v>
      </c>
      <c r="N115" s="47">
        <f t="shared" si="10"/>
        <v>0.84798791973358678</v>
      </c>
      <c r="O115" s="49" t="str">
        <f>IF(K115="","",SUMPRODUCT($J$10:J115,$L$10:L115,$N$10:N115)*$E$5)</f>
        <v/>
      </c>
      <c r="P115" s="49" t="str">
        <f>IF(K115="","",SUMPRODUCT($L$10:L115,$N$10:N115)*$K115*$E$5)</f>
        <v/>
      </c>
      <c r="Q115" s="6"/>
      <c r="R115" s="12"/>
      <c r="S115" s="7"/>
    </row>
    <row r="116" spans="1:19" x14ac:dyDescent="0.2">
      <c r="A116" s="41">
        <f t="shared" si="7"/>
        <v>2996</v>
      </c>
      <c r="C116" s="41">
        <v>107</v>
      </c>
      <c r="D116" s="15">
        <f t="shared" si="11"/>
        <v>45630</v>
      </c>
      <c r="E116" s="42">
        <f t="shared" si="8"/>
        <v>45658</v>
      </c>
      <c r="F116" s="42"/>
      <c r="G116" s="42"/>
      <c r="H116" s="15"/>
      <c r="I116" s="43">
        <f t="shared" si="6"/>
        <v>45658</v>
      </c>
      <c r="J116" s="44">
        <f>forward($E$4,D116,E116,CURVA!$H$6:H126,CURVA!$G$6:G126)</f>
        <v>2.0015563624537411E-2</v>
      </c>
      <c r="K116" s="44" t="str">
        <f>IFERROR(VLOOKUP(A116,CURVA!$B$8:$F$30,5,0),"")</f>
        <v/>
      </c>
      <c r="L116" s="45">
        <f t="shared" si="9"/>
        <v>7.7777777777777779E-2</v>
      </c>
      <c r="M116" s="46">
        <f>interpola(E116-$E$4,CURVA!$H$6:$H$20,CURVA!$G$6:$G$20)</f>
        <v>0.02</v>
      </c>
      <c r="N116" s="47">
        <f t="shared" si="10"/>
        <v>0.8466698528429214</v>
      </c>
      <c r="O116" s="49" t="str">
        <f>IF(K116="","",SUMPRODUCT($J$10:J116,$L$10:L116,$N$10:N116)*$E$5)</f>
        <v/>
      </c>
      <c r="P116" s="49" t="str">
        <f>IF(K116="","",SUMPRODUCT($L$10:L116,$N$10:N116)*$K116*$E$5)</f>
        <v/>
      </c>
      <c r="Q116" s="6"/>
      <c r="R116" s="12"/>
      <c r="S116" s="7"/>
    </row>
    <row r="117" spans="1:19" x14ac:dyDescent="0.2">
      <c r="A117" s="41">
        <f t="shared" si="7"/>
        <v>3024</v>
      </c>
      <c r="C117" s="41">
        <v>108</v>
      </c>
      <c r="D117" s="15">
        <f t="shared" si="11"/>
        <v>45658</v>
      </c>
      <c r="E117" s="42">
        <f t="shared" si="8"/>
        <v>45686</v>
      </c>
      <c r="F117" s="42"/>
      <c r="G117" s="42"/>
      <c r="H117" s="15"/>
      <c r="I117" s="43">
        <f t="shared" si="6"/>
        <v>45686</v>
      </c>
      <c r="J117" s="44">
        <f>forward($E$4,D117,E117,CURVA!$H$6:H127,CURVA!$G$6:G127)</f>
        <v>2.0015563624537411E-2</v>
      </c>
      <c r="K117" s="44">
        <f>IFERROR(VLOOKUP(A117,CURVA!$B$8:$F$30,5,0),"")</f>
        <v>1.1559999999999999E-2</v>
      </c>
      <c r="L117" s="45">
        <f t="shared" si="9"/>
        <v>7.7777777777777779E-2</v>
      </c>
      <c r="M117" s="46">
        <f>interpola(E117-$E$4,CURVA!$H$6:$H$20,CURVA!$G$6:$G$20)</f>
        <v>0.02</v>
      </c>
      <c r="N117" s="47">
        <f t="shared" si="10"/>
        <v>0.84535383468465874</v>
      </c>
      <c r="O117" s="49">
        <f>IF(K117="","",SUMPRODUCT($J$10:J117,$L$10:L117,$N$10:N117)*$E$5)</f>
        <v>154646.16531534542</v>
      </c>
      <c r="P117" s="49">
        <f>IF(K117="","",SUMPRODUCT($L$10:L117,$N$10:N117)*$K117*$E$5)</f>
        <v>89316.153015199161</v>
      </c>
      <c r="Q117" s="6"/>
      <c r="R117" s="12"/>
      <c r="S117" s="7"/>
    </row>
    <row r="118" spans="1:19" x14ac:dyDescent="0.2">
      <c r="A118" s="41">
        <f t="shared" si="7"/>
        <v>3052</v>
      </c>
      <c r="C118" s="41">
        <v>109</v>
      </c>
      <c r="D118" s="15">
        <f t="shared" si="11"/>
        <v>45686</v>
      </c>
      <c r="E118" s="42">
        <f t="shared" si="8"/>
        <v>45714</v>
      </c>
      <c r="F118" s="42"/>
      <c r="G118" s="42"/>
      <c r="H118" s="15"/>
      <c r="I118" s="43">
        <f t="shared" si="6"/>
        <v>45714</v>
      </c>
      <c r="J118" s="44">
        <f>forward($E$4,D118,E118,CURVA!$H$6:H128,CURVA!$G$6:G128)</f>
        <v>2.0015563624537411E-2</v>
      </c>
      <c r="K118" s="44" t="str">
        <f>IFERROR(VLOOKUP(A118,CURVA!$B$8:$F$30,5,0),"")</f>
        <v/>
      </c>
      <c r="L118" s="45">
        <f t="shared" si="9"/>
        <v>7.7777777777777779E-2</v>
      </c>
      <c r="M118" s="46">
        <f>interpola(E118-$E$4,CURVA!$H$6:$H$20,CURVA!$G$6:$G$20)</f>
        <v>0.02</v>
      </c>
      <c r="N118" s="47">
        <f t="shared" si="10"/>
        <v>0.8440398620743591</v>
      </c>
      <c r="O118" s="49" t="str">
        <f>IF(K118="","",SUMPRODUCT($J$10:J118,$L$10:L118,$N$10:N118)*$E$5)</f>
        <v/>
      </c>
      <c r="P118" s="49" t="str">
        <f>IF(K118="","",SUMPRODUCT($L$10:L118,$N$10:N118)*$K118*$E$5)</f>
        <v/>
      </c>
      <c r="Q118" s="6"/>
      <c r="R118" s="12"/>
      <c r="S118" s="7"/>
    </row>
    <row r="119" spans="1:19" x14ac:dyDescent="0.2">
      <c r="A119" s="41">
        <f t="shared" si="7"/>
        <v>3080</v>
      </c>
      <c r="C119" s="41">
        <v>110</v>
      </c>
      <c r="D119" s="15">
        <f t="shared" si="11"/>
        <v>45714</v>
      </c>
      <c r="E119" s="42">
        <f t="shared" si="8"/>
        <v>45742</v>
      </c>
      <c r="F119" s="42"/>
      <c r="G119" s="42"/>
      <c r="H119" s="15"/>
      <c r="I119" s="43">
        <f t="shared" si="6"/>
        <v>45742</v>
      </c>
      <c r="J119" s="44">
        <f>forward($E$4,D119,E119,CURVA!$H$6:H129,CURVA!$G$6:G129)</f>
        <v>2.0015563624537411E-2</v>
      </c>
      <c r="K119" s="44" t="str">
        <f>IFERROR(VLOOKUP(A119,CURVA!$B$8:$F$30,5,0),"")</f>
        <v/>
      </c>
      <c r="L119" s="45">
        <f t="shared" si="9"/>
        <v>7.7777777777777779E-2</v>
      </c>
      <c r="M119" s="46">
        <f>interpola(E119-$E$4,CURVA!$H$6:$H$20,CURVA!$G$6:$G$20)</f>
        <v>0.02</v>
      </c>
      <c r="N119" s="47">
        <f t="shared" si="10"/>
        <v>0.8427279318325327</v>
      </c>
      <c r="O119" s="49" t="str">
        <f>IF(K119="","",SUMPRODUCT($J$10:J119,$L$10:L119,$N$10:N119)*$E$5)</f>
        <v/>
      </c>
      <c r="P119" s="49" t="str">
        <f>IF(K119="","",SUMPRODUCT($L$10:L119,$N$10:N119)*$K119*$E$5)</f>
        <v/>
      </c>
      <c r="Q119" s="6"/>
      <c r="R119" s="12"/>
      <c r="S119" s="7"/>
    </row>
    <row r="120" spans="1:19" x14ac:dyDescent="0.2">
      <c r="A120" s="41">
        <f t="shared" si="7"/>
        <v>3108</v>
      </c>
      <c r="C120" s="41">
        <v>111</v>
      </c>
      <c r="D120" s="15">
        <f t="shared" si="11"/>
        <v>45742</v>
      </c>
      <c r="E120" s="42">
        <f t="shared" si="8"/>
        <v>45770</v>
      </c>
      <c r="F120" s="42"/>
      <c r="G120" s="42"/>
      <c r="H120" s="15"/>
      <c r="I120" s="43">
        <f t="shared" si="6"/>
        <v>45770</v>
      </c>
      <c r="J120" s="44">
        <f>forward($E$4,D120,E120,CURVA!$H$6:H130,CURVA!$G$6:G130)</f>
        <v>2.0015563624537411E-2</v>
      </c>
      <c r="K120" s="44" t="str">
        <f>IFERROR(VLOOKUP(A120,CURVA!$B$8:$F$30,5,0),"")</f>
        <v/>
      </c>
      <c r="L120" s="45">
        <f t="shared" si="9"/>
        <v>7.7777777777777779E-2</v>
      </c>
      <c r="M120" s="46">
        <f>interpola(E120-$E$4,CURVA!$H$6:$H$20,CURVA!$G$6:$G$20)</f>
        <v>0.02</v>
      </c>
      <c r="N120" s="47">
        <f t="shared" si="10"/>
        <v>0.84141804078463156</v>
      </c>
      <c r="O120" s="49" t="str">
        <f>IF(K120="","",SUMPRODUCT($J$10:J120,$L$10:L120,$N$10:N120)*$E$5)</f>
        <v/>
      </c>
      <c r="P120" s="49" t="str">
        <f>IF(K120="","",SUMPRODUCT($L$10:L120,$N$10:N120)*$K120*$E$5)</f>
        <v/>
      </c>
      <c r="Q120" s="6"/>
      <c r="R120" s="12"/>
      <c r="S120" s="7"/>
    </row>
    <row r="121" spans="1:19" x14ac:dyDescent="0.2">
      <c r="A121" s="41">
        <f t="shared" si="7"/>
        <v>3136</v>
      </c>
      <c r="C121" s="41">
        <v>112</v>
      </c>
      <c r="D121" s="15">
        <f t="shared" si="11"/>
        <v>45770</v>
      </c>
      <c r="E121" s="42">
        <f t="shared" si="8"/>
        <v>45798</v>
      </c>
      <c r="F121" s="42"/>
      <c r="G121" s="42"/>
      <c r="H121" s="15"/>
      <c r="I121" s="43">
        <f t="shared" si="6"/>
        <v>45798</v>
      </c>
      <c r="J121" s="44">
        <f>forward($E$4,D121,E121,CURVA!$H$6:H131,CURVA!$G$6:G131)</f>
        <v>2.0015563624537411E-2</v>
      </c>
      <c r="K121" s="44" t="str">
        <f>IFERROR(VLOOKUP(A121,CURVA!$B$8:$F$30,5,0),"")</f>
        <v/>
      </c>
      <c r="L121" s="45">
        <f t="shared" si="9"/>
        <v>7.7777777777777779E-2</v>
      </c>
      <c r="M121" s="46">
        <f>interpola(E121-$E$4,CURVA!$H$6:$H$20,CURVA!$G$6:$G$20)</f>
        <v>0.02</v>
      </c>
      <c r="N121" s="47">
        <f t="shared" si="10"/>
        <v>0.84011018576104213</v>
      </c>
      <c r="O121" s="49" t="str">
        <f>IF(K121="","",SUMPRODUCT($J$10:J121,$L$10:L121,$N$10:N121)*$E$5)</f>
        <v/>
      </c>
      <c r="P121" s="49" t="str">
        <f>IF(K121="","",SUMPRODUCT($L$10:L121,$N$10:N121)*$K121*$E$5)</f>
        <v/>
      </c>
      <c r="Q121" s="6"/>
      <c r="R121" s="12"/>
      <c r="S121" s="7"/>
    </row>
    <row r="122" spans="1:19" x14ac:dyDescent="0.2">
      <c r="A122" s="41">
        <f t="shared" si="7"/>
        <v>3164</v>
      </c>
      <c r="C122" s="41">
        <v>113</v>
      </c>
      <c r="D122" s="15">
        <f t="shared" si="11"/>
        <v>45798</v>
      </c>
      <c r="E122" s="42">
        <f t="shared" si="8"/>
        <v>45826</v>
      </c>
      <c r="F122" s="42"/>
      <c r="G122" s="42"/>
      <c r="H122" s="15"/>
      <c r="I122" s="43">
        <f t="shared" si="6"/>
        <v>45826</v>
      </c>
      <c r="J122" s="44">
        <f>forward($E$4,D122,E122,CURVA!$H$6:H132,CURVA!$G$6:G132)</f>
        <v>2.0015563624537411E-2</v>
      </c>
      <c r="K122" s="44" t="str">
        <f>IFERROR(VLOOKUP(A122,CURVA!$B$8:$F$30,5,0),"")</f>
        <v/>
      </c>
      <c r="L122" s="45">
        <f t="shared" si="9"/>
        <v>7.7777777777777779E-2</v>
      </c>
      <c r="M122" s="46">
        <f>interpola(E122-$E$4,CURVA!$H$6:$H$20,CURVA!$G$6:$G$20)</f>
        <v>0.02</v>
      </c>
      <c r="N122" s="47">
        <f t="shared" si="10"/>
        <v>0.83880436359707744</v>
      </c>
      <c r="O122" s="49" t="str">
        <f>IF(K122="","",SUMPRODUCT($J$10:J122,$L$10:L122,$N$10:N122)*$E$5)</f>
        <v/>
      </c>
      <c r="P122" s="49" t="str">
        <f>IF(K122="","",SUMPRODUCT($L$10:L122,$N$10:N122)*$K122*$E$5)</f>
        <v/>
      </c>
      <c r="Q122" s="6"/>
      <c r="R122" s="12"/>
      <c r="S122" s="7"/>
    </row>
    <row r="123" spans="1:19" x14ac:dyDescent="0.2">
      <c r="A123" s="41">
        <f t="shared" si="7"/>
        <v>3192</v>
      </c>
      <c r="C123" s="41">
        <v>114</v>
      </c>
      <c r="D123" s="15">
        <f t="shared" si="11"/>
        <v>45826</v>
      </c>
      <c r="E123" s="42">
        <f t="shared" si="8"/>
        <v>45854</v>
      </c>
      <c r="F123" s="42"/>
      <c r="G123" s="42"/>
      <c r="H123" s="15"/>
      <c r="I123" s="43">
        <f t="shared" si="6"/>
        <v>45854</v>
      </c>
      <c r="J123" s="44">
        <f>forward($E$4,D123,E123,CURVA!$H$6:H133,CURVA!$G$6:G133)</f>
        <v>2.0015563624537411E-2</v>
      </c>
      <c r="K123" s="44" t="str">
        <f>IFERROR(VLOOKUP(A123,CURVA!$B$8:$F$30,5,0),"")</f>
        <v/>
      </c>
      <c r="L123" s="45">
        <f t="shared" si="9"/>
        <v>7.7777777777777779E-2</v>
      </c>
      <c r="M123" s="46">
        <f>interpola(E123-$E$4,CURVA!$H$6:$H$20,CURVA!$G$6:$G$20)</f>
        <v>0.02</v>
      </c>
      <c r="N123" s="47">
        <f t="shared" si="10"/>
        <v>0.83750057113296983</v>
      </c>
      <c r="O123" s="49" t="str">
        <f>IF(K123="","",SUMPRODUCT($J$10:J123,$L$10:L123,$N$10:N123)*$E$5)</f>
        <v/>
      </c>
      <c r="P123" s="49" t="str">
        <f>IF(K123="","",SUMPRODUCT($L$10:L123,$N$10:N123)*$K123*$E$5)</f>
        <v/>
      </c>
      <c r="Q123" s="6"/>
      <c r="R123" s="12"/>
      <c r="S123" s="7"/>
    </row>
    <row r="124" spans="1:19" x14ac:dyDescent="0.2">
      <c r="A124" s="41">
        <f t="shared" si="7"/>
        <v>3220</v>
      </c>
      <c r="C124" s="41">
        <v>115</v>
      </c>
      <c r="D124" s="15">
        <f t="shared" si="11"/>
        <v>45854</v>
      </c>
      <c r="E124" s="42">
        <f t="shared" si="8"/>
        <v>45882</v>
      </c>
      <c r="F124" s="42"/>
      <c r="G124" s="42"/>
      <c r="H124" s="15"/>
      <c r="I124" s="43">
        <f t="shared" si="6"/>
        <v>45882</v>
      </c>
      <c r="J124" s="44">
        <f>forward($E$4,D124,E124,CURVA!$H$6:H134,CURVA!$G$6:G134)</f>
        <v>2.0015563624537411E-2</v>
      </c>
      <c r="K124" s="44" t="str">
        <f>IFERROR(VLOOKUP(A124,CURVA!$B$8:$F$30,5,0),"")</f>
        <v/>
      </c>
      <c r="L124" s="45">
        <f t="shared" si="9"/>
        <v>7.7777777777777779E-2</v>
      </c>
      <c r="M124" s="46">
        <f>interpola(E124-$E$4,CURVA!$H$6:$H$20,CURVA!$G$6:$G$20)</f>
        <v>0.02</v>
      </c>
      <c r="N124" s="47">
        <f t="shared" si="10"/>
        <v>0.83619880521386269</v>
      </c>
      <c r="O124" s="49" t="str">
        <f>IF(K124="","",SUMPRODUCT($J$10:J124,$L$10:L124,$N$10:N124)*$E$5)</f>
        <v/>
      </c>
      <c r="P124" s="49" t="str">
        <f>IF(K124="","",SUMPRODUCT($L$10:L124,$N$10:N124)*$K124*$E$5)</f>
        <v/>
      </c>
      <c r="Q124" s="6"/>
      <c r="R124" s="12"/>
      <c r="S124" s="7"/>
    </row>
    <row r="125" spans="1:19" x14ac:dyDescent="0.2">
      <c r="A125" s="41">
        <f t="shared" si="7"/>
        <v>3248</v>
      </c>
      <c r="C125" s="41">
        <v>116</v>
      </c>
      <c r="D125" s="15">
        <f t="shared" si="11"/>
        <v>45882</v>
      </c>
      <c r="E125" s="42">
        <f t="shared" si="8"/>
        <v>45910</v>
      </c>
      <c r="F125" s="42"/>
      <c r="G125" s="42"/>
      <c r="H125" s="15"/>
      <c r="I125" s="43">
        <f t="shared" si="6"/>
        <v>45910</v>
      </c>
      <c r="J125" s="44">
        <f>forward($E$4,D125,E125,CURVA!$H$6:H135,CURVA!$G$6:G135)</f>
        <v>2.0015563624537411E-2</v>
      </c>
      <c r="K125" s="44" t="str">
        <f>IFERROR(VLOOKUP(A125,CURVA!$B$8:$F$30,5,0),"")</f>
        <v/>
      </c>
      <c r="L125" s="45">
        <f t="shared" si="9"/>
        <v>7.7777777777777779E-2</v>
      </c>
      <c r="M125" s="46">
        <f>interpola(E125-$E$4,CURVA!$H$6:$H$20,CURVA!$G$6:$G$20)</f>
        <v>0.02</v>
      </c>
      <c r="N125" s="47">
        <f t="shared" si="10"/>
        <v>0.83489906268980341</v>
      </c>
      <c r="O125" s="49" t="str">
        <f>IF(K125="","",SUMPRODUCT($J$10:J125,$L$10:L125,$N$10:N125)*$E$5)</f>
        <v/>
      </c>
      <c r="P125" s="49" t="str">
        <f>IF(K125="","",SUMPRODUCT($L$10:L125,$N$10:N125)*$K125*$E$5)</f>
        <v/>
      </c>
      <c r="Q125" s="6"/>
      <c r="R125" s="12"/>
      <c r="S125" s="7"/>
    </row>
    <row r="126" spans="1:19" x14ac:dyDescent="0.2">
      <c r="A126" s="41">
        <f t="shared" si="7"/>
        <v>3276</v>
      </c>
      <c r="C126" s="41">
        <v>117</v>
      </c>
      <c r="D126" s="15">
        <f t="shared" si="11"/>
        <v>45910</v>
      </c>
      <c r="E126" s="42">
        <f t="shared" si="8"/>
        <v>45938</v>
      </c>
      <c r="F126" s="42"/>
      <c r="G126" s="42"/>
      <c r="H126" s="15"/>
      <c r="I126" s="43">
        <f t="shared" si="6"/>
        <v>45938</v>
      </c>
      <c r="J126" s="44">
        <f>forward($E$4,D126,E126,CURVA!$H$6:H136,CURVA!$G$6:G136)</f>
        <v>2.0015563624537411E-2</v>
      </c>
      <c r="K126" s="44" t="str">
        <f>IFERROR(VLOOKUP(A126,CURVA!$B$8:$F$30,5,0),"")</f>
        <v/>
      </c>
      <c r="L126" s="45">
        <f t="shared" si="9"/>
        <v>7.7777777777777779E-2</v>
      </c>
      <c r="M126" s="46">
        <f>interpola(E126-$E$4,CURVA!$H$6:$H$20,CURVA!$G$6:$G$20)</f>
        <v>0.02</v>
      </c>
      <c r="N126" s="47">
        <f t="shared" si="10"/>
        <v>0.8336013404157353</v>
      </c>
      <c r="O126" s="49" t="str">
        <f>IF(K126="","",SUMPRODUCT($J$10:J126,$L$10:L126,$N$10:N126)*$E$5)</f>
        <v/>
      </c>
      <c r="P126" s="49" t="str">
        <f>IF(K126="","",SUMPRODUCT($L$10:L126,$N$10:N126)*$K126*$E$5)</f>
        <v/>
      </c>
      <c r="Q126" s="6"/>
      <c r="R126" s="12"/>
      <c r="S126" s="7"/>
    </row>
    <row r="127" spans="1:19" x14ac:dyDescent="0.2">
      <c r="A127" s="41">
        <f t="shared" si="7"/>
        <v>3304</v>
      </c>
      <c r="C127" s="41">
        <v>118</v>
      </c>
      <c r="D127" s="15">
        <f t="shared" si="11"/>
        <v>45938</v>
      </c>
      <c r="E127" s="42">
        <f t="shared" si="8"/>
        <v>45966</v>
      </c>
      <c r="F127" s="42"/>
      <c r="G127" s="42"/>
      <c r="H127" s="15"/>
      <c r="I127" s="43">
        <f t="shared" si="6"/>
        <v>45966</v>
      </c>
      <c r="J127" s="44">
        <f>forward($E$4,D127,E127,CURVA!$H$6:H137,CURVA!$G$6:G137)</f>
        <v>2.0015563624537411E-2</v>
      </c>
      <c r="K127" s="44" t="str">
        <f>IFERROR(VLOOKUP(A127,CURVA!$B$8:$F$30,5,0),"")</f>
        <v/>
      </c>
      <c r="L127" s="45">
        <f t="shared" si="9"/>
        <v>7.7777777777777779E-2</v>
      </c>
      <c r="M127" s="46">
        <f>interpola(E127-$E$4,CURVA!$H$6:$H$20,CURVA!$G$6:$G$20)</f>
        <v>0.02</v>
      </c>
      <c r="N127" s="47">
        <f t="shared" si="10"/>
        <v>0.83230563525149026</v>
      </c>
      <c r="O127" s="49" t="str">
        <f>IF(K127="","",SUMPRODUCT($J$10:J127,$L$10:L127,$N$10:N127)*$E$5)</f>
        <v/>
      </c>
      <c r="P127" s="49" t="str">
        <f>IF(K127="","",SUMPRODUCT($L$10:L127,$N$10:N127)*$K127*$E$5)</f>
        <v/>
      </c>
      <c r="Q127" s="6"/>
      <c r="R127" s="12"/>
      <c r="S127" s="7"/>
    </row>
    <row r="128" spans="1:19" x14ac:dyDescent="0.2">
      <c r="A128" s="41">
        <f t="shared" si="7"/>
        <v>3332</v>
      </c>
      <c r="C128" s="41">
        <v>119</v>
      </c>
      <c r="D128" s="15">
        <f t="shared" si="11"/>
        <v>45966</v>
      </c>
      <c r="E128" s="42">
        <f t="shared" si="8"/>
        <v>45994</v>
      </c>
      <c r="F128" s="42"/>
      <c r="G128" s="42"/>
      <c r="H128" s="15"/>
      <c r="I128" s="43">
        <f t="shared" si="6"/>
        <v>45994</v>
      </c>
      <c r="J128" s="44">
        <f>forward($E$4,D128,E128,CURVA!$H$6:H138,CURVA!$G$6:G138)</f>
        <v>2.0015563624537411E-2</v>
      </c>
      <c r="K128" s="44" t="str">
        <f>IFERROR(VLOOKUP(A128,CURVA!$B$8:$F$30,5,0),"")</f>
        <v/>
      </c>
      <c r="L128" s="45">
        <f t="shared" si="9"/>
        <v>7.7777777777777779E-2</v>
      </c>
      <c r="M128" s="46">
        <f>interpola(E128-$E$4,CURVA!$H$6:$H$20,CURVA!$G$6:$G$20)</f>
        <v>0.02</v>
      </c>
      <c r="N128" s="47">
        <f t="shared" si="10"/>
        <v>0.83101194406178103</v>
      </c>
      <c r="O128" s="49" t="str">
        <f>IF(K128="","",SUMPRODUCT($J$10:J128,$L$10:L128,$N$10:N128)*$E$5)</f>
        <v/>
      </c>
      <c r="P128" s="49" t="str">
        <f>IF(K128="","",SUMPRODUCT($L$10:L128,$N$10:N128)*$K128*$E$5)</f>
        <v/>
      </c>
      <c r="Q128" s="6"/>
      <c r="R128" s="12"/>
      <c r="S128" s="7"/>
    </row>
    <row r="129" spans="1:19" x14ac:dyDescent="0.2">
      <c r="A129" s="41">
        <f t="shared" si="7"/>
        <v>3360</v>
      </c>
      <c r="C129" s="41">
        <v>120</v>
      </c>
      <c r="D129" s="15">
        <f t="shared" si="11"/>
        <v>45994</v>
      </c>
      <c r="E129" s="42">
        <f t="shared" si="8"/>
        <v>46022</v>
      </c>
      <c r="F129" s="42"/>
      <c r="G129" s="42"/>
      <c r="H129" s="15"/>
      <c r="I129" s="43">
        <f t="shared" si="6"/>
        <v>46022</v>
      </c>
      <c r="J129" s="44">
        <f>forward($E$4,D129,E129,CURVA!$H$6:H139,CURVA!$G$6:G139)</f>
        <v>2.0015563624537411E-2</v>
      </c>
      <c r="K129" s="44">
        <f>IFERROR(VLOOKUP(A129,CURVA!$B$8:$F$30,5,0),"")</f>
        <v>1.208E-2</v>
      </c>
      <c r="L129" s="45">
        <f t="shared" si="9"/>
        <v>7.7777777777777779E-2</v>
      </c>
      <c r="M129" s="46">
        <f>interpola(E129-$E$4,CURVA!$H$6:$H$20,CURVA!$G$6:$G$20)</f>
        <v>0.02</v>
      </c>
      <c r="N129" s="47">
        <f t="shared" si="10"/>
        <v>0.82972026371619378</v>
      </c>
      <c r="O129" s="49">
        <f>IF(K129="","",SUMPRODUCT($J$10:J129,$L$10:L129,$N$10:N129)*$E$5)</f>
        <v>170279.73628381084</v>
      </c>
      <c r="P129" s="49">
        <f>IF(K129="","",SUMPRODUCT($L$10:L129,$N$10:N129)*$K129*$E$5)</f>
        <v>102769.16910352363</v>
      </c>
      <c r="Q129" s="6"/>
      <c r="R129" s="12"/>
      <c r="S129" s="7"/>
    </row>
    <row r="130" spans="1:19" x14ac:dyDescent="0.2">
      <c r="A130" s="41">
        <f t="shared" si="7"/>
        <v>3388</v>
      </c>
      <c r="C130" s="41">
        <v>121</v>
      </c>
      <c r="D130" s="15">
        <f t="shared" si="11"/>
        <v>46022</v>
      </c>
      <c r="E130" s="42">
        <f t="shared" si="8"/>
        <v>46050</v>
      </c>
      <c r="F130" s="42"/>
      <c r="G130" s="42"/>
      <c r="H130" s="15"/>
      <c r="I130" s="43">
        <f t="shared" si="6"/>
        <v>46050</v>
      </c>
      <c r="J130" s="44">
        <f>forward($E$4,D130,E130,CURVA!$H$6:H140,CURVA!$G$6:G140)</f>
        <v>2.0015563624537411E-2</v>
      </c>
      <c r="K130" s="44" t="str">
        <f>IFERROR(VLOOKUP(A130,CURVA!$B$8:$F$30,5,0),"")</f>
        <v/>
      </c>
      <c r="L130" s="45">
        <f t="shared" si="9"/>
        <v>7.7777777777777779E-2</v>
      </c>
      <c r="M130" s="46">
        <f>interpola(E130-$E$4,CURVA!$H$6:$H$20,CURVA!$G$6:$G$20)</f>
        <v>0.02</v>
      </c>
      <c r="N130" s="47">
        <f t="shared" si="10"/>
        <v>0.82843059108918027</v>
      </c>
      <c r="O130" s="49" t="str">
        <f>IF(K130="","",SUMPRODUCT($J$10:J130,$L$10:L130,$N$10:N130)*$E$5)</f>
        <v/>
      </c>
      <c r="P130" s="49" t="str">
        <f>IF(K130="","",SUMPRODUCT($L$10:L130,$N$10:N130)*$K130*$E$5)</f>
        <v/>
      </c>
      <c r="Q130" s="6"/>
      <c r="R130" s="12"/>
      <c r="S130" s="7"/>
    </row>
    <row r="131" spans="1:19" x14ac:dyDescent="0.2">
      <c r="A131" s="41">
        <f t="shared" si="7"/>
        <v>3416</v>
      </c>
      <c r="C131" s="41">
        <v>122</v>
      </c>
      <c r="D131" s="15">
        <f t="shared" si="11"/>
        <v>46050</v>
      </c>
      <c r="E131" s="42">
        <f t="shared" si="8"/>
        <v>46078</v>
      </c>
      <c r="F131" s="42"/>
      <c r="G131" s="42"/>
      <c r="H131" s="15"/>
      <c r="I131" s="43">
        <f t="shared" si="6"/>
        <v>46078</v>
      </c>
      <c r="J131" s="44">
        <f>forward($E$4,D131,E131,CURVA!$H$6:H141,CURVA!$G$6:G141)</f>
        <v>2.0015563624537411E-2</v>
      </c>
      <c r="K131" s="44" t="str">
        <f>IFERROR(VLOOKUP(A131,CURVA!$B$8:$F$30,5,0),"")</f>
        <v/>
      </c>
      <c r="L131" s="45">
        <f t="shared" si="9"/>
        <v>7.7777777777777779E-2</v>
      </c>
      <c r="M131" s="46">
        <f>interpola(E131-$E$4,CURVA!$H$6:$H$20,CURVA!$G$6:$G$20)</f>
        <v>0.02</v>
      </c>
      <c r="N131" s="47">
        <f t="shared" si="10"/>
        <v>0.82714292306005077</v>
      </c>
      <c r="O131" s="49" t="str">
        <f>IF(K131="","",SUMPRODUCT($J$10:J131,$L$10:L131,$N$10:N131)*$E$5)</f>
        <v/>
      </c>
      <c r="P131" s="49" t="str">
        <f>IF(K131="","",SUMPRODUCT($L$10:L131,$N$10:N131)*$K131*$E$5)</f>
        <v/>
      </c>
      <c r="Q131" s="6"/>
      <c r="R131" s="12"/>
      <c r="S131" s="7"/>
    </row>
    <row r="132" spans="1:19" x14ac:dyDescent="0.2">
      <c r="A132" s="41">
        <f t="shared" si="7"/>
        <v>3444</v>
      </c>
      <c r="C132" s="41">
        <v>123</v>
      </c>
      <c r="D132" s="15">
        <f t="shared" si="11"/>
        <v>46078</v>
      </c>
      <c r="E132" s="42">
        <f t="shared" si="8"/>
        <v>46106</v>
      </c>
      <c r="F132" s="42"/>
      <c r="G132" s="42"/>
      <c r="H132" s="15"/>
      <c r="I132" s="43">
        <f t="shared" si="6"/>
        <v>46106</v>
      </c>
      <c r="J132" s="44">
        <f>forward($E$4,D132,E132,CURVA!$H$6:H142,CURVA!$G$6:G142)</f>
        <v>2.0015563624537411E-2</v>
      </c>
      <c r="K132" s="44" t="str">
        <f>IFERROR(VLOOKUP(A132,CURVA!$B$8:$F$30,5,0),"")</f>
        <v/>
      </c>
      <c r="L132" s="45">
        <f t="shared" si="9"/>
        <v>7.7777777777777779E-2</v>
      </c>
      <c r="M132" s="46">
        <f>interpola(E132-$E$4,CURVA!$H$6:$H$20,CURVA!$G$6:$G$20)</f>
        <v>0.02</v>
      </c>
      <c r="N132" s="47">
        <f t="shared" si="10"/>
        <v>0.82585725651296582</v>
      </c>
      <c r="O132" s="49" t="str">
        <f>IF(K132="","",SUMPRODUCT($J$10:J132,$L$10:L132,$N$10:N132)*$E$5)</f>
        <v/>
      </c>
      <c r="P132" s="49" t="str">
        <f>IF(K132="","",SUMPRODUCT($L$10:L132,$N$10:N132)*$K132*$E$5)</f>
        <v/>
      </c>
      <c r="Q132" s="6"/>
      <c r="R132" s="12"/>
      <c r="S132" s="7"/>
    </row>
    <row r="133" spans="1:19" x14ac:dyDescent="0.2">
      <c r="A133" s="41">
        <f t="shared" si="7"/>
        <v>3472</v>
      </c>
      <c r="C133" s="41">
        <v>124</v>
      </c>
      <c r="D133" s="15">
        <f t="shared" si="11"/>
        <v>46106</v>
      </c>
      <c r="E133" s="42">
        <f t="shared" si="8"/>
        <v>46134</v>
      </c>
      <c r="F133" s="42"/>
      <c r="G133" s="42"/>
      <c r="H133" s="15"/>
      <c r="I133" s="43">
        <f t="shared" si="6"/>
        <v>46134</v>
      </c>
      <c r="J133" s="44">
        <f>forward($E$4,D133,E133,CURVA!$H$6:H143,CURVA!$G$6:G143)</f>
        <v>2.0015563624537411E-2</v>
      </c>
      <c r="K133" s="44" t="str">
        <f>IFERROR(VLOOKUP(A133,CURVA!$B$8:$F$30,5,0),"")</f>
        <v/>
      </c>
      <c r="L133" s="45">
        <f t="shared" si="9"/>
        <v>7.7777777777777779E-2</v>
      </c>
      <c r="M133" s="46">
        <f>interpola(E133-$E$4,CURVA!$H$6:$H$20,CURVA!$G$6:$G$20)</f>
        <v>0.02</v>
      </c>
      <c r="N133" s="47">
        <f t="shared" si="10"/>
        <v>0.82457358833692929</v>
      </c>
      <c r="O133" s="49" t="str">
        <f>IF(K133="","",SUMPRODUCT($J$10:J133,$L$10:L133,$N$10:N133)*$E$5)</f>
        <v/>
      </c>
      <c r="P133" s="49" t="str">
        <f>IF(K133="","",SUMPRODUCT($L$10:L133,$N$10:N133)*$K133*$E$5)</f>
        <v/>
      </c>
      <c r="Q133" s="6"/>
      <c r="R133" s="12"/>
      <c r="S133" s="7"/>
    </row>
    <row r="134" spans="1:19" x14ac:dyDescent="0.2">
      <c r="A134" s="41">
        <f t="shared" si="7"/>
        <v>3500</v>
      </c>
      <c r="C134" s="41">
        <v>125</v>
      </c>
      <c r="D134" s="15">
        <f t="shared" si="11"/>
        <v>46134</v>
      </c>
      <c r="E134" s="42">
        <f t="shared" si="8"/>
        <v>46162</v>
      </c>
      <c r="F134" s="42"/>
      <c r="G134" s="42"/>
      <c r="H134" s="15"/>
      <c r="I134" s="43">
        <f t="shared" si="6"/>
        <v>46162</v>
      </c>
      <c r="J134" s="44">
        <f>forward($E$4,D134,E134,CURVA!$H$6:H144,CURVA!$G$6:G144)</f>
        <v>2.0015563624537411E-2</v>
      </c>
      <c r="K134" s="44" t="str">
        <f>IFERROR(VLOOKUP(A134,CURVA!$B$8:$F$30,5,0),"")</f>
        <v/>
      </c>
      <c r="L134" s="45">
        <f t="shared" si="9"/>
        <v>7.7777777777777779E-2</v>
      </c>
      <c r="M134" s="46">
        <f>interpola(E134-$E$4,CURVA!$H$6:$H$20,CURVA!$G$6:$G$20)</f>
        <v>0.02</v>
      </c>
      <c r="N134" s="47">
        <f t="shared" si="10"/>
        <v>0.8232919154257804</v>
      </c>
      <c r="O134" s="49" t="str">
        <f>IF(K134="","",SUMPRODUCT($J$10:J134,$L$10:L134,$N$10:N134)*$E$5)</f>
        <v/>
      </c>
      <c r="P134" s="49" t="str">
        <f>IF(K134="","",SUMPRODUCT($L$10:L134,$N$10:N134)*$K134*$E$5)</f>
        <v/>
      </c>
      <c r="Q134" s="6"/>
      <c r="R134" s="12"/>
      <c r="S134" s="7"/>
    </row>
    <row r="135" spans="1:19" x14ac:dyDescent="0.2">
      <c r="A135" s="41">
        <f t="shared" si="7"/>
        <v>3528</v>
      </c>
      <c r="C135" s="41">
        <v>126</v>
      </c>
      <c r="D135" s="15">
        <f t="shared" si="11"/>
        <v>46162</v>
      </c>
      <c r="E135" s="42">
        <f t="shared" si="8"/>
        <v>46190</v>
      </c>
      <c r="F135" s="42"/>
      <c r="G135" s="42"/>
      <c r="H135" s="15"/>
      <c r="I135" s="43">
        <f t="shared" si="6"/>
        <v>46190</v>
      </c>
      <c r="J135" s="44">
        <f>forward($E$4,D135,E135,CURVA!$H$6:H145,CURVA!$G$6:G145)</f>
        <v>2.0015563624537411E-2</v>
      </c>
      <c r="K135" s="44" t="str">
        <f>IFERROR(VLOOKUP(A135,CURVA!$B$8:$F$30,5,0),"")</f>
        <v/>
      </c>
      <c r="L135" s="45">
        <f t="shared" si="9"/>
        <v>7.7777777777777779E-2</v>
      </c>
      <c r="M135" s="46">
        <f>interpola(E135-$E$4,CURVA!$H$6:$H$20,CURVA!$G$6:$G$20)</f>
        <v>0.02</v>
      </c>
      <c r="N135" s="47">
        <f t="shared" si="10"/>
        <v>0.82201223467818652</v>
      </c>
      <c r="O135" s="49" t="str">
        <f>IF(K135="","",SUMPRODUCT($J$10:J135,$L$10:L135,$N$10:N135)*$E$5)</f>
        <v/>
      </c>
      <c r="P135" s="49" t="str">
        <f>IF(K135="","",SUMPRODUCT($L$10:L135,$N$10:N135)*$K135*$E$5)</f>
        <v/>
      </c>
      <c r="Q135" s="6"/>
      <c r="R135" s="12"/>
      <c r="S135" s="7"/>
    </row>
    <row r="136" spans="1:19" x14ac:dyDescent="0.2">
      <c r="A136" s="41">
        <f t="shared" si="7"/>
        <v>3556</v>
      </c>
      <c r="C136" s="41">
        <v>127</v>
      </c>
      <c r="D136" s="15">
        <f t="shared" si="11"/>
        <v>46190</v>
      </c>
      <c r="E136" s="42">
        <f t="shared" si="8"/>
        <v>46218</v>
      </c>
      <c r="F136" s="42"/>
      <c r="G136" s="42"/>
      <c r="H136" s="15"/>
      <c r="I136" s="43">
        <f t="shared" si="6"/>
        <v>46218</v>
      </c>
      <c r="J136" s="44">
        <f>forward($E$4,D136,E136,CURVA!$H$6:H146,CURVA!$G$6:G146)</f>
        <v>2.0015563624537411E-2</v>
      </c>
      <c r="K136" s="44" t="str">
        <f>IFERROR(VLOOKUP(A136,CURVA!$B$8:$F$30,5,0),"")</f>
        <v/>
      </c>
      <c r="L136" s="45">
        <f t="shared" si="9"/>
        <v>7.7777777777777779E-2</v>
      </c>
      <c r="M136" s="46">
        <f>interpola(E136-$E$4,CURVA!$H$6:$H$20,CURVA!$G$6:$G$20)</f>
        <v>0.02</v>
      </c>
      <c r="N136" s="47">
        <f t="shared" si="10"/>
        <v>0.82073454299763582</v>
      </c>
      <c r="O136" s="49" t="str">
        <f>IF(K136="","",SUMPRODUCT($J$10:J136,$L$10:L136,$N$10:N136)*$E$5)</f>
        <v/>
      </c>
      <c r="P136" s="49" t="str">
        <f>IF(K136="","",SUMPRODUCT($L$10:L136,$N$10:N136)*$K136*$E$5)</f>
        <v/>
      </c>
      <c r="Q136" s="6"/>
      <c r="R136" s="12"/>
      <c r="S136" s="7"/>
    </row>
    <row r="137" spans="1:19" x14ac:dyDescent="0.2">
      <c r="A137" s="41">
        <f t="shared" si="7"/>
        <v>3584</v>
      </c>
      <c r="C137" s="41">
        <v>128</v>
      </c>
      <c r="D137" s="15">
        <f t="shared" si="11"/>
        <v>46218</v>
      </c>
      <c r="E137" s="42">
        <f t="shared" si="8"/>
        <v>46246</v>
      </c>
      <c r="F137" s="42"/>
      <c r="G137" s="42"/>
      <c r="H137" s="15"/>
      <c r="I137" s="43">
        <f t="shared" si="6"/>
        <v>46246</v>
      </c>
      <c r="J137" s="44">
        <f>forward($E$4,D137,E137,CURVA!$H$6:H147,CURVA!$G$6:G147)</f>
        <v>2.0015563624537411E-2</v>
      </c>
      <c r="K137" s="44" t="str">
        <f>IFERROR(VLOOKUP(A137,CURVA!$B$8:$F$30,5,0),"")</f>
        <v/>
      </c>
      <c r="L137" s="45">
        <f t="shared" si="9"/>
        <v>7.7777777777777779E-2</v>
      </c>
      <c r="M137" s="46">
        <f>interpola(E137-$E$4,CURVA!$H$6:$H$20,CURVA!$G$6:$G$20)</f>
        <v>0.02</v>
      </c>
      <c r="N137" s="47">
        <f t="shared" si="10"/>
        <v>0.81945883729242897</v>
      </c>
      <c r="O137" s="49" t="str">
        <f>IF(K137="","",SUMPRODUCT($J$10:J137,$L$10:L137,$N$10:N137)*$E$5)</f>
        <v/>
      </c>
      <c r="P137" s="49" t="str">
        <f>IF(K137="","",SUMPRODUCT($L$10:L137,$N$10:N137)*$K137*$E$5)</f>
        <v/>
      </c>
      <c r="Q137" s="6"/>
      <c r="R137" s="12"/>
      <c r="S137" s="7"/>
    </row>
    <row r="138" spans="1:19" x14ac:dyDescent="0.2">
      <c r="A138" s="41">
        <f t="shared" si="7"/>
        <v>3612</v>
      </c>
      <c r="C138" s="41">
        <v>129</v>
      </c>
      <c r="D138" s="15">
        <f t="shared" si="11"/>
        <v>46246</v>
      </c>
      <c r="E138" s="42">
        <f t="shared" si="8"/>
        <v>46274</v>
      </c>
      <c r="F138" s="42"/>
      <c r="G138" s="42"/>
      <c r="H138" s="15"/>
      <c r="I138" s="43">
        <f t="shared" ref="I138:I201" si="12">E138</f>
        <v>46274</v>
      </c>
      <c r="J138" s="44">
        <f>forward($E$4,D138,E138,CURVA!$H$6:H148,CURVA!$G$6:G148)</f>
        <v>2.0015563624537411E-2</v>
      </c>
      <c r="K138" s="44" t="str">
        <f>IFERROR(VLOOKUP(A138,CURVA!$B$8:$F$30,5,0),"")</f>
        <v/>
      </c>
      <c r="L138" s="45">
        <f t="shared" si="9"/>
        <v>7.7777777777777779E-2</v>
      </c>
      <c r="M138" s="46">
        <f>interpola(E138-$E$4,CURVA!$H$6:$H$20,CURVA!$G$6:$G$20)</f>
        <v>0.02</v>
      </c>
      <c r="N138" s="47">
        <f t="shared" si="10"/>
        <v>0.81818511447567277</v>
      </c>
      <c r="O138" s="49" t="str">
        <f>IF(K138="","",SUMPRODUCT($J$10:J138,$L$10:L138,$N$10:N138)*$E$5)</f>
        <v/>
      </c>
      <c r="P138" s="49" t="str">
        <f>IF(K138="","",SUMPRODUCT($L$10:L138,$N$10:N138)*$K138*$E$5)</f>
        <v/>
      </c>
      <c r="Q138" s="6"/>
      <c r="R138" s="12"/>
      <c r="S138" s="7"/>
    </row>
    <row r="139" spans="1:19" x14ac:dyDescent="0.2">
      <c r="A139" s="41">
        <f t="shared" ref="A139:A202" si="13">C139*28</f>
        <v>3640</v>
      </c>
      <c r="B139" s="41" t="s">
        <v>14</v>
      </c>
      <c r="C139" s="41">
        <v>130</v>
      </c>
      <c r="D139" s="15">
        <f t="shared" si="11"/>
        <v>46274</v>
      </c>
      <c r="E139" s="42">
        <f t="shared" ref="E139:E202" si="14">$E$4+28*C139</f>
        <v>46302</v>
      </c>
      <c r="F139" s="42"/>
      <c r="G139" s="42"/>
      <c r="H139" s="15"/>
      <c r="I139" s="43">
        <f t="shared" si="12"/>
        <v>46302</v>
      </c>
      <c r="J139" s="44">
        <f>forward($E$4,D139,E139,CURVA!$H$6:H149,CURVA!$G$6:G149)</f>
        <v>2.0015563624537411E-2</v>
      </c>
      <c r="K139" s="44" t="str">
        <f>IFERROR(VLOOKUP(A139,CURVA!$B$8:$F$30,5,0),"")</f>
        <v/>
      </c>
      <c r="L139" s="45">
        <f t="shared" ref="L139:L202" si="15">(E139-D139)/360</f>
        <v>7.7777777777777779E-2</v>
      </c>
      <c r="M139" s="46">
        <f>interpola(E139-$E$4,CURVA!$H$6:$H$20,CURVA!$G$6:$G$20)</f>
        <v>0.02</v>
      </c>
      <c r="N139" s="47">
        <f t="shared" ref="N139:N202" si="16">EXP(-M139*(E139-$E$4)/360)</f>
        <v>0.81691337146527188</v>
      </c>
      <c r="O139" s="49" t="str">
        <f>IF(K139="","",SUMPRODUCT($J$10:J139,$L$10:L139,$N$10:N139)*$E$5)</f>
        <v/>
      </c>
      <c r="P139" s="49" t="str">
        <f>IF(K139="","",SUMPRODUCT($L$10:L139,$N$10:N139)*$K139*$E$5)</f>
        <v/>
      </c>
      <c r="Q139" s="6"/>
      <c r="R139" s="12"/>
      <c r="S139" s="7"/>
    </row>
    <row r="140" spans="1:19" x14ac:dyDescent="0.2">
      <c r="A140" s="41">
        <f t="shared" si="13"/>
        <v>3668</v>
      </c>
      <c r="C140" s="41">
        <v>131</v>
      </c>
      <c r="D140" s="15">
        <f t="shared" si="11"/>
        <v>46302</v>
      </c>
      <c r="E140" s="42">
        <f t="shared" si="14"/>
        <v>46330</v>
      </c>
      <c r="F140" s="42"/>
      <c r="G140" s="42"/>
      <c r="H140" s="15"/>
      <c r="I140" s="43">
        <f t="shared" si="12"/>
        <v>46330</v>
      </c>
      <c r="J140" s="44">
        <f>forward($E$4,D140,E140,CURVA!$H$6:H150,CURVA!$G$6:G150)</f>
        <v>2.0015563624537411E-2</v>
      </c>
      <c r="K140" s="44" t="str">
        <f>IFERROR(VLOOKUP(A140,CURVA!$B$8:$F$30,5,0),"")</f>
        <v/>
      </c>
      <c r="L140" s="45">
        <f t="shared" si="15"/>
        <v>7.7777777777777779E-2</v>
      </c>
      <c r="M140" s="46">
        <f>interpola(E140-$E$4,CURVA!$H$6:$H$20,CURVA!$G$6:$G$20)</f>
        <v>0.02</v>
      </c>
      <c r="N140" s="47">
        <f t="shared" si="16"/>
        <v>0.81564360518392143</v>
      </c>
      <c r="O140" s="49" t="str">
        <f>IF(K140="","",SUMPRODUCT($J$10:J140,$L$10:L140,$N$10:N140)*$E$5)</f>
        <v/>
      </c>
      <c r="P140" s="49" t="str">
        <f>IF(K140="","",SUMPRODUCT($L$10:L140,$N$10:N140)*$K140*$E$5)</f>
        <v/>
      </c>
      <c r="Q140" s="6"/>
      <c r="R140" s="12"/>
      <c r="S140" s="7"/>
    </row>
    <row r="141" spans="1:19" x14ac:dyDescent="0.2">
      <c r="A141" s="41">
        <f t="shared" si="13"/>
        <v>3696</v>
      </c>
      <c r="C141" s="41">
        <v>132</v>
      </c>
      <c r="D141" s="15">
        <f t="shared" ref="D141:D204" si="17">E140</f>
        <v>46330</v>
      </c>
      <c r="E141" s="42">
        <f t="shared" si="14"/>
        <v>46358</v>
      </c>
      <c r="F141" s="42"/>
      <c r="G141" s="42"/>
      <c r="H141" s="15"/>
      <c r="I141" s="43">
        <f t="shared" si="12"/>
        <v>46358</v>
      </c>
      <c r="J141" s="44">
        <f>forward($E$4,D141,E141,CURVA!$H$6:H151,CURVA!$G$6:G151)</f>
        <v>2.0015563624537411E-2</v>
      </c>
      <c r="K141" s="44" t="str">
        <f>IFERROR(VLOOKUP(A141,CURVA!$B$8:$F$30,5,0),"")</f>
        <v/>
      </c>
      <c r="L141" s="45">
        <f t="shared" si="15"/>
        <v>7.7777777777777779E-2</v>
      </c>
      <c r="M141" s="46">
        <f>interpola(E141-$E$4,CURVA!$H$6:$H$20,CURVA!$G$6:$G$20)</f>
        <v>0.02</v>
      </c>
      <c r="N141" s="47">
        <f t="shared" si="16"/>
        <v>0.81437581255910008</v>
      </c>
      <c r="O141" s="49" t="str">
        <f>IF(K141="","",SUMPRODUCT($J$10:J141,$L$10:L141,$N$10:N141)*$E$5)</f>
        <v/>
      </c>
      <c r="P141" s="49" t="str">
        <f>IF(K141="","",SUMPRODUCT($L$10:L141,$N$10:N141)*$K141*$E$5)</f>
        <v/>
      </c>
      <c r="Q141" s="6"/>
      <c r="R141" s="12"/>
      <c r="S141" s="7"/>
    </row>
    <row r="142" spans="1:19" x14ac:dyDescent="0.2">
      <c r="A142" s="41">
        <f t="shared" si="13"/>
        <v>3724</v>
      </c>
      <c r="C142" s="41">
        <v>133</v>
      </c>
      <c r="D142" s="15">
        <f t="shared" si="17"/>
        <v>46358</v>
      </c>
      <c r="E142" s="42">
        <f t="shared" si="14"/>
        <v>46386</v>
      </c>
      <c r="F142" s="42"/>
      <c r="G142" s="42"/>
      <c r="H142" s="15"/>
      <c r="I142" s="43">
        <f t="shared" si="12"/>
        <v>46386</v>
      </c>
      <c r="J142" s="44">
        <f>forward($E$4,D142,E142,CURVA!$H$6:H152,CURVA!$G$6:G152)</f>
        <v>2.0015563624537411E-2</v>
      </c>
      <c r="K142" s="44" t="str">
        <f>IFERROR(VLOOKUP(A142,CURVA!$B$8:$F$30,5,0),"")</f>
        <v/>
      </c>
      <c r="L142" s="45">
        <f t="shared" si="15"/>
        <v>7.7777777777777779E-2</v>
      </c>
      <c r="M142" s="46">
        <f>interpola(E142-$E$4,CURVA!$H$6:$H$20,CURVA!$G$6:$G$20)</f>
        <v>0.02</v>
      </c>
      <c r="N142" s="47">
        <f t="shared" si="16"/>
        <v>0.81310999052306199</v>
      </c>
      <c r="O142" s="49" t="str">
        <f>IF(K142="","",SUMPRODUCT($J$10:J142,$L$10:L142,$N$10:N142)*$E$5)</f>
        <v/>
      </c>
      <c r="P142" s="49" t="str">
        <f>IF(K142="","",SUMPRODUCT($L$10:L142,$N$10:N142)*$K142*$E$5)</f>
        <v/>
      </c>
      <c r="Q142" s="6"/>
      <c r="R142" s="12"/>
      <c r="S142" s="7"/>
    </row>
    <row r="143" spans="1:19" x14ac:dyDescent="0.2">
      <c r="A143" s="41">
        <f t="shared" si="13"/>
        <v>3752</v>
      </c>
      <c r="C143" s="41">
        <v>134</v>
      </c>
      <c r="D143" s="15">
        <f t="shared" si="17"/>
        <v>46386</v>
      </c>
      <c r="E143" s="42">
        <f t="shared" si="14"/>
        <v>46414</v>
      </c>
      <c r="F143" s="42"/>
      <c r="G143" s="42"/>
      <c r="H143" s="15"/>
      <c r="I143" s="43">
        <f t="shared" si="12"/>
        <v>46414</v>
      </c>
      <c r="J143" s="44">
        <f>forward($E$4,D143,E143,CURVA!$H$6:H153,CURVA!$G$6:G153)</f>
        <v>2.0015563624537411E-2</v>
      </c>
      <c r="K143" s="44" t="str">
        <f>IFERROR(VLOOKUP(A143,CURVA!$B$8:$F$30,5,0),"")</f>
        <v/>
      </c>
      <c r="L143" s="45">
        <f t="shared" si="15"/>
        <v>7.7777777777777779E-2</v>
      </c>
      <c r="M143" s="46">
        <f>interpola(E143-$E$4,CURVA!$H$6:$H$20,CURVA!$G$6:$G$20)</f>
        <v>0.02</v>
      </c>
      <c r="N143" s="47">
        <f t="shared" si="16"/>
        <v>0.81184613601282984</v>
      </c>
      <c r="O143" s="49" t="str">
        <f>IF(K143="","",SUMPRODUCT($J$10:J143,$L$10:L143,$N$10:N143)*$E$5)</f>
        <v/>
      </c>
      <c r="P143" s="49" t="str">
        <f>IF(K143="","",SUMPRODUCT($L$10:L143,$N$10:N143)*$K143*$E$5)</f>
        <v/>
      </c>
      <c r="Q143" s="6"/>
      <c r="R143" s="12"/>
      <c r="S143" s="7"/>
    </row>
    <row r="144" spans="1:19" x14ac:dyDescent="0.2">
      <c r="A144" s="41">
        <f t="shared" si="13"/>
        <v>3780</v>
      </c>
      <c r="C144" s="41">
        <v>135</v>
      </c>
      <c r="D144" s="15">
        <f t="shared" si="17"/>
        <v>46414</v>
      </c>
      <c r="E144" s="42">
        <f t="shared" si="14"/>
        <v>46442</v>
      </c>
      <c r="F144" s="42"/>
      <c r="G144" s="42"/>
      <c r="H144" s="15"/>
      <c r="I144" s="43">
        <f t="shared" si="12"/>
        <v>46442</v>
      </c>
      <c r="J144" s="44">
        <f>forward($E$4,D144,E144,CURVA!$H$6:H154,CURVA!$G$6:G154)</f>
        <v>2.0015563624537411E-2</v>
      </c>
      <c r="K144" s="44" t="str">
        <f>IFERROR(VLOOKUP(A144,CURVA!$B$8:$F$30,5,0),"")</f>
        <v/>
      </c>
      <c r="L144" s="45">
        <f t="shared" si="15"/>
        <v>7.7777777777777779E-2</v>
      </c>
      <c r="M144" s="46">
        <f>interpola(E144-$E$4,CURVA!$H$6:$H$20,CURVA!$G$6:$G$20)</f>
        <v>0.02</v>
      </c>
      <c r="N144" s="47">
        <f t="shared" si="16"/>
        <v>0.81058424597018708</v>
      </c>
      <c r="O144" s="49" t="str">
        <f>IF(K144="","",SUMPRODUCT($J$10:J144,$L$10:L144,$N$10:N144)*$E$5)</f>
        <v/>
      </c>
      <c r="P144" s="49" t="str">
        <f>IF(K144="","",SUMPRODUCT($L$10:L144,$N$10:N144)*$K144*$E$5)</f>
        <v/>
      </c>
      <c r="Q144" s="6"/>
      <c r="R144" s="12"/>
      <c r="S144" s="7"/>
    </row>
    <row r="145" spans="1:19" x14ac:dyDescent="0.2">
      <c r="A145" s="41">
        <f t="shared" si="13"/>
        <v>3808</v>
      </c>
      <c r="C145" s="41">
        <v>136</v>
      </c>
      <c r="D145" s="15">
        <f t="shared" si="17"/>
        <v>46442</v>
      </c>
      <c r="E145" s="42">
        <f t="shared" si="14"/>
        <v>46470</v>
      </c>
      <c r="F145" s="42"/>
      <c r="G145" s="42"/>
      <c r="H145" s="15"/>
      <c r="I145" s="43">
        <f t="shared" si="12"/>
        <v>46470</v>
      </c>
      <c r="J145" s="44">
        <f>forward($E$4,D145,E145,CURVA!$H$6:H155,CURVA!$G$6:G155)</f>
        <v>2.0015563624537411E-2</v>
      </c>
      <c r="K145" s="44" t="str">
        <f>IFERROR(VLOOKUP(A145,CURVA!$B$8:$F$30,5,0),"")</f>
        <v/>
      </c>
      <c r="L145" s="45">
        <f t="shared" si="15"/>
        <v>7.7777777777777779E-2</v>
      </c>
      <c r="M145" s="46">
        <f>interpola(E145-$E$4,CURVA!$H$6:$H$20,CURVA!$G$6:$G$20)</f>
        <v>0.02</v>
      </c>
      <c r="N145" s="47">
        <f t="shared" si="16"/>
        <v>0.80932431734167087</v>
      </c>
      <c r="O145" s="49" t="str">
        <f>IF(K145="","",SUMPRODUCT($J$10:J145,$L$10:L145,$N$10:N145)*$E$5)</f>
        <v/>
      </c>
      <c r="P145" s="49" t="str">
        <f>IF(K145="","",SUMPRODUCT($L$10:L145,$N$10:N145)*$K145*$E$5)</f>
        <v/>
      </c>
      <c r="Q145" s="6"/>
      <c r="R145" s="12"/>
      <c r="S145" s="7"/>
    </row>
    <row r="146" spans="1:19" x14ac:dyDescent="0.2">
      <c r="A146" s="41">
        <f t="shared" si="13"/>
        <v>3836</v>
      </c>
      <c r="C146" s="41">
        <v>137</v>
      </c>
      <c r="D146" s="15">
        <f t="shared" si="17"/>
        <v>46470</v>
      </c>
      <c r="E146" s="42">
        <f t="shared" si="14"/>
        <v>46498</v>
      </c>
      <c r="F146" s="42"/>
      <c r="G146" s="42"/>
      <c r="H146" s="15"/>
      <c r="I146" s="43">
        <f t="shared" si="12"/>
        <v>46498</v>
      </c>
      <c r="J146" s="44">
        <f>forward($E$4,D146,E146,CURVA!$H$6:H156,CURVA!$G$6:G156)</f>
        <v>2.0015563624537411E-2</v>
      </c>
      <c r="K146" s="44" t="str">
        <f>IFERROR(VLOOKUP(A146,CURVA!$B$8:$F$30,5,0),"")</f>
        <v/>
      </c>
      <c r="L146" s="45">
        <f t="shared" si="15"/>
        <v>7.7777777777777779E-2</v>
      </c>
      <c r="M146" s="46">
        <f>interpola(E146-$E$4,CURVA!$H$6:$H$20,CURVA!$G$6:$G$20)</f>
        <v>0.02</v>
      </c>
      <c r="N146" s="47">
        <f t="shared" si="16"/>
        <v>0.8080663470785644</v>
      </c>
      <c r="O146" s="49" t="str">
        <f>IF(K146="","",SUMPRODUCT($J$10:J146,$L$10:L146,$N$10:N146)*$E$5)</f>
        <v/>
      </c>
      <c r="P146" s="49" t="str">
        <f>IF(K146="","",SUMPRODUCT($L$10:L146,$N$10:N146)*$K146*$E$5)</f>
        <v/>
      </c>
      <c r="Q146" s="6"/>
      <c r="R146" s="12"/>
      <c r="S146" s="7"/>
    </row>
    <row r="147" spans="1:19" x14ac:dyDescent="0.2">
      <c r="A147" s="41">
        <f t="shared" si="13"/>
        <v>3864</v>
      </c>
      <c r="C147" s="41">
        <v>138</v>
      </c>
      <c r="D147" s="15">
        <f t="shared" si="17"/>
        <v>46498</v>
      </c>
      <c r="E147" s="42">
        <f t="shared" si="14"/>
        <v>46526</v>
      </c>
      <c r="F147" s="42"/>
      <c r="G147" s="42"/>
      <c r="H147" s="15"/>
      <c r="I147" s="43">
        <f t="shared" si="12"/>
        <v>46526</v>
      </c>
      <c r="J147" s="44">
        <f>forward($E$4,D147,E147,CURVA!$H$6:H157,CURVA!$G$6:G157)</f>
        <v>2.0015563624537411E-2</v>
      </c>
      <c r="K147" s="44" t="str">
        <f>IFERROR(VLOOKUP(A147,CURVA!$B$8:$F$30,5,0),"")</f>
        <v/>
      </c>
      <c r="L147" s="45">
        <f t="shared" si="15"/>
        <v>7.7777777777777779E-2</v>
      </c>
      <c r="M147" s="46">
        <f>interpola(E147-$E$4,CURVA!$H$6:$H$20,CURVA!$G$6:$G$20)</f>
        <v>0.02</v>
      </c>
      <c r="N147" s="47">
        <f t="shared" si="16"/>
        <v>0.80681033213688946</v>
      </c>
      <c r="O147" s="49" t="str">
        <f>IF(K147="","",SUMPRODUCT($J$10:J147,$L$10:L147,$N$10:N147)*$E$5)</f>
        <v/>
      </c>
      <c r="P147" s="49" t="str">
        <f>IF(K147="","",SUMPRODUCT($L$10:L147,$N$10:N147)*$K147*$E$5)</f>
        <v/>
      </c>
      <c r="Q147" s="6"/>
      <c r="R147" s="12"/>
      <c r="S147" s="7"/>
    </row>
    <row r="148" spans="1:19" x14ac:dyDescent="0.2">
      <c r="A148" s="41">
        <f t="shared" si="13"/>
        <v>3892</v>
      </c>
      <c r="C148" s="41">
        <v>139</v>
      </c>
      <c r="D148" s="15">
        <f t="shared" si="17"/>
        <v>46526</v>
      </c>
      <c r="E148" s="42">
        <f t="shared" si="14"/>
        <v>46554</v>
      </c>
      <c r="F148" s="42"/>
      <c r="G148" s="42"/>
      <c r="H148" s="15"/>
      <c r="I148" s="43">
        <f t="shared" si="12"/>
        <v>46554</v>
      </c>
      <c r="J148" s="44">
        <f>forward($E$4,D148,E148,CURVA!$H$6:H158,CURVA!$G$6:G158)</f>
        <v>2.0015563624537411E-2</v>
      </c>
      <c r="K148" s="44" t="str">
        <f>IFERROR(VLOOKUP(A148,CURVA!$B$8:$F$30,5,0),"")</f>
        <v/>
      </c>
      <c r="L148" s="45">
        <f t="shared" si="15"/>
        <v>7.7777777777777779E-2</v>
      </c>
      <c r="M148" s="46">
        <f>interpola(E148-$E$4,CURVA!$H$6:$H$20,CURVA!$G$6:$G$20)</f>
        <v>0.02</v>
      </c>
      <c r="N148" s="47">
        <f t="shared" si="16"/>
        <v>0.80555626947739967</v>
      </c>
      <c r="O148" s="49" t="str">
        <f>IF(K148="","",SUMPRODUCT($J$10:J148,$L$10:L148,$N$10:N148)*$E$5)</f>
        <v/>
      </c>
      <c r="P148" s="49" t="str">
        <f>IF(K148="","",SUMPRODUCT($L$10:L148,$N$10:N148)*$K148*$E$5)</f>
        <v/>
      </c>
      <c r="Q148" s="6"/>
      <c r="R148" s="12"/>
      <c r="S148" s="7"/>
    </row>
    <row r="149" spans="1:19" x14ac:dyDescent="0.2">
      <c r="A149" s="41">
        <f t="shared" si="13"/>
        <v>3920</v>
      </c>
      <c r="C149" s="41">
        <v>140</v>
      </c>
      <c r="D149" s="15">
        <f t="shared" si="17"/>
        <v>46554</v>
      </c>
      <c r="E149" s="42">
        <f t="shared" si="14"/>
        <v>46582</v>
      </c>
      <c r="F149" s="42"/>
      <c r="G149" s="42"/>
      <c r="H149" s="15"/>
      <c r="I149" s="43">
        <f t="shared" si="12"/>
        <v>46582</v>
      </c>
      <c r="J149" s="44">
        <f>forward($E$4,D149,E149,CURVA!$H$6:H159,CURVA!$G$6:G159)</f>
        <v>2.0015563624537411E-2</v>
      </c>
      <c r="K149" s="44" t="str">
        <f>IFERROR(VLOOKUP(A149,CURVA!$B$8:$F$30,5,0),"")</f>
        <v/>
      </c>
      <c r="L149" s="45">
        <f t="shared" si="15"/>
        <v>7.7777777777777779E-2</v>
      </c>
      <c r="M149" s="46">
        <f>interpola(E149-$E$4,CURVA!$H$6:$H$20,CURVA!$G$6:$G$20)</f>
        <v>0.02</v>
      </c>
      <c r="N149" s="47">
        <f t="shared" si="16"/>
        <v>0.80430415606557226</v>
      </c>
      <c r="O149" s="49" t="str">
        <f>IF(K149="","",SUMPRODUCT($J$10:J149,$L$10:L149,$N$10:N149)*$E$5)</f>
        <v/>
      </c>
      <c r="P149" s="49" t="str">
        <f>IF(K149="","",SUMPRODUCT($L$10:L149,$N$10:N149)*$K149*$E$5)</f>
        <v/>
      </c>
      <c r="Q149" s="6"/>
      <c r="R149" s="12"/>
      <c r="S149" s="7"/>
    </row>
    <row r="150" spans="1:19" x14ac:dyDescent="0.2">
      <c r="A150" s="41">
        <f t="shared" si="13"/>
        <v>3948</v>
      </c>
      <c r="C150" s="41">
        <v>141</v>
      </c>
      <c r="D150" s="15">
        <f t="shared" si="17"/>
        <v>46582</v>
      </c>
      <c r="E150" s="42">
        <f t="shared" si="14"/>
        <v>46610</v>
      </c>
      <c r="F150" s="42"/>
      <c r="G150" s="42"/>
      <c r="H150" s="15"/>
      <c r="I150" s="43">
        <f t="shared" si="12"/>
        <v>46610</v>
      </c>
      <c r="J150" s="44">
        <f>forward($E$4,D150,E150,CURVA!$H$6:H160,CURVA!$G$6:G160)</f>
        <v>2.0015563624537411E-2</v>
      </c>
      <c r="K150" s="44" t="str">
        <f>IFERROR(VLOOKUP(A150,CURVA!$B$8:$F$30,5,0),"")</f>
        <v/>
      </c>
      <c r="L150" s="45">
        <f t="shared" si="15"/>
        <v>7.7777777777777779E-2</v>
      </c>
      <c r="M150" s="46">
        <f>interpola(E150-$E$4,CURVA!$H$6:$H$20,CURVA!$G$6:$G$20)</f>
        <v>0.02</v>
      </c>
      <c r="N150" s="47">
        <f t="shared" si="16"/>
        <v>0.80305398887160129</v>
      </c>
      <c r="O150" s="49" t="str">
        <f>IF(K150="","",SUMPRODUCT($J$10:J150,$L$10:L150,$N$10:N150)*$E$5)</f>
        <v/>
      </c>
      <c r="P150" s="49" t="str">
        <f>IF(K150="","",SUMPRODUCT($L$10:L150,$N$10:N150)*$K150*$E$5)</f>
        <v/>
      </c>
      <c r="Q150" s="6"/>
      <c r="R150" s="12"/>
      <c r="S150" s="7"/>
    </row>
    <row r="151" spans="1:19" x14ac:dyDescent="0.2">
      <c r="A151" s="41">
        <f t="shared" si="13"/>
        <v>3976</v>
      </c>
      <c r="C151" s="41">
        <v>142</v>
      </c>
      <c r="D151" s="15">
        <f t="shared" si="17"/>
        <v>46610</v>
      </c>
      <c r="E151" s="42">
        <f t="shared" si="14"/>
        <v>46638</v>
      </c>
      <c r="F151" s="42"/>
      <c r="G151" s="42"/>
      <c r="H151" s="15"/>
      <c r="I151" s="43">
        <f t="shared" si="12"/>
        <v>46638</v>
      </c>
      <c r="J151" s="44">
        <f>forward($E$4,D151,E151,CURVA!$H$6:H161,CURVA!$G$6:G161)</f>
        <v>2.0015563624537411E-2</v>
      </c>
      <c r="K151" s="44" t="str">
        <f>IFERROR(VLOOKUP(A151,CURVA!$B$8:$F$30,5,0),"")</f>
        <v/>
      </c>
      <c r="L151" s="45">
        <f t="shared" si="15"/>
        <v>7.7777777777777779E-2</v>
      </c>
      <c r="M151" s="46">
        <f>interpola(E151-$E$4,CURVA!$H$6:$H$20,CURVA!$G$6:$G$20)</f>
        <v>0.02</v>
      </c>
      <c r="N151" s="47">
        <f t="shared" si="16"/>
        <v>0.80180576487039035</v>
      </c>
      <c r="O151" s="49" t="str">
        <f>IF(K151="","",SUMPRODUCT($J$10:J151,$L$10:L151,$N$10:N151)*$E$5)</f>
        <v/>
      </c>
      <c r="P151" s="49" t="str">
        <f>IF(K151="","",SUMPRODUCT($L$10:L151,$N$10:N151)*$K151*$E$5)</f>
        <v/>
      </c>
      <c r="Q151" s="6"/>
      <c r="R151" s="12"/>
      <c r="S151" s="7"/>
    </row>
    <row r="152" spans="1:19" x14ac:dyDescent="0.2">
      <c r="A152" s="41">
        <f t="shared" si="13"/>
        <v>4004</v>
      </c>
      <c r="C152" s="41">
        <v>143</v>
      </c>
      <c r="D152" s="15">
        <f t="shared" si="17"/>
        <v>46638</v>
      </c>
      <c r="E152" s="42">
        <f t="shared" si="14"/>
        <v>46666</v>
      </c>
      <c r="F152" s="42"/>
      <c r="G152" s="42"/>
      <c r="H152" s="15"/>
      <c r="I152" s="43">
        <f t="shared" si="12"/>
        <v>46666</v>
      </c>
      <c r="J152" s="44">
        <f>forward($E$4,D152,E152,CURVA!$H$6:H162,CURVA!$G$6:G162)</f>
        <v>2.0015563624537411E-2</v>
      </c>
      <c r="K152" s="44" t="str">
        <f>IFERROR(VLOOKUP(A152,CURVA!$B$8:$F$30,5,0),"")</f>
        <v/>
      </c>
      <c r="L152" s="45">
        <f t="shared" si="15"/>
        <v>7.7777777777777779E-2</v>
      </c>
      <c r="M152" s="46">
        <f>interpola(E152-$E$4,CURVA!$H$6:$H$20,CURVA!$G$6:$G$20)</f>
        <v>0.02</v>
      </c>
      <c r="N152" s="47">
        <f t="shared" si="16"/>
        <v>0.80055948104154484</v>
      </c>
      <c r="O152" s="49" t="str">
        <f>IF(K152="","",SUMPRODUCT($J$10:J152,$L$10:L152,$N$10:N152)*$E$5)</f>
        <v/>
      </c>
      <c r="P152" s="49" t="str">
        <f>IF(K152="","",SUMPRODUCT($L$10:L152,$N$10:N152)*$K152*$E$5)</f>
        <v/>
      </c>
      <c r="Q152" s="6"/>
      <c r="R152" s="12"/>
      <c r="S152" s="7"/>
    </row>
    <row r="153" spans="1:19" x14ac:dyDescent="0.2">
      <c r="A153" s="41">
        <f t="shared" si="13"/>
        <v>4032</v>
      </c>
      <c r="C153" s="41">
        <v>144</v>
      </c>
      <c r="D153" s="15">
        <f t="shared" si="17"/>
        <v>46666</v>
      </c>
      <c r="E153" s="42">
        <f t="shared" si="14"/>
        <v>46694</v>
      </c>
      <c r="F153" s="42"/>
      <c r="G153" s="42"/>
      <c r="H153" s="15"/>
      <c r="I153" s="43">
        <f t="shared" si="12"/>
        <v>46694</v>
      </c>
      <c r="J153" s="44">
        <f>forward($E$4,D153,E153,CURVA!$H$6:H163,CURVA!$G$6:G163)</f>
        <v>2.0015563624537411E-2</v>
      </c>
      <c r="K153" s="44">
        <f>IFERROR(VLOOKUP(A153,CURVA!$B$8:$F$30,5,0),"")</f>
        <v>1.298E-2</v>
      </c>
      <c r="L153" s="45">
        <f t="shared" si="15"/>
        <v>7.7777777777777779E-2</v>
      </c>
      <c r="M153" s="46">
        <f>interpola(E153-$E$4,CURVA!$H$6:$H$20,CURVA!$G$6:$G$20)</f>
        <v>0.02</v>
      </c>
      <c r="N153" s="47">
        <f t="shared" si="16"/>
        <v>0.79931513436936508</v>
      </c>
      <c r="O153" s="49">
        <f>IF(K153="","",SUMPRODUCT($J$10:J153,$L$10:L153,$N$10:N153)*$E$5)</f>
        <v>200684.86563064033</v>
      </c>
      <c r="P153" s="49">
        <f>IF(K153="","",SUMPRODUCT($L$10:L153,$N$10:N153)*$K153*$E$5)</f>
        <v>130143.39758853294</v>
      </c>
      <c r="Q153" s="6"/>
      <c r="R153" s="12"/>
      <c r="S153" s="7"/>
    </row>
    <row r="154" spans="1:19" x14ac:dyDescent="0.2">
      <c r="A154" s="41">
        <f t="shared" si="13"/>
        <v>4060</v>
      </c>
      <c r="C154" s="41">
        <v>145</v>
      </c>
      <c r="D154" s="15">
        <f t="shared" si="17"/>
        <v>46694</v>
      </c>
      <c r="E154" s="42">
        <f t="shared" si="14"/>
        <v>46722</v>
      </c>
      <c r="F154" s="42"/>
      <c r="G154" s="42"/>
      <c r="H154" s="15"/>
      <c r="I154" s="43">
        <f t="shared" si="12"/>
        <v>46722</v>
      </c>
      <c r="J154" s="44">
        <f>forward($E$4,D154,E154,CURVA!$H$6:H164,CURVA!$G$6:G164)</f>
        <v>2.0015563624537411E-2</v>
      </c>
      <c r="K154" s="44" t="str">
        <f>IFERROR(VLOOKUP(A154,CURVA!$B$8:$F$30,5,0),"")</f>
        <v/>
      </c>
      <c r="L154" s="45">
        <f t="shared" si="15"/>
        <v>7.7777777777777779E-2</v>
      </c>
      <c r="M154" s="46">
        <f>interpola(E154-$E$4,CURVA!$H$6:$H$20,CURVA!$G$6:$G$20)</f>
        <v>0.02</v>
      </c>
      <c r="N154" s="47">
        <f t="shared" si="16"/>
        <v>0.79807272184283884</v>
      </c>
      <c r="O154" s="49" t="str">
        <f>IF(K154="","",SUMPRODUCT($J$10:J154,$L$10:L154,$N$10:N154)*$E$5)</f>
        <v/>
      </c>
      <c r="P154" s="49" t="str">
        <f>IF(K154="","",SUMPRODUCT($L$10:L154,$N$10:N154)*$K154*$E$5)</f>
        <v/>
      </c>
      <c r="Q154" s="6"/>
      <c r="R154" s="12"/>
      <c r="S154" s="7"/>
    </row>
    <row r="155" spans="1:19" x14ac:dyDescent="0.2">
      <c r="A155" s="41">
        <f t="shared" si="13"/>
        <v>4088</v>
      </c>
      <c r="C155" s="41">
        <v>146</v>
      </c>
      <c r="D155" s="15">
        <f t="shared" si="17"/>
        <v>46722</v>
      </c>
      <c r="E155" s="42">
        <f t="shared" si="14"/>
        <v>46750</v>
      </c>
      <c r="F155" s="42"/>
      <c r="G155" s="42"/>
      <c r="H155" s="15"/>
      <c r="I155" s="43">
        <f t="shared" si="12"/>
        <v>46750</v>
      </c>
      <c r="J155" s="44">
        <f>forward($E$4,D155,E155,CURVA!$H$6:H165,CURVA!$G$6:G165)</f>
        <v>2.0015563624537411E-2</v>
      </c>
      <c r="K155" s="44" t="str">
        <f>IFERROR(VLOOKUP(A155,CURVA!$B$8:$F$30,5,0),"")</f>
        <v/>
      </c>
      <c r="L155" s="45">
        <f t="shared" si="15"/>
        <v>7.7777777777777779E-2</v>
      </c>
      <c r="M155" s="46">
        <f>interpola(E155-$E$4,CURVA!$H$6:$H$20,CURVA!$G$6:$G$20)</f>
        <v>0.02</v>
      </c>
      <c r="N155" s="47">
        <f t="shared" si="16"/>
        <v>0.79683224045563372</v>
      </c>
      <c r="O155" s="49" t="str">
        <f>IF(K155="","",SUMPRODUCT($J$10:J155,$L$10:L155,$N$10:N155)*$E$5)</f>
        <v/>
      </c>
      <c r="P155" s="49" t="str">
        <f>IF(K155="","",SUMPRODUCT($L$10:L155,$N$10:N155)*$K155*$E$5)</f>
        <v/>
      </c>
      <c r="Q155" s="6"/>
      <c r="R155" s="12"/>
      <c r="S155" s="7"/>
    </row>
    <row r="156" spans="1:19" x14ac:dyDescent="0.2">
      <c r="A156" s="41">
        <f t="shared" si="13"/>
        <v>4116</v>
      </c>
      <c r="C156" s="41">
        <v>147</v>
      </c>
      <c r="D156" s="15">
        <f t="shared" si="17"/>
        <v>46750</v>
      </c>
      <c r="E156" s="42">
        <f t="shared" si="14"/>
        <v>46778</v>
      </c>
      <c r="F156" s="42"/>
      <c r="G156" s="42"/>
      <c r="H156" s="15"/>
      <c r="I156" s="43">
        <f t="shared" si="12"/>
        <v>46778</v>
      </c>
      <c r="J156" s="44">
        <f>forward($E$4,D156,E156,CURVA!$H$6:H166,CURVA!$G$6:G166)</f>
        <v>2.0015563624537411E-2</v>
      </c>
      <c r="K156" s="44" t="str">
        <f>IFERROR(VLOOKUP(A156,CURVA!$B$8:$F$30,5,0),"")</f>
        <v/>
      </c>
      <c r="L156" s="45">
        <f t="shared" si="15"/>
        <v>7.7777777777777779E-2</v>
      </c>
      <c r="M156" s="46">
        <f>interpola(E156-$E$4,CURVA!$H$6:$H$20,CURVA!$G$6:$G$20)</f>
        <v>0.02</v>
      </c>
      <c r="N156" s="47">
        <f t="shared" si="16"/>
        <v>0.79559368720609069</v>
      </c>
      <c r="O156" s="49" t="str">
        <f>IF(K156="","",SUMPRODUCT($J$10:J156,$L$10:L156,$N$10:N156)*$E$5)</f>
        <v/>
      </c>
      <c r="P156" s="49" t="str">
        <f>IF(K156="","",SUMPRODUCT($L$10:L156,$N$10:N156)*$K156*$E$5)</f>
        <v/>
      </c>
      <c r="Q156" s="6"/>
      <c r="R156" s="12"/>
      <c r="S156" s="7"/>
    </row>
    <row r="157" spans="1:19" x14ac:dyDescent="0.2">
      <c r="A157" s="41">
        <f t="shared" si="13"/>
        <v>4144</v>
      </c>
      <c r="C157" s="41">
        <v>148</v>
      </c>
      <c r="D157" s="15">
        <f t="shared" si="17"/>
        <v>46778</v>
      </c>
      <c r="E157" s="42">
        <f t="shared" si="14"/>
        <v>46806</v>
      </c>
      <c r="F157" s="42"/>
      <c r="G157" s="42"/>
      <c r="H157" s="15"/>
      <c r="I157" s="43">
        <f t="shared" si="12"/>
        <v>46806</v>
      </c>
      <c r="J157" s="44">
        <f>forward($E$4,D157,E157,CURVA!$H$6:H167,CURVA!$G$6:G167)</f>
        <v>2.0015563624537411E-2</v>
      </c>
      <c r="K157" s="44" t="str">
        <f>IFERROR(VLOOKUP(A157,CURVA!$B$8:$F$30,5,0),"")</f>
        <v/>
      </c>
      <c r="L157" s="45">
        <f t="shared" si="15"/>
        <v>7.7777777777777779E-2</v>
      </c>
      <c r="M157" s="46">
        <f>interpola(E157-$E$4,CURVA!$H$6:$H$20,CURVA!$G$6:$G$20)</f>
        <v>0.02</v>
      </c>
      <c r="N157" s="47">
        <f t="shared" si="16"/>
        <v>0.79435705909721599</v>
      </c>
      <c r="O157" s="49" t="str">
        <f>IF(K157="","",SUMPRODUCT($J$10:J157,$L$10:L157,$N$10:N157)*$E$5)</f>
        <v/>
      </c>
      <c r="P157" s="49" t="str">
        <f>IF(K157="","",SUMPRODUCT($L$10:L157,$N$10:N157)*$K157*$E$5)</f>
        <v/>
      </c>
      <c r="Q157" s="6"/>
      <c r="R157" s="12"/>
      <c r="S157" s="7"/>
    </row>
    <row r="158" spans="1:19" x14ac:dyDescent="0.2">
      <c r="A158" s="41">
        <f t="shared" si="13"/>
        <v>4172</v>
      </c>
      <c r="C158" s="41">
        <v>149</v>
      </c>
      <c r="D158" s="15">
        <f t="shared" si="17"/>
        <v>46806</v>
      </c>
      <c r="E158" s="42">
        <f t="shared" si="14"/>
        <v>46834</v>
      </c>
      <c r="F158" s="42"/>
      <c r="G158" s="42"/>
      <c r="H158" s="15"/>
      <c r="I158" s="43">
        <f t="shared" si="12"/>
        <v>46834</v>
      </c>
      <c r="J158" s="44">
        <f>forward($E$4,D158,E158,CURVA!$H$6:H168,CURVA!$G$6:G168)</f>
        <v>2.0015563624537411E-2</v>
      </c>
      <c r="K158" s="44" t="str">
        <f>IFERROR(VLOOKUP(A158,CURVA!$B$8:$F$30,5,0),"")</f>
        <v/>
      </c>
      <c r="L158" s="45">
        <f t="shared" si="15"/>
        <v>7.7777777777777779E-2</v>
      </c>
      <c r="M158" s="46">
        <f>interpola(E158-$E$4,CURVA!$H$6:$H$20,CURVA!$G$6:$G$20)</f>
        <v>0.02</v>
      </c>
      <c r="N158" s="47">
        <f t="shared" si="16"/>
        <v>0.79312235313667434</v>
      </c>
      <c r="O158" s="49" t="str">
        <f>IF(K158="","",SUMPRODUCT($J$10:J158,$L$10:L158,$N$10:N158)*$E$5)</f>
        <v/>
      </c>
      <c r="P158" s="49" t="str">
        <f>IF(K158="","",SUMPRODUCT($L$10:L158,$N$10:N158)*$K158*$E$5)</f>
        <v/>
      </c>
      <c r="Q158" s="6"/>
      <c r="R158" s="12"/>
      <c r="S158" s="7"/>
    </row>
    <row r="159" spans="1:19" x14ac:dyDescent="0.2">
      <c r="A159" s="41">
        <f t="shared" si="13"/>
        <v>4200</v>
      </c>
      <c r="C159" s="41">
        <v>150</v>
      </c>
      <c r="D159" s="15">
        <f t="shared" si="17"/>
        <v>46834</v>
      </c>
      <c r="E159" s="42">
        <f t="shared" si="14"/>
        <v>46862</v>
      </c>
      <c r="F159" s="42"/>
      <c r="G159" s="42"/>
      <c r="H159" s="15"/>
      <c r="I159" s="43">
        <f t="shared" si="12"/>
        <v>46862</v>
      </c>
      <c r="J159" s="44">
        <f>forward($E$4,D159,E159,CURVA!$H$6:H169,CURVA!$G$6:G169)</f>
        <v>2.0015563624537411E-2</v>
      </c>
      <c r="K159" s="44" t="str">
        <f>IFERROR(VLOOKUP(A159,CURVA!$B$8:$F$30,5,0),"")</f>
        <v/>
      </c>
      <c r="L159" s="45">
        <f t="shared" si="15"/>
        <v>7.7777777777777779E-2</v>
      </c>
      <c r="M159" s="46">
        <f>interpola(E159-$E$4,CURVA!$H$6:$H$20,CURVA!$G$6:$G$20)</f>
        <v>0.02</v>
      </c>
      <c r="N159" s="47">
        <f t="shared" si="16"/>
        <v>0.79188956633678165</v>
      </c>
      <c r="O159" s="49" t="str">
        <f>IF(K159="","",SUMPRODUCT($J$10:J159,$L$10:L159,$N$10:N159)*$E$5)</f>
        <v/>
      </c>
      <c r="P159" s="49" t="str">
        <f>IF(K159="","",SUMPRODUCT($L$10:L159,$N$10:N159)*$K159*$E$5)</f>
        <v/>
      </c>
      <c r="Q159" s="6"/>
      <c r="R159" s="12"/>
      <c r="S159" s="7"/>
    </row>
    <row r="160" spans="1:19" x14ac:dyDescent="0.2">
      <c r="A160" s="41">
        <f t="shared" si="13"/>
        <v>4228</v>
      </c>
      <c r="C160" s="41">
        <v>151</v>
      </c>
      <c r="D160" s="15">
        <f t="shared" si="17"/>
        <v>46862</v>
      </c>
      <c r="E160" s="42">
        <f t="shared" si="14"/>
        <v>46890</v>
      </c>
      <c r="F160" s="42"/>
      <c r="G160" s="42"/>
      <c r="H160" s="15"/>
      <c r="I160" s="43">
        <f t="shared" si="12"/>
        <v>46890</v>
      </c>
      <c r="J160" s="44">
        <f>forward($E$4,D160,E160,CURVA!$H$6:H170,CURVA!$G$6:G170)</f>
        <v>2.0015563624537411E-2</v>
      </c>
      <c r="K160" s="44" t="str">
        <f>IFERROR(VLOOKUP(A160,CURVA!$B$8:$F$30,5,0),"")</f>
        <v/>
      </c>
      <c r="L160" s="45">
        <f t="shared" si="15"/>
        <v>7.7777777777777779E-2</v>
      </c>
      <c r="M160" s="46">
        <f>interpola(E160-$E$4,CURVA!$H$6:$H$20,CURVA!$G$6:$G$20)</f>
        <v>0.02</v>
      </c>
      <c r="N160" s="47">
        <f t="shared" si="16"/>
        <v>0.79065869571449754</v>
      </c>
      <c r="O160" s="49" t="str">
        <f>IF(K160="","",SUMPRODUCT($J$10:J160,$L$10:L160,$N$10:N160)*$E$5)</f>
        <v/>
      </c>
      <c r="P160" s="49" t="str">
        <f>IF(K160="","",SUMPRODUCT($L$10:L160,$N$10:N160)*$K160*$E$5)</f>
        <v/>
      </c>
      <c r="Q160" s="6"/>
      <c r="R160" s="12"/>
      <c r="S160" s="7"/>
    </row>
    <row r="161" spans="1:19" x14ac:dyDescent="0.2">
      <c r="A161" s="41">
        <f t="shared" si="13"/>
        <v>4256</v>
      </c>
      <c r="C161" s="41">
        <v>152</v>
      </c>
      <c r="D161" s="15">
        <f t="shared" si="17"/>
        <v>46890</v>
      </c>
      <c r="E161" s="42">
        <f t="shared" si="14"/>
        <v>46918</v>
      </c>
      <c r="F161" s="42"/>
      <c r="G161" s="42"/>
      <c r="H161" s="15"/>
      <c r="I161" s="43">
        <f t="shared" si="12"/>
        <v>46918</v>
      </c>
      <c r="J161" s="44">
        <f>forward($E$4,D161,E161,CURVA!$H$6:H171,CURVA!$G$6:G171)</f>
        <v>2.0015563624537411E-2</v>
      </c>
      <c r="K161" s="44" t="str">
        <f>IFERROR(VLOOKUP(A161,CURVA!$B$8:$F$30,5,0),"")</f>
        <v/>
      </c>
      <c r="L161" s="45">
        <f t="shared" si="15"/>
        <v>7.7777777777777779E-2</v>
      </c>
      <c r="M161" s="46">
        <f>interpola(E161-$E$4,CURVA!$H$6:$H$20,CURVA!$G$6:$G$20)</f>
        <v>0.02</v>
      </c>
      <c r="N161" s="47">
        <f t="shared" si="16"/>
        <v>0.78942973829141849</v>
      </c>
      <c r="O161" s="49" t="str">
        <f>IF(K161="","",SUMPRODUCT($J$10:J161,$L$10:L161,$N$10:N161)*$E$5)</f>
        <v/>
      </c>
      <c r="P161" s="49" t="str">
        <f>IF(K161="","",SUMPRODUCT($L$10:L161,$N$10:N161)*$K161*$E$5)</f>
        <v/>
      </c>
      <c r="Q161" s="6"/>
      <c r="R161" s="12"/>
      <c r="S161" s="7"/>
    </row>
    <row r="162" spans="1:19" x14ac:dyDescent="0.2">
      <c r="A162" s="41">
        <f t="shared" si="13"/>
        <v>4284</v>
      </c>
      <c r="C162" s="41">
        <v>153</v>
      </c>
      <c r="D162" s="15">
        <f t="shared" si="17"/>
        <v>46918</v>
      </c>
      <c r="E162" s="42">
        <f t="shared" si="14"/>
        <v>46946</v>
      </c>
      <c r="F162" s="42"/>
      <c r="G162" s="42"/>
      <c r="H162" s="15"/>
      <c r="I162" s="43">
        <f t="shared" si="12"/>
        <v>46946</v>
      </c>
      <c r="J162" s="44">
        <f>forward($E$4,D162,E162,CURVA!$H$6:H172,CURVA!$G$6:G172)</f>
        <v>2.0015563624537411E-2</v>
      </c>
      <c r="K162" s="44" t="str">
        <f>IFERROR(VLOOKUP(A162,CURVA!$B$8:$F$30,5,0),"")</f>
        <v/>
      </c>
      <c r="L162" s="45">
        <f t="shared" si="15"/>
        <v>7.7777777777777779E-2</v>
      </c>
      <c r="M162" s="46">
        <f>interpola(E162-$E$4,CURVA!$H$6:$H$20,CURVA!$G$6:$G$20)</f>
        <v>0.02</v>
      </c>
      <c r="N162" s="47">
        <f t="shared" si="16"/>
        <v>0.78820269109377039</v>
      </c>
      <c r="O162" s="49" t="str">
        <f>IF(K162="","",SUMPRODUCT($J$10:J162,$L$10:L162,$N$10:N162)*$E$5)</f>
        <v/>
      </c>
      <c r="P162" s="49" t="str">
        <f>IF(K162="","",SUMPRODUCT($L$10:L162,$N$10:N162)*$K162*$E$5)</f>
        <v/>
      </c>
      <c r="Q162" s="6"/>
      <c r="R162" s="12"/>
      <c r="S162" s="7"/>
    </row>
    <row r="163" spans="1:19" x14ac:dyDescent="0.2">
      <c r="A163" s="41">
        <f t="shared" si="13"/>
        <v>4312</v>
      </c>
      <c r="C163" s="41">
        <v>154</v>
      </c>
      <c r="D163" s="15">
        <f t="shared" si="17"/>
        <v>46946</v>
      </c>
      <c r="E163" s="42">
        <f t="shared" si="14"/>
        <v>46974</v>
      </c>
      <c r="F163" s="42"/>
      <c r="G163" s="42"/>
      <c r="H163" s="15"/>
      <c r="I163" s="43">
        <f t="shared" si="12"/>
        <v>46974</v>
      </c>
      <c r="J163" s="44">
        <f>forward($E$4,D163,E163,CURVA!$H$6:H173,CURVA!$G$6:G173)</f>
        <v>2.0015563624537411E-2</v>
      </c>
      <c r="K163" s="44" t="str">
        <f>IFERROR(VLOOKUP(A163,CURVA!$B$8:$F$30,5,0),"")</f>
        <v/>
      </c>
      <c r="L163" s="45">
        <f t="shared" si="15"/>
        <v>7.7777777777777779E-2</v>
      </c>
      <c r="M163" s="46">
        <f>interpola(E163-$E$4,CURVA!$H$6:$H$20,CURVA!$G$6:$G$20)</f>
        <v>0.02</v>
      </c>
      <c r="N163" s="47">
        <f t="shared" si="16"/>
        <v>0.78697755115240142</v>
      </c>
      <c r="O163" s="49" t="str">
        <f>IF(K163="","",SUMPRODUCT($J$10:J163,$L$10:L163,$N$10:N163)*$E$5)</f>
        <v/>
      </c>
      <c r="P163" s="49" t="str">
        <f>IF(K163="","",SUMPRODUCT($L$10:L163,$N$10:N163)*$K163*$E$5)</f>
        <v/>
      </c>
      <c r="Q163" s="6"/>
      <c r="R163" s="12"/>
      <c r="S163" s="7"/>
    </row>
    <row r="164" spans="1:19" x14ac:dyDescent="0.2">
      <c r="A164" s="41">
        <f t="shared" si="13"/>
        <v>4340</v>
      </c>
      <c r="C164" s="41">
        <v>155</v>
      </c>
      <c r="D164" s="15">
        <f t="shared" si="17"/>
        <v>46974</v>
      </c>
      <c r="E164" s="42">
        <f t="shared" si="14"/>
        <v>47002</v>
      </c>
      <c r="F164" s="42"/>
      <c r="G164" s="42"/>
      <c r="H164" s="15"/>
      <c r="I164" s="43">
        <f t="shared" si="12"/>
        <v>47002</v>
      </c>
      <c r="J164" s="44">
        <f>forward($E$4,D164,E164,CURVA!$H$6:H174,CURVA!$G$6:G174)</f>
        <v>2.0015563624537411E-2</v>
      </c>
      <c r="K164" s="44" t="str">
        <f>IFERROR(VLOOKUP(A164,CURVA!$B$8:$F$30,5,0),"")</f>
        <v/>
      </c>
      <c r="L164" s="45">
        <f t="shared" si="15"/>
        <v>7.7777777777777779E-2</v>
      </c>
      <c r="M164" s="46">
        <f>interpola(E164-$E$4,CURVA!$H$6:$H$20,CURVA!$G$6:$G$20)</f>
        <v>0.02</v>
      </c>
      <c r="N164" s="47">
        <f t="shared" si="16"/>
        <v>0.78575431550277475</v>
      </c>
      <c r="O164" s="49" t="str">
        <f>IF(K164="","",SUMPRODUCT($J$10:J164,$L$10:L164,$N$10:N164)*$E$5)</f>
        <v/>
      </c>
      <c r="P164" s="49" t="str">
        <f>IF(K164="","",SUMPRODUCT($L$10:L164,$N$10:N164)*$K164*$E$5)</f>
        <v/>
      </c>
      <c r="Q164" s="6"/>
      <c r="R164" s="12"/>
      <c r="S164" s="7"/>
    </row>
    <row r="165" spans="1:19" x14ac:dyDescent="0.2">
      <c r="A165" s="41">
        <f t="shared" si="13"/>
        <v>4368</v>
      </c>
      <c r="C165" s="41">
        <v>156</v>
      </c>
      <c r="D165" s="15">
        <f t="shared" si="17"/>
        <v>47002</v>
      </c>
      <c r="E165" s="42">
        <f t="shared" si="14"/>
        <v>47030</v>
      </c>
      <c r="F165" s="42"/>
      <c r="G165" s="42"/>
      <c r="H165" s="15"/>
      <c r="I165" s="43">
        <f t="shared" si="12"/>
        <v>47030</v>
      </c>
      <c r="J165" s="44">
        <f>forward($E$4,D165,E165,CURVA!$H$6:H175,CURVA!$G$6:G175)</f>
        <v>2.0015563624537411E-2</v>
      </c>
      <c r="K165" s="44" t="str">
        <f>IFERROR(VLOOKUP(A165,CURVA!$B$8:$F$30,5,0),"")</f>
        <v/>
      </c>
      <c r="L165" s="45">
        <f t="shared" si="15"/>
        <v>7.7777777777777779E-2</v>
      </c>
      <c r="M165" s="46">
        <f>interpola(E165-$E$4,CURVA!$H$6:$H$20,CURVA!$G$6:$G$20)</f>
        <v>0.02</v>
      </c>
      <c r="N165" s="47">
        <f t="shared" si="16"/>
        <v>0.78453298118496151</v>
      </c>
      <c r="O165" s="49" t="str">
        <f>IF(K165="","",SUMPRODUCT($J$10:J165,$L$10:L165,$N$10:N165)*$E$5)</f>
        <v/>
      </c>
      <c r="P165" s="49" t="str">
        <f>IF(K165="","",SUMPRODUCT($L$10:L165,$N$10:N165)*$K165*$E$5)</f>
        <v/>
      </c>
      <c r="Q165" s="6"/>
      <c r="R165" s="12"/>
      <c r="S165" s="7"/>
    </row>
    <row r="166" spans="1:19" x14ac:dyDescent="0.2">
      <c r="A166" s="41">
        <f t="shared" si="13"/>
        <v>4396</v>
      </c>
      <c r="C166" s="41">
        <v>157</v>
      </c>
      <c r="D166" s="15">
        <f t="shared" si="17"/>
        <v>47030</v>
      </c>
      <c r="E166" s="42">
        <f t="shared" si="14"/>
        <v>47058</v>
      </c>
      <c r="F166" s="42"/>
      <c r="G166" s="42"/>
      <c r="H166" s="15"/>
      <c r="I166" s="43">
        <f t="shared" si="12"/>
        <v>47058</v>
      </c>
      <c r="J166" s="44">
        <f>forward($E$4,D166,E166,CURVA!$H$6:H176,CURVA!$G$6:G176)</f>
        <v>2.0015563624537411E-2</v>
      </c>
      <c r="K166" s="44" t="str">
        <f>IFERROR(VLOOKUP(A166,CURVA!$B$8:$F$30,5,0),"")</f>
        <v/>
      </c>
      <c r="L166" s="45">
        <f t="shared" si="15"/>
        <v>7.7777777777777779E-2</v>
      </c>
      <c r="M166" s="46">
        <f>interpola(E166-$E$4,CURVA!$H$6:$H$20,CURVA!$G$6:$G$20)</f>
        <v>0.02</v>
      </c>
      <c r="N166" s="47">
        <f t="shared" si="16"/>
        <v>0.78331354524363372</v>
      </c>
      <c r="O166" s="49" t="str">
        <f>IF(K166="","",SUMPRODUCT($J$10:J166,$L$10:L166,$N$10:N166)*$E$5)</f>
        <v/>
      </c>
      <c r="P166" s="49" t="str">
        <f>IF(K166="","",SUMPRODUCT($L$10:L166,$N$10:N166)*$K166*$E$5)</f>
        <v/>
      </c>
      <c r="Q166" s="6"/>
      <c r="R166" s="12"/>
      <c r="S166" s="7"/>
    </row>
    <row r="167" spans="1:19" x14ac:dyDescent="0.2">
      <c r="A167" s="41">
        <f t="shared" si="13"/>
        <v>4424</v>
      </c>
      <c r="C167" s="41">
        <v>158</v>
      </c>
      <c r="D167" s="15">
        <f t="shared" si="17"/>
        <v>47058</v>
      </c>
      <c r="E167" s="42">
        <f t="shared" si="14"/>
        <v>47086</v>
      </c>
      <c r="F167" s="42"/>
      <c r="G167" s="42"/>
      <c r="H167" s="15"/>
      <c r="I167" s="43">
        <f t="shared" si="12"/>
        <v>47086</v>
      </c>
      <c r="J167" s="44">
        <f>forward($E$4,D167,E167,CURVA!$H$6:H177,CURVA!$G$6:G177)</f>
        <v>2.0015563624537411E-2</v>
      </c>
      <c r="K167" s="44" t="str">
        <f>IFERROR(VLOOKUP(A167,CURVA!$B$8:$F$30,5,0),"")</f>
        <v/>
      </c>
      <c r="L167" s="45">
        <f t="shared" si="15"/>
        <v>7.7777777777777779E-2</v>
      </c>
      <c r="M167" s="46">
        <f>interpola(E167-$E$4,CURVA!$H$6:$H$20,CURVA!$G$6:$G$20)</f>
        <v>0.02</v>
      </c>
      <c r="N167" s="47">
        <f t="shared" si="16"/>
        <v>0.78209600472805696</v>
      </c>
      <c r="O167" s="49" t="str">
        <f>IF(K167="","",SUMPRODUCT($J$10:J167,$L$10:L167,$N$10:N167)*$E$5)</f>
        <v/>
      </c>
      <c r="P167" s="49" t="str">
        <f>IF(K167="","",SUMPRODUCT($L$10:L167,$N$10:N167)*$K167*$E$5)</f>
        <v/>
      </c>
      <c r="Q167" s="6"/>
      <c r="R167" s="12"/>
      <c r="S167" s="7"/>
    </row>
    <row r="168" spans="1:19" x14ac:dyDescent="0.2">
      <c r="A168" s="41">
        <f t="shared" si="13"/>
        <v>4452</v>
      </c>
      <c r="C168" s="41">
        <v>159</v>
      </c>
      <c r="D168" s="15">
        <f t="shared" si="17"/>
        <v>47086</v>
      </c>
      <c r="E168" s="42">
        <f t="shared" si="14"/>
        <v>47114</v>
      </c>
      <c r="F168" s="42"/>
      <c r="G168" s="42"/>
      <c r="H168" s="15"/>
      <c r="I168" s="43">
        <f t="shared" si="12"/>
        <v>47114</v>
      </c>
      <c r="J168" s="44">
        <f>forward($E$4,D168,E168,CURVA!$H$6:H178,CURVA!$G$6:G178)</f>
        <v>2.0015563624537411E-2</v>
      </c>
      <c r="K168" s="44" t="str">
        <f>IFERROR(VLOOKUP(A168,CURVA!$B$8:$F$30,5,0),"")</f>
        <v/>
      </c>
      <c r="L168" s="45">
        <f t="shared" si="15"/>
        <v>7.7777777777777779E-2</v>
      </c>
      <c r="M168" s="46">
        <f>interpola(E168-$E$4,CURVA!$H$6:$H$20,CURVA!$G$6:$G$20)</f>
        <v>0.02</v>
      </c>
      <c r="N168" s="47">
        <f t="shared" si="16"/>
        <v>0.78088035669208311</v>
      </c>
      <c r="O168" s="49" t="str">
        <f>IF(K168="","",SUMPRODUCT($J$10:J168,$L$10:L168,$N$10:N168)*$E$5)</f>
        <v/>
      </c>
      <c r="P168" s="49" t="str">
        <f>IF(K168="","",SUMPRODUCT($L$10:L168,$N$10:N168)*$K168*$E$5)</f>
        <v/>
      </c>
      <c r="Q168" s="6"/>
      <c r="R168" s="12"/>
      <c r="S168" s="7"/>
    </row>
    <row r="169" spans="1:19" x14ac:dyDescent="0.2">
      <c r="A169" s="41">
        <f t="shared" si="13"/>
        <v>4480</v>
      </c>
      <c r="C169" s="41">
        <v>160</v>
      </c>
      <c r="D169" s="15">
        <f t="shared" si="17"/>
        <v>47114</v>
      </c>
      <c r="E169" s="42">
        <f t="shared" si="14"/>
        <v>47142</v>
      </c>
      <c r="F169" s="42"/>
      <c r="G169" s="42"/>
      <c r="H169" s="15"/>
      <c r="I169" s="43">
        <f t="shared" si="12"/>
        <v>47142</v>
      </c>
      <c r="J169" s="44">
        <f>forward($E$4,D169,E169,CURVA!$H$6:H179,CURVA!$G$6:G179)</f>
        <v>2.0015563624537411E-2</v>
      </c>
      <c r="K169" s="44" t="str">
        <f>IFERROR(VLOOKUP(A169,CURVA!$B$8:$F$30,5,0),"")</f>
        <v/>
      </c>
      <c r="L169" s="45">
        <f t="shared" si="15"/>
        <v>7.7777777777777779E-2</v>
      </c>
      <c r="M169" s="46">
        <f>interpola(E169-$E$4,CURVA!$H$6:$H$20,CURVA!$G$6:$G$20)</f>
        <v>0.02</v>
      </c>
      <c r="N169" s="47">
        <f t="shared" si="16"/>
        <v>0.77966659819414341</v>
      </c>
      <c r="O169" s="49" t="str">
        <f>IF(K169="","",SUMPRODUCT($J$10:J169,$L$10:L169,$N$10:N169)*$E$5)</f>
        <v/>
      </c>
      <c r="P169" s="49" t="str">
        <f>IF(K169="","",SUMPRODUCT($L$10:L169,$N$10:N169)*$K169*$E$5)</f>
        <v/>
      </c>
      <c r="Q169" s="6"/>
      <c r="R169" s="12"/>
      <c r="S169" s="7"/>
    </row>
    <row r="170" spans="1:19" x14ac:dyDescent="0.2">
      <c r="A170" s="41">
        <f t="shared" si="13"/>
        <v>4508</v>
      </c>
      <c r="C170" s="41">
        <v>161</v>
      </c>
      <c r="D170" s="15">
        <f t="shared" si="17"/>
        <v>47142</v>
      </c>
      <c r="E170" s="42">
        <f t="shared" si="14"/>
        <v>47170</v>
      </c>
      <c r="F170" s="42"/>
      <c r="G170" s="42"/>
      <c r="H170" s="15"/>
      <c r="I170" s="43">
        <f t="shared" si="12"/>
        <v>47170</v>
      </c>
      <c r="J170" s="44">
        <f>forward($E$4,D170,E170,CURVA!$H$6:H180,CURVA!$G$6:G180)</f>
        <v>2.0015563624537411E-2</v>
      </c>
      <c r="K170" s="44" t="str">
        <f>IFERROR(VLOOKUP(A170,CURVA!$B$8:$F$30,5,0),"")</f>
        <v/>
      </c>
      <c r="L170" s="45">
        <f t="shared" si="15"/>
        <v>7.7777777777777779E-2</v>
      </c>
      <c r="M170" s="46">
        <f>interpola(E170-$E$4,CURVA!$H$6:$H$20,CURVA!$G$6:$G$20)</f>
        <v>0.02</v>
      </c>
      <c r="N170" s="47">
        <f t="shared" si="16"/>
        <v>0.77845472629724155</v>
      </c>
      <c r="O170" s="49" t="str">
        <f>IF(K170="","",SUMPRODUCT($J$10:J170,$L$10:L170,$N$10:N170)*$E$5)</f>
        <v/>
      </c>
      <c r="P170" s="49" t="str">
        <f>IF(K170="","",SUMPRODUCT($L$10:L170,$N$10:N170)*$K170*$E$5)</f>
        <v/>
      </c>
      <c r="Q170" s="6"/>
      <c r="R170" s="12"/>
      <c r="S170" s="7"/>
    </row>
    <row r="171" spans="1:19" x14ac:dyDescent="0.2">
      <c r="A171" s="41">
        <f t="shared" si="13"/>
        <v>4536</v>
      </c>
      <c r="C171" s="41">
        <v>162</v>
      </c>
      <c r="D171" s="15">
        <f t="shared" si="17"/>
        <v>47170</v>
      </c>
      <c r="E171" s="42">
        <f t="shared" si="14"/>
        <v>47198</v>
      </c>
      <c r="F171" s="42"/>
      <c r="G171" s="42"/>
      <c r="H171" s="15"/>
      <c r="I171" s="43">
        <f t="shared" si="12"/>
        <v>47198</v>
      </c>
      <c r="J171" s="44">
        <f>forward($E$4,D171,E171,CURVA!$H$6:H181,CURVA!$G$6:G181)</f>
        <v>2.0015563624537411E-2</v>
      </c>
      <c r="K171" s="44" t="str">
        <f>IFERROR(VLOOKUP(A171,CURVA!$B$8:$F$30,5,0),"")</f>
        <v/>
      </c>
      <c r="L171" s="45">
        <f t="shared" si="15"/>
        <v>7.7777777777777779E-2</v>
      </c>
      <c r="M171" s="46">
        <f>interpola(E171-$E$4,CURVA!$H$6:$H$20,CURVA!$G$6:$G$20)</f>
        <v>0.02</v>
      </c>
      <c r="N171" s="47">
        <f t="shared" si="16"/>
        <v>0.77724473806894612</v>
      </c>
      <c r="O171" s="49" t="str">
        <f>IF(K171="","",SUMPRODUCT($J$10:J171,$L$10:L171,$N$10:N171)*$E$5)</f>
        <v/>
      </c>
      <c r="P171" s="49" t="str">
        <f>IF(K171="","",SUMPRODUCT($L$10:L171,$N$10:N171)*$K171*$E$5)</f>
        <v/>
      </c>
      <c r="Q171" s="6"/>
      <c r="R171" s="12"/>
      <c r="S171" s="7"/>
    </row>
    <row r="172" spans="1:19" x14ac:dyDescent="0.2">
      <c r="A172" s="41">
        <f t="shared" si="13"/>
        <v>4564</v>
      </c>
      <c r="C172" s="41">
        <v>163</v>
      </c>
      <c r="D172" s="15">
        <f t="shared" si="17"/>
        <v>47198</v>
      </c>
      <c r="E172" s="42">
        <f t="shared" si="14"/>
        <v>47226</v>
      </c>
      <c r="F172" s="42"/>
      <c r="G172" s="42"/>
      <c r="H172" s="15"/>
      <c r="I172" s="43">
        <f t="shared" si="12"/>
        <v>47226</v>
      </c>
      <c r="J172" s="44">
        <f>forward($E$4,D172,E172,CURVA!$H$6:H182,CURVA!$G$6:G182)</f>
        <v>2.0015563624537411E-2</v>
      </c>
      <c r="K172" s="44" t="str">
        <f>IFERROR(VLOOKUP(A172,CURVA!$B$8:$F$30,5,0),"")</f>
        <v/>
      </c>
      <c r="L172" s="45">
        <f t="shared" si="15"/>
        <v>7.7777777777777779E-2</v>
      </c>
      <c r="M172" s="46">
        <f>interpola(E172-$E$4,CURVA!$H$6:$H$20,CURVA!$G$6:$G$20)</f>
        <v>0.02</v>
      </c>
      <c r="N172" s="47">
        <f t="shared" si="16"/>
        <v>0.77603663058138384</v>
      </c>
      <c r="O172" s="49" t="str">
        <f>IF(K172="","",SUMPRODUCT($J$10:J172,$L$10:L172,$N$10:N172)*$E$5)</f>
        <v/>
      </c>
      <c r="P172" s="49" t="str">
        <f>IF(K172="","",SUMPRODUCT($L$10:L172,$N$10:N172)*$K172*$E$5)</f>
        <v/>
      </c>
      <c r="Q172" s="6"/>
      <c r="R172" s="12"/>
      <c r="S172" s="7"/>
    </row>
    <row r="173" spans="1:19" x14ac:dyDescent="0.2">
      <c r="A173" s="41">
        <f t="shared" si="13"/>
        <v>4592</v>
      </c>
      <c r="C173" s="41">
        <v>164</v>
      </c>
      <c r="D173" s="15">
        <f t="shared" si="17"/>
        <v>47226</v>
      </c>
      <c r="E173" s="42">
        <f t="shared" si="14"/>
        <v>47254</v>
      </c>
      <c r="F173" s="42"/>
      <c r="G173" s="42"/>
      <c r="H173" s="15"/>
      <c r="I173" s="43">
        <f t="shared" si="12"/>
        <v>47254</v>
      </c>
      <c r="J173" s="44">
        <f>forward($E$4,D173,E173,CURVA!$H$6:H183,CURVA!$G$6:G183)</f>
        <v>2.0015563624537411E-2</v>
      </c>
      <c r="K173" s="44" t="str">
        <f>IFERROR(VLOOKUP(A173,CURVA!$B$8:$F$30,5,0),"")</f>
        <v/>
      </c>
      <c r="L173" s="45">
        <f t="shared" si="15"/>
        <v>7.7777777777777779E-2</v>
      </c>
      <c r="M173" s="46">
        <f>interpola(E173-$E$4,CURVA!$H$6:$H$20,CURVA!$G$6:$G$20)</f>
        <v>0.02</v>
      </c>
      <c r="N173" s="47">
        <f t="shared" si="16"/>
        <v>0.77483040091123212</v>
      </c>
      <c r="O173" s="49" t="str">
        <f>IF(K173="","",SUMPRODUCT($J$10:J173,$L$10:L173,$N$10:N173)*$E$5)</f>
        <v/>
      </c>
      <c r="P173" s="49" t="str">
        <f>IF(K173="","",SUMPRODUCT($L$10:L173,$N$10:N173)*$K173*$E$5)</f>
        <v/>
      </c>
      <c r="Q173" s="6"/>
      <c r="R173" s="12"/>
      <c r="S173" s="7"/>
    </row>
    <row r="174" spans="1:19" x14ac:dyDescent="0.2">
      <c r="A174" s="41">
        <f t="shared" si="13"/>
        <v>4620</v>
      </c>
      <c r="C174" s="41">
        <v>165</v>
      </c>
      <c r="D174" s="15">
        <f t="shared" si="17"/>
        <v>47254</v>
      </c>
      <c r="E174" s="42">
        <f t="shared" si="14"/>
        <v>47282</v>
      </c>
      <c r="F174" s="42"/>
      <c r="G174" s="42"/>
      <c r="H174" s="15"/>
      <c r="I174" s="43">
        <f t="shared" si="12"/>
        <v>47282</v>
      </c>
      <c r="J174" s="44">
        <f>forward($E$4,D174,E174,CURVA!$H$6:H184,CURVA!$G$6:G184)</f>
        <v>2.0015563624537411E-2</v>
      </c>
      <c r="K174" s="44" t="str">
        <f>IFERROR(VLOOKUP(A174,CURVA!$B$8:$F$30,5,0),"")</f>
        <v/>
      </c>
      <c r="L174" s="45">
        <f t="shared" si="15"/>
        <v>7.7777777777777779E-2</v>
      </c>
      <c r="M174" s="46">
        <f>interpola(E174-$E$4,CURVA!$H$6:$H$20,CURVA!$G$6:$G$20)</f>
        <v>0.02</v>
      </c>
      <c r="N174" s="47">
        <f t="shared" si="16"/>
        <v>0.77362604613971253</v>
      </c>
      <c r="O174" s="49" t="str">
        <f>IF(K174="","",SUMPRODUCT($J$10:J174,$L$10:L174,$N$10:N174)*$E$5)</f>
        <v/>
      </c>
      <c r="P174" s="49" t="str">
        <f>IF(K174="","",SUMPRODUCT($L$10:L174,$N$10:N174)*$K174*$E$5)</f>
        <v/>
      </c>
      <c r="Q174" s="6"/>
      <c r="R174" s="12"/>
      <c r="S174" s="7"/>
    </row>
    <row r="175" spans="1:19" x14ac:dyDescent="0.2">
      <c r="A175" s="41">
        <f t="shared" si="13"/>
        <v>4648</v>
      </c>
      <c r="C175" s="41">
        <v>166</v>
      </c>
      <c r="D175" s="15">
        <f t="shared" si="17"/>
        <v>47282</v>
      </c>
      <c r="E175" s="42">
        <f t="shared" si="14"/>
        <v>47310</v>
      </c>
      <c r="F175" s="42"/>
      <c r="G175" s="42"/>
      <c r="H175" s="15"/>
      <c r="I175" s="43">
        <f t="shared" si="12"/>
        <v>47310</v>
      </c>
      <c r="J175" s="44">
        <f>forward($E$4,D175,E175,CURVA!$H$6:H185,CURVA!$G$6:G185)</f>
        <v>2.0015563624537411E-2</v>
      </c>
      <c r="K175" s="44" t="str">
        <f>IFERROR(VLOOKUP(A175,CURVA!$B$8:$F$30,5,0),"")</f>
        <v/>
      </c>
      <c r="L175" s="45">
        <f t="shared" si="15"/>
        <v>7.7777777777777779E-2</v>
      </c>
      <c r="M175" s="46">
        <f>interpola(E175-$E$4,CURVA!$H$6:$H$20,CURVA!$G$6:$G$20)</f>
        <v>0.02</v>
      </c>
      <c r="N175" s="47">
        <f t="shared" si="16"/>
        <v>0.77242356335258344</v>
      </c>
      <c r="O175" s="49" t="str">
        <f>IF(K175="","",SUMPRODUCT($J$10:J175,$L$10:L175,$N$10:N175)*$E$5)</f>
        <v/>
      </c>
      <c r="P175" s="49" t="str">
        <f>IF(K175="","",SUMPRODUCT($L$10:L175,$N$10:N175)*$K175*$E$5)</f>
        <v/>
      </c>
      <c r="Q175" s="6"/>
      <c r="R175" s="12"/>
      <c r="S175" s="7"/>
    </row>
    <row r="176" spans="1:19" x14ac:dyDescent="0.2">
      <c r="A176" s="41">
        <f t="shared" si="13"/>
        <v>4676</v>
      </c>
      <c r="C176" s="41">
        <v>167</v>
      </c>
      <c r="D176" s="15">
        <f t="shared" si="17"/>
        <v>47310</v>
      </c>
      <c r="E176" s="42">
        <f t="shared" si="14"/>
        <v>47338</v>
      </c>
      <c r="F176" s="42"/>
      <c r="G176" s="42"/>
      <c r="H176" s="15"/>
      <c r="I176" s="43">
        <f t="shared" si="12"/>
        <v>47338</v>
      </c>
      <c r="J176" s="44">
        <f>forward($E$4,D176,E176,CURVA!$H$6:H186,CURVA!$G$6:G186)</f>
        <v>2.0015563624537411E-2</v>
      </c>
      <c r="K176" s="44" t="str">
        <f>IFERROR(VLOOKUP(A176,CURVA!$B$8:$F$30,5,0),"")</f>
        <v/>
      </c>
      <c r="L176" s="45">
        <f t="shared" si="15"/>
        <v>7.7777777777777779E-2</v>
      </c>
      <c r="M176" s="46">
        <f>interpola(E176-$E$4,CURVA!$H$6:$H$20,CURVA!$G$6:$G$20)</f>
        <v>0.02</v>
      </c>
      <c r="N176" s="47">
        <f t="shared" si="16"/>
        <v>0.7712229496401326</v>
      </c>
      <c r="O176" s="49" t="str">
        <f>IF(K176="","",SUMPRODUCT($J$10:J176,$L$10:L176,$N$10:N176)*$E$5)</f>
        <v/>
      </c>
      <c r="P176" s="49" t="str">
        <f>IF(K176="","",SUMPRODUCT($L$10:L176,$N$10:N176)*$K176*$E$5)</f>
        <v/>
      </c>
      <c r="Q176" s="6"/>
      <c r="R176" s="12"/>
      <c r="S176" s="7"/>
    </row>
    <row r="177" spans="1:19" x14ac:dyDescent="0.2">
      <c r="A177" s="41">
        <f t="shared" si="13"/>
        <v>4704</v>
      </c>
      <c r="C177" s="41">
        <v>168</v>
      </c>
      <c r="D177" s="15">
        <f t="shared" si="17"/>
        <v>47338</v>
      </c>
      <c r="E177" s="42">
        <f t="shared" si="14"/>
        <v>47366</v>
      </c>
      <c r="F177" s="42"/>
      <c r="G177" s="42"/>
      <c r="H177" s="15"/>
      <c r="I177" s="43">
        <f t="shared" si="12"/>
        <v>47366</v>
      </c>
      <c r="J177" s="44">
        <f>forward($E$4,D177,E177,CURVA!$H$6:H187,CURVA!$G$6:G187)</f>
        <v>2.0015563624537411E-2</v>
      </c>
      <c r="K177" s="44" t="str">
        <f>IFERROR(VLOOKUP(A177,CURVA!$B$8:$F$30,5,0),"")</f>
        <v/>
      </c>
      <c r="L177" s="45">
        <f t="shared" si="15"/>
        <v>7.7777777777777779E-2</v>
      </c>
      <c r="M177" s="46">
        <f>interpola(E177-$E$4,CURVA!$H$6:$H$20,CURVA!$G$6:$G$20)</f>
        <v>0.02</v>
      </c>
      <c r="N177" s="47">
        <f t="shared" si="16"/>
        <v>0.77002420209717082</v>
      </c>
      <c r="O177" s="49" t="str">
        <f>IF(K177="","",SUMPRODUCT($J$10:J177,$L$10:L177,$N$10:N177)*$E$5)</f>
        <v/>
      </c>
      <c r="P177" s="49" t="str">
        <f>IF(K177="","",SUMPRODUCT($L$10:L177,$N$10:N177)*$K177*$E$5)</f>
        <v/>
      </c>
      <c r="Q177" s="6"/>
      <c r="R177" s="12"/>
      <c r="S177" s="7"/>
    </row>
    <row r="178" spans="1:19" x14ac:dyDescent="0.2">
      <c r="A178" s="41">
        <f t="shared" si="13"/>
        <v>4732</v>
      </c>
      <c r="C178" s="41">
        <v>169</v>
      </c>
      <c r="D178" s="15">
        <f t="shared" si="17"/>
        <v>47366</v>
      </c>
      <c r="E178" s="42">
        <f t="shared" si="14"/>
        <v>47394</v>
      </c>
      <c r="F178" s="42"/>
      <c r="G178" s="42"/>
      <c r="H178" s="15"/>
      <c r="I178" s="43">
        <f t="shared" si="12"/>
        <v>47394</v>
      </c>
      <c r="J178" s="44">
        <f>forward($E$4,D178,E178,CURVA!$H$6:H188,CURVA!$G$6:G188)</f>
        <v>2.0015563624537411E-2</v>
      </c>
      <c r="K178" s="44" t="str">
        <f>IFERROR(VLOOKUP(A178,CURVA!$B$8:$F$30,5,0),"")</f>
        <v/>
      </c>
      <c r="L178" s="45">
        <f t="shared" si="15"/>
        <v>7.7777777777777779E-2</v>
      </c>
      <c r="M178" s="46">
        <f>interpola(E178-$E$4,CURVA!$H$6:$H$20,CURVA!$G$6:$G$20)</f>
        <v>0.02</v>
      </c>
      <c r="N178" s="47">
        <f t="shared" si="16"/>
        <v>0.76882731782302427</v>
      </c>
      <c r="O178" s="49" t="str">
        <f>IF(K178="","",SUMPRODUCT($J$10:J178,$L$10:L178,$N$10:N178)*$E$5)</f>
        <v/>
      </c>
      <c r="P178" s="49" t="str">
        <f>IF(K178="","",SUMPRODUCT($L$10:L178,$N$10:N178)*$K178*$E$5)</f>
        <v/>
      </c>
      <c r="Q178" s="6"/>
      <c r="R178" s="12"/>
      <c r="S178" s="7"/>
    </row>
    <row r="179" spans="1:19" x14ac:dyDescent="0.2">
      <c r="A179" s="41">
        <f t="shared" si="13"/>
        <v>4760</v>
      </c>
      <c r="C179" s="41">
        <v>170</v>
      </c>
      <c r="D179" s="15">
        <f t="shared" si="17"/>
        <v>47394</v>
      </c>
      <c r="E179" s="42">
        <f t="shared" si="14"/>
        <v>47422</v>
      </c>
      <c r="F179" s="42"/>
      <c r="G179" s="42"/>
      <c r="H179" s="15"/>
      <c r="I179" s="43">
        <f t="shared" si="12"/>
        <v>47422</v>
      </c>
      <c r="J179" s="44">
        <f>forward($E$4,D179,E179,CURVA!$H$6:H189,CURVA!$G$6:G189)</f>
        <v>2.0015563624537411E-2</v>
      </c>
      <c r="K179" s="44" t="str">
        <f>IFERROR(VLOOKUP(A179,CURVA!$B$8:$F$30,5,0),"")</f>
        <v/>
      </c>
      <c r="L179" s="45">
        <f t="shared" si="15"/>
        <v>7.7777777777777779E-2</v>
      </c>
      <c r="M179" s="46">
        <f>interpola(E179-$E$4,CURVA!$H$6:$H$20,CURVA!$G$6:$G$20)</f>
        <v>0.02</v>
      </c>
      <c r="N179" s="47">
        <f t="shared" si="16"/>
        <v>0.76763229392152821</v>
      </c>
      <c r="O179" s="49" t="str">
        <f>IF(K179="","",SUMPRODUCT($J$10:J179,$L$10:L179,$N$10:N179)*$E$5)</f>
        <v/>
      </c>
      <c r="P179" s="49" t="str">
        <f>IF(K179="","",SUMPRODUCT($L$10:L179,$N$10:N179)*$K179*$E$5)</f>
        <v/>
      </c>
      <c r="Q179" s="6"/>
      <c r="R179" s="12"/>
      <c r="S179" s="7"/>
    </row>
    <row r="180" spans="1:19" x14ac:dyDescent="0.2">
      <c r="A180" s="41">
        <f t="shared" si="13"/>
        <v>4788</v>
      </c>
      <c r="C180" s="41">
        <v>171</v>
      </c>
      <c r="D180" s="15">
        <f t="shared" si="17"/>
        <v>47422</v>
      </c>
      <c r="E180" s="42">
        <f t="shared" si="14"/>
        <v>47450</v>
      </c>
      <c r="F180" s="42"/>
      <c r="G180" s="42"/>
      <c r="H180" s="15"/>
      <c r="I180" s="43">
        <f t="shared" si="12"/>
        <v>47450</v>
      </c>
      <c r="J180" s="44">
        <f>forward($E$4,D180,E180,CURVA!$H$6:H190,CURVA!$G$6:G190)</f>
        <v>2.0015563624537411E-2</v>
      </c>
      <c r="K180" s="44" t="str">
        <f>IFERROR(VLOOKUP(A180,CURVA!$B$8:$F$30,5,0),"")</f>
        <v/>
      </c>
      <c r="L180" s="45">
        <f t="shared" si="15"/>
        <v>7.7777777777777779E-2</v>
      </c>
      <c r="M180" s="46">
        <f>interpola(E180-$E$4,CURVA!$H$6:$H$20,CURVA!$G$6:$G$20)</f>
        <v>0.02</v>
      </c>
      <c r="N180" s="47">
        <f t="shared" si="16"/>
        <v>0.76643912750101917</v>
      </c>
      <c r="O180" s="49" t="str">
        <f>IF(K180="","",SUMPRODUCT($J$10:J180,$L$10:L180,$N$10:N180)*$E$5)</f>
        <v/>
      </c>
      <c r="P180" s="49" t="str">
        <f>IF(K180="","",SUMPRODUCT($L$10:L180,$N$10:N180)*$K180*$E$5)</f>
        <v/>
      </c>
      <c r="Q180" s="6"/>
      <c r="R180" s="12"/>
      <c r="S180" s="7"/>
    </row>
    <row r="181" spans="1:19" x14ac:dyDescent="0.2">
      <c r="A181" s="41">
        <f t="shared" si="13"/>
        <v>4816</v>
      </c>
      <c r="C181" s="41">
        <v>172</v>
      </c>
      <c r="D181" s="15">
        <f t="shared" si="17"/>
        <v>47450</v>
      </c>
      <c r="E181" s="42">
        <f t="shared" si="14"/>
        <v>47478</v>
      </c>
      <c r="F181" s="42"/>
      <c r="G181" s="42"/>
      <c r="H181" s="15"/>
      <c r="I181" s="43">
        <f t="shared" si="12"/>
        <v>47478</v>
      </c>
      <c r="J181" s="44">
        <f>forward($E$4,D181,E181,CURVA!$H$6:H191,CURVA!$G$6:G191)</f>
        <v>2.0015563624537411E-2</v>
      </c>
      <c r="K181" s="44" t="str">
        <f>IFERROR(VLOOKUP(A181,CURVA!$B$8:$F$30,5,0),"")</f>
        <v/>
      </c>
      <c r="L181" s="45">
        <f t="shared" si="15"/>
        <v>7.7777777777777779E-2</v>
      </c>
      <c r="M181" s="46">
        <f>interpola(E181-$E$4,CURVA!$H$6:$H$20,CURVA!$G$6:$G$20)</f>
        <v>0.02</v>
      </c>
      <c r="N181" s="47">
        <f t="shared" si="16"/>
        <v>0.76524781567432831</v>
      </c>
      <c r="O181" s="49" t="str">
        <f>IF(K181="","",SUMPRODUCT($J$10:J181,$L$10:L181,$N$10:N181)*$E$5)</f>
        <v/>
      </c>
      <c r="P181" s="49" t="str">
        <f>IF(K181="","",SUMPRODUCT($L$10:L181,$N$10:N181)*$K181*$E$5)</f>
        <v/>
      </c>
      <c r="Q181" s="6"/>
      <c r="R181" s="12"/>
      <c r="S181" s="7"/>
    </row>
    <row r="182" spans="1:19" x14ac:dyDescent="0.2">
      <c r="A182" s="41">
        <f t="shared" si="13"/>
        <v>4844</v>
      </c>
      <c r="C182" s="41">
        <v>173</v>
      </c>
      <c r="D182" s="15">
        <f t="shared" si="17"/>
        <v>47478</v>
      </c>
      <c r="E182" s="42">
        <f t="shared" si="14"/>
        <v>47506</v>
      </c>
      <c r="F182" s="42"/>
      <c r="G182" s="42"/>
      <c r="H182" s="15"/>
      <c r="I182" s="43">
        <f t="shared" si="12"/>
        <v>47506</v>
      </c>
      <c r="J182" s="44">
        <f>forward($E$4,D182,E182,CURVA!$H$6:H192,CURVA!$G$6:G192)</f>
        <v>2.0015563624537411E-2</v>
      </c>
      <c r="K182" s="44" t="str">
        <f>IFERROR(VLOOKUP(A182,CURVA!$B$8:$F$30,5,0),"")</f>
        <v/>
      </c>
      <c r="L182" s="45">
        <f t="shared" si="15"/>
        <v>7.7777777777777779E-2</v>
      </c>
      <c r="M182" s="46">
        <f>interpola(E182-$E$4,CURVA!$H$6:$H$20,CURVA!$G$6:$G$20)</f>
        <v>0.02</v>
      </c>
      <c r="N182" s="47">
        <f t="shared" si="16"/>
        <v>0.76405835555877477</v>
      </c>
      <c r="O182" s="49" t="str">
        <f>IF(K182="","",SUMPRODUCT($J$10:J182,$L$10:L182,$N$10:N182)*$E$5)</f>
        <v/>
      </c>
      <c r="P182" s="49" t="str">
        <f>IF(K182="","",SUMPRODUCT($L$10:L182,$N$10:N182)*$K182*$E$5)</f>
        <v/>
      </c>
      <c r="Q182" s="6"/>
      <c r="R182" s="12"/>
      <c r="S182" s="7"/>
    </row>
    <row r="183" spans="1:19" x14ac:dyDescent="0.2">
      <c r="A183" s="41">
        <f t="shared" si="13"/>
        <v>4872</v>
      </c>
      <c r="C183" s="41">
        <v>174</v>
      </c>
      <c r="D183" s="15">
        <f t="shared" si="17"/>
        <v>47506</v>
      </c>
      <c r="E183" s="42">
        <f t="shared" si="14"/>
        <v>47534</v>
      </c>
      <c r="F183" s="42"/>
      <c r="G183" s="42"/>
      <c r="H183" s="15"/>
      <c r="I183" s="43">
        <f t="shared" si="12"/>
        <v>47534</v>
      </c>
      <c r="J183" s="44">
        <f>forward($E$4,D183,E183,CURVA!$H$6:H193,CURVA!$G$6:G193)</f>
        <v>2.0015563624537411E-2</v>
      </c>
      <c r="K183" s="44" t="str">
        <f>IFERROR(VLOOKUP(A183,CURVA!$B$8:$F$30,5,0),"")</f>
        <v/>
      </c>
      <c r="L183" s="45">
        <f t="shared" si="15"/>
        <v>7.7777777777777779E-2</v>
      </c>
      <c r="M183" s="46">
        <f>interpola(E183-$E$4,CURVA!$H$6:$H$20,CURVA!$G$6:$G$20)</f>
        <v>0.02</v>
      </c>
      <c r="N183" s="47">
        <f t="shared" si="16"/>
        <v>0.76287074427615809</v>
      </c>
      <c r="O183" s="49" t="str">
        <f>IF(K183="","",SUMPRODUCT($J$10:J183,$L$10:L183,$N$10:N183)*$E$5)</f>
        <v/>
      </c>
      <c r="P183" s="49" t="str">
        <f>IF(K183="","",SUMPRODUCT($L$10:L183,$N$10:N183)*$K183*$E$5)</f>
        <v/>
      </c>
      <c r="Q183" s="6"/>
      <c r="R183" s="12"/>
      <c r="S183" s="7"/>
    </row>
    <row r="184" spans="1:19" x14ac:dyDescent="0.2">
      <c r="A184" s="41">
        <f t="shared" si="13"/>
        <v>4900</v>
      </c>
      <c r="C184" s="41">
        <v>175</v>
      </c>
      <c r="D184" s="15">
        <f t="shared" si="17"/>
        <v>47534</v>
      </c>
      <c r="E184" s="42">
        <f t="shared" si="14"/>
        <v>47562</v>
      </c>
      <c r="F184" s="42"/>
      <c r="G184" s="42"/>
      <c r="H184" s="15"/>
      <c r="I184" s="43">
        <f t="shared" si="12"/>
        <v>47562</v>
      </c>
      <c r="J184" s="44">
        <f>forward($E$4,D184,E184,CURVA!$H$6:H194,CURVA!$G$6:G194)</f>
        <v>2.0015563624537411E-2</v>
      </c>
      <c r="K184" s="44" t="str">
        <f>IFERROR(VLOOKUP(A184,CURVA!$B$8:$F$30,5,0),"")</f>
        <v/>
      </c>
      <c r="L184" s="45">
        <f t="shared" si="15"/>
        <v>7.7777777777777779E-2</v>
      </c>
      <c r="M184" s="46">
        <f>interpola(E184-$E$4,CURVA!$H$6:$H$20,CURVA!$G$6:$G$20)</f>
        <v>0.02</v>
      </c>
      <c r="N184" s="47">
        <f t="shared" si="16"/>
        <v>0.76168497895275167</v>
      </c>
      <c r="O184" s="49" t="str">
        <f>IF(K184="","",SUMPRODUCT($J$10:J184,$L$10:L184,$N$10:N184)*$E$5)</f>
        <v/>
      </c>
      <c r="P184" s="49" t="str">
        <f>IF(K184="","",SUMPRODUCT($L$10:L184,$N$10:N184)*$K184*$E$5)</f>
        <v/>
      </c>
      <c r="Q184" s="6"/>
      <c r="R184" s="12"/>
      <c r="S184" s="7"/>
    </row>
    <row r="185" spans="1:19" x14ac:dyDescent="0.2">
      <c r="A185" s="41">
        <f t="shared" si="13"/>
        <v>4928</v>
      </c>
      <c r="C185" s="41">
        <v>176</v>
      </c>
      <c r="D185" s="15">
        <f t="shared" si="17"/>
        <v>47562</v>
      </c>
      <c r="E185" s="42">
        <f t="shared" si="14"/>
        <v>47590</v>
      </c>
      <c r="F185" s="42"/>
      <c r="G185" s="42"/>
      <c r="H185" s="15"/>
      <c r="I185" s="43">
        <f t="shared" si="12"/>
        <v>47590</v>
      </c>
      <c r="J185" s="44">
        <f>forward($E$4,D185,E185,CURVA!$H$6:H195,CURVA!$G$6:G195)</f>
        <v>2.0015563624537411E-2</v>
      </c>
      <c r="K185" s="44" t="str">
        <f>IFERROR(VLOOKUP(A185,CURVA!$B$8:$F$30,5,0),"")</f>
        <v/>
      </c>
      <c r="L185" s="45">
        <f t="shared" si="15"/>
        <v>7.7777777777777779E-2</v>
      </c>
      <c r="M185" s="46">
        <f>interpola(E185-$E$4,CURVA!$H$6:$H$20,CURVA!$G$6:$G$20)</f>
        <v>0.02</v>
      </c>
      <c r="N185" s="47">
        <f t="shared" si="16"/>
        <v>0.76050105671929558</v>
      </c>
      <c r="O185" s="49" t="str">
        <f>IF(K185="","",SUMPRODUCT($J$10:J185,$L$10:L185,$N$10:N185)*$E$5)</f>
        <v/>
      </c>
      <c r="P185" s="49" t="str">
        <f>IF(K185="","",SUMPRODUCT($L$10:L185,$N$10:N185)*$K185*$E$5)</f>
        <v/>
      </c>
      <c r="Q185" s="6"/>
      <c r="R185" s="12"/>
      <c r="S185" s="7"/>
    </row>
    <row r="186" spans="1:19" x14ac:dyDescent="0.2">
      <c r="A186" s="41">
        <f t="shared" si="13"/>
        <v>4956</v>
      </c>
      <c r="C186" s="41">
        <v>177</v>
      </c>
      <c r="D186" s="15">
        <f t="shared" si="17"/>
        <v>47590</v>
      </c>
      <c r="E186" s="42">
        <f t="shared" si="14"/>
        <v>47618</v>
      </c>
      <c r="F186" s="42"/>
      <c r="G186" s="42"/>
      <c r="H186" s="15"/>
      <c r="I186" s="43">
        <f t="shared" si="12"/>
        <v>47618</v>
      </c>
      <c r="J186" s="44">
        <f>forward($E$4,D186,E186,CURVA!$H$6:H196,CURVA!$G$6:G196)</f>
        <v>2.0015563624537411E-2</v>
      </c>
      <c r="K186" s="44" t="str">
        <f>IFERROR(VLOOKUP(A186,CURVA!$B$8:$F$30,5,0),"")</f>
        <v/>
      </c>
      <c r="L186" s="45">
        <f t="shared" si="15"/>
        <v>7.7777777777777779E-2</v>
      </c>
      <c r="M186" s="46">
        <f>interpola(E186-$E$4,CURVA!$H$6:$H$20,CURVA!$G$6:$G$20)</f>
        <v>0.02</v>
      </c>
      <c r="N186" s="47">
        <f t="shared" si="16"/>
        <v>0.75931897471098975</v>
      </c>
      <c r="O186" s="49" t="str">
        <f>IF(K186="","",SUMPRODUCT($J$10:J186,$L$10:L186,$N$10:N186)*$E$5)</f>
        <v/>
      </c>
      <c r="P186" s="49" t="str">
        <f>IF(K186="","",SUMPRODUCT($L$10:L186,$N$10:N186)*$K186*$E$5)</f>
        <v/>
      </c>
      <c r="Q186" s="6"/>
      <c r="R186" s="12"/>
      <c r="S186" s="7"/>
    </row>
    <row r="187" spans="1:19" x14ac:dyDescent="0.2">
      <c r="A187" s="41">
        <f t="shared" si="13"/>
        <v>4984</v>
      </c>
      <c r="C187" s="41">
        <v>178</v>
      </c>
      <c r="D187" s="15">
        <f t="shared" si="17"/>
        <v>47618</v>
      </c>
      <c r="E187" s="42">
        <f t="shared" si="14"/>
        <v>47646</v>
      </c>
      <c r="F187" s="42"/>
      <c r="G187" s="42"/>
      <c r="H187" s="15"/>
      <c r="I187" s="43">
        <f t="shared" si="12"/>
        <v>47646</v>
      </c>
      <c r="J187" s="44">
        <f>forward($E$4,D187,E187,CURVA!$H$6:H197,CURVA!$G$6:G197)</f>
        <v>2.0015563624537411E-2</v>
      </c>
      <c r="K187" s="44" t="str">
        <f>IFERROR(VLOOKUP(A187,CURVA!$B$8:$F$30,5,0),"")</f>
        <v/>
      </c>
      <c r="L187" s="45">
        <f t="shared" si="15"/>
        <v>7.7777777777777779E-2</v>
      </c>
      <c r="M187" s="46">
        <f>interpola(E187-$E$4,CURVA!$H$6:$H$20,CURVA!$G$6:$G$20)</f>
        <v>0.02</v>
      </c>
      <c r="N187" s="47">
        <f t="shared" si="16"/>
        <v>0.75813873006748711</v>
      </c>
      <c r="O187" s="49" t="str">
        <f>IF(K187="","",SUMPRODUCT($J$10:J187,$L$10:L187,$N$10:N187)*$E$5)</f>
        <v/>
      </c>
      <c r="P187" s="49" t="str">
        <f>IF(K187="","",SUMPRODUCT($L$10:L187,$N$10:N187)*$K187*$E$5)</f>
        <v/>
      </c>
      <c r="Q187" s="6"/>
      <c r="R187" s="12"/>
      <c r="S187" s="7"/>
    </row>
    <row r="188" spans="1:19" x14ac:dyDescent="0.2">
      <c r="A188" s="41">
        <f t="shared" si="13"/>
        <v>5012</v>
      </c>
      <c r="C188" s="41">
        <v>179</v>
      </c>
      <c r="D188" s="15">
        <f t="shared" si="17"/>
        <v>47646</v>
      </c>
      <c r="E188" s="42">
        <f t="shared" si="14"/>
        <v>47674</v>
      </c>
      <c r="F188" s="42"/>
      <c r="G188" s="42"/>
      <c r="H188" s="15"/>
      <c r="I188" s="43">
        <f t="shared" si="12"/>
        <v>47674</v>
      </c>
      <c r="J188" s="44">
        <f>forward($E$4,D188,E188,CURVA!$H$6:H198,CURVA!$G$6:G198)</f>
        <v>2.0015563624537411E-2</v>
      </c>
      <c r="K188" s="44" t="str">
        <f>IFERROR(VLOOKUP(A188,CURVA!$B$8:$F$30,5,0),"")</f>
        <v/>
      </c>
      <c r="L188" s="45">
        <f t="shared" si="15"/>
        <v>7.7777777777777779E-2</v>
      </c>
      <c r="M188" s="46">
        <f>interpola(E188-$E$4,CURVA!$H$6:$H$20,CURVA!$G$6:$G$20)</f>
        <v>0.02</v>
      </c>
      <c r="N188" s="47">
        <f t="shared" si="16"/>
        <v>0.75696031993288637</v>
      </c>
      <c r="O188" s="49" t="str">
        <f>IF(K188="","",SUMPRODUCT($J$10:J188,$L$10:L188,$N$10:N188)*$E$5)</f>
        <v/>
      </c>
      <c r="P188" s="49" t="str">
        <f>IF(K188="","",SUMPRODUCT($L$10:L188,$N$10:N188)*$K188*$E$5)</f>
        <v/>
      </c>
      <c r="Q188" s="6"/>
      <c r="R188" s="12"/>
      <c r="S188" s="7"/>
    </row>
    <row r="189" spans="1:19" x14ac:dyDescent="0.2">
      <c r="A189" s="41">
        <f t="shared" si="13"/>
        <v>5040</v>
      </c>
      <c r="C189" s="41">
        <v>180</v>
      </c>
      <c r="D189" s="15">
        <f t="shared" si="17"/>
        <v>47674</v>
      </c>
      <c r="E189" s="42">
        <f t="shared" si="14"/>
        <v>47702</v>
      </c>
      <c r="F189" s="42"/>
      <c r="G189" s="42"/>
      <c r="H189" s="15"/>
      <c r="I189" s="43">
        <f t="shared" si="12"/>
        <v>47702</v>
      </c>
      <c r="J189" s="44">
        <f>forward($E$4,D189,E189,CURVA!$H$6:H199,CURVA!$G$6:G199)</f>
        <v>2.0015563624537411E-2</v>
      </c>
      <c r="K189" s="44">
        <f>IFERROR(VLOOKUP(A189,CURVA!$B$8:$F$30,5,0),"")</f>
        <v>1.3959999999999998E-2</v>
      </c>
      <c r="L189" s="45">
        <f t="shared" si="15"/>
        <v>7.7777777777777779E-2</v>
      </c>
      <c r="M189" s="46">
        <f>interpola(E189-$E$4,CURVA!$H$6:$H$20,CURVA!$G$6:$G$20)</f>
        <v>0.02</v>
      </c>
      <c r="N189" s="47">
        <f t="shared" si="16"/>
        <v>0.75578374145572547</v>
      </c>
      <c r="O189" s="49">
        <f>IF(K189="","",SUMPRODUCT($J$10:J189,$L$10:L189,$N$10:N189)*$E$5)</f>
        <v>244216.25854428113</v>
      </c>
      <c r="P189" s="49">
        <f>IF(K189="","",SUMPRODUCT($L$10:L189,$N$10:N189)*$K189*$E$5)</f>
        <v>170330.61004221451</v>
      </c>
      <c r="Q189" s="6"/>
      <c r="R189" s="12"/>
      <c r="S189" s="7"/>
    </row>
    <row r="190" spans="1:19" x14ac:dyDescent="0.2">
      <c r="A190" s="41">
        <f t="shared" si="13"/>
        <v>5068</v>
      </c>
      <c r="C190" s="41">
        <v>181</v>
      </c>
      <c r="D190" s="15">
        <f t="shared" si="17"/>
        <v>47702</v>
      </c>
      <c r="E190" s="42">
        <f t="shared" si="14"/>
        <v>47730</v>
      </c>
      <c r="F190" s="42"/>
      <c r="G190" s="42"/>
      <c r="H190" s="15"/>
      <c r="I190" s="43">
        <f t="shared" si="12"/>
        <v>47730</v>
      </c>
      <c r="J190" s="44">
        <f>forward($E$4,D190,E190,CURVA!$H$6:H200,CURVA!$G$6:G200)</f>
        <v>2.0015563624537411E-2</v>
      </c>
      <c r="K190" s="44" t="str">
        <f>IFERROR(VLOOKUP(A190,CURVA!$B$8:$F$30,5,0),"")</f>
        <v/>
      </c>
      <c r="L190" s="45">
        <f t="shared" si="15"/>
        <v>7.7777777777777779E-2</v>
      </c>
      <c r="M190" s="46">
        <f>interpola(E190-$E$4,CURVA!$H$6:$H$20,CURVA!$G$6:$G$20)</f>
        <v>0.02</v>
      </c>
      <c r="N190" s="47">
        <f t="shared" si="16"/>
        <v>0.75460899178897434</v>
      </c>
      <c r="O190" s="49" t="str">
        <f>IF(K190="","",SUMPRODUCT($J$10:J190,$L$10:L190,$N$10:N190)*$E$5)</f>
        <v/>
      </c>
      <c r="P190" s="49" t="str">
        <f>IF(K190="","",SUMPRODUCT($L$10:L190,$N$10:N190)*$K190*$E$5)</f>
        <v/>
      </c>
      <c r="Q190" s="6"/>
      <c r="R190" s="12"/>
      <c r="S190" s="7"/>
    </row>
    <row r="191" spans="1:19" x14ac:dyDescent="0.2">
      <c r="A191" s="41">
        <f t="shared" si="13"/>
        <v>5096</v>
      </c>
      <c r="C191" s="41">
        <v>182</v>
      </c>
      <c r="D191" s="15">
        <f t="shared" si="17"/>
        <v>47730</v>
      </c>
      <c r="E191" s="42">
        <f t="shared" si="14"/>
        <v>47758</v>
      </c>
      <c r="F191" s="42"/>
      <c r="G191" s="42"/>
      <c r="H191" s="15"/>
      <c r="I191" s="43">
        <f t="shared" si="12"/>
        <v>47758</v>
      </c>
      <c r="J191" s="44">
        <f>forward($E$4,D191,E191,CURVA!$H$6:H201,CURVA!$G$6:G201)</f>
        <v>2.0015563624537411E-2</v>
      </c>
      <c r="K191" s="44" t="str">
        <f>IFERROR(VLOOKUP(A191,CURVA!$B$8:$F$30,5,0),"")</f>
        <v/>
      </c>
      <c r="L191" s="45">
        <f t="shared" si="15"/>
        <v>7.7777777777777779E-2</v>
      </c>
      <c r="M191" s="46">
        <f>interpola(E191-$E$4,CURVA!$H$6:$H$20,CURVA!$G$6:$G$20)</f>
        <v>0.02</v>
      </c>
      <c r="N191" s="47">
        <f t="shared" si="16"/>
        <v>0.75343606809002839</v>
      </c>
      <c r="O191" s="49" t="str">
        <f>IF(K191="","",SUMPRODUCT($J$10:J191,$L$10:L191,$N$10:N191)*$E$5)</f>
        <v/>
      </c>
      <c r="P191" s="49" t="str">
        <f>IF(K191="","",SUMPRODUCT($L$10:L191,$N$10:N191)*$K191*$E$5)</f>
        <v/>
      </c>
      <c r="Q191" s="6"/>
      <c r="R191" s="12"/>
      <c r="S191" s="7"/>
    </row>
    <row r="192" spans="1:19" x14ac:dyDescent="0.2">
      <c r="A192" s="41">
        <f t="shared" si="13"/>
        <v>5124</v>
      </c>
      <c r="C192" s="41">
        <v>183</v>
      </c>
      <c r="D192" s="15">
        <f t="shared" si="17"/>
        <v>47758</v>
      </c>
      <c r="E192" s="42">
        <f t="shared" si="14"/>
        <v>47786</v>
      </c>
      <c r="F192" s="42"/>
      <c r="G192" s="42"/>
      <c r="H192" s="15"/>
      <c r="I192" s="43">
        <f t="shared" si="12"/>
        <v>47786</v>
      </c>
      <c r="J192" s="44">
        <f>forward($E$4,D192,E192,CURVA!$H$6:H202,CURVA!$G$6:G202)</f>
        <v>2.0015563624537411E-2</v>
      </c>
      <c r="K192" s="44" t="str">
        <f>IFERROR(VLOOKUP(A192,CURVA!$B$8:$F$30,5,0),"")</f>
        <v/>
      </c>
      <c r="L192" s="45">
        <f t="shared" si="15"/>
        <v>7.7777777777777779E-2</v>
      </c>
      <c r="M192" s="46">
        <f>interpola(E192-$E$4,CURVA!$H$6:$H$20,CURVA!$G$6:$G$20)</f>
        <v>0.02</v>
      </c>
      <c r="N192" s="47">
        <f t="shared" si="16"/>
        <v>0.75226496752070127</v>
      </c>
      <c r="O192" s="49" t="str">
        <f>IF(K192="","",SUMPRODUCT($J$10:J192,$L$10:L192,$N$10:N192)*$E$5)</f>
        <v/>
      </c>
      <c r="P192" s="49" t="str">
        <f>IF(K192="","",SUMPRODUCT($L$10:L192,$N$10:N192)*$K192*$E$5)</f>
        <v/>
      </c>
      <c r="Q192" s="6"/>
      <c r="R192" s="12"/>
      <c r="S192" s="7"/>
    </row>
    <row r="193" spans="1:19" x14ac:dyDescent="0.2">
      <c r="A193" s="41">
        <f t="shared" si="13"/>
        <v>5152</v>
      </c>
      <c r="C193" s="41">
        <v>184</v>
      </c>
      <c r="D193" s="15">
        <f t="shared" si="17"/>
        <v>47786</v>
      </c>
      <c r="E193" s="42">
        <f t="shared" si="14"/>
        <v>47814</v>
      </c>
      <c r="F193" s="42"/>
      <c r="G193" s="42"/>
      <c r="H193" s="15"/>
      <c r="I193" s="43">
        <f t="shared" si="12"/>
        <v>47814</v>
      </c>
      <c r="J193" s="44">
        <f>forward($E$4,D193,E193,CURVA!$H$6:H203,CURVA!$G$6:G203)</f>
        <v>2.0015563624537411E-2</v>
      </c>
      <c r="K193" s="44" t="str">
        <f>IFERROR(VLOOKUP(A193,CURVA!$B$8:$F$30,5,0),"")</f>
        <v/>
      </c>
      <c r="L193" s="45">
        <f t="shared" si="15"/>
        <v>7.7777777777777779E-2</v>
      </c>
      <c r="M193" s="46">
        <f>interpola(E193-$E$4,CURVA!$H$6:$H$20,CURVA!$G$6:$G$20)</f>
        <v>0.02</v>
      </c>
      <c r="N193" s="47">
        <f t="shared" si="16"/>
        <v>0.75109568724721809</v>
      </c>
      <c r="O193" s="49" t="str">
        <f>IF(K193="","",SUMPRODUCT($J$10:J193,$L$10:L193,$N$10:N193)*$E$5)</f>
        <v/>
      </c>
      <c r="P193" s="49" t="str">
        <f>IF(K193="","",SUMPRODUCT($L$10:L193,$N$10:N193)*$K193*$E$5)</f>
        <v/>
      </c>
      <c r="Q193" s="6"/>
      <c r="R193" s="12"/>
      <c r="S193" s="7"/>
    </row>
    <row r="194" spans="1:19" x14ac:dyDescent="0.2">
      <c r="A194" s="41">
        <f t="shared" si="13"/>
        <v>5180</v>
      </c>
      <c r="C194" s="41">
        <v>185</v>
      </c>
      <c r="D194" s="15">
        <f t="shared" si="17"/>
        <v>47814</v>
      </c>
      <c r="E194" s="42">
        <f t="shared" si="14"/>
        <v>47842</v>
      </c>
      <c r="F194" s="42"/>
      <c r="G194" s="42"/>
      <c r="H194" s="15"/>
      <c r="I194" s="43">
        <f t="shared" si="12"/>
        <v>47842</v>
      </c>
      <c r="J194" s="44">
        <f>forward($E$4,D194,E194,CURVA!$H$6:H204,CURVA!$G$6:G204)</f>
        <v>2.0015563624537411E-2</v>
      </c>
      <c r="K194" s="44" t="str">
        <f>IFERROR(VLOOKUP(A194,CURVA!$B$8:$F$30,5,0),"")</f>
        <v/>
      </c>
      <c r="L194" s="45">
        <f t="shared" si="15"/>
        <v>7.7777777777777779E-2</v>
      </c>
      <c r="M194" s="46">
        <f>interpola(E194-$E$4,CURVA!$H$6:$H$20,CURVA!$G$6:$G$20)</f>
        <v>0.02</v>
      </c>
      <c r="N194" s="47">
        <f t="shared" si="16"/>
        <v>0.74992822444020879</v>
      </c>
      <c r="O194" s="49" t="str">
        <f>IF(K194="","",SUMPRODUCT($J$10:J194,$L$10:L194,$N$10:N194)*$E$5)</f>
        <v/>
      </c>
      <c r="P194" s="49" t="str">
        <f>IF(K194="","",SUMPRODUCT($L$10:L194,$N$10:N194)*$K194*$E$5)</f>
        <v/>
      </c>
      <c r="Q194" s="6"/>
      <c r="R194" s="12"/>
      <c r="S194" s="7"/>
    </row>
    <row r="195" spans="1:19" x14ac:dyDescent="0.2">
      <c r="A195" s="41">
        <f t="shared" si="13"/>
        <v>5208</v>
      </c>
      <c r="C195" s="41">
        <v>186</v>
      </c>
      <c r="D195" s="15">
        <f t="shared" si="17"/>
        <v>47842</v>
      </c>
      <c r="E195" s="42">
        <f t="shared" si="14"/>
        <v>47870</v>
      </c>
      <c r="F195" s="42"/>
      <c r="G195" s="42"/>
      <c r="H195" s="15"/>
      <c r="I195" s="43">
        <f t="shared" si="12"/>
        <v>47870</v>
      </c>
      <c r="J195" s="44">
        <f>forward($E$4,D195,E195,CURVA!$H$6:H205,CURVA!$G$6:G205)</f>
        <v>2.0015563624537411E-2</v>
      </c>
      <c r="K195" s="44" t="str">
        <f>IFERROR(VLOOKUP(A195,CURVA!$B$8:$F$30,5,0),"")</f>
        <v/>
      </c>
      <c r="L195" s="45">
        <f t="shared" si="15"/>
        <v>7.7777777777777779E-2</v>
      </c>
      <c r="M195" s="46">
        <f>interpola(E195-$E$4,CURVA!$H$6:$H$20,CURVA!$G$6:$G$20)</f>
        <v>0.02</v>
      </c>
      <c r="N195" s="47">
        <f t="shared" si="16"/>
        <v>0.74876257627470122</v>
      </c>
      <c r="O195" s="49" t="str">
        <f>IF(K195="","",SUMPRODUCT($J$10:J195,$L$10:L195,$N$10:N195)*$E$5)</f>
        <v/>
      </c>
      <c r="P195" s="49" t="str">
        <f>IF(K195="","",SUMPRODUCT($L$10:L195,$N$10:N195)*$K195*$E$5)</f>
        <v/>
      </c>
      <c r="Q195" s="6"/>
      <c r="R195" s="12"/>
      <c r="S195" s="7"/>
    </row>
    <row r="196" spans="1:19" x14ac:dyDescent="0.2">
      <c r="A196" s="41">
        <f t="shared" si="13"/>
        <v>5236</v>
      </c>
      <c r="C196" s="41">
        <v>187</v>
      </c>
      <c r="D196" s="15">
        <f t="shared" si="17"/>
        <v>47870</v>
      </c>
      <c r="E196" s="42">
        <f t="shared" si="14"/>
        <v>47898</v>
      </c>
      <c r="F196" s="42"/>
      <c r="G196" s="42"/>
      <c r="H196" s="15"/>
      <c r="I196" s="43">
        <f t="shared" si="12"/>
        <v>47898</v>
      </c>
      <c r="J196" s="44">
        <f>forward($E$4,D196,E196,CURVA!$H$6:H206,CURVA!$G$6:G206)</f>
        <v>2.0015563624537411E-2</v>
      </c>
      <c r="K196" s="44" t="str">
        <f>IFERROR(VLOOKUP(A196,CURVA!$B$8:$F$30,5,0),"")</f>
        <v/>
      </c>
      <c r="L196" s="45">
        <f t="shared" si="15"/>
        <v>7.7777777777777779E-2</v>
      </c>
      <c r="M196" s="46">
        <f>interpola(E196-$E$4,CURVA!$H$6:$H$20,CURVA!$G$6:$G$20)</f>
        <v>0.02</v>
      </c>
      <c r="N196" s="47">
        <f t="shared" si="16"/>
        <v>0.74759873993011383</v>
      </c>
      <c r="O196" s="49" t="str">
        <f>IF(K196="","",SUMPRODUCT($J$10:J196,$L$10:L196,$N$10:N196)*$E$5)</f>
        <v/>
      </c>
      <c r="P196" s="49" t="str">
        <f>IF(K196="","",SUMPRODUCT($L$10:L196,$N$10:N196)*$K196*$E$5)</f>
        <v/>
      </c>
      <c r="Q196" s="6"/>
      <c r="R196" s="12"/>
      <c r="S196" s="7"/>
    </row>
    <row r="197" spans="1:19" x14ac:dyDescent="0.2">
      <c r="A197" s="41">
        <f t="shared" si="13"/>
        <v>5264</v>
      </c>
      <c r="C197" s="41">
        <v>188</v>
      </c>
      <c r="D197" s="15">
        <f t="shared" si="17"/>
        <v>47898</v>
      </c>
      <c r="E197" s="42">
        <f t="shared" si="14"/>
        <v>47926</v>
      </c>
      <c r="F197" s="42"/>
      <c r="G197" s="42"/>
      <c r="H197" s="15"/>
      <c r="I197" s="43">
        <f t="shared" si="12"/>
        <v>47926</v>
      </c>
      <c r="J197" s="44">
        <f>forward($E$4,D197,E197,CURVA!$H$6:H207,CURVA!$G$6:G207)</f>
        <v>2.0015563624537411E-2</v>
      </c>
      <c r="K197" s="44" t="str">
        <f>IFERROR(VLOOKUP(A197,CURVA!$B$8:$F$30,5,0),"")</f>
        <v/>
      </c>
      <c r="L197" s="45">
        <f t="shared" si="15"/>
        <v>7.7777777777777779E-2</v>
      </c>
      <c r="M197" s="46">
        <f>interpola(E197-$E$4,CURVA!$H$6:$H$20,CURVA!$G$6:$G$20)</f>
        <v>0.02</v>
      </c>
      <c r="N197" s="47">
        <f t="shared" si="16"/>
        <v>0.74643671259024957</v>
      </c>
      <c r="O197" s="49" t="str">
        <f>IF(K197="","",SUMPRODUCT($J$10:J197,$L$10:L197,$N$10:N197)*$E$5)</f>
        <v/>
      </c>
      <c r="P197" s="49" t="str">
        <f>IF(K197="","",SUMPRODUCT($L$10:L197,$N$10:N197)*$K197*$E$5)</f>
        <v/>
      </c>
      <c r="Q197" s="6"/>
      <c r="R197" s="12"/>
      <c r="S197" s="7"/>
    </row>
    <row r="198" spans="1:19" x14ac:dyDescent="0.2">
      <c r="A198" s="41">
        <f t="shared" si="13"/>
        <v>5292</v>
      </c>
      <c r="C198" s="41">
        <v>189</v>
      </c>
      <c r="D198" s="15">
        <f t="shared" si="17"/>
        <v>47926</v>
      </c>
      <c r="E198" s="42">
        <f t="shared" si="14"/>
        <v>47954</v>
      </c>
      <c r="F198" s="42"/>
      <c r="G198" s="42"/>
      <c r="H198" s="15"/>
      <c r="I198" s="43">
        <f t="shared" si="12"/>
        <v>47954</v>
      </c>
      <c r="J198" s="44">
        <f>forward($E$4,D198,E198,CURVA!$H$6:H208,CURVA!$G$6:G208)</f>
        <v>2.0015563624537411E-2</v>
      </c>
      <c r="K198" s="44" t="str">
        <f>IFERROR(VLOOKUP(A198,CURVA!$B$8:$F$30,5,0),"")</f>
        <v/>
      </c>
      <c r="L198" s="45">
        <f t="shared" si="15"/>
        <v>7.7777777777777779E-2</v>
      </c>
      <c r="M198" s="46">
        <f>interpola(E198-$E$4,CURVA!$H$6:$H$20,CURVA!$G$6:$G$20)</f>
        <v>0.02</v>
      </c>
      <c r="N198" s="47">
        <f t="shared" si="16"/>
        <v>0.74527649144328867</v>
      </c>
      <c r="O198" s="49" t="str">
        <f>IF(K198="","",SUMPRODUCT($J$10:J198,$L$10:L198,$N$10:N198)*$E$5)</f>
        <v/>
      </c>
      <c r="P198" s="49" t="str">
        <f>IF(K198="","",SUMPRODUCT($L$10:L198,$N$10:N198)*$K198*$E$5)</f>
        <v/>
      </c>
      <c r="Q198" s="6"/>
      <c r="R198" s="12"/>
      <c r="S198" s="7"/>
    </row>
    <row r="199" spans="1:19" x14ac:dyDescent="0.2">
      <c r="A199" s="41">
        <f t="shared" si="13"/>
        <v>5320</v>
      </c>
      <c r="C199" s="41">
        <v>190</v>
      </c>
      <c r="D199" s="15">
        <f t="shared" si="17"/>
        <v>47954</v>
      </c>
      <c r="E199" s="42">
        <f t="shared" si="14"/>
        <v>47982</v>
      </c>
      <c r="F199" s="42"/>
      <c r="G199" s="42"/>
      <c r="H199" s="15"/>
      <c r="I199" s="43">
        <f t="shared" si="12"/>
        <v>47982</v>
      </c>
      <c r="J199" s="44">
        <f>forward($E$4,D199,E199,CURVA!$H$6:H209,CURVA!$G$6:G209)</f>
        <v>2.0015563624537411E-2</v>
      </c>
      <c r="K199" s="44" t="str">
        <f>IFERROR(VLOOKUP(A199,CURVA!$B$8:$F$30,5,0),"")</f>
        <v/>
      </c>
      <c r="L199" s="45">
        <f t="shared" si="15"/>
        <v>7.7777777777777779E-2</v>
      </c>
      <c r="M199" s="46">
        <f>interpola(E199-$E$4,CURVA!$H$6:$H$20,CURVA!$G$6:$G$20)</f>
        <v>0.02</v>
      </c>
      <c r="N199" s="47">
        <f t="shared" si="16"/>
        <v>0.74411807368178173</v>
      </c>
      <c r="O199" s="49" t="str">
        <f>IF(K199="","",SUMPRODUCT($J$10:J199,$L$10:L199,$N$10:N199)*$E$5)</f>
        <v/>
      </c>
      <c r="P199" s="49" t="str">
        <f>IF(K199="","",SUMPRODUCT($L$10:L199,$N$10:N199)*$K199*$E$5)</f>
        <v/>
      </c>
      <c r="Q199" s="6"/>
      <c r="R199" s="12"/>
      <c r="S199" s="7"/>
    </row>
    <row r="200" spans="1:19" x14ac:dyDescent="0.2">
      <c r="A200" s="41">
        <f t="shared" si="13"/>
        <v>5348</v>
      </c>
      <c r="C200" s="41">
        <v>191</v>
      </c>
      <c r="D200" s="15">
        <f t="shared" si="17"/>
        <v>47982</v>
      </c>
      <c r="E200" s="42">
        <f t="shared" si="14"/>
        <v>48010</v>
      </c>
      <c r="F200" s="42"/>
      <c r="G200" s="42"/>
      <c r="H200" s="15"/>
      <c r="I200" s="43">
        <f t="shared" si="12"/>
        <v>48010</v>
      </c>
      <c r="J200" s="44">
        <f>forward($E$4,D200,E200,CURVA!$H$6:H210,CURVA!$G$6:G210)</f>
        <v>2.0015563624537411E-2</v>
      </c>
      <c r="K200" s="44" t="str">
        <f>IFERROR(VLOOKUP(A200,CURVA!$B$8:$F$30,5,0),"")</f>
        <v/>
      </c>
      <c r="L200" s="45">
        <f t="shared" si="15"/>
        <v>7.7777777777777779E-2</v>
      </c>
      <c r="M200" s="46">
        <f>interpola(E200-$E$4,CURVA!$H$6:$H$20,CURVA!$G$6:$G$20)</f>
        <v>0.02</v>
      </c>
      <c r="N200" s="47">
        <f t="shared" si="16"/>
        <v>0.74296145650264334</v>
      </c>
      <c r="O200" s="49" t="str">
        <f>IF(K200="","",SUMPRODUCT($J$10:J200,$L$10:L200,$N$10:N200)*$E$5)</f>
        <v/>
      </c>
      <c r="P200" s="49" t="str">
        <f>IF(K200="","",SUMPRODUCT($L$10:L200,$N$10:N200)*$K200*$E$5)</f>
        <v/>
      </c>
      <c r="Q200" s="6"/>
      <c r="R200" s="12"/>
      <c r="S200" s="7"/>
    </row>
    <row r="201" spans="1:19" x14ac:dyDescent="0.2">
      <c r="A201" s="41">
        <f t="shared" si="13"/>
        <v>5376</v>
      </c>
      <c r="C201" s="41">
        <v>192</v>
      </c>
      <c r="D201" s="15">
        <f t="shared" si="17"/>
        <v>48010</v>
      </c>
      <c r="E201" s="42">
        <f t="shared" si="14"/>
        <v>48038</v>
      </c>
      <c r="F201" s="42"/>
      <c r="G201" s="42"/>
      <c r="H201" s="15"/>
      <c r="I201" s="43">
        <f t="shared" si="12"/>
        <v>48038</v>
      </c>
      <c r="J201" s="44">
        <f>forward($E$4,D201,E201,CURVA!$H$6:H211,CURVA!$G$6:G211)</f>
        <v>2.0015563624537411E-2</v>
      </c>
      <c r="K201" s="44" t="str">
        <f>IFERROR(VLOOKUP(A201,CURVA!$B$8:$F$30,5,0),"")</f>
        <v/>
      </c>
      <c r="L201" s="45">
        <f t="shared" si="15"/>
        <v>7.7777777777777779E-2</v>
      </c>
      <c r="M201" s="46">
        <f>interpola(E201-$E$4,CURVA!$H$6:$H$20,CURVA!$G$6:$G$20)</f>
        <v>0.02</v>
      </c>
      <c r="N201" s="47">
        <f t="shared" si="16"/>
        <v>0.74180663710714512</v>
      </c>
      <c r="O201" s="49" t="str">
        <f>IF(K201="","",SUMPRODUCT($J$10:J201,$L$10:L201,$N$10:N201)*$E$5)</f>
        <v/>
      </c>
      <c r="P201" s="49" t="str">
        <f>IF(K201="","",SUMPRODUCT($L$10:L201,$N$10:N201)*$K201*$E$5)</f>
        <v/>
      </c>
      <c r="Q201" s="6"/>
      <c r="R201" s="12"/>
      <c r="S201" s="7"/>
    </row>
    <row r="202" spans="1:19" x14ac:dyDescent="0.2">
      <c r="A202" s="41">
        <f t="shared" si="13"/>
        <v>5404</v>
      </c>
      <c r="C202" s="41">
        <v>193</v>
      </c>
      <c r="D202" s="15">
        <f t="shared" si="17"/>
        <v>48038</v>
      </c>
      <c r="E202" s="42">
        <f t="shared" si="14"/>
        <v>48066</v>
      </c>
      <c r="F202" s="42"/>
      <c r="G202" s="42"/>
      <c r="H202" s="15"/>
      <c r="I202" s="43">
        <f t="shared" ref="I202:I265" si="18">E202</f>
        <v>48066</v>
      </c>
      <c r="J202" s="44">
        <f>forward($E$4,D202,E202,CURVA!$H$6:H212,CURVA!$G$6:G212)</f>
        <v>2.0015563624537411E-2</v>
      </c>
      <c r="K202" s="44" t="str">
        <f>IFERROR(VLOOKUP(A202,CURVA!$B$8:$F$30,5,0),"")</f>
        <v/>
      </c>
      <c r="L202" s="45">
        <f t="shared" si="15"/>
        <v>7.7777777777777779E-2</v>
      </c>
      <c r="M202" s="46">
        <f>interpola(E202-$E$4,CURVA!$H$6:$H$20,CURVA!$G$6:$G$20)</f>
        <v>0.02</v>
      </c>
      <c r="N202" s="47">
        <f t="shared" si="16"/>
        <v>0.74065361270090835</v>
      </c>
      <c r="O202" s="49" t="str">
        <f>IF(K202="","",SUMPRODUCT($J$10:J202,$L$10:L202,$N$10:N202)*$E$5)</f>
        <v/>
      </c>
      <c r="P202" s="49" t="str">
        <f>IF(K202="","",SUMPRODUCT($L$10:L202,$N$10:N202)*$K202*$E$5)</f>
        <v/>
      </c>
      <c r="Q202" s="6"/>
      <c r="R202" s="12"/>
      <c r="S202" s="7"/>
    </row>
    <row r="203" spans="1:19" x14ac:dyDescent="0.2">
      <c r="A203" s="41">
        <f t="shared" ref="A203:A266" si="19">C203*28</f>
        <v>5432</v>
      </c>
      <c r="C203" s="41">
        <v>194</v>
      </c>
      <c r="D203" s="15">
        <f t="shared" si="17"/>
        <v>48066</v>
      </c>
      <c r="E203" s="42">
        <f t="shared" ref="E203:E266" si="20">$E$4+28*C203</f>
        <v>48094</v>
      </c>
      <c r="F203" s="42"/>
      <c r="G203" s="42"/>
      <c r="H203" s="15"/>
      <c r="I203" s="43">
        <f t="shared" si="18"/>
        <v>48094</v>
      </c>
      <c r="J203" s="44">
        <f>forward($E$4,D203,E203,CURVA!$H$6:H213,CURVA!$G$6:G213)</f>
        <v>2.0015563624537411E-2</v>
      </c>
      <c r="K203" s="44" t="str">
        <f>IFERROR(VLOOKUP(A203,CURVA!$B$8:$F$30,5,0),"")</f>
        <v/>
      </c>
      <c r="L203" s="45">
        <f t="shared" ref="L203:L266" si="21">(E203-D203)/360</f>
        <v>7.7777777777777779E-2</v>
      </c>
      <c r="M203" s="46">
        <f>interpola(E203-$E$4,CURVA!$H$6:$H$20,CURVA!$G$6:$G$20)</f>
        <v>0.02</v>
      </c>
      <c r="N203" s="47">
        <f t="shared" ref="N203:N266" si="22">EXP(-M203*(E203-$E$4)/360)</f>
        <v>0.73950238049389827</v>
      </c>
      <c r="O203" s="49" t="str">
        <f>IF(K203="","",SUMPRODUCT($J$10:J203,$L$10:L203,$N$10:N203)*$E$5)</f>
        <v/>
      </c>
      <c r="P203" s="49" t="str">
        <f>IF(K203="","",SUMPRODUCT($L$10:L203,$N$10:N203)*$K203*$E$5)</f>
        <v/>
      </c>
      <c r="Q203" s="6"/>
      <c r="R203" s="12"/>
      <c r="S203" s="7"/>
    </row>
    <row r="204" spans="1:19" x14ac:dyDescent="0.2">
      <c r="A204" s="41">
        <f t="shared" si="19"/>
        <v>5460</v>
      </c>
      <c r="B204" s="41" t="s">
        <v>15</v>
      </c>
      <c r="C204" s="41">
        <v>195</v>
      </c>
      <c r="D204" s="15">
        <f t="shared" si="17"/>
        <v>48094</v>
      </c>
      <c r="E204" s="42">
        <f t="shared" si="20"/>
        <v>48122</v>
      </c>
      <c r="F204" s="42"/>
      <c r="G204" s="42"/>
      <c r="H204" s="15"/>
      <c r="I204" s="43">
        <f t="shared" si="18"/>
        <v>48122</v>
      </c>
      <c r="J204" s="44">
        <f>forward($E$4,D204,E204,CURVA!$H$6:H214,CURVA!$G$6:G214)</f>
        <v>2.0015563624537411E-2</v>
      </c>
      <c r="K204" s="44" t="str">
        <f>IFERROR(VLOOKUP(A204,CURVA!$B$8:$F$30,5,0),"")</f>
        <v/>
      </c>
      <c r="L204" s="45">
        <f t="shared" si="21"/>
        <v>7.7777777777777779E-2</v>
      </c>
      <c r="M204" s="46">
        <f>interpola(E204-$E$4,CURVA!$H$6:$H$20,CURVA!$G$6:$G$20)</f>
        <v>0.02</v>
      </c>
      <c r="N204" s="47">
        <f t="shared" si="22"/>
        <v>0.73835293770041666</v>
      </c>
      <c r="O204" s="49" t="str">
        <f>IF(K204="","",SUMPRODUCT($J$10:J204,$L$10:L204,$N$10:N204)*$E$5)</f>
        <v/>
      </c>
      <c r="P204" s="49" t="str">
        <f>IF(K204="","",SUMPRODUCT($L$10:L204,$N$10:N204)*$K204*$E$5)</f>
        <v/>
      </c>
      <c r="Q204" s="6"/>
      <c r="R204" s="12"/>
      <c r="S204" s="7"/>
    </row>
    <row r="205" spans="1:19" x14ac:dyDescent="0.2">
      <c r="A205" s="41">
        <f t="shared" si="19"/>
        <v>5488</v>
      </c>
      <c r="C205" s="41">
        <v>196</v>
      </c>
      <c r="D205" s="15">
        <f t="shared" ref="D205:D268" si="23">E204</f>
        <v>48122</v>
      </c>
      <c r="E205" s="42">
        <f t="shared" si="20"/>
        <v>48150</v>
      </c>
      <c r="F205" s="42"/>
      <c r="G205" s="42"/>
      <c r="H205" s="15"/>
      <c r="I205" s="43">
        <f t="shared" si="18"/>
        <v>48150</v>
      </c>
      <c r="J205" s="44">
        <f>forward($E$4,D205,E205,CURVA!$H$6:H215,CURVA!$G$6:G215)</f>
        <v>2.0015563624537411E-2</v>
      </c>
      <c r="K205" s="44" t="str">
        <f>IFERROR(VLOOKUP(A205,CURVA!$B$8:$F$30,5,0),"")</f>
        <v/>
      </c>
      <c r="L205" s="45">
        <f t="shared" si="21"/>
        <v>7.7777777777777779E-2</v>
      </c>
      <c r="M205" s="46">
        <f>interpola(E205-$E$4,CURVA!$H$6:$H$20,CURVA!$G$6:$G$20)</f>
        <v>0.02</v>
      </c>
      <c r="N205" s="47">
        <f t="shared" si="22"/>
        <v>0.73720528153909515</v>
      </c>
      <c r="O205" s="49" t="str">
        <f>IF(K205="","",SUMPRODUCT($J$10:J205,$L$10:L205,$N$10:N205)*$E$5)</f>
        <v/>
      </c>
      <c r="P205" s="49" t="str">
        <f>IF(K205="","",SUMPRODUCT($L$10:L205,$N$10:N205)*$K205*$E$5)</f>
        <v/>
      </c>
      <c r="Q205" s="6"/>
      <c r="R205" s="12"/>
      <c r="S205" s="7"/>
    </row>
    <row r="206" spans="1:19" x14ac:dyDescent="0.2">
      <c r="A206" s="41">
        <f t="shared" si="19"/>
        <v>5516</v>
      </c>
      <c r="C206" s="41">
        <v>197</v>
      </c>
      <c r="D206" s="15">
        <f t="shared" si="23"/>
        <v>48150</v>
      </c>
      <c r="E206" s="42">
        <f t="shared" si="20"/>
        <v>48178</v>
      </c>
      <c r="F206" s="42"/>
      <c r="G206" s="42"/>
      <c r="H206" s="15"/>
      <c r="I206" s="43">
        <f t="shared" si="18"/>
        <v>48178</v>
      </c>
      <c r="J206" s="44">
        <f>forward($E$4,D206,E206,CURVA!$H$6:H216,CURVA!$G$6:G216)</f>
        <v>2.0015563624537411E-2</v>
      </c>
      <c r="K206" s="44" t="str">
        <f>IFERROR(VLOOKUP(A206,CURVA!$B$8:$F$30,5,0),"")</f>
        <v/>
      </c>
      <c r="L206" s="45">
        <f t="shared" si="21"/>
        <v>7.7777777777777779E-2</v>
      </c>
      <c r="M206" s="46">
        <f>interpola(E206-$E$4,CURVA!$H$6:$H$20,CURVA!$G$6:$G$20)</f>
        <v>0.02</v>
      </c>
      <c r="N206" s="47">
        <f t="shared" si="22"/>
        <v>0.73605940923288871</v>
      </c>
      <c r="O206" s="49" t="str">
        <f>IF(K206="","",SUMPRODUCT($J$10:J206,$L$10:L206,$N$10:N206)*$E$5)</f>
        <v/>
      </c>
      <c r="P206" s="49" t="str">
        <f>IF(K206="","",SUMPRODUCT($L$10:L206,$N$10:N206)*$K206*$E$5)</f>
        <v/>
      </c>
      <c r="Q206" s="6"/>
      <c r="R206" s="12"/>
      <c r="S206" s="7"/>
    </row>
    <row r="207" spans="1:19" x14ac:dyDescent="0.2">
      <c r="A207" s="41">
        <f t="shared" si="19"/>
        <v>5544</v>
      </c>
      <c r="C207" s="41">
        <v>198</v>
      </c>
      <c r="D207" s="15">
        <f t="shared" si="23"/>
        <v>48178</v>
      </c>
      <c r="E207" s="42">
        <f t="shared" si="20"/>
        <v>48206</v>
      </c>
      <c r="F207" s="42"/>
      <c r="G207" s="42"/>
      <c r="H207" s="15"/>
      <c r="I207" s="43">
        <f t="shared" si="18"/>
        <v>48206</v>
      </c>
      <c r="J207" s="44">
        <f>forward($E$4,D207,E207,CURVA!$H$6:H217,CURVA!$G$6:G217)</f>
        <v>2.0015563624537411E-2</v>
      </c>
      <c r="K207" s="44" t="str">
        <f>IFERROR(VLOOKUP(A207,CURVA!$B$8:$F$30,5,0),"")</f>
        <v/>
      </c>
      <c r="L207" s="45">
        <f t="shared" si="21"/>
        <v>7.7777777777777779E-2</v>
      </c>
      <c r="M207" s="46">
        <f>interpola(E207-$E$4,CURVA!$H$6:$H$20,CURVA!$G$6:$G$20)</f>
        <v>0.02</v>
      </c>
      <c r="N207" s="47">
        <f t="shared" si="22"/>
        <v>0.73491531800906873</v>
      </c>
      <c r="O207" s="49" t="str">
        <f>IF(K207="","",SUMPRODUCT($J$10:J207,$L$10:L207,$N$10:N207)*$E$5)</f>
        <v/>
      </c>
      <c r="P207" s="49" t="str">
        <f>IF(K207="","",SUMPRODUCT($L$10:L207,$N$10:N207)*$K207*$E$5)</f>
        <v/>
      </c>
      <c r="Q207" s="6"/>
      <c r="R207" s="12"/>
      <c r="S207" s="7"/>
    </row>
    <row r="208" spans="1:19" x14ac:dyDescent="0.2">
      <c r="A208" s="41">
        <f t="shared" si="19"/>
        <v>5572</v>
      </c>
      <c r="C208" s="41">
        <v>199</v>
      </c>
      <c r="D208" s="15">
        <f t="shared" si="23"/>
        <v>48206</v>
      </c>
      <c r="E208" s="42">
        <f t="shared" si="20"/>
        <v>48234</v>
      </c>
      <c r="F208" s="42"/>
      <c r="G208" s="42"/>
      <c r="H208" s="15"/>
      <c r="I208" s="43">
        <f t="shared" si="18"/>
        <v>48234</v>
      </c>
      <c r="J208" s="44">
        <f>forward($E$4,D208,E208,CURVA!$H$6:H218,CURVA!$G$6:G218)</f>
        <v>2.0015563624537411E-2</v>
      </c>
      <c r="K208" s="44" t="str">
        <f>IFERROR(VLOOKUP(A208,CURVA!$B$8:$F$30,5,0),"")</f>
        <v/>
      </c>
      <c r="L208" s="45">
        <f t="shared" si="21"/>
        <v>7.7777777777777779E-2</v>
      </c>
      <c r="M208" s="46">
        <f>interpola(E208-$E$4,CURVA!$H$6:$H$20,CURVA!$G$6:$G$20)</f>
        <v>0.02</v>
      </c>
      <c r="N208" s="47">
        <f t="shared" si="22"/>
        <v>0.73377300509921639</v>
      </c>
      <c r="O208" s="49" t="str">
        <f>IF(K208="","",SUMPRODUCT($J$10:J208,$L$10:L208,$N$10:N208)*$E$5)</f>
        <v/>
      </c>
      <c r="P208" s="49" t="str">
        <f>IF(K208="","",SUMPRODUCT($L$10:L208,$N$10:N208)*$K208*$E$5)</f>
        <v/>
      </c>
      <c r="Q208" s="6"/>
      <c r="R208" s="12"/>
      <c r="S208" s="7"/>
    </row>
    <row r="209" spans="1:19" x14ac:dyDescent="0.2">
      <c r="A209" s="41">
        <f t="shared" si="19"/>
        <v>5600</v>
      </c>
      <c r="C209" s="41">
        <v>200</v>
      </c>
      <c r="D209" s="15">
        <f t="shared" si="23"/>
        <v>48234</v>
      </c>
      <c r="E209" s="42">
        <f t="shared" si="20"/>
        <v>48262</v>
      </c>
      <c r="F209" s="42"/>
      <c r="G209" s="42"/>
      <c r="H209" s="15"/>
      <c r="I209" s="43">
        <f t="shared" si="18"/>
        <v>48262</v>
      </c>
      <c r="J209" s="44">
        <f>forward($E$4,D209,E209,CURVA!$H$6:H219,CURVA!$G$6:G219)</f>
        <v>2.0015563624537411E-2</v>
      </c>
      <c r="K209" s="44" t="str">
        <f>IFERROR(VLOOKUP(A209,CURVA!$B$8:$F$30,5,0),"")</f>
        <v/>
      </c>
      <c r="L209" s="45">
        <f t="shared" si="21"/>
        <v>7.7777777777777779E-2</v>
      </c>
      <c r="M209" s="46">
        <f>interpola(E209-$E$4,CURVA!$H$6:$H$20,CURVA!$G$6:$G$20)</f>
        <v>0.02</v>
      </c>
      <c r="N209" s="47">
        <f t="shared" si="22"/>
        <v>0.73263246773921575</v>
      </c>
      <c r="O209" s="49" t="str">
        <f>IF(K209="","",SUMPRODUCT($J$10:J209,$L$10:L209,$N$10:N209)*$E$5)</f>
        <v/>
      </c>
      <c r="P209" s="49" t="str">
        <f>IF(K209="","",SUMPRODUCT($L$10:L209,$N$10:N209)*$K209*$E$5)</f>
        <v/>
      </c>
      <c r="Q209" s="6"/>
      <c r="R209" s="12"/>
      <c r="S209" s="7"/>
    </row>
    <row r="210" spans="1:19" x14ac:dyDescent="0.2">
      <c r="A210" s="41">
        <f t="shared" si="19"/>
        <v>5628</v>
      </c>
      <c r="C210" s="41">
        <v>201</v>
      </c>
      <c r="D210" s="15">
        <f t="shared" si="23"/>
        <v>48262</v>
      </c>
      <c r="E210" s="42">
        <f t="shared" si="20"/>
        <v>48290</v>
      </c>
      <c r="F210" s="42"/>
      <c r="G210" s="42"/>
      <c r="H210" s="15"/>
      <c r="I210" s="43">
        <f t="shared" si="18"/>
        <v>48290</v>
      </c>
      <c r="J210" s="44">
        <f>forward($E$4,D210,E210,CURVA!$H$6:H220,CURVA!$G$6:G220)</f>
        <v>2.0015563624537411E-2</v>
      </c>
      <c r="K210" s="44" t="str">
        <f>IFERROR(VLOOKUP(A210,CURVA!$B$8:$F$30,5,0),"")</f>
        <v/>
      </c>
      <c r="L210" s="45">
        <f t="shared" si="21"/>
        <v>7.7777777777777779E-2</v>
      </c>
      <c r="M210" s="46">
        <f>interpola(E210-$E$4,CURVA!$H$6:$H$20,CURVA!$G$6:$G$20)</f>
        <v>0.02</v>
      </c>
      <c r="N210" s="47">
        <f t="shared" si="22"/>
        <v>0.73149370316924767</v>
      </c>
      <c r="O210" s="49" t="str">
        <f>IF(K210="","",SUMPRODUCT($J$10:J210,$L$10:L210,$N$10:N210)*$E$5)</f>
        <v/>
      </c>
      <c r="P210" s="49" t="str">
        <f>IF(K210="","",SUMPRODUCT($L$10:L210,$N$10:N210)*$K210*$E$5)</f>
        <v/>
      </c>
      <c r="Q210" s="6"/>
      <c r="R210" s="12"/>
      <c r="S210" s="7"/>
    </row>
    <row r="211" spans="1:19" x14ac:dyDescent="0.2">
      <c r="A211" s="41">
        <f t="shared" si="19"/>
        <v>5656</v>
      </c>
      <c r="C211" s="41">
        <v>202</v>
      </c>
      <c r="D211" s="15">
        <f t="shared" si="23"/>
        <v>48290</v>
      </c>
      <c r="E211" s="42">
        <f t="shared" si="20"/>
        <v>48318</v>
      </c>
      <c r="F211" s="42"/>
      <c r="G211" s="42"/>
      <c r="H211" s="15"/>
      <c r="I211" s="43">
        <f t="shared" si="18"/>
        <v>48318</v>
      </c>
      <c r="J211" s="44">
        <f>forward($E$4,D211,E211,CURVA!$H$6:H221,CURVA!$G$6:G221)</f>
        <v>2.0015563624537411E-2</v>
      </c>
      <c r="K211" s="44" t="str">
        <f>IFERROR(VLOOKUP(A211,CURVA!$B$8:$F$30,5,0),"")</f>
        <v/>
      </c>
      <c r="L211" s="45">
        <f t="shared" si="21"/>
        <v>7.7777777777777779E-2</v>
      </c>
      <c r="M211" s="46">
        <f>interpola(E211-$E$4,CURVA!$H$6:$H$20,CURVA!$G$6:$G$20)</f>
        <v>0.02</v>
      </c>
      <c r="N211" s="47">
        <f t="shared" si="22"/>
        <v>0.73035670863378255</v>
      </c>
      <c r="O211" s="49" t="str">
        <f>IF(K211="","",SUMPRODUCT($J$10:J211,$L$10:L211,$N$10:N211)*$E$5)</f>
        <v/>
      </c>
      <c r="P211" s="49" t="str">
        <f>IF(K211="","",SUMPRODUCT($L$10:L211,$N$10:N211)*$K211*$E$5)</f>
        <v/>
      </c>
      <c r="Q211" s="6"/>
      <c r="R211" s="12"/>
      <c r="S211" s="7"/>
    </row>
    <row r="212" spans="1:19" x14ac:dyDescent="0.2">
      <c r="A212" s="41">
        <f t="shared" si="19"/>
        <v>5684</v>
      </c>
      <c r="C212" s="41">
        <v>203</v>
      </c>
      <c r="D212" s="15">
        <f t="shared" si="23"/>
        <v>48318</v>
      </c>
      <c r="E212" s="42">
        <f t="shared" si="20"/>
        <v>48346</v>
      </c>
      <c r="F212" s="42"/>
      <c r="G212" s="42"/>
      <c r="H212" s="15"/>
      <c r="I212" s="43">
        <f t="shared" si="18"/>
        <v>48346</v>
      </c>
      <c r="J212" s="44">
        <f>forward($E$4,D212,E212,CURVA!$H$6:H222,CURVA!$G$6:G222)</f>
        <v>2.0015563624537411E-2</v>
      </c>
      <c r="K212" s="44" t="str">
        <f>IFERROR(VLOOKUP(A212,CURVA!$B$8:$F$30,5,0),"")</f>
        <v/>
      </c>
      <c r="L212" s="45">
        <f t="shared" si="21"/>
        <v>7.7777777777777779E-2</v>
      </c>
      <c r="M212" s="46">
        <f>interpola(E212-$E$4,CURVA!$H$6:$H$20,CURVA!$G$6:$G$20)</f>
        <v>0.02</v>
      </c>
      <c r="N212" s="47">
        <f t="shared" si="22"/>
        <v>0.7292214813815735</v>
      </c>
      <c r="O212" s="49" t="str">
        <f>IF(K212="","",SUMPRODUCT($J$10:J212,$L$10:L212,$N$10:N212)*$E$5)</f>
        <v/>
      </c>
      <c r="P212" s="49" t="str">
        <f>IF(K212="","",SUMPRODUCT($L$10:L212,$N$10:N212)*$K212*$E$5)</f>
        <v/>
      </c>
      <c r="Q212" s="6"/>
      <c r="R212" s="12"/>
      <c r="S212" s="7"/>
    </row>
    <row r="213" spans="1:19" x14ac:dyDescent="0.2">
      <c r="A213" s="41">
        <f t="shared" si="19"/>
        <v>5712</v>
      </c>
      <c r="C213" s="41">
        <v>204</v>
      </c>
      <c r="D213" s="15">
        <f t="shared" si="23"/>
        <v>48346</v>
      </c>
      <c r="E213" s="42">
        <f t="shared" si="20"/>
        <v>48374</v>
      </c>
      <c r="F213" s="42"/>
      <c r="G213" s="42"/>
      <c r="H213" s="15"/>
      <c r="I213" s="43">
        <f t="shared" si="18"/>
        <v>48374</v>
      </c>
      <c r="J213" s="44">
        <f>forward($E$4,D213,E213,CURVA!$H$6:H223,CURVA!$G$6:G223)</f>
        <v>2.0015563624537411E-2</v>
      </c>
      <c r="K213" s="44" t="str">
        <f>IFERROR(VLOOKUP(A213,CURVA!$B$8:$F$30,5,0),"")</f>
        <v/>
      </c>
      <c r="L213" s="45">
        <f t="shared" si="21"/>
        <v>7.7777777777777779E-2</v>
      </c>
      <c r="M213" s="46">
        <f>interpola(E213-$E$4,CURVA!$H$6:$H$20,CURVA!$G$6:$G$20)</f>
        <v>0.02</v>
      </c>
      <c r="N213" s="47">
        <f t="shared" si="22"/>
        <v>0.72808801866565065</v>
      </c>
      <c r="O213" s="49" t="str">
        <f>IF(K213="","",SUMPRODUCT($J$10:J213,$L$10:L213,$N$10:N213)*$E$5)</f>
        <v/>
      </c>
      <c r="P213" s="49" t="str">
        <f>IF(K213="","",SUMPRODUCT($L$10:L213,$N$10:N213)*$K213*$E$5)</f>
        <v/>
      </c>
      <c r="Q213" s="6"/>
      <c r="R213" s="12"/>
      <c r="S213" s="7"/>
    </row>
    <row r="214" spans="1:19" x14ac:dyDescent="0.2">
      <c r="A214" s="41">
        <f t="shared" si="19"/>
        <v>5740</v>
      </c>
      <c r="C214" s="41">
        <v>205</v>
      </c>
      <c r="D214" s="15">
        <f t="shared" si="23"/>
        <v>48374</v>
      </c>
      <c r="E214" s="42">
        <f t="shared" si="20"/>
        <v>48402</v>
      </c>
      <c r="F214" s="42"/>
      <c r="G214" s="42"/>
      <c r="H214" s="15"/>
      <c r="I214" s="43">
        <f t="shared" si="18"/>
        <v>48402</v>
      </c>
      <c r="J214" s="44">
        <f>forward($E$4,D214,E214,CURVA!$H$6:H224,CURVA!$G$6:G224)</f>
        <v>2.0015563624537411E-2</v>
      </c>
      <c r="K214" s="44" t="str">
        <f>IFERROR(VLOOKUP(A214,CURVA!$B$8:$F$30,5,0),"")</f>
        <v/>
      </c>
      <c r="L214" s="45">
        <f t="shared" si="21"/>
        <v>7.7777777777777779E-2</v>
      </c>
      <c r="M214" s="46">
        <f>interpola(E214-$E$4,CURVA!$H$6:$H$20,CURVA!$G$6:$G$20)</f>
        <v>0.02</v>
      </c>
      <c r="N214" s="47">
        <f t="shared" si="22"/>
        <v>0.72695631774331348</v>
      </c>
      <c r="O214" s="49" t="str">
        <f>IF(K214="","",SUMPRODUCT($J$10:J214,$L$10:L214,$N$10:N214)*$E$5)</f>
        <v/>
      </c>
      <c r="P214" s="49" t="str">
        <f>IF(K214="","",SUMPRODUCT($L$10:L214,$N$10:N214)*$K214*$E$5)</f>
        <v/>
      </c>
      <c r="Q214" s="6"/>
      <c r="R214" s="12"/>
      <c r="S214" s="7"/>
    </row>
    <row r="215" spans="1:19" x14ac:dyDescent="0.2">
      <c r="A215" s="41">
        <f t="shared" si="19"/>
        <v>5768</v>
      </c>
      <c r="C215" s="41">
        <v>206</v>
      </c>
      <c r="D215" s="15">
        <f t="shared" si="23"/>
        <v>48402</v>
      </c>
      <c r="E215" s="42">
        <f t="shared" si="20"/>
        <v>48430</v>
      </c>
      <c r="F215" s="42"/>
      <c r="G215" s="42"/>
      <c r="H215" s="15"/>
      <c r="I215" s="43">
        <f t="shared" si="18"/>
        <v>48430</v>
      </c>
      <c r="J215" s="44">
        <f>forward($E$4,D215,E215,CURVA!$H$6:H225,CURVA!$G$6:G225)</f>
        <v>2.0015563624537411E-2</v>
      </c>
      <c r="K215" s="44" t="str">
        <f>IFERROR(VLOOKUP(A215,CURVA!$B$8:$F$30,5,0),"")</f>
        <v/>
      </c>
      <c r="L215" s="45">
        <f t="shared" si="21"/>
        <v>7.7777777777777779E-2</v>
      </c>
      <c r="M215" s="46">
        <f>interpola(E215-$E$4,CURVA!$H$6:$H$20,CURVA!$G$6:$G$20)</f>
        <v>0.02</v>
      </c>
      <c r="N215" s="47">
        <f t="shared" si="22"/>
        <v>0.72582637587612453</v>
      </c>
      <c r="O215" s="49" t="str">
        <f>IF(K215="","",SUMPRODUCT($J$10:J215,$L$10:L215,$N$10:N215)*$E$5)</f>
        <v/>
      </c>
      <c r="P215" s="49" t="str">
        <f>IF(K215="","",SUMPRODUCT($L$10:L215,$N$10:N215)*$K215*$E$5)</f>
        <v/>
      </c>
      <c r="Q215" s="6"/>
      <c r="R215" s="12"/>
      <c r="S215" s="7"/>
    </row>
    <row r="216" spans="1:19" x14ac:dyDescent="0.2">
      <c r="A216" s="41">
        <f t="shared" si="19"/>
        <v>5796</v>
      </c>
      <c r="C216" s="41">
        <v>207</v>
      </c>
      <c r="D216" s="15">
        <f t="shared" si="23"/>
        <v>48430</v>
      </c>
      <c r="E216" s="42">
        <f t="shared" si="20"/>
        <v>48458</v>
      </c>
      <c r="F216" s="42"/>
      <c r="G216" s="42"/>
      <c r="H216" s="15"/>
      <c r="I216" s="43">
        <f t="shared" si="18"/>
        <v>48458</v>
      </c>
      <c r="J216" s="44">
        <f>forward($E$4,D216,E216,CURVA!$H$6:H226,CURVA!$G$6:G226)</f>
        <v>2.0015563624537411E-2</v>
      </c>
      <c r="K216" s="44" t="str">
        <f>IFERROR(VLOOKUP(A216,CURVA!$B$8:$F$30,5,0),"")</f>
        <v/>
      </c>
      <c r="L216" s="45">
        <f t="shared" si="21"/>
        <v>7.7777777777777779E-2</v>
      </c>
      <c r="M216" s="46">
        <f>interpola(E216-$E$4,CURVA!$H$6:$H$20,CURVA!$G$6:$G$20)</f>
        <v>0.02</v>
      </c>
      <c r="N216" s="47">
        <f t="shared" si="22"/>
        <v>0.7246981903299029</v>
      </c>
      <c r="O216" s="49" t="str">
        <f>IF(K216="","",SUMPRODUCT($J$10:J216,$L$10:L216,$N$10:N216)*$E$5)</f>
        <v/>
      </c>
      <c r="P216" s="49" t="str">
        <f>IF(K216="","",SUMPRODUCT($L$10:L216,$N$10:N216)*$K216*$E$5)</f>
        <v/>
      </c>
      <c r="Q216" s="6"/>
      <c r="R216" s="12"/>
      <c r="S216" s="7"/>
    </row>
    <row r="217" spans="1:19" x14ac:dyDescent="0.2">
      <c r="A217" s="41">
        <f t="shared" si="19"/>
        <v>5824</v>
      </c>
      <c r="C217" s="41">
        <v>208</v>
      </c>
      <c r="D217" s="15">
        <f t="shared" si="23"/>
        <v>48458</v>
      </c>
      <c r="E217" s="42">
        <f t="shared" si="20"/>
        <v>48486</v>
      </c>
      <c r="F217" s="42"/>
      <c r="G217" s="42"/>
      <c r="H217" s="15"/>
      <c r="I217" s="43">
        <f t="shared" si="18"/>
        <v>48486</v>
      </c>
      <c r="J217" s="44">
        <f>forward($E$4,D217,E217,CURVA!$H$6:H227,CURVA!$G$6:G227)</f>
        <v>2.0015563624537411E-2</v>
      </c>
      <c r="K217" s="44" t="str">
        <f>IFERROR(VLOOKUP(A217,CURVA!$B$8:$F$30,5,0),"")</f>
        <v/>
      </c>
      <c r="L217" s="45">
        <f t="shared" si="21"/>
        <v>7.7777777777777779E-2</v>
      </c>
      <c r="M217" s="46">
        <f>interpola(E217-$E$4,CURVA!$H$6:$H$20,CURVA!$G$6:$G$20)</f>
        <v>0.02</v>
      </c>
      <c r="N217" s="47">
        <f t="shared" si="22"/>
        <v>0.72357175837471766</v>
      </c>
      <c r="O217" s="49" t="str">
        <f>IF(K217="","",SUMPRODUCT($J$10:J217,$L$10:L217,$N$10:N217)*$E$5)</f>
        <v/>
      </c>
      <c r="P217" s="49" t="str">
        <f>IF(K217="","",SUMPRODUCT($L$10:L217,$N$10:N217)*$K217*$E$5)</f>
        <v/>
      </c>
      <c r="Q217" s="6"/>
      <c r="R217" s="12"/>
      <c r="S217" s="7"/>
    </row>
    <row r="218" spans="1:19" x14ac:dyDescent="0.2">
      <c r="A218" s="41">
        <f t="shared" si="19"/>
        <v>5852</v>
      </c>
      <c r="C218" s="41">
        <v>209</v>
      </c>
      <c r="D218" s="15">
        <f t="shared" si="23"/>
        <v>48486</v>
      </c>
      <c r="E218" s="42">
        <f t="shared" si="20"/>
        <v>48514</v>
      </c>
      <c r="F218" s="42"/>
      <c r="G218" s="42"/>
      <c r="H218" s="15"/>
      <c r="I218" s="43">
        <f t="shared" si="18"/>
        <v>48514</v>
      </c>
      <c r="J218" s="44">
        <f>forward($E$4,D218,E218,CURVA!$H$6:H228,CURVA!$G$6:G228)</f>
        <v>2.0015563624537411E-2</v>
      </c>
      <c r="K218" s="44" t="str">
        <f>IFERROR(VLOOKUP(A218,CURVA!$B$8:$F$30,5,0),"")</f>
        <v/>
      </c>
      <c r="L218" s="45">
        <f t="shared" si="21"/>
        <v>7.7777777777777779E-2</v>
      </c>
      <c r="M218" s="46">
        <f>interpola(E218-$E$4,CURVA!$H$6:$H$20,CURVA!$G$6:$G$20)</f>
        <v>0.02</v>
      </c>
      <c r="N218" s="47">
        <f t="shared" si="22"/>
        <v>0.722447077284881</v>
      </c>
      <c r="O218" s="49" t="str">
        <f>IF(K218="","",SUMPRODUCT($J$10:J218,$L$10:L218,$N$10:N218)*$E$5)</f>
        <v/>
      </c>
      <c r="P218" s="49" t="str">
        <f>IF(K218="","",SUMPRODUCT($L$10:L218,$N$10:N218)*$K218*$E$5)</f>
        <v/>
      </c>
      <c r="Q218" s="6"/>
      <c r="R218" s="12"/>
      <c r="S218" s="7"/>
    </row>
    <row r="219" spans="1:19" x14ac:dyDescent="0.2">
      <c r="A219" s="41">
        <f t="shared" si="19"/>
        <v>5880</v>
      </c>
      <c r="C219" s="41">
        <v>210</v>
      </c>
      <c r="D219" s="15">
        <f t="shared" si="23"/>
        <v>48514</v>
      </c>
      <c r="E219" s="42">
        <f t="shared" si="20"/>
        <v>48542</v>
      </c>
      <c r="F219" s="42"/>
      <c r="G219" s="42"/>
      <c r="H219" s="15"/>
      <c r="I219" s="43">
        <f t="shared" si="18"/>
        <v>48542</v>
      </c>
      <c r="J219" s="44">
        <f>forward($E$4,D219,E219,CURVA!$H$6:H229,CURVA!$G$6:G229)</f>
        <v>2.0015563624537411E-2</v>
      </c>
      <c r="K219" s="44" t="str">
        <f>IFERROR(VLOOKUP(A219,CURVA!$B$8:$F$30,5,0),"")</f>
        <v/>
      </c>
      <c r="L219" s="45">
        <f t="shared" si="21"/>
        <v>7.7777777777777779E-2</v>
      </c>
      <c r="M219" s="46">
        <f>interpola(E219-$E$4,CURVA!$H$6:$H$20,CURVA!$G$6:$G$20)</f>
        <v>0.02</v>
      </c>
      <c r="N219" s="47">
        <f t="shared" si="22"/>
        <v>0.72132414433894199</v>
      </c>
      <c r="O219" s="49" t="str">
        <f>IF(K219="","",SUMPRODUCT($J$10:J219,$L$10:L219,$N$10:N219)*$E$5)</f>
        <v/>
      </c>
      <c r="P219" s="49" t="str">
        <f>IF(K219="","",SUMPRODUCT($L$10:L219,$N$10:N219)*$K219*$E$5)</f>
        <v/>
      </c>
      <c r="Q219" s="6"/>
      <c r="R219" s="12"/>
      <c r="S219" s="7"/>
    </row>
    <row r="220" spans="1:19" x14ac:dyDescent="0.2">
      <c r="A220" s="41">
        <f t="shared" si="19"/>
        <v>5908</v>
      </c>
      <c r="C220" s="41">
        <v>211</v>
      </c>
      <c r="D220" s="15">
        <f t="shared" si="23"/>
        <v>48542</v>
      </c>
      <c r="E220" s="42">
        <f t="shared" si="20"/>
        <v>48570</v>
      </c>
      <c r="F220" s="42"/>
      <c r="G220" s="42"/>
      <c r="H220" s="15"/>
      <c r="I220" s="43">
        <f t="shared" si="18"/>
        <v>48570</v>
      </c>
      <c r="J220" s="44">
        <f>forward($E$4,D220,E220,CURVA!$H$6:H230,CURVA!$G$6:G230)</f>
        <v>2.0015563624537411E-2</v>
      </c>
      <c r="K220" s="44" t="str">
        <f>IFERROR(VLOOKUP(A220,CURVA!$B$8:$F$30,5,0),"")</f>
        <v/>
      </c>
      <c r="L220" s="45">
        <f t="shared" si="21"/>
        <v>7.7777777777777779E-2</v>
      </c>
      <c r="M220" s="46">
        <f>interpola(E220-$E$4,CURVA!$H$6:$H$20,CURVA!$G$6:$G$20)</f>
        <v>0.02</v>
      </c>
      <c r="N220" s="47">
        <f t="shared" si="22"/>
        <v>0.7202029568196795</v>
      </c>
      <c r="O220" s="49" t="str">
        <f>IF(K220="","",SUMPRODUCT($J$10:J220,$L$10:L220,$N$10:N220)*$E$5)</f>
        <v/>
      </c>
      <c r="P220" s="49" t="str">
        <f>IF(K220="","",SUMPRODUCT($L$10:L220,$N$10:N220)*$K220*$E$5)</f>
        <v/>
      </c>
      <c r="Q220" s="6"/>
      <c r="R220" s="12"/>
      <c r="S220" s="7"/>
    </row>
    <row r="221" spans="1:19" x14ac:dyDescent="0.2">
      <c r="A221" s="41">
        <f t="shared" si="19"/>
        <v>5936</v>
      </c>
      <c r="C221" s="41">
        <v>212</v>
      </c>
      <c r="D221" s="15">
        <f t="shared" si="23"/>
        <v>48570</v>
      </c>
      <c r="E221" s="42">
        <f t="shared" si="20"/>
        <v>48598</v>
      </c>
      <c r="F221" s="42"/>
      <c r="G221" s="42"/>
      <c r="H221" s="15"/>
      <c r="I221" s="43">
        <f t="shared" si="18"/>
        <v>48598</v>
      </c>
      <c r="J221" s="44">
        <f>forward($E$4,D221,E221,CURVA!$H$6:H231,CURVA!$G$6:G231)</f>
        <v>2.0015563624537411E-2</v>
      </c>
      <c r="K221" s="44" t="str">
        <f>IFERROR(VLOOKUP(A221,CURVA!$B$8:$F$30,5,0),"")</f>
        <v/>
      </c>
      <c r="L221" s="45">
        <f t="shared" si="21"/>
        <v>7.7777777777777779E-2</v>
      </c>
      <c r="M221" s="46">
        <f>interpola(E221-$E$4,CURVA!$H$6:$H$20,CURVA!$G$6:$G$20)</f>
        <v>0.02</v>
      </c>
      <c r="N221" s="47">
        <f t="shared" si="22"/>
        <v>0.71908351201409593</v>
      </c>
      <c r="O221" s="49" t="str">
        <f>IF(K221="","",SUMPRODUCT($J$10:J221,$L$10:L221,$N$10:N221)*$E$5)</f>
        <v/>
      </c>
      <c r="P221" s="49" t="str">
        <f>IF(K221="","",SUMPRODUCT($L$10:L221,$N$10:N221)*$K221*$E$5)</f>
        <v/>
      </c>
      <c r="Q221" s="6"/>
      <c r="R221" s="12"/>
      <c r="S221" s="7"/>
    </row>
    <row r="222" spans="1:19" x14ac:dyDescent="0.2">
      <c r="A222" s="41">
        <f t="shared" si="19"/>
        <v>5964</v>
      </c>
      <c r="C222" s="41">
        <v>213</v>
      </c>
      <c r="D222" s="15">
        <f t="shared" si="23"/>
        <v>48598</v>
      </c>
      <c r="E222" s="42">
        <f t="shared" si="20"/>
        <v>48626</v>
      </c>
      <c r="F222" s="42"/>
      <c r="G222" s="42"/>
      <c r="H222" s="15"/>
      <c r="I222" s="43">
        <f t="shared" si="18"/>
        <v>48626</v>
      </c>
      <c r="J222" s="44">
        <f>forward($E$4,D222,E222,CURVA!$H$6:H232,CURVA!$G$6:G232)</f>
        <v>2.0015563624537411E-2</v>
      </c>
      <c r="K222" s="44" t="str">
        <f>IFERROR(VLOOKUP(A222,CURVA!$B$8:$F$30,5,0),"")</f>
        <v/>
      </c>
      <c r="L222" s="45">
        <f t="shared" si="21"/>
        <v>7.7777777777777779E-2</v>
      </c>
      <c r="M222" s="46">
        <f>interpola(E222-$E$4,CURVA!$H$6:$H$20,CURVA!$G$6:$G$20)</f>
        <v>0.02</v>
      </c>
      <c r="N222" s="47">
        <f t="shared" si="22"/>
        <v>0.71796580721341097</v>
      </c>
      <c r="O222" s="49" t="str">
        <f>IF(K222="","",SUMPRODUCT($J$10:J222,$L$10:L222,$N$10:N222)*$E$5)</f>
        <v/>
      </c>
      <c r="P222" s="49" t="str">
        <f>IF(K222="","",SUMPRODUCT($L$10:L222,$N$10:N222)*$K222*$E$5)</f>
        <v/>
      </c>
      <c r="Q222" s="6"/>
      <c r="R222" s="12"/>
      <c r="S222" s="7"/>
    </row>
    <row r="223" spans="1:19" x14ac:dyDescent="0.2">
      <c r="A223" s="41">
        <f t="shared" si="19"/>
        <v>5992</v>
      </c>
      <c r="C223" s="41">
        <v>214</v>
      </c>
      <c r="D223" s="15">
        <f t="shared" si="23"/>
        <v>48626</v>
      </c>
      <c r="E223" s="42">
        <f t="shared" si="20"/>
        <v>48654</v>
      </c>
      <c r="F223" s="42"/>
      <c r="G223" s="42"/>
      <c r="H223" s="15"/>
      <c r="I223" s="43">
        <f t="shared" si="18"/>
        <v>48654</v>
      </c>
      <c r="J223" s="44">
        <f>forward($E$4,D223,E223,CURVA!$H$6:H233,CURVA!$G$6:G233)</f>
        <v>2.0015563624537411E-2</v>
      </c>
      <c r="K223" s="44" t="str">
        <f>IFERROR(VLOOKUP(A223,CURVA!$B$8:$F$30,5,0),"")</f>
        <v/>
      </c>
      <c r="L223" s="45">
        <f t="shared" si="21"/>
        <v>7.7777777777777779E-2</v>
      </c>
      <c r="M223" s="46">
        <f>interpola(E223-$E$4,CURVA!$H$6:$H$20,CURVA!$G$6:$G$20)</f>
        <v>0.02</v>
      </c>
      <c r="N223" s="47">
        <f t="shared" si="22"/>
        <v>0.71684983971305416</v>
      </c>
      <c r="O223" s="49" t="str">
        <f>IF(K223="","",SUMPRODUCT($J$10:J223,$L$10:L223,$N$10:N223)*$E$5)</f>
        <v/>
      </c>
      <c r="P223" s="49" t="str">
        <f>IF(K223="","",SUMPRODUCT($L$10:L223,$N$10:N223)*$K223*$E$5)</f>
        <v/>
      </c>
      <c r="Q223" s="6"/>
      <c r="R223" s="12"/>
      <c r="S223" s="7"/>
    </row>
    <row r="224" spans="1:19" x14ac:dyDescent="0.2">
      <c r="A224" s="41">
        <f t="shared" si="19"/>
        <v>6020</v>
      </c>
      <c r="C224" s="41">
        <v>215</v>
      </c>
      <c r="D224" s="15">
        <f t="shared" si="23"/>
        <v>48654</v>
      </c>
      <c r="E224" s="42">
        <f t="shared" si="20"/>
        <v>48682</v>
      </c>
      <c r="F224" s="42"/>
      <c r="G224" s="42"/>
      <c r="H224" s="15"/>
      <c r="I224" s="43">
        <f t="shared" si="18"/>
        <v>48682</v>
      </c>
      <c r="J224" s="44">
        <f>forward($E$4,D224,E224,CURVA!$H$6:H234,CURVA!$G$6:G234)</f>
        <v>2.0015563624537411E-2</v>
      </c>
      <c r="K224" s="44" t="str">
        <f>IFERROR(VLOOKUP(A224,CURVA!$B$8:$F$30,5,0),"")</f>
        <v/>
      </c>
      <c r="L224" s="45">
        <f t="shared" si="21"/>
        <v>7.7777777777777779E-2</v>
      </c>
      <c r="M224" s="46">
        <f>interpola(E224-$E$4,CURVA!$H$6:$H$20,CURVA!$G$6:$G$20)</f>
        <v>0.02</v>
      </c>
      <c r="N224" s="47">
        <f t="shared" si="22"/>
        <v>0.71573560681265935</v>
      </c>
      <c r="O224" s="49" t="str">
        <f>IF(K224="","",SUMPRODUCT($J$10:J224,$L$10:L224,$N$10:N224)*$E$5)</f>
        <v/>
      </c>
      <c r="P224" s="49" t="str">
        <f>IF(K224="","",SUMPRODUCT($L$10:L224,$N$10:N224)*$K224*$E$5)</f>
        <v/>
      </c>
      <c r="Q224" s="6"/>
      <c r="R224" s="12"/>
      <c r="S224" s="7"/>
    </row>
    <row r="225" spans="1:19" x14ac:dyDescent="0.2">
      <c r="A225" s="41">
        <f t="shared" si="19"/>
        <v>6048</v>
      </c>
      <c r="C225" s="41">
        <v>216</v>
      </c>
      <c r="D225" s="15">
        <f t="shared" si="23"/>
        <v>48682</v>
      </c>
      <c r="E225" s="42">
        <f t="shared" si="20"/>
        <v>48710</v>
      </c>
      <c r="F225" s="42"/>
      <c r="G225" s="42"/>
      <c r="H225" s="15"/>
      <c r="I225" s="43">
        <f t="shared" si="18"/>
        <v>48710</v>
      </c>
      <c r="J225" s="44">
        <f>forward($E$4,D225,E225,CURVA!$H$6:H235,CURVA!$G$6:G235)</f>
        <v>2.0015563624537411E-2</v>
      </c>
      <c r="K225" s="44" t="str">
        <f>IFERROR(VLOOKUP(A225,CURVA!$B$8:$F$30,5,0),"")</f>
        <v/>
      </c>
      <c r="L225" s="45">
        <f t="shared" si="21"/>
        <v>7.7777777777777779E-2</v>
      </c>
      <c r="M225" s="46">
        <f>interpola(E225-$E$4,CURVA!$H$6:$H$20,CURVA!$G$6:$G$20)</f>
        <v>0.02</v>
      </c>
      <c r="N225" s="47">
        <f t="shared" si="22"/>
        <v>0.71462310581605726</v>
      </c>
      <c r="O225" s="49" t="str">
        <f>IF(K225="","",SUMPRODUCT($J$10:J225,$L$10:L225,$N$10:N225)*$E$5)</f>
        <v/>
      </c>
      <c r="P225" s="49" t="str">
        <f>IF(K225="","",SUMPRODUCT($L$10:L225,$N$10:N225)*$K225*$E$5)</f>
        <v/>
      </c>
      <c r="Q225" s="6"/>
      <c r="R225" s="12"/>
      <c r="S225" s="7"/>
    </row>
    <row r="226" spans="1:19" x14ac:dyDescent="0.2">
      <c r="A226" s="41">
        <f t="shared" si="19"/>
        <v>6076</v>
      </c>
      <c r="C226" s="41">
        <v>217</v>
      </c>
      <c r="D226" s="15">
        <f t="shared" si="23"/>
        <v>48710</v>
      </c>
      <c r="E226" s="42">
        <f t="shared" si="20"/>
        <v>48738</v>
      </c>
      <c r="F226" s="42"/>
      <c r="G226" s="42"/>
      <c r="H226" s="15"/>
      <c r="I226" s="43">
        <f t="shared" si="18"/>
        <v>48738</v>
      </c>
      <c r="J226" s="44">
        <f>forward($E$4,D226,E226,CURVA!$H$6:H236,CURVA!$G$6:G236)</f>
        <v>2.0015563624537411E-2</v>
      </c>
      <c r="K226" s="44" t="str">
        <f>IFERROR(VLOOKUP(A226,CURVA!$B$8:$F$30,5,0),"")</f>
        <v/>
      </c>
      <c r="L226" s="45">
        <f t="shared" si="21"/>
        <v>7.7777777777777779E-2</v>
      </c>
      <c r="M226" s="46">
        <f>interpola(E226-$E$4,CURVA!$H$6:$H$20,CURVA!$G$6:$G$20)</f>
        <v>0.02</v>
      </c>
      <c r="N226" s="47">
        <f t="shared" si="22"/>
        <v>0.71351233403127001</v>
      </c>
      <c r="O226" s="49" t="str">
        <f>IF(K226="","",SUMPRODUCT($J$10:J226,$L$10:L226,$N$10:N226)*$E$5)</f>
        <v/>
      </c>
      <c r="P226" s="49" t="str">
        <f>IF(K226="","",SUMPRODUCT($L$10:L226,$N$10:N226)*$K226*$E$5)</f>
        <v/>
      </c>
      <c r="Q226" s="6"/>
      <c r="R226" s="12"/>
      <c r="S226" s="7"/>
    </row>
    <row r="227" spans="1:19" x14ac:dyDescent="0.2">
      <c r="A227" s="41">
        <f t="shared" si="19"/>
        <v>6104</v>
      </c>
      <c r="C227" s="41">
        <v>218</v>
      </c>
      <c r="D227" s="15">
        <f t="shared" si="23"/>
        <v>48738</v>
      </c>
      <c r="E227" s="42">
        <f t="shared" si="20"/>
        <v>48766</v>
      </c>
      <c r="F227" s="42"/>
      <c r="G227" s="42"/>
      <c r="H227" s="15"/>
      <c r="I227" s="43">
        <f t="shared" si="18"/>
        <v>48766</v>
      </c>
      <c r="J227" s="44">
        <f>forward($E$4,D227,E227,CURVA!$H$6:H237,CURVA!$G$6:G237)</f>
        <v>2.0015563624537411E-2</v>
      </c>
      <c r="K227" s="44" t="str">
        <f>IFERROR(VLOOKUP(A227,CURVA!$B$8:$F$30,5,0),"")</f>
        <v/>
      </c>
      <c r="L227" s="45">
        <f t="shared" si="21"/>
        <v>7.7777777777777779E-2</v>
      </c>
      <c r="M227" s="46">
        <f>interpola(E227-$E$4,CURVA!$H$6:$H$20,CURVA!$G$6:$G$20)</f>
        <v>0.02</v>
      </c>
      <c r="N227" s="47">
        <f t="shared" si="22"/>
        <v>0.71240328877050318</v>
      </c>
      <c r="O227" s="49" t="str">
        <f>IF(K227="","",SUMPRODUCT($J$10:J227,$L$10:L227,$N$10:N227)*$E$5)</f>
        <v/>
      </c>
      <c r="P227" s="49" t="str">
        <f>IF(K227="","",SUMPRODUCT($L$10:L227,$N$10:N227)*$K227*$E$5)</f>
        <v/>
      </c>
      <c r="Q227" s="6"/>
      <c r="R227" s="12"/>
      <c r="S227" s="7"/>
    </row>
    <row r="228" spans="1:19" x14ac:dyDescent="0.2">
      <c r="A228" s="41">
        <f t="shared" si="19"/>
        <v>6132</v>
      </c>
      <c r="C228" s="41">
        <v>219</v>
      </c>
      <c r="D228" s="15">
        <f t="shared" si="23"/>
        <v>48766</v>
      </c>
      <c r="E228" s="42">
        <f t="shared" si="20"/>
        <v>48794</v>
      </c>
      <c r="F228" s="42"/>
      <c r="G228" s="42"/>
      <c r="H228" s="15"/>
      <c r="I228" s="43">
        <f t="shared" si="18"/>
        <v>48794</v>
      </c>
      <c r="J228" s="44">
        <f>forward($E$4,D228,E228,CURVA!$H$6:H238,CURVA!$G$6:G238)</f>
        <v>2.0015563624537411E-2</v>
      </c>
      <c r="K228" s="44" t="str">
        <f>IFERROR(VLOOKUP(A228,CURVA!$B$8:$F$30,5,0),"")</f>
        <v/>
      </c>
      <c r="L228" s="45">
        <f t="shared" si="21"/>
        <v>7.7777777777777779E-2</v>
      </c>
      <c r="M228" s="46">
        <f>interpola(E228-$E$4,CURVA!$H$6:$H$20,CURVA!$G$6:$G$20)</f>
        <v>0.02</v>
      </c>
      <c r="N228" s="47">
        <f t="shared" si="22"/>
        <v>0.71129596735014089</v>
      </c>
      <c r="O228" s="49" t="str">
        <f>IF(K228="","",SUMPRODUCT($J$10:J228,$L$10:L228,$N$10:N228)*$E$5)</f>
        <v/>
      </c>
      <c r="P228" s="49" t="str">
        <f>IF(K228="","",SUMPRODUCT($L$10:L228,$N$10:N228)*$K228*$E$5)</f>
        <v/>
      </c>
      <c r="Q228" s="6"/>
      <c r="R228" s="12"/>
      <c r="S228" s="7"/>
    </row>
    <row r="229" spans="1:19" x14ac:dyDescent="0.2">
      <c r="A229" s="41">
        <f t="shared" si="19"/>
        <v>6160</v>
      </c>
      <c r="C229" s="41">
        <v>220</v>
      </c>
      <c r="D229" s="15">
        <f t="shared" si="23"/>
        <v>48794</v>
      </c>
      <c r="E229" s="42">
        <f t="shared" si="20"/>
        <v>48822</v>
      </c>
      <c r="F229" s="42"/>
      <c r="G229" s="42"/>
      <c r="H229" s="15"/>
      <c r="I229" s="43">
        <f t="shared" si="18"/>
        <v>48822</v>
      </c>
      <c r="J229" s="44">
        <f>forward($E$4,D229,E229,CURVA!$H$6:H239,CURVA!$G$6:G239)</f>
        <v>2.0015563624537411E-2</v>
      </c>
      <c r="K229" s="44" t="str">
        <f>IFERROR(VLOOKUP(A229,CURVA!$B$8:$F$30,5,0),"")</f>
        <v/>
      </c>
      <c r="L229" s="45">
        <f t="shared" si="21"/>
        <v>7.7777777777777779E-2</v>
      </c>
      <c r="M229" s="46">
        <f>interpola(E229-$E$4,CURVA!$H$6:$H$20,CURVA!$G$6:$G$20)</f>
        <v>0.02</v>
      </c>
      <c r="N229" s="47">
        <f t="shared" si="22"/>
        <v>0.71019036709073791</v>
      </c>
      <c r="O229" s="49" t="str">
        <f>IF(K229="","",SUMPRODUCT($J$10:J229,$L$10:L229,$N$10:N229)*$E$5)</f>
        <v/>
      </c>
      <c r="P229" s="49" t="str">
        <f>IF(K229="","",SUMPRODUCT($L$10:L229,$N$10:N229)*$K229*$E$5)</f>
        <v/>
      </c>
      <c r="Q229" s="6"/>
      <c r="R229" s="12"/>
      <c r="S229" s="7"/>
    </row>
    <row r="230" spans="1:19" x14ac:dyDescent="0.2">
      <c r="A230" s="41">
        <f t="shared" si="19"/>
        <v>6188</v>
      </c>
      <c r="C230" s="41">
        <v>221</v>
      </c>
      <c r="D230" s="15">
        <f t="shared" si="23"/>
        <v>48822</v>
      </c>
      <c r="E230" s="42">
        <f t="shared" si="20"/>
        <v>48850</v>
      </c>
      <c r="F230" s="42"/>
      <c r="G230" s="42"/>
      <c r="H230" s="15"/>
      <c r="I230" s="43">
        <f t="shared" si="18"/>
        <v>48850</v>
      </c>
      <c r="J230" s="44">
        <f>forward($E$4,D230,E230,CURVA!$H$6:H240,CURVA!$G$6:G240)</f>
        <v>2.0015563624537411E-2</v>
      </c>
      <c r="K230" s="44" t="str">
        <f>IFERROR(VLOOKUP(A230,CURVA!$B$8:$F$30,5,0),"")</f>
        <v/>
      </c>
      <c r="L230" s="45">
        <f t="shared" si="21"/>
        <v>7.7777777777777779E-2</v>
      </c>
      <c r="M230" s="46">
        <f>interpola(E230-$E$4,CURVA!$H$6:$H$20,CURVA!$G$6:$G$20)</f>
        <v>0.02</v>
      </c>
      <c r="N230" s="47">
        <f t="shared" si="22"/>
        <v>0.70908648531701424</v>
      </c>
      <c r="O230" s="49" t="str">
        <f>IF(K230="","",SUMPRODUCT($J$10:J230,$L$10:L230,$N$10:N230)*$E$5)</f>
        <v/>
      </c>
      <c r="P230" s="49" t="str">
        <f>IF(K230="","",SUMPRODUCT($L$10:L230,$N$10:N230)*$K230*$E$5)</f>
        <v/>
      </c>
      <c r="Q230" s="6"/>
      <c r="R230" s="12"/>
      <c r="S230" s="7"/>
    </row>
    <row r="231" spans="1:19" x14ac:dyDescent="0.2">
      <c r="A231" s="41">
        <f t="shared" si="19"/>
        <v>6216</v>
      </c>
      <c r="C231" s="41">
        <v>222</v>
      </c>
      <c r="D231" s="15">
        <f t="shared" si="23"/>
        <v>48850</v>
      </c>
      <c r="E231" s="42">
        <f t="shared" si="20"/>
        <v>48878</v>
      </c>
      <c r="F231" s="42"/>
      <c r="G231" s="42"/>
      <c r="H231" s="15"/>
      <c r="I231" s="43">
        <f t="shared" si="18"/>
        <v>48878</v>
      </c>
      <c r="J231" s="44">
        <f>forward($E$4,D231,E231,CURVA!$H$6:H241,CURVA!$G$6:G241)</f>
        <v>2.0015563624537411E-2</v>
      </c>
      <c r="K231" s="44" t="str">
        <f>IFERROR(VLOOKUP(A231,CURVA!$B$8:$F$30,5,0),"")</f>
        <v/>
      </c>
      <c r="L231" s="45">
        <f t="shared" si="21"/>
        <v>7.7777777777777779E-2</v>
      </c>
      <c r="M231" s="46">
        <f>interpola(E231-$E$4,CURVA!$H$6:$H$20,CURVA!$G$6:$G$20)</f>
        <v>0.02</v>
      </c>
      <c r="N231" s="47">
        <f t="shared" si="22"/>
        <v>0.70798431935784778</v>
      </c>
      <c r="O231" s="49" t="str">
        <f>IF(K231="","",SUMPRODUCT($J$10:J231,$L$10:L231,$N$10:N231)*$E$5)</f>
        <v/>
      </c>
      <c r="P231" s="49" t="str">
        <f>IF(K231="","",SUMPRODUCT($L$10:L231,$N$10:N231)*$K231*$E$5)</f>
        <v/>
      </c>
      <c r="Q231" s="6"/>
      <c r="R231" s="12"/>
      <c r="S231" s="7"/>
    </row>
    <row r="232" spans="1:19" x14ac:dyDescent="0.2">
      <c r="A232" s="41">
        <f t="shared" si="19"/>
        <v>6244</v>
      </c>
      <c r="C232" s="41">
        <v>223</v>
      </c>
      <c r="D232" s="15">
        <f t="shared" si="23"/>
        <v>48878</v>
      </c>
      <c r="E232" s="42">
        <f t="shared" si="20"/>
        <v>48906</v>
      </c>
      <c r="F232" s="42"/>
      <c r="G232" s="42"/>
      <c r="H232" s="15"/>
      <c r="I232" s="43">
        <f t="shared" si="18"/>
        <v>48906</v>
      </c>
      <c r="J232" s="44">
        <f>forward($E$4,D232,E232,CURVA!$H$6:H242,CURVA!$G$6:G242)</f>
        <v>2.0015563624537411E-2</v>
      </c>
      <c r="K232" s="44" t="str">
        <f>IFERROR(VLOOKUP(A232,CURVA!$B$8:$F$30,5,0),"")</f>
        <v/>
      </c>
      <c r="L232" s="45">
        <f t="shared" si="21"/>
        <v>7.7777777777777779E-2</v>
      </c>
      <c r="M232" s="46">
        <f>interpola(E232-$E$4,CURVA!$H$6:$H$20,CURVA!$G$6:$G$20)</f>
        <v>0.02</v>
      </c>
      <c r="N232" s="47">
        <f t="shared" si="22"/>
        <v>0.70688386654626889</v>
      </c>
      <c r="O232" s="49" t="str">
        <f>IF(K232="","",SUMPRODUCT($J$10:J232,$L$10:L232,$N$10:N232)*$E$5)</f>
        <v/>
      </c>
      <c r="P232" s="49" t="str">
        <f>IF(K232="","",SUMPRODUCT($L$10:L232,$N$10:N232)*$K232*$E$5)</f>
        <v/>
      </c>
      <c r="Q232" s="6"/>
      <c r="R232" s="12"/>
      <c r="S232" s="7"/>
    </row>
    <row r="233" spans="1:19" x14ac:dyDescent="0.2">
      <c r="A233" s="41">
        <f t="shared" si="19"/>
        <v>6272</v>
      </c>
      <c r="C233" s="41">
        <v>224</v>
      </c>
      <c r="D233" s="15">
        <f t="shared" si="23"/>
        <v>48906</v>
      </c>
      <c r="E233" s="42">
        <f t="shared" si="20"/>
        <v>48934</v>
      </c>
      <c r="F233" s="42"/>
      <c r="G233" s="42"/>
      <c r="H233" s="15"/>
      <c r="I233" s="43">
        <f t="shared" si="18"/>
        <v>48934</v>
      </c>
      <c r="J233" s="44">
        <f>forward($E$4,D233,E233,CURVA!$H$6:H243,CURVA!$G$6:G243)</f>
        <v>2.0015563624537411E-2</v>
      </c>
      <c r="K233" s="44" t="str">
        <f>IFERROR(VLOOKUP(A233,CURVA!$B$8:$F$30,5,0),"")</f>
        <v/>
      </c>
      <c r="L233" s="45">
        <f t="shared" si="21"/>
        <v>7.7777777777777779E-2</v>
      </c>
      <c r="M233" s="46">
        <f>interpola(E233-$E$4,CURVA!$H$6:$H$20,CURVA!$G$6:$G$20)</f>
        <v>0.02</v>
      </c>
      <c r="N233" s="47">
        <f t="shared" si="22"/>
        <v>0.70578512421945261</v>
      </c>
      <c r="O233" s="49" t="str">
        <f>IF(K233="","",SUMPRODUCT($J$10:J233,$L$10:L233,$N$10:N233)*$E$5)</f>
        <v/>
      </c>
      <c r="P233" s="49" t="str">
        <f>IF(K233="","",SUMPRODUCT($L$10:L233,$N$10:N233)*$K233*$E$5)</f>
        <v/>
      </c>
      <c r="Q233" s="6"/>
      <c r="R233" s="12"/>
      <c r="S233" s="7"/>
    </row>
    <row r="234" spans="1:19" x14ac:dyDescent="0.2">
      <c r="A234" s="41">
        <f t="shared" si="19"/>
        <v>6300</v>
      </c>
      <c r="C234" s="41">
        <v>225</v>
      </c>
      <c r="D234" s="15">
        <f t="shared" si="23"/>
        <v>48934</v>
      </c>
      <c r="E234" s="42">
        <f t="shared" si="20"/>
        <v>48962</v>
      </c>
      <c r="F234" s="42"/>
      <c r="G234" s="42"/>
      <c r="H234" s="15"/>
      <c r="I234" s="43">
        <f t="shared" si="18"/>
        <v>48962</v>
      </c>
      <c r="J234" s="44">
        <f>forward($E$4,D234,E234,CURVA!$H$6:H244,CURVA!$G$6:G244)</f>
        <v>2.0015563624537411E-2</v>
      </c>
      <c r="K234" s="44" t="str">
        <f>IFERROR(VLOOKUP(A234,CURVA!$B$8:$F$30,5,0),"")</f>
        <v/>
      </c>
      <c r="L234" s="45">
        <f t="shared" si="21"/>
        <v>7.7777777777777779E-2</v>
      </c>
      <c r="M234" s="46">
        <f>interpola(E234-$E$4,CURVA!$H$6:$H$20,CURVA!$G$6:$G$20)</f>
        <v>0.02</v>
      </c>
      <c r="N234" s="47">
        <f t="shared" si="22"/>
        <v>0.70468808971871344</v>
      </c>
      <c r="O234" s="49" t="str">
        <f>IF(K234="","",SUMPRODUCT($J$10:J234,$L$10:L234,$N$10:N234)*$E$5)</f>
        <v/>
      </c>
      <c r="P234" s="49" t="str">
        <f>IF(K234="","",SUMPRODUCT($L$10:L234,$N$10:N234)*$K234*$E$5)</f>
        <v/>
      </c>
      <c r="Q234" s="6"/>
      <c r="R234" s="12"/>
      <c r="S234" s="7"/>
    </row>
    <row r="235" spans="1:19" x14ac:dyDescent="0.2">
      <c r="A235" s="41">
        <f t="shared" si="19"/>
        <v>6328</v>
      </c>
      <c r="C235" s="41">
        <v>226</v>
      </c>
      <c r="D235" s="15">
        <f t="shared" si="23"/>
        <v>48962</v>
      </c>
      <c r="E235" s="42">
        <f t="shared" si="20"/>
        <v>48990</v>
      </c>
      <c r="F235" s="42"/>
      <c r="G235" s="42"/>
      <c r="H235" s="15"/>
      <c r="I235" s="43">
        <f t="shared" si="18"/>
        <v>48990</v>
      </c>
      <c r="J235" s="44">
        <f>forward($E$4,D235,E235,CURVA!$H$6:H245,CURVA!$G$6:G245)</f>
        <v>2.0015563624537411E-2</v>
      </c>
      <c r="K235" s="44" t="str">
        <f>IFERROR(VLOOKUP(A235,CURVA!$B$8:$F$30,5,0),"")</f>
        <v/>
      </c>
      <c r="L235" s="45">
        <f t="shared" si="21"/>
        <v>7.7777777777777779E-2</v>
      </c>
      <c r="M235" s="46">
        <f>interpola(E235-$E$4,CURVA!$H$6:$H$20,CURVA!$G$6:$G$20)</f>
        <v>0.02</v>
      </c>
      <c r="N235" s="47">
        <f t="shared" si="22"/>
        <v>0.70359276038949814</v>
      </c>
      <c r="O235" s="49" t="str">
        <f>IF(K235="","",SUMPRODUCT($J$10:J235,$L$10:L235,$N$10:N235)*$E$5)</f>
        <v/>
      </c>
      <c r="P235" s="49" t="str">
        <f>IF(K235="","",SUMPRODUCT($L$10:L235,$N$10:N235)*$K235*$E$5)</f>
        <v/>
      </c>
      <c r="Q235" s="6"/>
      <c r="R235" s="12"/>
      <c r="S235" s="7"/>
    </row>
    <row r="236" spans="1:19" x14ac:dyDescent="0.2">
      <c r="A236" s="41">
        <f t="shared" si="19"/>
        <v>6356</v>
      </c>
      <c r="C236" s="41">
        <v>227</v>
      </c>
      <c r="D236" s="15">
        <f t="shared" si="23"/>
        <v>48990</v>
      </c>
      <c r="E236" s="42">
        <f t="shared" si="20"/>
        <v>49018</v>
      </c>
      <c r="F236" s="42"/>
      <c r="G236" s="42"/>
      <c r="H236" s="15"/>
      <c r="I236" s="43">
        <f t="shared" si="18"/>
        <v>49018</v>
      </c>
      <c r="J236" s="44">
        <f>forward($E$4,D236,E236,CURVA!$H$6:H246,CURVA!$G$6:G246)</f>
        <v>2.0015563624537411E-2</v>
      </c>
      <c r="K236" s="44" t="str">
        <f>IFERROR(VLOOKUP(A236,CURVA!$B$8:$F$30,5,0),"")</f>
        <v/>
      </c>
      <c r="L236" s="45">
        <f t="shared" si="21"/>
        <v>7.7777777777777779E-2</v>
      </c>
      <c r="M236" s="46">
        <f>interpola(E236-$E$4,CURVA!$H$6:$H$20,CURVA!$G$6:$G$20)</f>
        <v>0.02</v>
      </c>
      <c r="N236" s="47">
        <f t="shared" si="22"/>
        <v>0.70249913358137972</v>
      </c>
      <c r="O236" s="49" t="str">
        <f>IF(K236="","",SUMPRODUCT($J$10:J236,$L$10:L236,$N$10:N236)*$E$5)</f>
        <v/>
      </c>
      <c r="P236" s="49" t="str">
        <f>IF(K236="","",SUMPRODUCT($L$10:L236,$N$10:N236)*$K236*$E$5)</f>
        <v/>
      </c>
      <c r="Q236" s="6"/>
      <c r="R236" s="12"/>
      <c r="S236" s="7"/>
    </row>
    <row r="237" spans="1:19" x14ac:dyDescent="0.2">
      <c r="A237" s="41">
        <f t="shared" si="19"/>
        <v>6384</v>
      </c>
      <c r="C237" s="41">
        <v>228</v>
      </c>
      <c r="D237" s="15">
        <f t="shared" si="23"/>
        <v>49018</v>
      </c>
      <c r="E237" s="42">
        <f t="shared" si="20"/>
        <v>49046</v>
      </c>
      <c r="F237" s="42"/>
      <c r="G237" s="42"/>
      <c r="H237" s="15"/>
      <c r="I237" s="43">
        <f t="shared" si="18"/>
        <v>49046</v>
      </c>
      <c r="J237" s="44">
        <f>forward($E$4,D237,E237,CURVA!$H$6:H247,CURVA!$G$6:G247)</f>
        <v>2.0015563624537411E-2</v>
      </c>
      <c r="K237" s="44" t="str">
        <f>IFERROR(VLOOKUP(A237,CURVA!$B$8:$F$30,5,0),"")</f>
        <v/>
      </c>
      <c r="L237" s="45">
        <f t="shared" si="21"/>
        <v>7.7777777777777779E-2</v>
      </c>
      <c r="M237" s="46">
        <f>interpola(E237-$E$4,CURVA!$H$6:$H$20,CURVA!$G$6:$G$20)</f>
        <v>0.02</v>
      </c>
      <c r="N237" s="47">
        <f t="shared" si="22"/>
        <v>0.70140720664805067</v>
      </c>
      <c r="O237" s="49" t="str">
        <f>IF(K237="","",SUMPRODUCT($J$10:J237,$L$10:L237,$N$10:N237)*$E$5)</f>
        <v/>
      </c>
      <c r="P237" s="49" t="str">
        <f>IF(K237="","",SUMPRODUCT($L$10:L237,$N$10:N237)*$K237*$E$5)</f>
        <v/>
      </c>
      <c r="Q237" s="6"/>
      <c r="R237" s="12"/>
      <c r="S237" s="7"/>
    </row>
    <row r="238" spans="1:19" x14ac:dyDescent="0.2">
      <c r="A238" s="41">
        <f t="shared" si="19"/>
        <v>6412</v>
      </c>
      <c r="C238" s="41">
        <v>229</v>
      </c>
      <c r="D238" s="15">
        <f t="shared" si="23"/>
        <v>49046</v>
      </c>
      <c r="E238" s="42">
        <f t="shared" si="20"/>
        <v>49074</v>
      </c>
      <c r="F238" s="42"/>
      <c r="G238" s="42"/>
      <c r="H238" s="15"/>
      <c r="I238" s="43">
        <f t="shared" si="18"/>
        <v>49074</v>
      </c>
      <c r="J238" s="44">
        <f>forward($E$4,D238,E238,CURVA!$H$6:H248,CURVA!$G$6:G248)</f>
        <v>2.0015563624537411E-2</v>
      </c>
      <c r="K238" s="44" t="str">
        <f>IFERROR(VLOOKUP(A238,CURVA!$B$8:$F$30,5,0),"")</f>
        <v/>
      </c>
      <c r="L238" s="45">
        <f t="shared" si="21"/>
        <v>7.7777777777777779E-2</v>
      </c>
      <c r="M238" s="46">
        <f>interpola(E238-$E$4,CURVA!$H$6:$H$20,CURVA!$G$6:$G$20)</f>
        <v>0.02</v>
      </c>
      <c r="N238" s="47">
        <f t="shared" si="22"/>
        <v>0.70031697694731698</v>
      </c>
      <c r="O238" s="49" t="str">
        <f>IF(K238="","",SUMPRODUCT($J$10:J238,$L$10:L238,$N$10:N238)*$E$5)</f>
        <v/>
      </c>
      <c r="P238" s="49" t="str">
        <f>IF(K238="","",SUMPRODUCT($L$10:L238,$N$10:N238)*$K238*$E$5)</f>
        <v/>
      </c>
      <c r="Q238" s="6"/>
      <c r="R238" s="12"/>
      <c r="S238" s="7"/>
    </row>
    <row r="239" spans="1:19" x14ac:dyDescent="0.2">
      <c r="A239" s="41">
        <f t="shared" si="19"/>
        <v>6440</v>
      </c>
      <c r="C239" s="41">
        <v>230</v>
      </c>
      <c r="D239" s="15">
        <f t="shared" si="23"/>
        <v>49074</v>
      </c>
      <c r="E239" s="42">
        <f t="shared" si="20"/>
        <v>49102</v>
      </c>
      <c r="F239" s="42"/>
      <c r="G239" s="42"/>
      <c r="H239" s="15"/>
      <c r="I239" s="43">
        <f t="shared" si="18"/>
        <v>49102</v>
      </c>
      <c r="J239" s="44">
        <f>forward($E$4,D239,E239,CURVA!$H$6:H249,CURVA!$G$6:G249)</f>
        <v>2.0015563624537411E-2</v>
      </c>
      <c r="K239" s="44" t="str">
        <f>IFERROR(VLOOKUP(A239,CURVA!$B$8:$F$30,5,0),"")</f>
        <v/>
      </c>
      <c r="L239" s="45">
        <f t="shared" si="21"/>
        <v>7.7777777777777779E-2</v>
      </c>
      <c r="M239" s="46">
        <f>interpola(E239-$E$4,CURVA!$H$6:$H$20,CURVA!$G$6:$G$20)</f>
        <v>0.02</v>
      </c>
      <c r="N239" s="47">
        <f t="shared" si="22"/>
        <v>0.69922844184109156</v>
      </c>
      <c r="O239" s="49" t="str">
        <f>IF(K239="","",SUMPRODUCT($J$10:J239,$L$10:L239,$N$10:N239)*$E$5)</f>
        <v/>
      </c>
      <c r="P239" s="49" t="str">
        <f>IF(K239="","",SUMPRODUCT($L$10:L239,$N$10:N239)*$K239*$E$5)</f>
        <v/>
      </c>
      <c r="Q239" s="6"/>
      <c r="R239" s="12"/>
      <c r="S239" s="7"/>
    </row>
    <row r="240" spans="1:19" x14ac:dyDescent="0.2">
      <c r="A240" s="41">
        <f t="shared" si="19"/>
        <v>6468</v>
      </c>
      <c r="C240" s="41">
        <v>231</v>
      </c>
      <c r="D240" s="15">
        <f t="shared" si="23"/>
        <v>49102</v>
      </c>
      <c r="E240" s="42">
        <f t="shared" si="20"/>
        <v>49130</v>
      </c>
      <c r="F240" s="42"/>
      <c r="G240" s="42"/>
      <c r="H240" s="15"/>
      <c r="I240" s="43">
        <f t="shared" si="18"/>
        <v>49130</v>
      </c>
      <c r="J240" s="44">
        <f>forward($E$4,D240,E240,CURVA!$H$6:H250,CURVA!$G$6:G250)</f>
        <v>2.0015563624537411E-2</v>
      </c>
      <c r="K240" s="44" t="str">
        <f>IFERROR(VLOOKUP(A240,CURVA!$B$8:$F$30,5,0),"")</f>
        <v/>
      </c>
      <c r="L240" s="45">
        <f t="shared" si="21"/>
        <v>7.7777777777777779E-2</v>
      </c>
      <c r="M240" s="46">
        <f>interpola(E240-$E$4,CURVA!$H$6:$H$20,CURVA!$G$6:$G$20)</f>
        <v>0.02</v>
      </c>
      <c r="N240" s="47">
        <f t="shared" si="22"/>
        <v>0.6981415986953875</v>
      </c>
      <c r="O240" s="49" t="str">
        <f>IF(K240="","",SUMPRODUCT($J$10:J240,$L$10:L240,$N$10:N240)*$E$5)</f>
        <v/>
      </c>
      <c r="P240" s="49" t="str">
        <f>IF(K240="","",SUMPRODUCT($L$10:L240,$N$10:N240)*$K240*$E$5)</f>
        <v/>
      </c>
      <c r="Q240" s="6"/>
      <c r="R240" s="12"/>
      <c r="S240" s="7"/>
    </row>
    <row r="241" spans="1:19" x14ac:dyDescent="0.2">
      <c r="A241" s="41">
        <f t="shared" si="19"/>
        <v>6496</v>
      </c>
      <c r="C241" s="41">
        <v>232</v>
      </c>
      <c r="D241" s="15">
        <f t="shared" si="23"/>
        <v>49130</v>
      </c>
      <c r="E241" s="42">
        <f t="shared" si="20"/>
        <v>49158</v>
      </c>
      <c r="F241" s="42"/>
      <c r="G241" s="42"/>
      <c r="H241" s="15"/>
      <c r="I241" s="43">
        <f t="shared" si="18"/>
        <v>49158</v>
      </c>
      <c r="J241" s="44">
        <f>forward($E$4,D241,E241,CURVA!$H$6:H251,CURVA!$G$6:G251)</f>
        <v>2.0015563624537411E-2</v>
      </c>
      <c r="K241" s="44" t="str">
        <f>IFERROR(VLOOKUP(A241,CURVA!$B$8:$F$30,5,0),"")</f>
        <v/>
      </c>
      <c r="L241" s="45">
        <f t="shared" si="21"/>
        <v>7.7777777777777779E-2</v>
      </c>
      <c r="M241" s="46">
        <f>interpola(E241-$E$4,CURVA!$H$6:$H$20,CURVA!$G$6:$G$20)</f>
        <v>0.02</v>
      </c>
      <c r="N241" s="47">
        <f t="shared" si="22"/>
        <v>0.69705644488031238</v>
      </c>
      <c r="O241" s="49" t="str">
        <f>IF(K241="","",SUMPRODUCT($J$10:J241,$L$10:L241,$N$10:N241)*$E$5)</f>
        <v/>
      </c>
      <c r="P241" s="49" t="str">
        <f>IF(K241="","",SUMPRODUCT($L$10:L241,$N$10:N241)*$K241*$E$5)</f>
        <v/>
      </c>
      <c r="Q241" s="6"/>
      <c r="R241" s="12"/>
      <c r="S241" s="7"/>
    </row>
    <row r="242" spans="1:19" x14ac:dyDescent="0.2">
      <c r="A242" s="41">
        <f t="shared" si="19"/>
        <v>6524</v>
      </c>
      <c r="C242" s="41">
        <v>233</v>
      </c>
      <c r="D242" s="15">
        <f t="shared" si="23"/>
        <v>49158</v>
      </c>
      <c r="E242" s="42">
        <f t="shared" si="20"/>
        <v>49186</v>
      </c>
      <c r="F242" s="42"/>
      <c r="G242" s="42"/>
      <c r="H242" s="15"/>
      <c r="I242" s="43">
        <f t="shared" si="18"/>
        <v>49186</v>
      </c>
      <c r="J242" s="44">
        <f>forward($E$4,D242,E242,CURVA!$H$6:H252,CURVA!$G$6:G252)</f>
        <v>2.0015563624537411E-2</v>
      </c>
      <c r="K242" s="44" t="str">
        <f>IFERROR(VLOOKUP(A242,CURVA!$B$8:$F$30,5,0),"")</f>
        <v/>
      </c>
      <c r="L242" s="45">
        <f t="shared" si="21"/>
        <v>7.7777777777777779E-2</v>
      </c>
      <c r="M242" s="46">
        <f>interpola(E242-$E$4,CURVA!$H$6:$H$20,CURVA!$G$6:$G$20)</f>
        <v>0.02</v>
      </c>
      <c r="N242" s="47">
        <f t="shared" si="22"/>
        <v>0.69597297777006117</v>
      </c>
      <c r="O242" s="49" t="str">
        <f>IF(K242="","",SUMPRODUCT($J$10:J242,$L$10:L242,$N$10:N242)*$E$5)</f>
        <v/>
      </c>
      <c r="P242" s="49" t="str">
        <f>IF(K242="","",SUMPRODUCT($L$10:L242,$N$10:N242)*$K242*$E$5)</f>
        <v/>
      </c>
      <c r="Q242" s="6"/>
      <c r="R242" s="12"/>
      <c r="S242" s="7"/>
    </row>
    <row r="243" spans="1:19" x14ac:dyDescent="0.2">
      <c r="A243" s="41">
        <f t="shared" si="19"/>
        <v>6552</v>
      </c>
      <c r="C243" s="41">
        <v>234</v>
      </c>
      <c r="D243" s="15">
        <f t="shared" si="23"/>
        <v>49186</v>
      </c>
      <c r="E243" s="42">
        <f t="shared" si="20"/>
        <v>49214</v>
      </c>
      <c r="F243" s="42"/>
      <c r="G243" s="42"/>
      <c r="H243" s="15"/>
      <c r="I243" s="43">
        <f t="shared" si="18"/>
        <v>49214</v>
      </c>
      <c r="J243" s="44">
        <f>forward($E$4,D243,E243,CURVA!$H$6:H253,CURVA!$G$6:G253)</f>
        <v>2.0015563624537411E-2</v>
      </c>
      <c r="K243" s="44" t="str">
        <f>IFERROR(VLOOKUP(A243,CURVA!$B$8:$F$30,5,0),"")</f>
        <v/>
      </c>
      <c r="L243" s="45">
        <f t="shared" si="21"/>
        <v>7.7777777777777779E-2</v>
      </c>
      <c r="M243" s="46">
        <f>interpola(E243-$E$4,CURVA!$H$6:$H$20,CURVA!$G$6:$G$20)</f>
        <v>0.02</v>
      </c>
      <c r="N243" s="47">
        <f t="shared" si="22"/>
        <v>0.69489119474291061</v>
      </c>
      <c r="O243" s="49" t="str">
        <f>IF(K243="","",SUMPRODUCT($J$10:J243,$L$10:L243,$N$10:N243)*$E$5)</f>
        <v/>
      </c>
      <c r="P243" s="49" t="str">
        <f>IF(K243="","",SUMPRODUCT($L$10:L243,$N$10:N243)*$K243*$E$5)</f>
        <v/>
      </c>
      <c r="Q243" s="6"/>
      <c r="R243" s="12"/>
      <c r="S243" s="7"/>
    </row>
    <row r="244" spans="1:19" x14ac:dyDescent="0.2">
      <c r="A244" s="41">
        <f t="shared" si="19"/>
        <v>6580</v>
      </c>
      <c r="C244" s="41">
        <v>235</v>
      </c>
      <c r="D244" s="15">
        <f t="shared" si="23"/>
        <v>49214</v>
      </c>
      <c r="E244" s="42">
        <f t="shared" si="20"/>
        <v>49242</v>
      </c>
      <c r="F244" s="42"/>
      <c r="G244" s="42"/>
      <c r="H244" s="15"/>
      <c r="I244" s="43">
        <f t="shared" si="18"/>
        <v>49242</v>
      </c>
      <c r="J244" s="44">
        <f>forward($E$4,D244,E244,CURVA!$H$6:H254,CURVA!$G$6:G254)</f>
        <v>2.0015563624537411E-2</v>
      </c>
      <c r="K244" s="44" t="str">
        <f>IFERROR(VLOOKUP(A244,CURVA!$B$8:$F$30,5,0),"")</f>
        <v/>
      </c>
      <c r="L244" s="45">
        <f t="shared" si="21"/>
        <v>7.7777777777777779E-2</v>
      </c>
      <c r="M244" s="46">
        <f>interpola(E244-$E$4,CURVA!$H$6:$H$20,CURVA!$G$6:$G$20)</f>
        <v>0.02</v>
      </c>
      <c r="N244" s="47">
        <f t="shared" si="22"/>
        <v>0.69381109318121237</v>
      </c>
      <c r="O244" s="49" t="str">
        <f>IF(K244="","",SUMPRODUCT($J$10:J244,$L$10:L244,$N$10:N244)*$E$5)</f>
        <v/>
      </c>
      <c r="P244" s="49" t="str">
        <f>IF(K244="","",SUMPRODUCT($L$10:L244,$N$10:N244)*$K244*$E$5)</f>
        <v/>
      </c>
      <c r="Q244" s="6"/>
      <c r="R244" s="12"/>
      <c r="S244" s="7"/>
    </row>
    <row r="245" spans="1:19" x14ac:dyDescent="0.2">
      <c r="A245" s="41">
        <f t="shared" si="19"/>
        <v>6608</v>
      </c>
      <c r="C245" s="41">
        <v>236</v>
      </c>
      <c r="D245" s="15">
        <f t="shared" si="23"/>
        <v>49242</v>
      </c>
      <c r="E245" s="42">
        <f t="shared" si="20"/>
        <v>49270</v>
      </c>
      <c r="F245" s="42"/>
      <c r="G245" s="42"/>
      <c r="H245" s="15"/>
      <c r="I245" s="43">
        <f t="shared" si="18"/>
        <v>49270</v>
      </c>
      <c r="J245" s="44">
        <f>forward($E$4,D245,E245,CURVA!$H$6:H255,CURVA!$G$6:G255)</f>
        <v>2.0015563624537411E-2</v>
      </c>
      <c r="K245" s="44" t="str">
        <f>IFERROR(VLOOKUP(A245,CURVA!$B$8:$F$30,5,0),"")</f>
        <v/>
      </c>
      <c r="L245" s="45">
        <f t="shared" si="21"/>
        <v>7.7777777777777779E-2</v>
      </c>
      <c r="M245" s="46">
        <f>interpola(E245-$E$4,CURVA!$H$6:$H$20,CURVA!$G$6:$G$20)</f>
        <v>0.02</v>
      </c>
      <c r="N245" s="47">
        <f t="shared" si="22"/>
        <v>0.69273267047138665</v>
      </c>
      <c r="O245" s="49" t="str">
        <f>IF(K245="","",SUMPRODUCT($J$10:J245,$L$10:L245,$N$10:N245)*$E$5)</f>
        <v/>
      </c>
      <c r="P245" s="49" t="str">
        <f>IF(K245="","",SUMPRODUCT($L$10:L245,$N$10:N245)*$K245*$E$5)</f>
        <v/>
      </c>
      <c r="Q245" s="6"/>
      <c r="R245" s="12"/>
      <c r="S245" s="7"/>
    </row>
    <row r="246" spans="1:19" x14ac:dyDescent="0.2">
      <c r="A246" s="41">
        <f t="shared" si="19"/>
        <v>6636</v>
      </c>
      <c r="C246" s="41">
        <v>237</v>
      </c>
      <c r="D246" s="15">
        <f t="shared" si="23"/>
        <v>49270</v>
      </c>
      <c r="E246" s="42">
        <f t="shared" si="20"/>
        <v>49298</v>
      </c>
      <c r="F246" s="42"/>
      <c r="G246" s="42"/>
      <c r="H246" s="15"/>
      <c r="I246" s="43">
        <f t="shared" si="18"/>
        <v>49298</v>
      </c>
      <c r="J246" s="44">
        <f>forward($E$4,D246,E246,CURVA!$H$6:H256,CURVA!$G$6:G256)</f>
        <v>2.0015563624537411E-2</v>
      </c>
      <c r="K246" s="44" t="str">
        <f>IFERROR(VLOOKUP(A246,CURVA!$B$8:$F$30,5,0),"")</f>
        <v/>
      </c>
      <c r="L246" s="45">
        <f t="shared" si="21"/>
        <v>7.7777777777777779E-2</v>
      </c>
      <c r="M246" s="46">
        <f>interpola(E246-$E$4,CURVA!$H$6:$H$20,CURVA!$G$6:$G$20)</f>
        <v>0.02</v>
      </c>
      <c r="N246" s="47">
        <f t="shared" si="22"/>
        <v>0.69165592400391651</v>
      </c>
      <c r="O246" s="49" t="str">
        <f>IF(K246="","",SUMPRODUCT($J$10:J246,$L$10:L246,$N$10:N246)*$E$5)</f>
        <v/>
      </c>
      <c r="P246" s="49" t="str">
        <f>IF(K246="","",SUMPRODUCT($L$10:L246,$N$10:N246)*$K246*$E$5)</f>
        <v/>
      </c>
      <c r="Q246" s="6"/>
      <c r="R246" s="12"/>
      <c r="S246" s="7"/>
    </row>
    <row r="247" spans="1:19" x14ac:dyDescent="0.2">
      <c r="A247" s="41">
        <f t="shared" si="19"/>
        <v>6664</v>
      </c>
      <c r="C247" s="41">
        <v>238</v>
      </c>
      <c r="D247" s="15">
        <f t="shared" si="23"/>
        <v>49298</v>
      </c>
      <c r="E247" s="42">
        <f t="shared" si="20"/>
        <v>49326</v>
      </c>
      <c r="F247" s="42"/>
      <c r="G247" s="42"/>
      <c r="H247" s="15"/>
      <c r="I247" s="43">
        <f t="shared" si="18"/>
        <v>49326</v>
      </c>
      <c r="J247" s="44">
        <f>forward($E$4,D247,E247,CURVA!$H$6:H257,CURVA!$G$6:G257)</f>
        <v>2.0015563624537411E-2</v>
      </c>
      <c r="K247" s="44" t="str">
        <f>IFERROR(VLOOKUP(A247,CURVA!$B$8:$F$30,5,0),"")</f>
        <v/>
      </c>
      <c r="L247" s="45">
        <f t="shared" si="21"/>
        <v>7.7777777777777779E-2</v>
      </c>
      <c r="M247" s="46">
        <f>interpola(E247-$E$4,CURVA!$H$6:$H$20,CURVA!$G$6:$G$20)</f>
        <v>0.02</v>
      </c>
      <c r="N247" s="47">
        <f t="shared" si="22"/>
        <v>0.69058085117334067</v>
      </c>
      <c r="O247" s="49" t="str">
        <f>IF(K247="","",SUMPRODUCT($J$10:J247,$L$10:L247,$N$10:N247)*$E$5)</f>
        <v/>
      </c>
      <c r="P247" s="49" t="str">
        <f>IF(K247="","",SUMPRODUCT($L$10:L247,$N$10:N247)*$K247*$E$5)</f>
        <v/>
      </c>
      <c r="Q247" s="6"/>
      <c r="R247" s="12"/>
      <c r="S247" s="7"/>
    </row>
    <row r="248" spans="1:19" x14ac:dyDescent="0.2">
      <c r="A248" s="41">
        <f t="shared" si="19"/>
        <v>6692</v>
      </c>
      <c r="C248" s="41">
        <v>239</v>
      </c>
      <c r="D248" s="15">
        <f t="shared" si="23"/>
        <v>49326</v>
      </c>
      <c r="E248" s="42">
        <f t="shared" si="20"/>
        <v>49354</v>
      </c>
      <c r="F248" s="42"/>
      <c r="G248" s="42"/>
      <c r="H248" s="15"/>
      <c r="I248" s="43">
        <f t="shared" si="18"/>
        <v>49354</v>
      </c>
      <c r="J248" s="44">
        <f>forward($E$4,D248,E248,CURVA!$H$6:H258,CURVA!$G$6:G258)</f>
        <v>2.0015563624537411E-2</v>
      </c>
      <c r="K248" s="44" t="str">
        <f>IFERROR(VLOOKUP(A248,CURVA!$B$8:$F$30,5,0),"")</f>
        <v/>
      </c>
      <c r="L248" s="45">
        <f t="shared" si="21"/>
        <v>7.7777777777777779E-2</v>
      </c>
      <c r="M248" s="46">
        <f>interpola(E248-$E$4,CURVA!$H$6:$H$20,CURVA!$G$6:$G$20)</f>
        <v>0.02</v>
      </c>
      <c r="N248" s="47">
        <f t="shared" si="22"/>
        <v>0.68950744937824782</v>
      </c>
      <c r="O248" s="49" t="str">
        <f>IF(K248="","",SUMPRODUCT($J$10:J248,$L$10:L248,$N$10:N248)*$E$5)</f>
        <v/>
      </c>
      <c r="P248" s="49" t="str">
        <f>IF(K248="","",SUMPRODUCT($L$10:L248,$N$10:N248)*$K248*$E$5)</f>
        <v/>
      </c>
      <c r="Q248" s="6"/>
      <c r="R248" s="12"/>
      <c r="S248" s="7"/>
    </row>
    <row r="249" spans="1:19" x14ac:dyDescent="0.2">
      <c r="A249" s="41">
        <f t="shared" si="19"/>
        <v>6720</v>
      </c>
      <c r="C249" s="41">
        <v>240</v>
      </c>
      <c r="D249" s="15">
        <f t="shared" si="23"/>
        <v>49354</v>
      </c>
      <c r="E249" s="42">
        <f t="shared" si="20"/>
        <v>49382</v>
      </c>
      <c r="F249" s="42"/>
      <c r="G249" s="42"/>
      <c r="H249" s="15"/>
      <c r="I249" s="43">
        <f t="shared" si="18"/>
        <v>49382</v>
      </c>
      <c r="J249" s="44">
        <f>forward($E$4,D249,E249,CURVA!$H$6:H259,CURVA!$G$6:G259)</f>
        <v>2.0015563624537411E-2</v>
      </c>
      <c r="K249" s="44">
        <f>IFERROR(VLOOKUP(A249,CURVA!$B$8:$F$30,5,0),"")</f>
        <v>1.494E-2</v>
      </c>
      <c r="L249" s="45">
        <f t="shared" si="21"/>
        <v>7.7777777777777779E-2</v>
      </c>
      <c r="M249" s="46">
        <f>interpola(E249-$E$4,CURVA!$H$6:$H$20,CURVA!$G$6:$G$20)</f>
        <v>0.02</v>
      </c>
      <c r="N249" s="47">
        <f t="shared" si="22"/>
        <v>0.68843571602127007</v>
      </c>
      <c r="O249" s="49">
        <f>IF(K249="","",SUMPRODUCT($J$10:J249,$L$10:L249,$N$10:N249)*$E$5)</f>
        <v>311564.28397873807</v>
      </c>
      <c r="P249" s="49">
        <f>IF(K249="","",SUMPRODUCT($L$10:L249,$N$10:N249)*$K249*$E$5)</f>
        <v>232557.77241921134</v>
      </c>
      <c r="Q249" s="6"/>
      <c r="R249" s="12"/>
      <c r="S249" s="7"/>
    </row>
    <row r="250" spans="1:19" x14ac:dyDescent="0.2">
      <c r="A250" s="41">
        <f t="shared" si="19"/>
        <v>6748</v>
      </c>
      <c r="C250" s="41">
        <v>241</v>
      </c>
      <c r="D250" s="15">
        <f t="shared" si="23"/>
        <v>49382</v>
      </c>
      <c r="E250" s="42">
        <f t="shared" si="20"/>
        <v>49410</v>
      </c>
      <c r="F250" s="42"/>
      <c r="G250" s="42"/>
      <c r="H250" s="15"/>
      <c r="I250" s="43">
        <f t="shared" si="18"/>
        <v>49410</v>
      </c>
      <c r="J250" s="44">
        <f>forward($E$4,D250,E250,CURVA!$H$6:H260,CURVA!$G$6:G260)</f>
        <v>2.0015563624537411E-2</v>
      </c>
      <c r="K250" s="44" t="str">
        <f>IFERROR(VLOOKUP(A250,CURVA!$B$8:$F$30,5,0),"")</f>
        <v/>
      </c>
      <c r="L250" s="45">
        <f t="shared" si="21"/>
        <v>7.7777777777777779E-2</v>
      </c>
      <c r="M250" s="46">
        <f>interpola(E250-$E$4,CURVA!$H$6:$H$20,CURVA!$G$6:$G$20)</f>
        <v>0.02</v>
      </c>
      <c r="N250" s="47">
        <f t="shared" si="22"/>
        <v>0.68736564850907689</v>
      </c>
      <c r="O250" s="49" t="str">
        <f>IF(K250="","",SUMPRODUCT($J$10:J250,$L$10:L250,$N$10:N250)*$E$5)</f>
        <v/>
      </c>
      <c r="P250" s="49" t="str">
        <f>IF(K250="","",SUMPRODUCT($L$10:L250,$N$10:N250)*$K250*$E$5)</f>
        <v/>
      </c>
      <c r="Q250" s="6"/>
      <c r="R250" s="12"/>
      <c r="S250" s="7"/>
    </row>
    <row r="251" spans="1:19" x14ac:dyDescent="0.2">
      <c r="A251" s="41">
        <f t="shared" si="19"/>
        <v>6776</v>
      </c>
      <c r="C251" s="41">
        <v>242</v>
      </c>
      <c r="D251" s="15">
        <f t="shared" si="23"/>
        <v>49410</v>
      </c>
      <c r="E251" s="42">
        <f t="shared" si="20"/>
        <v>49438</v>
      </c>
      <c r="F251" s="42"/>
      <c r="G251" s="42"/>
      <c r="H251" s="15"/>
      <c r="I251" s="43">
        <f t="shared" si="18"/>
        <v>49438</v>
      </c>
      <c r="J251" s="44">
        <f>forward($E$4,D251,E251,CURVA!$H$6:H261,CURVA!$G$6:G261)</f>
        <v>2.0015563624537411E-2</v>
      </c>
      <c r="K251" s="44" t="str">
        <f>IFERROR(VLOOKUP(A251,CURVA!$B$8:$F$30,5,0),"")</f>
        <v/>
      </c>
      <c r="L251" s="45">
        <f t="shared" si="21"/>
        <v>7.7777777777777779E-2</v>
      </c>
      <c r="M251" s="46">
        <f>interpola(E251-$E$4,CURVA!$H$6:$H$20,CURVA!$G$6:$G$20)</f>
        <v>0.02</v>
      </c>
      <c r="N251" s="47">
        <f t="shared" si="22"/>
        <v>0.68629724425236871</v>
      </c>
      <c r="O251" s="49" t="str">
        <f>IF(K251="","",SUMPRODUCT($J$10:J251,$L$10:L251,$N$10:N251)*$E$5)</f>
        <v/>
      </c>
      <c r="P251" s="49" t="str">
        <f>IF(K251="","",SUMPRODUCT($L$10:L251,$N$10:N251)*$K251*$E$5)</f>
        <v/>
      </c>
      <c r="Q251" s="6"/>
      <c r="R251" s="12"/>
      <c r="S251" s="7"/>
    </row>
    <row r="252" spans="1:19" x14ac:dyDescent="0.2">
      <c r="A252" s="41">
        <f t="shared" si="19"/>
        <v>6804</v>
      </c>
      <c r="C252" s="41">
        <v>243</v>
      </c>
      <c r="D252" s="15">
        <f t="shared" si="23"/>
        <v>49438</v>
      </c>
      <c r="E252" s="42">
        <f t="shared" si="20"/>
        <v>49466</v>
      </c>
      <c r="F252" s="42"/>
      <c r="G252" s="42"/>
      <c r="H252" s="15"/>
      <c r="I252" s="43">
        <f t="shared" si="18"/>
        <v>49466</v>
      </c>
      <c r="J252" s="44">
        <f>forward($E$4,D252,E252,CURVA!$H$6:H262,CURVA!$G$6:G262)</f>
        <v>2.0015563624537411E-2</v>
      </c>
      <c r="K252" s="44" t="str">
        <f>IFERROR(VLOOKUP(A252,CURVA!$B$8:$F$30,5,0),"")</f>
        <v/>
      </c>
      <c r="L252" s="45">
        <f t="shared" si="21"/>
        <v>7.7777777777777779E-2</v>
      </c>
      <c r="M252" s="46">
        <f>interpola(E252-$E$4,CURVA!$H$6:$H$20,CURVA!$G$6:$G$20)</f>
        <v>0.02</v>
      </c>
      <c r="N252" s="47">
        <f t="shared" si="22"/>
        <v>0.68523050066587021</v>
      </c>
      <c r="O252" s="49" t="str">
        <f>IF(K252="","",SUMPRODUCT($J$10:J252,$L$10:L252,$N$10:N252)*$E$5)</f>
        <v/>
      </c>
      <c r="P252" s="49" t="str">
        <f>IF(K252="","",SUMPRODUCT($L$10:L252,$N$10:N252)*$K252*$E$5)</f>
        <v/>
      </c>
      <c r="Q252" s="6"/>
      <c r="R252" s="12"/>
      <c r="S252" s="7"/>
    </row>
    <row r="253" spans="1:19" x14ac:dyDescent="0.2">
      <c r="A253" s="41">
        <f t="shared" si="19"/>
        <v>6832</v>
      </c>
      <c r="C253" s="41">
        <v>244</v>
      </c>
      <c r="D253" s="15">
        <f t="shared" si="23"/>
        <v>49466</v>
      </c>
      <c r="E253" s="42">
        <f t="shared" si="20"/>
        <v>49494</v>
      </c>
      <c r="F253" s="42"/>
      <c r="G253" s="42"/>
      <c r="H253" s="15"/>
      <c r="I253" s="43">
        <f t="shared" si="18"/>
        <v>49494</v>
      </c>
      <c r="J253" s="44">
        <f>forward($E$4,D253,E253,CURVA!$H$6:H263,CURVA!$G$6:G263)</f>
        <v>2.0015563624537411E-2</v>
      </c>
      <c r="K253" s="44" t="str">
        <f>IFERROR(VLOOKUP(A253,CURVA!$B$8:$F$30,5,0),"")</f>
        <v/>
      </c>
      <c r="L253" s="45">
        <f t="shared" si="21"/>
        <v>7.7777777777777779E-2</v>
      </c>
      <c r="M253" s="46">
        <f>interpola(E253-$E$4,CURVA!$H$6:$H$20,CURVA!$G$6:$G$20)</f>
        <v>0.02</v>
      </c>
      <c r="N253" s="47">
        <f t="shared" si="22"/>
        <v>0.68416541516832508</v>
      </c>
      <c r="O253" s="49" t="str">
        <f>IF(K253="","",SUMPRODUCT($J$10:J253,$L$10:L253,$N$10:N253)*$E$5)</f>
        <v/>
      </c>
      <c r="P253" s="49" t="str">
        <f>IF(K253="","",SUMPRODUCT($L$10:L253,$N$10:N253)*$K253*$E$5)</f>
        <v/>
      </c>
      <c r="Q253" s="6"/>
      <c r="R253" s="12"/>
      <c r="S253" s="7"/>
    </row>
    <row r="254" spans="1:19" x14ac:dyDescent="0.2">
      <c r="A254" s="41">
        <f t="shared" si="19"/>
        <v>6860</v>
      </c>
      <c r="C254" s="41">
        <v>245</v>
      </c>
      <c r="D254" s="15">
        <f t="shared" si="23"/>
        <v>49494</v>
      </c>
      <c r="E254" s="42">
        <f t="shared" si="20"/>
        <v>49522</v>
      </c>
      <c r="F254" s="42"/>
      <c r="G254" s="42"/>
      <c r="H254" s="15"/>
      <c r="I254" s="43">
        <f t="shared" si="18"/>
        <v>49522</v>
      </c>
      <c r="J254" s="44">
        <f>forward($E$4,D254,E254,CURVA!$H$6:H264,CURVA!$G$6:G264)</f>
        <v>2.0015563624537411E-2</v>
      </c>
      <c r="K254" s="44" t="str">
        <f>IFERROR(VLOOKUP(A254,CURVA!$B$8:$F$30,5,0),"")</f>
        <v/>
      </c>
      <c r="L254" s="45">
        <f t="shared" si="21"/>
        <v>7.7777777777777779E-2</v>
      </c>
      <c r="M254" s="46">
        <f>interpola(E254-$E$4,CURVA!$H$6:$H$20,CURVA!$G$6:$G$20)</f>
        <v>0.02</v>
      </c>
      <c r="N254" s="47">
        <f t="shared" si="22"/>
        <v>0.68310198518248877</v>
      </c>
      <c r="O254" s="49" t="str">
        <f>IF(K254="","",SUMPRODUCT($J$10:J254,$L$10:L254,$N$10:N254)*$E$5)</f>
        <v/>
      </c>
      <c r="P254" s="49" t="str">
        <f>IF(K254="","",SUMPRODUCT($L$10:L254,$N$10:N254)*$K254*$E$5)</f>
        <v/>
      </c>
      <c r="Q254" s="6"/>
      <c r="R254" s="12"/>
      <c r="S254" s="7"/>
    </row>
    <row r="255" spans="1:19" x14ac:dyDescent="0.2">
      <c r="A255" s="41">
        <f t="shared" si="19"/>
        <v>6888</v>
      </c>
      <c r="C255" s="41">
        <v>246</v>
      </c>
      <c r="D255" s="15">
        <f t="shared" si="23"/>
        <v>49522</v>
      </c>
      <c r="E255" s="42">
        <f t="shared" si="20"/>
        <v>49550</v>
      </c>
      <c r="F255" s="42"/>
      <c r="G255" s="42"/>
      <c r="H255" s="15"/>
      <c r="I255" s="43">
        <f t="shared" si="18"/>
        <v>49550</v>
      </c>
      <c r="J255" s="44">
        <f>forward($E$4,D255,E255,CURVA!$H$6:H265,CURVA!$G$6:G265)</f>
        <v>2.0015563624537411E-2</v>
      </c>
      <c r="K255" s="44" t="str">
        <f>IFERROR(VLOOKUP(A255,CURVA!$B$8:$F$30,5,0),"")</f>
        <v/>
      </c>
      <c r="L255" s="45">
        <f t="shared" si="21"/>
        <v>7.7777777777777779E-2</v>
      </c>
      <c r="M255" s="46">
        <f>interpola(E255-$E$4,CURVA!$H$6:$H$20,CURVA!$G$6:$G$20)</f>
        <v>0.02</v>
      </c>
      <c r="N255" s="47">
        <f t="shared" si="22"/>
        <v>0.68204020813512267</v>
      </c>
      <c r="O255" s="49" t="str">
        <f>IF(K255="","",SUMPRODUCT($J$10:J255,$L$10:L255,$N$10:N255)*$E$5)</f>
        <v/>
      </c>
      <c r="P255" s="49" t="str">
        <f>IF(K255="","",SUMPRODUCT($L$10:L255,$N$10:N255)*$K255*$E$5)</f>
        <v/>
      </c>
      <c r="Q255" s="6"/>
      <c r="R255" s="12"/>
      <c r="S255" s="7"/>
    </row>
    <row r="256" spans="1:19" x14ac:dyDescent="0.2">
      <c r="A256" s="41">
        <f t="shared" si="19"/>
        <v>6916</v>
      </c>
      <c r="C256" s="41">
        <v>247</v>
      </c>
      <c r="D256" s="15">
        <f t="shared" si="23"/>
        <v>49550</v>
      </c>
      <c r="E256" s="42">
        <f t="shared" si="20"/>
        <v>49578</v>
      </c>
      <c r="F256" s="42"/>
      <c r="G256" s="42"/>
      <c r="H256" s="15"/>
      <c r="I256" s="43">
        <f t="shared" si="18"/>
        <v>49578</v>
      </c>
      <c r="J256" s="44">
        <f>forward($E$4,D256,E256,CURVA!$H$6:H266,CURVA!$G$6:G266)</f>
        <v>2.0015563624537411E-2</v>
      </c>
      <c r="K256" s="44" t="str">
        <f>IFERROR(VLOOKUP(A256,CURVA!$B$8:$F$30,5,0),"")</f>
        <v/>
      </c>
      <c r="L256" s="45">
        <f t="shared" si="21"/>
        <v>7.7777777777777779E-2</v>
      </c>
      <c r="M256" s="46">
        <f>interpola(E256-$E$4,CURVA!$H$6:$H$20,CURVA!$G$6:$G$20)</f>
        <v>0.02</v>
      </c>
      <c r="N256" s="47">
        <f t="shared" si="22"/>
        <v>0.68098008145698818</v>
      </c>
      <c r="O256" s="49" t="str">
        <f>IF(K256="","",SUMPRODUCT($J$10:J256,$L$10:L256,$N$10:N256)*$E$5)</f>
        <v/>
      </c>
      <c r="P256" s="49" t="str">
        <f>IF(K256="","",SUMPRODUCT($L$10:L256,$N$10:N256)*$K256*$E$5)</f>
        <v/>
      </c>
      <c r="Q256" s="6"/>
      <c r="R256" s="12"/>
      <c r="S256" s="7"/>
    </row>
    <row r="257" spans="1:19" x14ac:dyDescent="0.2">
      <c r="A257" s="41">
        <f t="shared" si="19"/>
        <v>6944</v>
      </c>
      <c r="C257" s="41">
        <v>248</v>
      </c>
      <c r="D257" s="15">
        <f t="shared" si="23"/>
        <v>49578</v>
      </c>
      <c r="E257" s="42">
        <f t="shared" si="20"/>
        <v>49606</v>
      </c>
      <c r="F257" s="42"/>
      <c r="G257" s="42"/>
      <c r="H257" s="15"/>
      <c r="I257" s="43">
        <f t="shared" si="18"/>
        <v>49606</v>
      </c>
      <c r="J257" s="44">
        <f>forward($E$4,D257,E257,CURVA!$H$6:H267,CURVA!$G$6:G267)</f>
        <v>2.0015563624537411E-2</v>
      </c>
      <c r="K257" s="44" t="str">
        <f>IFERROR(VLOOKUP(A257,CURVA!$B$8:$F$30,5,0),"")</f>
        <v/>
      </c>
      <c r="L257" s="45">
        <f t="shared" si="21"/>
        <v>7.7777777777777779E-2</v>
      </c>
      <c r="M257" s="46">
        <f>interpola(E257-$E$4,CURVA!$H$6:$H$20,CURVA!$G$6:$G$20)</f>
        <v>0.02</v>
      </c>
      <c r="N257" s="47">
        <f t="shared" si="22"/>
        <v>0.67992160258283973</v>
      </c>
      <c r="O257" s="49" t="str">
        <f>IF(K257="","",SUMPRODUCT($J$10:J257,$L$10:L257,$N$10:N257)*$E$5)</f>
        <v/>
      </c>
      <c r="P257" s="49" t="str">
        <f>IF(K257="","",SUMPRODUCT($L$10:L257,$N$10:N257)*$K257*$E$5)</f>
        <v/>
      </c>
      <c r="Q257" s="6"/>
      <c r="R257" s="12"/>
      <c r="S257" s="7"/>
    </row>
    <row r="258" spans="1:19" x14ac:dyDescent="0.2">
      <c r="A258" s="41">
        <f t="shared" si="19"/>
        <v>6972</v>
      </c>
      <c r="C258" s="41">
        <v>249</v>
      </c>
      <c r="D258" s="15">
        <f t="shared" si="23"/>
        <v>49606</v>
      </c>
      <c r="E258" s="42">
        <f t="shared" si="20"/>
        <v>49634</v>
      </c>
      <c r="F258" s="42"/>
      <c r="G258" s="42"/>
      <c r="H258" s="15"/>
      <c r="I258" s="43">
        <f t="shared" si="18"/>
        <v>49634</v>
      </c>
      <c r="J258" s="44">
        <f>forward($E$4,D258,E258,CURVA!$H$6:H268,CURVA!$G$6:G268)</f>
        <v>2.0015563624537411E-2</v>
      </c>
      <c r="K258" s="44" t="str">
        <f>IFERROR(VLOOKUP(A258,CURVA!$B$8:$F$30,5,0),"")</f>
        <v/>
      </c>
      <c r="L258" s="45">
        <f t="shared" si="21"/>
        <v>7.7777777777777779E-2</v>
      </c>
      <c r="M258" s="46">
        <f>interpola(E258-$E$4,CURVA!$H$6:$H$20,CURVA!$G$6:$G$20)</f>
        <v>0.02</v>
      </c>
      <c r="N258" s="47">
        <f t="shared" si="22"/>
        <v>0.67886476895141945</v>
      </c>
      <c r="O258" s="49" t="str">
        <f>IF(K258="","",SUMPRODUCT($J$10:J258,$L$10:L258,$N$10:N258)*$E$5)</f>
        <v/>
      </c>
      <c r="P258" s="49" t="str">
        <f>IF(K258="","",SUMPRODUCT($L$10:L258,$N$10:N258)*$K258*$E$5)</f>
        <v/>
      </c>
      <c r="Q258" s="6"/>
      <c r="R258" s="12"/>
      <c r="S258" s="7"/>
    </row>
    <row r="259" spans="1:19" x14ac:dyDescent="0.2">
      <c r="A259" s="41">
        <f t="shared" si="19"/>
        <v>7000</v>
      </c>
      <c r="C259" s="41">
        <v>250</v>
      </c>
      <c r="D259" s="15">
        <f t="shared" si="23"/>
        <v>49634</v>
      </c>
      <c r="E259" s="42">
        <f t="shared" si="20"/>
        <v>49662</v>
      </c>
      <c r="F259" s="42"/>
      <c r="G259" s="42"/>
      <c r="H259" s="15"/>
      <c r="I259" s="43">
        <f t="shared" si="18"/>
        <v>49662</v>
      </c>
      <c r="J259" s="44">
        <f>forward($E$4,D259,E259,CURVA!$H$6:H269,CURVA!$G$6:G269)</f>
        <v>2.0015563624537411E-2</v>
      </c>
      <c r="K259" s="44" t="str">
        <f>IFERROR(VLOOKUP(A259,CURVA!$B$8:$F$30,5,0),"")</f>
        <v/>
      </c>
      <c r="L259" s="45">
        <f t="shared" si="21"/>
        <v>7.7777777777777779E-2</v>
      </c>
      <c r="M259" s="46">
        <f>interpola(E259-$E$4,CURVA!$H$6:$H$20,CURVA!$G$6:$G$20)</f>
        <v>0.02</v>
      </c>
      <c r="N259" s="47">
        <f t="shared" si="22"/>
        <v>0.67780957800545028</v>
      </c>
      <c r="O259" s="49" t="str">
        <f>IF(K259="","",SUMPRODUCT($J$10:J259,$L$10:L259,$N$10:N259)*$E$5)</f>
        <v/>
      </c>
      <c r="P259" s="49" t="str">
        <f>IF(K259="","",SUMPRODUCT($L$10:L259,$N$10:N259)*$K259*$E$5)</f>
        <v/>
      </c>
      <c r="Q259" s="6"/>
      <c r="R259" s="12"/>
      <c r="S259" s="7"/>
    </row>
    <row r="260" spans="1:19" x14ac:dyDescent="0.2">
      <c r="A260" s="41">
        <f t="shared" si="19"/>
        <v>7028</v>
      </c>
      <c r="C260" s="41">
        <v>251</v>
      </c>
      <c r="D260" s="15">
        <f t="shared" si="23"/>
        <v>49662</v>
      </c>
      <c r="E260" s="42">
        <f t="shared" si="20"/>
        <v>49690</v>
      </c>
      <c r="F260" s="42"/>
      <c r="G260" s="42"/>
      <c r="H260" s="15"/>
      <c r="I260" s="43">
        <f t="shared" si="18"/>
        <v>49690</v>
      </c>
      <c r="J260" s="44">
        <f>forward($E$4,D260,E260,CURVA!$H$6:H270,CURVA!$G$6:G270)</f>
        <v>2.0015563624537411E-2</v>
      </c>
      <c r="K260" s="44" t="str">
        <f>IFERROR(VLOOKUP(A260,CURVA!$B$8:$F$30,5,0),"")</f>
        <v/>
      </c>
      <c r="L260" s="45">
        <f t="shared" si="21"/>
        <v>7.7777777777777779E-2</v>
      </c>
      <c r="M260" s="46">
        <f>interpola(E260-$E$4,CURVA!$H$6:$H$20,CURVA!$G$6:$G$20)</f>
        <v>0.02</v>
      </c>
      <c r="N260" s="47">
        <f t="shared" si="22"/>
        <v>0.6767560271916303</v>
      </c>
      <c r="O260" s="49" t="str">
        <f>IF(K260="","",SUMPRODUCT($J$10:J260,$L$10:L260,$N$10:N260)*$E$5)</f>
        <v/>
      </c>
      <c r="P260" s="49" t="str">
        <f>IF(K260="","",SUMPRODUCT($L$10:L260,$N$10:N260)*$K260*$E$5)</f>
        <v/>
      </c>
      <c r="Q260" s="6"/>
      <c r="R260" s="12"/>
      <c r="S260" s="7"/>
    </row>
    <row r="261" spans="1:19" x14ac:dyDescent="0.2">
      <c r="A261" s="41">
        <f t="shared" si="19"/>
        <v>7056</v>
      </c>
      <c r="C261" s="41">
        <v>252</v>
      </c>
      <c r="D261" s="15">
        <f t="shared" si="23"/>
        <v>49690</v>
      </c>
      <c r="E261" s="42">
        <f t="shared" si="20"/>
        <v>49718</v>
      </c>
      <c r="F261" s="42"/>
      <c r="G261" s="42"/>
      <c r="H261" s="15"/>
      <c r="I261" s="43">
        <f t="shared" si="18"/>
        <v>49718</v>
      </c>
      <c r="J261" s="44">
        <f>forward($E$4,D261,E261,CURVA!$H$6:H271,CURVA!$G$6:G271)</f>
        <v>2.0015563624537411E-2</v>
      </c>
      <c r="K261" s="44" t="str">
        <f>IFERROR(VLOOKUP(A261,CURVA!$B$8:$F$30,5,0),"")</f>
        <v/>
      </c>
      <c r="L261" s="45">
        <f t="shared" si="21"/>
        <v>7.7777777777777779E-2</v>
      </c>
      <c r="M261" s="46">
        <f>interpola(E261-$E$4,CURVA!$H$6:$H$20,CURVA!$G$6:$G$20)</f>
        <v>0.02</v>
      </c>
      <c r="N261" s="47">
        <f t="shared" si="22"/>
        <v>0.67570411396062602</v>
      </c>
      <c r="O261" s="49" t="str">
        <f>IF(K261="","",SUMPRODUCT($J$10:J261,$L$10:L261,$N$10:N261)*$E$5)</f>
        <v/>
      </c>
      <c r="P261" s="49" t="str">
        <f>IF(K261="","",SUMPRODUCT($L$10:L261,$N$10:N261)*$K261*$E$5)</f>
        <v/>
      </c>
      <c r="Q261" s="6"/>
      <c r="R261" s="12"/>
      <c r="S261" s="7"/>
    </row>
    <row r="262" spans="1:19" x14ac:dyDescent="0.2">
      <c r="A262" s="41">
        <f t="shared" si="19"/>
        <v>7084</v>
      </c>
      <c r="C262" s="41">
        <v>253</v>
      </c>
      <c r="D262" s="15">
        <f t="shared" si="23"/>
        <v>49718</v>
      </c>
      <c r="E262" s="42">
        <f t="shared" si="20"/>
        <v>49746</v>
      </c>
      <c r="F262" s="42"/>
      <c r="G262" s="42"/>
      <c r="H262" s="15"/>
      <c r="I262" s="43">
        <f t="shared" si="18"/>
        <v>49746</v>
      </c>
      <c r="J262" s="44">
        <f>forward($E$4,D262,E262,CURVA!$H$6:H272,CURVA!$G$6:G272)</f>
        <v>2.0015563624537411E-2</v>
      </c>
      <c r="K262" s="44" t="str">
        <f>IFERROR(VLOOKUP(A262,CURVA!$B$8:$F$30,5,0),"")</f>
        <v/>
      </c>
      <c r="L262" s="45">
        <f t="shared" si="21"/>
        <v>7.7777777777777779E-2</v>
      </c>
      <c r="M262" s="46">
        <f>interpola(E262-$E$4,CURVA!$H$6:$H$20,CURVA!$G$6:$G$20)</f>
        <v>0.02</v>
      </c>
      <c r="N262" s="47">
        <f t="shared" si="22"/>
        <v>0.67465383576706683</v>
      </c>
      <c r="O262" s="49" t="str">
        <f>IF(K262="","",SUMPRODUCT($J$10:J262,$L$10:L262,$N$10:N262)*$E$5)</f>
        <v/>
      </c>
      <c r="P262" s="49" t="str">
        <f>IF(K262="","",SUMPRODUCT($L$10:L262,$N$10:N262)*$K262*$E$5)</f>
        <v/>
      </c>
      <c r="Q262" s="6"/>
      <c r="R262" s="12"/>
      <c r="S262" s="7"/>
    </row>
    <row r="263" spans="1:19" x14ac:dyDescent="0.2">
      <c r="A263" s="41">
        <f t="shared" si="19"/>
        <v>7112</v>
      </c>
      <c r="C263" s="41">
        <v>254</v>
      </c>
      <c r="D263" s="15">
        <f t="shared" si="23"/>
        <v>49746</v>
      </c>
      <c r="E263" s="42">
        <f t="shared" si="20"/>
        <v>49774</v>
      </c>
      <c r="F263" s="42"/>
      <c r="G263" s="42"/>
      <c r="H263" s="15"/>
      <c r="I263" s="43">
        <f t="shared" si="18"/>
        <v>49774</v>
      </c>
      <c r="J263" s="44">
        <f>forward($E$4,D263,E263,CURVA!$H$6:H273,CURVA!$G$6:G273)</f>
        <v>2.0015563624537411E-2</v>
      </c>
      <c r="K263" s="44" t="str">
        <f>IFERROR(VLOOKUP(A263,CURVA!$B$8:$F$30,5,0),"")</f>
        <v/>
      </c>
      <c r="L263" s="45">
        <f t="shared" si="21"/>
        <v>7.7777777777777779E-2</v>
      </c>
      <c r="M263" s="46">
        <f>interpola(E263-$E$4,CURVA!$H$6:$H$20,CURVA!$G$6:$G$20)</f>
        <v>0.02</v>
      </c>
      <c r="N263" s="47">
        <f t="shared" si="22"/>
        <v>0.67360519006953801</v>
      </c>
      <c r="O263" s="49" t="str">
        <f>IF(K263="","",SUMPRODUCT($J$10:J263,$L$10:L263,$N$10:N263)*$E$5)</f>
        <v/>
      </c>
      <c r="P263" s="49" t="str">
        <f>IF(K263="","",SUMPRODUCT($L$10:L263,$N$10:N263)*$K263*$E$5)</f>
        <v/>
      </c>
      <c r="Q263" s="6"/>
      <c r="R263" s="12"/>
      <c r="S263" s="7"/>
    </row>
    <row r="264" spans="1:19" x14ac:dyDescent="0.2">
      <c r="A264" s="41">
        <f t="shared" si="19"/>
        <v>7140</v>
      </c>
      <c r="C264" s="41">
        <v>255</v>
      </c>
      <c r="D264" s="15">
        <f t="shared" si="23"/>
        <v>49774</v>
      </c>
      <c r="E264" s="42">
        <f t="shared" si="20"/>
        <v>49802</v>
      </c>
      <c r="F264" s="42"/>
      <c r="G264" s="42"/>
      <c r="H264" s="15"/>
      <c r="I264" s="43">
        <f t="shared" si="18"/>
        <v>49802</v>
      </c>
      <c r="J264" s="44">
        <f>forward($E$4,D264,E264,CURVA!$H$6:H274,CURVA!$G$6:G274)</f>
        <v>2.0015563624537411E-2</v>
      </c>
      <c r="K264" s="44" t="str">
        <f>IFERROR(VLOOKUP(A264,CURVA!$B$8:$F$30,5,0),"")</f>
        <v/>
      </c>
      <c r="L264" s="45">
        <f t="shared" si="21"/>
        <v>7.7777777777777779E-2</v>
      </c>
      <c r="M264" s="46">
        <f>interpola(E264-$E$4,CURVA!$H$6:$H$20,CURVA!$G$6:$G$20)</f>
        <v>0.02</v>
      </c>
      <c r="N264" s="47">
        <f t="shared" si="22"/>
        <v>0.67255817433057563</v>
      </c>
      <c r="O264" s="49" t="str">
        <f>IF(K264="","",SUMPRODUCT($J$10:J264,$L$10:L264,$N$10:N264)*$E$5)</f>
        <v/>
      </c>
      <c r="P264" s="49" t="str">
        <f>IF(K264="","",SUMPRODUCT($L$10:L264,$N$10:N264)*$K264*$E$5)</f>
        <v/>
      </c>
      <c r="Q264" s="6"/>
      <c r="R264" s="12"/>
      <c r="S264" s="7"/>
    </row>
    <row r="265" spans="1:19" x14ac:dyDescent="0.2">
      <c r="A265" s="41">
        <f t="shared" si="19"/>
        <v>7168</v>
      </c>
      <c r="C265" s="41">
        <v>256</v>
      </c>
      <c r="D265" s="15">
        <f t="shared" si="23"/>
        <v>49802</v>
      </c>
      <c r="E265" s="42">
        <f t="shared" si="20"/>
        <v>49830</v>
      </c>
      <c r="F265" s="42"/>
      <c r="G265" s="42"/>
      <c r="H265" s="15"/>
      <c r="I265" s="43">
        <f t="shared" si="18"/>
        <v>49830</v>
      </c>
      <c r="J265" s="44">
        <f>forward($E$4,D265,E265,CURVA!$H$6:H275,CURVA!$G$6:G275)</f>
        <v>2.0015563624537411E-2</v>
      </c>
      <c r="K265" s="44" t="str">
        <f>IFERROR(VLOOKUP(A265,CURVA!$B$8:$F$30,5,0),"")</f>
        <v/>
      </c>
      <c r="L265" s="45">
        <f t="shared" si="21"/>
        <v>7.7777777777777779E-2</v>
      </c>
      <c r="M265" s="46">
        <f>interpola(E265-$E$4,CURVA!$H$6:$H$20,CURVA!$G$6:$G$20)</f>
        <v>0.02</v>
      </c>
      <c r="N265" s="47">
        <f t="shared" si="22"/>
        <v>0.67151278601665965</v>
      </c>
      <c r="O265" s="49" t="str">
        <f>IF(K265="","",SUMPRODUCT($J$10:J265,$L$10:L265,$N$10:N265)*$E$5)</f>
        <v/>
      </c>
      <c r="P265" s="49" t="str">
        <f>IF(K265="","",SUMPRODUCT($L$10:L265,$N$10:N265)*$K265*$E$5)</f>
        <v/>
      </c>
      <c r="Q265" s="6"/>
      <c r="R265" s="12"/>
      <c r="S265" s="7"/>
    </row>
    <row r="266" spans="1:19" x14ac:dyDescent="0.2">
      <c r="A266" s="41">
        <f t="shared" si="19"/>
        <v>7196</v>
      </c>
      <c r="C266" s="41">
        <v>257</v>
      </c>
      <c r="D266" s="15">
        <f t="shared" si="23"/>
        <v>49830</v>
      </c>
      <c r="E266" s="42">
        <f t="shared" si="20"/>
        <v>49858</v>
      </c>
      <c r="F266" s="42"/>
      <c r="G266" s="42"/>
      <c r="H266" s="15"/>
      <c r="I266" s="43">
        <f t="shared" ref="I266:I329" si="24">E266</f>
        <v>49858</v>
      </c>
      <c r="J266" s="44">
        <f>forward($E$4,D266,E266,CURVA!$H$6:H276,CURVA!$G$6:G276)</f>
        <v>2.0015563624537411E-2</v>
      </c>
      <c r="K266" s="44" t="str">
        <f>IFERROR(VLOOKUP(A266,CURVA!$B$8:$F$30,5,0),"")</f>
        <v/>
      </c>
      <c r="L266" s="45">
        <f t="shared" si="21"/>
        <v>7.7777777777777779E-2</v>
      </c>
      <c r="M266" s="46">
        <f>interpola(E266-$E$4,CURVA!$H$6:$H$20,CURVA!$G$6:$G$20)</f>
        <v>0.02</v>
      </c>
      <c r="N266" s="47">
        <f t="shared" si="22"/>
        <v>0.67046902259820773</v>
      </c>
      <c r="O266" s="49" t="str">
        <f>IF(K266="","",SUMPRODUCT($J$10:J266,$L$10:L266,$N$10:N266)*$E$5)</f>
        <v/>
      </c>
      <c r="P266" s="49" t="str">
        <f>IF(K266="","",SUMPRODUCT($L$10:L266,$N$10:N266)*$K266*$E$5)</f>
        <v/>
      </c>
      <c r="Q266" s="6"/>
      <c r="R266" s="12"/>
      <c r="S266" s="7"/>
    </row>
    <row r="267" spans="1:19" x14ac:dyDescent="0.2">
      <c r="A267" s="41">
        <f t="shared" ref="A267:A330" si="25">C267*28</f>
        <v>7224</v>
      </c>
      <c r="C267" s="41">
        <v>258</v>
      </c>
      <c r="D267" s="15">
        <f t="shared" si="23"/>
        <v>49858</v>
      </c>
      <c r="E267" s="42">
        <f t="shared" ref="E267:E330" si="26">$E$4+28*C267</f>
        <v>49886</v>
      </c>
      <c r="F267" s="42"/>
      <c r="G267" s="42"/>
      <c r="H267" s="15"/>
      <c r="I267" s="43">
        <f t="shared" si="24"/>
        <v>49886</v>
      </c>
      <c r="J267" s="44">
        <f>forward($E$4,D267,E267,CURVA!$H$6:H277,CURVA!$G$6:G277)</f>
        <v>2.0015563624537411E-2</v>
      </c>
      <c r="K267" s="44" t="str">
        <f>IFERROR(VLOOKUP(A267,CURVA!$B$8:$F$30,5,0),"")</f>
        <v/>
      </c>
      <c r="L267" s="45">
        <f t="shared" ref="L267:L330" si="27">(E267-D267)/360</f>
        <v>7.7777777777777779E-2</v>
      </c>
      <c r="M267" s="46">
        <f>interpola(E267-$E$4,CURVA!$H$6:$H$20,CURVA!$G$6:$G$20)</f>
        <v>0.02</v>
      </c>
      <c r="N267" s="47">
        <f t="shared" ref="N267:N330" si="28">EXP(-M267*(E267-$E$4)/360)</f>
        <v>0.66942688154956986</v>
      </c>
      <c r="O267" s="49" t="str">
        <f>IF(K267="","",SUMPRODUCT($J$10:J267,$L$10:L267,$N$10:N267)*$E$5)</f>
        <v/>
      </c>
      <c r="P267" s="49" t="str">
        <f>IF(K267="","",SUMPRODUCT($L$10:L267,$N$10:N267)*$K267*$E$5)</f>
        <v/>
      </c>
      <c r="Q267" s="6"/>
      <c r="R267" s="12"/>
      <c r="S267" s="7"/>
    </row>
    <row r="268" spans="1:19" x14ac:dyDescent="0.2">
      <c r="A268" s="41">
        <f t="shared" si="25"/>
        <v>7252</v>
      </c>
      <c r="C268" s="41">
        <v>259</v>
      </c>
      <c r="D268" s="15">
        <f t="shared" si="23"/>
        <v>49886</v>
      </c>
      <c r="E268" s="42">
        <f t="shared" si="26"/>
        <v>49914</v>
      </c>
      <c r="F268" s="42"/>
      <c r="G268" s="42"/>
      <c r="H268" s="15"/>
      <c r="I268" s="43">
        <f t="shared" si="24"/>
        <v>49914</v>
      </c>
      <c r="J268" s="44">
        <f>forward($E$4,D268,E268,CURVA!$H$6:H278,CURVA!$G$6:G278)</f>
        <v>2.0015563624537411E-2</v>
      </c>
      <c r="K268" s="44" t="str">
        <f>IFERROR(VLOOKUP(A268,CURVA!$B$8:$F$30,5,0),"")</f>
        <v/>
      </c>
      <c r="L268" s="45">
        <f t="shared" si="27"/>
        <v>7.7777777777777779E-2</v>
      </c>
      <c r="M268" s="46">
        <f>interpola(E268-$E$4,CURVA!$H$6:$H$20,CURVA!$G$6:$G$20)</f>
        <v>0.02</v>
      </c>
      <c r="N268" s="47">
        <f t="shared" si="28"/>
        <v>0.66838636034902132</v>
      </c>
      <c r="O268" s="49" t="str">
        <f>IF(K268="","",SUMPRODUCT($J$10:J268,$L$10:L268,$N$10:N268)*$E$5)</f>
        <v/>
      </c>
      <c r="P268" s="49" t="str">
        <f>IF(K268="","",SUMPRODUCT($L$10:L268,$N$10:N268)*$K268*$E$5)</f>
        <v/>
      </c>
      <c r="Q268" s="6"/>
      <c r="R268" s="12"/>
      <c r="S268" s="7"/>
    </row>
    <row r="269" spans="1:19" x14ac:dyDescent="0.2">
      <c r="A269" s="41">
        <f t="shared" si="25"/>
        <v>7280</v>
      </c>
      <c r="B269" s="41" t="s">
        <v>16</v>
      </c>
      <c r="C269" s="41">
        <v>260</v>
      </c>
      <c r="D269" s="15">
        <f t="shared" ref="D269:D332" si="29">E268</f>
        <v>49914</v>
      </c>
      <c r="E269" s="42">
        <f t="shared" si="26"/>
        <v>49942</v>
      </c>
      <c r="F269" s="42"/>
      <c r="G269" s="42"/>
      <c r="H269" s="15"/>
      <c r="I269" s="43">
        <f t="shared" si="24"/>
        <v>49942</v>
      </c>
      <c r="J269" s="44">
        <f>forward($E$4,D269,E269,CURVA!$H$6:H279,CURVA!$G$6:G279)</f>
        <v>2.0015563624537411E-2</v>
      </c>
      <c r="K269" s="44" t="str">
        <f>IFERROR(VLOOKUP(A269,CURVA!$B$8:$F$30,5,0),"")</f>
        <v/>
      </c>
      <c r="L269" s="45">
        <f t="shared" si="27"/>
        <v>7.7777777777777779E-2</v>
      </c>
      <c r="M269" s="46">
        <f>interpola(E269-$E$4,CURVA!$H$6:$H$20,CURVA!$G$6:$G$20)</f>
        <v>0.02</v>
      </c>
      <c r="N269" s="47">
        <f t="shared" si="28"/>
        <v>0.66734745647875726</v>
      </c>
      <c r="O269" s="49" t="str">
        <f>IF(K269="","",SUMPRODUCT($J$10:J269,$L$10:L269,$N$10:N269)*$E$5)</f>
        <v/>
      </c>
      <c r="P269" s="49" t="str">
        <f>IF(K269="","",SUMPRODUCT($L$10:L269,$N$10:N269)*$K269*$E$5)</f>
        <v/>
      </c>
      <c r="Q269" s="6"/>
      <c r="R269" s="12"/>
      <c r="S269" s="7"/>
    </row>
    <row r="270" spans="1:19" x14ac:dyDescent="0.2">
      <c r="A270" s="41">
        <f t="shared" si="25"/>
        <v>7308</v>
      </c>
      <c r="C270" s="41">
        <v>261</v>
      </c>
      <c r="D270" s="15">
        <f t="shared" si="29"/>
        <v>49942</v>
      </c>
      <c r="E270" s="42">
        <f t="shared" si="26"/>
        <v>49970</v>
      </c>
      <c r="F270" s="42"/>
      <c r="G270" s="42"/>
      <c r="H270" s="15"/>
      <c r="I270" s="43">
        <f t="shared" si="24"/>
        <v>49970</v>
      </c>
      <c r="J270" s="44">
        <f>forward($E$4,D270,E270,CURVA!$H$6:H280,CURVA!$G$6:G280)</f>
        <v>2.0015563624537411E-2</v>
      </c>
      <c r="K270" s="44" t="str">
        <f>IFERROR(VLOOKUP(A270,CURVA!$B$8:$F$30,5,0),"")</f>
        <v/>
      </c>
      <c r="L270" s="45">
        <f t="shared" si="27"/>
        <v>7.7777777777777779E-2</v>
      </c>
      <c r="M270" s="46">
        <f>interpola(E270-$E$4,CURVA!$H$6:$H$20,CURVA!$G$6:$G$20)</f>
        <v>0.02</v>
      </c>
      <c r="N270" s="47">
        <f t="shared" si="28"/>
        <v>0.66631016742488636</v>
      </c>
      <c r="O270" s="49" t="str">
        <f>IF(K270="","",SUMPRODUCT($J$10:J270,$L$10:L270,$N$10:N270)*$E$5)</f>
        <v/>
      </c>
      <c r="P270" s="49" t="str">
        <f>IF(K270="","",SUMPRODUCT($L$10:L270,$N$10:N270)*$K270*$E$5)</f>
        <v/>
      </c>
      <c r="Q270" s="6"/>
      <c r="R270" s="12"/>
      <c r="S270" s="7"/>
    </row>
    <row r="271" spans="1:19" x14ac:dyDescent="0.2">
      <c r="A271" s="41">
        <f t="shared" si="25"/>
        <v>7336</v>
      </c>
      <c r="C271" s="41">
        <v>262</v>
      </c>
      <c r="D271" s="15">
        <f t="shared" si="29"/>
        <v>49970</v>
      </c>
      <c r="E271" s="42">
        <f t="shared" si="26"/>
        <v>49998</v>
      </c>
      <c r="F271" s="42"/>
      <c r="G271" s="42"/>
      <c r="H271" s="15"/>
      <c r="I271" s="43">
        <f t="shared" si="24"/>
        <v>49998</v>
      </c>
      <c r="J271" s="44">
        <f>forward($E$4,D271,E271,CURVA!$H$6:H281,CURVA!$G$6:G281)</f>
        <v>2.0015563624537411E-2</v>
      </c>
      <c r="K271" s="44" t="str">
        <f>IFERROR(VLOOKUP(A271,CURVA!$B$8:$F$30,5,0),"")</f>
        <v/>
      </c>
      <c r="L271" s="45">
        <f t="shared" si="27"/>
        <v>7.7777777777777779E-2</v>
      </c>
      <c r="M271" s="46">
        <f>interpola(E271-$E$4,CURVA!$H$6:$H$20,CURVA!$G$6:$G$20)</f>
        <v>0.02</v>
      </c>
      <c r="N271" s="47">
        <f t="shared" si="28"/>
        <v>0.66527449067742472</v>
      </c>
      <c r="O271" s="49" t="str">
        <f>IF(K271="","",SUMPRODUCT($J$10:J271,$L$10:L271,$N$10:N271)*$E$5)</f>
        <v/>
      </c>
      <c r="P271" s="49" t="str">
        <f>IF(K271="","",SUMPRODUCT($L$10:L271,$N$10:N271)*$K271*$E$5)</f>
        <v/>
      </c>
      <c r="Q271" s="6"/>
      <c r="R271" s="12"/>
      <c r="S271" s="7"/>
    </row>
    <row r="272" spans="1:19" x14ac:dyDescent="0.2">
      <c r="A272" s="41">
        <f t="shared" si="25"/>
        <v>7364</v>
      </c>
      <c r="C272" s="41">
        <v>263</v>
      </c>
      <c r="D272" s="15">
        <f t="shared" si="29"/>
        <v>49998</v>
      </c>
      <c r="E272" s="42">
        <f t="shared" si="26"/>
        <v>50026</v>
      </c>
      <c r="F272" s="42"/>
      <c r="G272" s="42"/>
      <c r="H272" s="15"/>
      <c r="I272" s="43">
        <f t="shared" si="24"/>
        <v>50026</v>
      </c>
      <c r="J272" s="44">
        <f>forward($E$4,D272,E272,CURVA!$H$6:H282,CURVA!$G$6:G282)</f>
        <v>2.0015563624537411E-2</v>
      </c>
      <c r="K272" s="44" t="str">
        <f>IFERROR(VLOOKUP(A272,CURVA!$B$8:$F$30,5,0),"")</f>
        <v/>
      </c>
      <c r="L272" s="45">
        <f t="shared" si="27"/>
        <v>7.7777777777777779E-2</v>
      </c>
      <c r="M272" s="46">
        <f>interpola(E272-$E$4,CURVA!$H$6:$H$20,CURVA!$G$6:$G$20)</f>
        <v>0.02</v>
      </c>
      <c r="N272" s="47">
        <f t="shared" si="28"/>
        <v>0.6642404237302898</v>
      </c>
      <c r="O272" s="49" t="str">
        <f>IF(K272="","",SUMPRODUCT($J$10:J272,$L$10:L272,$N$10:N272)*$E$5)</f>
        <v/>
      </c>
      <c r="P272" s="49" t="str">
        <f>IF(K272="","",SUMPRODUCT($L$10:L272,$N$10:N272)*$K272*$E$5)</f>
        <v/>
      </c>
      <c r="Q272" s="6"/>
      <c r="R272" s="12"/>
      <c r="S272" s="7"/>
    </row>
    <row r="273" spans="1:19" x14ac:dyDescent="0.2">
      <c r="A273" s="41">
        <f t="shared" si="25"/>
        <v>7392</v>
      </c>
      <c r="C273" s="41">
        <v>264</v>
      </c>
      <c r="D273" s="15">
        <f t="shared" si="29"/>
        <v>50026</v>
      </c>
      <c r="E273" s="42">
        <f t="shared" si="26"/>
        <v>50054</v>
      </c>
      <c r="F273" s="42"/>
      <c r="G273" s="42"/>
      <c r="H273" s="15"/>
      <c r="I273" s="43">
        <f t="shared" si="24"/>
        <v>50054</v>
      </c>
      <c r="J273" s="44">
        <f>forward($E$4,D273,E273,CURVA!$H$6:H283,CURVA!$G$6:G283)</f>
        <v>2.0015563624537411E-2</v>
      </c>
      <c r="K273" s="44" t="str">
        <f>IFERROR(VLOOKUP(A273,CURVA!$B$8:$F$30,5,0),"")</f>
        <v/>
      </c>
      <c r="L273" s="45">
        <f t="shared" si="27"/>
        <v>7.7777777777777779E-2</v>
      </c>
      <c r="M273" s="46">
        <f>interpola(E273-$E$4,CURVA!$H$6:$H$20,CURVA!$G$6:$G$20)</f>
        <v>0.02</v>
      </c>
      <c r="N273" s="47">
        <f t="shared" si="28"/>
        <v>0.66320796408129445</v>
      </c>
      <c r="O273" s="49" t="str">
        <f>IF(K273="","",SUMPRODUCT($J$10:J273,$L$10:L273,$N$10:N273)*$E$5)</f>
        <v/>
      </c>
      <c r="P273" s="49" t="str">
        <f>IF(K273="","",SUMPRODUCT($L$10:L273,$N$10:N273)*$K273*$E$5)</f>
        <v/>
      </c>
      <c r="Q273" s="6"/>
      <c r="R273" s="12"/>
      <c r="S273" s="7"/>
    </row>
    <row r="274" spans="1:19" x14ac:dyDescent="0.2">
      <c r="A274" s="41">
        <f t="shared" si="25"/>
        <v>7420</v>
      </c>
      <c r="C274" s="41">
        <v>265</v>
      </c>
      <c r="D274" s="15">
        <f t="shared" si="29"/>
        <v>50054</v>
      </c>
      <c r="E274" s="42">
        <f t="shared" si="26"/>
        <v>50082</v>
      </c>
      <c r="F274" s="42"/>
      <c r="G274" s="42"/>
      <c r="H274" s="15"/>
      <c r="I274" s="43">
        <f t="shared" si="24"/>
        <v>50082</v>
      </c>
      <c r="J274" s="44">
        <f>forward($E$4,D274,E274,CURVA!$H$6:H284,CURVA!$G$6:G284)</f>
        <v>2.0015563624537411E-2</v>
      </c>
      <c r="K274" s="44" t="str">
        <f>IFERROR(VLOOKUP(A274,CURVA!$B$8:$F$30,5,0),"")</f>
        <v/>
      </c>
      <c r="L274" s="45">
        <f t="shared" si="27"/>
        <v>7.7777777777777779E-2</v>
      </c>
      <c r="M274" s="46">
        <f>interpola(E274-$E$4,CURVA!$H$6:$H$20,CURVA!$G$6:$G$20)</f>
        <v>0.02</v>
      </c>
      <c r="N274" s="47">
        <f t="shared" si="28"/>
        <v>0.66217710923214079</v>
      </c>
      <c r="O274" s="49" t="str">
        <f>IF(K274="","",SUMPRODUCT($J$10:J274,$L$10:L274,$N$10:N274)*$E$5)</f>
        <v/>
      </c>
      <c r="P274" s="49" t="str">
        <f>IF(K274="","",SUMPRODUCT($L$10:L274,$N$10:N274)*$K274*$E$5)</f>
        <v/>
      </c>
      <c r="Q274" s="6"/>
      <c r="R274" s="12"/>
      <c r="S274" s="7"/>
    </row>
    <row r="275" spans="1:19" x14ac:dyDescent="0.2">
      <c r="A275" s="41">
        <f t="shared" si="25"/>
        <v>7448</v>
      </c>
      <c r="C275" s="41">
        <v>266</v>
      </c>
      <c r="D275" s="15">
        <f t="shared" si="29"/>
        <v>50082</v>
      </c>
      <c r="E275" s="42">
        <f t="shared" si="26"/>
        <v>50110</v>
      </c>
      <c r="F275" s="42"/>
      <c r="G275" s="42"/>
      <c r="H275" s="15"/>
      <c r="I275" s="43">
        <f t="shared" si="24"/>
        <v>50110</v>
      </c>
      <c r="J275" s="44">
        <f>forward($E$4,D275,E275,CURVA!$H$6:H285,CURVA!$G$6:G285)</f>
        <v>2.0015563624537411E-2</v>
      </c>
      <c r="K275" s="44" t="str">
        <f>IFERROR(VLOOKUP(A275,CURVA!$B$8:$F$30,5,0),"")</f>
        <v/>
      </c>
      <c r="L275" s="45">
        <f t="shared" si="27"/>
        <v>7.7777777777777779E-2</v>
      </c>
      <c r="M275" s="46">
        <f>interpola(E275-$E$4,CURVA!$H$6:$H$20,CURVA!$G$6:$G$20)</f>
        <v>0.02</v>
      </c>
      <c r="N275" s="47">
        <f t="shared" si="28"/>
        <v>0.66114785668841392</v>
      </c>
      <c r="O275" s="49" t="str">
        <f>IF(K275="","",SUMPRODUCT($J$10:J275,$L$10:L275,$N$10:N275)*$E$5)</f>
        <v/>
      </c>
      <c r="P275" s="49" t="str">
        <f>IF(K275="","",SUMPRODUCT($L$10:L275,$N$10:N275)*$K275*$E$5)</f>
        <v/>
      </c>
      <c r="Q275" s="6"/>
      <c r="R275" s="12"/>
      <c r="S275" s="7"/>
    </row>
    <row r="276" spans="1:19" x14ac:dyDescent="0.2">
      <c r="A276" s="41">
        <f t="shared" si="25"/>
        <v>7476</v>
      </c>
      <c r="C276" s="41">
        <v>267</v>
      </c>
      <c r="D276" s="15">
        <f t="shared" si="29"/>
        <v>50110</v>
      </c>
      <c r="E276" s="42">
        <f t="shared" si="26"/>
        <v>50138</v>
      </c>
      <c r="F276" s="42"/>
      <c r="G276" s="42"/>
      <c r="H276" s="15"/>
      <c r="I276" s="43">
        <f t="shared" si="24"/>
        <v>50138</v>
      </c>
      <c r="J276" s="44">
        <f>forward($E$4,D276,E276,CURVA!$H$6:H286,CURVA!$G$6:G286)</f>
        <v>2.0015563624537411E-2</v>
      </c>
      <c r="K276" s="44" t="str">
        <f>IFERROR(VLOOKUP(A276,CURVA!$B$8:$F$30,5,0),"")</f>
        <v/>
      </c>
      <c r="L276" s="45">
        <f t="shared" si="27"/>
        <v>7.7777777777777779E-2</v>
      </c>
      <c r="M276" s="46">
        <f>interpola(E276-$E$4,CURVA!$H$6:$H$20,CURVA!$G$6:$G$20)</f>
        <v>0.02</v>
      </c>
      <c r="N276" s="47">
        <f t="shared" si="28"/>
        <v>0.66012020395957649</v>
      </c>
      <c r="O276" s="49" t="str">
        <f>IF(K276="","",SUMPRODUCT($J$10:J276,$L$10:L276,$N$10:N276)*$E$5)</f>
        <v/>
      </c>
      <c r="P276" s="49" t="str">
        <f>IF(K276="","",SUMPRODUCT($L$10:L276,$N$10:N276)*$K276*$E$5)</f>
        <v/>
      </c>
      <c r="Q276" s="6"/>
      <c r="R276" s="12"/>
      <c r="S276" s="7"/>
    </row>
    <row r="277" spans="1:19" x14ac:dyDescent="0.2">
      <c r="A277" s="41">
        <f t="shared" si="25"/>
        <v>7504</v>
      </c>
      <c r="C277" s="41">
        <v>268</v>
      </c>
      <c r="D277" s="15">
        <f t="shared" si="29"/>
        <v>50138</v>
      </c>
      <c r="E277" s="42">
        <f t="shared" si="26"/>
        <v>50166</v>
      </c>
      <c r="F277" s="42"/>
      <c r="G277" s="42"/>
      <c r="H277" s="15"/>
      <c r="I277" s="43">
        <f t="shared" si="24"/>
        <v>50166</v>
      </c>
      <c r="J277" s="44">
        <f>forward($E$4,D277,E277,CURVA!$H$6:H287,CURVA!$G$6:G287)</f>
        <v>2.0015563624537411E-2</v>
      </c>
      <c r="K277" s="44" t="str">
        <f>IFERROR(VLOOKUP(A277,CURVA!$B$8:$F$30,5,0),"")</f>
        <v/>
      </c>
      <c r="L277" s="45">
        <f t="shared" si="27"/>
        <v>7.7777777777777779E-2</v>
      </c>
      <c r="M277" s="46">
        <f>interpola(E277-$E$4,CURVA!$H$6:$H$20,CURVA!$G$6:$G$20)</f>
        <v>0.02</v>
      </c>
      <c r="N277" s="47">
        <f t="shared" si="28"/>
        <v>0.6590941485589622</v>
      </c>
      <c r="O277" s="49" t="str">
        <f>IF(K277="","",SUMPRODUCT($J$10:J277,$L$10:L277,$N$10:N277)*$E$5)</f>
        <v/>
      </c>
      <c r="P277" s="49" t="str">
        <f>IF(K277="","",SUMPRODUCT($L$10:L277,$N$10:N277)*$K277*$E$5)</f>
        <v/>
      </c>
      <c r="Q277" s="6"/>
      <c r="R277" s="12"/>
      <c r="S277" s="7"/>
    </row>
    <row r="278" spans="1:19" x14ac:dyDescent="0.2">
      <c r="A278" s="41">
        <f t="shared" si="25"/>
        <v>7532</v>
      </c>
      <c r="C278" s="41">
        <v>269</v>
      </c>
      <c r="D278" s="15">
        <f t="shared" si="29"/>
        <v>50166</v>
      </c>
      <c r="E278" s="42">
        <f t="shared" si="26"/>
        <v>50194</v>
      </c>
      <c r="F278" s="42"/>
      <c r="G278" s="42"/>
      <c r="H278" s="15"/>
      <c r="I278" s="43">
        <f t="shared" si="24"/>
        <v>50194</v>
      </c>
      <c r="J278" s="44">
        <f>forward($E$4,D278,E278,CURVA!$H$6:H288,CURVA!$G$6:G288)</f>
        <v>2.0015563624537411E-2</v>
      </c>
      <c r="K278" s="44" t="str">
        <f>IFERROR(VLOOKUP(A278,CURVA!$B$8:$F$30,5,0),"")</f>
        <v/>
      </c>
      <c r="L278" s="45">
        <f t="shared" si="27"/>
        <v>7.7777777777777779E-2</v>
      </c>
      <c r="M278" s="46">
        <f>interpola(E278-$E$4,CURVA!$H$6:$H$20,CURVA!$G$6:$G$20)</f>
        <v>0.02</v>
      </c>
      <c r="N278" s="47">
        <f t="shared" si="28"/>
        <v>0.65806968800376953</v>
      </c>
      <c r="O278" s="49" t="str">
        <f>IF(K278="","",SUMPRODUCT($J$10:J278,$L$10:L278,$N$10:N278)*$E$5)</f>
        <v/>
      </c>
      <c r="P278" s="49" t="str">
        <f>IF(K278="","",SUMPRODUCT($L$10:L278,$N$10:N278)*$K278*$E$5)</f>
        <v/>
      </c>
      <c r="Q278" s="6"/>
      <c r="R278" s="12"/>
      <c r="S278" s="7"/>
    </row>
    <row r="279" spans="1:19" x14ac:dyDescent="0.2">
      <c r="A279" s="41">
        <f t="shared" si="25"/>
        <v>7560</v>
      </c>
      <c r="C279" s="41">
        <v>270</v>
      </c>
      <c r="D279" s="15">
        <f t="shared" si="29"/>
        <v>50194</v>
      </c>
      <c r="E279" s="42">
        <f t="shared" si="26"/>
        <v>50222</v>
      </c>
      <c r="F279" s="42"/>
      <c r="G279" s="42"/>
      <c r="H279" s="15"/>
      <c r="I279" s="43">
        <f t="shared" si="24"/>
        <v>50222</v>
      </c>
      <c r="J279" s="44">
        <f>forward($E$4,D279,E279,CURVA!$H$6:H289,CURVA!$G$6:G289)</f>
        <v>2.0015563624537411E-2</v>
      </c>
      <c r="K279" s="44" t="str">
        <f>IFERROR(VLOOKUP(A279,CURVA!$B$8:$F$30,5,0),"")</f>
        <v/>
      </c>
      <c r="L279" s="45">
        <f t="shared" si="27"/>
        <v>7.7777777777777779E-2</v>
      </c>
      <c r="M279" s="46">
        <f>interpola(E279-$E$4,CURVA!$H$6:$H$20,CURVA!$G$6:$G$20)</f>
        <v>0.02</v>
      </c>
      <c r="N279" s="47">
        <f t="shared" si="28"/>
        <v>0.65704681981505675</v>
      </c>
      <c r="O279" s="49" t="str">
        <f>IF(K279="","",SUMPRODUCT($J$10:J279,$L$10:L279,$N$10:N279)*$E$5)</f>
        <v/>
      </c>
      <c r="P279" s="49" t="str">
        <f>IF(K279="","",SUMPRODUCT($L$10:L279,$N$10:N279)*$K279*$E$5)</f>
        <v/>
      </c>
      <c r="Q279" s="6"/>
      <c r="R279" s="12"/>
      <c r="S279" s="7"/>
    </row>
    <row r="280" spans="1:19" x14ac:dyDescent="0.2">
      <c r="A280" s="41">
        <f t="shared" si="25"/>
        <v>7588</v>
      </c>
      <c r="C280" s="41">
        <v>271</v>
      </c>
      <c r="D280" s="15">
        <f t="shared" si="29"/>
        <v>50222</v>
      </c>
      <c r="E280" s="42">
        <f t="shared" si="26"/>
        <v>50250</v>
      </c>
      <c r="F280" s="42"/>
      <c r="G280" s="42"/>
      <c r="H280" s="15"/>
      <c r="I280" s="43">
        <f t="shared" si="24"/>
        <v>50250</v>
      </c>
      <c r="J280" s="44">
        <f>forward($E$4,D280,E280,CURVA!$H$6:H290,CURVA!$G$6:G290)</f>
        <v>2.0015563624537411E-2</v>
      </c>
      <c r="K280" s="44" t="str">
        <f>IFERROR(VLOOKUP(A280,CURVA!$B$8:$F$30,5,0),"")</f>
        <v/>
      </c>
      <c r="L280" s="45">
        <f t="shared" si="27"/>
        <v>7.7777777777777779E-2</v>
      </c>
      <c r="M280" s="46">
        <f>interpola(E280-$E$4,CURVA!$H$6:$H$20,CURVA!$G$6:$G$20)</f>
        <v>0.02</v>
      </c>
      <c r="N280" s="47">
        <f t="shared" si="28"/>
        <v>0.65602554151773473</v>
      </c>
      <c r="O280" s="49" t="str">
        <f>IF(K280="","",SUMPRODUCT($J$10:J280,$L$10:L280,$N$10:N280)*$E$5)</f>
        <v/>
      </c>
      <c r="P280" s="49" t="str">
        <f>IF(K280="","",SUMPRODUCT($L$10:L280,$N$10:N280)*$K280*$E$5)</f>
        <v/>
      </c>
      <c r="Q280" s="6"/>
      <c r="R280" s="12"/>
      <c r="S280" s="7"/>
    </row>
    <row r="281" spans="1:19" x14ac:dyDescent="0.2">
      <c r="A281" s="41">
        <f t="shared" si="25"/>
        <v>7616</v>
      </c>
      <c r="C281" s="41">
        <v>272</v>
      </c>
      <c r="D281" s="15">
        <f t="shared" si="29"/>
        <v>50250</v>
      </c>
      <c r="E281" s="42">
        <f t="shared" si="26"/>
        <v>50278</v>
      </c>
      <c r="F281" s="42"/>
      <c r="G281" s="42"/>
      <c r="H281" s="15"/>
      <c r="I281" s="43">
        <f t="shared" si="24"/>
        <v>50278</v>
      </c>
      <c r="J281" s="44">
        <f>forward($E$4,D281,E281,CURVA!$H$6:H291,CURVA!$G$6:G291)</f>
        <v>2.0015563624537411E-2</v>
      </c>
      <c r="K281" s="44" t="str">
        <f>IFERROR(VLOOKUP(A281,CURVA!$B$8:$F$30,5,0),"")</f>
        <v/>
      </c>
      <c r="L281" s="45">
        <f t="shared" si="27"/>
        <v>7.7777777777777779E-2</v>
      </c>
      <c r="M281" s="46">
        <f>interpola(E281-$E$4,CURVA!$H$6:$H$20,CURVA!$G$6:$G$20)</f>
        <v>0.02</v>
      </c>
      <c r="N281" s="47">
        <f t="shared" si="28"/>
        <v>0.6550058506405616</v>
      </c>
      <c r="O281" s="49" t="str">
        <f>IF(K281="","",SUMPRODUCT($J$10:J281,$L$10:L281,$N$10:N281)*$E$5)</f>
        <v/>
      </c>
      <c r="P281" s="49" t="str">
        <f>IF(K281="","",SUMPRODUCT($L$10:L281,$N$10:N281)*$K281*$E$5)</f>
        <v/>
      </c>
      <c r="Q281" s="6"/>
      <c r="R281" s="12"/>
      <c r="S281" s="7"/>
    </row>
    <row r="282" spans="1:19" x14ac:dyDescent="0.2">
      <c r="A282" s="41">
        <f t="shared" si="25"/>
        <v>7644</v>
      </c>
      <c r="C282" s="41">
        <v>273</v>
      </c>
      <c r="D282" s="15">
        <f t="shared" si="29"/>
        <v>50278</v>
      </c>
      <c r="E282" s="42">
        <f t="shared" si="26"/>
        <v>50306</v>
      </c>
      <c r="F282" s="42"/>
      <c r="G282" s="42"/>
      <c r="H282" s="15"/>
      <c r="I282" s="43">
        <f t="shared" si="24"/>
        <v>50306</v>
      </c>
      <c r="J282" s="44">
        <f>forward($E$4,D282,E282,CURVA!$H$6:H292,CURVA!$G$6:G292)</f>
        <v>2.0015563624537411E-2</v>
      </c>
      <c r="K282" s="44" t="str">
        <f>IFERROR(VLOOKUP(A282,CURVA!$B$8:$F$30,5,0),"")</f>
        <v/>
      </c>
      <c r="L282" s="45">
        <f t="shared" si="27"/>
        <v>7.7777777777777779E-2</v>
      </c>
      <c r="M282" s="46">
        <f>interpola(E282-$E$4,CURVA!$H$6:$H$20,CURVA!$G$6:$G$20)</f>
        <v>0.02</v>
      </c>
      <c r="N282" s="47">
        <f t="shared" si="28"/>
        <v>0.65398774471613685</v>
      </c>
      <c r="O282" s="49" t="str">
        <f>IF(K282="","",SUMPRODUCT($J$10:J282,$L$10:L282,$N$10:N282)*$E$5)</f>
        <v/>
      </c>
      <c r="P282" s="49" t="str">
        <f>IF(K282="","",SUMPRODUCT($L$10:L282,$N$10:N282)*$K282*$E$5)</f>
        <v/>
      </c>
      <c r="Q282" s="6"/>
      <c r="R282" s="12"/>
      <c r="S282" s="7"/>
    </row>
    <row r="283" spans="1:19" x14ac:dyDescent="0.2">
      <c r="A283" s="41">
        <f t="shared" si="25"/>
        <v>7672</v>
      </c>
      <c r="C283" s="41">
        <v>274</v>
      </c>
      <c r="D283" s="15">
        <f t="shared" si="29"/>
        <v>50306</v>
      </c>
      <c r="E283" s="42">
        <f t="shared" si="26"/>
        <v>50334</v>
      </c>
      <c r="F283" s="42"/>
      <c r="G283" s="42"/>
      <c r="H283" s="15"/>
      <c r="I283" s="43">
        <f t="shared" si="24"/>
        <v>50334</v>
      </c>
      <c r="J283" s="44">
        <f>forward($E$4,D283,E283,CURVA!$H$6:H293,CURVA!$G$6:G293)</f>
        <v>2.0015563624537411E-2</v>
      </c>
      <c r="K283" s="44" t="str">
        <f>IFERROR(VLOOKUP(A283,CURVA!$B$8:$F$30,5,0),"")</f>
        <v/>
      </c>
      <c r="L283" s="45">
        <f t="shared" si="27"/>
        <v>7.7777777777777779E-2</v>
      </c>
      <c r="M283" s="46">
        <f>interpola(E283-$E$4,CURVA!$H$6:$H$20,CURVA!$G$6:$G$20)</f>
        <v>0.02</v>
      </c>
      <c r="N283" s="47">
        <f t="shared" si="28"/>
        <v>0.6529712212808948</v>
      </c>
      <c r="O283" s="49" t="str">
        <f>IF(K283="","",SUMPRODUCT($J$10:J283,$L$10:L283,$N$10:N283)*$E$5)</f>
        <v/>
      </c>
      <c r="P283" s="49" t="str">
        <f>IF(K283="","",SUMPRODUCT($L$10:L283,$N$10:N283)*$K283*$E$5)</f>
        <v/>
      </c>
      <c r="Q283" s="6"/>
      <c r="R283" s="12"/>
      <c r="S283" s="7"/>
    </row>
    <row r="284" spans="1:19" x14ac:dyDescent="0.2">
      <c r="A284" s="41">
        <f t="shared" si="25"/>
        <v>7700</v>
      </c>
      <c r="C284" s="41">
        <v>275</v>
      </c>
      <c r="D284" s="15">
        <f t="shared" si="29"/>
        <v>50334</v>
      </c>
      <c r="E284" s="42">
        <f t="shared" si="26"/>
        <v>50362</v>
      </c>
      <c r="F284" s="42"/>
      <c r="G284" s="42"/>
      <c r="H284" s="15"/>
      <c r="I284" s="43">
        <f t="shared" si="24"/>
        <v>50362</v>
      </c>
      <c r="J284" s="44">
        <f>forward($E$4,D284,E284,CURVA!$H$6:H294,CURVA!$G$6:G294)</f>
        <v>2.0015563624537411E-2</v>
      </c>
      <c r="K284" s="44" t="str">
        <f>IFERROR(VLOOKUP(A284,CURVA!$B$8:$F$30,5,0),"")</f>
        <v/>
      </c>
      <c r="L284" s="45">
        <f t="shared" si="27"/>
        <v>7.7777777777777779E-2</v>
      </c>
      <c r="M284" s="46">
        <f>interpola(E284-$E$4,CURVA!$H$6:$H$20,CURVA!$G$6:$G$20)</f>
        <v>0.02</v>
      </c>
      <c r="N284" s="47">
        <f t="shared" si="28"/>
        <v>0.65195627787509958</v>
      </c>
      <c r="O284" s="49" t="str">
        <f>IF(K284="","",SUMPRODUCT($J$10:J284,$L$10:L284,$N$10:N284)*$E$5)</f>
        <v/>
      </c>
      <c r="P284" s="49" t="str">
        <f>IF(K284="","",SUMPRODUCT($L$10:L284,$N$10:N284)*$K284*$E$5)</f>
        <v/>
      </c>
      <c r="Q284" s="6"/>
      <c r="R284" s="12"/>
      <c r="S284" s="7"/>
    </row>
    <row r="285" spans="1:19" x14ac:dyDescent="0.2">
      <c r="A285" s="41">
        <f t="shared" si="25"/>
        <v>7728</v>
      </c>
      <c r="C285" s="41">
        <v>276</v>
      </c>
      <c r="D285" s="15">
        <f t="shared" si="29"/>
        <v>50362</v>
      </c>
      <c r="E285" s="42">
        <f t="shared" si="26"/>
        <v>50390</v>
      </c>
      <c r="F285" s="42"/>
      <c r="G285" s="42"/>
      <c r="H285" s="15"/>
      <c r="I285" s="43">
        <f t="shared" si="24"/>
        <v>50390</v>
      </c>
      <c r="J285" s="44">
        <f>forward($E$4,D285,E285,CURVA!$H$6:H295,CURVA!$G$6:G295)</f>
        <v>2.0015563624537411E-2</v>
      </c>
      <c r="K285" s="44" t="str">
        <f>IFERROR(VLOOKUP(A285,CURVA!$B$8:$F$30,5,0),"")</f>
        <v/>
      </c>
      <c r="L285" s="45">
        <f t="shared" si="27"/>
        <v>7.7777777777777779E-2</v>
      </c>
      <c r="M285" s="46">
        <f>interpola(E285-$E$4,CURVA!$H$6:$H$20,CURVA!$G$6:$G$20)</f>
        <v>0.02</v>
      </c>
      <c r="N285" s="47">
        <f t="shared" si="28"/>
        <v>0.65094291204283794</v>
      </c>
      <c r="O285" s="49" t="str">
        <f>IF(K285="","",SUMPRODUCT($J$10:J285,$L$10:L285,$N$10:N285)*$E$5)</f>
        <v/>
      </c>
      <c r="P285" s="49" t="str">
        <f>IF(K285="","",SUMPRODUCT($L$10:L285,$N$10:N285)*$K285*$E$5)</f>
        <v/>
      </c>
      <c r="Q285" s="6"/>
      <c r="R285" s="12"/>
      <c r="S285" s="7"/>
    </row>
    <row r="286" spans="1:19" x14ac:dyDescent="0.2">
      <c r="A286" s="41">
        <f t="shared" si="25"/>
        <v>7756</v>
      </c>
      <c r="C286" s="41">
        <v>277</v>
      </c>
      <c r="D286" s="15">
        <f t="shared" si="29"/>
        <v>50390</v>
      </c>
      <c r="E286" s="42">
        <f t="shared" si="26"/>
        <v>50418</v>
      </c>
      <c r="F286" s="42"/>
      <c r="G286" s="42"/>
      <c r="H286" s="15"/>
      <c r="I286" s="43">
        <f t="shared" si="24"/>
        <v>50418</v>
      </c>
      <c r="J286" s="44">
        <f>forward($E$4,D286,E286,CURVA!$H$6:H296,CURVA!$G$6:G296)</f>
        <v>2.0015563624537411E-2</v>
      </c>
      <c r="K286" s="44" t="str">
        <f>IFERROR(VLOOKUP(A286,CURVA!$B$8:$F$30,5,0),"")</f>
        <v/>
      </c>
      <c r="L286" s="45">
        <f t="shared" si="27"/>
        <v>7.7777777777777779E-2</v>
      </c>
      <c r="M286" s="46">
        <f>interpola(E286-$E$4,CURVA!$H$6:$H$20,CURVA!$G$6:$G$20)</f>
        <v>0.02</v>
      </c>
      <c r="N286" s="47">
        <f t="shared" si="28"/>
        <v>0.64993112133201447</v>
      </c>
      <c r="O286" s="49" t="str">
        <f>IF(K286="","",SUMPRODUCT($J$10:J286,$L$10:L286,$N$10:N286)*$E$5)</f>
        <v/>
      </c>
      <c r="P286" s="49" t="str">
        <f>IF(K286="","",SUMPRODUCT($L$10:L286,$N$10:N286)*$K286*$E$5)</f>
        <v/>
      </c>
      <c r="Q286" s="6"/>
      <c r="R286" s="12"/>
      <c r="S286" s="7"/>
    </row>
    <row r="287" spans="1:19" x14ac:dyDescent="0.2">
      <c r="A287" s="41">
        <f t="shared" si="25"/>
        <v>7784</v>
      </c>
      <c r="C287" s="41">
        <v>278</v>
      </c>
      <c r="D287" s="15">
        <f t="shared" si="29"/>
        <v>50418</v>
      </c>
      <c r="E287" s="42">
        <f t="shared" si="26"/>
        <v>50446</v>
      </c>
      <c r="F287" s="42"/>
      <c r="G287" s="42"/>
      <c r="H287" s="15"/>
      <c r="I287" s="43">
        <f t="shared" si="24"/>
        <v>50446</v>
      </c>
      <c r="J287" s="44">
        <f>forward($E$4,D287,E287,CURVA!$H$6:H297,CURVA!$G$6:G297)</f>
        <v>2.0015563624537411E-2</v>
      </c>
      <c r="K287" s="44" t="str">
        <f>IFERROR(VLOOKUP(A287,CURVA!$B$8:$F$30,5,0),"")</f>
        <v/>
      </c>
      <c r="L287" s="45">
        <f t="shared" si="27"/>
        <v>7.7777777777777779E-2</v>
      </c>
      <c r="M287" s="46">
        <f>interpola(E287-$E$4,CURVA!$H$6:$H$20,CURVA!$G$6:$G$20)</f>
        <v>0.02</v>
      </c>
      <c r="N287" s="47">
        <f t="shared" si="28"/>
        <v>0.64892090329434493</v>
      </c>
      <c r="O287" s="49" t="str">
        <f>IF(K287="","",SUMPRODUCT($J$10:J287,$L$10:L287,$N$10:N287)*$E$5)</f>
        <v/>
      </c>
      <c r="P287" s="49" t="str">
        <f>IF(K287="","",SUMPRODUCT($L$10:L287,$N$10:N287)*$K287*$E$5)</f>
        <v/>
      </c>
      <c r="Q287" s="6"/>
      <c r="R287" s="12"/>
      <c r="S287" s="7"/>
    </row>
    <row r="288" spans="1:19" x14ac:dyDescent="0.2">
      <c r="A288" s="41">
        <f t="shared" si="25"/>
        <v>7812</v>
      </c>
      <c r="C288" s="41">
        <v>279</v>
      </c>
      <c r="D288" s="15">
        <f t="shared" si="29"/>
        <v>50446</v>
      </c>
      <c r="E288" s="42">
        <f t="shared" si="26"/>
        <v>50474</v>
      </c>
      <c r="F288" s="42"/>
      <c r="G288" s="42"/>
      <c r="H288" s="15"/>
      <c r="I288" s="43">
        <f t="shared" si="24"/>
        <v>50474</v>
      </c>
      <c r="J288" s="44">
        <f>forward($E$4,D288,E288,CURVA!$H$6:H298,CURVA!$G$6:G298)</f>
        <v>2.0015563624537411E-2</v>
      </c>
      <c r="K288" s="44" t="str">
        <f>IFERROR(VLOOKUP(A288,CURVA!$B$8:$F$30,5,0),"")</f>
        <v/>
      </c>
      <c r="L288" s="45">
        <f t="shared" si="27"/>
        <v>7.7777777777777779E-2</v>
      </c>
      <c r="M288" s="46">
        <f>interpola(E288-$E$4,CURVA!$H$6:$H$20,CURVA!$G$6:$G$20)</f>
        <v>0.02</v>
      </c>
      <c r="N288" s="47">
        <f t="shared" si="28"/>
        <v>0.64791225548535059</v>
      </c>
      <c r="O288" s="49" t="str">
        <f>IF(K288="","",SUMPRODUCT($J$10:J288,$L$10:L288,$N$10:N288)*$E$5)</f>
        <v/>
      </c>
      <c r="P288" s="49" t="str">
        <f>IF(K288="","",SUMPRODUCT($L$10:L288,$N$10:N288)*$K288*$E$5)</f>
        <v/>
      </c>
      <c r="Q288" s="6"/>
      <c r="R288" s="12"/>
      <c r="S288" s="7"/>
    </row>
    <row r="289" spans="1:19" x14ac:dyDescent="0.2">
      <c r="A289" s="41">
        <f t="shared" si="25"/>
        <v>7840</v>
      </c>
      <c r="C289" s="41">
        <v>280</v>
      </c>
      <c r="D289" s="15">
        <f t="shared" si="29"/>
        <v>50474</v>
      </c>
      <c r="E289" s="42">
        <f t="shared" si="26"/>
        <v>50502</v>
      </c>
      <c r="F289" s="42"/>
      <c r="G289" s="42"/>
      <c r="H289" s="15"/>
      <c r="I289" s="43">
        <f t="shared" si="24"/>
        <v>50502</v>
      </c>
      <c r="J289" s="44">
        <f>forward($E$4,D289,E289,CURVA!$H$6:H299,CURVA!$G$6:G299)</f>
        <v>2.0015563624537411E-2</v>
      </c>
      <c r="K289" s="44" t="str">
        <f>IFERROR(VLOOKUP(A289,CURVA!$B$8:$F$30,5,0),"")</f>
        <v/>
      </c>
      <c r="L289" s="45">
        <f t="shared" si="27"/>
        <v>7.7777777777777779E-2</v>
      </c>
      <c r="M289" s="46">
        <f>interpola(E289-$E$4,CURVA!$H$6:$H$20,CURVA!$G$6:$G$20)</f>
        <v>0.02</v>
      </c>
      <c r="N289" s="47">
        <f t="shared" si="28"/>
        <v>0.64690517546435233</v>
      </c>
      <c r="O289" s="49" t="str">
        <f>IF(K289="","",SUMPRODUCT($J$10:J289,$L$10:L289,$N$10:N289)*$E$5)</f>
        <v/>
      </c>
      <c r="P289" s="49" t="str">
        <f>IF(K289="","",SUMPRODUCT($L$10:L289,$N$10:N289)*$K289*$E$5)</f>
        <v/>
      </c>
      <c r="Q289" s="6"/>
      <c r="R289" s="12"/>
      <c r="S289" s="7"/>
    </row>
    <row r="290" spans="1:19" x14ac:dyDescent="0.2">
      <c r="A290" s="41">
        <f t="shared" si="25"/>
        <v>7868</v>
      </c>
      <c r="C290" s="41">
        <v>281</v>
      </c>
      <c r="D290" s="15">
        <f t="shared" si="29"/>
        <v>50502</v>
      </c>
      <c r="E290" s="42">
        <f t="shared" si="26"/>
        <v>50530</v>
      </c>
      <c r="F290" s="42"/>
      <c r="G290" s="42"/>
      <c r="H290" s="15"/>
      <c r="I290" s="43">
        <f t="shared" si="24"/>
        <v>50530</v>
      </c>
      <c r="J290" s="44">
        <f>forward($E$4,D290,E290,CURVA!$H$6:H300,CURVA!$G$6:G300)</f>
        <v>2.0015563624537411E-2</v>
      </c>
      <c r="K290" s="44" t="str">
        <f>IFERROR(VLOOKUP(A290,CURVA!$B$8:$F$30,5,0),"")</f>
        <v/>
      </c>
      <c r="L290" s="45">
        <f t="shared" si="27"/>
        <v>7.7777777777777779E-2</v>
      </c>
      <c r="M290" s="46">
        <f>interpola(E290-$E$4,CURVA!$H$6:$H$20,CURVA!$G$6:$G$20)</f>
        <v>0.02</v>
      </c>
      <c r="N290" s="47">
        <f t="shared" si="28"/>
        <v>0.6458996607944647</v>
      </c>
      <c r="O290" s="49" t="str">
        <f>IF(K290="","",SUMPRODUCT($J$10:J290,$L$10:L290,$N$10:N290)*$E$5)</f>
        <v/>
      </c>
      <c r="P290" s="49" t="str">
        <f>IF(K290="","",SUMPRODUCT($L$10:L290,$N$10:N290)*$K290*$E$5)</f>
        <v/>
      </c>
      <c r="Q290" s="6"/>
      <c r="R290" s="12"/>
      <c r="S290" s="7"/>
    </row>
    <row r="291" spans="1:19" x14ac:dyDescent="0.2">
      <c r="A291" s="41">
        <f t="shared" si="25"/>
        <v>7896</v>
      </c>
      <c r="C291" s="41">
        <v>282</v>
      </c>
      <c r="D291" s="15">
        <f t="shared" si="29"/>
        <v>50530</v>
      </c>
      <c r="E291" s="42">
        <f t="shared" si="26"/>
        <v>50558</v>
      </c>
      <c r="F291" s="42"/>
      <c r="G291" s="42"/>
      <c r="H291" s="15"/>
      <c r="I291" s="43">
        <f t="shared" si="24"/>
        <v>50558</v>
      </c>
      <c r="J291" s="44">
        <f>forward($E$4,D291,E291,CURVA!$H$6:H301,CURVA!$G$6:G301)</f>
        <v>2.0015563624537411E-2</v>
      </c>
      <c r="K291" s="44" t="str">
        <f>IFERROR(VLOOKUP(A291,CURVA!$B$8:$F$30,5,0),"")</f>
        <v/>
      </c>
      <c r="L291" s="45">
        <f t="shared" si="27"/>
        <v>7.7777777777777779E-2</v>
      </c>
      <c r="M291" s="46">
        <f>interpola(E291-$E$4,CURVA!$H$6:$H$20,CURVA!$G$6:$G$20)</f>
        <v>0.02</v>
      </c>
      <c r="N291" s="47">
        <f t="shared" si="28"/>
        <v>0.64489570904258986</v>
      </c>
      <c r="O291" s="49" t="str">
        <f>IF(K291="","",SUMPRODUCT($J$10:J291,$L$10:L291,$N$10:N291)*$E$5)</f>
        <v/>
      </c>
      <c r="P291" s="49" t="str">
        <f>IF(K291="","",SUMPRODUCT($L$10:L291,$N$10:N291)*$K291*$E$5)</f>
        <v/>
      </c>
      <c r="Q291" s="6"/>
      <c r="R291" s="12"/>
      <c r="S291" s="7"/>
    </row>
    <row r="292" spans="1:19" x14ac:dyDescent="0.2">
      <c r="A292" s="41">
        <f t="shared" si="25"/>
        <v>7924</v>
      </c>
      <c r="C292" s="41">
        <v>283</v>
      </c>
      <c r="D292" s="15">
        <f t="shared" si="29"/>
        <v>50558</v>
      </c>
      <c r="E292" s="42">
        <f t="shared" si="26"/>
        <v>50586</v>
      </c>
      <c r="F292" s="42"/>
      <c r="G292" s="42"/>
      <c r="H292" s="15"/>
      <c r="I292" s="43">
        <f t="shared" si="24"/>
        <v>50586</v>
      </c>
      <c r="J292" s="44">
        <f>forward($E$4,D292,E292,CURVA!$H$6:H302,CURVA!$G$6:G302)</f>
        <v>2.0015563624537411E-2</v>
      </c>
      <c r="K292" s="44" t="str">
        <f>IFERROR(VLOOKUP(A292,CURVA!$B$8:$F$30,5,0),"")</f>
        <v/>
      </c>
      <c r="L292" s="45">
        <f t="shared" si="27"/>
        <v>7.7777777777777779E-2</v>
      </c>
      <c r="M292" s="46">
        <f>interpola(E292-$E$4,CURVA!$H$6:$H$20,CURVA!$G$6:$G$20)</f>
        <v>0.02</v>
      </c>
      <c r="N292" s="47">
        <f t="shared" si="28"/>
        <v>0.64389331777941228</v>
      </c>
      <c r="O292" s="49" t="str">
        <f>IF(K292="","",SUMPRODUCT($J$10:J292,$L$10:L292,$N$10:N292)*$E$5)</f>
        <v/>
      </c>
      <c r="P292" s="49" t="str">
        <f>IF(K292="","",SUMPRODUCT($L$10:L292,$N$10:N292)*$K292*$E$5)</f>
        <v/>
      </c>
      <c r="Q292" s="6"/>
      <c r="R292" s="12"/>
      <c r="S292" s="7"/>
    </row>
    <row r="293" spans="1:19" x14ac:dyDescent="0.2">
      <c r="A293" s="41">
        <f t="shared" si="25"/>
        <v>7952</v>
      </c>
      <c r="C293" s="41">
        <v>284</v>
      </c>
      <c r="D293" s="15">
        <f t="shared" si="29"/>
        <v>50586</v>
      </c>
      <c r="E293" s="42">
        <f t="shared" si="26"/>
        <v>50614</v>
      </c>
      <c r="F293" s="42"/>
      <c r="G293" s="42"/>
      <c r="H293" s="15"/>
      <c r="I293" s="43">
        <f t="shared" si="24"/>
        <v>50614</v>
      </c>
      <c r="J293" s="44">
        <f>forward($E$4,D293,E293,CURVA!$H$6:H303,CURVA!$G$6:G303)</f>
        <v>2.0015563624537411E-2</v>
      </c>
      <c r="K293" s="44" t="str">
        <f>IFERROR(VLOOKUP(A293,CURVA!$B$8:$F$30,5,0),"")</f>
        <v/>
      </c>
      <c r="L293" s="45">
        <f t="shared" si="27"/>
        <v>7.7777777777777779E-2</v>
      </c>
      <c r="M293" s="46">
        <f>interpola(E293-$E$4,CURVA!$H$6:$H$20,CURVA!$G$6:$G$20)</f>
        <v>0.02</v>
      </c>
      <c r="N293" s="47">
        <f t="shared" si="28"/>
        <v>0.64289248457939163</v>
      </c>
      <c r="O293" s="49" t="str">
        <f>IF(K293="","",SUMPRODUCT($J$10:J293,$L$10:L293,$N$10:N293)*$E$5)</f>
        <v/>
      </c>
      <c r="P293" s="49" t="str">
        <f>IF(K293="","",SUMPRODUCT($L$10:L293,$N$10:N293)*$K293*$E$5)</f>
        <v/>
      </c>
      <c r="Q293" s="6"/>
      <c r="R293" s="12"/>
      <c r="S293" s="7"/>
    </row>
    <row r="294" spans="1:19" x14ac:dyDescent="0.2">
      <c r="A294" s="41">
        <f t="shared" si="25"/>
        <v>7980</v>
      </c>
      <c r="C294" s="41">
        <v>285</v>
      </c>
      <c r="D294" s="15">
        <f t="shared" si="29"/>
        <v>50614</v>
      </c>
      <c r="E294" s="42">
        <f t="shared" si="26"/>
        <v>50642</v>
      </c>
      <c r="F294" s="42"/>
      <c r="G294" s="42"/>
      <c r="H294" s="15"/>
      <c r="I294" s="43">
        <f t="shared" si="24"/>
        <v>50642</v>
      </c>
      <c r="J294" s="44">
        <f>forward($E$4,D294,E294,CURVA!$H$6:H304,CURVA!$G$6:G304)</f>
        <v>2.0015563624537411E-2</v>
      </c>
      <c r="K294" s="44" t="str">
        <f>IFERROR(VLOOKUP(A294,CURVA!$B$8:$F$30,5,0),"")</f>
        <v/>
      </c>
      <c r="L294" s="45">
        <f t="shared" si="27"/>
        <v>7.7777777777777779E-2</v>
      </c>
      <c r="M294" s="46">
        <f>interpola(E294-$E$4,CURVA!$H$6:$H$20,CURVA!$G$6:$G$20)</f>
        <v>0.02</v>
      </c>
      <c r="N294" s="47">
        <f t="shared" si="28"/>
        <v>0.64189320702075869</v>
      </c>
      <c r="O294" s="49" t="str">
        <f>IF(K294="","",SUMPRODUCT($J$10:J294,$L$10:L294,$N$10:N294)*$E$5)</f>
        <v/>
      </c>
      <c r="P294" s="49" t="str">
        <f>IF(K294="","",SUMPRODUCT($L$10:L294,$N$10:N294)*$K294*$E$5)</f>
        <v/>
      </c>
      <c r="Q294" s="6"/>
      <c r="R294" s="12"/>
      <c r="S294" s="7"/>
    </row>
    <row r="295" spans="1:19" x14ac:dyDescent="0.2">
      <c r="A295" s="41">
        <f t="shared" si="25"/>
        <v>8008</v>
      </c>
      <c r="C295" s="41">
        <v>286</v>
      </c>
      <c r="D295" s="15">
        <f t="shared" si="29"/>
        <v>50642</v>
      </c>
      <c r="E295" s="42">
        <f t="shared" si="26"/>
        <v>50670</v>
      </c>
      <c r="F295" s="42"/>
      <c r="G295" s="42"/>
      <c r="H295" s="15"/>
      <c r="I295" s="43">
        <f t="shared" si="24"/>
        <v>50670</v>
      </c>
      <c r="J295" s="44">
        <f>forward($E$4,D295,E295,CURVA!$H$6:H305,CURVA!$G$6:G305)</f>
        <v>2.0015563624537411E-2</v>
      </c>
      <c r="K295" s="44" t="str">
        <f>IFERROR(VLOOKUP(A295,CURVA!$B$8:$F$30,5,0),"")</f>
        <v/>
      </c>
      <c r="L295" s="45">
        <f t="shared" si="27"/>
        <v>7.7777777777777779E-2</v>
      </c>
      <c r="M295" s="46">
        <f>interpola(E295-$E$4,CURVA!$H$6:$H$20,CURVA!$G$6:$G$20)</f>
        <v>0.02</v>
      </c>
      <c r="N295" s="47">
        <f t="shared" si="28"/>
        <v>0.64089548268550767</v>
      </c>
      <c r="O295" s="49" t="str">
        <f>IF(K295="","",SUMPRODUCT($J$10:J295,$L$10:L295,$N$10:N295)*$E$5)</f>
        <v/>
      </c>
      <c r="P295" s="49" t="str">
        <f>IF(K295="","",SUMPRODUCT($L$10:L295,$N$10:N295)*$K295*$E$5)</f>
        <v/>
      </c>
      <c r="Q295" s="6"/>
      <c r="R295" s="12"/>
      <c r="S295" s="7"/>
    </row>
    <row r="296" spans="1:19" x14ac:dyDescent="0.2">
      <c r="A296" s="41">
        <f t="shared" si="25"/>
        <v>8036</v>
      </c>
      <c r="C296" s="41">
        <v>287</v>
      </c>
      <c r="D296" s="15">
        <f t="shared" si="29"/>
        <v>50670</v>
      </c>
      <c r="E296" s="42">
        <f t="shared" si="26"/>
        <v>50698</v>
      </c>
      <c r="F296" s="42"/>
      <c r="G296" s="42"/>
      <c r="H296" s="15"/>
      <c r="I296" s="43">
        <f t="shared" si="24"/>
        <v>50698</v>
      </c>
      <c r="J296" s="44">
        <f>forward($E$4,D296,E296,CURVA!$H$6:H306,CURVA!$G$6:G306)</f>
        <v>2.0015563624537411E-2</v>
      </c>
      <c r="K296" s="44" t="str">
        <f>IFERROR(VLOOKUP(A296,CURVA!$B$8:$F$30,5,0),"")</f>
        <v/>
      </c>
      <c r="L296" s="45">
        <f t="shared" si="27"/>
        <v>7.7777777777777779E-2</v>
      </c>
      <c r="M296" s="46">
        <f>interpola(E296-$E$4,CURVA!$H$6:$H$20,CURVA!$G$6:$G$20)</f>
        <v>0.02</v>
      </c>
      <c r="N296" s="47">
        <f t="shared" si="28"/>
        <v>0.63989930915939164</v>
      </c>
      <c r="O296" s="49" t="str">
        <f>IF(K296="","",SUMPRODUCT($J$10:J296,$L$10:L296,$N$10:N296)*$E$5)</f>
        <v/>
      </c>
      <c r="P296" s="49" t="str">
        <f>IF(K296="","",SUMPRODUCT($L$10:L296,$N$10:N296)*$K296*$E$5)</f>
        <v/>
      </c>
      <c r="Q296" s="6"/>
      <c r="R296" s="12"/>
      <c r="S296" s="7"/>
    </row>
    <row r="297" spans="1:19" x14ac:dyDescent="0.2">
      <c r="A297" s="41">
        <f t="shared" si="25"/>
        <v>8064</v>
      </c>
      <c r="C297" s="41">
        <v>288</v>
      </c>
      <c r="D297" s="15">
        <f t="shared" si="29"/>
        <v>50698</v>
      </c>
      <c r="E297" s="42">
        <f t="shared" si="26"/>
        <v>50726</v>
      </c>
      <c r="F297" s="42"/>
      <c r="G297" s="42"/>
      <c r="H297" s="15"/>
      <c r="I297" s="43">
        <f t="shared" si="24"/>
        <v>50726</v>
      </c>
      <c r="J297" s="44">
        <f>forward($E$4,D297,E297,CURVA!$H$6:H307,CURVA!$G$6:G307)</f>
        <v>2.0015563624537411E-2</v>
      </c>
      <c r="K297" s="44" t="str">
        <f>IFERROR(VLOOKUP(A297,CURVA!$B$8:$F$30,5,0),"")</f>
        <v/>
      </c>
      <c r="L297" s="45">
        <f t="shared" si="27"/>
        <v>7.7777777777777779E-2</v>
      </c>
      <c r="M297" s="46">
        <f>interpola(E297-$E$4,CURVA!$H$6:$H$20,CURVA!$G$6:$G$20)</f>
        <v>0.02</v>
      </c>
      <c r="N297" s="47">
        <f t="shared" si="28"/>
        <v>0.63890468403191625</v>
      </c>
      <c r="O297" s="49" t="str">
        <f>IF(K297="","",SUMPRODUCT($J$10:J297,$L$10:L297,$N$10:N297)*$E$5)</f>
        <v/>
      </c>
      <c r="P297" s="49" t="str">
        <f>IF(K297="","",SUMPRODUCT($L$10:L297,$N$10:N297)*$K297*$E$5)</f>
        <v/>
      </c>
      <c r="Q297" s="6"/>
      <c r="R297" s="12"/>
      <c r="S297" s="7"/>
    </row>
    <row r="298" spans="1:19" x14ac:dyDescent="0.2">
      <c r="A298" s="41">
        <f t="shared" si="25"/>
        <v>8092</v>
      </c>
      <c r="C298" s="41">
        <v>289</v>
      </c>
      <c r="D298" s="15">
        <f t="shared" si="29"/>
        <v>50726</v>
      </c>
      <c r="E298" s="42">
        <f t="shared" si="26"/>
        <v>50754</v>
      </c>
      <c r="F298" s="42"/>
      <c r="G298" s="42"/>
      <c r="H298" s="15"/>
      <c r="I298" s="43">
        <f t="shared" si="24"/>
        <v>50754</v>
      </c>
      <c r="J298" s="44">
        <f>forward($E$4,D298,E298,CURVA!$H$6:H308,CURVA!$G$6:G308)</f>
        <v>2.0015563624537411E-2</v>
      </c>
      <c r="K298" s="44" t="str">
        <f>IFERROR(VLOOKUP(A298,CURVA!$B$8:$F$30,5,0),"")</f>
        <v/>
      </c>
      <c r="L298" s="45">
        <f t="shared" si="27"/>
        <v>7.7777777777777779E-2</v>
      </c>
      <c r="M298" s="46">
        <f>interpola(E298-$E$4,CURVA!$H$6:$H$20,CURVA!$G$6:$G$20)</f>
        <v>0.02</v>
      </c>
      <c r="N298" s="47">
        <f t="shared" si="28"/>
        <v>0.63791160489633369</v>
      </c>
      <c r="O298" s="49" t="str">
        <f>IF(K298="","",SUMPRODUCT($J$10:J298,$L$10:L298,$N$10:N298)*$E$5)</f>
        <v/>
      </c>
      <c r="P298" s="49" t="str">
        <f>IF(K298="","",SUMPRODUCT($L$10:L298,$N$10:N298)*$K298*$E$5)</f>
        <v/>
      </c>
      <c r="Q298" s="6"/>
      <c r="R298" s="12"/>
      <c r="S298" s="7"/>
    </row>
    <row r="299" spans="1:19" x14ac:dyDescent="0.2">
      <c r="A299" s="41">
        <f t="shared" si="25"/>
        <v>8120</v>
      </c>
      <c r="C299" s="41">
        <v>290</v>
      </c>
      <c r="D299" s="15">
        <f t="shared" si="29"/>
        <v>50754</v>
      </c>
      <c r="E299" s="42">
        <f t="shared" si="26"/>
        <v>50782</v>
      </c>
      <c r="F299" s="42"/>
      <c r="G299" s="42"/>
      <c r="H299" s="15"/>
      <c r="I299" s="43">
        <f t="shared" si="24"/>
        <v>50782</v>
      </c>
      <c r="J299" s="44">
        <f>forward($E$4,D299,E299,CURVA!$H$6:H309,CURVA!$G$6:G309)</f>
        <v>2.0015563624537411E-2</v>
      </c>
      <c r="K299" s="44" t="str">
        <f>IFERROR(VLOOKUP(A299,CURVA!$B$8:$F$30,5,0),"")</f>
        <v/>
      </c>
      <c r="L299" s="45">
        <f t="shared" si="27"/>
        <v>7.7777777777777779E-2</v>
      </c>
      <c r="M299" s="46">
        <f>interpola(E299-$E$4,CURVA!$H$6:$H$20,CURVA!$G$6:$G$20)</f>
        <v>0.02</v>
      </c>
      <c r="N299" s="47">
        <f t="shared" si="28"/>
        <v>0.63692006934963719</v>
      </c>
      <c r="O299" s="49" t="str">
        <f>IF(K299="","",SUMPRODUCT($J$10:J299,$L$10:L299,$N$10:N299)*$E$5)</f>
        <v/>
      </c>
      <c r="P299" s="49" t="str">
        <f>IF(K299="","",SUMPRODUCT($L$10:L299,$N$10:N299)*$K299*$E$5)</f>
        <v/>
      </c>
      <c r="Q299" s="6"/>
      <c r="R299" s="12"/>
      <c r="S299" s="7"/>
    </row>
    <row r="300" spans="1:19" x14ac:dyDescent="0.2">
      <c r="A300" s="41">
        <f t="shared" si="25"/>
        <v>8148</v>
      </c>
      <c r="C300" s="41">
        <v>291</v>
      </c>
      <c r="D300" s="15">
        <f t="shared" si="29"/>
        <v>50782</v>
      </c>
      <c r="E300" s="42">
        <f t="shared" si="26"/>
        <v>50810</v>
      </c>
      <c r="F300" s="42"/>
      <c r="G300" s="42"/>
      <c r="H300" s="15"/>
      <c r="I300" s="43">
        <f t="shared" si="24"/>
        <v>50810</v>
      </c>
      <c r="J300" s="44">
        <f>forward($E$4,D300,E300,CURVA!$H$6:H310,CURVA!$G$6:G310)</f>
        <v>2.0015563624537411E-2</v>
      </c>
      <c r="K300" s="44" t="str">
        <f>IFERROR(VLOOKUP(A300,CURVA!$B$8:$F$30,5,0),"")</f>
        <v/>
      </c>
      <c r="L300" s="45">
        <f t="shared" si="27"/>
        <v>7.7777777777777779E-2</v>
      </c>
      <c r="M300" s="46">
        <f>interpola(E300-$E$4,CURVA!$H$6:$H$20,CURVA!$G$6:$G$20)</f>
        <v>0.02</v>
      </c>
      <c r="N300" s="47">
        <f t="shared" si="28"/>
        <v>0.63593007499255505</v>
      </c>
      <c r="O300" s="49" t="str">
        <f>IF(K300="","",SUMPRODUCT($J$10:J300,$L$10:L300,$N$10:N300)*$E$5)</f>
        <v/>
      </c>
      <c r="P300" s="49" t="str">
        <f>IF(K300="","",SUMPRODUCT($L$10:L300,$N$10:N300)*$K300*$E$5)</f>
        <v/>
      </c>
      <c r="Q300" s="6"/>
      <c r="R300" s="12"/>
      <c r="S300" s="7"/>
    </row>
    <row r="301" spans="1:19" x14ac:dyDescent="0.2">
      <c r="A301" s="41">
        <f t="shared" si="25"/>
        <v>8176</v>
      </c>
      <c r="C301" s="41">
        <v>292</v>
      </c>
      <c r="D301" s="15">
        <f t="shared" si="29"/>
        <v>50810</v>
      </c>
      <c r="E301" s="42">
        <f t="shared" si="26"/>
        <v>50838</v>
      </c>
      <c r="F301" s="42"/>
      <c r="G301" s="42"/>
      <c r="H301" s="15"/>
      <c r="I301" s="43">
        <f t="shared" si="24"/>
        <v>50838</v>
      </c>
      <c r="J301" s="44">
        <f>forward($E$4,D301,E301,CURVA!$H$6:H311,CURVA!$G$6:G311)</f>
        <v>2.0015563624537411E-2</v>
      </c>
      <c r="K301" s="44" t="str">
        <f>IFERROR(VLOOKUP(A301,CURVA!$B$8:$F$30,5,0),"")</f>
        <v/>
      </c>
      <c r="L301" s="45">
        <f t="shared" si="27"/>
        <v>7.7777777777777779E-2</v>
      </c>
      <c r="M301" s="46">
        <f>interpola(E301-$E$4,CURVA!$H$6:$H$20,CURVA!$G$6:$G$20)</f>
        <v>0.02</v>
      </c>
      <c r="N301" s="47">
        <f t="shared" si="28"/>
        <v>0.63494161942954486</v>
      </c>
      <c r="O301" s="49" t="str">
        <f>IF(K301="","",SUMPRODUCT($J$10:J301,$L$10:L301,$N$10:N301)*$E$5)</f>
        <v/>
      </c>
      <c r="P301" s="49" t="str">
        <f>IF(K301="","",SUMPRODUCT($L$10:L301,$N$10:N301)*$K301*$E$5)</f>
        <v/>
      </c>
      <c r="Q301" s="6"/>
      <c r="R301" s="12"/>
      <c r="S301" s="7"/>
    </row>
    <row r="302" spans="1:19" x14ac:dyDescent="0.2">
      <c r="A302" s="41">
        <f t="shared" si="25"/>
        <v>8204</v>
      </c>
      <c r="C302" s="41">
        <v>293</v>
      </c>
      <c r="D302" s="15">
        <f t="shared" si="29"/>
        <v>50838</v>
      </c>
      <c r="E302" s="42">
        <f t="shared" si="26"/>
        <v>50866</v>
      </c>
      <c r="F302" s="42"/>
      <c r="G302" s="42"/>
      <c r="H302" s="15"/>
      <c r="I302" s="43">
        <f t="shared" si="24"/>
        <v>50866</v>
      </c>
      <c r="J302" s="44">
        <f>forward($E$4,D302,E302,CURVA!$H$6:H312,CURVA!$G$6:G312)</f>
        <v>2.0015563624537411E-2</v>
      </c>
      <c r="K302" s="44" t="str">
        <f>IFERROR(VLOOKUP(A302,CURVA!$B$8:$F$30,5,0),"")</f>
        <v/>
      </c>
      <c r="L302" s="45">
        <f t="shared" si="27"/>
        <v>7.7777777777777779E-2</v>
      </c>
      <c r="M302" s="46">
        <f>interpola(E302-$E$4,CURVA!$H$6:$H$20,CURVA!$G$6:$G$20)</f>
        <v>0.02</v>
      </c>
      <c r="N302" s="47">
        <f t="shared" si="28"/>
        <v>0.63395470026878786</v>
      </c>
      <c r="O302" s="49" t="str">
        <f>IF(K302="","",SUMPRODUCT($J$10:J302,$L$10:L302,$N$10:N302)*$E$5)</f>
        <v/>
      </c>
      <c r="P302" s="49" t="str">
        <f>IF(K302="","",SUMPRODUCT($L$10:L302,$N$10:N302)*$K302*$E$5)</f>
        <v/>
      </c>
      <c r="Q302" s="6"/>
      <c r="R302" s="12"/>
      <c r="S302" s="7"/>
    </row>
    <row r="303" spans="1:19" x14ac:dyDescent="0.2">
      <c r="A303" s="41">
        <f t="shared" si="25"/>
        <v>8232</v>
      </c>
      <c r="C303" s="41">
        <v>294</v>
      </c>
      <c r="D303" s="15">
        <f t="shared" si="29"/>
        <v>50866</v>
      </c>
      <c r="E303" s="42">
        <f t="shared" si="26"/>
        <v>50894</v>
      </c>
      <c r="F303" s="42"/>
      <c r="G303" s="42"/>
      <c r="H303" s="15"/>
      <c r="I303" s="43">
        <f t="shared" si="24"/>
        <v>50894</v>
      </c>
      <c r="J303" s="44">
        <f>forward($E$4,D303,E303,CURVA!$H$6:H313,CURVA!$G$6:G313)</f>
        <v>2.0015563624537411E-2</v>
      </c>
      <c r="K303" s="44" t="str">
        <f>IFERROR(VLOOKUP(A303,CURVA!$B$8:$F$30,5,0),"")</f>
        <v/>
      </c>
      <c r="L303" s="45">
        <f t="shared" si="27"/>
        <v>7.7777777777777779E-2</v>
      </c>
      <c r="M303" s="46">
        <f>interpola(E303-$E$4,CURVA!$H$6:$H$20,CURVA!$G$6:$G$20)</f>
        <v>0.02</v>
      </c>
      <c r="N303" s="47">
        <f t="shared" si="28"/>
        <v>0.63296931512218291</v>
      </c>
      <c r="O303" s="49" t="str">
        <f>IF(K303="","",SUMPRODUCT($J$10:J303,$L$10:L303,$N$10:N303)*$E$5)</f>
        <v/>
      </c>
      <c r="P303" s="49" t="str">
        <f>IF(K303="","",SUMPRODUCT($L$10:L303,$N$10:N303)*$K303*$E$5)</f>
        <v/>
      </c>
      <c r="Q303" s="6"/>
      <c r="R303" s="12"/>
      <c r="S303" s="7"/>
    </row>
    <row r="304" spans="1:19" x14ac:dyDescent="0.2">
      <c r="A304" s="41">
        <f t="shared" si="25"/>
        <v>8260</v>
      </c>
      <c r="C304" s="41">
        <v>295</v>
      </c>
      <c r="D304" s="15">
        <f t="shared" si="29"/>
        <v>50894</v>
      </c>
      <c r="E304" s="42">
        <f t="shared" si="26"/>
        <v>50922</v>
      </c>
      <c r="F304" s="42"/>
      <c r="G304" s="42"/>
      <c r="H304" s="15"/>
      <c r="I304" s="43">
        <f t="shared" si="24"/>
        <v>50922</v>
      </c>
      <c r="J304" s="44">
        <f>forward($E$4,D304,E304,CURVA!$H$6:H314,CURVA!$G$6:G314)</f>
        <v>2.0015563624537411E-2</v>
      </c>
      <c r="K304" s="44" t="str">
        <f>IFERROR(VLOOKUP(A304,CURVA!$B$8:$F$30,5,0),"")</f>
        <v/>
      </c>
      <c r="L304" s="45">
        <f t="shared" si="27"/>
        <v>7.7777777777777779E-2</v>
      </c>
      <c r="M304" s="46">
        <f>interpola(E304-$E$4,CURVA!$H$6:$H$20,CURVA!$G$6:$G$20)</f>
        <v>0.02</v>
      </c>
      <c r="N304" s="47">
        <f t="shared" si="28"/>
        <v>0.63198546160534053</v>
      </c>
      <c r="O304" s="49" t="str">
        <f>IF(K304="","",SUMPRODUCT($J$10:J304,$L$10:L304,$N$10:N304)*$E$5)</f>
        <v/>
      </c>
      <c r="P304" s="49" t="str">
        <f>IF(K304="","",SUMPRODUCT($L$10:L304,$N$10:N304)*$K304*$E$5)</f>
        <v/>
      </c>
      <c r="Q304" s="6"/>
      <c r="R304" s="12"/>
      <c r="S304" s="7"/>
    </row>
    <row r="305" spans="1:19" x14ac:dyDescent="0.2">
      <c r="A305" s="41">
        <f t="shared" si="25"/>
        <v>8288</v>
      </c>
      <c r="C305" s="41">
        <v>296</v>
      </c>
      <c r="D305" s="15">
        <f t="shared" si="29"/>
        <v>50922</v>
      </c>
      <c r="E305" s="42">
        <f t="shared" si="26"/>
        <v>50950</v>
      </c>
      <c r="F305" s="42"/>
      <c r="G305" s="42"/>
      <c r="H305" s="15"/>
      <c r="I305" s="43">
        <f t="shared" si="24"/>
        <v>50950</v>
      </c>
      <c r="J305" s="44">
        <f>forward($E$4,D305,E305,CURVA!$H$6:H315,CURVA!$G$6:G315)</f>
        <v>2.0015563624537411E-2</v>
      </c>
      <c r="K305" s="44" t="str">
        <f>IFERROR(VLOOKUP(A305,CURVA!$B$8:$F$30,5,0),"")</f>
        <v/>
      </c>
      <c r="L305" s="45">
        <f t="shared" si="27"/>
        <v>7.7777777777777779E-2</v>
      </c>
      <c r="M305" s="46">
        <f>interpola(E305-$E$4,CURVA!$H$6:$H$20,CURVA!$G$6:$G$20)</f>
        <v>0.02</v>
      </c>
      <c r="N305" s="47">
        <f t="shared" si="28"/>
        <v>0.63100313733757796</v>
      </c>
      <c r="O305" s="49" t="str">
        <f>IF(K305="","",SUMPRODUCT($J$10:J305,$L$10:L305,$N$10:N305)*$E$5)</f>
        <v/>
      </c>
      <c r="P305" s="49" t="str">
        <f>IF(K305="","",SUMPRODUCT($L$10:L305,$N$10:N305)*$K305*$E$5)</f>
        <v/>
      </c>
      <c r="Q305" s="6"/>
      <c r="R305" s="12"/>
      <c r="S305" s="7"/>
    </row>
    <row r="306" spans="1:19" x14ac:dyDescent="0.2">
      <c r="A306" s="41">
        <f t="shared" si="25"/>
        <v>8316</v>
      </c>
      <c r="C306" s="41">
        <v>297</v>
      </c>
      <c r="D306" s="15">
        <f t="shared" si="29"/>
        <v>50950</v>
      </c>
      <c r="E306" s="42">
        <f t="shared" si="26"/>
        <v>50978</v>
      </c>
      <c r="F306" s="42"/>
      <c r="G306" s="42"/>
      <c r="H306" s="15"/>
      <c r="I306" s="43">
        <f t="shared" si="24"/>
        <v>50978</v>
      </c>
      <c r="J306" s="44">
        <f>forward($E$4,D306,E306,CURVA!$H$6:H316,CURVA!$G$6:G316)</f>
        <v>2.0015563624537411E-2</v>
      </c>
      <c r="K306" s="44" t="str">
        <f>IFERROR(VLOOKUP(A306,CURVA!$B$8:$F$30,5,0),"")</f>
        <v/>
      </c>
      <c r="L306" s="45">
        <f t="shared" si="27"/>
        <v>7.7777777777777779E-2</v>
      </c>
      <c r="M306" s="46">
        <f>interpola(E306-$E$4,CURVA!$H$6:$H$20,CURVA!$G$6:$G$20)</f>
        <v>0.02</v>
      </c>
      <c r="N306" s="47">
        <f t="shared" si="28"/>
        <v>0.63002233994191226</v>
      </c>
      <c r="O306" s="49" t="str">
        <f>IF(K306="","",SUMPRODUCT($J$10:J306,$L$10:L306,$N$10:N306)*$E$5)</f>
        <v/>
      </c>
      <c r="P306" s="49" t="str">
        <f>IF(K306="","",SUMPRODUCT($L$10:L306,$N$10:N306)*$K306*$E$5)</f>
        <v/>
      </c>
      <c r="Q306" s="6"/>
      <c r="R306" s="12"/>
      <c r="S306" s="7"/>
    </row>
    <row r="307" spans="1:19" x14ac:dyDescent="0.2">
      <c r="A307" s="41">
        <f t="shared" si="25"/>
        <v>8344</v>
      </c>
      <c r="C307" s="41">
        <v>298</v>
      </c>
      <c r="D307" s="15">
        <f t="shared" si="29"/>
        <v>50978</v>
      </c>
      <c r="E307" s="42">
        <f t="shared" si="26"/>
        <v>51006</v>
      </c>
      <c r="F307" s="42"/>
      <c r="G307" s="42"/>
      <c r="H307" s="15"/>
      <c r="I307" s="43">
        <f t="shared" si="24"/>
        <v>51006</v>
      </c>
      <c r="J307" s="44">
        <f>forward($E$4,D307,E307,CURVA!$H$6:H317,CURVA!$G$6:G317)</f>
        <v>2.0015563624537411E-2</v>
      </c>
      <c r="K307" s="44" t="str">
        <f>IFERROR(VLOOKUP(A307,CURVA!$B$8:$F$30,5,0),"")</f>
        <v/>
      </c>
      <c r="L307" s="45">
        <f t="shared" si="27"/>
        <v>7.7777777777777779E-2</v>
      </c>
      <c r="M307" s="46">
        <f>interpola(E307-$E$4,CURVA!$H$6:$H$20,CURVA!$G$6:$G$20)</f>
        <v>0.02</v>
      </c>
      <c r="N307" s="47">
        <f t="shared" si="28"/>
        <v>0.62904306704505564</v>
      </c>
      <c r="O307" s="49" t="str">
        <f>IF(K307="","",SUMPRODUCT($J$10:J307,$L$10:L307,$N$10:N307)*$E$5)</f>
        <v/>
      </c>
      <c r="P307" s="49" t="str">
        <f>IF(K307="","",SUMPRODUCT($L$10:L307,$N$10:N307)*$K307*$E$5)</f>
        <v/>
      </c>
      <c r="Q307" s="6"/>
      <c r="R307" s="12"/>
      <c r="S307" s="7"/>
    </row>
    <row r="308" spans="1:19" x14ac:dyDescent="0.2">
      <c r="A308" s="41">
        <f t="shared" si="25"/>
        <v>8372</v>
      </c>
      <c r="C308" s="41">
        <v>299</v>
      </c>
      <c r="D308" s="15">
        <f t="shared" si="29"/>
        <v>51006</v>
      </c>
      <c r="E308" s="42">
        <f t="shared" si="26"/>
        <v>51034</v>
      </c>
      <c r="F308" s="42"/>
      <c r="G308" s="42"/>
      <c r="H308" s="15"/>
      <c r="I308" s="43">
        <f t="shared" si="24"/>
        <v>51034</v>
      </c>
      <c r="J308" s="44">
        <f>forward($E$4,D308,E308,CURVA!$H$6:H318,CURVA!$G$6:G318)</f>
        <v>2.0015563624537411E-2</v>
      </c>
      <c r="K308" s="44" t="str">
        <f>IFERROR(VLOOKUP(A308,CURVA!$B$8:$F$30,5,0),"")</f>
        <v/>
      </c>
      <c r="L308" s="45">
        <f t="shared" si="27"/>
        <v>7.7777777777777779E-2</v>
      </c>
      <c r="M308" s="46">
        <f>interpola(E308-$E$4,CURVA!$H$6:$H$20,CURVA!$G$6:$G$20)</f>
        <v>0.02</v>
      </c>
      <c r="N308" s="47">
        <f t="shared" si="28"/>
        <v>0.62806531627740891</v>
      </c>
      <c r="O308" s="49" t="str">
        <f>IF(K308="","",SUMPRODUCT($J$10:J308,$L$10:L308,$N$10:N308)*$E$5)</f>
        <v/>
      </c>
      <c r="P308" s="49" t="str">
        <f>IF(K308="","",SUMPRODUCT($L$10:L308,$N$10:N308)*$K308*$E$5)</f>
        <v/>
      </c>
      <c r="Q308" s="6"/>
      <c r="R308" s="12"/>
      <c r="S308" s="7"/>
    </row>
    <row r="309" spans="1:19" x14ac:dyDescent="0.2">
      <c r="A309" s="41">
        <f t="shared" si="25"/>
        <v>8400</v>
      </c>
      <c r="C309" s="41">
        <v>300</v>
      </c>
      <c r="D309" s="15">
        <f t="shared" si="29"/>
        <v>51034</v>
      </c>
      <c r="E309" s="42">
        <f t="shared" si="26"/>
        <v>51062</v>
      </c>
      <c r="F309" s="42"/>
      <c r="G309" s="42"/>
      <c r="H309" s="15"/>
      <c r="I309" s="43">
        <f t="shared" si="24"/>
        <v>51062</v>
      </c>
      <c r="J309" s="44">
        <f>forward($E$4,D309,E309,CURVA!$H$6:H319,CURVA!$G$6:G319)</f>
        <v>2.0015563624537411E-2</v>
      </c>
      <c r="K309" s="44">
        <f>IFERROR(VLOOKUP(A309,CURVA!$B$8:$F$30,5,0),"")</f>
        <v>1.538E-2</v>
      </c>
      <c r="L309" s="45">
        <f t="shared" si="27"/>
        <v>7.7777777777777779E-2</v>
      </c>
      <c r="M309" s="46">
        <f>interpola(E309-$E$4,CURVA!$H$6:$H$20,CURVA!$G$6:$G$20)</f>
        <v>0.02</v>
      </c>
      <c r="N309" s="47">
        <f t="shared" si="28"/>
        <v>0.62708908527305607</v>
      </c>
      <c r="O309" s="49">
        <f>IF(K309="","",SUMPRODUCT($J$10:J309,$L$10:L309,$N$10:N309)*$E$5)</f>
        <v>372910.91472695372</v>
      </c>
      <c r="P309" s="49">
        <f>IF(K309="","",SUMPRODUCT($L$10:L309,$N$10:N309)*$K309*$E$5)</f>
        <v>286545.73989759182</v>
      </c>
      <c r="Q309" s="6"/>
      <c r="R309" s="12"/>
      <c r="S309" s="7"/>
    </row>
    <row r="310" spans="1:19" x14ac:dyDescent="0.2">
      <c r="A310" s="41">
        <f t="shared" si="25"/>
        <v>8428</v>
      </c>
      <c r="C310" s="41">
        <v>301</v>
      </c>
      <c r="D310" s="15">
        <f t="shared" si="29"/>
        <v>51062</v>
      </c>
      <c r="E310" s="42">
        <f t="shared" si="26"/>
        <v>51090</v>
      </c>
      <c r="F310" s="42"/>
      <c r="G310" s="42"/>
      <c r="H310" s="15"/>
      <c r="I310" s="43">
        <f t="shared" si="24"/>
        <v>51090</v>
      </c>
      <c r="J310" s="44">
        <f>forward($E$4,D310,E310,CURVA!$H$6:H320,CURVA!$G$6:G320)</f>
        <v>2.0015563624537411E-2</v>
      </c>
      <c r="K310" s="44" t="str">
        <f>IFERROR(VLOOKUP(A310,CURVA!$B$8:$F$30,5,0),"")</f>
        <v/>
      </c>
      <c r="L310" s="45">
        <f t="shared" si="27"/>
        <v>7.7777777777777779E-2</v>
      </c>
      <c r="M310" s="46">
        <f>interpola(E310-$E$4,CURVA!$H$6:$H$20,CURVA!$G$6:$G$20)</f>
        <v>0.02</v>
      </c>
      <c r="N310" s="47">
        <f t="shared" si="28"/>
        <v>0.62611437166975892</v>
      </c>
      <c r="O310" s="49" t="str">
        <f>IF(K310="","",SUMPRODUCT($J$10:J310,$L$10:L310,$N$10:N310)*$E$5)</f>
        <v/>
      </c>
      <c r="P310" s="49" t="str">
        <f>IF(K310="","",SUMPRODUCT($L$10:L310,$N$10:N310)*$K310*$E$5)</f>
        <v/>
      </c>
      <c r="Q310" s="6"/>
      <c r="R310" s="12"/>
      <c r="S310" s="7"/>
    </row>
    <row r="311" spans="1:19" x14ac:dyDescent="0.2">
      <c r="A311" s="41">
        <f t="shared" si="25"/>
        <v>8456</v>
      </c>
      <c r="C311" s="41">
        <v>302</v>
      </c>
      <c r="D311" s="15">
        <f t="shared" si="29"/>
        <v>51090</v>
      </c>
      <c r="E311" s="42">
        <f t="shared" si="26"/>
        <v>51118</v>
      </c>
      <c r="F311" s="42"/>
      <c r="G311" s="42"/>
      <c r="H311" s="15"/>
      <c r="I311" s="43">
        <f t="shared" si="24"/>
        <v>51118</v>
      </c>
      <c r="J311" s="44">
        <f>forward($E$4,D311,E311,CURVA!$H$6:H321,CURVA!$G$6:G321)</f>
        <v>2.0015563624537411E-2</v>
      </c>
      <c r="K311" s="44" t="str">
        <f>IFERROR(VLOOKUP(A311,CURVA!$B$8:$F$30,5,0),"")</f>
        <v/>
      </c>
      <c r="L311" s="45">
        <f t="shared" si="27"/>
        <v>7.7777777777777779E-2</v>
      </c>
      <c r="M311" s="46">
        <f>interpola(E311-$E$4,CURVA!$H$6:$H$20,CURVA!$G$6:$G$20)</f>
        <v>0.02</v>
      </c>
      <c r="N311" s="47">
        <f t="shared" si="28"/>
        <v>0.62514117310895045</v>
      </c>
      <c r="O311" s="49" t="str">
        <f>IF(K311="","",SUMPRODUCT($J$10:J311,$L$10:L311,$N$10:N311)*$E$5)</f>
        <v/>
      </c>
      <c r="P311" s="49" t="str">
        <f>IF(K311="","",SUMPRODUCT($L$10:L311,$N$10:N311)*$K311*$E$5)</f>
        <v/>
      </c>
      <c r="Q311" s="6"/>
      <c r="R311" s="12"/>
      <c r="S311" s="7"/>
    </row>
    <row r="312" spans="1:19" x14ac:dyDescent="0.2">
      <c r="A312" s="41">
        <f t="shared" si="25"/>
        <v>8484</v>
      </c>
      <c r="C312" s="41">
        <v>303</v>
      </c>
      <c r="D312" s="15">
        <f t="shared" si="29"/>
        <v>51118</v>
      </c>
      <c r="E312" s="42">
        <f t="shared" si="26"/>
        <v>51146</v>
      </c>
      <c r="F312" s="42"/>
      <c r="G312" s="42"/>
      <c r="H312" s="15"/>
      <c r="I312" s="43">
        <f t="shared" si="24"/>
        <v>51146</v>
      </c>
      <c r="J312" s="44">
        <f>forward($E$4,D312,E312,CURVA!$H$6:H322,CURVA!$G$6:G322)</f>
        <v>2.0015563624537411E-2</v>
      </c>
      <c r="K312" s="44" t="str">
        <f>IFERROR(VLOOKUP(A312,CURVA!$B$8:$F$30,5,0),"")</f>
        <v/>
      </c>
      <c r="L312" s="45">
        <f t="shared" si="27"/>
        <v>7.7777777777777779E-2</v>
      </c>
      <c r="M312" s="46">
        <f>interpola(E312-$E$4,CURVA!$H$6:$H$20,CURVA!$G$6:$G$20)</f>
        <v>0.02</v>
      </c>
      <c r="N312" s="47">
        <f t="shared" si="28"/>
        <v>0.62416948723573018</v>
      </c>
      <c r="O312" s="49" t="str">
        <f>IF(K312="","",SUMPRODUCT($J$10:J312,$L$10:L312,$N$10:N312)*$E$5)</f>
        <v/>
      </c>
      <c r="P312" s="49" t="str">
        <f>IF(K312="","",SUMPRODUCT($L$10:L312,$N$10:N312)*$K312*$E$5)</f>
        <v/>
      </c>
      <c r="Q312" s="6"/>
      <c r="R312" s="12"/>
      <c r="S312" s="7"/>
    </row>
    <row r="313" spans="1:19" x14ac:dyDescent="0.2">
      <c r="A313" s="41">
        <f t="shared" si="25"/>
        <v>8512</v>
      </c>
      <c r="C313" s="41">
        <v>304</v>
      </c>
      <c r="D313" s="15">
        <f t="shared" si="29"/>
        <v>51146</v>
      </c>
      <c r="E313" s="42">
        <f t="shared" si="26"/>
        <v>51174</v>
      </c>
      <c r="F313" s="42"/>
      <c r="G313" s="42"/>
      <c r="H313" s="15"/>
      <c r="I313" s="43">
        <f t="shared" si="24"/>
        <v>51174</v>
      </c>
      <c r="J313" s="44">
        <f>forward($E$4,D313,E313,CURVA!$H$6:H323,CURVA!$G$6:G323)</f>
        <v>2.0015563624537411E-2</v>
      </c>
      <c r="K313" s="44" t="str">
        <f>IFERROR(VLOOKUP(A313,CURVA!$B$8:$F$30,5,0),"")</f>
        <v/>
      </c>
      <c r="L313" s="45">
        <f t="shared" si="27"/>
        <v>7.7777777777777779E-2</v>
      </c>
      <c r="M313" s="46">
        <f>interpola(E313-$E$4,CURVA!$H$6:$H$20,CURVA!$G$6:$G$20)</f>
        <v>0.02</v>
      </c>
      <c r="N313" s="47">
        <f t="shared" si="28"/>
        <v>0.62319931169885756</v>
      </c>
      <c r="O313" s="49" t="str">
        <f>IF(K313="","",SUMPRODUCT($J$10:J313,$L$10:L313,$N$10:N313)*$E$5)</f>
        <v/>
      </c>
      <c r="P313" s="49" t="str">
        <f>IF(K313="","",SUMPRODUCT($L$10:L313,$N$10:N313)*$K313*$E$5)</f>
        <v/>
      </c>
      <c r="Q313" s="6"/>
      <c r="R313" s="12"/>
      <c r="S313" s="7"/>
    </row>
    <row r="314" spans="1:19" x14ac:dyDescent="0.2">
      <c r="A314" s="41">
        <f t="shared" si="25"/>
        <v>8540</v>
      </c>
      <c r="C314" s="41">
        <v>305</v>
      </c>
      <c r="D314" s="15">
        <f t="shared" si="29"/>
        <v>51174</v>
      </c>
      <c r="E314" s="42">
        <f t="shared" si="26"/>
        <v>51202</v>
      </c>
      <c r="F314" s="42"/>
      <c r="G314" s="42"/>
      <c r="H314" s="15"/>
      <c r="I314" s="43">
        <f t="shared" si="24"/>
        <v>51202</v>
      </c>
      <c r="J314" s="44">
        <f>forward($E$4,D314,E314,CURVA!$H$6:H324,CURVA!$G$6:G324)</f>
        <v>2.0015563624537411E-2</v>
      </c>
      <c r="K314" s="44" t="str">
        <f>IFERROR(VLOOKUP(A314,CURVA!$B$8:$F$30,5,0),"")</f>
        <v/>
      </c>
      <c r="L314" s="45">
        <f t="shared" si="27"/>
        <v>7.7777777777777779E-2</v>
      </c>
      <c r="M314" s="46">
        <f>interpola(E314-$E$4,CURVA!$H$6:$H$20,CURVA!$G$6:$G$20)</f>
        <v>0.02</v>
      </c>
      <c r="N314" s="47">
        <f t="shared" si="28"/>
        <v>0.62223064415074691</v>
      </c>
      <c r="O314" s="49" t="str">
        <f>IF(K314="","",SUMPRODUCT($J$10:J314,$L$10:L314,$N$10:N314)*$E$5)</f>
        <v/>
      </c>
      <c r="P314" s="49" t="str">
        <f>IF(K314="","",SUMPRODUCT($L$10:L314,$N$10:N314)*$K314*$E$5)</f>
        <v/>
      </c>
      <c r="Q314" s="6"/>
      <c r="R314" s="12"/>
      <c r="S314" s="7"/>
    </row>
    <row r="315" spans="1:19" x14ac:dyDescent="0.2">
      <c r="A315" s="41">
        <f t="shared" si="25"/>
        <v>8568</v>
      </c>
      <c r="C315" s="41">
        <v>306</v>
      </c>
      <c r="D315" s="15">
        <f t="shared" si="29"/>
        <v>51202</v>
      </c>
      <c r="E315" s="42">
        <f t="shared" si="26"/>
        <v>51230</v>
      </c>
      <c r="F315" s="42"/>
      <c r="G315" s="42"/>
      <c r="H315" s="15"/>
      <c r="I315" s="43">
        <f t="shared" si="24"/>
        <v>51230</v>
      </c>
      <c r="J315" s="44">
        <f>forward($E$4,D315,E315,CURVA!$H$6:H325,CURVA!$G$6:G325)</f>
        <v>2.0015563624537411E-2</v>
      </c>
      <c r="K315" s="44" t="str">
        <f>IFERROR(VLOOKUP(A315,CURVA!$B$8:$F$30,5,0),"")</f>
        <v/>
      </c>
      <c r="L315" s="45">
        <f t="shared" si="27"/>
        <v>7.7777777777777779E-2</v>
      </c>
      <c r="M315" s="46">
        <f>interpola(E315-$E$4,CURVA!$H$6:$H$20,CURVA!$G$6:$G$20)</f>
        <v>0.02</v>
      </c>
      <c r="N315" s="47">
        <f t="shared" si="28"/>
        <v>0.62126348224746164</v>
      </c>
      <c r="O315" s="49" t="str">
        <f>IF(K315="","",SUMPRODUCT($J$10:J315,$L$10:L315,$N$10:N315)*$E$5)</f>
        <v/>
      </c>
      <c r="P315" s="49" t="str">
        <f>IF(K315="","",SUMPRODUCT($L$10:L315,$N$10:N315)*$K315*$E$5)</f>
        <v/>
      </c>
      <c r="Q315" s="6"/>
      <c r="R315" s="12"/>
      <c r="S315" s="7"/>
    </row>
    <row r="316" spans="1:19" x14ac:dyDescent="0.2">
      <c r="A316" s="41">
        <f t="shared" si="25"/>
        <v>8596</v>
      </c>
      <c r="C316" s="41">
        <v>307</v>
      </c>
      <c r="D316" s="15">
        <f t="shared" si="29"/>
        <v>51230</v>
      </c>
      <c r="E316" s="42">
        <f t="shared" si="26"/>
        <v>51258</v>
      </c>
      <c r="F316" s="42"/>
      <c r="G316" s="42"/>
      <c r="H316" s="15"/>
      <c r="I316" s="43">
        <f t="shared" si="24"/>
        <v>51258</v>
      </c>
      <c r="J316" s="44">
        <f>forward($E$4,D316,E316,CURVA!$H$6:H326,CURVA!$G$6:G326)</f>
        <v>2.0015563624537411E-2</v>
      </c>
      <c r="K316" s="44" t="str">
        <f>IFERROR(VLOOKUP(A316,CURVA!$B$8:$F$30,5,0),"")</f>
        <v/>
      </c>
      <c r="L316" s="45">
        <f t="shared" si="27"/>
        <v>7.7777777777777779E-2</v>
      </c>
      <c r="M316" s="46">
        <f>interpola(E316-$E$4,CURVA!$H$6:$H$20,CURVA!$G$6:$G$20)</f>
        <v>0.02</v>
      </c>
      <c r="N316" s="47">
        <f t="shared" si="28"/>
        <v>0.62029782364870811</v>
      </c>
      <c r="O316" s="49" t="str">
        <f>IF(K316="","",SUMPRODUCT($J$10:J316,$L$10:L316,$N$10:N316)*$E$5)</f>
        <v/>
      </c>
      <c r="P316" s="49" t="str">
        <f>IF(K316="","",SUMPRODUCT($L$10:L316,$N$10:N316)*$K316*$E$5)</f>
        <v/>
      </c>
      <c r="Q316" s="6"/>
      <c r="R316" s="12"/>
      <c r="S316" s="7"/>
    </row>
    <row r="317" spans="1:19" x14ac:dyDescent="0.2">
      <c r="A317" s="41">
        <f t="shared" si="25"/>
        <v>8624</v>
      </c>
      <c r="C317" s="41">
        <v>308</v>
      </c>
      <c r="D317" s="15">
        <f t="shared" si="29"/>
        <v>51258</v>
      </c>
      <c r="E317" s="42">
        <f t="shared" si="26"/>
        <v>51286</v>
      </c>
      <c r="F317" s="42"/>
      <c r="G317" s="42"/>
      <c r="H317" s="15"/>
      <c r="I317" s="43">
        <f t="shared" si="24"/>
        <v>51286</v>
      </c>
      <c r="J317" s="44">
        <f>forward($E$4,D317,E317,CURVA!$H$6:H327,CURVA!$G$6:G327)</f>
        <v>2.0015563624537411E-2</v>
      </c>
      <c r="K317" s="44" t="str">
        <f>IFERROR(VLOOKUP(A317,CURVA!$B$8:$F$30,5,0),"")</f>
        <v/>
      </c>
      <c r="L317" s="45">
        <f t="shared" si="27"/>
        <v>7.7777777777777779E-2</v>
      </c>
      <c r="M317" s="46">
        <f>interpola(E317-$E$4,CURVA!$H$6:$H$20,CURVA!$G$6:$G$20)</f>
        <v>0.02</v>
      </c>
      <c r="N317" s="47">
        <f t="shared" si="28"/>
        <v>0.61933366601783058</v>
      </c>
      <c r="O317" s="49" t="str">
        <f>IF(K317="","",SUMPRODUCT($J$10:J317,$L$10:L317,$N$10:N317)*$E$5)</f>
        <v/>
      </c>
      <c r="P317" s="49" t="str">
        <f>IF(K317="","",SUMPRODUCT($L$10:L317,$N$10:N317)*$K317*$E$5)</f>
        <v/>
      </c>
      <c r="Q317" s="6"/>
      <c r="R317" s="12"/>
      <c r="S317" s="7"/>
    </row>
    <row r="318" spans="1:19" x14ac:dyDescent="0.2">
      <c r="A318" s="41">
        <f t="shared" si="25"/>
        <v>8652</v>
      </c>
      <c r="C318" s="41">
        <v>309</v>
      </c>
      <c r="D318" s="15">
        <f t="shared" si="29"/>
        <v>51286</v>
      </c>
      <c r="E318" s="42">
        <f t="shared" si="26"/>
        <v>51314</v>
      </c>
      <c r="F318" s="42"/>
      <c r="G318" s="42"/>
      <c r="H318" s="15"/>
      <c r="I318" s="43">
        <f t="shared" si="24"/>
        <v>51314</v>
      </c>
      <c r="J318" s="44">
        <f>forward($E$4,D318,E318,CURVA!$H$6:H328,CURVA!$G$6:G328)</f>
        <v>2.0015563624537411E-2</v>
      </c>
      <c r="K318" s="44" t="str">
        <f>IFERROR(VLOOKUP(A318,CURVA!$B$8:$F$30,5,0),"")</f>
        <v/>
      </c>
      <c r="L318" s="45">
        <f t="shared" si="27"/>
        <v>7.7777777777777779E-2</v>
      </c>
      <c r="M318" s="46">
        <f>interpola(E318-$E$4,CURVA!$H$6:$H$20,CURVA!$G$6:$G$20)</f>
        <v>0.02</v>
      </c>
      <c r="N318" s="47">
        <f t="shared" si="28"/>
        <v>0.61837100702180503</v>
      </c>
      <c r="O318" s="49" t="str">
        <f>IF(K318="","",SUMPRODUCT($J$10:J318,$L$10:L318,$N$10:N318)*$E$5)</f>
        <v/>
      </c>
      <c r="P318" s="49" t="str">
        <f>IF(K318="","",SUMPRODUCT($L$10:L318,$N$10:N318)*$K318*$E$5)</f>
        <v/>
      </c>
      <c r="Q318" s="6"/>
      <c r="R318" s="12"/>
      <c r="S318" s="7"/>
    </row>
    <row r="319" spans="1:19" x14ac:dyDescent="0.2">
      <c r="A319" s="41">
        <f t="shared" si="25"/>
        <v>8680</v>
      </c>
      <c r="C319" s="41">
        <v>310</v>
      </c>
      <c r="D319" s="15">
        <f t="shared" si="29"/>
        <v>51314</v>
      </c>
      <c r="E319" s="42">
        <f t="shared" si="26"/>
        <v>51342</v>
      </c>
      <c r="F319" s="42"/>
      <c r="G319" s="42"/>
      <c r="H319" s="15"/>
      <c r="I319" s="43">
        <f t="shared" si="24"/>
        <v>51342</v>
      </c>
      <c r="J319" s="44">
        <f>forward($E$4,D319,E319,CURVA!$H$6:H329,CURVA!$G$6:G329)</f>
        <v>2.0015563624537411E-2</v>
      </c>
      <c r="K319" s="44" t="str">
        <f>IFERROR(VLOOKUP(A319,CURVA!$B$8:$F$30,5,0),"")</f>
        <v/>
      </c>
      <c r="L319" s="45">
        <f t="shared" si="27"/>
        <v>7.7777777777777779E-2</v>
      </c>
      <c r="M319" s="46">
        <f>interpola(E319-$E$4,CURVA!$H$6:$H$20,CURVA!$G$6:$G$20)</f>
        <v>0.02</v>
      </c>
      <c r="N319" s="47">
        <f t="shared" si="28"/>
        <v>0.61740984433123403</v>
      </c>
      <c r="O319" s="49" t="str">
        <f>IF(K319="","",SUMPRODUCT($J$10:J319,$L$10:L319,$N$10:N319)*$E$5)</f>
        <v/>
      </c>
      <c r="P319" s="49" t="str">
        <f>IF(K319="","",SUMPRODUCT($L$10:L319,$N$10:N319)*$K319*$E$5)</f>
        <v/>
      </c>
      <c r="Q319" s="6"/>
      <c r="R319" s="12"/>
      <c r="S319" s="7"/>
    </row>
    <row r="320" spans="1:19" x14ac:dyDescent="0.2">
      <c r="A320" s="41">
        <f t="shared" si="25"/>
        <v>8708</v>
      </c>
      <c r="C320" s="41">
        <v>311</v>
      </c>
      <c r="D320" s="15">
        <f t="shared" si="29"/>
        <v>51342</v>
      </c>
      <c r="E320" s="42">
        <f t="shared" si="26"/>
        <v>51370</v>
      </c>
      <c r="F320" s="42"/>
      <c r="G320" s="42"/>
      <c r="H320" s="15"/>
      <c r="I320" s="43">
        <f t="shared" si="24"/>
        <v>51370</v>
      </c>
      <c r="J320" s="44">
        <f>forward($E$4,D320,E320,CURVA!$H$6:H330,CURVA!$G$6:G330)</f>
        <v>2.0015563624537411E-2</v>
      </c>
      <c r="K320" s="44" t="str">
        <f>IFERROR(VLOOKUP(A320,CURVA!$B$8:$F$30,5,0),"")</f>
        <v/>
      </c>
      <c r="L320" s="45">
        <f t="shared" si="27"/>
        <v>7.7777777777777779E-2</v>
      </c>
      <c r="M320" s="46">
        <f>interpola(E320-$E$4,CURVA!$H$6:$H$20,CURVA!$G$6:$G$20)</f>
        <v>0.02</v>
      </c>
      <c r="N320" s="47">
        <f t="shared" si="28"/>
        <v>0.61645017562034077</v>
      </c>
      <c r="O320" s="49" t="str">
        <f>IF(K320="","",SUMPRODUCT($J$10:J320,$L$10:L320,$N$10:N320)*$E$5)</f>
        <v/>
      </c>
      <c r="P320" s="49" t="str">
        <f>IF(K320="","",SUMPRODUCT($L$10:L320,$N$10:N320)*$K320*$E$5)</f>
        <v/>
      </c>
      <c r="Q320" s="6"/>
      <c r="R320" s="12"/>
      <c r="S320" s="7"/>
    </row>
    <row r="321" spans="1:19" x14ac:dyDescent="0.2">
      <c r="A321" s="41">
        <f t="shared" si="25"/>
        <v>8736</v>
      </c>
      <c r="C321" s="41">
        <v>312</v>
      </c>
      <c r="D321" s="15">
        <f t="shared" si="29"/>
        <v>51370</v>
      </c>
      <c r="E321" s="42">
        <f t="shared" si="26"/>
        <v>51398</v>
      </c>
      <c r="F321" s="42"/>
      <c r="G321" s="42"/>
      <c r="H321" s="15"/>
      <c r="I321" s="43">
        <f t="shared" si="24"/>
        <v>51398</v>
      </c>
      <c r="J321" s="44">
        <f>forward($E$4,D321,E321,CURVA!$H$6:H331,CURVA!$G$6:G331)</f>
        <v>2.0015563624537411E-2</v>
      </c>
      <c r="K321" s="44" t="str">
        <f>IFERROR(VLOOKUP(A321,CURVA!$B$8:$F$30,5,0),"")</f>
        <v/>
      </c>
      <c r="L321" s="45">
        <f t="shared" si="27"/>
        <v>7.7777777777777779E-2</v>
      </c>
      <c r="M321" s="46">
        <f>interpola(E321-$E$4,CURVA!$H$6:$H$20,CURVA!$G$6:$G$20)</f>
        <v>0.02</v>
      </c>
      <c r="N321" s="47">
        <f t="shared" si="28"/>
        <v>0.61549199856696324</v>
      </c>
      <c r="O321" s="49" t="str">
        <f>IF(K321="","",SUMPRODUCT($J$10:J321,$L$10:L321,$N$10:N321)*$E$5)</f>
        <v/>
      </c>
      <c r="P321" s="49" t="str">
        <f>IF(K321="","",SUMPRODUCT($L$10:L321,$N$10:N321)*$K321*$E$5)</f>
        <v/>
      </c>
      <c r="Q321" s="6"/>
      <c r="R321" s="12"/>
      <c r="S321" s="7"/>
    </row>
    <row r="322" spans="1:19" x14ac:dyDescent="0.2">
      <c r="A322" s="41">
        <f t="shared" si="25"/>
        <v>8764</v>
      </c>
      <c r="C322" s="41">
        <v>313</v>
      </c>
      <c r="D322" s="15">
        <f t="shared" si="29"/>
        <v>51398</v>
      </c>
      <c r="E322" s="42">
        <f t="shared" si="26"/>
        <v>51426</v>
      </c>
      <c r="F322" s="42"/>
      <c r="G322" s="42"/>
      <c r="H322" s="15"/>
      <c r="I322" s="43">
        <f t="shared" si="24"/>
        <v>51426</v>
      </c>
      <c r="J322" s="44">
        <f>forward($E$4,D322,E322,CURVA!$H$6:H332,CURVA!$G$6:G332)</f>
        <v>2.0015563624537411E-2</v>
      </c>
      <c r="K322" s="44" t="str">
        <f>IFERROR(VLOOKUP(A322,CURVA!$B$8:$F$30,5,0),"")</f>
        <v/>
      </c>
      <c r="L322" s="45">
        <f t="shared" si="27"/>
        <v>7.7777777777777779E-2</v>
      </c>
      <c r="M322" s="46">
        <f>interpola(E322-$E$4,CURVA!$H$6:$H$20,CURVA!$G$6:$G$20)</f>
        <v>0.02</v>
      </c>
      <c r="N322" s="47">
        <f t="shared" si="28"/>
        <v>0.61453531085254931</v>
      </c>
      <c r="O322" s="49" t="str">
        <f>IF(K322="","",SUMPRODUCT($J$10:J322,$L$10:L322,$N$10:N322)*$E$5)</f>
        <v/>
      </c>
      <c r="P322" s="49" t="str">
        <f>IF(K322="","",SUMPRODUCT($L$10:L322,$N$10:N322)*$K322*$E$5)</f>
        <v/>
      </c>
      <c r="Q322" s="6"/>
      <c r="R322" s="12"/>
      <c r="S322" s="7"/>
    </row>
    <row r="323" spans="1:19" x14ac:dyDescent="0.2">
      <c r="A323" s="41">
        <f t="shared" si="25"/>
        <v>8792</v>
      </c>
      <c r="C323" s="41">
        <v>314</v>
      </c>
      <c r="D323" s="15">
        <f t="shared" si="29"/>
        <v>51426</v>
      </c>
      <c r="E323" s="42">
        <f t="shared" si="26"/>
        <v>51454</v>
      </c>
      <c r="F323" s="42"/>
      <c r="G323" s="42"/>
      <c r="H323" s="15"/>
      <c r="I323" s="43">
        <f t="shared" si="24"/>
        <v>51454</v>
      </c>
      <c r="J323" s="44">
        <f>forward($E$4,D323,E323,CURVA!$H$6:H333,CURVA!$G$6:G333)</f>
        <v>2.0015563624537411E-2</v>
      </c>
      <c r="K323" s="44" t="str">
        <f>IFERROR(VLOOKUP(A323,CURVA!$B$8:$F$30,5,0),"")</f>
        <v/>
      </c>
      <c r="L323" s="45">
        <f t="shared" si="27"/>
        <v>7.7777777777777779E-2</v>
      </c>
      <c r="M323" s="46">
        <f>interpola(E323-$E$4,CURVA!$H$6:$H$20,CURVA!$G$6:$G$20)</f>
        <v>0.02</v>
      </c>
      <c r="N323" s="47">
        <f t="shared" si="28"/>
        <v>0.61358011016215031</v>
      </c>
      <c r="O323" s="49" t="str">
        <f>IF(K323="","",SUMPRODUCT($J$10:J323,$L$10:L323,$N$10:N323)*$E$5)</f>
        <v/>
      </c>
      <c r="P323" s="49" t="str">
        <f>IF(K323="","",SUMPRODUCT($L$10:L323,$N$10:N323)*$K323*$E$5)</f>
        <v/>
      </c>
      <c r="Q323" s="6"/>
      <c r="R323" s="12"/>
      <c r="S323" s="7"/>
    </row>
    <row r="324" spans="1:19" x14ac:dyDescent="0.2">
      <c r="A324" s="41">
        <f t="shared" si="25"/>
        <v>8820</v>
      </c>
      <c r="C324" s="41">
        <v>315</v>
      </c>
      <c r="D324" s="15">
        <f t="shared" si="29"/>
        <v>51454</v>
      </c>
      <c r="E324" s="42">
        <f t="shared" si="26"/>
        <v>51482</v>
      </c>
      <c r="F324" s="42"/>
      <c r="G324" s="42"/>
      <c r="H324" s="15"/>
      <c r="I324" s="43">
        <f t="shared" si="24"/>
        <v>51482</v>
      </c>
      <c r="J324" s="44">
        <f>forward($E$4,D324,E324,CURVA!$H$6:H334,CURVA!$G$6:G334)</f>
        <v>2.0015563624537411E-2</v>
      </c>
      <c r="K324" s="44" t="str">
        <f>IFERROR(VLOOKUP(A324,CURVA!$B$8:$F$30,5,0),"")</f>
        <v/>
      </c>
      <c r="L324" s="45">
        <f t="shared" si="27"/>
        <v>7.7777777777777779E-2</v>
      </c>
      <c r="M324" s="46">
        <f>interpola(E324-$E$4,CURVA!$H$6:$H$20,CURVA!$G$6:$G$20)</f>
        <v>0.02</v>
      </c>
      <c r="N324" s="47">
        <f t="shared" si="28"/>
        <v>0.61262639418441611</v>
      </c>
      <c r="O324" s="49" t="str">
        <f>IF(K324="","",SUMPRODUCT($J$10:J324,$L$10:L324,$N$10:N324)*$E$5)</f>
        <v/>
      </c>
      <c r="P324" s="49" t="str">
        <f>IF(K324="","",SUMPRODUCT($L$10:L324,$N$10:N324)*$K324*$E$5)</f>
        <v/>
      </c>
      <c r="Q324" s="6"/>
      <c r="R324" s="12"/>
      <c r="S324" s="7"/>
    </row>
    <row r="325" spans="1:19" x14ac:dyDescent="0.2">
      <c r="A325" s="41">
        <f t="shared" si="25"/>
        <v>8848</v>
      </c>
      <c r="C325" s="41">
        <v>316</v>
      </c>
      <c r="D325" s="15">
        <f t="shared" si="29"/>
        <v>51482</v>
      </c>
      <c r="E325" s="42">
        <f t="shared" si="26"/>
        <v>51510</v>
      </c>
      <c r="F325" s="42"/>
      <c r="G325" s="42"/>
      <c r="H325" s="15"/>
      <c r="I325" s="43">
        <f t="shared" si="24"/>
        <v>51510</v>
      </c>
      <c r="J325" s="44">
        <f>forward($E$4,D325,E325,CURVA!$H$6:H335,CURVA!$G$6:G335)</f>
        <v>2.0015563624537411E-2</v>
      </c>
      <c r="K325" s="44" t="str">
        <f>IFERROR(VLOOKUP(A325,CURVA!$B$8:$F$30,5,0),"")</f>
        <v/>
      </c>
      <c r="L325" s="45">
        <f t="shared" si="27"/>
        <v>7.7777777777777779E-2</v>
      </c>
      <c r="M325" s="46">
        <f>interpola(E325-$E$4,CURVA!$H$6:$H$20,CURVA!$G$6:$G$20)</f>
        <v>0.02</v>
      </c>
      <c r="N325" s="47">
        <f t="shared" si="28"/>
        <v>0.61167416061158886</v>
      </c>
      <c r="O325" s="49" t="str">
        <f>IF(K325="","",SUMPRODUCT($J$10:J325,$L$10:L325,$N$10:N325)*$E$5)</f>
        <v/>
      </c>
      <c r="P325" s="49" t="str">
        <f>IF(K325="","",SUMPRODUCT($L$10:L325,$N$10:N325)*$K325*$E$5)</f>
        <v/>
      </c>
      <c r="Q325" s="6"/>
      <c r="R325" s="12"/>
      <c r="S325" s="7"/>
    </row>
    <row r="326" spans="1:19" x14ac:dyDescent="0.2">
      <c r="A326" s="41">
        <f t="shared" si="25"/>
        <v>8876</v>
      </c>
      <c r="C326" s="41">
        <v>317</v>
      </c>
      <c r="D326" s="15">
        <f t="shared" si="29"/>
        <v>51510</v>
      </c>
      <c r="E326" s="42">
        <f t="shared" si="26"/>
        <v>51538</v>
      </c>
      <c r="F326" s="42"/>
      <c r="G326" s="42"/>
      <c r="H326" s="15"/>
      <c r="I326" s="43">
        <f t="shared" si="24"/>
        <v>51538</v>
      </c>
      <c r="J326" s="44">
        <f>forward($E$4,D326,E326,CURVA!$H$6:H336,CURVA!$G$6:G336)</f>
        <v>2.0015563624537411E-2</v>
      </c>
      <c r="K326" s="44" t="str">
        <f>IFERROR(VLOOKUP(A326,CURVA!$B$8:$F$30,5,0),"")</f>
        <v/>
      </c>
      <c r="L326" s="45">
        <f t="shared" si="27"/>
        <v>7.7777777777777779E-2</v>
      </c>
      <c r="M326" s="46">
        <f>interpola(E326-$E$4,CURVA!$H$6:$H$20,CURVA!$G$6:$G$20)</f>
        <v>0.02</v>
      </c>
      <c r="N326" s="47">
        <f t="shared" si="28"/>
        <v>0.61072340713949813</v>
      </c>
      <c r="O326" s="49" t="str">
        <f>IF(K326="","",SUMPRODUCT($J$10:J326,$L$10:L326,$N$10:N326)*$E$5)</f>
        <v/>
      </c>
      <c r="P326" s="49" t="str">
        <f>IF(K326="","",SUMPRODUCT($L$10:L326,$N$10:N326)*$K326*$E$5)</f>
        <v/>
      </c>
      <c r="Q326" s="6"/>
      <c r="R326" s="12"/>
      <c r="S326" s="7"/>
    </row>
    <row r="327" spans="1:19" x14ac:dyDescent="0.2">
      <c r="A327" s="41">
        <f t="shared" si="25"/>
        <v>8904</v>
      </c>
      <c r="C327" s="41">
        <v>318</v>
      </c>
      <c r="D327" s="15">
        <f t="shared" si="29"/>
        <v>51538</v>
      </c>
      <c r="E327" s="42">
        <f t="shared" si="26"/>
        <v>51566</v>
      </c>
      <c r="F327" s="42"/>
      <c r="G327" s="42"/>
      <c r="H327" s="15"/>
      <c r="I327" s="43">
        <f t="shared" si="24"/>
        <v>51566</v>
      </c>
      <c r="J327" s="44">
        <f>forward($E$4,D327,E327,CURVA!$H$6:H337,CURVA!$G$6:G337)</f>
        <v>2.0015563624537411E-2</v>
      </c>
      <c r="K327" s="44" t="str">
        <f>IFERROR(VLOOKUP(A327,CURVA!$B$8:$F$30,5,0),"")</f>
        <v/>
      </c>
      <c r="L327" s="45">
        <f t="shared" si="27"/>
        <v>7.7777777777777779E-2</v>
      </c>
      <c r="M327" s="46">
        <f>interpola(E327-$E$4,CURVA!$H$6:$H$20,CURVA!$G$6:$G$20)</f>
        <v>0.02</v>
      </c>
      <c r="N327" s="47">
        <f t="shared" si="28"/>
        <v>0.60977413146755488</v>
      </c>
      <c r="O327" s="49" t="str">
        <f>IF(K327="","",SUMPRODUCT($J$10:J327,$L$10:L327,$N$10:N327)*$E$5)</f>
        <v/>
      </c>
      <c r="P327" s="49" t="str">
        <f>IF(K327="","",SUMPRODUCT($L$10:L327,$N$10:N327)*$K327*$E$5)</f>
        <v/>
      </c>
      <c r="Q327" s="6"/>
      <c r="R327" s="12"/>
      <c r="S327" s="7"/>
    </row>
    <row r="328" spans="1:19" x14ac:dyDescent="0.2">
      <c r="A328" s="41">
        <f t="shared" si="25"/>
        <v>8932</v>
      </c>
      <c r="C328" s="41">
        <v>319</v>
      </c>
      <c r="D328" s="15">
        <f t="shared" si="29"/>
        <v>51566</v>
      </c>
      <c r="E328" s="42">
        <f t="shared" si="26"/>
        <v>51594</v>
      </c>
      <c r="F328" s="42"/>
      <c r="G328" s="42"/>
      <c r="H328" s="15"/>
      <c r="I328" s="43">
        <f t="shared" si="24"/>
        <v>51594</v>
      </c>
      <c r="J328" s="44">
        <f>forward($E$4,D328,E328,CURVA!$H$6:H338,CURVA!$G$6:G338)</f>
        <v>2.0015563624537411E-2</v>
      </c>
      <c r="K328" s="44" t="str">
        <f>IFERROR(VLOOKUP(A328,CURVA!$B$8:$F$30,5,0),"")</f>
        <v/>
      </c>
      <c r="L328" s="45">
        <f t="shared" si="27"/>
        <v>7.7777777777777779E-2</v>
      </c>
      <c r="M328" s="46">
        <f>interpola(E328-$E$4,CURVA!$H$6:$H$20,CURVA!$G$6:$G$20)</f>
        <v>0.02</v>
      </c>
      <c r="N328" s="47">
        <f t="shared" si="28"/>
        <v>0.60882633129874575</v>
      </c>
      <c r="O328" s="49" t="str">
        <f>IF(K328="","",SUMPRODUCT($J$10:J328,$L$10:L328,$N$10:N328)*$E$5)</f>
        <v/>
      </c>
      <c r="P328" s="49" t="str">
        <f>IF(K328="","",SUMPRODUCT($L$10:L328,$N$10:N328)*$K328*$E$5)</f>
        <v/>
      </c>
      <c r="Q328" s="6"/>
      <c r="R328" s="12"/>
      <c r="S328" s="7"/>
    </row>
    <row r="329" spans="1:19" x14ac:dyDescent="0.2">
      <c r="A329" s="41">
        <f t="shared" si="25"/>
        <v>8960</v>
      </c>
      <c r="C329" s="41">
        <v>320</v>
      </c>
      <c r="D329" s="15">
        <f t="shared" si="29"/>
        <v>51594</v>
      </c>
      <c r="E329" s="42">
        <f t="shared" si="26"/>
        <v>51622</v>
      </c>
      <c r="F329" s="42"/>
      <c r="G329" s="42"/>
      <c r="H329" s="15"/>
      <c r="I329" s="43">
        <f t="shared" si="24"/>
        <v>51622</v>
      </c>
      <c r="J329" s="44">
        <f>forward($E$4,D329,E329,CURVA!$H$6:H339,CURVA!$G$6:G339)</f>
        <v>2.0015563624537411E-2</v>
      </c>
      <c r="K329" s="44" t="str">
        <f>IFERROR(VLOOKUP(A329,CURVA!$B$8:$F$30,5,0),"")</f>
        <v/>
      </c>
      <c r="L329" s="45">
        <f t="shared" si="27"/>
        <v>7.7777777777777779E-2</v>
      </c>
      <c r="M329" s="46">
        <f>interpola(E329-$E$4,CURVA!$H$6:$H$20,CURVA!$G$6:$G$20)</f>
        <v>0.02</v>
      </c>
      <c r="N329" s="47">
        <f t="shared" si="28"/>
        <v>0.60788000433962786</v>
      </c>
      <c r="O329" s="49" t="str">
        <f>IF(K329="","",SUMPRODUCT($J$10:J329,$L$10:L329,$N$10:N329)*$E$5)</f>
        <v/>
      </c>
      <c r="P329" s="49" t="str">
        <f>IF(K329="","",SUMPRODUCT($L$10:L329,$N$10:N329)*$K329*$E$5)</f>
        <v/>
      </c>
      <c r="Q329" s="6"/>
      <c r="R329" s="12"/>
      <c r="S329" s="7"/>
    </row>
    <row r="330" spans="1:19" x14ac:dyDescent="0.2">
      <c r="A330" s="41">
        <f t="shared" si="25"/>
        <v>8988</v>
      </c>
      <c r="C330" s="41">
        <v>321</v>
      </c>
      <c r="D330" s="15">
        <f t="shared" si="29"/>
        <v>51622</v>
      </c>
      <c r="E330" s="42">
        <f t="shared" si="26"/>
        <v>51650</v>
      </c>
      <c r="F330" s="42"/>
      <c r="G330" s="42"/>
      <c r="H330" s="15"/>
      <c r="I330" s="43">
        <f t="shared" ref="I330:I393" si="30">E330</f>
        <v>51650</v>
      </c>
      <c r="J330" s="44">
        <f>forward($E$4,D330,E330,CURVA!$H$6:H340,CURVA!$G$6:G340)</f>
        <v>2.0015563624537411E-2</v>
      </c>
      <c r="K330" s="44" t="str">
        <f>IFERROR(VLOOKUP(A330,CURVA!$B$8:$F$30,5,0),"")</f>
        <v/>
      </c>
      <c r="L330" s="45">
        <f t="shared" si="27"/>
        <v>7.7777777777777779E-2</v>
      </c>
      <c r="M330" s="46">
        <f>interpola(E330-$E$4,CURVA!$H$6:$H$20,CURVA!$G$6:$G$20)</f>
        <v>0.02</v>
      </c>
      <c r="N330" s="47">
        <f t="shared" si="28"/>
        <v>0.60693514830032336</v>
      </c>
      <c r="O330" s="49" t="str">
        <f>IF(K330="","",SUMPRODUCT($J$10:J330,$L$10:L330,$N$10:N330)*$E$5)</f>
        <v/>
      </c>
      <c r="P330" s="49" t="str">
        <f>IF(K330="","",SUMPRODUCT($L$10:L330,$N$10:N330)*$K330*$E$5)</f>
        <v/>
      </c>
      <c r="Q330" s="6"/>
      <c r="R330" s="12"/>
      <c r="S330" s="7"/>
    </row>
    <row r="331" spans="1:19" x14ac:dyDescent="0.2">
      <c r="A331" s="41">
        <f t="shared" ref="A331:A394" si="31">C331*28</f>
        <v>9016</v>
      </c>
      <c r="C331" s="41">
        <v>322</v>
      </c>
      <c r="D331" s="15">
        <f t="shared" si="29"/>
        <v>51650</v>
      </c>
      <c r="E331" s="42">
        <f t="shared" ref="E331:E394" si="32">$E$4+28*C331</f>
        <v>51678</v>
      </c>
      <c r="F331" s="42"/>
      <c r="G331" s="42"/>
      <c r="H331" s="15"/>
      <c r="I331" s="43">
        <f t="shared" si="30"/>
        <v>51678</v>
      </c>
      <c r="J331" s="44">
        <f>forward($E$4,D331,E331,CURVA!$H$6:H341,CURVA!$G$6:G341)</f>
        <v>2.0015563624537411E-2</v>
      </c>
      <c r="K331" s="44" t="str">
        <f>IFERROR(VLOOKUP(A331,CURVA!$B$8:$F$30,5,0),"")</f>
        <v/>
      </c>
      <c r="L331" s="45">
        <f t="shared" ref="L331:L394" si="33">(E331-D331)/360</f>
        <v>7.7777777777777779E-2</v>
      </c>
      <c r="M331" s="46">
        <f>interpola(E331-$E$4,CURVA!$H$6:$H$20,CURVA!$G$6:$G$20)</f>
        <v>0.02</v>
      </c>
      <c r="N331" s="47">
        <f t="shared" ref="N331:N394" si="34">EXP(-M331*(E331-$E$4)/360)</f>
        <v>0.60599176089451334</v>
      </c>
      <c r="O331" s="49" t="str">
        <f>IF(K331="","",SUMPRODUCT($J$10:J331,$L$10:L331,$N$10:N331)*$E$5)</f>
        <v/>
      </c>
      <c r="P331" s="49" t="str">
        <f>IF(K331="","",SUMPRODUCT($L$10:L331,$N$10:N331)*$K331*$E$5)</f>
        <v/>
      </c>
      <c r="Q331" s="6"/>
      <c r="R331" s="12"/>
      <c r="S331" s="7"/>
    </row>
    <row r="332" spans="1:19" x14ac:dyDescent="0.2">
      <c r="A332" s="41">
        <f t="shared" si="31"/>
        <v>9044</v>
      </c>
      <c r="C332" s="41">
        <v>323</v>
      </c>
      <c r="D332" s="15">
        <f t="shared" si="29"/>
        <v>51678</v>
      </c>
      <c r="E332" s="42">
        <f t="shared" si="32"/>
        <v>51706</v>
      </c>
      <c r="F332" s="42"/>
      <c r="G332" s="42"/>
      <c r="H332" s="15"/>
      <c r="I332" s="43">
        <f t="shared" si="30"/>
        <v>51706</v>
      </c>
      <c r="J332" s="44">
        <f>forward($E$4,D332,E332,CURVA!$H$6:H342,CURVA!$G$6:G342)</f>
        <v>2.0015563624537411E-2</v>
      </c>
      <c r="K332" s="44" t="str">
        <f>IFERROR(VLOOKUP(A332,CURVA!$B$8:$F$30,5,0),"")</f>
        <v/>
      </c>
      <c r="L332" s="45">
        <f t="shared" si="33"/>
        <v>7.7777777777777779E-2</v>
      </c>
      <c r="M332" s="46">
        <f>interpola(E332-$E$4,CURVA!$H$6:$H$20,CURVA!$G$6:$G$20)</f>
        <v>0.02</v>
      </c>
      <c r="N332" s="47">
        <f t="shared" si="34"/>
        <v>0.60504983983943272</v>
      </c>
      <c r="O332" s="49" t="str">
        <f>IF(K332="","",SUMPRODUCT($J$10:J332,$L$10:L332,$N$10:N332)*$E$5)</f>
        <v/>
      </c>
      <c r="P332" s="49" t="str">
        <f>IF(K332="","",SUMPRODUCT($L$10:L332,$N$10:N332)*$K332*$E$5)</f>
        <v/>
      </c>
      <c r="Q332" s="6"/>
      <c r="R332" s="12"/>
      <c r="S332" s="7"/>
    </row>
    <row r="333" spans="1:19" x14ac:dyDescent="0.2">
      <c r="A333" s="41">
        <f t="shared" si="31"/>
        <v>9072</v>
      </c>
      <c r="C333" s="41">
        <v>324</v>
      </c>
      <c r="D333" s="15">
        <f t="shared" ref="D333:D396" si="35">E332</f>
        <v>51706</v>
      </c>
      <c r="E333" s="42">
        <f t="shared" si="32"/>
        <v>51734</v>
      </c>
      <c r="F333" s="42"/>
      <c r="G333" s="42"/>
      <c r="H333" s="15"/>
      <c r="I333" s="43">
        <f t="shared" si="30"/>
        <v>51734</v>
      </c>
      <c r="J333" s="44">
        <f>forward($E$4,D333,E333,CURVA!$H$6:H343,CURVA!$G$6:G343)</f>
        <v>2.0015563624537411E-2</v>
      </c>
      <c r="K333" s="44" t="str">
        <f>IFERROR(VLOOKUP(A333,CURVA!$B$8:$F$30,5,0),"")</f>
        <v/>
      </c>
      <c r="L333" s="45">
        <f t="shared" si="33"/>
        <v>7.7777777777777779E-2</v>
      </c>
      <c r="M333" s="46">
        <f>interpola(E333-$E$4,CURVA!$H$6:$H$20,CURVA!$G$6:$G$20)</f>
        <v>0.02</v>
      </c>
      <c r="N333" s="47">
        <f t="shared" si="34"/>
        <v>0.60410938285586468</v>
      </c>
      <c r="O333" s="49" t="str">
        <f>IF(K333="","",SUMPRODUCT($J$10:J333,$L$10:L333,$N$10:N333)*$E$5)</f>
        <v/>
      </c>
      <c r="P333" s="49" t="str">
        <f>IF(K333="","",SUMPRODUCT($L$10:L333,$N$10:N333)*$K333*$E$5)</f>
        <v/>
      </c>
      <c r="Q333" s="6"/>
      <c r="R333" s="12"/>
      <c r="S333" s="7"/>
    </row>
    <row r="334" spans="1:19" x14ac:dyDescent="0.2">
      <c r="A334" s="41">
        <f t="shared" si="31"/>
        <v>9100</v>
      </c>
      <c r="C334" s="41">
        <v>325</v>
      </c>
      <c r="D334" s="15">
        <f t="shared" si="35"/>
        <v>51734</v>
      </c>
      <c r="E334" s="42">
        <f t="shared" si="32"/>
        <v>51762</v>
      </c>
      <c r="F334" s="42"/>
      <c r="G334" s="42"/>
      <c r="H334" s="15"/>
      <c r="I334" s="43">
        <f t="shared" si="30"/>
        <v>51762</v>
      </c>
      <c r="J334" s="44">
        <f>forward($E$4,D334,E334,CURVA!$H$6:H344,CURVA!$G$6:G344)</f>
        <v>2.0015563624537411E-2</v>
      </c>
      <c r="K334" s="44" t="str">
        <f>IFERROR(VLOOKUP(A334,CURVA!$B$8:$F$30,5,0),"")</f>
        <v/>
      </c>
      <c r="L334" s="45">
        <f t="shared" si="33"/>
        <v>7.7777777777777779E-2</v>
      </c>
      <c r="M334" s="46">
        <f>interpola(E334-$E$4,CURVA!$H$6:$H$20,CURVA!$G$6:$G$20)</f>
        <v>0.02</v>
      </c>
      <c r="N334" s="47">
        <f t="shared" si="34"/>
        <v>0.60317038766813524</v>
      </c>
      <c r="O334" s="49" t="str">
        <f>IF(K334="","",SUMPRODUCT($J$10:J334,$L$10:L334,$N$10:N334)*$E$5)</f>
        <v/>
      </c>
      <c r="P334" s="49" t="str">
        <f>IF(K334="","",SUMPRODUCT($L$10:L334,$N$10:N334)*$K334*$E$5)</f>
        <v/>
      </c>
      <c r="Q334" s="6"/>
      <c r="R334" s="12"/>
      <c r="S334" s="7"/>
    </row>
    <row r="335" spans="1:19" x14ac:dyDescent="0.2">
      <c r="A335" s="41">
        <f t="shared" si="31"/>
        <v>9128</v>
      </c>
      <c r="C335" s="41">
        <v>326</v>
      </c>
      <c r="D335" s="15">
        <f t="shared" si="35"/>
        <v>51762</v>
      </c>
      <c r="E335" s="42">
        <f t="shared" si="32"/>
        <v>51790</v>
      </c>
      <c r="F335" s="42"/>
      <c r="G335" s="42"/>
      <c r="H335" s="15"/>
      <c r="I335" s="43">
        <f t="shared" si="30"/>
        <v>51790</v>
      </c>
      <c r="J335" s="44">
        <f>forward($E$4,D335,E335,CURVA!$H$6:H345,CURVA!$G$6:G345)</f>
        <v>2.0015563624537411E-2</v>
      </c>
      <c r="K335" s="44" t="str">
        <f>IFERROR(VLOOKUP(A335,CURVA!$B$8:$F$30,5,0),"")</f>
        <v/>
      </c>
      <c r="L335" s="45">
        <f t="shared" si="33"/>
        <v>7.7777777777777779E-2</v>
      </c>
      <c r="M335" s="46">
        <f>interpola(E335-$E$4,CURVA!$H$6:$H$20,CURVA!$G$6:$G$20)</f>
        <v>0.02</v>
      </c>
      <c r="N335" s="47">
        <f t="shared" si="34"/>
        <v>0.60223285200410714</v>
      </c>
      <c r="O335" s="49" t="str">
        <f>IF(K335="","",SUMPRODUCT($J$10:J335,$L$10:L335,$N$10:N335)*$E$5)</f>
        <v/>
      </c>
      <c r="P335" s="49" t="str">
        <f>IF(K335="","",SUMPRODUCT($L$10:L335,$N$10:N335)*$K335*$E$5)</f>
        <v/>
      </c>
      <c r="Q335" s="6"/>
      <c r="R335" s="12"/>
      <c r="S335" s="7"/>
    </row>
    <row r="336" spans="1:19" x14ac:dyDescent="0.2">
      <c r="A336" s="41">
        <f t="shared" si="31"/>
        <v>9156</v>
      </c>
      <c r="C336" s="41">
        <v>327</v>
      </c>
      <c r="D336" s="15">
        <f t="shared" si="35"/>
        <v>51790</v>
      </c>
      <c r="E336" s="42">
        <f t="shared" si="32"/>
        <v>51818</v>
      </c>
      <c r="F336" s="42"/>
      <c r="G336" s="42"/>
      <c r="H336" s="15"/>
      <c r="I336" s="43">
        <f t="shared" si="30"/>
        <v>51818</v>
      </c>
      <c r="J336" s="44">
        <f>forward($E$4,D336,E336,CURVA!$H$6:H346,CURVA!$G$6:G346)</f>
        <v>2.0015563624537411E-2</v>
      </c>
      <c r="K336" s="44" t="str">
        <f>IFERROR(VLOOKUP(A336,CURVA!$B$8:$F$30,5,0),"")</f>
        <v/>
      </c>
      <c r="L336" s="45">
        <f t="shared" si="33"/>
        <v>7.7777777777777779E-2</v>
      </c>
      <c r="M336" s="46">
        <f>interpola(E336-$E$4,CURVA!$H$6:$H$20,CURVA!$G$6:$G$20)</f>
        <v>0.02</v>
      </c>
      <c r="N336" s="47">
        <f t="shared" si="34"/>
        <v>0.6012967735951753</v>
      </c>
      <c r="O336" s="49" t="str">
        <f>IF(K336="","",SUMPRODUCT($J$10:J336,$L$10:L336,$N$10:N336)*$E$5)</f>
        <v/>
      </c>
      <c r="P336" s="49" t="str">
        <f>IF(K336="","",SUMPRODUCT($L$10:L336,$N$10:N336)*$K336*$E$5)</f>
        <v/>
      </c>
      <c r="Q336" s="6"/>
      <c r="R336" s="12"/>
      <c r="S336" s="7"/>
    </row>
    <row r="337" spans="1:19" x14ac:dyDescent="0.2">
      <c r="A337" s="41">
        <f t="shared" si="31"/>
        <v>9184</v>
      </c>
      <c r="C337" s="41">
        <v>328</v>
      </c>
      <c r="D337" s="15">
        <f t="shared" si="35"/>
        <v>51818</v>
      </c>
      <c r="E337" s="42">
        <f t="shared" si="32"/>
        <v>51846</v>
      </c>
      <c r="F337" s="42"/>
      <c r="G337" s="42"/>
      <c r="H337" s="15"/>
      <c r="I337" s="43">
        <f t="shared" si="30"/>
        <v>51846</v>
      </c>
      <c r="J337" s="44">
        <f>forward($E$4,D337,E337,CURVA!$H$6:H347,CURVA!$G$6:G347)</f>
        <v>2.0015563624537411E-2</v>
      </c>
      <c r="K337" s="44" t="str">
        <f>IFERROR(VLOOKUP(A337,CURVA!$B$8:$F$30,5,0),"")</f>
        <v/>
      </c>
      <c r="L337" s="45">
        <f t="shared" si="33"/>
        <v>7.7777777777777779E-2</v>
      </c>
      <c r="M337" s="46">
        <f>interpola(E337-$E$4,CURVA!$H$6:$H$20,CURVA!$G$6:$G$20)</f>
        <v>0.02</v>
      </c>
      <c r="N337" s="47">
        <f t="shared" si="34"/>
        <v>0.60036215017626071</v>
      </c>
      <c r="O337" s="49" t="str">
        <f>IF(K337="","",SUMPRODUCT($J$10:J337,$L$10:L337,$N$10:N337)*$E$5)</f>
        <v/>
      </c>
      <c r="P337" s="49" t="str">
        <f>IF(K337="","",SUMPRODUCT($L$10:L337,$N$10:N337)*$K337*$E$5)</f>
        <v/>
      </c>
      <c r="Q337" s="6"/>
      <c r="R337" s="12"/>
      <c r="S337" s="7"/>
    </row>
    <row r="338" spans="1:19" x14ac:dyDescent="0.2">
      <c r="A338" s="41">
        <f t="shared" si="31"/>
        <v>9212</v>
      </c>
      <c r="C338" s="41">
        <v>329</v>
      </c>
      <c r="D338" s="15">
        <f t="shared" si="35"/>
        <v>51846</v>
      </c>
      <c r="E338" s="42">
        <f t="shared" si="32"/>
        <v>51874</v>
      </c>
      <c r="F338" s="42"/>
      <c r="G338" s="42"/>
      <c r="H338" s="15"/>
      <c r="I338" s="43">
        <f t="shared" si="30"/>
        <v>51874</v>
      </c>
      <c r="J338" s="44">
        <f>forward($E$4,D338,E338,CURVA!$H$6:H348,CURVA!$G$6:G348)</f>
        <v>2.0015563624537411E-2</v>
      </c>
      <c r="K338" s="44" t="str">
        <f>IFERROR(VLOOKUP(A338,CURVA!$B$8:$F$30,5,0),"")</f>
        <v/>
      </c>
      <c r="L338" s="45">
        <f t="shared" si="33"/>
        <v>7.7777777777777779E-2</v>
      </c>
      <c r="M338" s="46">
        <f>interpola(E338-$E$4,CURVA!$H$6:$H$20,CURVA!$G$6:$G$20)</f>
        <v>0.02</v>
      </c>
      <c r="N338" s="47">
        <f t="shared" si="34"/>
        <v>0.59942897948580487</v>
      </c>
      <c r="O338" s="49" t="str">
        <f>IF(K338="","",SUMPRODUCT($J$10:J338,$L$10:L338,$N$10:N338)*$E$5)</f>
        <v/>
      </c>
      <c r="P338" s="49" t="str">
        <f>IF(K338="","",SUMPRODUCT($L$10:L338,$N$10:N338)*$K338*$E$5)</f>
        <v/>
      </c>
      <c r="Q338" s="6"/>
      <c r="R338" s="12"/>
      <c r="S338" s="7"/>
    </row>
    <row r="339" spans="1:19" x14ac:dyDescent="0.2">
      <c r="A339" s="41">
        <f t="shared" si="31"/>
        <v>9240</v>
      </c>
      <c r="C339" s="41">
        <v>330</v>
      </c>
      <c r="D339" s="15">
        <f t="shared" si="35"/>
        <v>51874</v>
      </c>
      <c r="E339" s="42">
        <f t="shared" si="32"/>
        <v>51902</v>
      </c>
      <c r="F339" s="42"/>
      <c r="G339" s="42"/>
      <c r="H339" s="15"/>
      <c r="I339" s="43">
        <f t="shared" si="30"/>
        <v>51902</v>
      </c>
      <c r="J339" s="44">
        <f>forward($E$4,D339,E339,CURVA!$H$6:H349,CURVA!$G$6:G349)</f>
        <v>2.0015563624537411E-2</v>
      </c>
      <c r="K339" s="44" t="str">
        <f>IFERROR(VLOOKUP(A339,CURVA!$B$8:$F$30,5,0),"")</f>
        <v/>
      </c>
      <c r="L339" s="45">
        <f t="shared" si="33"/>
        <v>7.7777777777777779E-2</v>
      </c>
      <c r="M339" s="46">
        <f>interpola(E339-$E$4,CURVA!$H$6:$H$20,CURVA!$G$6:$G$20)</f>
        <v>0.02</v>
      </c>
      <c r="N339" s="47">
        <f t="shared" si="34"/>
        <v>0.59849725926576469</v>
      </c>
      <c r="O339" s="49" t="str">
        <f>IF(K339="","",SUMPRODUCT($J$10:J339,$L$10:L339,$N$10:N339)*$E$5)</f>
        <v/>
      </c>
      <c r="P339" s="49" t="str">
        <f>IF(K339="","",SUMPRODUCT($L$10:L339,$N$10:N339)*$K339*$E$5)</f>
        <v/>
      </c>
      <c r="Q339" s="6"/>
      <c r="R339" s="12"/>
      <c r="S339" s="7"/>
    </row>
    <row r="340" spans="1:19" x14ac:dyDescent="0.2">
      <c r="A340" s="41">
        <f t="shared" si="31"/>
        <v>9268</v>
      </c>
      <c r="C340" s="41">
        <v>331</v>
      </c>
      <c r="D340" s="15">
        <f t="shared" si="35"/>
        <v>51902</v>
      </c>
      <c r="E340" s="42">
        <f t="shared" si="32"/>
        <v>51930</v>
      </c>
      <c r="F340" s="42"/>
      <c r="G340" s="42"/>
      <c r="H340" s="15"/>
      <c r="I340" s="43">
        <f t="shared" si="30"/>
        <v>51930</v>
      </c>
      <c r="J340" s="44">
        <f>forward($E$4,D340,E340,CURVA!$H$6:H350,CURVA!$G$6:G350)</f>
        <v>2.0015563624534556E-2</v>
      </c>
      <c r="K340" s="44" t="str">
        <f>IFERROR(VLOOKUP(A340,CURVA!$B$8:$F$30,5,0),"")</f>
        <v/>
      </c>
      <c r="L340" s="45">
        <f t="shared" si="33"/>
        <v>7.7777777777777779E-2</v>
      </c>
      <c r="M340" s="46">
        <f>interpola(E340-$E$4,CURVA!$H$6:$H$20,CURVA!$G$6:$G$20)</f>
        <v>0.02</v>
      </c>
      <c r="N340" s="47">
        <f t="shared" si="34"/>
        <v>0.59756698726160695</v>
      </c>
      <c r="O340" s="49" t="str">
        <f>IF(K340="","",SUMPRODUCT($J$10:J340,$L$10:L340,$N$10:N340)*$E$5)</f>
        <v/>
      </c>
      <c r="P340" s="49" t="str">
        <f>IF(K340="","",SUMPRODUCT($L$10:L340,$N$10:N340)*$K340*$E$5)</f>
        <v/>
      </c>
      <c r="Q340" s="6"/>
      <c r="R340" s="12"/>
      <c r="S340" s="7"/>
    </row>
    <row r="341" spans="1:19" x14ac:dyDescent="0.2">
      <c r="A341" s="41">
        <f t="shared" si="31"/>
        <v>9296</v>
      </c>
      <c r="C341" s="41">
        <v>332</v>
      </c>
      <c r="D341" s="15">
        <f t="shared" si="35"/>
        <v>51930</v>
      </c>
      <c r="E341" s="42">
        <f t="shared" si="32"/>
        <v>51958</v>
      </c>
      <c r="F341" s="42"/>
      <c r="G341" s="42"/>
      <c r="H341" s="15"/>
      <c r="I341" s="43">
        <f t="shared" si="30"/>
        <v>51958</v>
      </c>
      <c r="J341" s="44">
        <f>forward($E$4,D341,E341,CURVA!$H$6:H351,CURVA!$G$6:G351)</f>
        <v>2.0015563624537411E-2</v>
      </c>
      <c r="K341" s="44" t="str">
        <f>IFERROR(VLOOKUP(A341,CURVA!$B$8:$F$30,5,0),"")</f>
        <v/>
      </c>
      <c r="L341" s="45">
        <f t="shared" si="33"/>
        <v>7.7777777777777779E-2</v>
      </c>
      <c r="M341" s="46">
        <f>interpola(E341-$E$4,CURVA!$H$6:$H$20,CURVA!$G$6:$G$20)</f>
        <v>0.02</v>
      </c>
      <c r="N341" s="47">
        <f t="shared" si="34"/>
        <v>0.59663816122230251</v>
      </c>
      <c r="O341" s="49" t="str">
        <f>IF(K341="","",SUMPRODUCT($J$10:J341,$L$10:L341,$N$10:N341)*$E$5)</f>
        <v/>
      </c>
      <c r="P341" s="49" t="str">
        <f>IF(K341="","",SUMPRODUCT($L$10:L341,$N$10:N341)*$K341*$E$5)</f>
        <v/>
      </c>
      <c r="Q341" s="6"/>
      <c r="R341" s="12"/>
      <c r="S341" s="7"/>
    </row>
    <row r="342" spans="1:19" x14ac:dyDescent="0.2">
      <c r="A342" s="41">
        <f t="shared" si="31"/>
        <v>9324</v>
      </c>
      <c r="C342" s="41">
        <v>333</v>
      </c>
      <c r="D342" s="15">
        <f t="shared" si="35"/>
        <v>51958</v>
      </c>
      <c r="E342" s="42">
        <f t="shared" si="32"/>
        <v>51986</v>
      </c>
      <c r="F342" s="42"/>
      <c r="G342" s="42"/>
      <c r="H342" s="15"/>
      <c r="I342" s="43">
        <f t="shared" si="30"/>
        <v>51986</v>
      </c>
      <c r="J342" s="44">
        <f>forward($E$4,D342,E342,CURVA!$H$6:H352,CURVA!$G$6:G352)</f>
        <v>2.0015563624537411E-2</v>
      </c>
      <c r="K342" s="44" t="str">
        <f>IFERROR(VLOOKUP(A342,CURVA!$B$8:$F$30,5,0),"")</f>
        <v/>
      </c>
      <c r="L342" s="45">
        <f t="shared" si="33"/>
        <v>7.7777777777777779E-2</v>
      </c>
      <c r="M342" s="46">
        <f>interpola(E342-$E$4,CURVA!$H$6:$H$20,CURVA!$G$6:$G$20)</f>
        <v>0.02</v>
      </c>
      <c r="N342" s="47">
        <f t="shared" si="34"/>
        <v>0.5957107789003212</v>
      </c>
      <c r="O342" s="49" t="str">
        <f>IF(K342="","",SUMPRODUCT($J$10:J342,$L$10:L342,$N$10:N342)*$E$5)</f>
        <v/>
      </c>
      <c r="P342" s="49" t="str">
        <f>IF(K342="","",SUMPRODUCT($L$10:L342,$N$10:N342)*$K342*$E$5)</f>
        <v/>
      </c>
      <c r="Q342" s="6"/>
      <c r="R342" s="12"/>
      <c r="S342" s="7"/>
    </row>
    <row r="343" spans="1:19" x14ac:dyDescent="0.2">
      <c r="A343" s="41">
        <f t="shared" si="31"/>
        <v>9352</v>
      </c>
      <c r="C343" s="41">
        <v>334</v>
      </c>
      <c r="D343" s="15">
        <f t="shared" si="35"/>
        <v>51986</v>
      </c>
      <c r="E343" s="42">
        <f t="shared" si="32"/>
        <v>52014</v>
      </c>
      <c r="F343" s="42"/>
      <c r="G343" s="42"/>
      <c r="H343" s="15"/>
      <c r="I343" s="43">
        <f t="shared" si="30"/>
        <v>52014</v>
      </c>
      <c r="J343" s="44">
        <f>forward($E$4,D343,E343,CURVA!$H$6:H353,CURVA!$G$6:G353)</f>
        <v>2.0015563624537411E-2</v>
      </c>
      <c r="K343" s="44" t="str">
        <f>IFERROR(VLOOKUP(A343,CURVA!$B$8:$F$30,5,0),"")</f>
        <v/>
      </c>
      <c r="L343" s="45">
        <f t="shared" si="33"/>
        <v>7.7777777777777779E-2</v>
      </c>
      <c r="M343" s="46">
        <f>interpola(E343-$E$4,CURVA!$H$6:$H$20,CURVA!$G$6:$G$20)</f>
        <v>0.02</v>
      </c>
      <c r="N343" s="47">
        <f t="shared" si="34"/>
        <v>0.59478483805162652</v>
      </c>
      <c r="O343" s="49" t="str">
        <f>IF(K343="","",SUMPRODUCT($J$10:J343,$L$10:L343,$N$10:N343)*$E$5)</f>
        <v/>
      </c>
      <c r="P343" s="49" t="str">
        <f>IF(K343="","",SUMPRODUCT($L$10:L343,$N$10:N343)*$K343*$E$5)</f>
        <v/>
      </c>
      <c r="Q343" s="6"/>
      <c r="R343" s="12"/>
      <c r="S343" s="7"/>
    </row>
    <row r="344" spans="1:19" x14ac:dyDescent="0.2">
      <c r="A344" s="41">
        <f t="shared" si="31"/>
        <v>9380</v>
      </c>
      <c r="C344" s="41">
        <v>335</v>
      </c>
      <c r="D344" s="15">
        <f t="shared" si="35"/>
        <v>52014</v>
      </c>
      <c r="E344" s="42">
        <f t="shared" si="32"/>
        <v>52042</v>
      </c>
      <c r="F344" s="42"/>
      <c r="G344" s="42"/>
      <c r="H344" s="15"/>
      <c r="I344" s="43">
        <f t="shared" si="30"/>
        <v>52042</v>
      </c>
      <c r="J344" s="44">
        <f>forward($E$4,D344,E344,CURVA!$H$6:H354,CURVA!$G$6:G354)</f>
        <v>2.0015563624537411E-2</v>
      </c>
      <c r="K344" s="44" t="str">
        <f>IFERROR(VLOOKUP(A344,CURVA!$B$8:$F$30,5,0),"")</f>
        <v/>
      </c>
      <c r="L344" s="45">
        <f t="shared" si="33"/>
        <v>7.7777777777777779E-2</v>
      </c>
      <c r="M344" s="46">
        <f>interpola(E344-$E$4,CURVA!$H$6:$H$20,CURVA!$G$6:$G$20)</f>
        <v>0.02</v>
      </c>
      <c r="N344" s="47">
        <f t="shared" si="34"/>
        <v>0.5938603364356696</v>
      </c>
      <c r="O344" s="49" t="str">
        <f>IF(K344="","",SUMPRODUCT($J$10:J344,$L$10:L344,$N$10:N344)*$E$5)</f>
        <v/>
      </c>
      <c r="P344" s="49" t="str">
        <f>IF(K344="","",SUMPRODUCT($L$10:L344,$N$10:N344)*$K344*$E$5)</f>
        <v/>
      </c>
      <c r="Q344" s="6"/>
      <c r="R344" s="12"/>
      <c r="S344" s="7"/>
    </row>
    <row r="345" spans="1:19" x14ac:dyDescent="0.2">
      <c r="A345" s="41">
        <f t="shared" si="31"/>
        <v>9408</v>
      </c>
      <c r="C345" s="41">
        <v>336</v>
      </c>
      <c r="D345" s="15">
        <f t="shared" si="35"/>
        <v>52042</v>
      </c>
      <c r="E345" s="42">
        <f t="shared" si="32"/>
        <v>52070</v>
      </c>
      <c r="F345" s="42"/>
      <c r="G345" s="42"/>
      <c r="H345" s="15"/>
      <c r="I345" s="43">
        <f t="shared" si="30"/>
        <v>52070</v>
      </c>
      <c r="J345" s="44">
        <f>forward($E$4,D345,E345,CURVA!$H$6:H355,CURVA!$G$6:G355)</f>
        <v>2.0015563624534556E-2</v>
      </c>
      <c r="K345" s="44" t="str">
        <f>IFERROR(VLOOKUP(A345,CURVA!$B$8:$F$30,5,0),"")</f>
        <v/>
      </c>
      <c r="L345" s="45">
        <f t="shared" si="33"/>
        <v>7.7777777777777779E-2</v>
      </c>
      <c r="M345" s="46">
        <f>interpola(E345-$E$4,CURVA!$H$6:$H$20,CURVA!$G$6:$G$20)</f>
        <v>0.02</v>
      </c>
      <c r="N345" s="47">
        <f t="shared" si="34"/>
        <v>0.59293727181538458</v>
      </c>
      <c r="O345" s="49" t="str">
        <f>IF(K345="","",SUMPRODUCT($J$10:J345,$L$10:L345,$N$10:N345)*$E$5)</f>
        <v/>
      </c>
      <c r="P345" s="49" t="str">
        <f>IF(K345="","",SUMPRODUCT($L$10:L345,$N$10:N345)*$K345*$E$5)</f>
        <v/>
      </c>
      <c r="Q345" s="6"/>
      <c r="R345" s="12"/>
      <c r="S345" s="7"/>
    </row>
    <row r="346" spans="1:19" x14ac:dyDescent="0.2">
      <c r="A346" s="41">
        <f t="shared" si="31"/>
        <v>9436</v>
      </c>
      <c r="C346" s="41">
        <v>337</v>
      </c>
      <c r="D346" s="15">
        <f t="shared" si="35"/>
        <v>52070</v>
      </c>
      <c r="E346" s="42">
        <f t="shared" si="32"/>
        <v>52098</v>
      </c>
      <c r="F346" s="42"/>
      <c r="G346" s="42"/>
      <c r="H346" s="15"/>
      <c r="I346" s="43">
        <f t="shared" si="30"/>
        <v>52098</v>
      </c>
      <c r="J346" s="44">
        <f>forward($E$4,D346,E346,CURVA!$H$6:H356,CURVA!$G$6:G356)</f>
        <v>2.0015563624537411E-2</v>
      </c>
      <c r="K346" s="44" t="str">
        <f>IFERROR(VLOOKUP(A346,CURVA!$B$8:$F$30,5,0),"")</f>
        <v/>
      </c>
      <c r="L346" s="45">
        <f t="shared" si="33"/>
        <v>7.7777777777777779E-2</v>
      </c>
      <c r="M346" s="46">
        <f>interpola(E346-$E$4,CURVA!$H$6:$H$20,CURVA!$G$6:$G$20)</f>
        <v>0.02</v>
      </c>
      <c r="N346" s="47">
        <f t="shared" si="34"/>
        <v>0.59201564195718226</v>
      </c>
      <c r="O346" s="49" t="str">
        <f>IF(K346="","",SUMPRODUCT($J$10:J346,$L$10:L346,$N$10:N346)*$E$5)</f>
        <v/>
      </c>
      <c r="P346" s="49" t="str">
        <f>IF(K346="","",SUMPRODUCT($L$10:L346,$N$10:N346)*$K346*$E$5)</f>
        <v/>
      </c>
      <c r="Q346" s="6"/>
      <c r="R346" s="12"/>
      <c r="S346" s="7"/>
    </row>
    <row r="347" spans="1:19" x14ac:dyDescent="0.2">
      <c r="A347" s="41">
        <f t="shared" si="31"/>
        <v>9464</v>
      </c>
      <c r="C347" s="41">
        <v>338</v>
      </c>
      <c r="D347" s="15">
        <f t="shared" si="35"/>
        <v>52098</v>
      </c>
      <c r="E347" s="42">
        <f t="shared" si="32"/>
        <v>52126</v>
      </c>
      <c r="F347" s="42"/>
      <c r="G347" s="42"/>
      <c r="H347" s="15"/>
      <c r="I347" s="43">
        <f t="shared" si="30"/>
        <v>52126</v>
      </c>
      <c r="J347" s="44">
        <f>forward($E$4,D347,E347,CURVA!$H$6:H357,CURVA!$G$6:G357)</f>
        <v>2.0015563624537411E-2</v>
      </c>
      <c r="K347" s="44" t="str">
        <f>IFERROR(VLOOKUP(A347,CURVA!$B$8:$F$30,5,0),"")</f>
        <v/>
      </c>
      <c r="L347" s="45">
        <f t="shared" si="33"/>
        <v>7.7777777777777779E-2</v>
      </c>
      <c r="M347" s="46">
        <f>interpola(E347-$E$4,CURVA!$H$6:$H$20,CURVA!$G$6:$G$20)</f>
        <v>0.02</v>
      </c>
      <c r="N347" s="47">
        <f t="shared" si="34"/>
        <v>0.59109544463094565</v>
      </c>
      <c r="O347" s="49" t="str">
        <f>IF(K347="","",SUMPRODUCT($J$10:J347,$L$10:L347,$N$10:N347)*$E$5)</f>
        <v/>
      </c>
      <c r="P347" s="49" t="str">
        <f>IF(K347="","",SUMPRODUCT($L$10:L347,$N$10:N347)*$K347*$E$5)</f>
        <v/>
      </c>
      <c r="Q347" s="6"/>
      <c r="R347" s="12"/>
      <c r="S347" s="7"/>
    </row>
    <row r="348" spans="1:19" x14ac:dyDescent="0.2">
      <c r="A348" s="41">
        <f t="shared" si="31"/>
        <v>9492</v>
      </c>
      <c r="C348" s="41">
        <v>339</v>
      </c>
      <c r="D348" s="15">
        <f t="shared" si="35"/>
        <v>52126</v>
      </c>
      <c r="E348" s="42">
        <f t="shared" si="32"/>
        <v>52154</v>
      </c>
      <c r="F348" s="42"/>
      <c r="G348" s="42"/>
      <c r="H348" s="15"/>
      <c r="I348" s="43">
        <f t="shared" si="30"/>
        <v>52154</v>
      </c>
      <c r="J348" s="44">
        <f>forward($E$4,D348,E348,CURVA!$H$6:H358,CURVA!$G$6:G358)</f>
        <v>2.0015563624537411E-2</v>
      </c>
      <c r="K348" s="44" t="str">
        <f>IFERROR(VLOOKUP(A348,CURVA!$B$8:$F$30,5,0),"")</f>
        <v/>
      </c>
      <c r="L348" s="45">
        <f t="shared" si="33"/>
        <v>7.7777777777777779E-2</v>
      </c>
      <c r="M348" s="46">
        <f>interpola(E348-$E$4,CURVA!$H$6:$H$20,CURVA!$G$6:$G$20)</f>
        <v>0.02</v>
      </c>
      <c r="N348" s="47">
        <f t="shared" si="34"/>
        <v>0.59017667761002401</v>
      </c>
      <c r="O348" s="49" t="str">
        <f>IF(K348="","",SUMPRODUCT($J$10:J348,$L$10:L348,$N$10:N348)*$E$5)</f>
        <v/>
      </c>
      <c r="P348" s="49" t="str">
        <f>IF(K348="","",SUMPRODUCT($L$10:L348,$N$10:N348)*$K348*$E$5)</f>
        <v/>
      </c>
      <c r="Q348" s="6"/>
      <c r="R348" s="12"/>
      <c r="S348" s="7"/>
    </row>
    <row r="349" spans="1:19" x14ac:dyDescent="0.2">
      <c r="A349" s="41">
        <f t="shared" si="31"/>
        <v>9520</v>
      </c>
      <c r="C349" s="41">
        <v>340</v>
      </c>
      <c r="D349" s="15">
        <f t="shared" si="35"/>
        <v>52154</v>
      </c>
      <c r="E349" s="42">
        <f t="shared" si="32"/>
        <v>52182</v>
      </c>
      <c r="F349" s="42"/>
      <c r="G349" s="42"/>
      <c r="H349" s="15"/>
      <c r="I349" s="43">
        <f t="shared" si="30"/>
        <v>52182</v>
      </c>
      <c r="J349" s="44">
        <f>forward($E$4,D349,E349,CURVA!$H$6:H359,CURVA!$G$6:G359)</f>
        <v>2.0015563624537411E-2</v>
      </c>
      <c r="K349" s="44" t="str">
        <f>IFERROR(VLOOKUP(A349,CURVA!$B$8:$F$30,5,0),"")</f>
        <v/>
      </c>
      <c r="L349" s="45">
        <f t="shared" si="33"/>
        <v>7.7777777777777779E-2</v>
      </c>
      <c r="M349" s="46">
        <f>interpola(E349-$E$4,CURVA!$H$6:$H$20,CURVA!$G$6:$G$20)</f>
        <v>0.02</v>
      </c>
      <c r="N349" s="47">
        <f t="shared" si="34"/>
        <v>0.58925933867122748</v>
      </c>
      <c r="O349" s="49" t="str">
        <f>IF(K349="","",SUMPRODUCT($J$10:J349,$L$10:L349,$N$10:N349)*$E$5)</f>
        <v/>
      </c>
      <c r="P349" s="49" t="str">
        <f>IF(K349="","",SUMPRODUCT($L$10:L349,$N$10:N349)*$K349*$E$5)</f>
        <v/>
      </c>
      <c r="Q349" s="6"/>
      <c r="R349" s="12"/>
      <c r="S349" s="7"/>
    </row>
    <row r="350" spans="1:19" x14ac:dyDescent="0.2">
      <c r="A350" s="41">
        <f t="shared" si="31"/>
        <v>9548</v>
      </c>
      <c r="C350" s="41">
        <v>341</v>
      </c>
      <c r="D350" s="15">
        <f t="shared" si="35"/>
        <v>52182</v>
      </c>
      <c r="E350" s="42">
        <f t="shared" si="32"/>
        <v>52210</v>
      </c>
      <c r="F350" s="42"/>
      <c r="G350" s="42"/>
      <c r="H350" s="15"/>
      <c r="I350" s="43">
        <f t="shared" si="30"/>
        <v>52210</v>
      </c>
      <c r="J350" s="44">
        <f>forward($E$4,D350,E350,CURVA!$H$6:H360,CURVA!$G$6:G360)</f>
        <v>2.0015563624537411E-2</v>
      </c>
      <c r="K350" s="44" t="str">
        <f>IFERROR(VLOOKUP(A350,CURVA!$B$8:$F$30,5,0),"")</f>
        <v/>
      </c>
      <c r="L350" s="45">
        <f t="shared" si="33"/>
        <v>7.7777777777777779E-2</v>
      </c>
      <c r="M350" s="46">
        <f>interpola(E350-$E$4,CURVA!$H$6:$H$20,CURVA!$G$6:$G$20)</f>
        <v>0.02</v>
      </c>
      <c r="N350" s="47">
        <f t="shared" si="34"/>
        <v>0.58834342559482189</v>
      </c>
      <c r="O350" s="49" t="str">
        <f>IF(K350="","",SUMPRODUCT($J$10:J350,$L$10:L350,$N$10:N350)*$E$5)</f>
        <v/>
      </c>
      <c r="P350" s="49" t="str">
        <f>IF(K350="","",SUMPRODUCT($L$10:L350,$N$10:N350)*$K350*$E$5)</f>
        <v/>
      </c>
      <c r="Q350" s="6"/>
      <c r="R350" s="12"/>
      <c r="S350" s="7"/>
    </row>
    <row r="351" spans="1:19" x14ac:dyDescent="0.2">
      <c r="A351" s="41">
        <f t="shared" si="31"/>
        <v>9576</v>
      </c>
      <c r="C351" s="41">
        <v>342</v>
      </c>
      <c r="D351" s="15">
        <f t="shared" si="35"/>
        <v>52210</v>
      </c>
      <c r="E351" s="42">
        <f t="shared" si="32"/>
        <v>52238</v>
      </c>
      <c r="F351" s="42"/>
      <c r="G351" s="42"/>
      <c r="H351" s="15"/>
      <c r="I351" s="43">
        <f t="shared" si="30"/>
        <v>52238</v>
      </c>
      <c r="J351" s="44">
        <f>forward($E$4,D351,E351,CURVA!$H$6:H361,CURVA!$G$6:G361)</f>
        <v>2.0015563624537411E-2</v>
      </c>
      <c r="K351" s="44" t="str">
        <f>IFERROR(VLOOKUP(A351,CURVA!$B$8:$F$30,5,0),"")</f>
        <v/>
      </c>
      <c r="L351" s="45">
        <f t="shared" si="33"/>
        <v>7.7777777777777779E-2</v>
      </c>
      <c r="M351" s="46">
        <f>interpola(E351-$E$4,CURVA!$H$6:$H$20,CURVA!$G$6:$G$20)</f>
        <v>0.02</v>
      </c>
      <c r="N351" s="47">
        <f t="shared" si="34"/>
        <v>0.58742893616452341</v>
      </c>
      <c r="O351" s="49" t="str">
        <f>IF(K351="","",SUMPRODUCT($J$10:J351,$L$10:L351,$N$10:N351)*$E$5)</f>
        <v/>
      </c>
      <c r="P351" s="49" t="str">
        <f>IF(K351="","",SUMPRODUCT($L$10:L351,$N$10:N351)*$K351*$E$5)</f>
        <v/>
      </c>
      <c r="Q351" s="6"/>
      <c r="R351" s="12"/>
      <c r="S351" s="7"/>
    </row>
    <row r="352" spans="1:19" x14ac:dyDescent="0.2">
      <c r="A352" s="41">
        <f t="shared" si="31"/>
        <v>9604</v>
      </c>
      <c r="C352" s="41">
        <v>343</v>
      </c>
      <c r="D352" s="15">
        <f t="shared" si="35"/>
        <v>52238</v>
      </c>
      <c r="E352" s="42">
        <f t="shared" si="32"/>
        <v>52266</v>
      </c>
      <c r="F352" s="42"/>
      <c r="G352" s="42"/>
      <c r="H352" s="15"/>
      <c r="I352" s="43">
        <f t="shared" si="30"/>
        <v>52266</v>
      </c>
      <c r="J352" s="44">
        <f>forward($E$4,D352,E352,CURVA!$H$6:H362,CURVA!$G$6:G362)</f>
        <v>2.0015563624537411E-2</v>
      </c>
      <c r="K352" s="44" t="str">
        <f>IFERROR(VLOOKUP(A352,CURVA!$B$8:$F$30,5,0),"")</f>
        <v/>
      </c>
      <c r="L352" s="45">
        <f t="shared" si="33"/>
        <v>7.7777777777777779E-2</v>
      </c>
      <c r="M352" s="46">
        <f>interpola(E352-$E$4,CURVA!$H$6:$H$20,CURVA!$G$6:$G$20)</f>
        <v>0.02</v>
      </c>
      <c r="N352" s="47">
        <f t="shared" si="34"/>
        <v>0.5865158681674929</v>
      </c>
      <c r="O352" s="49" t="str">
        <f>IF(K352="","",SUMPRODUCT($J$10:J352,$L$10:L352,$N$10:N352)*$E$5)</f>
        <v/>
      </c>
      <c r="P352" s="49" t="str">
        <f>IF(K352="","",SUMPRODUCT($L$10:L352,$N$10:N352)*$K352*$E$5)</f>
        <v/>
      </c>
      <c r="Q352" s="6"/>
      <c r="R352" s="12"/>
      <c r="S352" s="7"/>
    </row>
    <row r="353" spans="1:19" x14ac:dyDescent="0.2">
      <c r="A353" s="41">
        <f t="shared" si="31"/>
        <v>9632</v>
      </c>
      <c r="C353" s="41">
        <v>344</v>
      </c>
      <c r="D353" s="15">
        <f t="shared" si="35"/>
        <v>52266</v>
      </c>
      <c r="E353" s="42">
        <f t="shared" si="32"/>
        <v>52294</v>
      </c>
      <c r="F353" s="42"/>
      <c r="G353" s="42"/>
      <c r="H353" s="15"/>
      <c r="I353" s="43">
        <f t="shared" si="30"/>
        <v>52294</v>
      </c>
      <c r="J353" s="44">
        <f>forward($E$4,D353,E353,CURVA!$H$6:H363,CURVA!$G$6:G363)</f>
        <v>2.0015563624537411E-2</v>
      </c>
      <c r="K353" s="44" t="str">
        <f>IFERROR(VLOOKUP(A353,CURVA!$B$8:$F$30,5,0),"")</f>
        <v/>
      </c>
      <c r="L353" s="45">
        <f t="shared" si="33"/>
        <v>7.7777777777777779E-2</v>
      </c>
      <c r="M353" s="46">
        <f>interpola(E353-$E$4,CURVA!$H$6:$H$20,CURVA!$G$6:$G$20)</f>
        <v>0.02</v>
      </c>
      <c r="N353" s="47">
        <f t="shared" si="34"/>
        <v>0.58560421939433072</v>
      </c>
      <c r="O353" s="49" t="str">
        <f>IF(K353="","",SUMPRODUCT($J$10:J353,$L$10:L353,$N$10:N353)*$E$5)</f>
        <v/>
      </c>
      <c r="P353" s="49" t="str">
        <f>IF(K353="","",SUMPRODUCT($L$10:L353,$N$10:N353)*$K353*$E$5)</f>
        <v/>
      </c>
      <c r="Q353" s="6"/>
      <c r="R353" s="12"/>
      <c r="S353" s="7"/>
    </row>
    <row r="354" spans="1:19" x14ac:dyDescent="0.2">
      <c r="A354" s="41">
        <f t="shared" si="31"/>
        <v>9660</v>
      </c>
      <c r="C354" s="41">
        <v>345</v>
      </c>
      <c r="D354" s="15">
        <f t="shared" si="35"/>
        <v>52294</v>
      </c>
      <c r="E354" s="42">
        <f t="shared" si="32"/>
        <v>52322</v>
      </c>
      <c r="F354" s="42"/>
      <c r="G354" s="42"/>
      <c r="H354" s="15"/>
      <c r="I354" s="43">
        <f t="shared" si="30"/>
        <v>52322</v>
      </c>
      <c r="J354" s="44">
        <f>forward($E$4,D354,E354,CURVA!$H$6:H364,CURVA!$G$6:G364)</f>
        <v>2.0015563624537411E-2</v>
      </c>
      <c r="K354" s="44" t="str">
        <f>IFERROR(VLOOKUP(A354,CURVA!$B$8:$F$30,5,0),"")</f>
        <v/>
      </c>
      <c r="L354" s="45">
        <f t="shared" si="33"/>
        <v>7.7777777777777779E-2</v>
      </c>
      <c r="M354" s="46">
        <f>interpola(E354-$E$4,CURVA!$H$6:$H$20,CURVA!$G$6:$G$20)</f>
        <v>0.02</v>
      </c>
      <c r="N354" s="47">
        <f t="shared" si="34"/>
        <v>0.58469398763907166</v>
      </c>
      <c r="O354" s="49" t="str">
        <f>IF(K354="","",SUMPRODUCT($J$10:J354,$L$10:L354,$N$10:N354)*$E$5)</f>
        <v/>
      </c>
      <c r="P354" s="49" t="str">
        <f>IF(K354="","",SUMPRODUCT($L$10:L354,$N$10:N354)*$K354*$E$5)</f>
        <v/>
      </c>
      <c r="Q354" s="6"/>
      <c r="R354" s="12"/>
      <c r="S354" s="7"/>
    </row>
    <row r="355" spans="1:19" x14ac:dyDescent="0.2">
      <c r="A355" s="41">
        <f t="shared" si="31"/>
        <v>9688</v>
      </c>
      <c r="C355" s="41">
        <v>346</v>
      </c>
      <c r="D355" s="15">
        <f t="shared" si="35"/>
        <v>52322</v>
      </c>
      <c r="E355" s="42">
        <f t="shared" si="32"/>
        <v>52350</v>
      </c>
      <c r="F355" s="42"/>
      <c r="G355" s="42"/>
      <c r="H355" s="15"/>
      <c r="I355" s="43">
        <f t="shared" si="30"/>
        <v>52350</v>
      </c>
      <c r="J355" s="44">
        <f>forward($E$4,D355,E355,CURVA!$H$6:H365,CURVA!$G$6:G365)</f>
        <v>2.0015563624537411E-2</v>
      </c>
      <c r="K355" s="44" t="str">
        <f>IFERROR(VLOOKUP(A355,CURVA!$B$8:$F$30,5,0),"")</f>
        <v/>
      </c>
      <c r="L355" s="45">
        <f t="shared" si="33"/>
        <v>7.7777777777777779E-2</v>
      </c>
      <c r="M355" s="46">
        <f>interpola(E355-$E$4,CURVA!$H$6:$H$20,CURVA!$G$6:$G$20)</f>
        <v>0.02</v>
      </c>
      <c r="N355" s="47">
        <f t="shared" si="34"/>
        <v>0.58378517069917912</v>
      </c>
      <c r="O355" s="49" t="str">
        <f>IF(K355="","",SUMPRODUCT($J$10:J355,$L$10:L355,$N$10:N355)*$E$5)</f>
        <v/>
      </c>
      <c r="P355" s="49" t="str">
        <f>IF(K355="","",SUMPRODUCT($L$10:L355,$N$10:N355)*$K355*$E$5)</f>
        <v/>
      </c>
      <c r="Q355" s="6"/>
      <c r="R355" s="12"/>
      <c r="S355" s="7"/>
    </row>
    <row r="356" spans="1:19" x14ac:dyDescent="0.2">
      <c r="A356" s="41">
        <f t="shared" si="31"/>
        <v>9716</v>
      </c>
      <c r="C356" s="41">
        <v>347</v>
      </c>
      <c r="D356" s="15">
        <f t="shared" si="35"/>
        <v>52350</v>
      </c>
      <c r="E356" s="42">
        <f t="shared" si="32"/>
        <v>52378</v>
      </c>
      <c r="F356" s="42"/>
      <c r="G356" s="42"/>
      <c r="H356" s="15"/>
      <c r="I356" s="43">
        <f t="shared" si="30"/>
        <v>52378</v>
      </c>
      <c r="J356" s="44">
        <f>forward($E$4,D356,E356,CURVA!$H$6:H366,CURVA!$G$6:G366)</f>
        <v>2.0015563624537411E-2</v>
      </c>
      <c r="K356" s="44" t="str">
        <f>IFERROR(VLOOKUP(A356,CURVA!$B$8:$F$30,5,0),"")</f>
        <v/>
      </c>
      <c r="L356" s="45">
        <f t="shared" si="33"/>
        <v>7.7777777777777779E-2</v>
      </c>
      <c r="M356" s="46">
        <f>interpola(E356-$E$4,CURVA!$H$6:$H$20,CURVA!$G$6:$G$20)</f>
        <v>0.02</v>
      </c>
      <c r="N356" s="47">
        <f t="shared" si="34"/>
        <v>0.58287776637554001</v>
      </c>
      <c r="O356" s="49" t="str">
        <f>IF(K356="","",SUMPRODUCT($J$10:J356,$L$10:L356,$N$10:N356)*$E$5)</f>
        <v/>
      </c>
      <c r="P356" s="49" t="str">
        <f>IF(K356="","",SUMPRODUCT($L$10:L356,$N$10:N356)*$K356*$E$5)</f>
        <v/>
      </c>
      <c r="Q356" s="6"/>
      <c r="R356" s="12"/>
      <c r="S356" s="7"/>
    </row>
    <row r="357" spans="1:19" x14ac:dyDescent="0.2">
      <c r="A357" s="41">
        <f t="shared" si="31"/>
        <v>9744</v>
      </c>
      <c r="C357" s="41">
        <v>348</v>
      </c>
      <c r="D357" s="15">
        <f t="shared" si="35"/>
        <v>52378</v>
      </c>
      <c r="E357" s="42">
        <f t="shared" si="32"/>
        <v>52406</v>
      </c>
      <c r="F357" s="42"/>
      <c r="G357" s="42"/>
      <c r="H357" s="15"/>
      <c r="I357" s="43">
        <f t="shared" si="30"/>
        <v>52406</v>
      </c>
      <c r="J357" s="44">
        <f>forward($E$4,D357,E357,CURVA!$H$6:H367,CURVA!$G$6:G367)</f>
        <v>2.0015563624537411E-2</v>
      </c>
      <c r="K357" s="44" t="str">
        <f>IFERROR(VLOOKUP(A357,CURVA!$B$8:$F$30,5,0),"")</f>
        <v/>
      </c>
      <c r="L357" s="45">
        <f t="shared" si="33"/>
        <v>7.7777777777777779E-2</v>
      </c>
      <c r="M357" s="46">
        <f>interpola(E357-$E$4,CURVA!$H$6:$H$20,CURVA!$G$6:$G$20)</f>
        <v>0.02</v>
      </c>
      <c r="N357" s="47">
        <f t="shared" si="34"/>
        <v>0.58197177247245946</v>
      </c>
      <c r="O357" s="49" t="str">
        <f>IF(K357="","",SUMPRODUCT($J$10:J357,$L$10:L357,$N$10:N357)*$E$5)</f>
        <v/>
      </c>
      <c r="P357" s="49" t="str">
        <f>IF(K357="","",SUMPRODUCT($L$10:L357,$N$10:N357)*$K357*$E$5)</f>
        <v/>
      </c>
      <c r="Q357" s="6"/>
      <c r="R357" s="12"/>
      <c r="S357" s="7"/>
    </row>
    <row r="358" spans="1:19" x14ac:dyDescent="0.2">
      <c r="A358" s="41">
        <f t="shared" si="31"/>
        <v>9772</v>
      </c>
      <c r="C358" s="41">
        <v>349</v>
      </c>
      <c r="D358" s="15">
        <f t="shared" si="35"/>
        <v>52406</v>
      </c>
      <c r="E358" s="42">
        <f t="shared" si="32"/>
        <v>52434</v>
      </c>
      <c r="F358" s="42"/>
      <c r="G358" s="42"/>
      <c r="H358" s="15"/>
      <c r="I358" s="43">
        <f t="shared" si="30"/>
        <v>52434</v>
      </c>
      <c r="J358" s="44">
        <f>forward($E$4,D358,E358,CURVA!$H$6:H368,CURVA!$G$6:G368)</f>
        <v>2.0015563624537411E-2</v>
      </c>
      <c r="K358" s="44" t="str">
        <f>IFERROR(VLOOKUP(A358,CURVA!$B$8:$F$30,5,0),"")</f>
        <v/>
      </c>
      <c r="L358" s="45">
        <f t="shared" si="33"/>
        <v>7.7777777777777779E-2</v>
      </c>
      <c r="M358" s="46">
        <f>interpola(E358-$E$4,CURVA!$H$6:$H$20,CURVA!$G$6:$G$20)</f>
        <v>0.02</v>
      </c>
      <c r="N358" s="47">
        <f t="shared" si="34"/>
        <v>0.58106718679765545</v>
      </c>
      <c r="O358" s="49" t="str">
        <f>IF(K358="","",SUMPRODUCT($J$10:J358,$L$10:L358,$N$10:N358)*$E$5)</f>
        <v/>
      </c>
      <c r="P358" s="49" t="str">
        <f>IF(K358="","",SUMPRODUCT($L$10:L358,$N$10:N358)*$K358*$E$5)</f>
        <v/>
      </c>
      <c r="Q358" s="6"/>
      <c r="R358" s="12"/>
      <c r="S358" s="7"/>
    </row>
    <row r="359" spans="1:19" x14ac:dyDescent="0.2">
      <c r="A359" s="41">
        <f t="shared" si="31"/>
        <v>9800</v>
      </c>
      <c r="C359" s="41">
        <v>350</v>
      </c>
      <c r="D359" s="15">
        <f t="shared" si="35"/>
        <v>52434</v>
      </c>
      <c r="E359" s="42">
        <f t="shared" si="32"/>
        <v>52462</v>
      </c>
      <c r="F359" s="42"/>
      <c r="G359" s="42"/>
      <c r="H359" s="15"/>
      <c r="I359" s="43">
        <f t="shared" si="30"/>
        <v>52462</v>
      </c>
      <c r="J359" s="44">
        <f>forward($E$4,D359,E359,CURVA!$H$6:H369,CURVA!$G$6:G369)</f>
        <v>2.0015563624534556E-2</v>
      </c>
      <c r="K359" s="44" t="str">
        <f>IFERROR(VLOOKUP(A359,CURVA!$B$8:$F$30,5,0),"")</f>
        <v/>
      </c>
      <c r="L359" s="45">
        <f t="shared" si="33"/>
        <v>7.7777777777777779E-2</v>
      </c>
      <c r="M359" s="46">
        <f>interpola(E359-$E$4,CURVA!$H$6:$H$20,CURVA!$G$6:$G$20)</f>
        <v>0.02</v>
      </c>
      <c r="N359" s="47">
        <f t="shared" si="34"/>
        <v>0.5801640071622538</v>
      </c>
      <c r="O359" s="49" t="str">
        <f>IF(K359="","",SUMPRODUCT($J$10:J359,$L$10:L359,$N$10:N359)*$E$5)</f>
        <v/>
      </c>
      <c r="P359" s="49" t="str">
        <f>IF(K359="","",SUMPRODUCT($L$10:L359,$N$10:N359)*$K359*$E$5)</f>
        <v/>
      </c>
      <c r="Q359" s="6"/>
      <c r="R359" s="12"/>
      <c r="S359" s="7"/>
    </row>
    <row r="360" spans="1:19" x14ac:dyDescent="0.2">
      <c r="A360" s="41">
        <f t="shared" si="31"/>
        <v>9828</v>
      </c>
      <c r="C360" s="41">
        <v>351</v>
      </c>
      <c r="D360" s="15">
        <f t="shared" si="35"/>
        <v>52462</v>
      </c>
      <c r="E360" s="42">
        <f t="shared" si="32"/>
        <v>52490</v>
      </c>
      <c r="F360" s="42"/>
      <c r="G360" s="42"/>
      <c r="H360" s="15"/>
      <c r="I360" s="43">
        <f t="shared" si="30"/>
        <v>52490</v>
      </c>
      <c r="J360" s="44">
        <f>forward($E$4,D360,E360,CURVA!$H$6:H370,CURVA!$G$6:G370)</f>
        <v>2.0015563624537411E-2</v>
      </c>
      <c r="K360" s="44" t="str">
        <f>IFERROR(VLOOKUP(A360,CURVA!$B$8:$F$30,5,0),"")</f>
        <v/>
      </c>
      <c r="L360" s="45">
        <f t="shared" si="33"/>
        <v>7.7777777777777779E-2</v>
      </c>
      <c r="M360" s="46">
        <f>interpola(E360-$E$4,CURVA!$H$6:$H$20,CURVA!$G$6:$G$20)</f>
        <v>0.02</v>
      </c>
      <c r="N360" s="47">
        <f t="shared" si="34"/>
        <v>0.57926223138078203</v>
      </c>
      <c r="O360" s="49" t="str">
        <f>IF(K360="","",SUMPRODUCT($J$10:J360,$L$10:L360,$N$10:N360)*$E$5)</f>
        <v/>
      </c>
      <c r="P360" s="49" t="str">
        <f>IF(K360="","",SUMPRODUCT($L$10:L360,$N$10:N360)*$K360*$E$5)</f>
        <v/>
      </c>
      <c r="Q360" s="6"/>
      <c r="R360" s="12"/>
      <c r="S360" s="7"/>
    </row>
    <row r="361" spans="1:19" x14ac:dyDescent="0.2">
      <c r="A361" s="41">
        <f t="shared" si="31"/>
        <v>9856</v>
      </c>
      <c r="C361" s="41">
        <v>352</v>
      </c>
      <c r="D361" s="15">
        <f t="shared" si="35"/>
        <v>52490</v>
      </c>
      <c r="E361" s="42">
        <f t="shared" si="32"/>
        <v>52518</v>
      </c>
      <c r="F361" s="42"/>
      <c r="G361" s="42"/>
      <c r="H361" s="15"/>
      <c r="I361" s="43">
        <f t="shared" si="30"/>
        <v>52518</v>
      </c>
      <c r="J361" s="44">
        <f>forward($E$4,D361,E361,CURVA!$H$6:H371,CURVA!$G$6:G371)</f>
        <v>2.0015563624537411E-2</v>
      </c>
      <c r="K361" s="44" t="str">
        <f>IFERROR(VLOOKUP(A361,CURVA!$B$8:$F$30,5,0),"")</f>
        <v/>
      </c>
      <c r="L361" s="45">
        <f t="shared" si="33"/>
        <v>7.7777777777777779E-2</v>
      </c>
      <c r="M361" s="46">
        <f>interpola(E361-$E$4,CURVA!$H$6:$H$20,CURVA!$G$6:$G$20)</f>
        <v>0.02</v>
      </c>
      <c r="N361" s="47">
        <f t="shared" si="34"/>
        <v>0.57836185727116518</v>
      </c>
      <c r="O361" s="49" t="str">
        <f>IF(K361="","",SUMPRODUCT($J$10:J361,$L$10:L361,$N$10:N361)*$E$5)</f>
        <v/>
      </c>
      <c r="P361" s="49" t="str">
        <f>IF(K361="","",SUMPRODUCT($L$10:L361,$N$10:N361)*$K361*$E$5)</f>
        <v/>
      </c>
      <c r="Q361" s="6"/>
      <c r="R361" s="12"/>
      <c r="S361" s="7"/>
    </row>
    <row r="362" spans="1:19" x14ac:dyDescent="0.2">
      <c r="A362" s="41">
        <f t="shared" si="31"/>
        <v>9884</v>
      </c>
      <c r="C362" s="41">
        <v>353</v>
      </c>
      <c r="D362" s="15">
        <f t="shared" si="35"/>
        <v>52518</v>
      </c>
      <c r="E362" s="42">
        <f t="shared" si="32"/>
        <v>52546</v>
      </c>
      <c r="F362" s="42"/>
      <c r="G362" s="42"/>
      <c r="H362" s="15"/>
      <c r="I362" s="43">
        <f t="shared" si="30"/>
        <v>52546</v>
      </c>
      <c r="J362" s="44">
        <f>forward($E$4,D362,E362,CURVA!$H$6:H372,CURVA!$G$6:G372)</f>
        <v>2.0015563624537411E-2</v>
      </c>
      <c r="K362" s="44" t="str">
        <f>IFERROR(VLOOKUP(A362,CURVA!$B$8:$F$30,5,0),"")</f>
        <v/>
      </c>
      <c r="L362" s="45">
        <f t="shared" si="33"/>
        <v>7.7777777777777779E-2</v>
      </c>
      <c r="M362" s="46">
        <f>interpola(E362-$E$4,CURVA!$H$6:$H$20,CURVA!$G$6:$G$20)</f>
        <v>0.02</v>
      </c>
      <c r="N362" s="47">
        <f t="shared" si="34"/>
        <v>0.57746288265471979</v>
      </c>
      <c r="O362" s="49" t="str">
        <f>IF(K362="","",SUMPRODUCT($J$10:J362,$L$10:L362,$N$10:N362)*$E$5)</f>
        <v/>
      </c>
      <c r="P362" s="49" t="str">
        <f>IF(K362="","",SUMPRODUCT($L$10:L362,$N$10:N362)*$K362*$E$5)</f>
        <v/>
      </c>
      <c r="Q362" s="6"/>
      <c r="R362" s="12"/>
      <c r="S362" s="7"/>
    </row>
    <row r="363" spans="1:19" x14ac:dyDescent="0.2">
      <c r="A363" s="41">
        <f t="shared" si="31"/>
        <v>9912</v>
      </c>
      <c r="C363" s="41">
        <v>354</v>
      </c>
      <c r="D363" s="15">
        <f t="shared" si="35"/>
        <v>52546</v>
      </c>
      <c r="E363" s="42">
        <f t="shared" si="32"/>
        <v>52574</v>
      </c>
      <c r="F363" s="42"/>
      <c r="G363" s="42"/>
      <c r="H363" s="15"/>
      <c r="I363" s="43">
        <f t="shared" si="30"/>
        <v>52574</v>
      </c>
      <c r="J363" s="44">
        <f>forward($E$4,D363,E363,CURVA!$H$6:H373,CURVA!$G$6:G373)</f>
        <v>2.0015563624537411E-2</v>
      </c>
      <c r="K363" s="44" t="str">
        <f>IFERROR(VLOOKUP(A363,CURVA!$B$8:$F$30,5,0),"")</f>
        <v/>
      </c>
      <c r="L363" s="45">
        <f t="shared" si="33"/>
        <v>7.7777777777777779E-2</v>
      </c>
      <c r="M363" s="46">
        <f>interpola(E363-$E$4,CURVA!$H$6:$H$20,CURVA!$G$6:$G$20)</f>
        <v>0.02</v>
      </c>
      <c r="N363" s="47">
        <f t="shared" si="34"/>
        <v>0.57656530535614881</v>
      </c>
      <c r="O363" s="49" t="str">
        <f>IF(K363="","",SUMPRODUCT($J$10:J363,$L$10:L363,$N$10:N363)*$E$5)</f>
        <v/>
      </c>
      <c r="P363" s="49" t="str">
        <f>IF(K363="","",SUMPRODUCT($L$10:L363,$N$10:N363)*$K363*$E$5)</f>
        <v/>
      </c>
      <c r="Q363" s="6"/>
      <c r="R363" s="12"/>
      <c r="S363" s="7"/>
    </row>
    <row r="364" spans="1:19" x14ac:dyDescent="0.2">
      <c r="A364" s="41">
        <f t="shared" si="31"/>
        <v>9940</v>
      </c>
      <c r="C364" s="41">
        <v>355</v>
      </c>
      <c r="D364" s="15">
        <f t="shared" si="35"/>
        <v>52574</v>
      </c>
      <c r="E364" s="42">
        <f t="shared" si="32"/>
        <v>52602</v>
      </c>
      <c r="F364" s="42"/>
      <c r="G364" s="42"/>
      <c r="H364" s="15"/>
      <c r="I364" s="43">
        <f t="shared" si="30"/>
        <v>52602</v>
      </c>
      <c r="J364" s="44">
        <f>forward($E$4,D364,E364,CURVA!$H$6:H374,CURVA!$G$6:G374)</f>
        <v>2.0015563624537411E-2</v>
      </c>
      <c r="K364" s="44" t="str">
        <f>IFERROR(VLOOKUP(A364,CURVA!$B$8:$F$30,5,0),"")</f>
        <v/>
      </c>
      <c r="L364" s="45">
        <f t="shared" si="33"/>
        <v>7.7777777777777779E-2</v>
      </c>
      <c r="M364" s="46">
        <f>interpola(E364-$E$4,CURVA!$H$6:$H$20,CURVA!$G$6:$G$20)</f>
        <v>0.02</v>
      </c>
      <c r="N364" s="47">
        <f t="shared" si="34"/>
        <v>0.57566912320353614</v>
      </c>
      <c r="O364" s="49" t="str">
        <f>IF(K364="","",SUMPRODUCT($J$10:J364,$L$10:L364,$N$10:N364)*$E$5)</f>
        <v/>
      </c>
      <c r="P364" s="49" t="str">
        <f>IF(K364="","",SUMPRODUCT($L$10:L364,$N$10:N364)*$K364*$E$5)</f>
        <v/>
      </c>
      <c r="Q364" s="6"/>
      <c r="R364" s="12"/>
      <c r="S364" s="7"/>
    </row>
    <row r="365" spans="1:19" x14ac:dyDescent="0.2">
      <c r="A365" s="41">
        <f t="shared" si="31"/>
        <v>9968</v>
      </c>
      <c r="C365" s="41">
        <v>356</v>
      </c>
      <c r="D365" s="15">
        <f t="shared" si="35"/>
        <v>52602</v>
      </c>
      <c r="E365" s="42">
        <f t="shared" si="32"/>
        <v>52630</v>
      </c>
      <c r="F365" s="42"/>
      <c r="G365" s="42"/>
      <c r="H365" s="15"/>
      <c r="I365" s="43">
        <f t="shared" si="30"/>
        <v>52630</v>
      </c>
      <c r="J365" s="44">
        <f>forward($E$4,D365,E365,CURVA!$H$6:H375,CURVA!$G$6:G375)</f>
        <v>2.0015563624537411E-2</v>
      </c>
      <c r="K365" s="44" t="str">
        <f>IFERROR(VLOOKUP(A365,CURVA!$B$8:$F$30,5,0),"")</f>
        <v/>
      </c>
      <c r="L365" s="45">
        <f t="shared" si="33"/>
        <v>7.7777777777777779E-2</v>
      </c>
      <c r="M365" s="46">
        <f>interpola(E365-$E$4,CURVA!$H$6:$H$20,CURVA!$G$6:$G$20)</f>
        <v>0.02</v>
      </c>
      <c r="N365" s="47">
        <f t="shared" si="34"/>
        <v>0.5747743340283421</v>
      </c>
      <c r="O365" s="49" t="str">
        <f>IF(K365="","",SUMPRODUCT($J$10:J365,$L$10:L365,$N$10:N365)*$E$5)</f>
        <v/>
      </c>
      <c r="P365" s="49" t="str">
        <f>IF(K365="","",SUMPRODUCT($L$10:L365,$N$10:N365)*$K365*$E$5)</f>
        <v/>
      </c>
      <c r="Q365" s="6"/>
      <c r="R365" s="12"/>
      <c r="S365" s="7"/>
    </row>
    <row r="366" spans="1:19" x14ac:dyDescent="0.2">
      <c r="A366" s="41">
        <f t="shared" si="31"/>
        <v>9996</v>
      </c>
      <c r="C366" s="41">
        <v>357</v>
      </c>
      <c r="D366" s="15">
        <f t="shared" si="35"/>
        <v>52630</v>
      </c>
      <c r="E366" s="42">
        <f t="shared" si="32"/>
        <v>52658</v>
      </c>
      <c r="F366" s="42"/>
      <c r="G366" s="42"/>
      <c r="H366" s="15"/>
      <c r="I366" s="43">
        <f t="shared" si="30"/>
        <v>52658</v>
      </c>
      <c r="J366" s="44">
        <f>forward($E$4,D366,E366,CURVA!$H$6:H376,CURVA!$G$6:G376)</f>
        <v>2.0015563624537411E-2</v>
      </c>
      <c r="K366" s="44" t="str">
        <f>IFERROR(VLOOKUP(A366,CURVA!$B$8:$F$30,5,0),"")</f>
        <v/>
      </c>
      <c r="L366" s="45">
        <f t="shared" si="33"/>
        <v>7.7777777777777779E-2</v>
      </c>
      <c r="M366" s="46">
        <f>interpola(E366-$E$4,CURVA!$H$6:$H$20,CURVA!$G$6:$G$20)</f>
        <v>0.02</v>
      </c>
      <c r="N366" s="47">
        <f t="shared" si="34"/>
        <v>0.57388093566539722</v>
      </c>
      <c r="O366" s="49" t="str">
        <f>IF(K366="","",SUMPRODUCT($J$10:J366,$L$10:L366,$N$10:N366)*$E$5)</f>
        <v/>
      </c>
      <c r="P366" s="49" t="str">
        <f>IF(K366="","",SUMPRODUCT($L$10:L366,$N$10:N366)*$K366*$E$5)</f>
        <v/>
      </c>
      <c r="Q366" s="6"/>
      <c r="R366" s="12"/>
      <c r="S366" s="7"/>
    </row>
    <row r="367" spans="1:19" x14ac:dyDescent="0.2">
      <c r="A367" s="41">
        <f t="shared" si="31"/>
        <v>10024</v>
      </c>
      <c r="C367" s="41">
        <v>358</v>
      </c>
      <c r="D367" s="15">
        <f t="shared" si="35"/>
        <v>52658</v>
      </c>
      <c r="E367" s="42">
        <f t="shared" si="32"/>
        <v>52686</v>
      </c>
      <c r="F367" s="42"/>
      <c r="G367" s="42"/>
      <c r="H367" s="15"/>
      <c r="I367" s="43">
        <f t="shared" si="30"/>
        <v>52686</v>
      </c>
      <c r="J367" s="44">
        <f>forward($E$4,D367,E367,CURVA!$H$6:H377,CURVA!$G$6:G377)</f>
        <v>2.0015563624537411E-2</v>
      </c>
      <c r="K367" s="44" t="str">
        <f>IFERROR(VLOOKUP(A367,CURVA!$B$8:$F$30,5,0),"")</f>
        <v/>
      </c>
      <c r="L367" s="45">
        <f t="shared" si="33"/>
        <v>7.7777777777777779E-2</v>
      </c>
      <c r="M367" s="46">
        <f>interpola(E367-$E$4,CURVA!$H$6:$H$20,CURVA!$G$6:$G$20)</f>
        <v>0.02</v>
      </c>
      <c r="N367" s="47">
        <f t="shared" si="34"/>
        <v>0.57298892595289763</v>
      </c>
      <c r="O367" s="49" t="str">
        <f>IF(K367="","",SUMPRODUCT($J$10:J367,$L$10:L367,$N$10:N367)*$E$5)</f>
        <v/>
      </c>
      <c r="P367" s="49" t="str">
        <f>IF(K367="","",SUMPRODUCT($L$10:L367,$N$10:N367)*$K367*$E$5)</f>
        <v/>
      </c>
      <c r="Q367" s="6"/>
      <c r="R367" s="12"/>
      <c r="S367" s="7"/>
    </row>
    <row r="368" spans="1:19" x14ac:dyDescent="0.2">
      <c r="A368" s="41">
        <f t="shared" si="31"/>
        <v>10052</v>
      </c>
      <c r="C368" s="41">
        <v>359</v>
      </c>
      <c r="D368" s="15">
        <f t="shared" si="35"/>
        <v>52686</v>
      </c>
      <c r="E368" s="42">
        <f t="shared" si="32"/>
        <v>52714</v>
      </c>
      <c r="F368" s="42"/>
      <c r="G368" s="42"/>
      <c r="H368" s="15"/>
      <c r="I368" s="43">
        <f t="shared" si="30"/>
        <v>52714</v>
      </c>
      <c r="J368" s="44">
        <f>forward($E$4,D368,E368,CURVA!$H$6:H378,CURVA!$G$6:G378)</f>
        <v>2.0015563624537411E-2</v>
      </c>
      <c r="K368" s="44" t="str">
        <f>IFERROR(VLOOKUP(A368,CURVA!$B$8:$F$30,5,0),"")</f>
        <v/>
      </c>
      <c r="L368" s="45">
        <f t="shared" si="33"/>
        <v>7.7777777777777779E-2</v>
      </c>
      <c r="M368" s="46">
        <f>interpola(E368-$E$4,CURVA!$H$6:$H$20,CURVA!$G$6:$G$20)</f>
        <v>0.02</v>
      </c>
      <c r="N368" s="47">
        <f t="shared" si="34"/>
        <v>0.57209830273239992</v>
      </c>
      <c r="O368" s="49" t="str">
        <f>IF(K368="","",SUMPRODUCT($J$10:J368,$L$10:L368,$N$10:N368)*$E$5)</f>
        <v/>
      </c>
      <c r="P368" s="49" t="str">
        <f>IF(K368="","",SUMPRODUCT($L$10:L368,$N$10:N368)*$K368*$E$5)</f>
        <v/>
      </c>
      <c r="Q368" s="6"/>
      <c r="R368" s="12"/>
      <c r="S368" s="7"/>
    </row>
    <row r="369" spans="1:19" x14ac:dyDescent="0.2">
      <c r="A369" s="41">
        <f t="shared" si="31"/>
        <v>10080</v>
      </c>
      <c r="C369" s="41">
        <v>360</v>
      </c>
      <c r="D369" s="15">
        <f t="shared" si="35"/>
        <v>52714</v>
      </c>
      <c r="E369" s="42">
        <f t="shared" si="32"/>
        <v>52742</v>
      </c>
      <c r="F369" s="42"/>
      <c r="G369" s="42"/>
      <c r="H369" s="15"/>
      <c r="I369" s="43">
        <f t="shared" si="30"/>
        <v>52742</v>
      </c>
      <c r="J369" s="44">
        <f>forward($E$4,D369,E369,CURVA!$H$6:H379,CURVA!$G$6:G379)</f>
        <v>2.0015563624537411E-2</v>
      </c>
      <c r="K369" s="44">
        <f>IFERROR(VLOOKUP(A369,CURVA!$B$8:$F$30,5,0),"")</f>
        <v>0</v>
      </c>
      <c r="L369" s="45">
        <f t="shared" si="33"/>
        <v>7.7777777777777779E-2</v>
      </c>
      <c r="M369" s="46">
        <f>interpola(E369-$E$4,CURVA!$H$6:$H$20,CURVA!$G$6:$G$20)</f>
        <v>0.02</v>
      </c>
      <c r="N369" s="47">
        <f t="shared" si="34"/>
        <v>0.57120906384881487</v>
      </c>
      <c r="O369" s="49">
        <f>IF(K369="","",SUMPRODUCT($J$10:J369,$L$10:L369,$N$10:N369)*$E$5)</f>
        <v>428790.93615119607</v>
      </c>
      <c r="P369" s="49">
        <f>IF(K369="","",SUMPRODUCT($L$10:L369,$N$10:N369)*$K369*$E$5)</f>
        <v>0</v>
      </c>
      <c r="Q369" s="6"/>
      <c r="R369" s="12"/>
      <c r="S369" s="7"/>
    </row>
    <row r="370" spans="1:19" x14ac:dyDescent="0.2">
      <c r="A370" s="41">
        <f t="shared" si="31"/>
        <v>10108</v>
      </c>
      <c r="C370" s="41">
        <v>361</v>
      </c>
      <c r="D370" s="15">
        <f t="shared" si="35"/>
        <v>52742</v>
      </c>
      <c r="E370" s="42">
        <f t="shared" si="32"/>
        <v>52770</v>
      </c>
      <c r="F370" s="42"/>
      <c r="G370" s="42"/>
      <c r="H370" s="15"/>
      <c r="I370" s="43">
        <f t="shared" si="30"/>
        <v>52770</v>
      </c>
      <c r="J370" s="44">
        <f>forward($E$4,D370,E370,CURVA!$H$6:H380,CURVA!$G$6:G380)</f>
        <v>2.0015563624537411E-2</v>
      </c>
      <c r="K370" s="44" t="str">
        <f>IFERROR(VLOOKUP(A370,CURVA!$B$8:$F$30,5,0),"")</f>
        <v/>
      </c>
      <c r="L370" s="45">
        <f t="shared" si="33"/>
        <v>7.7777777777777779E-2</v>
      </c>
      <c r="M370" s="46">
        <f>interpola(E370-$E$4,CURVA!$H$6:$H$20,CURVA!$G$6:$G$20)</f>
        <v>0.02</v>
      </c>
      <c r="N370" s="47">
        <f t="shared" si="34"/>
        <v>0.57032120715040391</v>
      </c>
      <c r="O370" s="49" t="str">
        <f>IF(K370="","",SUMPRODUCT($J$10:J370,$L$10:L370,$N$10:N370)*$E$5)</f>
        <v/>
      </c>
      <c r="P370" s="49" t="str">
        <f>IF(K370="","",SUMPRODUCT($L$10:L370,$N$10:N370)*$K370*$E$5)</f>
        <v/>
      </c>
      <c r="Q370" s="6"/>
      <c r="R370" s="12"/>
      <c r="S370" s="7"/>
    </row>
    <row r="371" spans="1:19" x14ac:dyDescent="0.2">
      <c r="A371" s="41">
        <f t="shared" si="31"/>
        <v>10136</v>
      </c>
      <c r="C371" s="41">
        <v>362</v>
      </c>
      <c r="D371" s="15">
        <f t="shared" si="35"/>
        <v>52770</v>
      </c>
      <c r="E371" s="42">
        <f t="shared" si="32"/>
        <v>52798</v>
      </c>
      <c r="F371" s="42"/>
      <c r="G371" s="42"/>
      <c r="H371" s="15"/>
      <c r="I371" s="43">
        <f t="shared" si="30"/>
        <v>52798</v>
      </c>
      <c r="J371" s="44">
        <f>forward($E$4,D371,E371,CURVA!$H$6:H381,CURVA!$G$6:G381)</f>
        <v>2.0015563624537411E-2</v>
      </c>
      <c r="K371" s="44" t="str">
        <f>IFERROR(VLOOKUP(A371,CURVA!$B$8:$F$30,5,0),"")</f>
        <v/>
      </c>
      <c r="L371" s="45">
        <f t="shared" si="33"/>
        <v>7.7777777777777779E-2</v>
      </c>
      <c r="M371" s="46">
        <f>interpola(E371-$E$4,CURVA!$H$6:$H$20,CURVA!$G$6:$G$20)</f>
        <v>0.02</v>
      </c>
      <c r="N371" s="47">
        <f t="shared" si="34"/>
        <v>0.56943473048877236</v>
      </c>
      <c r="O371" s="49" t="str">
        <f>IF(K371="","",SUMPRODUCT($J$10:J371,$L$10:L371,$N$10:N371)*$E$5)</f>
        <v/>
      </c>
      <c r="P371" s="49" t="str">
        <f>IF(K371="","",SUMPRODUCT($L$10:L371,$N$10:N371)*$K371*$E$5)</f>
        <v/>
      </c>
      <c r="Q371" s="6"/>
      <c r="R371" s="12"/>
      <c r="S371" s="7"/>
    </row>
    <row r="372" spans="1:19" x14ac:dyDescent="0.2">
      <c r="A372" s="41">
        <f t="shared" si="31"/>
        <v>10164</v>
      </c>
      <c r="C372" s="41">
        <v>363</v>
      </c>
      <c r="D372" s="15">
        <f t="shared" si="35"/>
        <v>52798</v>
      </c>
      <c r="E372" s="42">
        <f t="shared" si="32"/>
        <v>52826</v>
      </c>
      <c r="F372" s="42"/>
      <c r="G372" s="42"/>
      <c r="H372" s="15"/>
      <c r="I372" s="43">
        <f t="shared" si="30"/>
        <v>52826</v>
      </c>
      <c r="J372" s="44">
        <f>forward($E$4,D372,E372,CURVA!$H$6:H382,CURVA!$G$6:G382)</f>
        <v>2.0015563624537411E-2</v>
      </c>
      <c r="K372" s="44" t="str">
        <f>IFERROR(VLOOKUP(A372,CURVA!$B$8:$F$30,5,0),"")</f>
        <v/>
      </c>
      <c r="L372" s="45">
        <f t="shared" si="33"/>
        <v>7.7777777777777779E-2</v>
      </c>
      <c r="M372" s="46">
        <f>interpola(E372-$E$4,CURVA!$H$6:$H$20,CURVA!$G$6:$G$20)</f>
        <v>0.02</v>
      </c>
      <c r="N372" s="47">
        <f t="shared" si="34"/>
        <v>0.56854963171886541</v>
      </c>
      <c r="O372" s="49" t="str">
        <f>IF(K372="","",SUMPRODUCT($J$10:J372,$L$10:L372,$N$10:N372)*$E$5)</f>
        <v/>
      </c>
      <c r="P372" s="49" t="str">
        <f>IF(K372="","",SUMPRODUCT($L$10:L372,$N$10:N372)*$K372*$E$5)</f>
        <v/>
      </c>
      <c r="Q372" s="6"/>
      <c r="R372" s="12"/>
      <c r="S372" s="7"/>
    </row>
    <row r="373" spans="1:19" x14ac:dyDescent="0.2">
      <c r="A373" s="41">
        <f t="shared" si="31"/>
        <v>10192</v>
      </c>
      <c r="C373" s="41">
        <v>364</v>
      </c>
      <c r="D373" s="15">
        <f t="shared" si="35"/>
        <v>52826</v>
      </c>
      <c r="E373" s="42">
        <f t="shared" si="32"/>
        <v>52854</v>
      </c>
      <c r="F373" s="42"/>
      <c r="G373" s="42"/>
      <c r="H373" s="15"/>
      <c r="I373" s="43">
        <f t="shared" si="30"/>
        <v>52854</v>
      </c>
      <c r="J373" s="44">
        <f>forward($E$4,D373,E373,CURVA!$H$6:H383,CURVA!$G$6:G383)</f>
        <v>2.0015563624537411E-2</v>
      </c>
      <c r="K373" s="44" t="str">
        <f>IFERROR(VLOOKUP(A373,CURVA!$B$8:$F$30,5,0),"")</f>
        <v/>
      </c>
      <c r="L373" s="45">
        <f t="shared" si="33"/>
        <v>7.7777777777777779E-2</v>
      </c>
      <c r="M373" s="46">
        <f>interpola(E373-$E$4,CURVA!$H$6:$H$20,CURVA!$G$6:$G$20)</f>
        <v>0.02</v>
      </c>
      <c r="N373" s="47">
        <f t="shared" si="34"/>
        <v>0.56766590869896194</v>
      </c>
      <c r="O373" s="49" t="str">
        <f>IF(K373="","",SUMPRODUCT($J$10:J373,$L$10:L373,$N$10:N373)*$E$5)</f>
        <v/>
      </c>
      <c r="P373" s="49" t="str">
        <f>IF(K373="","",SUMPRODUCT($L$10:L373,$N$10:N373)*$K373*$E$5)</f>
        <v/>
      </c>
      <c r="Q373" s="6"/>
      <c r="R373" s="12"/>
      <c r="S373" s="7"/>
    </row>
    <row r="374" spans="1:19" x14ac:dyDescent="0.2">
      <c r="A374" s="41">
        <f t="shared" si="31"/>
        <v>10220</v>
      </c>
      <c r="C374" s="41">
        <v>365</v>
      </c>
      <c r="D374" s="15">
        <f t="shared" si="35"/>
        <v>52854</v>
      </c>
      <c r="E374" s="42">
        <f t="shared" si="32"/>
        <v>52882</v>
      </c>
      <c r="F374" s="42"/>
      <c r="G374" s="42"/>
      <c r="H374" s="15"/>
      <c r="I374" s="43">
        <f t="shared" si="30"/>
        <v>52882</v>
      </c>
      <c r="J374" s="44">
        <f>forward($E$4,D374,E374,CURVA!$H$6:H384,CURVA!$G$6:G384)</f>
        <v>2.0015563624537411E-2</v>
      </c>
      <c r="K374" s="44" t="str">
        <f>IFERROR(VLOOKUP(A374,CURVA!$B$8:$F$30,5,0),"")</f>
        <v/>
      </c>
      <c r="L374" s="45">
        <f t="shared" si="33"/>
        <v>7.7777777777777779E-2</v>
      </c>
      <c r="M374" s="46">
        <f>interpola(E374-$E$4,CURVA!$H$6:$H$20,CURVA!$G$6:$G$20)</f>
        <v>0.02</v>
      </c>
      <c r="N374" s="47">
        <f t="shared" si="34"/>
        <v>0.56678355929067004</v>
      </c>
      <c r="O374" s="49" t="str">
        <f>IF(K374="","",SUMPRODUCT($J$10:J374,$L$10:L374,$N$10:N374)*$E$5)</f>
        <v/>
      </c>
      <c r="P374" s="49" t="str">
        <f>IF(K374="","",SUMPRODUCT($L$10:L374,$N$10:N374)*$K374*$E$5)</f>
        <v/>
      </c>
      <c r="Q374" s="6"/>
      <c r="R374" s="12"/>
      <c r="S374" s="7"/>
    </row>
    <row r="375" spans="1:19" x14ac:dyDescent="0.2">
      <c r="A375" s="41">
        <f t="shared" si="31"/>
        <v>10248</v>
      </c>
      <c r="C375" s="41">
        <v>366</v>
      </c>
      <c r="D375" s="15">
        <f t="shared" si="35"/>
        <v>52882</v>
      </c>
      <c r="E375" s="42">
        <f t="shared" si="32"/>
        <v>52910</v>
      </c>
      <c r="F375" s="42"/>
      <c r="G375" s="42"/>
      <c r="H375" s="15"/>
      <c r="I375" s="43">
        <f t="shared" si="30"/>
        <v>52910</v>
      </c>
      <c r="J375" s="44">
        <f>forward($E$4,D375,E375,CURVA!$H$6:H385,CURVA!$G$6:G385)</f>
        <v>2.0015563624537411E-2</v>
      </c>
      <c r="K375" s="44" t="str">
        <f>IFERROR(VLOOKUP(A375,CURVA!$B$8:$F$30,5,0),"")</f>
        <v/>
      </c>
      <c r="L375" s="45">
        <f t="shared" si="33"/>
        <v>7.7777777777777779E-2</v>
      </c>
      <c r="M375" s="46">
        <f>interpola(E375-$E$4,CURVA!$H$6:$H$20,CURVA!$G$6:$G$20)</f>
        <v>0.02</v>
      </c>
      <c r="N375" s="47">
        <f t="shared" si="34"/>
        <v>0.56590258135892169</v>
      </c>
      <c r="O375" s="49" t="str">
        <f>IF(K375="","",SUMPRODUCT($J$10:J375,$L$10:L375,$N$10:N375)*$E$5)</f>
        <v/>
      </c>
      <c r="P375" s="49" t="str">
        <f>IF(K375="","",SUMPRODUCT($L$10:L375,$N$10:N375)*$K375*$E$5)</f>
        <v/>
      </c>
      <c r="Q375" s="6"/>
      <c r="R375" s="12"/>
      <c r="S375" s="7"/>
    </row>
    <row r="376" spans="1:19" x14ac:dyDescent="0.2">
      <c r="A376" s="41">
        <f t="shared" si="31"/>
        <v>10276</v>
      </c>
      <c r="C376" s="41">
        <v>367</v>
      </c>
      <c r="D376" s="15">
        <f t="shared" si="35"/>
        <v>52910</v>
      </c>
      <c r="E376" s="42">
        <f t="shared" si="32"/>
        <v>52938</v>
      </c>
      <c r="F376" s="42"/>
      <c r="G376" s="42"/>
      <c r="H376" s="15"/>
      <c r="I376" s="43">
        <f t="shared" si="30"/>
        <v>52938</v>
      </c>
      <c r="J376" s="44">
        <f>forward($E$4,D376,E376,CURVA!$H$6:H386,CURVA!$G$6:G386)</f>
        <v>2.0015563624537411E-2</v>
      </c>
      <c r="K376" s="44" t="str">
        <f>IFERROR(VLOOKUP(A376,CURVA!$B$8:$F$30,5,0),"")</f>
        <v/>
      </c>
      <c r="L376" s="45">
        <f t="shared" si="33"/>
        <v>7.7777777777777779E-2</v>
      </c>
      <c r="M376" s="46">
        <f>interpola(E376-$E$4,CURVA!$H$6:$H$20,CURVA!$G$6:$G$20)</f>
        <v>0.02</v>
      </c>
      <c r="N376" s="47">
        <f t="shared" si="34"/>
        <v>0.56502297277196722</v>
      </c>
      <c r="O376" s="49" t="str">
        <f>IF(K376="","",SUMPRODUCT($J$10:J376,$L$10:L376,$N$10:N376)*$E$5)</f>
        <v/>
      </c>
      <c r="P376" s="49" t="str">
        <f>IF(K376="","",SUMPRODUCT($L$10:L376,$N$10:N376)*$K376*$E$5)</f>
        <v/>
      </c>
      <c r="Q376" s="6"/>
      <c r="R376" s="12"/>
      <c r="S376" s="7"/>
    </row>
    <row r="377" spans="1:19" x14ac:dyDescent="0.2">
      <c r="A377" s="41">
        <f t="shared" si="31"/>
        <v>10304</v>
      </c>
      <c r="C377" s="41">
        <v>368</v>
      </c>
      <c r="D377" s="15">
        <f t="shared" si="35"/>
        <v>52938</v>
      </c>
      <c r="E377" s="42">
        <f t="shared" si="32"/>
        <v>52966</v>
      </c>
      <c r="F377" s="42"/>
      <c r="G377" s="42"/>
      <c r="H377" s="15"/>
      <c r="I377" s="43">
        <f t="shared" si="30"/>
        <v>52966</v>
      </c>
      <c r="J377" s="44">
        <f>forward($E$4,D377,E377,CURVA!$H$6:H387,CURVA!$G$6:G387)</f>
        <v>2.0015563624537411E-2</v>
      </c>
      <c r="K377" s="44" t="str">
        <f>IFERROR(VLOOKUP(A377,CURVA!$B$8:$F$30,5,0),"")</f>
        <v/>
      </c>
      <c r="L377" s="45">
        <f t="shared" si="33"/>
        <v>7.7777777777777779E-2</v>
      </c>
      <c r="M377" s="46">
        <f>interpola(E377-$E$4,CURVA!$H$6:$H$20,CURVA!$G$6:$G$20)</f>
        <v>0.02</v>
      </c>
      <c r="N377" s="47">
        <f t="shared" si="34"/>
        <v>0.56414473140137078</v>
      </c>
      <c r="O377" s="49" t="str">
        <f>IF(K377="","",SUMPRODUCT($J$10:J377,$L$10:L377,$N$10:N377)*$E$5)</f>
        <v/>
      </c>
      <c r="P377" s="49" t="str">
        <f>IF(K377="","",SUMPRODUCT($L$10:L377,$N$10:N377)*$K377*$E$5)</f>
        <v/>
      </c>
      <c r="Q377" s="6"/>
      <c r="R377" s="12"/>
      <c r="S377" s="7"/>
    </row>
    <row r="378" spans="1:19" x14ac:dyDescent="0.2">
      <c r="A378" s="41">
        <f t="shared" si="31"/>
        <v>10332</v>
      </c>
      <c r="C378" s="41">
        <v>369</v>
      </c>
      <c r="D378" s="15">
        <f t="shared" si="35"/>
        <v>52966</v>
      </c>
      <c r="E378" s="42">
        <f t="shared" si="32"/>
        <v>52994</v>
      </c>
      <c r="F378" s="42"/>
      <c r="G378" s="42"/>
      <c r="H378" s="15"/>
      <c r="I378" s="43">
        <f t="shared" si="30"/>
        <v>52994</v>
      </c>
      <c r="J378" s="44">
        <f>forward($E$4,D378,E378,CURVA!$H$6:H388,CURVA!$G$6:G388)</f>
        <v>2.0015563624534556E-2</v>
      </c>
      <c r="K378" s="44" t="str">
        <f>IFERROR(VLOOKUP(A378,CURVA!$B$8:$F$30,5,0),"")</f>
        <v/>
      </c>
      <c r="L378" s="45">
        <f t="shared" si="33"/>
        <v>7.7777777777777779E-2</v>
      </c>
      <c r="M378" s="46">
        <f>interpola(E378-$E$4,CURVA!$H$6:$H$20,CURVA!$G$6:$G$20)</f>
        <v>0.02</v>
      </c>
      <c r="N378" s="47">
        <f t="shared" si="34"/>
        <v>0.56326785512200461</v>
      </c>
      <c r="O378" s="49" t="str">
        <f>IF(K378="","",SUMPRODUCT($J$10:J378,$L$10:L378,$N$10:N378)*$E$5)</f>
        <v/>
      </c>
      <c r="P378" s="49" t="str">
        <f>IF(K378="","",SUMPRODUCT($L$10:L378,$N$10:N378)*$K378*$E$5)</f>
        <v/>
      </c>
      <c r="Q378" s="6"/>
      <c r="R378" s="12"/>
      <c r="S378" s="7"/>
    </row>
    <row r="379" spans="1:19" x14ac:dyDescent="0.2">
      <c r="A379" s="41">
        <f t="shared" si="31"/>
        <v>10360</v>
      </c>
      <c r="C379" s="41">
        <v>370</v>
      </c>
      <c r="D379" s="15">
        <f t="shared" si="35"/>
        <v>52994</v>
      </c>
      <c r="E379" s="42">
        <f t="shared" si="32"/>
        <v>53022</v>
      </c>
      <c r="F379" s="42"/>
      <c r="G379" s="42"/>
      <c r="H379" s="15"/>
      <c r="I379" s="43">
        <f t="shared" si="30"/>
        <v>53022</v>
      </c>
      <c r="J379" s="44">
        <f>forward($E$4,D379,E379,CURVA!$H$6:H389,CURVA!$G$6:G389)</f>
        <v>2.0015563624537411E-2</v>
      </c>
      <c r="K379" s="44" t="str">
        <f>IFERROR(VLOOKUP(A379,CURVA!$B$8:$F$30,5,0),"")</f>
        <v/>
      </c>
      <c r="L379" s="45">
        <f t="shared" si="33"/>
        <v>7.7777777777777779E-2</v>
      </c>
      <c r="M379" s="46">
        <f>interpola(E379-$E$4,CURVA!$H$6:$H$20,CURVA!$G$6:$G$20)</f>
        <v>0.02</v>
      </c>
      <c r="N379" s="47">
        <f t="shared" si="34"/>
        <v>0.56239234181204423</v>
      </c>
      <c r="O379" s="49" t="str">
        <f>IF(K379="","",SUMPRODUCT($J$10:J379,$L$10:L379,$N$10:N379)*$E$5)</f>
        <v/>
      </c>
      <c r="P379" s="49" t="str">
        <f>IF(K379="","",SUMPRODUCT($L$10:L379,$N$10:N379)*$K379*$E$5)</f>
        <v/>
      </c>
      <c r="Q379" s="6"/>
      <c r="R379" s="12"/>
      <c r="S379" s="7"/>
    </row>
    <row r="380" spans="1:19" x14ac:dyDescent="0.2">
      <c r="A380" s="41">
        <f t="shared" si="31"/>
        <v>10388</v>
      </c>
      <c r="C380" s="41">
        <v>371</v>
      </c>
      <c r="D380" s="15">
        <f t="shared" si="35"/>
        <v>53022</v>
      </c>
      <c r="E380" s="42">
        <f t="shared" si="32"/>
        <v>53050</v>
      </c>
      <c r="F380" s="42"/>
      <c r="G380" s="42"/>
      <c r="H380" s="15"/>
      <c r="I380" s="43">
        <f t="shared" si="30"/>
        <v>53050</v>
      </c>
      <c r="J380" s="44">
        <f>forward($E$4,D380,E380,CURVA!$H$6:H390,CURVA!$G$6:G390)</f>
        <v>2.0015563624537411E-2</v>
      </c>
      <c r="K380" s="44" t="str">
        <f>IFERROR(VLOOKUP(A380,CURVA!$B$8:$F$30,5,0),"")</f>
        <v/>
      </c>
      <c r="L380" s="45">
        <f t="shared" si="33"/>
        <v>7.7777777777777779E-2</v>
      </c>
      <c r="M380" s="46">
        <f>interpola(E380-$E$4,CURVA!$H$6:$H$20,CURVA!$G$6:$G$20)</f>
        <v>0.02</v>
      </c>
      <c r="N380" s="47">
        <f t="shared" si="34"/>
        <v>0.56151818935296305</v>
      </c>
      <c r="O380" s="49" t="str">
        <f>IF(K380="","",SUMPRODUCT($J$10:J380,$L$10:L380,$N$10:N380)*$E$5)</f>
        <v/>
      </c>
      <c r="P380" s="49" t="str">
        <f>IF(K380="","",SUMPRODUCT($L$10:L380,$N$10:N380)*$K380*$E$5)</f>
        <v/>
      </c>
      <c r="Q380" s="6"/>
      <c r="R380" s="12"/>
      <c r="S380" s="7"/>
    </row>
    <row r="381" spans="1:19" x14ac:dyDescent="0.2">
      <c r="A381" s="41">
        <f t="shared" si="31"/>
        <v>10416</v>
      </c>
      <c r="C381" s="41">
        <v>372</v>
      </c>
      <c r="D381" s="15">
        <f t="shared" si="35"/>
        <v>53050</v>
      </c>
      <c r="E381" s="42">
        <f t="shared" si="32"/>
        <v>53078</v>
      </c>
      <c r="F381" s="42"/>
      <c r="G381" s="42"/>
      <c r="H381" s="15"/>
      <c r="I381" s="43">
        <f t="shared" si="30"/>
        <v>53078</v>
      </c>
      <c r="J381" s="44">
        <f>forward($E$4,D381,E381,CURVA!$H$6:H391,CURVA!$G$6:G391)</f>
        <v>2.0015563624537411E-2</v>
      </c>
      <c r="K381" s="44" t="str">
        <f>IFERROR(VLOOKUP(A381,CURVA!$B$8:$F$30,5,0),"")</f>
        <v/>
      </c>
      <c r="L381" s="45">
        <f t="shared" si="33"/>
        <v>7.7777777777777779E-2</v>
      </c>
      <c r="M381" s="46">
        <f>interpola(E381-$E$4,CURVA!$H$6:$H$20,CURVA!$G$6:$G$20)</f>
        <v>0.02</v>
      </c>
      <c r="N381" s="47">
        <f t="shared" si="34"/>
        <v>0.56064539562952764</v>
      </c>
      <c r="O381" s="49" t="str">
        <f>IF(K381="","",SUMPRODUCT($J$10:J381,$L$10:L381,$N$10:N381)*$E$5)</f>
        <v/>
      </c>
      <c r="P381" s="49" t="str">
        <f>IF(K381="","",SUMPRODUCT($L$10:L381,$N$10:N381)*$K381*$E$5)</f>
        <v/>
      </c>
      <c r="Q381" s="6"/>
      <c r="R381" s="12"/>
      <c r="S381" s="7"/>
    </row>
    <row r="382" spans="1:19" x14ac:dyDescent="0.2">
      <c r="A382" s="41">
        <f t="shared" si="31"/>
        <v>10444</v>
      </c>
      <c r="C382" s="41">
        <v>373</v>
      </c>
      <c r="D382" s="15">
        <f t="shared" si="35"/>
        <v>53078</v>
      </c>
      <c r="E382" s="42">
        <f t="shared" si="32"/>
        <v>53106</v>
      </c>
      <c r="F382" s="42"/>
      <c r="G382" s="42"/>
      <c r="H382" s="15"/>
      <c r="I382" s="43">
        <f t="shared" si="30"/>
        <v>53106</v>
      </c>
      <c r="J382" s="44">
        <f>forward($E$4,D382,E382,CURVA!$H$6:H392,CURVA!$G$6:G392)</f>
        <v>2.0015563624537411E-2</v>
      </c>
      <c r="K382" s="44" t="str">
        <f>IFERROR(VLOOKUP(A382,CURVA!$B$8:$F$30,5,0),"")</f>
        <v/>
      </c>
      <c r="L382" s="45">
        <f t="shared" si="33"/>
        <v>7.7777777777777779E-2</v>
      </c>
      <c r="M382" s="46">
        <f>interpola(E382-$E$4,CURVA!$H$6:$H$20,CURVA!$G$6:$G$20)</f>
        <v>0.02</v>
      </c>
      <c r="N382" s="47">
        <f t="shared" si="34"/>
        <v>0.55977395852979228</v>
      </c>
      <c r="O382" s="49" t="str">
        <f>IF(K382="","",SUMPRODUCT($J$10:J382,$L$10:L382,$N$10:N382)*$E$5)</f>
        <v/>
      </c>
      <c r="P382" s="49" t="str">
        <f>IF(K382="","",SUMPRODUCT($L$10:L382,$N$10:N382)*$K382*$E$5)</f>
        <v/>
      </c>
      <c r="Q382" s="6"/>
      <c r="R382" s="12"/>
      <c r="S382" s="7"/>
    </row>
    <row r="383" spans="1:19" x14ac:dyDescent="0.2">
      <c r="A383" s="41">
        <f t="shared" si="31"/>
        <v>10472</v>
      </c>
      <c r="C383" s="41">
        <v>374</v>
      </c>
      <c r="D383" s="15">
        <f t="shared" si="35"/>
        <v>53106</v>
      </c>
      <c r="E383" s="42">
        <f t="shared" si="32"/>
        <v>53134</v>
      </c>
      <c r="F383" s="42"/>
      <c r="G383" s="42"/>
      <c r="H383" s="15"/>
      <c r="I383" s="43">
        <f t="shared" si="30"/>
        <v>53134</v>
      </c>
      <c r="J383" s="44">
        <f>forward($E$4,D383,E383,CURVA!$H$6:H393,CURVA!$G$6:G393)</f>
        <v>2.0015563624537411E-2</v>
      </c>
      <c r="K383" s="44" t="str">
        <f>IFERROR(VLOOKUP(A383,CURVA!$B$8:$F$30,5,0),"")</f>
        <v/>
      </c>
      <c r="L383" s="45">
        <f t="shared" si="33"/>
        <v>7.7777777777777779E-2</v>
      </c>
      <c r="M383" s="46">
        <f>interpola(E383-$E$4,CURVA!$H$6:$H$20,CURVA!$G$6:$G$20)</f>
        <v>0.02</v>
      </c>
      <c r="N383" s="47">
        <f t="shared" si="34"/>
        <v>0.55890387594509394</v>
      </c>
      <c r="O383" s="49" t="str">
        <f>IF(K383="","",SUMPRODUCT($J$10:J383,$L$10:L383,$N$10:N383)*$E$5)</f>
        <v/>
      </c>
      <c r="P383" s="49" t="str">
        <f>IF(K383="","",SUMPRODUCT($L$10:L383,$N$10:N383)*$K383*$E$5)</f>
        <v/>
      </c>
      <c r="Q383" s="6"/>
      <c r="R383" s="12"/>
      <c r="S383" s="7"/>
    </row>
    <row r="384" spans="1:19" x14ac:dyDescent="0.2">
      <c r="A384" s="41">
        <f t="shared" si="31"/>
        <v>10500</v>
      </c>
      <c r="C384" s="41">
        <v>375</v>
      </c>
      <c r="D384" s="15">
        <f t="shared" si="35"/>
        <v>53134</v>
      </c>
      <c r="E384" s="42">
        <f t="shared" si="32"/>
        <v>53162</v>
      </c>
      <c r="F384" s="42"/>
      <c r="G384" s="42"/>
      <c r="H384" s="15"/>
      <c r="I384" s="43">
        <f t="shared" si="30"/>
        <v>53162</v>
      </c>
      <c r="J384" s="44">
        <f>forward($E$4,D384,E384,CURVA!$H$6:H394,CURVA!$G$6:G394)</f>
        <v>2.0015563624537411E-2</v>
      </c>
      <c r="K384" s="44" t="str">
        <f>IFERROR(VLOOKUP(A384,CURVA!$B$8:$F$30,5,0),"")</f>
        <v/>
      </c>
      <c r="L384" s="45">
        <f t="shared" si="33"/>
        <v>7.7777777777777779E-2</v>
      </c>
      <c r="M384" s="46">
        <f>interpola(E384-$E$4,CURVA!$H$6:$H$20,CURVA!$G$6:$G$20)</f>
        <v>0.02</v>
      </c>
      <c r="N384" s="47">
        <f t="shared" si="34"/>
        <v>0.55803514577004709</v>
      </c>
      <c r="O384" s="49" t="str">
        <f>IF(K384="","",SUMPRODUCT($J$10:J384,$L$10:L384,$N$10:N384)*$E$5)</f>
        <v/>
      </c>
      <c r="P384" s="49" t="str">
        <f>IF(K384="","",SUMPRODUCT($L$10:L384,$N$10:N384)*$K384*$E$5)</f>
        <v/>
      </c>
      <c r="Q384" s="6"/>
      <c r="R384" s="12"/>
      <c r="S384" s="7"/>
    </row>
    <row r="385" spans="1:19" x14ac:dyDescent="0.2">
      <c r="A385" s="41">
        <f t="shared" si="31"/>
        <v>10528</v>
      </c>
      <c r="C385" s="41">
        <v>376</v>
      </c>
      <c r="D385" s="15">
        <f t="shared" si="35"/>
        <v>53162</v>
      </c>
      <c r="E385" s="42">
        <f t="shared" si="32"/>
        <v>53190</v>
      </c>
      <c r="F385" s="42"/>
      <c r="G385" s="42"/>
      <c r="H385" s="15"/>
      <c r="I385" s="43">
        <f t="shared" si="30"/>
        <v>53190</v>
      </c>
      <c r="J385" s="44">
        <f>forward($E$4,D385,E385,CURVA!$H$6:H395,CURVA!$G$6:G395)</f>
        <v>2.0015563624537411E-2</v>
      </c>
      <c r="K385" s="44" t="str">
        <f>IFERROR(VLOOKUP(A385,CURVA!$B$8:$F$30,5,0),"")</f>
        <v/>
      </c>
      <c r="L385" s="45">
        <f t="shared" si="33"/>
        <v>7.7777777777777779E-2</v>
      </c>
      <c r="M385" s="46">
        <f>interpola(E385-$E$4,CURVA!$H$6:$H$20,CURVA!$G$6:$G$20)</f>
        <v>0.02</v>
      </c>
      <c r="N385" s="47">
        <f t="shared" si="34"/>
        <v>0.5571677659025388</v>
      </c>
      <c r="O385" s="49" t="str">
        <f>IF(K385="","",SUMPRODUCT($J$10:J385,$L$10:L385,$N$10:N385)*$E$5)</f>
        <v/>
      </c>
      <c r="P385" s="49" t="str">
        <f>IF(K385="","",SUMPRODUCT($L$10:L385,$N$10:N385)*$K385*$E$5)</f>
        <v/>
      </c>
      <c r="Q385" s="6"/>
      <c r="R385" s="12"/>
      <c r="S385" s="7"/>
    </row>
    <row r="386" spans="1:19" x14ac:dyDescent="0.2">
      <c r="A386" s="41">
        <f t="shared" si="31"/>
        <v>10556</v>
      </c>
      <c r="C386" s="41">
        <v>377</v>
      </c>
      <c r="D386" s="15">
        <f t="shared" si="35"/>
        <v>53190</v>
      </c>
      <c r="E386" s="42">
        <f t="shared" si="32"/>
        <v>53218</v>
      </c>
      <c r="F386" s="42"/>
      <c r="G386" s="42"/>
      <c r="H386" s="15"/>
      <c r="I386" s="43">
        <f t="shared" si="30"/>
        <v>53218</v>
      </c>
      <c r="J386" s="44">
        <f>forward($E$4,D386,E386,CURVA!$H$6:H396,CURVA!$G$6:G396)</f>
        <v>2.0015563624537411E-2</v>
      </c>
      <c r="K386" s="44" t="str">
        <f>IFERROR(VLOOKUP(A386,CURVA!$B$8:$F$30,5,0),"")</f>
        <v/>
      </c>
      <c r="L386" s="45">
        <f t="shared" si="33"/>
        <v>7.7777777777777779E-2</v>
      </c>
      <c r="M386" s="46">
        <f>interpola(E386-$E$4,CURVA!$H$6:$H$20,CURVA!$G$6:$G$20)</f>
        <v>0.02</v>
      </c>
      <c r="N386" s="47">
        <f t="shared" si="34"/>
        <v>0.55630173424372364</v>
      </c>
      <c r="O386" s="49" t="str">
        <f>IF(K386="","",SUMPRODUCT($J$10:J386,$L$10:L386,$N$10:N386)*$E$5)</f>
        <v/>
      </c>
      <c r="P386" s="49" t="str">
        <f>IF(K386="","",SUMPRODUCT($L$10:L386,$N$10:N386)*$K386*$E$5)</f>
        <v/>
      </c>
      <c r="Q386" s="6"/>
      <c r="R386" s="12"/>
      <c r="S386" s="7"/>
    </row>
    <row r="387" spans="1:19" x14ac:dyDescent="0.2">
      <c r="A387" s="41">
        <f t="shared" si="31"/>
        <v>10584</v>
      </c>
      <c r="C387" s="41">
        <v>378</v>
      </c>
      <c r="D387" s="15">
        <f t="shared" si="35"/>
        <v>53218</v>
      </c>
      <c r="E387" s="42">
        <f t="shared" si="32"/>
        <v>53246</v>
      </c>
      <c r="F387" s="42"/>
      <c r="G387" s="42"/>
      <c r="H387" s="15"/>
      <c r="I387" s="43">
        <f t="shared" si="30"/>
        <v>53246</v>
      </c>
      <c r="J387" s="44">
        <f>forward($E$4,D387,E387,CURVA!$H$6:H397,CURVA!$G$6:G397)</f>
        <v>2.0015563624537411E-2</v>
      </c>
      <c r="K387" s="44" t="str">
        <f>IFERROR(VLOOKUP(A387,CURVA!$B$8:$F$30,5,0),"")</f>
        <v/>
      </c>
      <c r="L387" s="45">
        <f t="shared" si="33"/>
        <v>7.7777777777777779E-2</v>
      </c>
      <c r="M387" s="46">
        <f>interpola(E387-$E$4,CURVA!$H$6:$H$20,CURVA!$G$6:$G$20)</f>
        <v>0.02</v>
      </c>
      <c r="N387" s="47">
        <f t="shared" si="34"/>
        <v>0.55543704869801824</v>
      </c>
      <c r="O387" s="49" t="str">
        <f>IF(K387="","",SUMPRODUCT($J$10:J387,$L$10:L387,$N$10:N387)*$E$5)</f>
        <v/>
      </c>
      <c r="P387" s="49" t="str">
        <f>IF(K387="","",SUMPRODUCT($L$10:L387,$N$10:N387)*$K387*$E$5)</f>
        <v/>
      </c>
      <c r="Q387" s="6"/>
      <c r="R387" s="12"/>
      <c r="S387" s="7"/>
    </row>
    <row r="388" spans="1:19" x14ac:dyDescent="0.2">
      <c r="A388" s="41">
        <f t="shared" si="31"/>
        <v>10612</v>
      </c>
      <c r="C388" s="41">
        <v>379</v>
      </c>
      <c r="D388" s="15">
        <f t="shared" si="35"/>
        <v>53246</v>
      </c>
      <c r="E388" s="42">
        <f t="shared" si="32"/>
        <v>53274</v>
      </c>
      <c r="F388" s="42"/>
      <c r="G388" s="42"/>
      <c r="H388" s="15"/>
      <c r="I388" s="43">
        <f t="shared" si="30"/>
        <v>53274</v>
      </c>
      <c r="J388" s="44">
        <f>forward($E$4,D388,E388,CURVA!$H$6:H398,CURVA!$G$6:G398)</f>
        <v>2.0015563624537411E-2</v>
      </c>
      <c r="K388" s="44" t="str">
        <f>IFERROR(VLOOKUP(A388,CURVA!$B$8:$F$30,5,0),"")</f>
        <v/>
      </c>
      <c r="L388" s="45">
        <f t="shared" si="33"/>
        <v>7.7777777777777779E-2</v>
      </c>
      <c r="M388" s="46">
        <f>interpola(E388-$E$4,CURVA!$H$6:$H$20,CURVA!$G$6:$G$20)</f>
        <v>0.02</v>
      </c>
      <c r="N388" s="47">
        <f t="shared" si="34"/>
        <v>0.55457370717309684</v>
      </c>
      <c r="O388" s="49" t="str">
        <f>IF(K388="","",SUMPRODUCT($J$10:J388,$L$10:L388,$N$10:N388)*$E$5)</f>
        <v/>
      </c>
      <c r="P388" s="49" t="str">
        <f>IF(K388="","",SUMPRODUCT($L$10:L388,$N$10:N388)*$K388*$E$5)</f>
        <v/>
      </c>
      <c r="Q388" s="6"/>
      <c r="R388" s="12"/>
      <c r="S388" s="7"/>
    </row>
    <row r="389" spans="1:19" x14ac:dyDescent="0.2">
      <c r="A389" s="41">
        <f t="shared" si="31"/>
        <v>10640</v>
      </c>
      <c r="C389" s="41">
        <v>380</v>
      </c>
      <c r="D389" s="15">
        <f t="shared" si="35"/>
        <v>53274</v>
      </c>
      <c r="E389" s="42">
        <f t="shared" si="32"/>
        <v>53302</v>
      </c>
      <c r="F389" s="42"/>
      <c r="G389" s="42"/>
      <c r="H389" s="15"/>
      <c r="I389" s="43">
        <f t="shared" si="30"/>
        <v>53302</v>
      </c>
      <c r="J389" s="44">
        <f>forward($E$4,D389,E389,CURVA!$H$6:H399,CURVA!$G$6:G399)</f>
        <v>2.0015563624537411E-2</v>
      </c>
      <c r="K389" s="44" t="str">
        <f>IFERROR(VLOOKUP(A389,CURVA!$B$8:$F$30,5,0),"")</f>
        <v/>
      </c>
      <c r="L389" s="45">
        <f t="shared" si="33"/>
        <v>7.7777777777777779E-2</v>
      </c>
      <c r="M389" s="46">
        <f>interpola(E389-$E$4,CURVA!$H$6:$H$20,CURVA!$G$6:$G$20)</f>
        <v>0.02</v>
      </c>
      <c r="N389" s="47">
        <f t="shared" si="34"/>
        <v>0.55371170757988553</v>
      </c>
      <c r="O389" s="49" t="str">
        <f>IF(K389="","",SUMPRODUCT($J$10:J389,$L$10:L389,$N$10:N389)*$E$5)</f>
        <v/>
      </c>
      <c r="P389" s="49" t="str">
        <f>IF(K389="","",SUMPRODUCT($L$10:L389,$N$10:N389)*$K389*$E$5)</f>
        <v/>
      </c>
      <c r="Q389" s="6"/>
      <c r="R389" s="12"/>
      <c r="S389" s="7"/>
    </row>
    <row r="390" spans="1:19" x14ac:dyDescent="0.2">
      <c r="A390" s="41">
        <f t="shared" si="31"/>
        <v>10668</v>
      </c>
      <c r="C390" s="41">
        <v>381</v>
      </c>
      <c r="D390" s="15">
        <f t="shared" si="35"/>
        <v>53302</v>
      </c>
      <c r="E390" s="42">
        <f t="shared" si="32"/>
        <v>53330</v>
      </c>
      <c r="F390" s="42"/>
      <c r="G390" s="42"/>
      <c r="H390" s="15"/>
      <c r="I390" s="43">
        <f t="shared" si="30"/>
        <v>53330</v>
      </c>
      <c r="J390" s="44">
        <f>forward($E$4,D390,E390,CURVA!$H$6:H400,CURVA!$G$6:G400)</f>
        <v>2.0015563624537411E-2</v>
      </c>
      <c r="K390" s="44" t="str">
        <f>IFERROR(VLOOKUP(A390,CURVA!$B$8:$F$30,5,0),"")</f>
        <v/>
      </c>
      <c r="L390" s="45">
        <f t="shared" si="33"/>
        <v>7.7777777777777779E-2</v>
      </c>
      <c r="M390" s="46">
        <f>interpola(E390-$E$4,CURVA!$H$6:$H$20,CURVA!$G$6:$G$20)</f>
        <v>0.02</v>
      </c>
      <c r="N390" s="47">
        <f t="shared" si="34"/>
        <v>0.5528510478325579</v>
      </c>
      <c r="O390" s="49" t="str">
        <f>IF(K390="","",SUMPRODUCT($J$10:J390,$L$10:L390,$N$10:N390)*$E$5)</f>
        <v/>
      </c>
      <c r="P390" s="49" t="str">
        <f>IF(K390="","",SUMPRODUCT($L$10:L390,$N$10:N390)*$K390*$E$5)</f>
        <v/>
      </c>
      <c r="Q390" s="6"/>
      <c r="R390" s="12"/>
      <c r="S390" s="7"/>
    </row>
    <row r="391" spans="1:19" x14ac:dyDescent="0.2">
      <c r="A391" s="41">
        <f t="shared" si="31"/>
        <v>10696</v>
      </c>
      <c r="C391" s="41">
        <v>382</v>
      </c>
      <c r="D391" s="15">
        <f t="shared" si="35"/>
        <v>53330</v>
      </c>
      <c r="E391" s="42">
        <f t="shared" si="32"/>
        <v>53358</v>
      </c>
      <c r="F391" s="42"/>
      <c r="G391" s="42"/>
      <c r="H391" s="15"/>
      <c r="I391" s="43">
        <f t="shared" si="30"/>
        <v>53358</v>
      </c>
      <c r="J391" s="44">
        <f>forward($E$4,D391,E391,CURVA!$H$6:H401,CURVA!$G$6:G401)</f>
        <v>2.0015563624537411E-2</v>
      </c>
      <c r="K391" s="44" t="str">
        <f>IFERROR(VLOOKUP(A391,CURVA!$B$8:$F$30,5,0),"")</f>
        <v/>
      </c>
      <c r="L391" s="45">
        <f t="shared" si="33"/>
        <v>7.7777777777777779E-2</v>
      </c>
      <c r="M391" s="46">
        <f>interpola(E391-$E$4,CURVA!$H$6:$H$20,CURVA!$G$6:$G$20)</f>
        <v>0.02</v>
      </c>
      <c r="N391" s="47">
        <f t="shared" si="34"/>
        <v>0.55199172584852929</v>
      </c>
      <c r="O391" s="49" t="str">
        <f>IF(K391="","",SUMPRODUCT($J$10:J391,$L$10:L391,$N$10:N391)*$E$5)</f>
        <v/>
      </c>
      <c r="P391" s="49" t="str">
        <f>IF(K391="","",SUMPRODUCT($L$10:L391,$N$10:N391)*$K391*$E$5)</f>
        <v/>
      </c>
      <c r="Q391" s="6"/>
      <c r="R391" s="12"/>
      <c r="S391" s="7"/>
    </row>
    <row r="392" spans="1:19" x14ac:dyDescent="0.2">
      <c r="A392" s="41">
        <f t="shared" si="31"/>
        <v>10724</v>
      </c>
      <c r="C392" s="41">
        <v>383</v>
      </c>
      <c r="D392" s="15">
        <f t="shared" si="35"/>
        <v>53358</v>
      </c>
      <c r="E392" s="42">
        <f t="shared" si="32"/>
        <v>53386</v>
      </c>
      <c r="F392" s="42"/>
      <c r="G392" s="42"/>
      <c r="H392" s="15"/>
      <c r="I392" s="43">
        <f t="shared" si="30"/>
        <v>53386</v>
      </c>
      <c r="J392" s="44">
        <f>forward($E$4,D392,E392,CURVA!$H$6:H402,CURVA!$G$6:G402)</f>
        <v>2.0015563624537411E-2</v>
      </c>
      <c r="K392" s="44" t="str">
        <f>IFERROR(VLOOKUP(A392,CURVA!$B$8:$F$30,5,0),"")</f>
        <v/>
      </c>
      <c r="L392" s="45">
        <f t="shared" si="33"/>
        <v>7.7777777777777779E-2</v>
      </c>
      <c r="M392" s="46">
        <f>interpola(E392-$E$4,CURVA!$H$6:$H$20,CURVA!$G$6:$G$20)</f>
        <v>0.02</v>
      </c>
      <c r="N392" s="47">
        <f t="shared" si="34"/>
        <v>0.55113373954845224</v>
      </c>
      <c r="O392" s="49" t="str">
        <f>IF(K392="","",SUMPRODUCT($J$10:J392,$L$10:L392,$N$10:N392)*$E$5)</f>
        <v/>
      </c>
      <c r="P392" s="49" t="str">
        <f>IF(K392="","",SUMPRODUCT($L$10:L392,$N$10:N392)*$K392*$E$5)</f>
        <v/>
      </c>
      <c r="Q392" s="6"/>
      <c r="R392" s="12"/>
      <c r="S392" s="7"/>
    </row>
    <row r="393" spans="1:19" x14ac:dyDescent="0.2">
      <c r="A393" s="41">
        <f t="shared" si="31"/>
        <v>10752</v>
      </c>
      <c r="C393" s="41">
        <v>384</v>
      </c>
      <c r="D393" s="15">
        <f t="shared" si="35"/>
        <v>53386</v>
      </c>
      <c r="E393" s="42">
        <f t="shared" si="32"/>
        <v>53414</v>
      </c>
      <c r="F393" s="42"/>
      <c r="G393" s="42"/>
      <c r="H393" s="15"/>
      <c r="I393" s="43">
        <f t="shared" si="30"/>
        <v>53414</v>
      </c>
      <c r="J393" s="44">
        <f>forward($E$4,D393,E393,CURVA!$H$6:H403,CURVA!$G$6:G403)</f>
        <v>2.0015563624537411E-2</v>
      </c>
      <c r="K393" s="44" t="str">
        <f>IFERROR(VLOOKUP(A393,CURVA!$B$8:$F$30,5,0),"")</f>
        <v/>
      </c>
      <c r="L393" s="45">
        <f t="shared" si="33"/>
        <v>7.7777777777777779E-2</v>
      </c>
      <c r="M393" s="46">
        <f>interpola(E393-$E$4,CURVA!$H$6:$H$20,CURVA!$G$6:$G$20)</f>
        <v>0.02</v>
      </c>
      <c r="N393" s="47">
        <f t="shared" si="34"/>
        <v>0.55027708685621157</v>
      </c>
      <c r="O393" s="49" t="str">
        <f>IF(K393="","",SUMPRODUCT($J$10:J393,$L$10:L393,$N$10:N393)*$E$5)</f>
        <v/>
      </c>
      <c r="P393" s="49" t="str">
        <f>IF(K393="","",SUMPRODUCT($L$10:L393,$N$10:N393)*$K393*$E$5)</f>
        <v/>
      </c>
      <c r="Q393" s="6"/>
      <c r="R393" s="12"/>
      <c r="S393" s="7"/>
    </row>
    <row r="394" spans="1:19" x14ac:dyDescent="0.2">
      <c r="A394" s="41">
        <f t="shared" si="31"/>
        <v>10780</v>
      </c>
      <c r="C394" s="41">
        <v>385</v>
      </c>
      <c r="D394" s="15">
        <f t="shared" si="35"/>
        <v>53414</v>
      </c>
      <c r="E394" s="42">
        <f t="shared" si="32"/>
        <v>53442</v>
      </c>
      <c r="F394" s="42"/>
      <c r="G394" s="42"/>
      <c r="H394" s="15"/>
      <c r="I394" s="43">
        <f t="shared" ref="I394:I457" si="36">E394</f>
        <v>53442</v>
      </c>
      <c r="J394" s="44">
        <f>forward($E$4,D394,E394,CURVA!$H$6:H404,CURVA!$G$6:G404)</f>
        <v>2.0015563624537411E-2</v>
      </c>
      <c r="K394" s="44" t="str">
        <f>IFERROR(VLOOKUP(A394,CURVA!$B$8:$F$30,5,0),"")</f>
        <v/>
      </c>
      <c r="L394" s="45">
        <f t="shared" si="33"/>
        <v>7.7777777777777779E-2</v>
      </c>
      <c r="M394" s="46">
        <f>interpola(E394-$E$4,CURVA!$H$6:$H$20,CURVA!$G$6:$G$20)</f>
        <v>0.02</v>
      </c>
      <c r="N394" s="47">
        <f t="shared" si="34"/>
        <v>0.54942176569891865</v>
      </c>
      <c r="O394" s="49" t="str">
        <f>IF(K394="","",SUMPRODUCT($J$10:J394,$L$10:L394,$N$10:N394)*$E$5)</f>
        <v/>
      </c>
      <c r="P394" s="49" t="str">
        <f>IF(K394="","",SUMPRODUCT($L$10:L394,$N$10:N394)*$K394*$E$5)</f>
        <v/>
      </c>
      <c r="Q394" s="6"/>
      <c r="R394" s="12"/>
      <c r="S394" s="7"/>
    </row>
    <row r="395" spans="1:19" x14ac:dyDescent="0.2">
      <c r="A395" s="41">
        <f t="shared" ref="A395:A399" si="37">C395*28</f>
        <v>10808</v>
      </c>
      <c r="C395" s="41">
        <v>386</v>
      </c>
      <c r="D395" s="15">
        <f t="shared" si="35"/>
        <v>53442</v>
      </c>
      <c r="E395" s="42">
        <f>$E$4+28*C395</f>
        <v>53470</v>
      </c>
      <c r="F395" s="42"/>
      <c r="G395" s="42"/>
      <c r="H395" s="15"/>
      <c r="I395" s="43">
        <f t="shared" si="36"/>
        <v>53470</v>
      </c>
      <c r="J395" s="44">
        <f>forward($E$4,D395,E395,CURVA!$H$6:H405,CURVA!$G$6:G405)</f>
        <v>2.0015563624537411E-2</v>
      </c>
      <c r="K395" s="44" t="str">
        <f>IFERROR(VLOOKUP(A395,CURVA!$B$8:$F$30,5,0),"")</f>
        <v/>
      </c>
      <c r="L395" s="45">
        <f t="shared" ref="L395:L458" si="38">(E395-D395)/360</f>
        <v>7.7777777777777779E-2</v>
      </c>
      <c r="M395" s="46">
        <f>interpola(E395-$E$4,CURVA!$H$6:$H$20,CURVA!$G$6:$G$20)</f>
        <v>0.02</v>
      </c>
      <c r="N395" s="47">
        <f t="shared" ref="N395:N458" si="39">EXP(-M395*(E395-$E$4)/360)</f>
        <v>0.54856777400690704</v>
      </c>
      <c r="O395" s="49" t="str">
        <f>IF(K395="","",SUMPRODUCT($J$10:J395,$L$10:L395,$N$10:N395)*$E$5)</f>
        <v/>
      </c>
      <c r="P395" s="49" t="str">
        <f>IF(K395="","",SUMPRODUCT($L$10:L395,$N$10:N395)*$K395*$E$5)</f>
        <v/>
      </c>
      <c r="Q395" s="6"/>
      <c r="R395" s="12"/>
      <c r="S395" s="7"/>
    </row>
    <row r="396" spans="1:19" x14ac:dyDescent="0.2">
      <c r="A396" s="41">
        <f t="shared" si="37"/>
        <v>10836</v>
      </c>
      <c r="C396" s="41">
        <v>387</v>
      </c>
      <c r="D396" s="15">
        <f t="shared" si="35"/>
        <v>53470</v>
      </c>
      <c r="E396" s="42">
        <f>$E$4+28*C396</f>
        <v>53498</v>
      </c>
      <c r="F396" s="42"/>
      <c r="G396" s="42"/>
      <c r="H396" s="15"/>
      <c r="I396" s="43">
        <f t="shared" si="36"/>
        <v>53498</v>
      </c>
      <c r="J396" s="44">
        <f>forward($E$4,D396,E396,CURVA!$H$6:H406,CURVA!$G$6:G406)</f>
        <v>2.0015563624537411E-2</v>
      </c>
      <c r="K396" s="44" t="str">
        <f>IFERROR(VLOOKUP(A396,CURVA!$B$8:$F$30,5,0),"")</f>
        <v/>
      </c>
      <c r="L396" s="45">
        <f t="shared" si="38"/>
        <v>7.7777777777777779E-2</v>
      </c>
      <c r="M396" s="46">
        <f>interpola(E396-$E$4,CURVA!$H$6:$H$20,CURVA!$G$6:$G$20)</f>
        <v>0.02</v>
      </c>
      <c r="N396" s="47">
        <f t="shared" si="39"/>
        <v>0.5477151097137275</v>
      </c>
      <c r="O396" s="49" t="str">
        <f>IF(K396="","",SUMPRODUCT($J$10:J396,$L$10:L396,$N$10:N396)*$E$5)</f>
        <v/>
      </c>
      <c r="P396" s="49" t="str">
        <f>IF(K396="","",SUMPRODUCT($L$10:L396,$N$10:N396)*$K396*$E$5)</f>
        <v/>
      </c>
      <c r="Q396" s="6"/>
      <c r="R396" s="12"/>
      <c r="S396" s="7"/>
    </row>
    <row r="397" spans="1:19" x14ac:dyDescent="0.2">
      <c r="A397" s="41">
        <f t="shared" si="37"/>
        <v>10864</v>
      </c>
      <c r="C397" s="41">
        <v>388</v>
      </c>
      <c r="D397" s="15">
        <f>E396</f>
        <v>53498</v>
      </c>
      <c r="E397" s="42">
        <f>$E$4+28*C397</f>
        <v>53526</v>
      </c>
      <c r="F397" s="42"/>
      <c r="G397" s="42"/>
      <c r="H397" s="15"/>
      <c r="I397" s="43">
        <f t="shared" si="36"/>
        <v>53526</v>
      </c>
      <c r="J397" s="44">
        <f>forward($E$4,D397,E397,CURVA!$H$6:H407,CURVA!$G$6:G407)</f>
        <v>2.0015563624534556E-2</v>
      </c>
      <c r="K397" s="44" t="str">
        <f>IFERROR(VLOOKUP(A397,CURVA!$B$8:$F$30,5,0),"")</f>
        <v/>
      </c>
      <c r="L397" s="45">
        <f t="shared" si="38"/>
        <v>7.7777777777777779E-2</v>
      </c>
      <c r="M397" s="46">
        <f>interpola(E397-$E$4,CURVA!$H$6:$H$20,CURVA!$G$6:$G$20)</f>
        <v>0.02</v>
      </c>
      <c r="N397" s="47">
        <f t="shared" si="39"/>
        <v>0.54686377075614234</v>
      </c>
      <c r="O397" s="49" t="str">
        <f>IF(K397="","",SUMPRODUCT($J$10:J397,$L$10:L397,$N$10:N397)*$E$5)</f>
        <v/>
      </c>
      <c r="P397" s="49" t="str">
        <f>IF(K397="","",SUMPRODUCT($L$10:L397,$N$10:N397)*$K397*$E$5)</f>
        <v/>
      </c>
      <c r="Q397" s="6"/>
      <c r="R397" s="12"/>
      <c r="S397" s="7"/>
    </row>
    <row r="398" spans="1:19" x14ac:dyDescent="0.2">
      <c r="A398" s="41">
        <f t="shared" si="37"/>
        <v>10892</v>
      </c>
      <c r="C398" s="41">
        <v>389</v>
      </c>
      <c r="D398" s="15">
        <f>E397</f>
        <v>53526</v>
      </c>
      <c r="E398" s="42">
        <f>$E$4+28*C398</f>
        <v>53554</v>
      </c>
      <c r="F398" s="42"/>
      <c r="G398" s="42"/>
      <c r="H398" s="15"/>
      <c r="I398" s="43">
        <f t="shared" si="36"/>
        <v>53554</v>
      </c>
      <c r="J398" s="44">
        <f>forward($E$4,D398,E398,CURVA!$H$6:H408,CURVA!$G$6:G408)</f>
        <v>2.0015563624537411E-2</v>
      </c>
      <c r="K398" s="44" t="str">
        <f>IFERROR(VLOOKUP(A398,CURVA!$B$8:$F$30,5,0),"")</f>
        <v/>
      </c>
      <c r="L398" s="45">
        <f t="shared" si="38"/>
        <v>7.7777777777777779E-2</v>
      </c>
      <c r="M398" s="46">
        <f>interpola(E398-$E$4,CURVA!$H$6:$H$20,CURVA!$G$6:$G$20)</f>
        <v>0.02</v>
      </c>
      <c r="N398" s="47">
        <f t="shared" si="39"/>
        <v>0.54601375507412109</v>
      </c>
      <c r="O398" s="49" t="str">
        <f>IF(K398="","",SUMPRODUCT($J$10:J398,$L$10:L398,$N$10:N398)*$E$5)</f>
        <v/>
      </c>
      <c r="P398" s="49" t="str">
        <f>IF(K398="","",SUMPRODUCT($L$10:L398,$N$10:N398)*$K398*$E$5)</f>
        <v/>
      </c>
      <c r="Q398" s="6"/>
      <c r="R398" s="12"/>
      <c r="S398" s="7"/>
    </row>
    <row r="399" spans="1:19" x14ac:dyDescent="0.2">
      <c r="A399" s="41">
        <f t="shared" si="37"/>
        <v>10920</v>
      </c>
      <c r="B399" s="41" t="s">
        <v>0</v>
      </c>
      <c r="C399" s="41">
        <v>390</v>
      </c>
      <c r="D399" s="15">
        <f>E398</f>
        <v>53554</v>
      </c>
      <c r="E399" s="42">
        <f>$E$4+28*C399</f>
        <v>53582</v>
      </c>
      <c r="F399" s="42"/>
      <c r="G399" s="42"/>
      <c r="H399" s="50"/>
      <c r="I399" s="43">
        <f t="shared" si="36"/>
        <v>53582</v>
      </c>
      <c r="J399" s="44">
        <f>forward($E$4,D399,E399,CURVA!$H$6:H409,CURVA!$G$6:G409)</f>
        <v>2.0015563624537411E-2</v>
      </c>
      <c r="K399" s="44" t="str">
        <f>IFERROR(VLOOKUP(A399,CURVA!$B$8:$F$30,5,0),"")</f>
        <v/>
      </c>
      <c r="L399" s="45">
        <f t="shared" si="38"/>
        <v>7.7777777777777779E-2</v>
      </c>
      <c r="M399" s="46">
        <f>interpola(E399-$E$4,CURVA!$H$6:$H$20,CURVA!$G$6:$G$20)</f>
        <v>0.02</v>
      </c>
      <c r="N399" s="47">
        <f t="shared" si="39"/>
        <v>0.54516506061083536</v>
      </c>
      <c r="O399" s="49" t="str">
        <f>IF(K399="","",SUMPRODUCT($J$10:J399,$L$10:L399,$N$10:N399)*$E$5)</f>
        <v/>
      </c>
      <c r="P399" s="49" t="str">
        <f>IF(K399="","",SUMPRODUCT($L$10:L399,$N$10:N399)*$K399*$E$5)</f>
        <v/>
      </c>
      <c r="Q399" s="6"/>
      <c r="R399" s="12"/>
      <c r="S399" s="7"/>
    </row>
    <row r="400" spans="1:19" x14ac:dyDescent="0.2">
      <c r="A400" s="41">
        <f t="shared" ref="A400:A445" si="40">C400*28</f>
        <v>10948</v>
      </c>
      <c r="B400" s="41" t="s">
        <v>40</v>
      </c>
      <c r="C400" s="41">
        <v>391</v>
      </c>
      <c r="D400" s="15">
        <f t="shared" ref="D400:D463" si="41">E399</f>
        <v>53582</v>
      </c>
      <c r="E400" s="42">
        <f t="shared" ref="E400:E444" si="42">$E$4+28*C400</f>
        <v>53610</v>
      </c>
      <c r="F400" s="42"/>
      <c r="G400" s="42"/>
      <c r="H400" s="50"/>
      <c r="I400" s="43">
        <f t="shared" si="36"/>
        <v>53610</v>
      </c>
      <c r="J400" s="44">
        <f>forward($E$4,D400,E400,CURVA!$H$6:H410,CURVA!$G$6:G410)</f>
        <v>2.0015563624537411E-2</v>
      </c>
      <c r="K400" s="44" t="str">
        <f>IFERROR(VLOOKUP(A400,CURVA!$B$8:$F$30,5,0),"")</f>
        <v/>
      </c>
      <c r="L400" s="45">
        <f t="shared" si="38"/>
        <v>7.7777777777777779E-2</v>
      </c>
      <c r="M400" s="46">
        <f>interpola(E400-$E$4,CURVA!$H$6:$H$20,CURVA!$G$6:$G$20)</f>
        <v>0.02</v>
      </c>
      <c r="N400" s="47">
        <f t="shared" si="39"/>
        <v>0.54431768531265368</v>
      </c>
      <c r="O400" s="49" t="str">
        <f>IF(K400="","",SUMPRODUCT($J$10:J400,$L$10:L400,$N$10:N400)*$E$5)</f>
        <v/>
      </c>
      <c r="P400" s="49" t="str">
        <f>IF(K400="","",SUMPRODUCT($L$10:L400,$N$10:N400)*$K400*$E$5)</f>
        <v/>
      </c>
    </row>
    <row r="401" spans="1:18" x14ac:dyDescent="0.2">
      <c r="A401" s="41">
        <f t="shared" si="40"/>
        <v>10976</v>
      </c>
      <c r="B401" s="41" t="s">
        <v>41</v>
      </c>
      <c r="C401" s="41">
        <v>392</v>
      </c>
      <c r="D401" s="15">
        <f t="shared" si="41"/>
        <v>53610</v>
      </c>
      <c r="E401" s="42">
        <f t="shared" si="42"/>
        <v>53638</v>
      </c>
      <c r="F401" s="42"/>
      <c r="G401" s="42"/>
      <c r="H401" s="50"/>
      <c r="I401" s="43">
        <f t="shared" si="36"/>
        <v>53638</v>
      </c>
      <c r="J401" s="44">
        <f>forward($E$4,D401,E401,CURVA!$H$6:H411,CURVA!$G$6:G411)</f>
        <v>2.0015563624537411E-2</v>
      </c>
      <c r="K401" s="44" t="str">
        <f>IFERROR(VLOOKUP(A401,CURVA!$B$8:$F$30,5,0),"")</f>
        <v/>
      </c>
      <c r="L401" s="45">
        <f t="shared" si="38"/>
        <v>7.7777777777777779E-2</v>
      </c>
      <c r="M401" s="46">
        <f>interpola(E401-$E$4,CURVA!$H$6:$H$20,CURVA!$G$6:$G$20)</f>
        <v>0.02</v>
      </c>
      <c r="N401" s="47">
        <f t="shared" si="39"/>
        <v>0.54347162712913655</v>
      </c>
      <c r="O401" s="49" t="str">
        <f>IF(K401="","",SUMPRODUCT($J$10:J401,$L$10:L401,$N$10:N401)*$E$5)</f>
        <v/>
      </c>
      <c r="P401" s="49" t="str">
        <f>IF(K401="","",SUMPRODUCT($L$10:L401,$N$10:N401)*$K401*$E$5)</f>
        <v/>
      </c>
      <c r="R401" s="12"/>
    </row>
    <row r="402" spans="1:18" x14ac:dyDescent="0.2">
      <c r="A402" s="41">
        <f t="shared" si="40"/>
        <v>11004</v>
      </c>
      <c r="B402" s="41" t="s">
        <v>42</v>
      </c>
      <c r="C402" s="41">
        <v>393</v>
      </c>
      <c r="D402" s="15">
        <f t="shared" si="41"/>
        <v>53638</v>
      </c>
      <c r="E402" s="42">
        <f t="shared" si="42"/>
        <v>53666</v>
      </c>
      <c r="F402" s="42"/>
      <c r="G402" s="42"/>
      <c r="H402" s="50"/>
      <c r="I402" s="43">
        <f t="shared" si="36"/>
        <v>53666</v>
      </c>
      <c r="J402" s="44">
        <f>forward($E$4,D402,E402,CURVA!$H$6:H412,CURVA!$G$6:G412)</f>
        <v>2.0015563624537411E-2</v>
      </c>
      <c r="K402" s="44" t="str">
        <f>IFERROR(VLOOKUP(A402,CURVA!$B$8:$F$30,5,0),"")</f>
        <v/>
      </c>
      <c r="L402" s="45">
        <f t="shared" si="38"/>
        <v>7.7777777777777779E-2</v>
      </c>
      <c r="M402" s="46">
        <f>interpola(E402-$E$4,CURVA!$H$6:$H$20,CURVA!$G$6:$G$20)</f>
        <v>0.02</v>
      </c>
      <c r="N402" s="47">
        <f t="shared" si="39"/>
        <v>0.54262688401303183</v>
      </c>
      <c r="O402" s="49" t="str">
        <f>IF(K402="","",SUMPRODUCT($J$10:J402,$L$10:L402,$N$10:N402)*$E$5)</f>
        <v/>
      </c>
      <c r="P402" s="49" t="str">
        <f>IF(K402="","",SUMPRODUCT($L$10:L402,$N$10:N402)*$K402*$E$5)</f>
        <v/>
      </c>
    </row>
    <row r="403" spans="1:18" x14ac:dyDescent="0.2">
      <c r="A403" s="41">
        <f t="shared" si="40"/>
        <v>11032</v>
      </c>
      <c r="B403" s="41" t="s">
        <v>43</v>
      </c>
      <c r="C403" s="41">
        <v>394</v>
      </c>
      <c r="D403" s="15">
        <f t="shared" si="41"/>
        <v>53666</v>
      </c>
      <c r="E403" s="42">
        <f t="shared" si="42"/>
        <v>53694</v>
      </c>
      <c r="F403" s="42"/>
      <c r="G403" s="42"/>
      <c r="H403" s="50"/>
      <c r="I403" s="43">
        <f t="shared" si="36"/>
        <v>53694</v>
      </c>
      <c r="J403" s="44">
        <f>forward($E$4,D403,E403,CURVA!$H$6:H413,CURVA!$G$6:G413)</f>
        <v>2.0015563624537411E-2</v>
      </c>
      <c r="K403" s="44" t="str">
        <f>IFERROR(VLOOKUP(A403,CURVA!$B$8:$F$30,5,0),"")</f>
        <v/>
      </c>
      <c r="L403" s="45">
        <f t="shared" si="38"/>
        <v>7.7777777777777779E-2</v>
      </c>
      <c r="M403" s="46">
        <f>interpola(E403-$E$4,CURVA!$H$6:$H$20,CURVA!$G$6:$G$20)</f>
        <v>0.02</v>
      </c>
      <c r="N403" s="47">
        <f t="shared" si="39"/>
        <v>0.54178345392026916</v>
      </c>
      <c r="O403" s="49" t="str">
        <f>IF(K403="","",SUMPRODUCT($J$10:J403,$L$10:L403,$N$10:N403)*$E$5)</f>
        <v/>
      </c>
      <c r="P403" s="49" t="str">
        <f>IF(K403="","",SUMPRODUCT($L$10:L403,$N$10:N403)*$K403*$E$5)</f>
        <v/>
      </c>
    </row>
    <row r="404" spans="1:18" x14ac:dyDescent="0.2">
      <c r="A404" s="41">
        <f t="shared" si="40"/>
        <v>11060</v>
      </c>
      <c r="B404" s="41" t="s">
        <v>44</v>
      </c>
      <c r="C404" s="41">
        <v>395</v>
      </c>
      <c r="D404" s="15">
        <f t="shared" si="41"/>
        <v>53694</v>
      </c>
      <c r="E404" s="42">
        <f t="shared" si="42"/>
        <v>53722</v>
      </c>
      <c r="F404" s="42"/>
      <c r="G404" s="42"/>
      <c r="H404" s="50"/>
      <c r="I404" s="43">
        <f t="shared" si="36"/>
        <v>53722</v>
      </c>
      <c r="J404" s="44">
        <f>forward($E$4,D404,E404,CURVA!$H$6:H414,CURVA!$G$6:G414)</f>
        <v>2.0015563624537411E-2</v>
      </c>
      <c r="K404" s="44" t="str">
        <f>IFERROR(VLOOKUP(A404,CURVA!$B$8:$F$30,5,0),"")</f>
        <v/>
      </c>
      <c r="L404" s="45">
        <f t="shared" si="38"/>
        <v>7.7777777777777779E-2</v>
      </c>
      <c r="M404" s="46">
        <f>interpola(E404-$E$4,CURVA!$H$6:$H$20,CURVA!$G$6:$G$20)</f>
        <v>0.02</v>
      </c>
      <c r="N404" s="47">
        <f t="shared" si="39"/>
        <v>0.54094133480995565</v>
      </c>
      <c r="O404" s="49" t="str">
        <f>IF(K404="","",SUMPRODUCT($J$10:J404,$L$10:L404,$N$10:N404)*$E$5)</f>
        <v/>
      </c>
      <c r="P404" s="49" t="str">
        <f>IF(K404="","",SUMPRODUCT($L$10:L404,$N$10:N404)*$K404*$E$5)</f>
        <v/>
      </c>
    </row>
    <row r="405" spans="1:18" x14ac:dyDescent="0.2">
      <c r="A405" s="41">
        <f t="shared" si="40"/>
        <v>11088</v>
      </c>
      <c r="B405" s="41" t="s">
        <v>45</v>
      </c>
      <c r="C405" s="41">
        <v>396</v>
      </c>
      <c r="D405" s="15">
        <f t="shared" si="41"/>
        <v>53722</v>
      </c>
      <c r="E405" s="42">
        <f t="shared" si="42"/>
        <v>53750</v>
      </c>
      <c r="F405" s="42"/>
      <c r="G405" s="42"/>
      <c r="H405" s="50"/>
      <c r="I405" s="43">
        <f t="shared" si="36"/>
        <v>53750</v>
      </c>
      <c r="J405" s="44">
        <f>forward($E$4,D405,E405,CURVA!$H$6:H415,CURVA!$G$6:G415)</f>
        <v>2.0015563624537411E-2</v>
      </c>
      <c r="K405" s="44" t="str">
        <f>IFERROR(VLOOKUP(A405,CURVA!$B$8:$F$30,5,0),"")</f>
        <v/>
      </c>
      <c r="L405" s="45">
        <f t="shared" si="38"/>
        <v>7.7777777777777779E-2</v>
      </c>
      <c r="M405" s="46">
        <f>interpola(E405-$E$4,CURVA!$H$6:$H$20,CURVA!$G$6:$G$20)</f>
        <v>0.02</v>
      </c>
      <c r="N405" s="47">
        <f t="shared" si="39"/>
        <v>0.54010052464437064</v>
      </c>
      <c r="O405" s="49" t="str">
        <f>IF(K405="","",SUMPRODUCT($J$10:J405,$L$10:L405,$N$10:N405)*$E$5)</f>
        <v/>
      </c>
      <c r="P405" s="49" t="str">
        <f>IF(K405="","",SUMPRODUCT($L$10:L405,$N$10:N405)*$K405*$E$5)</f>
        <v/>
      </c>
    </row>
    <row r="406" spans="1:18" x14ac:dyDescent="0.2">
      <c r="A406" s="41">
        <f t="shared" si="40"/>
        <v>11116</v>
      </c>
      <c r="B406" s="41" t="s">
        <v>46</v>
      </c>
      <c r="C406" s="41">
        <v>397</v>
      </c>
      <c r="D406" s="15">
        <f t="shared" si="41"/>
        <v>53750</v>
      </c>
      <c r="E406" s="42">
        <f t="shared" si="42"/>
        <v>53778</v>
      </c>
      <c r="F406" s="42"/>
      <c r="G406" s="42"/>
      <c r="H406" s="50"/>
      <c r="I406" s="43">
        <f t="shared" si="36"/>
        <v>53778</v>
      </c>
      <c r="J406" s="44">
        <f>forward($E$4,D406,E406,CURVA!$H$6:H416,CURVA!$G$6:G416)</f>
        <v>2.0015563624537411E-2</v>
      </c>
      <c r="K406" s="44" t="str">
        <f>IFERROR(VLOOKUP(A406,CURVA!$B$8:$F$30,5,0),"")</f>
        <v/>
      </c>
      <c r="L406" s="45">
        <f t="shared" si="38"/>
        <v>7.7777777777777779E-2</v>
      </c>
      <c r="M406" s="46">
        <f>interpola(E406-$E$4,CURVA!$H$6:$H$20,CURVA!$G$6:$G$20)</f>
        <v>0.02</v>
      </c>
      <c r="N406" s="47">
        <f t="shared" si="39"/>
        <v>0.53926102138896059</v>
      </c>
      <c r="O406" s="49" t="str">
        <f>IF(K406="","",SUMPRODUCT($J$10:J406,$L$10:L406,$N$10:N406)*$E$5)</f>
        <v/>
      </c>
      <c r="P406" s="49" t="str">
        <f>IF(K406="","",SUMPRODUCT($L$10:L406,$N$10:N406)*$K406*$E$5)</f>
        <v/>
      </c>
    </row>
    <row r="407" spans="1:18" x14ac:dyDescent="0.2">
      <c r="A407" s="41">
        <f t="shared" si="40"/>
        <v>11144</v>
      </c>
      <c r="B407" s="41" t="s">
        <v>47</v>
      </c>
      <c r="C407" s="41">
        <v>398</v>
      </c>
      <c r="D407" s="15">
        <f t="shared" si="41"/>
        <v>53778</v>
      </c>
      <c r="E407" s="42">
        <f t="shared" si="42"/>
        <v>53806</v>
      </c>
      <c r="F407" s="42"/>
      <c r="G407" s="42"/>
      <c r="H407" s="50"/>
      <c r="I407" s="43">
        <f t="shared" si="36"/>
        <v>53806</v>
      </c>
      <c r="J407" s="44">
        <f>forward($E$4,D407,E407,CURVA!$H$6:H417,CURVA!$G$6:G417)</f>
        <v>2.0015563624537411E-2</v>
      </c>
      <c r="K407" s="44" t="str">
        <f>IFERROR(VLOOKUP(A407,CURVA!$B$8:$F$30,5,0),"")</f>
        <v/>
      </c>
      <c r="L407" s="45">
        <f t="shared" si="38"/>
        <v>7.7777777777777779E-2</v>
      </c>
      <c r="M407" s="46">
        <f>interpola(E407-$E$4,CURVA!$H$6:$H$20,CURVA!$G$6:$G$20)</f>
        <v>0.02</v>
      </c>
      <c r="N407" s="47">
        <f t="shared" si="39"/>
        <v>0.53842282301233457</v>
      </c>
      <c r="O407" s="49" t="str">
        <f>IF(K407="","",SUMPRODUCT($J$10:J407,$L$10:L407,$N$10:N407)*$E$5)</f>
        <v/>
      </c>
      <c r="P407" s="49" t="str">
        <f>IF(K407="","",SUMPRODUCT($L$10:L407,$N$10:N407)*$K407*$E$5)</f>
        <v/>
      </c>
    </row>
    <row r="408" spans="1:18" x14ac:dyDescent="0.2">
      <c r="A408" s="41">
        <f t="shared" si="40"/>
        <v>11172</v>
      </c>
      <c r="B408" s="41" t="s">
        <v>48</v>
      </c>
      <c r="C408" s="41">
        <v>399</v>
      </c>
      <c r="D408" s="15">
        <f t="shared" si="41"/>
        <v>53806</v>
      </c>
      <c r="E408" s="42">
        <f t="shared" si="42"/>
        <v>53834</v>
      </c>
      <c r="F408" s="42"/>
      <c r="G408" s="42"/>
      <c r="H408" s="50"/>
      <c r="I408" s="43">
        <f t="shared" si="36"/>
        <v>53834</v>
      </c>
      <c r="J408" s="44">
        <f>forward($E$4,D408,E408,CURVA!$H$6:H418,CURVA!$G$6:G418)</f>
        <v>2.0015563624537411E-2</v>
      </c>
      <c r="K408" s="44" t="str">
        <f>IFERROR(VLOOKUP(A408,CURVA!$B$8:$F$30,5,0),"")</f>
        <v/>
      </c>
      <c r="L408" s="45">
        <f t="shared" si="38"/>
        <v>7.7777777777777779E-2</v>
      </c>
      <c r="M408" s="46">
        <f>interpola(E408-$E$4,CURVA!$H$6:$H$20,CURVA!$G$6:$G$20)</f>
        <v>0.02</v>
      </c>
      <c r="N408" s="47">
        <f t="shared" si="39"/>
        <v>0.537585927486259</v>
      </c>
      <c r="O408" s="49" t="str">
        <f>IF(K408="","",SUMPRODUCT($J$10:J408,$L$10:L408,$N$10:N408)*$E$5)</f>
        <v/>
      </c>
      <c r="P408" s="49" t="str">
        <f>IF(K408="","",SUMPRODUCT($L$10:L408,$N$10:N408)*$K408*$E$5)</f>
        <v/>
      </c>
    </row>
    <row r="409" spans="1:18" x14ac:dyDescent="0.2">
      <c r="A409" s="41">
        <f t="shared" si="40"/>
        <v>11200</v>
      </c>
      <c r="B409" s="41" t="s">
        <v>49</v>
      </c>
      <c r="C409" s="41">
        <v>400</v>
      </c>
      <c r="D409" s="15">
        <f t="shared" si="41"/>
        <v>53834</v>
      </c>
      <c r="E409" s="42">
        <f t="shared" si="42"/>
        <v>53862</v>
      </c>
      <c r="F409" s="42"/>
      <c r="G409" s="42"/>
      <c r="H409" s="50"/>
      <c r="I409" s="43">
        <f t="shared" si="36"/>
        <v>53862</v>
      </c>
      <c r="J409" s="44">
        <f>forward($E$4,D409,E409,CURVA!$H$6:H419,CURVA!$G$6:G419)</f>
        <v>2.0015563624537411E-2</v>
      </c>
      <c r="K409" s="44" t="str">
        <f>IFERROR(VLOOKUP(A409,CURVA!$B$8:$F$30,5,0),"")</f>
        <v/>
      </c>
      <c r="L409" s="45">
        <f t="shared" si="38"/>
        <v>7.7777777777777779E-2</v>
      </c>
      <c r="M409" s="46">
        <f>interpola(E409-$E$4,CURVA!$H$6:$H$20,CURVA!$G$6:$G$20)</f>
        <v>0.02</v>
      </c>
      <c r="N409" s="47">
        <f t="shared" si="39"/>
        <v>0.53675033278565298</v>
      </c>
      <c r="O409" s="49" t="str">
        <f>IF(K409="","",SUMPRODUCT($J$10:J409,$L$10:L409,$N$10:N409)*$E$5)</f>
        <v/>
      </c>
      <c r="P409" s="49" t="str">
        <f>IF(K409="","",SUMPRODUCT($L$10:L409,$N$10:N409)*$K409*$E$5)</f>
        <v/>
      </c>
    </row>
    <row r="410" spans="1:18" x14ac:dyDescent="0.2">
      <c r="A410" s="41">
        <f t="shared" si="40"/>
        <v>11228</v>
      </c>
      <c r="B410" s="41" t="s">
        <v>50</v>
      </c>
      <c r="C410" s="41">
        <v>401</v>
      </c>
      <c r="D410" s="15">
        <f t="shared" si="41"/>
        <v>53862</v>
      </c>
      <c r="E410" s="42">
        <f t="shared" si="42"/>
        <v>53890</v>
      </c>
      <c r="F410" s="42"/>
      <c r="G410" s="42"/>
      <c r="H410" s="50"/>
      <c r="I410" s="43">
        <f t="shared" si="36"/>
        <v>53890</v>
      </c>
      <c r="J410" s="44">
        <f>forward($E$4,D410,E410,CURVA!$H$6:H420,CURVA!$G$6:G420)</f>
        <v>2.0015563624537411E-2</v>
      </c>
      <c r="K410" s="44" t="str">
        <f>IFERROR(VLOOKUP(A410,CURVA!$B$8:$F$30,5,0),"")</f>
        <v/>
      </c>
      <c r="L410" s="45">
        <f t="shared" si="38"/>
        <v>7.7777777777777779E-2</v>
      </c>
      <c r="M410" s="46">
        <f>interpola(E410-$E$4,CURVA!$H$6:$H$20,CURVA!$G$6:$G$20)</f>
        <v>0.02</v>
      </c>
      <c r="N410" s="47">
        <f t="shared" si="39"/>
        <v>0.53591603688858336</v>
      </c>
      <c r="O410" s="49" t="str">
        <f>IF(K410="","",SUMPRODUCT($J$10:J410,$L$10:L410,$N$10:N410)*$E$5)</f>
        <v/>
      </c>
      <c r="P410" s="49" t="str">
        <f>IF(K410="","",SUMPRODUCT($L$10:L410,$N$10:N410)*$K410*$E$5)</f>
        <v/>
      </c>
    </row>
    <row r="411" spans="1:18" x14ac:dyDescent="0.2">
      <c r="A411" s="41">
        <f t="shared" si="40"/>
        <v>11256</v>
      </c>
      <c r="B411" s="41" t="s">
        <v>51</v>
      </c>
      <c r="C411" s="41">
        <v>402</v>
      </c>
      <c r="D411" s="15">
        <f t="shared" si="41"/>
        <v>53890</v>
      </c>
      <c r="E411" s="42">
        <f t="shared" si="42"/>
        <v>53918</v>
      </c>
      <c r="F411" s="42"/>
      <c r="G411" s="42"/>
      <c r="H411" s="50"/>
      <c r="I411" s="43">
        <f t="shared" si="36"/>
        <v>53918</v>
      </c>
      <c r="J411" s="44">
        <f>forward($E$4,D411,E411,CURVA!$H$6:H421,CURVA!$G$6:G421)</f>
        <v>2.0015563624537411E-2</v>
      </c>
      <c r="K411" s="44" t="str">
        <f>IFERROR(VLOOKUP(A411,CURVA!$B$8:$F$30,5,0),"")</f>
        <v/>
      </c>
      <c r="L411" s="45">
        <f t="shared" si="38"/>
        <v>7.7777777777777779E-2</v>
      </c>
      <c r="M411" s="46">
        <f>interpola(E411-$E$4,CURVA!$H$6:$H$20,CURVA!$G$6:$G$20)</f>
        <v>0.02</v>
      </c>
      <c r="N411" s="47">
        <f t="shared" si="39"/>
        <v>0.53508303777625954</v>
      </c>
      <c r="O411" s="49" t="str">
        <f>IF(K411="","",SUMPRODUCT($J$10:J411,$L$10:L411,$N$10:N411)*$E$5)</f>
        <v/>
      </c>
      <c r="P411" s="49" t="str">
        <f>IF(K411="","",SUMPRODUCT($L$10:L411,$N$10:N411)*$K411*$E$5)</f>
        <v/>
      </c>
    </row>
    <row r="412" spans="1:18" x14ac:dyDescent="0.2">
      <c r="A412" s="41">
        <f t="shared" si="40"/>
        <v>11284</v>
      </c>
      <c r="B412" s="41" t="s">
        <v>52</v>
      </c>
      <c r="C412" s="41">
        <v>403</v>
      </c>
      <c r="D412" s="15">
        <f t="shared" si="41"/>
        <v>53918</v>
      </c>
      <c r="E412" s="42">
        <f t="shared" si="42"/>
        <v>53946</v>
      </c>
      <c r="F412" s="42"/>
      <c r="G412" s="42"/>
      <c r="H412" s="50"/>
      <c r="I412" s="43">
        <f t="shared" si="36"/>
        <v>53946</v>
      </c>
      <c r="J412" s="44">
        <f>forward($E$4,D412,E412,CURVA!$H$6:H422,CURVA!$G$6:G422)</f>
        <v>2.0015563624537411E-2</v>
      </c>
      <c r="K412" s="44" t="str">
        <f>IFERROR(VLOOKUP(A412,CURVA!$B$8:$F$30,5,0),"")</f>
        <v/>
      </c>
      <c r="L412" s="45">
        <f t="shared" si="38"/>
        <v>7.7777777777777779E-2</v>
      </c>
      <c r="M412" s="46">
        <f>interpola(E412-$E$4,CURVA!$H$6:$H$20,CURVA!$G$6:$G$20)</f>
        <v>0.02</v>
      </c>
      <c r="N412" s="47">
        <f t="shared" si="39"/>
        <v>0.53425133343302877</v>
      </c>
      <c r="O412" s="49" t="str">
        <f>IF(K412="","",SUMPRODUCT($J$10:J412,$L$10:L412,$N$10:N412)*$E$5)</f>
        <v/>
      </c>
      <c r="P412" s="49" t="str">
        <f>IF(K412="","",SUMPRODUCT($L$10:L412,$N$10:N412)*$K412*$E$5)</f>
        <v/>
      </c>
    </row>
    <row r="413" spans="1:18" x14ac:dyDescent="0.2">
      <c r="A413" s="41">
        <f t="shared" si="40"/>
        <v>11312</v>
      </c>
      <c r="B413" s="41" t="s">
        <v>53</v>
      </c>
      <c r="C413" s="41">
        <v>404</v>
      </c>
      <c r="D413" s="15">
        <f t="shared" si="41"/>
        <v>53946</v>
      </c>
      <c r="E413" s="42">
        <f t="shared" si="42"/>
        <v>53974</v>
      </c>
      <c r="F413" s="42"/>
      <c r="G413" s="42"/>
      <c r="H413" s="50"/>
      <c r="I413" s="43">
        <f t="shared" si="36"/>
        <v>53974</v>
      </c>
      <c r="J413" s="44">
        <f>forward($E$4,D413,E413,CURVA!$H$6:H423,CURVA!$G$6:G423)</f>
        <v>2.0015563624537411E-2</v>
      </c>
      <c r="K413" s="44" t="str">
        <f>IFERROR(VLOOKUP(A413,CURVA!$B$8:$F$30,5,0),"")</f>
        <v/>
      </c>
      <c r="L413" s="45">
        <f t="shared" si="38"/>
        <v>7.7777777777777779E-2</v>
      </c>
      <c r="M413" s="46">
        <f>interpola(E413-$E$4,CURVA!$H$6:$H$20,CURVA!$G$6:$G$20)</f>
        <v>0.02</v>
      </c>
      <c r="N413" s="47">
        <f t="shared" si="39"/>
        <v>0.53342092184637191</v>
      </c>
      <c r="O413" s="49" t="str">
        <f>IF(K413="","",SUMPRODUCT($J$10:J413,$L$10:L413,$N$10:N413)*$E$5)</f>
        <v/>
      </c>
      <c r="P413" s="49" t="str">
        <f>IF(K413="","",SUMPRODUCT($L$10:L413,$N$10:N413)*$K413*$E$5)</f>
        <v/>
      </c>
    </row>
    <row r="414" spans="1:18" x14ac:dyDescent="0.2">
      <c r="A414" s="41">
        <f t="shared" si="40"/>
        <v>11340</v>
      </c>
      <c r="B414" s="41" t="s">
        <v>54</v>
      </c>
      <c r="C414" s="41">
        <v>405</v>
      </c>
      <c r="D414" s="15">
        <f t="shared" si="41"/>
        <v>53974</v>
      </c>
      <c r="E414" s="42">
        <f t="shared" si="42"/>
        <v>54002</v>
      </c>
      <c r="F414" s="42"/>
      <c r="G414" s="42"/>
      <c r="H414" s="50"/>
      <c r="I414" s="43">
        <f t="shared" si="36"/>
        <v>54002</v>
      </c>
      <c r="J414" s="44">
        <f>forward($E$4,D414,E414,CURVA!$H$6:H424,CURVA!$G$6:G424)</f>
        <v>2.0015563624537411E-2</v>
      </c>
      <c r="K414" s="44" t="str">
        <f>IFERROR(VLOOKUP(A414,CURVA!$B$8:$F$30,5,0),"")</f>
        <v/>
      </c>
      <c r="L414" s="45">
        <f t="shared" si="38"/>
        <v>7.7777777777777779E-2</v>
      </c>
      <c r="M414" s="46">
        <f>interpola(E414-$E$4,CURVA!$H$6:$H$20,CURVA!$G$6:$G$20)</f>
        <v>0.02</v>
      </c>
      <c r="N414" s="47">
        <f t="shared" si="39"/>
        <v>0.53259180100689718</v>
      </c>
      <c r="O414" s="49" t="str">
        <f>IF(K414="","",SUMPRODUCT($J$10:J414,$L$10:L414,$N$10:N414)*$E$5)</f>
        <v/>
      </c>
      <c r="P414" s="49" t="str">
        <f>IF(K414="","",SUMPRODUCT($L$10:L414,$N$10:N414)*$K414*$E$5)</f>
        <v/>
      </c>
    </row>
    <row r="415" spans="1:18" x14ac:dyDescent="0.2">
      <c r="A415" s="41">
        <f t="shared" si="40"/>
        <v>11368</v>
      </c>
      <c r="B415" s="41" t="s">
        <v>55</v>
      </c>
      <c r="C415" s="41">
        <v>406</v>
      </c>
      <c r="D415" s="15">
        <f t="shared" si="41"/>
        <v>54002</v>
      </c>
      <c r="E415" s="42">
        <f t="shared" si="42"/>
        <v>54030</v>
      </c>
      <c r="F415" s="42"/>
      <c r="G415" s="42"/>
      <c r="H415" s="50"/>
      <c r="I415" s="43">
        <f t="shared" si="36"/>
        <v>54030</v>
      </c>
      <c r="J415" s="44">
        <f>forward($E$4,D415,E415,CURVA!$H$6:H425,CURVA!$G$6:G425)</f>
        <v>2.0015563624537411E-2</v>
      </c>
      <c r="K415" s="44" t="str">
        <f>IFERROR(VLOOKUP(A415,CURVA!$B$8:$F$30,5,0),"")</f>
        <v/>
      </c>
      <c r="L415" s="45">
        <f t="shared" si="38"/>
        <v>7.7777777777777779E-2</v>
      </c>
      <c r="M415" s="46">
        <f>interpola(E415-$E$4,CURVA!$H$6:$H$20,CURVA!$G$6:$G$20)</f>
        <v>0.02</v>
      </c>
      <c r="N415" s="47">
        <f t="shared" si="39"/>
        <v>0.53176396890833666</v>
      </c>
      <c r="O415" s="49" t="str">
        <f>IF(K415="","",SUMPRODUCT($J$10:J415,$L$10:L415,$N$10:N415)*$E$5)</f>
        <v/>
      </c>
      <c r="P415" s="49" t="str">
        <f>IF(K415="","",SUMPRODUCT($L$10:L415,$N$10:N415)*$K415*$E$5)</f>
        <v/>
      </c>
    </row>
    <row r="416" spans="1:18" x14ac:dyDescent="0.2">
      <c r="A416" s="41">
        <f t="shared" si="40"/>
        <v>11396</v>
      </c>
      <c r="B416" s="41" t="s">
        <v>56</v>
      </c>
      <c r="C416" s="41">
        <v>407</v>
      </c>
      <c r="D416" s="15">
        <f t="shared" si="41"/>
        <v>54030</v>
      </c>
      <c r="E416" s="42">
        <f t="shared" si="42"/>
        <v>54058</v>
      </c>
      <c r="F416" s="42"/>
      <c r="G416" s="42"/>
      <c r="H416" s="50"/>
      <c r="I416" s="43">
        <f t="shared" si="36"/>
        <v>54058</v>
      </c>
      <c r="J416" s="44">
        <f>forward($E$4,D416,E416,CURVA!$H$6:H426,CURVA!$G$6:G426)</f>
        <v>2.0015563624534556E-2</v>
      </c>
      <c r="K416" s="44" t="str">
        <f>IFERROR(VLOOKUP(A416,CURVA!$B$8:$F$30,5,0),"")</f>
        <v/>
      </c>
      <c r="L416" s="45">
        <f t="shared" si="38"/>
        <v>7.7777777777777779E-2</v>
      </c>
      <c r="M416" s="46">
        <f>interpola(E416-$E$4,CURVA!$H$6:$H$20,CURVA!$G$6:$G$20)</f>
        <v>0.02</v>
      </c>
      <c r="N416" s="47">
        <f t="shared" si="39"/>
        <v>0.53093742354754059</v>
      </c>
      <c r="O416" s="49" t="str">
        <f>IF(K416="","",SUMPRODUCT($J$10:J416,$L$10:L416,$N$10:N416)*$E$5)</f>
        <v/>
      </c>
      <c r="P416" s="49" t="str">
        <f>IF(K416="","",SUMPRODUCT($L$10:L416,$N$10:N416)*$K416*$E$5)</f>
        <v/>
      </c>
    </row>
    <row r="417" spans="1:16" x14ac:dyDescent="0.2">
      <c r="A417" s="41">
        <f t="shared" si="40"/>
        <v>11424</v>
      </c>
      <c r="B417" s="41" t="s">
        <v>57</v>
      </c>
      <c r="C417" s="41">
        <v>408</v>
      </c>
      <c r="D417" s="15">
        <f t="shared" si="41"/>
        <v>54058</v>
      </c>
      <c r="E417" s="42">
        <f t="shared" si="42"/>
        <v>54086</v>
      </c>
      <c r="F417" s="42"/>
      <c r="G417" s="42"/>
      <c r="H417" s="50"/>
      <c r="I417" s="43">
        <f t="shared" si="36"/>
        <v>54086</v>
      </c>
      <c r="J417" s="44">
        <f>forward($E$4,D417,E417,CURVA!$H$6:H427,CURVA!$G$6:G427)</f>
        <v>2.0015563624537411E-2</v>
      </c>
      <c r="K417" s="44" t="str">
        <f>IFERROR(VLOOKUP(A417,CURVA!$B$8:$F$30,5,0),"")</f>
        <v/>
      </c>
      <c r="L417" s="45">
        <f t="shared" si="38"/>
        <v>7.7777777777777779E-2</v>
      </c>
      <c r="M417" s="46">
        <f>interpola(E417-$E$4,CURVA!$H$6:$H$20,CURVA!$G$6:$G$20)</f>
        <v>0.02</v>
      </c>
      <c r="N417" s="47">
        <f t="shared" si="39"/>
        <v>0.53011216292447294</v>
      </c>
      <c r="O417" s="49" t="str">
        <f>IF(K417="","",SUMPRODUCT($J$10:J417,$L$10:L417,$N$10:N417)*$E$5)</f>
        <v/>
      </c>
      <c r="P417" s="49" t="str">
        <f>IF(K417="","",SUMPRODUCT($L$10:L417,$N$10:N417)*$K417*$E$5)</f>
        <v/>
      </c>
    </row>
    <row r="418" spans="1:16" x14ac:dyDescent="0.2">
      <c r="A418" s="41">
        <f t="shared" si="40"/>
        <v>11452</v>
      </c>
      <c r="B418" s="41" t="s">
        <v>58</v>
      </c>
      <c r="C418" s="41">
        <v>409</v>
      </c>
      <c r="D418" s="15">
        <f t="shared" si="41"/>
        <v>54086</v>
      </c>
      <c r="E418" s="42">
        <f t="shared" si="42"/>
        <v>54114</v>
      </c>
      <c r="F418" s="42"/>
      <c r="G418" s="42"/>
      <c r="H418" s="50"/>
      <c r="I418" s="43">
        <f t="shared" si="36"/>
        <v>54114</v>
      </c>
      <c r="J418" s="44">
        <f>forward($E$4,D418,E418,CURVA!$H$6:H428,CURVA!$G$6:G428)</f>
        <v>2.0015563624537411E-2</v>
      </c>
      <c r="K418" s="44" t="str">
        <f>IFERROR(VLOOKUP(A418,CURVA!$B$8:$F$30,5,0),"")</f>
        <v/>
      </c>
      <c r="L418" s="45">
        <f t="shared" si="38"/>
        <v>7.7777777777777779E-2</v>
      </c>
      <c r="M418" s="46">
        <f>interpola(E418-$E$4,CURVA!$H$6:$H$20,CURVA!$G$6:$G$20)</f>
        <v>0.02</v>
      </c>
      <c r="N418" s="47">
        <f t="shared" si="39"/>
        <v>0.52928818504220632</v>
      </c>
      <c r="O418" s="49" t="str">
        <f>IF(K418="","",SUMPRODUCT($J$10:J418,$L$10:L418,$N$10:N418)*$E$5)</f>
        <v/>
      </c>
      <c r="P418" s="49" t="str">
        <f>IF(K418="","",SUMPRODUCT($L$10:L418,$N$10:N418)*$K418*$E$5)</f>
        <v/>
      </c>
    </row>
    <row r="419" spans="1:16" x14ac:dyDescent="0.2">
      <c r="A419" s="41">
        <f t="shared" si="40"/>
        <v>11480</v>
      </c>
      <c r="B419" s="41" t="s">
        <v>59</v>
      </c>
      <c r="C419" s="41">
        <v>410</v>
      </c>
      <c r="D419" s="15">
        <f t="shared" si="41"/>
        <v>54114</v>
      </c>
      <c r="E419" s="42">
        <f t="shared" si="42"/>
        <v>54142</v>
      </c>
      <c r="F419" s="42"/>
      <c r="G419" s="42"/>
      <c r="H419" s="50"/>
      <c r="I419" s="43">
        <f t="shared" si="36"/>
        <v>54142</v>
      </c>
      <c r="J419" s="44">
        <f>forward($E$4,D419,E419,CURVA!$H$6:H429,CURVA!$G$6:G429)</f>
        <v>2.0015563624537411E-2</v>
      </c>
      <c r="K419" s="44" t="str">
        <f>IFERROR(VLOOKUP(A419,CURVA!$B$8:$F$30,5,0),"")</f>
        <v/>
      </c>
      <c r="L419" s="45">
        <f t="shared" si="38"/>
        <v>7.7777777777777779E-2</v>
      </c>
      <c r="M419" s="46">
        <f>interpola(E419-$E$4,CURVA!$H$6:$H$20,CURVA!$G$6:$G$20)</f>
        <v>0.02</v>
      </c>
      <c r="N419" s="47">
        <f t="shared" si="39"/>
        <v>0.52846548790691739</v>
      </c>
      <c r="O419" s="49" t="str">
        <f>IF(K419="","",SUMPRODUCT($J$10:J419,$L$10:L419,$N$10:N419)*$E$5)</f>
        <v/>
      </c>
      <c r="P419" s="49" t="str">
        <f>IF(K419="","",SUMPRODUCT($L$10:L419,$N$10:N419)*$K419*$E$5)</f>
        <v/>
      </c>
    </row>
    <row r="420" spans="1:16" x14ac:dyDescent="0.2">
      <c r="A420" s="41">
        <f t="shared" si="40"/>
        <v>11508</v>
      </c>
      <c r="B420" s="41" t="s">
        <v>60</v>
      </c>
      <c r="C420" s="41">
        <v>411</v>
      </c>
      <c r="D420" s="15">
        <f t="shared" si="41"/>
        <v>54142</v>
      </c>
      <c r="E420" s="42">
        <f t="shared" si="42"/>
        <v>54170</v>
      </c>
      <c r="F420" s="42"/>
      <c r="G420" s="42"/>
      <c r="H420" s="50"/>
      <c r="I420" s="43">
        <f t="shared" si="36"/>
        <v>54170</v>
      </c>
      <c r="J420" s="44">
        <f>forward($E$4,D420,E420,CURVA!$H$6:H430,CURVA!$G$6:G430)</f>
        <v>2.0015563624537411E-2</v>
      </c>
      <c r="K420" s="44" t="str">
        <f>IFERROR(VLOOKUP(A420,CURVA!$B$8:$F$30,5,0),"")</f>
        <v/>
      </c>
      <c r="L420" s="45">
        <f t="shared" si="38"/>
        <v>7.7777777777777779E-2</v>
      </c>
      <c r="M420" s="46">
        <f>interpola(E420-$E$4,CURVA!$H$6:$H$20,CURVA!$G$6:$G$20)</f>
        <v>0.02</v>
      </c>
      <c r="N420" s="47">
        <f t="shared" si="39"/>
        <v>0.52764406952788168</v>
      </c>
      <c r="O420" s="49" t="str">
        <f>IF(K420="","",SUMPRODUCT($J$10:J420,$L$10:L420,$N$10:N420)*$E$5)</f>
        <v/>
      </c>
      <c r="P420" s="49" t="str">
        <f>IF(K420="","",SUMPRODUCT($L$10:L420,$N$10:N420)*$K420*$E$5)</f>
        <v/>
      </c>
    </row>
    <row r="421" spans="1:16" x14ac:dyDescent="0.2">
      <c r="A421" s="41">
        <f t="shared" si="40"/>
        <v>11536</v>
      </c>
      <c r="B421" s="41" t="s">
        <v>61</v>
      </c>
      <c r="C421" s="41">
        <v>412</v>
      </c>
      <c r="D421" s="15">
        <f t="shared" si="41"/>
        <v>54170</v>
      </c>
      <c r="E421" s="42">
        <f t="shared" si="42"/>
        <v>54198</v>
      </c>
      <c r="F421" s="42"/>
      <c r="G421" s="42"/>
      <c r="H421" s="50"/>
      <c r="I421" s="43">
        <f t="shared" si="36"/>
        <v>54198</v>
      </c>
      <c r="J421" s="44">
        <f>forward($E$4,D421,E421,CURVA!$H$6:H431,CURVA!$G$6:G431)</f>
        <v>2.0015563624537411E-2</v>
      </c>
      <c r="K421" s="44" t="str">
        <f>IFERROR(VLOOKUP(A421,CURVA!$B$8:$F$30,5,0),"")</f>
        <v/>
      </c>
      <c r="L421" s="45">
        <f t="shared" si="38"/>
        <v>7.7777777777777779E-2</v>
      </c>
      <c r="M421" s="46">
        <f>interpola(E421-$E$4,CURVA!$H$6:$H$20,CURVA!$G$6:$G$20)</f>
        <v>0.02</v>
      </c>
      <c r="N421" s="47">
        <f t="shared" si="39"/>
        <v>0.52682392791746913</v>
      </c>
      <c r="O421" s="49" t="str">
        <f>IF(K421="","",SUMPRODUCT($J$10:J421,$L$10:L421,$N$10:N421)*$E$5)</f>
        <v/>
      </c>
      <c r="P421" s="49" t="str">
        <f>IF(K421="","",SUMPRODUCT($L$10:L421,$N$10:N421)*$K421*$E$5)</f>
        <v/>
      </c>
    </row>
    <row r="422" spans="1:16" x14ac:dyDescent="0.2">
      <c r="A422" s="41">
        <f t="shared" si="40"/>
        <v>11564</v>
      </c>
      <c r="B422" s="41" t="s">
        <v>62</v>
      </c>
      <c r="C422" s="41">
        <v>413</v>
      </c>
      <c r="D422" s="15">
        <f t="shared" si="41"/>
        <v>54198</v>
      </c>
      <c r="E422" s="42">
        <f t="shared" si="42"/>
        <v>54226</v>
      </c>
      <c r="F422" s="42"/>
      <c r="G422" s="42"/>
      <c r="H422" s="50"/>
      <c r="I422" s="43">
        <f t="shared" si="36"/>
        <v>54226</v>
      </c>
      <c r="J422" s="44">
        <f>forward($E$4,D422,E422,CURVA!$H$6:H432,CURVA!$G$6:G432)</f>
        <v>2.0015563624534556E-2</v>
      </c>
      <c r="K422" s="44" t="str">
        <f>IFERROR(VLOOKUP(A422,CURVA!$B$8:$F$30,5,0),"")</f>
        <v/>
      </c>
      <c r="L422" s="45">
        <f t="shared" si="38"/>
        <v>7.7777777777777779E-2</v>
      </c>
      <c r="M422" s="46">
        <f>interpola(E422-$E$4,CURVA!$H$6:$H$20,CURVA!$G$6:$G$20)</f>
        <v>0.02</v>
      </c>
      <c r="N422" s="47">
        <f t="shared" si="39"/>
        <v>0.52600506109113931</v>
      </c>
      <c r="O422" s="49" t="str">
        <f>IF(K422="","",SUMPRODUCT($J$10:J422,$L$10:L422,$N$10:N422)*$E$5)</f>
        <v/>
      </c>
      <c r="P422" s="49" t="str">
        <f>IF(K422="","",SUMPRODUCT($L$10:L422,$N$10:N422)*$K422*$E$5)</f>
        <v/>
      </c>
    </row>
    <row r="423" spans="1:16" x14ac:dyDescent="0.2">
      <c r="A423" s="41">
        <f t="shared" si="40"/>
        <v>11592</v>
      </c>
      <c r="B423" s="41" t="s">
        <v>63</v>
      </c>
      <c r="C423" s="41">
        <v>414</v>
      </c>
      <c r="D423" s="15">
        <f t="shared" si="41"/>
        <v>54226</v>
      </c>
      <c r="E423" s="42">
        <f t="shared" si="42"/>
        <v>54254</v>
      </c>
      <c r="F423" s="42"/>
      <c r="G423" s="42"/>
      <c r="H423" s="50"/>
      <c r="I423" s="43">
        <f t="shared" si="36"/>
        <v>54254</v>
      </c>
      <c r="J423" s="44">
        <f>forward($E$4,D423,E423,CURVA!$H$6:H433,CURVA!$G$6:G433)</f>
        <v>2.0015563624537411E-2</v>
      </c>
      <c r="K423" s="44" t="str">
        <f>IFERROR(VLOOKUP(A423,CURVA!$B$8:$F$30,5,0),"")</f>
        <v/>
      </c>
      <c r="L423" s="45">
        <f t="shared" si="38"/>
        <v>7.7777777777777779E-2</v>
      </c>
      <c r="M423" s="46">
        <f>interpola(E423-$E$4,CURVA!$H$6:$H$20,CURVA!$G$6:$G$20)</f>
        <v>0.02</v>
      </c>
      <c r="N423" s="47">
        <f t="shared" si="39"/>
        <v>0.52518746706743613</v>
      </c>
      <c r="O423" s="49" t="str">
        <f>IF(K423="","",SUMPRODUCT($J$10:J423,$L$10:L423,$N$10:N423)*$E$5)</f>
        <v/>
      </c>
      <c r="P423" s="49" t="str">
        <f>IF(K423="","",SUMPRODUCT($L$10:L423,$N$10:N423)*$K423*$E$5)</f>
        <v/>
      </c>
    </row>
    <row r="424" spans="1:16" x14ac:dyDescent="0.2">
      <c r="A424" s="41">
        <f t="shared" si="40"/>
        <v>11620</v>
      </c>
      <c r="B424" s="41" t="s">
        <v>64</v>
      </c>
      <c r="C424" s="41">
        <v>415</v>
      </c>
      <c r="D424" s="15">
        <f t="shared" si="41"/>
        <v>54254</v>
      </c>
      <c r="E424" s="42">
        <f t="shared" si="42"/>
        <v>54282</v>
      </c>
      <c r="F424" s="42"/>
      <c r="G424" s="42"/>
      <c r="H424" s="50"/>
      <c r="I424" s="43">
        <f t="shared" si="36"/>
        <v>54282</v>
      </c>
      <c r="J424" s="44">
        <f>forward($E$4,D424,E424,CURVA!$H$6:H434,CURVA!$G$6:G434)</f>
        <v>2.0015563624537411E-2</v>
      </c>
      <c r="K424" s="44" t="str">
        <f>IFERROR(VLOOKUP(A424,CURVA!$B$8:$F$30,5,0),"")</f>
        <v/>
      </c>
      <c r="L424" s="45">
        <f t="shared" si="38"/>
        <v>7.7777777777777779E-2</v>
      </c>
      <c r="M424" s="46">
        <f>interpola(E424-$E$4,CURVA!$H$6:$H$20,CURVA!$G$6:$G$20)</f>
        <v>0.02</v>
      </c>
      <c r="N424" s="47">
        <f t="shared" si="39"/>
        <v>0.52437114386798367</v>
      </c>
      <c r="O424" s="49" t="str">
        <f>IF(K424="","",SUMPRODUCT($J$10:J424,$L$10:L424,$N$10:N424)*$E$5)</f>
        <v/>
      </c>
      <c r="P424" s="49" t="str">
        <f>IF(K424="","",SUMPRODUCT($L$10:L424,$N$10:N424)*$K424*$E$5)</f>
        <v/>
      </c>
    </row>
    <row r="425" spans="1:16" x14ac:dyDescent="0.2">
      <c r="A425" s="41">
        <f t="shared" si="40"/>
        <v>11648</v>
      </c>
      <c r="B425" s="41" t="s">
        <v>65</v>
      </c>
      <c r="C425" s="41">
        <v>416</v>
      </c>
      <c r="D425" s="15">
        <f t="shared" si="41"/>
        <v>54282</v>
      </c>
      <c r="E425" s="42">
        <f t="shared" si="42"/>
        <v>54310</v>
      </c>
      <c r="F425" s="42"/>
      <c r="G425" s="42"/>
      <c r="H425" s="50"/>
      <c r="I425" s="43">
        <f t="shared" si="36"/>
        <v>54310</v>
      </c>
      <c r="J425" s="44">
        <f>forward($E$4,D425,E425,CURVA!$H$6:H435,CURVA!$G$6:G435)</f>
        <v>2.0015563624537411E-2</v>
      </c>
      <c r="K425" s="44" t="str">
        <f>IFERROR(VLOOKUP(A425,CURVA!$B$8:$F$30,5,0),"")</f>
        <v/>
      </c>
      <c r="L425" s="45">
        <f t="shared" si="38"/>
        <v>7.7777777777777779E-2</v>
      </c>
      <c r="M425" s="46">
        <f>interpola(E425-$E$4,CURVA!$H$6:$H$20,CURVA!$G$6:$G$20)</f>
        <v>0.02</v>
      </c>
      <c r="N425" s="47">
        <f t="shared" si="39"/>
        <v>0.52355608951748078</v>
      </c>
      <c r="O425" s="49" t="str">
        <f>IF(K425="","",SUMPRODUCT($J$10:J425,$L$10:L425,$N$10:N425)*$E$5)</f>
        <v/>
      </c>
      <c r="P425" s="49" t="str">
        <f>IF(K425="","",SUMPRODUCT($L$10:L425,$N$10:N425)*$K425*$E$5)</f>
        <v/>
      </c>
    </row>
    <row r="426" spans="1:16" x14ac:dyDescent="0.2">
      <c r="A426" s="41">
        <f t="shared" si="40"/>
        <v>11676</v>
      </c>
      <c r="B426" s="41" t="s">
        <v>66</v>
      </c>
      <c r="C426" s="41">
        <v>417</v>
      </c>
      <c r="D426" s="15">
        <f t="shared" si="41"/>
        <v>54310</v>
      </c>
      <c r="E426" s="42">
        <f t="shared" si="42"/>
        <v>54338</v>
      </c>
      <c r="F426" s="42"/>
      <c r="G426" s="42"/>
      <c r="H426" s="50"/>
      <c r="I426" s="43">
        <f t="shared" si="36"/>
        <v>54338</v>
      </c>
      <c r="J426" s="44">
        <f>forward($E$4,D426,E426,CURVA!$H$6:H436,CURVA!$G$6:G436)</f>
        <v>2.0015563624537411E-2</v>
      </c>
      <c r="K426" s="44" t="str">
        <f>IFERROR(VLOOKUP(A426,CURVA!$B$8:$F$30,5,0),"")</f>
        <v/>
      </c>
      <c r="L426" s="45">
        <f t="shared" si="38"/>
        <v>7.7777777777777779E-2</v>
      </c>
      <c r="M426" s="46">
        <f>interpola(E426-$E$4,CURVA!$H$6:$H$20,CURVA!$G$6:$G$20)</f>
        <v>0.02</v>
      </c>
      <c r="N426" s="47">
        <f t="shared" si="39"/>
        <v>0.52274230204369687</v>
      </c>
      <c r="O426" s="49" t="str">
        <f>IF(K426="","",SUMPRODUCT($J$10:J426,$L$10:L426,$N$10:N426)*$E$5)</f>
        <v/>
      </c>
      <c r="P426" s="49" t="str">
        <f>IF(K426="","",SUMPRODUCT($L$10:L426,$N$10:N426)*$K426*$E$5)</f>
        <v/>
      </c>
    </row>
    <row r="427" spans="1:16" x14ac:dyDescent="0.2">
      <c r="A427" s="41">
        <f t="shared" si="40"/>
        <v>11704</v>
      </c>
      <c r="B427" s="41" t="s">
        <v>67</v>
      </c>
      <c r="C427" s="41">
        <v>418</v>
      </c>
      <c r="D427" s="15">
        <f t="shared" si="41"/>
        <v>54338</v>
      </c>
      <c r="E427" s="42">
        <f t="shared" si="42"/>
        <v>54366</v>
      </c>
      <c r="F427" s="42"/>
      <c r="G427" s="42"/>
      <c r="H427" s="50"/>
      <c r="I427" s="43">
        <f t="shared" si="36"/>
        <v>54366</v>
      </c>
      <c r="J427" s="44">
        <f>forward($E$4,D427,E427,CURVA!$H$6:H437,CURVA!$G$6:G437)</f>
        <v>2.0015563624537411E-2</v>
      </c>
      <c r="K427" s="44" t="str">
        <f>IFERROR(VLOOKUP(A427,CURVA!$B$8:$F$30,5,0),"")</f>
        <v/>
      </c>
      <c r="L427" s="45">
        <f t="shared" si="38"/>
        <v>7.7777777777777779E-2</v>
      </c>
      <c r="M427" s="46">
        <f>interpola(E427-$E$4,CURVA!$H$6:$H$20,CURVA!$G$6:$G$20)</f>
        <v>0.02</v>
      </c>
      <c r="N427" s="47">
        <f t="shared" si="39"/>
        <v>0.52192977947746688</v>
      </c>
      <c r="O427" s="49" t="str">
        <f>IF(K427="","",SUMPRODUCT($J$10:J427,$L$10:L427,$N$10:N427)*$E$5)</f>
        <v/>
      </c>
      <c r="P427" s="49" t="str">
        <f>IF(K427="","",SUMPRODUCT($L$10:L427,$N$10:N427)*$K427*$E$5)</f>
        <v/>
      </c>
    </row>
    <row r="428" spans="1:16" x14ac:dyDescent="0.2">
      <c r="A428" s="41">
        <f t="shared" si="40"/>
        <v>11732</v>
      </c>
      <c r="B428" s="41" t="s">
        <v>68</v>
      </c>
      <c r="C428" s="41">
        <v>419</v>
      </c>
      <c r="D428" s="15">
        <f t="shared" si="41"/>
        <v>54366</v>
      </c>
      <c r="E428" s="42">
        <f t="shared" si="42"/>
        <v>54394</v>
      </c>
      <c r="F428" s="42"/>
      <c r="G428" s="42"/>
      <c r="H428" s="50"/>
      <c r="I428" s="43">
        <f t="shared" si="36"/>
        <v>54394</v>
      </c>
      <c r="J428" s="44">
        <f>forward($E$4,D428,E428,CURVA!$H$6:H438,CURVA!$G$6:G438)</f>
        <v>2.0015563624537411E-2</v>
      </c>
      <c r="K428" s="44" t="str">
        <f>IFERROR(VLOOKUP(A428,CURVA!$B$8:$F$30,5,0),"")</f>
        <v/>
      </c>
      <c r="L428" s="45">
        <f t="shared" si="38"/>
        <v>7.7777777777777779E-2</v>
      </c>
      <c r="M428" s="46">
        <f>interpola(E428-$E$4,CURVA!$H$6:$H$20,CURVA!$G$6:$G$20)</f>
        <v>0.02</v>
      </c>
      <c r="N428" s="47">
        <f t="shared" si="39"/>
        <v>0.52111851985268631</v>
      </c>
      <c r="O428" s="49" t="str">
        <f>IF(K428="","",SUMPRODUCT($J$10:J428,$L$10:L428,$N$10:N428)*$E$5)</f>
        <v/>
      </c>
      <c r="P428" s="49" t="str">
        <f>IF(K428="","",SUMPRODUCT($L$10:L428,$N$10:N428)*$K428*$E$5)</f>
        <v/>
      </c>
    </row>
    <row r="429" spans="1:16" x14ac:dyDescent="0.2">
      <c r="A429" s="41">
        <f t="shared" si="40"/>
        <v>11760</v>
      </c>
      <c r="B429" s="41" t="s">
        <v>69</v>
      </c>
      <c r="C429" s="41">
        <v>420</v>
      </c>
      <c r="D429" s="15">
        <f t="shared" si="41"/>
        <v>54394</v>
      </c>
      <c r="E429" s="42">
        <f t="shared" si="42"/>
        <v>54422</v>
      </c>
      <c r="F429" s="42"/>
      <c r="G429" s="42"/>
      <c r="H429" s="50"/>
      <c r="I429" s="43">
        <f t="shared" si="36"/>
        <v>54422</v>
      </c>
      <c r="J429" s="44">
        <f>forward($E$4,D429,E429,CURVA!$H$6:H439,CURVA!$G$6:G439)</f>
        <v>2.0015563624537411E-2</v>
      </c>
      <c r="K429" s="44" t="str">
        <f>IFERROR(VLOOKUP(A429,CURVA!$B$8:$F$30,5,0),"")</f>
        <v/>
      </c>
      <c r="L429" s="45">
        <f t="shared" si="38"/>
        <v>7.7777777777777779E-2</v>
      </c>
      <c r="M429" s="46">
        <f>interpola(E429-$E$4,CURVA!$H$6:$H$20,CURVA!$G$6:$G$20)</f>
        <v>0.02</v>
      </c>
      <c r="N429" s="47">
        <f t="shared" si="39"/>
        <v>0.52030852120630677</v>
      </c>
      <c r="O429" s="49" t="str">
        <f>IF(K429="","",SUMPRODUCT($J$10:J429,$L$10:L429,$N$10:N429)*$E$5)</f>
        <v/>
      </c>
      <c r="P429" s="49" t="str">
        <f>IF(K429="","",SUMPRODUCT($L$10:L429,$N$10:N429)*$K429*$E$5)</f>
        <v/>
      </c>
    </row>
    <row r="430" spans="1:16" x14ac:dyDescent="0.2">
      <c r="A430" s="41">
        <f t="shared" si="40"/>
        <v>11788</v>
      </c>
      <c r="B430" s="41" t="s">
        <v>70</v>
      </c>
      <c r="C430" s="41">
        <v>421</v>
      </c>
      <c r="D430" s="15">
        <f t="shared" si="41"/>
        <v>54422</v>
      </c>
      <c r="E430" s="42">
        <f t="shared" si="42"/>
        <v>54450</v>
      </c>
      <c r="F430" s="42"/>
      <c r="G430" s="42"/>
      <c r="H430" s="50"/>
      <c r="I430" s="43">
        <f t="shared" si="36"/>
        <v>54450</v>
      </c>
      <c r="J430" s="44">
        <f>forward($E$4,D430,E430,CURVA!$H$6:H440,CURVA!$G$6:G440)</f>
        <v>2.0015563624537411E-2</v>
      </c>
      <c r="K430" s="44" t="str">
        <f>IFERROR(VLOOKUP(A430,CURVA!$B$8:$F$30,5,0),"")</f>
        <v/>
      </c>
      <c r="L430" s="45">
        <f t="shared" si="38"/>
        <v>7.7777777777777779E-2</v>
      </c>
      <c r="M430" s="46">
        <f>interpola(E430-$E$4,CURVA!$H$6:$H$20,CURVA!$G$6:$G$20)</f>
        <v>0.02</v>
      </c>
      <c r="N430" s="47">
        <f t="shared" si="39"/>
        <v>0.51949978157833132</v>
      </c>
      <c r="O430" s="49" t="str">
        <f>IF(K430="","",SUMPRODUCT($J$10:J430,$L$10:L430,$N$10:N430)*$E$5)</f>
        <v/>
      </c>
      <c r="P430" s="49" t="str">
        <f>IF(K430="","",SUMPRODUCT($L$10:L430,$N$10:N430)*$K430*$E$5)</f>
        <v/>
      </c>
    </row>
    <row r="431" spans="1:16" x14ac:dyDescent="0.2">
      <c r="A431" s="41">
        <f t="shared" si="40"/>
        <v>11816</v>
      </c>
      <c r="B431" s="41" t="s">
        <v>71</v>
      </c>
      <c r="C431" s="41">
        <v>422</v>
      </c>
      <c r="D431" s="15">
        <f t="shared" si="41"/>
        <v>54450</v>
      </c>
      <c r="E431" s="42">
        <f t="shared" si="42"/>
        <v>54478</v>
      </c>
      <c r="F431" s="42"/>
      <c r="G431" s="42"/>
      <c r="H431" s="50"/>
      <c r="I431" s="43">
        <f t="shared" si="36"/>
        <v>54478</v>
      </c>
      <c r="J431" s="44">
        <f>forward($E$4,D431,E431,CURVA!$H$6:H441,CURVA!$G$6:G441)</f>
        <v>2.0015563624537411E-2</v>
      </c>
      <c r="K431" s="44" t="str">
        <f>IFERROR(VLOOKUP(A431,CURVA!$B$8:$F$30,5,0),"")</f>
        <v/>
      </c>
      <c r="L431" s="45">
        <f t="shared" si="38"/>
        <v>7.7777777777777779E-2</v>
      </c>
      <c r="M431" s="46">
        <f>interpola(E431-$E$4,CURVA!$H$6:$H$20,CURVA!$G$6:$G$20)</f>
        <v>0.02</v>
      </c>
      <c r="N431" s="47">
        <f t="shared" si="39"/>
        <v>0.51869229901180913</v>
      </c>
      <c r="O431" s="49" t="str">
        <f>IF(K431="","",SUMPRODUCT($J$10:J431,$L$10:L431,$N$10:N431)*$E$5)</f>
        <v/>
      </c>
      <c r="P431" s="49" t="str">
        <f>IF(K431="","",SUMPRODUCT($L$10:L431,$N$10:N431)*$K431*$E$5)</f>
        <v/>
      </c>
    </row>
    <row r="432" spans="1:16" x14ac:dyDescent="0.2">
      <c r="A432" s="41">
        <f t="shared" si="40"/>
        <v>11844</v>
      </c>
      <c r="B432" s="41" t="s">
        <v>72</v>
      </c>
      <c r="C432" s="41">
        <v>423</v>
      </c>
      <c r="D432" s="15">
        <f t="shared" si="41"/>
        <v>54478</v>
      </c>
      <c r="E432" s="42">
        <f t="shared" si="42"/>
        <v>54506</v>
      </c>
      <c r="F432" s="42"/>
      <c r="G432" s="42"/>
      <c r="H432" s="50"/>
      <c r="I432" s="43">
        <f t="shared" si="36"/>
        <v>54506</v>
      </c>
      <c r="J432" s="44">
        <f>forward($E$4,D432,E432,CURVA!$H$6:H442,CURVA!$G$6:G442)</f>
        <v>2.0015563624537411E-2</v>
      </c>
      <c r="K432" s="44" t="str">
        <f>IFERROR(VLOOKUP(A432,CURVA!$B$8:$F$30,5,0),"")</f>
        <v/>
      </c>
      <c r="L432" s="45">
        <f t="shared" si="38"/>
        <v>7.7777777777777779E-2</v>
      </c>
      <c r="M432" s="46">
        <f>interpola(E432-$E$4,CURVA!$H$6:$H$20,CURVA!$G$6:$G$20)</f>
        <v>0.02</v>
      </c>
      <c r="N432" s="47">
        <f t="shared" si="39"/>
        <v>0.5178860715528314</v>
      </c>
      <c r="O432" s="49" t="str">
        <f>IF(K432="","",SUMPRODUCT($J$10:J432,$L$10:L432,$N$10:N432)*$E$5)</f>
        <v/>
      </c>
      <c r="P432" s="49" t="str">
        <f>IF(K432="","",SUMPRODUCT($L$10:L432,$N$10:N432)*$K432*$E$5)</f>
        <v/>
      </c>
    </row>
    <row r="433" spans="1:16" x14ac:dyDescent="0.2">
      <c r="A433" s="41">
        <f t="shared" si="40"/>
        <v>11872</v>
      </c>
      <c r="B433" s="41" t="s">
        <v>73</v>
      </c>
      <c r="C433" s="41">
        <v>424</v>
      </c>
      <c r="D433" s="15">
        <f t="shared" si="41"/>
        <v>54506</v>
      </c>
      <c r="E433" s="42">
        <f t="shared" si="42"/>
        <v>54534</v>
      </c>
      <c r="F433" s="42"/>
      <c r="G433" s="42"/>
      <c r="H433" s="50"/>
      <c r="I433" s="43">
        <f t="shared" si="36"/>
        <v>54534</v>
      </c>
      <c r="J433" s="44">
        <f>forward($E$4,D433,E433,CURVA!$H$6:H443,CURVA!$G$6:G443)</f>
        <v>2.0015563624534556E-2</v>
      </c>
      <c r="K433" s="44" t="str">
        <f>IFERROR(VLOOKUP(A433,CURVA!$B$8:$F$30,5,0),"")</f>
        <v/>
      </c>
      <c r="L433" s="45">
        <f t="shared" si="38"/>
        <v>7.7777777777777779E-2</v>
      </c>
      <c r="M433" s="46">
        <f>interpola(E433-$E$4,CURVA!$H$6:$H$20,CURVA!$G$6:$G$20)</f>
        <v>0.02</v>
      </c>
      <c r="N433" s="47">
        <f t="shared" si="39"/>
        <v>0.51708109725052653</v>
      </c>
      <c r="O433" s="49" t="str">
        <f>IF(K433="","",SUMPRODUCT($J$10:J433,$L$10:L433,$N$10:N433)*$E$5)</f>
        <v/>
      </c>
      <c r="P433" s="49" t="str">
        <f>IF(K433="","",SUMPRODUCT($L$10:L433,$N$10:N433)*$K433*$E$5)</f>
        <v/>
      </c>
    </row>
    <row r="434" spans="1:16" x14ac:dyDescent="0.2">
      <c r="A434" s="41">
        <f t="shared" si="40"/>
        <v>11900</v>
      </c>
      <c r="B434" s="41" t="s">
        <v>74</v>
      </c>
      <c r="C434" s="41">
        <v>425</v>
      </c>
      <c r="D434" s="15">
        <f t="shared" si="41"/>
        <v>54534</v>
      </c>
      <c r="E434" s="42">
        <f t="shared" si="42"/>
        <v>54562</v>
      </c>
      <c r="F434" s="42"/>
      <c r="G434" s="42"/>
      <c r="H434" s="50"/>
      <c r="I434" s="43">
        <f t="shared" si="36"/>
        <v>54562</v>
      </c>
      <c r="J434" s="44">
        <f>forward($E$4,D434,E434,CURVA!$H$6:H444,CURVA!$G$6:G444)</f>
        <v>2.0015563624537411E-2</v>
      </c>
      <c r="K434" s="44" t="str">
        <f>IFERROR(VLOOKUP(A434,CURVA!$B$8:$F$30,5,0),"")</f>
        <v/>
      </c>
      <c r="L434" s="45">
        <f t="shared" si="38"/>
        <v>7.7777777777777779E-2</v>
      </c>
      <c r="M434" s="46">
        <f>interpola(E434-$E$4,CURVA!$H$6:$H$20,CURVA!$G$6:$G$20)</f>
        <v>0.02</v>
      </c>
      <c r="N434" s="47">
        <f t="shared" si="39"/>
        <v>0.51627737415705488</v>
      </c>
      <c r="O434" s="49" t="str">
        <f>IF(K434="","",SUMPRODUCT($J$10:J434,$L$10:L434,$N$10:N434)*$E$5)</f>
        <v/>
      </c>
      <c r="P434" s="49" t="str">
        <f>IF(K434="","",SUMPRODUCT($L$10:L434,$N$10:N434)*$K434*$E$5)</f>
        <v/>
      </c>
    </row>
    <row r="435" spans="1:16" x14ac:dyDescent="0.2">
      <c r="A435" s="41">
        <f t="shared" si="40"/>
        <v>11928</v>
      </c>
      <c r="B435" s="41" t="s">
        <v>75</v>
      </c>
      <c r="C435" s="41">
        <v>426</v>
      </c>
      <c r="D435" s="15">
        <f t="shared" si="41"/>
        <v>54562</v>
      </c>
      <c r="E435" s="42">
        <f t="shared" si="42"/>
        <v>54590</v>
      </c>
      <c r="F435" s="42"/>
      <c r="G435" s="42"/>
      <c r="H435" s="50"/>
      <c r="I435" s="43">
        <f t="shared" si="36"/>
        <v>54590</v>
      </c>
      <c r="J435" s="44">
        <f>forward($E$4,D435,E435,CURVA!$H$6:H445,CURVA!$G$6:G445)</f>
        <v>2.0015563624534556E-2</v>
      </c>
      <c r="K435" s="44" t="str">
        <f>IFERROR(VLOOKUP(A435,CURVA!$B$8:$F$30,5,0),"")</f>
        <v/>
      </c>
      <c r="L435" s="45">
        <f t="shared" si="38"/>
        <v>7.7777777777777779E-2</v>
      </c>
      <c r="M435" s="46">
        <f>interpola(E435-$E$4,CURVA!$H$6:$H$20,CURVA!$G$6:$G$20)</f>
        <v>0.02</v>
      </c>
      <c r="N435" s="47">
        <f t="shared" si="39"/>
        <v>0.51547490032760479</v>
      </c>
      <c r="O435" s="49" t="str">
        <f>IF(K435="","",SUMPRODUCT($J$10:J435,$L$10:L435,$N$10:N435)*$E$5)</f>
        <v/>
      </c>
      <c r="P435" s="49" t="str">
        <f>IF(K435="","",SUMPRODUCT($L$10:L435,$N$10:N435)*$K435*$E$5)</f>
        <v/>
      </c>
    </row>
    <row r="436" spans="1:16" x14ac:dyDescent="0.2">
      <c r="A436" s="41">
        <f t="shared" si="40"/>
        <v>11956</v>
      </c>
      <c r="B436" s="41" t="s">
        <v>76</v>
      </c>
      <c r="C436" s="41">
        <v>427</v>
      </c>
      <c r="D436" s="15">
        <f t="shared" si="41"/>
        <v>54590</v>
      </c>
      <c r="E436" s="42">
        <f t="shared" si="42"/>
        <v>54618</v>
      </c>
      <c r="F436" s="42"/>
      <c r="G436" s="42"/>
      <c r="H436" s="50"/>
      <c r="I436" s="43">
        <f t="shared" si="36"/>
        <v>54618</v>
      </c>
      <c r="J436" s="44">
        <f>forward($E$4,D436,E436,CURVA!$H$6:H446,CURVA!$G$6:G446)</f>
        <v>2.0015563624537411E-2</v>
      </c>
      <c r="K436" s="44" t="str">
        <f>IFERROR(VLOOKUP(A436,CURVA!$B$8:$F$30,5,0),"")</f>
        <v/>
      </c>
      <c r="L436" s="45">
        <f t="shared" si="38"/>
        <v>7.7777777777777779E-2</v>
      </c>
      <c r="M436" s="46">
        <f>interpola(E436-$E$4,CURVA!$H$6:$H$20,CURVA!$G$6:$G$20)</f>
        <v>0.02</v>
      </c>
      <c r="N436" s="47">
        <f t="shared" si="39"/>
        <v>0.5146736738203872</v>
      </c>
      <c r="O436" s="49" t="str">
        <f>IF(K436="","",SUMPRODUCT($J$10:J436,$L$10:L436,$N$10:N436)*$E$5)</f>
        <v/>
      </c>
      <c r="P436" s="49" t="str">
        <f>IF(K436="","",SUMPRODUCT($L$10:L436,$N$10:N436)*$K436*$E$5)</f>
        <v/>
      </c>
    </row>
    <row r="437" spans="1:16" x14ac:dyDescent="0.2">
      <c r="A437" s="41">
        <f t="shared" si="40"/>
        <v>11984</v>
      </c>
      <c r="B437" s="41" t="s">
        <v>77</v>
      </c>
      <c r="C437" s="41">
        <v>428</v>
      </c>
      <c r="D437" s="15">
        <f t="shared" si="41"/>
        <v>54618</v>
      </c>
      <c r="E437" s="42">
        <f t="shared" si="42"/>
        <v>54646</v>
      </c>
      <c r="F437" s="42"/>
      <c r="G437" s="42"/>
      <c r="H437" s="50"/>
      <c r="I437" s="43">
        <f t="shared" si="36"/>
        <v>54646</v>
      </c>
      <c r="J437" s="44">
        <f>forward($E$4,D437,E437,CURVA!$H$6:H447,CURVA!$G$6:G447)</f>
        <v>2.0015563624537411E-2</v>
      </c>
      <c r="K437" s="44" t="str">
        <f>IFERROR(VLOOKUP(A437,CURVA!$B$8:$F$30,5,0),"")</f>
        <v/>
      </c>
      <c r="L437" s="45">
        <f t="shared" si="38"/>
        <v>7.7777777777777779E-2</v>
      </c>
      <c r="M437" s="46">
        <f>interpola(E437-$E$4,CURVA!$H$6:$H$20,CURVA!$G$6:$G$20)</f>
        <v>0.02</v>
      </c>
      <c r="N437" s="47">
        <f t="shared" si="39"/>
        <v>0.51387369269663141</v>
      </c>
      <c r="O437" s="49" t="str">
        <f>IF(K437="","",SUMPRODUCT($J$10:J437,$L$10:L437,$N$10:N437)*$E$5)</f>
        <v/>
      </c>
      <c r="P437" s="49" t="str">
        <f>IF(K437="","",SUMPRODUCT($L$10:L437,$N$10:N437)*$K437*$E$5)</f>
        <v/>
      </c>
    </row>
    <row r="438" spans="1:16" x14ac:dyDescent="0.2">
      <c r="A438" s="41">
        <f t="shared" si="40"/>
        <v>12012</v>
      </c>
      <c r="B438" s="41" t="s">
        <v>78</v>
      </c>
      <c r="C438" s="41">
        <v>429</v>
      </c>
      <c r="D438" s="15">
        <f t="shared" si="41"/>
        <v>54646</v>
      </c>
      <c r="E438" s="42">
        <f t="shared" si="42"/>
        <v>54674</v>
      </c>
      <c r="F438" s="42"/>
      <c r="G438" s="42"/>
      <c r="H438" s="50"/>
      <c r="I438" s="43">
        <f t="shared" si="36"/>
        <v>54674</v>
      </c>
      <c r="J438" s="44">
        <f>forward($E$4,D438,E438,CURVA!$H$6:H448,CURVA!$G$6:G448)</f>
        <v>2.0015563624537411E-2</v>
      </c>
      <c r="K438" s="44" t="str">
        <f>IFERROR(VLOOKUP(A438,CURVA!$B$8:$F$30,5,0),"")</f>
        <v/>
      </c>
      <c r="L438" s="45">
        <f t="shared" si="38"/>
        <v>7.7777777777777779E-2</v>
      </c>
      <c r="M438" s="46">
        <f>interpola(E438-$E$4,CURVA!$H$6:$H$20,CURVA!$G$6:$G$20)</f>
        <v>0.02</v>
      </c>
      <c r="N438" s="47">
        <f t="shared" si="39"/>
        <v>0.51307495502058043</v>
      </c>
      <c r="O438" s="49" t="str">
        <f>IF(K438="","",SUMPRODUCT($J$10:J438,$L$10:L438,$N$10:N438)*$E$5)</f>
        <v/>
      </c>
      <c r="P438" s="49" t="str">
        <f>IF(K438="","",SUMPRODUCT($L$10:L438,$N$10:N438)*$K438*$E$5)</f>
        <v/>
      </c>
    </row>
    <row r="439" spans="1:16" x14ac:dyDescent="0.2">
      <c r="A439" s="41">
        <f t="shared" si="40"/>
        <v>12040</v>
      </c>
      <c r="B439" s="41" t="s">
        <v>79</v>
      </c>
      <c r="C439" s="41">
        <v>430</v>
      </c>
      <c r="D439" s="15">
        <f t="shared" si="41"/>
        <v>54674</v>
      </c>
      <c r="E439" s="42">
        <f t="shared" si="42"/>
        <v>54702</v>
      </c>
      <c r="F439" s="42"/>
      <c r="G439" s="42"/>
      <c r="H439" s="50"/>
      <c r="I439" s="43">
        <f t="shared" si="36"/>
        <v>54702</v>
      </c>
      <c r="J439" s="44">
        <f>forward($E$4,D439,E439,CURVA!$H$6:H449,CURVA!$G$6:G449)</f>
        <v>2.0015563624537411E-2</v>
      </c>
      <c r="K439" s="44" t="str">
        <f>IFERROR(VLOOKUP(A439,CURVA!$B$8:$F$30,5,0),"")</f>
        <v/>
      </c>
      <c r="L439" s="45">
        <f t="shared" si="38"/>
        <v>7.7777777777777779E-2</v>
      </c>
      <c r="M439" s="46">
        <f>interpola(E439-$E$4,CURVA!$H$6:$H$20,CURVA!$G$6:$G$20)</f>
        <v>0.02</v>
      </c>
      <c r="N439" s="47">
        <f t="shared" si="39"/>
        <v>0.51227745885948561</v>
      </c>
      <c r="O439" s="49" t="str">
        <f>IF(K439="","",SUMPRODUCT($J$10:J439,$L$10:L439,$N$10:N439)*$E$5)</f>
        <v/>
      </c>
      <c r="P439" s="49" t="str">
        <f>IF(K439="","",SUMPRODUCT($L$10:L439,$N$10:N439)*$K439*$E$5)</f>
        <v/>
      </c>
    </row>
    <row r="440" spans="1:16" x14ac:dyDescent="0.2">
      <c r="A440" s="41">
        <f t="shared" si="40"/>
        <v>12068</v>
      </c>
      <c r="B440" s="41" t="s">
        <v>80</v>
      </c>
      <c r="C440" s="41">
        <v>431</v>
      </c>
      <c r="D440" s="15">
        <f t="shared" si="41"/>
        <v>54702</v>
      </c>
      <c r="E440" s="42">
        <f t="shared" si="42"/>
        <v>54730</v>
      </c>
      <c r="F440" s="42"/>
      <c r="G440" s="42"/>
      <c r="H440" s="50"/>
      <c r="I440" s="43">
        <f t="shared" si="36"/>
        <v>54730</v>
      </c>
      <c r="J440" s="44">
        <f>forward($E$4,D440,E440,CURVA!$H$6:H450,CURVA!$G$6:G450)</f>
        <v>2.0015563624537411E-2</v>
      </c>
      <c r="K440" s="44" t="str">
        <f>IFERROR(VLOOKUP(A440,CURVA!$B$8:$F$30,5,0),"")</f>
        <v/>
      </c>
      <c r="L440" s="45">
        <f t="shared" si="38"/>
        <v>7.7777777777777779E-2</v>
      </c>
      <c r="M440" s="46">
        <f>interpola(E440-$E$4,CURVA!$H$6:$H$20,CURVA!$G$6:$G$20)</f>
        <v>0.02</v>
      </c>
      <c r="N440" s="47">
        <f t="shared" si="39"/>
        <v>0.51148120228360294</v>
      </c>
      <c r="O440" s="49" t="str">
        <f>IF(K440="","",SUMPRODUCT($J$10:J440,$L$10:L440,$N$10:N440)*$E$5)</f>
        <v/>
      </c>
      <c r="P440" s="49" t="str">
        <f>IF(K440="","",SUMPRODUCT($L$10:L440,$N$10:N440)*$K440*$E$5)</f>
        <v/>
      </c>
    </row>
    <row r="441" spans="1:16" x14ac:dyDescent="0.2">
      <c r="A441" s="41">
        <f t="shared" si="40"/>
        <v>12096</v>
      </c>
      <c r="B441" s="41" t="s">
        <v>81</v>
      </c>
      <c r="C441" s="41">
        <v>432</v>
      </c>
      <c r="D441" s="15">
        <f t="shared" si="41"/>
        <v>54730</v>
      </c>
      <c r="E441" s="42">
        <f t="shared" si="42"/>
        <v>54758</v>
      </c>
      <c r="F441" s="42"/>
      <c r="G441" s="42"/>
      <c r="H441" s="50"/>
      <c r="I441" s="43">
        <f t="shared" si="36"/>
        <v>54758</v>
      </c>
      <c r="J441" s="44">
        <f>forward($E$4,D441,E441,CURVA!$H$6:H451,CURVA!$G$6:G451)</f>
        <v>2.0015563624537411E-2</v>
      </c>
      <c r="K441" s="44" t="str">
        <f>IFERROR(VLOOKUP(A441,CURVA!$B$8:$F$30,5,0),"")</f>
        <v/>
      </c>
      <c r="L441" s="45">
        <f t="shared" si="38"/>
        <v>7.7777777777777779E-2</v>
      </c>
      <c r="M441" s="46">
        <f>interpola(E441-$E$4,CURVA!$H$6:$H$20,CURVA!$G$6:$G$20)</f>
        <v>0.02</v>
      </c>
      <c r="N441" s="47">
        <f t="shared" si="39"/>
        <v>0.51068618336618787</v>
      </c>
      <c r="O441" s="49" t="str">
        <f>IF(K441="","",SUMPRODUCT($J$10:J441,$L$10:L441,$N$10:N441)*$E$5)</f>
        <v/>
      </c>
      <c r="P441" s="49" t="str">
        <f>IF(K441="","",SUMPRODUCT($L$10:L441,$N$10:N441)*$K441*$E$5)</f>
        <v/>
      </c>
    </row>
    <row r="442" spans="1:16" x14ac:dyDescent="0.2">
      <c r="A442" s="41">
        <f t="shared" si="40"/>
        <v>12124</v>
      </c>
      <c r="B442" s="41" t="s">
        <v>82</v>
      </c>
      <c r="C442" s="41">
        <v>433</v>
      </c>
      <c r="D442" s="15">
        <f t="shared" si="41"/>
        <v>54758</v>
      </c>
      <c r="E442" s="42">
        <f t="shared" si="42"/>
        <v>54786</v>
      </c>
      <c r="F442" s="42"/>
      <c r="G442" s="42"/>
      <c r="H442" s="50"/>
      <c r="I442" s="43">
        <f t="shared" si="36"/>
        <v>54786</v>
      </c>
      <c r="J442" s="44">
        <f>forward($E$4,D442,E442,CURVA!$H$6:H452,CURVA!$G$6:G452)</f>
        <v>2.0015563624537411E-2</v>
      </c>
      <c r="K442" s="44" t="str">
        <f>IFERROR(VLOOKUP(A442,CURVA!$B$8:$F$30,5,0),"")</f>
        <v/>
      </c>
      <c r="L442" s="45">
        <f t="shared" si="38"/>
        <v>7.7777777777777779E-2</v>
      </c>
      <c r="M442" s="46">
        <f>interpola(E442-$E$4,CURVA!$H$6:$H$20,CURVA!$G$6:$G$20)</f>
        <v>0.02</v>
      </c>
      <c r="N442" s="47">
        <f t="shared" si="39"/>
        <v>0.50989240018349025</v>
      </c>
      <c r="O442" s="49" t="str">
        <f>IF(K442="","",SUMPRODUCT($J$10:J442,$L$10:L442,$N$10:N442)*$E$5)</f>
        <v/>
      </c>
      <c r="P442" s="49" t="str">
        <f>IF(K442="","",SUMPRODUCT($L$10:L442,$N$10:N442)*$K442*$E$5)</f>
        <v/>
      </c>
    </row>
    <row r="443" spans="1:16" x14ac:dyDescent="0.2">
      <c r="A443" s="41">
        <f t="shared" si="40"/>
        <v>12152</v>
      </c>
      <c r="B443" s="41" t="s">
        <v>83</v>
      </c>
      <c r="C443" s="41">
        <v>434</v>
      </c>
      <c r="D443" s="15">
        <f t="shared" si="41"/>
        <v>54786</v>
      </c>
      <c r="E443" s="42">
        <f t="shared" si="42"/>
        <v>54814</v>
      </c>
      <c r="F443" s="42"/>
      <c r="G443" s="42"/>
      <c r="H443" s="50"/>
      <c r="I443" s="43">
        <f t="shared" si="36"/>
        <v>54814</v>
      </c>
      <c r="J443" s="44">
        <f>forward($E$4,D443,E443,CURVA!$H$6:H453,CURVA!$G$6:G453)</f>
        <v>2.0015563624537411E-2</v>
      </c>
      <c r="K443" s="44" t="str">
        <f>IFERROR(VLOOKUP(A443,CURVA!$B$8:$F$30,5,0),"")</f>
        <v/>
      </c>
      <c r="L443" s="45">
        <f t="shared" si="38"/>
        <v>7.7777777777777779E-2</v>
      </c>
      <c r="M443" s="46">
        <f>interpola(E443-$E$4,CURVA!$H$6:$H$20,CURVA!$G$6:$G$20)</f>
        <v>0.02</v>
      </c>
      <c r="N443" s="47">
        <f t="shared" si="39"/>
        <v>0.50909985081475051</v>
      </c>
      <c r="O443" s="49" t="str">
        <f>IF(K443="","",SUMPRODUCT($J$10:J443,$L$10:L443,$N$10:N443)*$E$5)</f>
        <v/>
      </c>
      <c r="P443" s="49" t="str">
        <f>IF(K443="","",SUMPRODUCT($L$10:L443,$N$10:N443)*$K443*$E$5)</f>
        <v/>
      </c>
    </row>
    <row r="444" spans="1:16" x14ac:dyDescent="0.2">
      <c r="A444" s="41">
        <f t="shared" si="40"/>
        <v>12180</v>
      </c>
      <c r="B444" s="41" t="s">
        <v>84</v>
      </c>
      <c r="C444" s="41">
        <v>435</v>
      </c>
      <c r="D444" s="15">
        <f t="shared" si="41"/>
        <v>54814</v>
      </c>
      <c r="E444" s="42">
        <f t="shared" si="42"/>
        <v>54842</v>
      </c>
      <c r="F444" s="42"/>
      <c r="G444" s="42"/>
      <c r="H444" s="50"/>
      <c r="I444" s="43">
        <f t="shared" si="36"/>
        <v>54842</v>
      </c>
      <c r="J444" s="44">
        <f>forward($E$4,D444,E444,CURVA!$H$6:H454,CURVA!$G$6:G454)</f>
        <v>2.0015563624537411E-2</v>
      </c>
      <c r="K444" s="44" t="str">
        <f>IFERROR(VLOOKUP(A444,CURVA!$B$8:$F$30,5,0),"")</f>
        <v/>
      </c>
      <c r="L444" s="45">
        <f t="shared" si="38"/>
        <v>7.7777777777777779E-2</v>
      </c>
      <c r="M444" s="46">
        <f>interpola(E444-$E$4,CURVA!$H$6:$H$20,CURVA!$G$6:$G$20)</f>
        <v>0.02</v>
      </c>
      <c r="N444" s="47">
        <f t="shared" si="39"/>
        <v>0.50830853334219461</v>
      </c>
      <c r="O444" s="49" t="str">
        <f>IF(K444="","",SUMPRODUCT($J$10:J444,$L$10:L444,$N$10:N444)*$E$5)</f>
        <v/>
      </c>
      <c r="P444" s="49" t="str">
        <f>IF(K444="","",SUMPRODUCT($L$10:L444,$N$10:N444)*$K444*$E$5)</f>
        <v/>
      </c>
    </row>
    <row r="445" spans="1:16" x14ac:dyDescent="0.2">
      <c r="A445" s="41">
        <f t="shared" si="40"/>
        <v>12208</v>
      </c>
      <c r="B445" s="41" t="s">
        <v>85</v>
      </c>
      <c r="C445" s="41">
        <v>436</v>
      </c>
      <c r="D445" s="15">
        <f>E444</f>
        <v>54842</v>
      </c>
      <c r="E445" s="42">
        <f>$E$4+28*C445</f>
        <v>54870</v>
      </c>
      <c r="F445" s="42"/>
      <c r="G445" s="42"/>
      <c r="H445" s="50"/>
      <c r="I445" s="43">
        <f t="shared" si="36"/>
        <v>54870</v>
      </c>
      <c r="J445" s="44">
        <f>forward($E$4,D445,E445,CURVA!$H$6:H455,CURVA!$G$6:G455)</f>
        <v>2.0015563624537411E-2</v>
      </c>
      <c r="K445" s="44" t="str">
        <f>IFERROR(VLOOKUP(A445,CURVA!$B$8:$F$30,5,0),"")</f>
        <v/>
      </c>
      <c r="L445" s="45">
        <f t="shared" si="38"/>
        <v>7.7777777777777779E-2</v>
      </c>
      <c r="M445" s="46">
        <f>interpola(E445-$E$4,CURVA!$H$6:$H$20,CURVA!$G$6:$G$20)</f>
        <v>0.02</v>
      </c>
      <c r="N445" s="47">
        <f t="shared" si="39"/>
        <v>0.50751844585102901</v>
      </c>
      <c r="O445" s="49" t="str">
        <f>IF(K445="","",SUMPRODUCT($J$10:J445,$L$10:L445,$N$10:N445)*$E$5)</f>
        <v/>
      </c>
      <c r="P445" s="49" t="str">
        <f>IF(K445="","",SUMPRODUCT($L$10:L445,$N$10:N445)*$K445*$E$5)</f>
        <v/>
      </c>
    </row>
    <row r="446" spans="1:16" x14ac:dyDescent="0.2">
      <c r="A446" s="41">
        <f t="shared" ref="A446:A503" si="43">C446*28</f>
        <v>12236</v>
      </c>
      <c r="B446" s="41" t="s">
        <v>86</v>
      </c>
      <c r="C446" s="41">
        <v>437</v>
      </c>
      <c r="D446" s="15">
        <f t="shared" si="41"/>
        <v>54870</v>
      </c>
      <c r="E446" s="42">
        <f t="shared" ref="E446:E503" si="44">$E$4+28*C446</f>
        <v>54898</v>
      </c>
      <c r="F446" s="42"/>
      <c r="G446" s="42"/>
      <c r="H446" s="50"/>
      <c r="I446" s="43">
        <f t="shared" si="36"/>
        <v>54898</v>
      </c>
      <c r="J446" s="44">
        <f>forward($E$4,D446,E446,CURVA!$H$6:H456,CURVA!$G$6:G456)</f>
        <v>2.0015563624534556E-2</v>
      </c>
      <c r="K446" s="44" t="str">
        <f>IFERROR(VLOOKUP(A446,CURVA!$B$8:$F$30,5,0),"")</f>
        <v/>
      </c>
      <c r="L446" s="45">
        <f t="shared" si="38"/>
        <v>7.7777777777777779E-2</v>
      </c>
      <c r="M446" s="46">
        <f>interpola(E446-$E$4,CURVA!$H$6:$H$20,CURVA!$G$6:$G$20)</f>
        <v>0.02</v>
      </c>
      <c r="N446" s="47">
        <f t="shared" si="39"/>
        <v>0.50672958642943677</v>
      </c>
      <c r="O446" s="49" t="str">
        <f>IF(K446="","",SUMPRODUCT($J$10:J446,$L$10:L446,$N$10:N446)*$E$5)</f>
        <v/>
      </c>
      <c r="P446" s="49" t="str">
        <f>IF(K446="","",SUMPRODUCT($L$10:L446,$N$10:N446)*$K446*$E$5)</f>
        <v/>
      </c>
    </row>
    <row r="447" spans="1:16" x14ac:dyDescent="0.2">
      <c r="A447" s="41">
        <f t="shared" si="43"/>
        <v>12264</v>
      </c>
      <c r="B447" s="41" t="s">
        <v>87</v>
      </c>
      <c r="C447" s="41">
        <v>438</v>
      </c>
      <c r="D447" s="15">
        <f t="shared" si="41"/>
        <v>54898</v>
      </c>
      <c r="E447" s="42">
        <f t="shared" si="44"/>
        <v>54926</v>
      </c>
      <c r="F447" s="42"/>
      <c r="G447" s="42"/>
      <c r="H447" s="50"/>
      <c r="I447" s="43">
        <f t="shared" si="36"/>
        <v>54926</v>
      </c>
      <c r="J447" s="44">
        <f>forward($E$4,D447,E447,CURVA!$H$6:H457,CURVA!$G$6:G457)</f>
        <v>2.0015563624537411E-2</v>
      </c>
      <c r="K447" s="44" t="str">
        <f>IFERROR(VLOOKUP(A447,CURVA!$B$8:$F$30,5,0),"")</f>
        <v/>
      </c>
      <c r="L447" s="45">
        <f t="shared" si="38"/>
        <v>7.7777777777777779E-2</v>
      </c>
      <c r="M447" s="46">
        <f>interpola(E447-$E$4,CURVA!$H$6:$H$20,CURVA!$G$6:$G$20)</f>
        <v>0.02</v>
      </c>
      <c r="N447" s="47">
        <f t="shared" si="39"/>
        <v>0.5059419531685726</v>
      </c>
      <c r="O447" s="49" t="str">
        <f>IF(K447="","",SUMPRODUCT($J$10:J447,$L$10:L447,$N$10:N447)*$E$5)</f>
        <v/>
      </c>
      <c r="P447" s="49" t="str">
        <f>IF(K447="","",SUMPRODUCT($L$10:L447,$N$10:N447)*$K447*$E$5)</f>
        <v/>
      </c>
    </row>
    <row r="448" spans="1:16" x14ac:dyDescent="0.2">
      <c r="A448" s="41">
        <f t="shared" si="43"/>
        <v>12292</v>
      </c>
      <c r="B448" s="41" t="s">
        <v>88</v>
      </c>
      <c r="C448" s="41">
        <v>439</v>
      </c>
      <c r="D448" s="15">
        <f t="shared" si="41"/>
        <v>54926</v>
      </c>
      <c r="E448" s="42">
        <f t="shared" si="44"/>
        <v>54954</v>
      </c>
      <c r="F448" s="42"/>
      <c r="G448" s="42"/>
      <c r="H448" s="50"/>
      <c r="I448" s="43">
        <f t="shared" si="36"/>
        <v>54954</v>
      </c>
      <c r="J448" s="44">
        <f>forward($E$4,D448,E448,CURVA!$H$6:H458,CURVA!$G$6:G458)</f>
        <v>2.0015563624534556E-2</v>
      </c>
      <c r="K448" s="44" t="str">
        <f>IFERROR(VLOOKUP(A448,CURVA!$B$8:$F$30,5,0),"")</f>
        <v/>
      </c>
      <c r="L448" s="45">
        <f t="shared" si="38"/>
        <v>7.7777777777777779E-2</v>
      </c>
      <c r="M448" s="46">
        <f>interpola(E448-$E$4,CURVA!$H$6:$H$20,CURVA!$G$6:$G$20)</f>
        <v>0.02</v>
      </c>
      <c r="N448" s="47">
        <f t="shared" si="39"/>
        <v>0.50515554416255803</v>
      </c>
      <c r="O448" s="49" t="str">
        <f>IF(K448="","",SUMPRODUCT($J$10:J448,$L$10:L448,$N$10:N448)*$E$5)</f>
        <v/>
      </c>
      <c r="P448" s="49" t="str">
        <f>IF(K448="","",SUMPRODUCT($L$10:L448,$N$10:N448)*$K448*$E$5)</f>
        <v/>
      </c>
    </row>
    <row r="449" spans="1:16" x14ac:dyDescent="0.2">
      <c r="A449" s="41">
        <f t="shared" si="43"/>
        <v>12320</v>
      </c>
      <c r="B449" s="41" t="s">
        <v>89</v>
      </c>
      <c r="C449" s="41">
        <v>440</v>
      </c>
      <c r="D449" s="15">
        <f t="shared" si="41"/>
        <v>54954</v>
      </c>
      <c r="E449" s="42">
        <f t="shared" si="44"/>
        <v>54982</v>
      </c>
      <c r="F449" s="42"/>
      <c r="G449" s="42"/>
      <c r="H449" s="50"/>
      <c r="I449" s="43">
        <f t="shared" si="36"/>
        <v>54982</v>
      </c>
      <c r="J449" s="44">
        <f>forward($E$4,D449,E449,CURVA!$H$6:H459,CURVA!$G$6:G459)</f>
        <v>2.0015563624537411E-2</v>
      </c>
      <c r="K449" s="44" t="str">
        <f>IFERROR(VLOOKUP(A449,CURVA!$B$8:$F$30,5,0),"")</f>
        <v/>
      </c>
      <c r="L449" s="45">
        <f t="shared" si="38"/>
        <v>7.7777777777777779E-2</v>
      </c>
      <c r="M449" s="46">
        <f>interpola(E449-$E$4,CURVA!$H$6:$H$20,CURVA!$G$6:$G$20)</f>
        <v>0.02</v>
      </c>
      <c r="N449" s="47">
        <f t="shared" si="39"/>
        <v>0.50437035750847703</v>
      </c>
      <c r="O449" s="49" t="str">
        <f>IF(K449="","",SUMPRODUCT($J$10:J449,$L$10:L449,$N$10:N449)*$E$5)</f>
        <v/>
      </c>
      <c r="P449" s="49" t="str">
        <f>IF(K449="","",SUMPRODUCT($L$10:L449,$N$10:N449)*$K449*$E$5)</f>
        <v/>
      </c>
    </row>
    <row r="450" spans="1:16" x14ac:dyDescent="0.2">
      <c r="A450" s="41">
        <f t="shared" si="43"/>
        <v>12348</v>
      </c>
      <c r="B450" s="41" t="s">
        <v>90</v>
      </c>
      <c r="C450" s="41">
        <v>441</v>
      </c>
      <c r="D450" s="15">
        <f t="shared" si="41"/>
        <v>54982</v>
      </c>
      <c r="E450" s="42">
        <f t="shared" si="44"/>
        <v>55010</v>
      </c>
      <c r="F450" s="42"/>
      <c r="G450" s="42"/>
      <c r="H450" s="50"/>
      <c r="I450" s="43">
        <f t="shared" si="36"/>
        <v>55010</v>
      </c>
      <c r="J450" s="44">
        <f>forward($E$4,D450,E450,CURVA!$H$6:H460,CURVA!$G$6:G460)</f>
        <v>2.0015563624537411E-2</v>
      </c>
      <c r="K450" s="44" t="str">
        <f>IFERROR(VLOOKUP(A450,CURVA!$B$8:$F$30,5,0),"")</f>
        <v/>
      </c>
      <c r="L450" s="45">
        <f t="shared" si="38"/>
        <v>7.7777777777777779E-2</v>
      </c>
      <c r="M450" s="46">
        <f>interpola(E450-$E$4,CURVA!$H$6:$H$20,CURVA!$G$6:$G$20)</f>
        <v>0.02</v>
      </c>
      <c r="N450" s="47">
        <f t="shared" si="39"/>
        <v>0.50358639130637139</v>
      </c>
      <c r="O450" s="49" t="str">
        <f>IF(K450="","",SUMPRODUCT($J$10:J450,$L$10:L450,$N$10:N450)*$E$5)</f>
        <v/>
      </c>
      <c r="P450" s="49" t="str">
        <f>IF(K450="","",SUMPRODUCT($L$10:L450,$N$10:N450)*$K450*$E$5)</f>
        <v/>
      </c>
    </row>
    <row r="451" spans="1:16" x14ac:dyDescent="0.2">
      <c r="A451" s="41">
        <f t="shared" si="43"/>
        <v>12376</v>
      </c>
      <c r="B451" s="41" t="s">
        <v>91</v>
      </c>
      <c r="C451" s="41">
        <v>442</v>
      </c>
      <c r="D451" s="15">
        <f t="shared" si="41"/>
        <v>55010</v>
      </c>
      <c r="E451" s="42">
        <f t="shared" si="44"/>
        <v>55038</v>
      </c>
      <c r="F451" s="42"/>
      <c r="G451" s="42"/>
      <c r="H451" s="50"/>
      <c r="I451" s="43">
        <f t="shared" si="36"/>
        <v>55038</v>
      </c>
      <c r="J451" s="44">
        <f>forward($E$4,D451,E451,CURVA!$H$6:H461,CURVA!$G$6:G461)</f>
        <v>2.0015563624537411E-2</v>
      </c>
      <c r="K451" s="44" t="str">
        <f>IFERROR(VLOOKUP(A451,CURVA!$B$8:$F$30,5,0),"")</f>
        <v/>
      </c>
      <c r="L451" s="45">
        <f t="shared" si="38"/>
        <v>7.7777777777777779E-2</v>
      </c>
      <c r="M451" s="46">
        <f>interpola(E451-$E$4,CURVA!$H$6:$H$20,CURVA!$G$6:$G$20)</f>
        <v>0.02</v>
      </c>
      <c r="N451" s="47">
        <f t="shared" si="39"/>
        <v>0.50280364365923613</v>
      </c>
      <c r="O451" s="49" t="str">
        <f>IF(K451="","",SUMPRODUCT($J$10:J451,$L$10:L451,$N$10:N451)*$E$5)</f>
        <v/>
      </c>
      <c r="P451" s="49" t="str">
        <f>IF(K451="","",SUMPRODUCT($L$10:L451,$N$10:N451)*$K451*$E$5)</f>
        <v/>
      </c>
    </row>
    <row r="452" spans="1:16" x14ac:dyDescent="0.2">
      <c r="A452" s="41">
        <f t="shared" si="43"/>
        <v>12404</v>
      </c>
      <c r="B452" s="41" t="s">
        <v>92</v>
      </c>
      <c r="C452" s="41">
        <v>443</v>
      </c>
      <c r="D452" s="15">
        <f t="shared" si="41"/>
        <v>55038</v>
      </c>
      <c r="E452" s="42">
        <f t="shared" si="44"/>
        <v>55066</v>
      </c>
      <c r="F452" s="42"/>
      <c r="G452" s="42"/>
      <c r="H452" s="50"/>
      <c r="I452" s="43">
        <f t="shared" si="36"/>
        <v>55066</v>
      </c>
      <c r="J452" s="44">
        <f>forward($E$4,D452,E452,CURVA!$H$6:H462,CURVA!$G$6:G462)</f>
        <v>2.0015563624537411E-2</v>
      </c>
      <c r="K452" s="44" t="str">
        <f>IFERROR(VLOOKUP(A452,CURVA!$B$8:$F$30,5,0),"")</f>
        <v/>
      </c>
      <c r="L452" s="45">
        <f t="shared" si="38"/>
        <v>7.7777777777777779E-2</v>
      </c>
      <c r="M452" s="46">
        <f>interpola(E452-$E$4,CURVA!$H$6:$H$20,CURVA!$G$6:$G$20)</f>
        <v>0.02</v>
      </c>
      <c r="N452" s="47">
        <f t="shared" si="39"/>
        <v>0.50202211267301489</v>
      </c>
      <c r="O452" s="49" t="str">
        <f>IF(K452="","",SUMPRODUCT($J$10:J452,$L$10:L452,$N$10:N452)*$E$5)</f>
        <v/>
      </c>
      <c r="P452" s="49" t="str">
        <f>IF(K452="","",SUMPRODUCT($L$10:L452,$N$10:N452)*$K452*$E$5)</f>
        <v/>
      </c>
    </row>
    <row r="453" spans="1:16" x14ac:dyDescent="0.2">
      <c r="A453" s="41">
        <f t="shared" si="43"/>
        <v>12432</v>
      </c>
      <c r="B453" s="41" t="s">
        <v>93</v>
      </c>
      <c r="C453" s="41">
        <v>444</v>
      </c>
      <c r="D453" s="15">
        <f t="shared" si="41"/>
        <v>55066</v>
      </c>
      <c r="E453" s="42">
        <f t="shared" si="44"/>
        <v>55094</v>
      </c>
      <c r="F453" s="42"/>
      <c r="G453" s="42"/>
      <c r="H453" s="50"/>
      <c r="I453" s="43">
        <f t="shared" si="36"/>
        <v>55094</v>
      </c>
      <c r="J453" s="44">
        <f>forward($E$4,D453,E453,CURVA!$H$6:H463,CURVA!$G$6:G463)</f>
        <v>2.0015563624537411E-2</v>
      </c>
      <c r="K453" s="44" t="str">
        <f>IFERROR(VLOOKUP(A453,CURVA!$B$8:$F$30,5,0),"")</f>
        <v/>
      </c>
      <c r="L453" s="45">
        <f t="shared" si="38"/>
        <v>7.7777777777777779E-2</v>
      </c>
      <c r="M453" s="46">
        <f>interpola(E453-$E$4,CURVA!$H$6:$H$20,CURVA!$G$6:$G$20)</f>
        <v>0.02</v>
      </c>
      <c r="N453" s="47">
        <f t="shared" si="39"/>
        <v>0.50124179645659506</v>
      </c>
      <c r="O453" s="49" t="str">
        <f>IF(K453="","",SUMPRODUCT($J$10:J453,$L$10:L453,$N$10:N453)*$E$5)</f>
        <v/>
      </c>
      <c r="P453" s="49" t="str">
        <f>IF(K453="","",SUMPRODUCT($L$10:L453,$N$10:N453)*$K453*$E$5)</f>
        <v/>
      </c>
    </row>
    <row r="454" spans="1:16" x14ac:dyDescent="0.2">
      <c r="A454" s="41">
        <f t="shared" si="43"/>
        <v>12460</v>
      </c>
      <c r="B454" s="41" t="s">
        <v>94</v>
      </c>
      <c r="C454" s="41">
        <v>445</v>
      </c>
      <c r="D454" s="15">
        <f t="shared" si="41"/>
        <v>55094</v>
      </c>
      <c r="E454" s="42">
        <f t="shared" si="44"/>
        <v>55122</v>
      </c>
      <c r="F454" s="42"/>
      <c r="G454" s="42"/>
      <c r="H454" s="50"/>
      <c r="I454" s="43">
        <f t="shared" si="36"/>
        <v>55122</v>
      </c>
      <c r="J454" s="44">
        <f>forward($E$4,D454,E454,CURVA!$H$6:H464,CURVA!$G$6:G464)</f>
        <v>2.0015563624537411E-2</v>
      </c>
      <c r="K454" s="44" t="str">
        <f>IFERROR(VLOOKUP(A454,CURVA!$B$8:$F$30,5,0),"")</f>
        <v/>
      </c>
      <c r="L454" s="45">
        <f t="shared" si="38"/>
        <v>7.7777777777777779E-2</v>
      </c>
      <c r="M454" s="46">
        <f>interpola(E454-$E$4,CURVA!$H$6:$H$20,CURVA!$G$6:$G$20)</f>
        <v>0.02</v>
      </c>
      <c r="N454" s="47">
        <f t="shared" si="39"/>
        <v>0.50046269312180391</v>
      </c>
      <c r="O454" s="49" t="str">
        <f>IF(K454="","",SUMPRODUCT($J$10:J454,$L$10:L454,$N$10:N454)*$E$5)</f>
        <v/>
      </c>
      <c r="P454" s="49" t="str">
        <f>IF(K454="","",SUMPRODUCT($L$10:L454,$N$10:N454)*$K454*$E$5)</f>
        <v/>
      </c>
    </row>
    <row r="455" spans="1:16" x14ac:dyDescent="0.2">
      <c r="A455" s="41">
        <f t="shared" si="43"/>
        <v>12488</v>
      </c>
      <c r="B455" s="41" t="s">
        <v>95</v>
      </c>
      <c r="C455" s="41">
        <v>446</v>
      </c>
      <c r="D455" s="15">
        <f t="shared" si="41"/>
        <v>55122</v>
      </c>
      <c r="E455" s="42">
        <f t="shared" si="44"/>
        <v>55150</v>
      </c>
      <c r="F455" s="42"/>
      <c r="G455" s="42"/>
      <c r="H455" s="50"/>
      <c r="I455" s="43">
        <f t="shared" si="36"/>
        <v>55150</v>
      </c>
      <c r="J455" s="44">
        <f>forward($E$4,D455,E455,CURVA!$H$6:H465,CURVA!$G$6:G465)</f>
        <v>2.0015563624537411E-2</v>
      </c>
      <c r="K455" s="44" t="str">
        <f>IFERROR(VLOOKUP(A455,CURVA!$B$8:$F$30,5,0),"")</f>
        <v/>
      </c>
      <c r="L455" s="45">
        <f t="shared" si="38"/>
        <v>7.7777777777777779E-2</v>
      </c>
      <c r="M455" s="46">
        <f>interpola(E455-$E$4,CURVA!$H$6:$H$20,CURVA!$G$6:$G$20)</f>
        <v>0.02</v>
      </c>
      <c r="N455" s="47">
        <f t="shared" si="39"/>
        <v>0.49968480078340327</v>
      </c>
      <c r="O455" s="49" t="str">
        <f>IF(K455="","",SUMPRODUCT($J$10:J455,$L$10:L455,$N$10:N455)*$E$5)</f>
        <v/>
      </c>
      <c r="P455" s="49" t="str">
        <f>IF(K455="","",SUMPRODUCT($L$10:L455,$N$10:N455)*$K455*$E$5)</f>
        <v/>
      </c>
    </row>
    <row r="456" spans="1:16" x14ac:dyDescent="0.2">
      <c r="A456" s="41">
        <f t="shared" si="43"/>
        <v>12516</v>
      </c>
      <c r="B456" s="41" t="s">
        <v>96</v>
      </c>
      <c r="C456" s="41">
        <v>447</v>
      </c>
      <c r="D456" s="15">
        <f t="shared" si="41"/>
        <v>55150</v>
      </c>
      <c r="E456" s="42">
        <f t="shared" si="44"/>
        <v>55178</v>
      </c>
      <c r="F456" s="42"/>
      <c r="G456" s="42"/>
      <c r="H456" s="50"/>
      <c r="I456" s="43">
        <f t="shared" si="36"/>
        <v>55178</v>
      </c>
      <c r="J456" s="44">
        <f>forward($E$4,D456,E456,CURVA!$H$6:H466,CURVA!$G$6:G466)</f>
        <v>2.0015563624537411E-2</v>
      </c>
      <c r="K456" s="44" t="str">
        <f>IFERROR(VLOOKUP(A456,CURVA!$B$8:$F$30,5,0),"")</f>
        <v/>
      </c>
      <c r="L456" s="45">
        <f t="shared" si="38"/>
        <v>7.7777777777777779E-2</v>
      </c>
      <c r="M456" s="46">
        <f>interpola(E456-$E$4,CURVA!$H$6:$H$20,CURVA!$G$6:$G$20)</f>
        <v>0.02</v>
      </c>
      <c r="N456" s="47">
        <f t="shared" si="39"/>
        <v>0.49890811755908537</v>
      </c>
      <c r="O456" s="49" t="str">
        <f>IF(K456="","",SUMPRODUCT($J$10:J456,$L$10:L456,$N$10:N456)*$E$5)</f>
        <v/>
      </c>
      <c r="P456" s="49" t="str">
        <f>IF(K456="","",SUMPRODUCT($L$10:L456,$N$10:N456)*$K456*$E$5)</f>
        <v/>
      </c>
    </row>
    <row r="457" spans="1:16" x14ac:dyDescent="0.2">
      <c r="A457" s="41">
        <f t="shared" si="43"/>
        <v>12544</v>
      </c>
      <c r="B457" s="41" t="s">
        <v>97</v>
      </c>
      <c r="C457" s="41">
        <v>448</v>
      </c>
      <c r="D457" s="15">
        <f t="shared" si="41"/>
        <v>55178</v>
      </c>
      <c r="E457" s="42">
        <f t="shared" si="44"/>
        <v>55206</v>
      </c>
      <c r="F457" s="42"/>
      <c r="G457" s="42"/>
      <c r="H457" s="50"/>
      <c r="I457" s="43">
        <f t="shared" si="36"/>
        <v>55206</v>
      </c>
      <c r="J457" s="44">
        <f>forward($E$4,D457,E457,CURVA!$H$6:H467,CURVA!$G$6:G467)</f>
        <v>2.0015563624537411E-2</v>
      </c>
      <c r="K457" s="44" t="str">
        <f>IFERROR(VLOOKUP(A457,CURVA!$B$8:$F$30,5,0),"")</f>
        <v/>
      </c>
      <c r="L457" s="45">
        <f t="shared" si="38"/>
        <v>7.7777777777777779E-2</v>
      </c>
      <c r="M457" s="46">
        <f>interpola(E457-$E$4,CURVA!$H$6:$H$20,CURVA!$G$6:$G$20)</f>
        <v>0.02</v>
      </c>
      <c r="N457" s="47">
        <f t="shared" si="39"/>
        <v>0.49813264156946818</v>
      </c>
      <c r="O457" s="49" t="str">
        <f>IF(K457="","",SUMPRODUCT($J$10:J457,$L$10:L457,$N$10:N457)*$E$5)</f>
        <v/>
      </c>
      <c r="P457" s="49" t="str">
        <f>IF(K457="","",SUMPRODUCT($L$10:L457,$N$10:N457)*$K457*$E$5)</f>
        <v/>
      </c>
    </row>
    <row r="458" spans="1:16" x14ac:dyDescent="0.2">
      <c r="A458" s="41">
        <f t="shared" si="43"/>
        <v>12572</v>
      </c>
      <c r="B458" s="41" t="s">
        <v>98</v>
      </c>
      <c r="C458" s="41">
        <v>449</v>
      </c>
      <c r="D458" s="15">
        <f t="shared" si="41"/>
        <v>55206</v>
      </c>
      <c r="E458" s="42">
        <f t="shared" si="44"/>
        <v>55234</v>
      </c>
      <c r="F458" s="42"/>
      <c r="G458" s="42"/>
      <c r="H458" s="50"/>
      <c r="I458" s="43">
        <f t="shared" ref="I458:I521" si="45">E458</f>
        <v>55234</v>
      </c>
      <c r="J458" s="44">
        <f>forward($E$4,D458,E458,CURVA!$H$6:H468,CURVA!$G$6:G468)</f>
        <v>2.0015563624537411E-2</v>
      </c>
      <c r="K458" s="44" t="str">
        <f>IFERROR(VLOOKUP(A458,CURVA!$B$8:$F$30,5,0),"")</f>
        <v/>
      </c>
      <c r="L458" s="45">
        <f t="shared" si="38"/>
        <v>7.7777777777777779E-2</v>
      </c>
      <c r="M458" s="46">
        <f>interpola(E458-$E$4,CURVA!$H$6:$H$20,CURVA!$G$6:$G$20)</f>
        <v>0.02</v>
      </c>
      <c r="N458" s="47">
        <f t="shared" si="39"/>
        <v>0.49735837093809093</v>
      </c>
      <c r="O458" s="49" t="str">
        <f>IF(K458="","",SUMPRODUCT($J$10:J458,$L$10:L458,$N$10:N458)*$E$5)</f>
        <v/>
      </c>
      <c r="P458" s="49" t="str">
        <f>IF(K458="","",SUMPRODUCT($L$10:L458,$N$10:N458)*$K458*$E$5)</f>
        <v/>
      </c>
    </row>
    <row r="459" spans="1:16" x14ac:dyDescent="0.2">
      <c r="A459" s="41">
        <f t="shared" si="43"/>
        <v>12600</v>
      </c>
      <c r="B459" s="41" t="s">
        <v>99</v>
      </c>
      <c r="C459" s="41">
        <v>450</v>
      </c>
      <c r="D459" s="15">
        <f t="shared" si="41"/>
        <v>55234</v>
      </c>
      <c r="E459" s="42">
        <f t="shared" si="44"/>
        <v>55262</v>
      </c>
      <c r="F459" s="42"/>
      <c r="G459" s="42"/>
      <c r="H459" s="50"/>
      <c r="I459" s="43">
        <f t="shared" si="45"/>
        <v>55262</v>
      </c>
      <c r="J459" s="44">
        <f>forward($E$4,D459,E459,CURVA!$H$6:H469,CURVA!$G$6:G469)</f>
        <v>2.0015563624537411E-2</v>
      </c>
      <c r="K459" s="44" t="str">
        <f>IFERROR(VLOOKUP(A459,CURVA!$B$8:$F$30,5,0),"")</f>
        <v/>
      </c>
      <c r="L459" s="45">
        <f t="shared" ref="L459:L522" si="46">(E459-D459)/360</f>
        <v>7.7777777777777779E-2</v>
      </c>
      <c r="M459" s="46">
        <f>interpola(E459-$E$4,CURVA!$H$6:$H$20,CURVA!$G$6:$G$20)</f>
        <v>0.02</v>
      </c>
      <c r="N459" s="47">
        <f t="shared" ref="N459:N522" si="47">EXP(-M459*(E459-$E$4)/360)</f>
        <v>0.49658530379140953</v>
      </c>
      <c r="O459" s="49" t="str">
        <f>IF(K459="","",SUMPRODUCT($J$10:J459,$L$10:L459,$N$10:N459)*$E$5)</f>
        <v/>
      </c>
      <c r="P459" s="49" t="str">
        <f>IF(K459="","",SUMPRODUCT($L$10:L459,$N$10:N459)*$K459*$E$5)</f>
        <v/>
      </c>
    </row>
    <row r="460" spans="1:16" x14ac:dyDescent="0.2">
      <c r="A460" s="41">
        <f t="shared" si="43"/>
        <v>12628</v>
      </c>
      <c r="B460" s="41" t="s">
        <v>100</v>
      </c>
      <c r="C460" s="41">
        <v>451</v>
      </c>
      <c r="D460" s="15">
        <f t="shared" si="41"/>
        <v>55262</v>
      </c>
      <c r="E460" s="42">
        <f t="shared" si="44"/>
        <v>55290</v>
      </c>
      <c r="F460" s="42"/>
      <c r="G460" s="42"/>
      <c r="H460" s="50"/>
      <c r="I460" s="43">
        <f t="shared" si="45"/>
        <v>55290</v>
      </c>
      <c r="J460" s="44">
        <f>forward($E$4,D460,E460,CURVA!$H$6:H470,CURVA!$G$6:G470)</f>
        <v>2.0015563624534556E-2</v>
      </c>
      <c r="K460" s="44" t="str">
        <f>IFERROR(VLOOKUP(A460,CURVA!$B$8:$F$30,5,0),"")</f>
        <v/>
      </c>
      <c r="L460" s="45">
        <f t="shared" si="46"/>
        <v>7.7777777777777779E-2</v>
      </c>
      <c r="M460" s="46">
        <f>interpola(E460-$E$4,CURVA!$H$6:$H$20,CURVA!$G$6:$G$20)</f>
        <v>0.02</v>
      </c>
      <c r="N460" s="47">
        <f t="shared" si="47"/>
        <v>0.49581343825879187</v>
      </c>
      <c r="O460" s="49" t="str">
        <f>IF(K460="","",SUMPRODUCT($J$10:J460,$L$10:L460,$N$10:N460)*$E$5)</f>
        <v/>
      </c>
      <c r="P460" s="49" t="str">
        <f>IF(K460="","",SUMPRODUCT($L$10:L460,$N$10:N460)*$K460*$E$5)</f>
        <v/>
      </c>
    </row>
    <row r="461" spans="1:16" x14ac:dyDescent="0.2">
      <c r="A461" s="41">
        <f t="shared" si="43"/>
        <v>12656</v>
      </c>
      <c r="B461" s="41" t="s">
        <v>101</v>
      </c>
      <c r="C461" s="41">
        <v>452</v>
      </c>
      <c r="D461" s="15">
        <f t="shared" si="41"/>
        <v>55290</v>
      </c>
      <c r="E461" s="42">
        <f t="shared" si="44"/>
        <v>55318</v>
      </c>
      <c r="F461" s="42"/>
      <c r="G461" s="42"/>
      <c r="H461" s="50"/>
      <c r="I461" s="43">
        <f t="shared" si="45"/>
        <v>55318</v>
      </c>
      <c r="J461" s="44">
        <f>forward($E$4,D461,E461,CURVA!$H$6:H471,CURVA!$G$6:G471)</f>
        <v>2.0015563624537411E-2</v>
      </c>
      <c r="K461" s="44" t="str">
        <f>IFERROR(VLOOKUP(A461,CURVA!$B$8:$F$30,5,0),"")</f>
        <v/>
      </c>
      <c r="L461" s="45">
        <f t="shared" si="46"/>
        <v>7.7777777777777779E-2</v>
      </c>
      <c r="M461" s="46">
        <f>interpola(E461-$E$4,CURVA!$H$6:$H$20,CURVA!$G$6:$G$20)</f>
        <v>0.02</v>
      </c>
      <c r="N461" s="47">
        <f t="shared" si="47"/>
        <v>0.49504277247251371</v>
      </c>
      <c r="O461" s="49" t="str">
        <f>IF(K461="","",SUMPRODUCT($J$10:J461,$L$10:L461,$N$10:N461)*$E$5)</f>
        <v/>
      </c>
      <c r="P461" s="49" t="str">
        <f>IF(K461="","",SUMPRODUCT($L$10:L461,$N$10:N461)*$K461*$E$5)</f>
        <v/>
      </c>
    </row>
    <row r="462" spans="1:16" x14ac:dyDescent="0.2">
      <c r="A462" s="41">
        <f t="shared" si="43"/>
        <v>12684</v>
      </c>
      <c r="B462" s="41" t="s">
        <v>102</v>
      </c>
      <c r="C462" s="41">
        <v>453</v>
      </c>
      <c r="D462" s="15">
        <f t="shared" si="41"/>
        <v>55318</v>
      </c>
      <c r="E462" s="42">
        <f t="shared" si="44"/>
        <v>55346</v>
      </c>
      <c r="F462" s="42"/>
      <c r="G462" s="42"/>
      <c r="H462" s="50"/>
      <c r="I462" s="43">
        <f t="shared" si="45"/>
        <v>55346</v>
      </c>
      <c r="J462" s="44">
        <f>forward($E$4,D462,E462,CURVA!$H$6:H472,CURVA!$G$6:G472)</f>
        <v>2.0015563624537411E-2</v>
      </c>
      <c r="K462" s="44" t="str">
        <f>IFERROR(VLOOKUP(A462,CURVA!$B$8:$F$30,5,0),"")</f>
        <v/>
      </c>
      <c r="L462" s="45">
        <f t="shared" si="46"/>
        <v>7.7777777777777779E-2</v>
      </c>
      <c r="M462" s="46">
        <f>interpola(E462-$E$4,CURVA!$H$6:$H$20,CURVA!$G$6:$G$20)</f>
        <v>0.02</v>
      </c>
      <c r="N462" s="47">
        <f t="shared" si="47"/>
        <v>0.4942733045677537</v>
      </c>
      <c r="O462" s="49" t="str">
        <f>IF(K462="","",SUMPRODUCT($J$10:J462,$L$10:L462,$N$10:N462)*$E$5)</f>
        <v/>
      </c>
      <c r="P462" s="49" t="str">
        <f>IF(K462="","",SUMPRODUCT($L$10:L462,$N$10:N462)*$K462*$E$5)</f>
        <v/>
      </c>
    </row>
    <row r="463" spans="1:16" x14ac:dyDescent="0.2">
      <c r="A463" s="41">
        <f t="shared" si="43"/>
        <v>12712</v>
      </c>
      <c r="B463" s="41" t="s">
        <v>103</v>
      </c>
      <c r="C463" s="41">
        <v>454</v>
      </c>
      <c r="D463" s="15">
        <f t="shared" si="41"/>
        <v>55346</v>
      </c>
      <c r="E463" s="42">
        <f t="shared" si="44"/>
        <v>55374</v>
      </c>
      <c r="F463" s="42"/>
      <c r="G463" s="42"/>
      <c r="H463" s="50"/>
      <c r="I463" s="43">
        <f t="shared" si="45"/>
        <v>55374</v>
      </c>
      <c r="J463" s="44">
        <f>forward($E$4,D463,E463,CURVA!$H$6:H473,CURVA!$G$6:G473)</f>
        <v>2.0015563624537411E-2</v>
      </c>
      <c r="K463" s="44" t="str">
        <f>IFERROR(VLOOKUP(A463,CURVA!$B$8:$F$30,5,0),"")</f>
        <v/>
      </c>
      <c r="L463" s="45">
        <f t="shared" si="46"/>
        <v>7.7777777777777779E-2</v>
      </c>
      <c r="M463" s="46">
        <f>interpola(E463-$E$4,CURVA!$H$6:$H$20,CURVA!$G$6:$G$20)</f>
        <v>0.02</v>
      </c>
      <c r="N463" s="47">
        <f t="shared" si="47"/>
        <v>0.49350503268258916</v>
      </c>
      <c r="O463" s="49" t="str">
        <f>IF(K463="","",SUMPRODUCT($J$10:J463,$L$10:L463,$N$10:N463)*$E$5)</f>
        <v/>
      </c>
      <c r="P463" s="49" t="str">
        <f>IF(K463="","",SUMPRODUCT($L$10:L463,$N$10:N463)*$K463*$E$5)</f>
        <v/>
      </c>
    </row>
    <row r="464" spans="1:16" x14ac:dyDescent="0.2">
      <c r="A464" s="41">
        <f t="shared" si="43"/>
        <v>12740</v>
      </c>
      <c r="B464" s="41" t="s">
        <v>104</v>
      </c>
      <c r="C464" s="41">
        <v>455</v>
      </c>
      <c r="D464" s="15">
        <f t="shared" ref="D464:D527" si="48">E463</f>
        <v>55374</v>
      </c>
      <c r="E464" s="42">
        <f t="shared" si="44"/>
        <v>55402</v>
      </c>
      <c r="F464" s="42"/>
      <c r="G464" s="42"/>
      <c r="H464" s="50"/>
      <c r="I464" s="43">
        <f t="shared" si="45"/>
        <v>55402</v>
      </c>
      <c r="J464" s="44">
        <f>forward($E$4,D464,E464,CURVA!$H$6:H474,CURVA!$G$6:G474)</f>
        <v>2.0015563624537411E-2</v>
      </c>
      <c r="K464" s="44" t="str">
        <f>IFERROR(VLOOKUP(A464,CURVA!$B$8:$F$30,5,0),"")</f>
        <v/>
      </c>
      <c r="L464" s="45">
        <f t="shared" si="46"/>
        <v>7.7777777777777779E-2</v>
      </c>
      <c r="M464" s="46">
        <f>interpola(E464-$E$4,CURVA!$H$6:$H$20,CURVA!$G$6:$G$20)</f>
        <v>0.02</v>
      </c>
      <c r="N464" s="47">
        <f t="shared" si="47"/>
        <v>0.49273795495799133</v>
      </c>
      <c r="O464" s="49" t="str">
        <f>IF(K464="","",SUMPRODUCT($J$10:J464,$L$10:L464,$N$10:N464)*$E$5)</f>
        <v/>
      </c>
      <c r="P464" s="49" t="str">
        <f>IF(K464="","",SUMPRODUCT($L$10:L464,$N$10:N464)*$K464*$E$5)</f>
        <v/>
      </c>
    </row>
    <row r="465" spans="1:16" x14ac:dyDescent="0.2">
      <c r="A465" s="41">
        <f t="shared" si="43"/>
        <v>12768</v>
      </c>
      <c r="B465" s="41" t="s">
        <v>105</v>
      </c>
      <c r="C465" s="41">
        <v>456</v>
      </c>
      <c r="D465" s="15">
        <f t="shared" si="48"/>
        <v>55402</v>
      </c>
      <c r="E465" s="42">
        <f t="shared" si="44"/>
        <v>55430</v>
      </c>
      <c r="F465" s="42"/>
      <c r="G465" s="42"/>
      <c r="H465" s="50"/>
      <c r="I465" s="43">
        <f t="shared" si="45"/>
        <v>55430</v>
      </c>
      <c r="J465" s="44">
        <f>forward($E$4,D465,E465,CURVA!$H$6:H475,CURVA!$G$6:G475)</f>
        <v>2.0015563624537411E-2</v>
      </c>
      <c r="K465" s="44" t="str">
        <f>IFERROR(VLOOKUP(A465,CURVA!$B$8:$F$30,5,0),"")</f>
        <v/>
      </c>
      <c r="L465" s="45">
        <f t="shared" si="46"/>
        <v>7.7777777777777779E-2</v>
      </c>
      <c r="M465" s="46">
        <f>interpola(E465-$E$4,CURVA!$H$6:$H$20,CURVA!$G$6:$G$20)</f>
        <v>0.02</v>
      </c>
      <c r="N465" s="47">
        <f t="shared" si="47"/>
        <v>0.49197206953782124</v>
      </c>
      <c r="O465" s="49" t="str">
        <f>IF(K465="","",SUMPRODUCT($J$10:J465,$L$10:L465,$N$10:N465)*$E$5)</f>
        <v/>
      </c>
      <c r="P465" s="49" t="str">
        <f>IF(K465="","",SUMPRODUCT($L$10:L465,$N$10:N465)*$K465*$E$5)</f>
        <v/>
      </c>
    </row>
    <row r="466" spans="1:16" x14ac:dyDescent="0.2">
      <c r="A466" s="41">
        <f t="shared" si="43"/>
        <v>12796</v>
      </c>
      <c r="B466" s="41" t="s">
        <v>106</v>
      </c>
      <c r="C466" s="41">
        <v>457</v>
      </c>
      <c r="D466" s="15">
        <f t="shared" si="48"/>
        <v>55430</v>
      </c>
      <c r="E466" s="42">
        <f t="shared" si="44"/>
        <v>55458</v>
      </c>
      <c r="F466" s="42"/>
      <c r="G466" s="42"/>
      <c r="H466" s="50"/>
      <c r="I466" s="43">
        <f t="shared" si="45"/>
        <v>55458</v>
      </c>
      <c r="J466" s="44">
        <f>forward($E$4,D466,E466,CURVA!$H$6:H476,CURVA!$G$6:G476)</f>
        <v>2.0015563624537411E-2</v>
      </c>
      <c r="K466" s="44" t="str">
        <f>IFERROR(VLOOKUP(A466,CURVA!$B$8:$F$30,5,0),"")</f>
        <v/>
      </c>
      <c r="L466" s="45">
        <f t="shared" si="46"/>
        <v>7.7777777777777779E-2</v>
      </c>
      <c r="M466" s="46">
        <f>interpola(E466-$E$4,CURVA!$H$6:$H$20,CURVA!$G$6:$G$20)</f>
        <v>0.02</v>
      </c>
      <c r="N466" s="47">
        <f t="shared" si="47"/>
        <v>0.49120737456882496</v>
      </c>
      <c r="O466" s="49" t="str">
        <f>IF(K466="","",SUMPRODUCT($J$10:J466,$L$10:L466,$N$10:N466)*$E$5)</f>
        <v/>
      </c>
      <c r="P466" s="49" t="str">
        <f>IF(K466="","",SUMPRODUCT($L$10:L466,$N$10:N466)*$K466*$E$5)</f>
        <v/>
      </c>
    </row>
    <row r="467" spans="1:16" x14ac:dyDescent="0.2">
      <c r="A467" s="41">
        <f t="shared" si="43"/>
        <v>12824</v>
      </c>
      <c r="B467" s="41" t="s">
        <v>107</v>
      </c>
      <c r="C467" s="41">
        <v>458</v>
      </c>
      <c r="D467" s="15">
        <f t="shared" si="48"/>
        <v>55458</v>
      </c>
      <c r="E467" s="42">
        <f t="shared" si="44"/>
        <v>55486</v>
      </c>
      <c r="F467" s="42"/>
      <c r="G467" s="42"/>
      <c r="H467" s="50"/>
      <c r="I467" s="43">
        <f t="shared" si="45"/>
        <v>55486</v>
      </c>
      <c r="J467" s="44">
        <f>forward($E$4,D467,E467,CURVA!$H$6:H477,CURVA!$G$6:G477)</f>
        <v>2.0015563624537411E-2</v>
      </c>
      <c r="K467" s="44" t="str">
        <f>IFERROR(VLOOKUP(A467,CURVA!$B$8:$F$30,5,0),"")</f>
        <v/>
      </c>
      <c r="L467" s="45">
        <f t="shared" si="46"/>
        <v>7.7777777777777779E-2</v>
      </c>
      <c r="M467" s="46">
        <f>interpola(E467-$E$4,CURVA!$H$6:$H$20,CURVA!$G$6:$G$20)</f>
        <v>0.02</v>
      </c>
      <c r="N467" s="47">
        <f t="shared" si="47"/>
        <v>0.49044386820062896</v>
      </c>
      <c r="O467" s="49" t="str">
        <f>IF(K467="","",SUMPRODUCT($J$10:J467,$L$10:L467,$N$10:N467)*$E$5)</f>
        <v/>
      </c>
      <c r="P467" s="49" t="str">
        <f>IF(K467="","",SUMPRODUCT($L$10:L467,$N$10:N467)*$K467*$E$5)</f>
        <v/>
      </c>
    </row>
    <row r="468" spans="1:16" x14ac:dyDescent="0.2">
      <c r="A468" s="41">
        <f t="shared" si="43"/>
        <v>12852</v>
      </c>
      <c r="B468" s="41" t="s">
        <v>108</v>
      </c>
      <c r="C468" s="41">
        <v>459</v>
      </c>
      <c r="D468" s="15">
        <f t="shared" si="48"/>
        <v>55486</v>
      </c>
      <c r="E468" s="42">
        <f t="shared" si="44"/>
        <v>55514</v>
      </c>
      <c r="F468" s="42"/>
      <c r="G468" s="42"/>
      <c r="H468" s="50"/>
      <c r="I468" s="43">
        <f t="shared" si="45"/>
        <v>55514</v>
      </c>
      <c r="J468" s="44">
        <f>forward($E$4,D468,E468,CURVA!$H$6:H478,CURVA!$G$6:G478)</f>
        <v>2.0015563624537411E-2</v>
      </c>
      <c r="K468" s="44" t="str">
        <f>IFERROR(VLOOKUP(A468,CURVA!$B$8:$F$30,5,0),"")</f>
        <v/>
      </c>
      <c r="L468" s="45">
        <f t="shared" si="46"/>
        <v>7.7777777777777779E-2</v>
      </c>
      <c r="M468" s="46">
        <f>interpola(E468-$E$4,CURVA!$H$6:$H$20,CURVA!$G$6:$G$20)</f>
        <v>0.02</v>
      </c>
      <c r="N468" s="47">
        <f t="shared" si="47"/>
        <v>0.48968154858573615</v>
      </c>
      <c r="O468" s="49" t="str">
        <f>IF(K468="","",SUMPRODUCT($J$10:J468,$L$10:L468,$N$10:N468)*$E$5)</f>
        <v/>
      </c>
      <c r="P468" s="49" t="str">
        <f>IF(K468="","",SUMPRODUCT($L$10:L468,$N$10:N468)*$K468*$E$5)</f>
        <v/>
      </c>
    </row>
    <row r="469" spans="1:16" x14ac:dyDescent="0.2">
      <c r="A469" s="41">
        <f t="shared" si="43"/>
        <v>12880</v>
      </c>
      <c r="B469" s="41" t="s">
        <v>109</v>
      </c>
      <c r="C469" s="41">
        <v>460</v>
      </c>
      <c r="D469" s="15">
        <f t="shared" si="48"/>
        <v>55514</v>
      </c>
      <c r="E469" s="42">
        <f t="shared" si="44"/>
        <v>55542</v>
      </c>
      <c r="F469" s="42"/>
      <c r="G469" s="42"/>
      <c r="H469" s="50"/>
      <c r="I469" s="43">
        <f t="shared" si="45"/>
        <v>55542</v>
      </c>
      <c r="J469" s="44">
        <f>forward($E$4,D469,E469,CURVA!$H$6:H479,CURVA!$G$6:G479)</f>
        <v>2.0015563624537411E-2</v>
      </c>
      <c r="K469" s="44" t="str">
        <f>IFERROR(VLOOKUP(A469,CURVA!$B$8:$F$30,5,0),"")</f>
        <v/>
      </c>
      <c r="L469" s="45">
        <f t="shared" si="46"/>
        <v>7.7777777777777779E-2</v>
      </c>
      <c r="M469" s="46">
        <f>interpola(E469-$E$4,CURVA!$H$6:$H$20,CURVA!$G$6:$G$20)</f>
        <v>0.02</v>
      </c>
      <c r="N469" s="47">
        <f t="shared" si="47"/>
        <v>0.48892041387952079</v>
      </c>
      <c r="O469" s="49" t="str">
        <f>IF(K469="","",SUMPRODUCT($J$10:J469,$L$10:L469,$N$10:N469)*$E$5)</f>
        <v/>
      </c>
      <c r="P469" s="49" t="str">
        <f>IF(K469="","",SUMPRODUCT($L$10:L469,$N$10:N469)*$K469*$E$5)</f>
        <v/>
      </c>
    </row>
    <row r="470" spans="1:16" x14ac:dyDescent="0.2">
      <c r="A470" s="41">
        <f t="shared" si="43"/>
        <v>12908</v>
      </c>
      <c r="B470" s="41" t="s">
        <v>110</v>
      </c>
      <c r="C470" s="41">
        <v>461</v>
      </c>
      <c r="D470" s="15">
        <f t="shared" si="48"/>
        <v>55542</v>
      </c>
      <c r="E470" s="42">
        <f t="shared" si="44"/>
        <v>55570</v>
      </c>
      <c r="F470" s="42"/>
      <c r="G470" s="42"/>
      <c r="H470" s="50"/>
      <c r="I470" s="43">
        <f t="shared" si="45"/>
        <v>55570</v>
      </c>
      <c r="J470" s="44">
        <f>forward($E$4,D470,E470,CURVA!$H$6:H480,CURVA!$G$6:G480)</f>
        <v>2.0015563624537411E-2</v>
      </c>
      <c r="K470" s="44" t="str">
        <f>IFERROR(VLOOKUP(A470,CURVA!$B$8:$F$30,5,0),"")</f>
        <v/>
      </c>
      <c r="L470" s="45">
        <f t="shared" si="46"/>
        <v>7.7777777777777779E-2</v>
      </c>
      <c r="M470" s="46">
        <f>interpola(E470-$E$4,CURVA!$H$6:$H$20,CURVA!$G$6:$G$20)</f>
        <v>0.02</v>
      </c>
      <c r="N470" s="47">
        <f t="shared" si="47"/>
        <v>0.48816046224022447</v>
      </c>
      <c r="O470" s="49" t="str">
        <f>IF(K470="","",SUMPRODUCT($J$10:J470,$L$10:L470,$N$10:N470)*$E$5)</f>
        <v/>
      </c>
      <c r="P470" s="49" t="str">
        <f>IF(K470="","",SUMPRODUCT($L$10:L470,$N$10:N470)*$K470*$E$5)</f>
        <v/>
      </c>
    </row>
    <row r="471" spans="1:16" x14ac:dyDescent="0.2">
      <c r="A471" s="41">
        <f t="shared" si="43"/>
        <v>12936</v>
      </c>
      <c r="B471" s="41" t="s">
        <v>111</v>
      </c>
      <c r="C471" s="41">
        <v>462</v>
      </c>
      <c r="D471" s="15">
        <f t="shared" si="48"/>
        <v>55570</v>
      </c>
      <c r="E471" s="42">
        <f t="shared" si="44"/>
        <v>55598</v>
      </c>
      <c r="F471" s="42"/>
      <c r="G471" s="42"/>
      <c r="H471" s="50"/>
      <c r="I471" s="43">
        <f t="shared" si="45"/>
        <v>55598</v>
      </c>
      <c r="J471" s="44">
        <f>forward($E$4,D471,E471,CURVA!$H$6:H481,CURVA!$G$6:G481)</f>
        <v>2.0015563624534556E-2</v>
      </c>
      <c r="K471" s="44" t="str">
        <f>IFERROR(VLOOKUP(A471,CURVA!$B$8:$F$30,5,0),"")</f>
        <v/>
      </c>
      <c r="L471" s="45">
        <f t="shared" si="46"/>
        <v>7.7777777777777779E-2</v>
      </c>
      <c r="M471" s="46">
        <f>interpola(E471-$E$4,CURVA!$H$6:$H$20,CURVA!$G$6:$G$20)</f>
        <v>0.02</v>
      </c>
      <c r="N471" s="47">
        <f t="shared" si="47"/>
        <v>0.48740169182895149</v>
      </c>
      <c r="O471" s="49" t="str">
        <f>IF(K471="","",SUMPRODUCT($J$10:J471,$L$10:L471,$N$10:N471)*$E$5)</f>
        <v/>
      </c>
      <c r="P471" s="49" t="str">
        <f>IF(K471="","",SUMPRODUCT($L$10:L471,$N$10:N471)*$K471*$E$5)</f>
        <v/>
      </c>
    </row>
    <row r="472" spans="1:16" x14ac:dyDescent="0.2">
      <c r="A472" s="41">
        <f t="shared" si="43"/>
        <v>12964</v>
      </c>
      <c r="B472" s="41" t="s">
        <v>112</v>
      </c>
      <c r="C472" s="41">
        <v>463</v>
      </c>
      <c r="D472" s="15">
        <f t="shared" si="48"/>
        <v>55598</v>
      </c>
      <c r="E472" s="42">
        <f t="shared" si="44"/>
        <v>55626</v>
      </c>
      <c r="F472" s="42"/>
      <c r="G472" s="42"/>
      <c r="H472" s="50"/>
      <c r="I472" s="43">
        <f t="shared" si="45"/>
        <v>55626</v>
      </c>
      <c r="J472" s="44">
        <f>forward($E$4,D472,E472,CURVA!$H$6:H482,CURVA!$G$6:G482)</f>
        <v>2.0015563624537411E-2</v>
      </c>
      <c r="K472" s="44" t="str">
        <f>IFERROR(VLOOKUP(A472,CURVA!$B$8:$F$30,5,0),"")</f>
        <v/>
      </c>
      <c r="L472" s="45">
        <f t="shared" si="46"/>
        <v>7.7777777777777779E-2</v>
      </c>
      <c r="M472" s="46">
        <f>interpola(E472-$E$4,CURVA!$H$6:$H$20,CURVA!$G$6:$G$20)</f>
        <v>0.02</v>
      </c>
      <c r="N472" s="47">
        <f t="shared" si="47"/>
        <v>0.48664410080966453</v>
      </c>
      <c r="O472" s="49" t="str">
        <f>IF(K472="","",SUMPRODUCT($J$10:J472,$L$10:L472,$N$10:N472)*$E$5)</f>
        <v/>
      </c>
      <c r="P472" s="49" t="str">
        <f>IF(K472="","",SUMPRODUCT($L$10:L472,$N$10:N472)*$K472*$E$5)</f>
        <v/>
      </c>
    </row>
    <row r="473" spans="1:16" x14ac:dyDescent="0.2">
      <c r="A473" s="41">
        <f t="shared" si="43"/>
        <v>12992</v>
      </c>
      <c r="B473" s="41" t="s">
        <v>113</v>
      </c>
      <c r="C473" s="41">
        <v>464</v>
      </c>
      <c r="D473" s="15">
        <f t="shared" si="48"/>
        <v>55626</v>
      </c>
      <c r="E473" s="42">
        <f t="shared" si="44"/>
        <v>55654</v>
      </c>
      <c r="F473" s="42"/>
      <c r="G473" s="42"/>
      <c r="H473" s="50"/>
      <c r="I473" s="43">
        <f t="shared" si="45"/>
        <v>55654</v>
      </c>
      <c r="J473" s="44">
        <f>forward($E$4,D473,E473,CURVA!$H$6:H483,CURVA!$G$6:G483)</f>
        <v>2.0015563624534556E-2</v>
      </c>
      <c r="K473" s="44" t="str">
        <f>IFERROR(VLOOKUP(A473,CURVA!$B$8:$F$30,5,0),"")</f>
        <v/>
      </c>
      <c r="L473" s="45">
        <f t="shared" si="46"/>
        <v>7.7777777777777779E-2</v>
      </c>
      <c r="M473" s="46">
        <f>interpola(E473-$E$4,CURVA!$H$6:$H$20,CURVA!$G$6:$G$20)</f>
        <v>0.02</v>
      </c>
      <c r="N473" s="47">
        <f t="shared" si="47"/>
        <v>0.48588768734917986</v>
      </c>
      <c r="O473" s="49" t="str">
        <f>IF(K473="","",SUMPRODUCT($J$10:J473,$L$10:L473,$N$10:N473)*$E$5)</f>
        <v/>
      </c>
      <c r="P473" s="49" t="str">
        <f>IF(K473="","",SUMPRODUCT($L$10:L473,$N$10:N473)*$K473*$E$5)</f>
        <v/>
      </c>
    </row>
    <row r="474" spans="1:16" x14ac:dyDescent="0.2">
      <c r="A474" s="41">
        <f t="shared" si="43"/>
        <v>13020</v>
      </c>
      <c r="B474" s="41" t="s">
        <v>114</v>
      </c>
      <c r="C474" s="41">
        <v>465</v>
      </c>
      <c r="D474" s="15">
        <f t="shared" si="48"/>
        <v>55654</v>
      </c>
      <c r="E474" s="42">
        <f t="shared" si="44"/>
        <v>55682</v>
      </c>
      <c r="F474" s="42"/>
      <c r="G474" s="42"/>
      <c r="H474" s="50"/>
      <c r="I474" s="43">
        <f t="shared" si="45"/>
        <v>55682</v>
      </c>
      <c r="J474" s="44">
        <f>forward($E$4,D474,E474,CURVA!$H$6:H484,CURVA!$G$6:G484)</f>
        <v>2.0015563624537411E-2</v>
      </c>
      <c r="K474" s="44" t="str">
        <f>IFERROR(VLOOKUP(A474,CURVA!$B$8:$F$30,5,0),"")</f>
        <v/>
      </c>
      <c r="L474" s="45">
        <f t="shared" si="46"/>
        <v>7.7777777777777779E-2</v>
      </c>
      <c r="M474" s="46">
        <f>interpola(E474-$E$4,CURVA!$H$6:$H$20,CURVA!$G$6:$G$20)</f>
        <v>0.02</v>
      </c>
      <c r="N474" s="47">
        <f t="shared" si="47"/>
        <v>0.48513244961716351</v>
      </c>
      <c r="O474" s="49" t="str">
        <f>IF(K474="","",SUMPRODUCT($J$10:J474,$L$10:L474,$N$10:N474)*$E$5)</f>
        <v/>
      </c>
      <c r="P474" s="49" t="str">
        <f>IF(K474="","",SUMPRODUCT($L$10:L474,$N$10:N474)*$K474*$E$5)</f>
        <v/>
      </c>
    </row>
    <row r="475" spans="1:16" x14ac:dyDescent="0.2">
      <c r="A475" s="41">
        <f t="shared" si="43"/>
        <v>13048</v>
      </c>
      <c r="B475" s="41" t="s">
        <v>115</v>
      </c>
      <c r="C475" s="41">
        <v>466</v>
      </c>
      <c r="D475" s="15">
        <f t="shared" si="48"/>
        <v>55682</v>
      </c>
      <c r="E475" s="42">
        <f t="shared" si="44"/>
        <v>55710</v>
      </c>
      <c r="F475" s="42"/>
      <c r="G475" s="42"/>
      <c r="H475" s="50"/>
      <c r="I475" s="43">
        <f t="shared" si="45"/>
        <v>55710</v>
      </c>
      <c r="J475" s="44">
        <f>forward($E$4,D475,E475,CURVA!$H$6:H485,CURVA!$G$6:G485)</f>
        <v>2.0015563624537411E-2</v>
      </c>
      <c r="K475" s="44" t="str">
        <f>IFERROR(VLOOKUP(A475,CURVA!$B$8:$F$30,5,0),"")</f>
        <v/>
      </c>
      <c r="L475" s="45">
        <f t="shared" si="46"/>
        <v>7.7777777777777779E-2</v>
      </c>
      <c r="M475" s="46">
        <f>interpola(E475-$E$4,CURVA!$H$6:$H$20,CURVA!$G$6:$G$20)</f>
        <v>0.02</v>
      </c>
      <c r="N475" s="47">
        <f t="shared" si="47"/>
        <v>0.48437838578612613</v>
      </c>
      <c r="O475" s="49" t="str">
        <f>IF(K475="","",SUMPRODUCT($J$10:J475,$L$10:L475,$N$10:N475)*$E$5)</f>
        <v/>
      </c>
      <c r="P475" s="49" t="str">
        <f>IF(K475="","",SUMPRODUCT($L$10:L475,$N$10:N475)*$K475*$E$5)</f>
        <v/>
      </c>
    </row>
    <row r="476" spans="1:16" x14ac:dyDescent="0.2">
      <c r="A476" s="41">
        <f t="shared" si="43"/>
        <v>13076</v>
      </c>
      <c r="B476" s="41" t="s">
        <v>116</v>
      </c>
      <c r="C476" s="41">
        <v>467</v>
      </c>
      <c r="D476" s="15">
        <f t="shared" si="48"/>
        <v>55710</v>
      </c>
      <c r="E476" s="42">
        <f t="shared" si="44"/>
        <v>55738</v>
      </c>
      <c r="F476" s="42"/>
      <c r="G476" s="42"/>
      <c r="H476" s="50"/>
      <c r="I476" s="43">
        <f t="shared" si="45"/>
        <v>55738</v>
      </c>
      <c r="J476" s="44">
        <f>forward($E$4,D476,E476,CURVA!$H$6:H486,CURVA!$G$6:G486)</f>
        <v>2.0015563624537411E-2</v>
      </c>
      <c r="K476" s="44" t="str">
        <f>IFERROR(VLOOKUP(A476,CURVA!$B$8:$F$30,5,0),"")</f>
        <v/>
      </c>
      <c r="L476" s="45">
        <f t="shared" si="46"/>
        <v>7.7777777777777779E-2</v>
      </c>
      <c r="M476" s="46">
        <f>interpola(E476-$E$4,CURVA!$H$6:$H$20,CURVA!$G$6:$G$20)</f>
        <v>0.02</v>
      </c>
      <c r="N476" s="47">
        <f t="shared" si="47"/>
        <v>0.48362549403141897</v>
      </c>
      <c r="O476" s="49" t="str">
        <f>IF(K476="","",SUMPRODUCT($J$10:J476,$L$10:L476,$N$10:N476)*$E$5)</f>
        <v/>
      </c>
      <c r="P476" s="49" t="str">
        <f>IF(K476="","",SUMPRODUCT($L$10:L476,$N$10:N476)*$K476*$E$5)</f>
        <v/>
      </c>
    </row>
    <row r="477" spans="1:16" x14ac:dyDescent="0.2">
      <c r="A477" s="41">
        <f t="shared" si="43"/>
        <v>13104</v>
      </c>
      <c r="B477" s="41" t="s">
        <v>117</v>
      </c>
      <c r="C477" s="41">
        <v>468</v>
      </c>
      <c r="D477" s="15">
        <f t="shared" si="48"/>
        <v>55738</v>
      </c>
      <c r="E477" s="42">
        <f t="shared" si="44"/>
        <v>55766</v>
      </c>
      <c r="F477" s="42"/>
      <c r="G477" s="42"/>
      <c r="H477" s="50"/>
      <c r="I477" s="43">
        <f t="shared" si="45"/>
        <v>55766</v>
      </c>
      <c r="J477" s="44">
        <f>forward($E$4,D477,E477,CURVA!$H$6:H487,CURVA!$G$6:G487)</f>
        <v>2.0015563624537411E-2</v>
      </c>
      <c r="K477" s="44" t="str">
        <f>IFERROR(VLOOKUP(A477,CURVA!$B$8:$F$30,5,0),"")</f>
        <v/>
      </c>
      <c r="L477" s="45">
        <f t="shared" si="46"/>
        <v>7.7777777777777779E-2</v>
      </c>
      <c r="M477" s="46">
        <f>interpola(E477-$E$4,CURVA!$H$6:$H$20,CURVA!$G$6:$G$20)</f>
        <v>0.02</v>
      </c>
      <c r="N477" s="47">
        <f t="shared" si="47"/>
        <v>0.48287377253122976</v>
      </c>
      <c r="O477" s="49" t="str">
        <f>IF(K477="","",SUMPRODUCT($J$10:J477,$L$10:L477,$N$10:N477)*$E$5)</f>
        <v/>
      </c>
      <c r="P477" s="49" t="str">
        <f>IF(K477="","",SUMPRODUCT($L$10:L477,$N$10:N477)*$K477*$E$5)</f>
        <v/>
      </c>
    </row>
    <row r="478" spans="1:16" x14ac:dyDescent="0.2">
      <c r="A478" s="41">
        <f t="shared" si="43"/>
        <v>13132</v>
      </c>
      <c r="B478" s="41" t="s">
        <v>118</v>
      </c>
      <c r="C478" s="41">
        <v>469</v>
      </c>
      <c r="D478" s="15">
        <f t="shared" si="48"/>
        <v>55766</v>
      </c>
      <c r="E478" s="42">
        <f t="shared" si="44"/>
        <v>55794</v>
      </c>
      <c r="F478" s="42"/>
      <c r="G478" s="42"/>
      <c r="H478" s="50"/>
      <c r="I478" s="43">
        <f t="shared" si="45"/>
        <v>55794</v>
      </c>
      <c r="J478" s="44">
        <f>forward($E$4,D478,E478,CURVA!$H$6:H488,CURVA!$G$6:G488)</f>
        <v>2.0015563624537411E-2</v>
      </c>
      <c r="K478" s="44" t="str">
        <f>IFERROR(VLOOKUP(A478,CURVA!$B$8:$F$30,5,0),"")</f>
        <v/>
      </c>
      <c r="L478" s="45">
        <f t="shared" si="46"/>
        <v>7.7777777777777779E-2</v>
      </c>
      <c r="M478" s="46">
        <f>interpola(E478-$E$4,CURVA!$H$6:$H$20,CURVA!$G$6:$G$20)</f>
        <v>0.02</v>
      </c>
      <c r="N478" s="47">
        <f t="shared" si="47"/>
        <v>0.48212321946657755</v>
      </c>
      <c r="O478" s="49" t="str">
        <f>IF(K478="","",SUMPRODUCT($J$10:J478,$L$10:L478,$N$10:N478)*$E$5)</f>
        <v/>
      </c>
      <c r="P478" s="49" t="str">
        <f>IF(K478="","",SUMPRODUCT($L$10:L478,$N$10:N478)*$K478*$E$5)</f>
        <v/>
      </c>
    </row>
    <row r="479" spans="1:16" x14ac:dyDescent="0.2">
      <c r="A479" s="41">
        <f t="shared" si="43"/>
        <v>13160</v>
      </c>
      <c r="B479" s="41" t="s">
        <v>119</v>
      </c>
      <c r="C479" s="41">
        <v>470</v>
      </c>
      <c r="D479" s="15">
        <f t="shared" si="48"/>
        <v>55794</v>
      </c>
      <c r="E479" s="42">
        <f t="shared" si="44"/>
        <v>55822</v>
      </c>
      <c r="F479" s="42"/>
      <c r="G479" s="42"/>
      <c r="H479" s="50"/>
      <c r="I479" s="43">
        <f t="shared" si="45"/>
        <v>55822</v>
      </c>
      <c r="J479" s="44">
        <f>forward($E$4,D479,E479,CURVA!$H$6:H489,CURVA!$G$6:G489)</f>
        <v>2.0015563624537411E-2</v>
      </c>
      <c r="K479" s="44" t="str">
        <f>IFERROR(VLOOKUP(A479,CURVA!$B$8:$F$30,5,0),"")</f>
        <v/>
      </c>
      <c r="L479" s="45">
        <f t="shared" si="46"/>
        <v>7.7777777777777779E-2</v>
      </c>
      <c r="M479" s="46">
        <f>interpola(E479-$E$4,CURVA!$H$6:$H$20,CURVA!$G$6:$G$20)</f>
        <v>0.02</v>
      </c>
      <c r="N479" s="47">
        <f t="shared" si="47"/>
        <v>0.48137383302130893</v>
      </c>
      <c r="O479" s="49" t="str">
        <f>IF(K479="","",SUMPRODUCT($J$10:J479,$L$10:L479,$N$10:N479)*$E$5)</f>
        <v/>
      </c>
      <c r="P479" s="49" t="str">
        <f>IF(K479="","",SUMPRODUCT($L$10:L479,$N$10:N479)*$K479*$E$5)</f>
        <v/>
      </c>
    </row>
    <row r="480" spans="1:16" x14ac:dyDescent="0.2">
      <c r="A480" s="41">
        <f t="shared" si="43"/>
        <v>13188</v>
      </c>
      <c r="B480" s="41" t="s">
        <v>120</v>
      </c>
      <c r="C480" s="41">
        <v>471</v>
      </c>
      <c r="D480" s="15">
        <f t="shared" si="48"/>
        <v>55822</v>
      </c>
      <c r="E480" s="42">
        <f t="shared" si="44"/>
        <v>55850</v>
      </c>
      <c r="F480" s="42"/>
      <c r="G480" s="42"/>
      <c r="H480" s="50"/>
      <c r="I480" s="43">
        <f t="shared" si="45"/>
        <v>55850</v>
      </c>
      <c r="J480" s="44">
        <f>forward($E$4,D480,E480,CURVA!$H$6:H490,CURVA!$G$6:G490)</f>
        <v>2.0015563624537411E-2</v>
      </c>
      <c r="K480" s="44" t="str">
        <f>IFERROR(VLOOKUP(A480,CURVA!$B$8:$F$30,5,0),"")</f>
        <v/>
      </c>
      <c r="L480" s="45">
        <f t="shared" si="46"/>
        <v>7.7777777777777779E-2</v>
      </c>
      <c r="M480" s="46">
        <f>interpola(E480-$E$4,CURVA!$H$6:$H$20,CURVA!$G$6:$G$20)</f>
        <v>0.02</v>
      </c>
      <c r="N480" s="47">
        <f t="shared" si="47"/>
        <v>0.48062561138209331</v>
      </c>
      <c r="O480" s="49" t="str">
        <f>IF(K480="","",SUMPRODUCT($J$10:J480,$L$10:L480,$N$10:N480)*$E$5)</f>
        <v/>
      </c>
      <c r="P480" s="49" t="str">
        <f>IF(K480="","",SUMPRODUCT($L$10:L480,$N$10:N480)*$K480*$E$5)</f>
        <v/>
      </c>
    </row>
    <row r="481" spans="1:16" x14ac:dyDescent="0.2">
      <c r="A481" s="41">
        <f t="shared" si="43"/>
        <v>13216</v>
      </c>
      <c r="B481" s="41" t="s">
        <v>121</v>
      </c>
      <c r="C481" s="41">
        <v>472</v>
      </c>
      <c r="D481" s="15">
        <f t="shared" si="48"/>
        <v>55850</v>
      </c>
      <c r="E481" s="42">
        <f t="shared" si="44"/>
        <v>55878</v>
      </c>
      <c r="F481" s="42"/>
      <c r="G481" s="42"/>
      <c r="H481" s="50"/>
      <c r="I481" s="43">
        <f t="shared" si="45"/>
        <v>55878</v>
      </c>
      <c r="J481" s="44">
        <f>forward($E$4,D481,E481,CURVA!$H$6:H491,CURVA!$G$6:G491)</f>
        <v>2.0015563624537411E-2</v>
      </c>
      <c r="K481" s="44" t="str">
        <f>IFERROR(VLOOKUP(A481,CURVA!$B$8:$F$30,5,0),"")</f>
        <v/>
      </c>
      <c r="L481" s="45">
        <f t="shared" si="46"/>
        <v>7.7777777777777779E-2</v>
      </c>
      <c r="M481" s="46">
        <f>interpola(E481-$E$4,CURVA!$H$6:$H$20,CURVA!$G$6:$G$20)</f>
        <v>0.02</v>
      </c>
      <c r="N481" s="47">
        <f t="shared" si="47"/>
        <v>0.47987855273841884</v>
      </c>
      <c r="O481" s="49" t="str">
        <f>IF(K481="","",SUMPRODUCT($J$10:J481,$L$10:L481,$N$10:N481)*$E$5)</f>
        <v/>
      </c>
      <c r="P481" s="49" t="str">
        <f>IF(K481="","",SUMPRODUCT($L$10:L481,$N$10:N481)*$K481*$E$5)</f>
        <v/>
      </c>
    </row>
    <row r="482" spans="1:16" x14ac:dyDescent="0.2">
      <c r="A482" s="41">
        <f t="shared" si="43"/>
        <v>13244</v>
      </c>
      <c r="B482" s="41" t="s">
        <v>122</v>
      </c>
      <c r="C482" s="41">
        <v>473</v>
      </c>
      <c r="D482" s="15">
        <f t="shared" si="48"/>
        <v>55878</v>
      </c>
      <c r="E482" s="42">
        <f t="shared" si="44"/>
        <v>55906</v>
      </c>
      <c r="F482" s="42"/>
      <c r="G482" s="42"/>
      <c r="H482" s="50"/>
      <c r="I482" s="43">
        <f t="shared" si="45"/>
        <v>55906</v>
      </c>
      <c r="J482" s="44">
        <f>forward($E$4,D482,E482,CURVA!$H$6:H492,CURVA!$G$6:G492)</f>
        <v>2.0015563624537411E-2</v>
      </c>
      <c r="K482" s="44" t="str">
        <f>IFERROR(VLOOKUP(A482,CURVA!$B$8:$F$30,5,0),"")</f>
        <v/>
      </c>
      <c r="L482" s="45">
        <f t="shared" si="46"/>
        <v>7.7777777777777779E-2</v>
      </c>
      <c r="M482" s="46">
        <f>interpola(E482-$E$4,CURVA!$H$6:$H$20,CURVA!$G$6:$G$20)</f>
        <v>0.02</v>
      </c>
      <c r="N482" s="47">
        <f t="shared" si="47"/>
        <v>0.47913265528258758</v>
      </c>
      <c r="O482" s="49" t="str">
        <f>IF(K482="","",SUMPRODUCT($J$10:J482,$L$10:L482,$N$10:N482)*$E$5)</f>
        <v/>
      </c>
      <c r="P482" s="49" t="str">
        <f>IF(K482="","",SUMPRODUCT($L$10:L482,$N$10:N482)*$K482*$E$5)</f>
        <v/>
      </c>
    </row>
    <row r="483" spans="1:16" x14ac:dyDescent="0.2">
      <c r="A483" s="41">
        <f t="shared" si="43"/>
        <v>13272</v>
      </c>
      <c r="B483" s="41" t="s">
        <v>123</v>
      </c>
      <c r="C483" s="41">
        <v>474</v>
      </c>
      <c r="D483" s="15">
        <f t="shared" si="48"/>
        <v>55906</v>
      </c>
      <c r="E483" s="42">
        <f t="shared" si="44"/>
        <v>55934</v>
      </c>
      <c r="F483" s="42"/>
      <c r="G483" s="42"/>
      <c r="H483" s="50"/>
      <c r="I483" s="43">
        <f t="shared" si="45"/>
        <v>55934</v>
      </c>
      <c r="J483" s="44">
        <f>forward($E$4,D483,E483,CURVA!$H$6:H493,CURVA!$G$6:G493)</f>
        <v>2.0015563624537411E-2</v>
      </c>
      <c r="K483" s="44" t="str">
        <f>IFERROR(VLOOKUP(A483,CURVA!$B$8:$F$30,5,0),"")</f>
        <v/>
      </c>
      <c r="L483" s="45">
        <f t="shared" si="46"/>
        <v>7.7777777777777779E-2</v>
      </c>
      <c r="M483" s="46">
        <f>interpola(E483-$E$4,CURVA!$H$6:$H$20,CURVA!$G$6:$G$20)</f>
        <v>0.02</v>
      </c>
      <c r="N483" s="47">
        <f t="shared" si="47"/>
        <v>0.47838791720971152</v>
      </c>
      <c r="O483" s="49" t="str">
        <f>IF(K483="","",SUMPRODUCT($J$10:J483,$L$10:L483,$N$10:N483)*$E$5)</f>
        <v/>
      </c>
      <c r="P483" s="49" t="str">
        <f>IF(K483="","",SUMPRODUCT($L$10:L483,$N$10:N483)*$K483*$E$5)</f>
        <v/>
      </c>
    </row>
    <row r="484" spans="1:16" x14ac:dyDescent="0.2">
      <c r="A484" s="41">
        <f t="shared" si="43"/>
        <v>13300</v>
      </c>
      <c r="B484" s="41" t="s">
        <v>124</v>
      </c>
      <c r="C484" s="41">
        <v>475</v>
      </c>
      <c r="D484" s="15">
        <f t="shared" si="48"/>
        <v>55934</v>
      </c>
      <c r="E484" s="42">
        <f t="shared" si="44"/>
        <v>55962</v>
      </c>
      <c r="F484" s="42"/>
      <c r="G484" s="42"/>
      <c r="H484" s="50"/>
      <c r="I484" s="43">
        <f t="shared" si="45"/>
        <v>55962</v>
      </c>
      <c r="J484" s="44">
        <f>forward($E$4,D484,E484,CURVA!$H$6:H494,CURVA!$G$6:G494)</f>
        <v>2.0015563624534556E-2</v>
      </c>
      <c r="K484" s="44" t="str">
        <f>IFERROR(VLOOKUP(A484,CURVA!$B$8:$F$30,5,0),"")</f>
        <v/>
      </c>
      <c r="L484" s="45">
        <f t="shared" si="46"/>
        <v>7.7777777777777779E-2</v>
      </c>
      <c r="M484" s="46">
        <f>interpola(E484-$E$4,CURVA!$H$6:$H$20,CURVA!$G$6:$G$20)</f>
        <v>0.02</v>
      </c>
      <c r="N484" s="47">
        <f t="shared" si="47"/>
        <v>0.47764433671770801</v>
      </c>
      <c r="O484" s="49" t="str">
        <f>IF(K484="","",SUMPRODUCT($J$10:J484,$L$10:L484,$N$10:N484)*$E$5)</f>
        <v/>
      </c>
      <c r="P484" s="49" t="str">
        <f>IF(K484="","",SUMPRODUCT($L$10:L484,$N$10:N484)*$K484*$E$5)</f>
        <v/>
      </c>
    </row>
    <row r="485" spans="1:16" x14ac:dyDescent="0.2">
      <c r="A485" s="41">
        <f t="shared" si="43"/>
        <v>13328</v>
      </c>
      <c r="B485" s="41" t="s">
        <v>125</v>
      </c>
      <c r="C485" s="41">
        <v>476</v>
      </c>
      <c r="D485" s="15">
        <f t="shared" si="48"/>
        <v>55962</v>
      </c>
      <c r="E485" s="42">
        <f t="shared" si="44"/>
        <v>55990</v>
      </c>
      <c r="F485" s="42"/>
      <c r="G485" s="42"/>
      <c r="H485" s="50"/>
      <c r="I485" s="43">
        <f t="shared" si="45"/>
        <v>55990</v>
      </c>
      <c r="J485" s="44">
        <f>forward($E$4,D485,E485,CURVA!$H$6:H495,CURVA!$G$6:G495)</f>
        <v>2.0015563624537411E-2</v>
      </c>
      <c r="K485" s="44" t="str">
        <f>IFERROR(VLOOKUP(A485,CURVA!$B$8:$F$30,5,0),"")</f>
        <v/>
      </c>
      <c r="L485" s="45">
        <f t="shared" si="46"/>
        <v>7.7777777777777779E-2</v>
      </c>
      <c r="M485" s="46">
        <f>interpola(E485-$E$4,CURVA!$H$6:$H$20,CURVA!$G$6:$G$20)</f>
        <v>0.02</v>
      </c>
      <c r="N485" s="47">
        <f t="shared" si="47"/>
        <v>0.47690191200729565</v>
      </c>
      <c r="O485" s="49" t="str">
        <f>IF(K485="","",SUMPRODUCT($J$10:J485,$L$10:L485,$N$10:N485)*$E$5)</f>
        <v/>
      </c>
      <c r="P485" s="49" t="str">
        <f>IF(K485="","",SUMPRODUCT($L$10:L485,$N$10:N485)*$K485*$E$5)</f>
        <v/>
      </c>
    </row>
    <row r="486" spans="1:16" x14ac:dyDescent="0.2">
      <c r="A486" s="41">
        <f t="shared" si="43"/>
        <v>13356</v>
      </c>
      <c r="B486" s="41" t="s">
        <v>126</v>
      </c>
      <c r="C486" s="41">
        <v>477</v>
      </c>
      <c r="D486" s="15">
        <f t="shared" si="48"/>
        <v>55990</v>
      </c>
      <c r="E486" s="42">
        <f t="shared" si="44"/>
        <v>56018</v>
      </c>
      <c r="F486" s="42"/>
      <c r="G486" s="42"/>
      <c r="H486" s="50"/>
      <c r="I486" s="43">
        <f t="shared" si="45"/>
        <v>56018</v>
      </c>
      <c r="J486" s="44">
        <f>forward($E$4,D486,E486,CURVA!$H$6:H496,CURVA!$G$6:G496)</f>
        <v>2.0015563624534556E-2</v>
      </c>
      <c r="K486" s="44" t="str">
        <f>IFERROR(VLOOKUP(A486,CURVA!$B$8:$F$30,5,0),"")</f>
        <v/>
      </c>
      <c r="L486" s="45">
        <f t="shared" si="46"/>
        <v>7.7777777777777779E-2</v>
      </c>
      <c r="M486" s="46">
        <f>interpola(E486-$E$4,CURVA!$H$6:$H$20,CURVA!$G$6:$G$20)</f>
        <v>0.02</v>
      </c>
      <c r="N486" s="47">
        <f t="shared" si="47"/>
        <v>0.47616064128198943</v>
      </c>
      <c r="O486" s="49" t="str">
        <f>IF(K486="","",SUMPRODUCT($J$10:J486,$L$10:L486,$N$10:N486)*$E$5)</f>
        <v/>
      </c>
      <c r="P486" s="49" t="str">
        <f>IF(K486="","",SUMPRODUCT($L$10:L486,$N$10:N486)*$K486*$E$5)</f>
        <v/>
      </c>
    </row>
    <row r="487" spans="1:16" x14ac:dyDescent="0.2">
      <c r="A487" s="41">
        <f t="shared" si="43"/>
        <v>13384</v>
      </c>
      <c r="B487" s="41" t="s">
        <v>127</v>
      </c>
      <c r="C487" s="41">
        <v>478</v>
      </c>
      <c r="D487" s="15">
        <f t="shared" si="48"/>
        <v>56018</v>
      </c>
      <c r="E487" s="42">
        <f t="shared" si="44"/>
        <v>56046</v>
      </c>
      <c r="F487" s="42"/>
      <c r="G487" s="42"/>
      <c r="H487" s="50"/>
      <c r="I487" s="43">
        <f t="shared" si="45"/>
        <v>56046</v>
      </c>
      <c r="J487" s="44">
        <f>forward($E$4,D487,E487,CURVA!$H$6:H497,CURVA!$G$6:G497)</f>
        <v>2.0015563624537411E-2</v>
      </c>
      <c r="K487" s="44" t="str">
        <f>IFERROR(VLOOKUP(A487,CURVA!$B$8:$F$30,5,0),"")</f>
        <v/>
      </c>
      <c r="L487" s="45">
        <f t="shared" si="46"/>
        <v>7.7777777777777779E-2</v>
      </c>
      <c r="M487" s="46">
        <f>interpola(E487-$E$4,CURVA!$H$6:$H$20,CURVA!$G$6:$G$20)</f>
        <v>0.02</v>
      </c>
      <c r="N487" s="47">
        <f t="shared" si="47"/>
        <v>0.47542052274809693</v>
      </c>
      <c r="O487" s="49" t="str">
        <f>IF(K487="","",SUMPRODUCT($J$10:J487,$L$10:L487,$N$10:N487)*$E$5)</f>
        <v/>
      </c>
      <c r="P487" s="49" t="str">
        <f>IF(K487="","",SUMPRODUCT($L$10:L487,$N$10:N487)*$K487*$E$5)</f>
        <v/>
      </c>
    </row>
    <row r="488" spans="1:16" x14ac:dyDescent="0.2">
      <c r="A488" s="41">
        <f t="shared" si="43"/>
        <v>13412</v>
      </c>
      <c r="B488" s="41" t="s">
        <v>128</v>
      </c>
      <c r="C488" s="41">
        <v>479</v>
      </c>
      <c r="D488" s="15">
        <f t="shared" si="48"/>
        <v>56046</v>
      </c>
      <c r="E488" s="42">
        <f t="shared" si="44"/>
        <v>56074</v>
      </c>
      <c r="F488" s="42"/>
      <c r="G488" s="42"/>
      <c r="H488" s="50"/>
      <c r="I488" s="43">
        <f t="shared" si="45"/>
        <v>56074</v>
      </c>
      <c r="J488" s="44">
        <f>forward($E$4,D488,E488,CURVA!$H$6:H498,CURVA!$G$6:G498)</f>
        <v>2.0015563624537411E-2</v>
      </c>
      <c r="K488" s="44" t="str">
        <f>IFERROR(VLOOKUP(A488,CURVA!$B$8:$F$30,5,0),"")</f>
        <v/>
      </c>
      <c r="L488" s="45">
        <f t="shared" si="46"/>
        <v>7.7777777777777779E-2</v>
      </c>
      <c r="M488" s="46">
        <f>interpola(E488-$E$4,CURVA!$H$6:$H$20,CURVA!$G$6:$G$20)</f>
        <v>0.02</v>
      </c>
      <c r="N488" s="47">
        <f t="shared" si="47"/>
        <v>0.47468155461471362</v>
      </c>
      <c r="O488" s="49" t="str">
        <f>IF(K488="","",SUMPRODUCT($J$10:J488,$L$10:L488,$N$10:N488)*$E$5)</f>
        <v/>
      </c>
      <c r="P488" s="49" t="str">
        <f>IF(K488="","",SUMPRODUCT($L$10:L488,$N$10:N488)*$K488*$E$5)</f>
        <v/>
      </c>
    </row>
    <row r="489" spans="1:16" x14ac:dyDescent="0.2">
      <c r="A489" s="41">
        <f t="shared" si="43"/>
        <v>13440</v>
      </c>
      <c r="B489" s="41" t="s">
        <v>129</v>
      </c>
      <c r="C489" s="41">
        <v>480</v>
      </c>
      <c r="D489" s="15">
        <f t="shared" si="48"/>
        <v>56074</v>
      </c>
      <c r="E489" s="42">
        <f t="shared" si="44"/>
        <v>56102</v>
      </c>
      <c r="F489" s="42"/>
      <c r="G489" s="42"/>
      <c r="H489" s="50"/>
      <c r="I489" s="43">
        <f t="shared" si="45"/>
        <v>56102</v>
      </c>
      <c r="J489" s="44">
        <f>forward($E$4,D489,E489,CURVA!$H$6:H499,CURVA!$G$6:G499)</f>
        <v>2.0015563624537411E-2</v>
      </c>
      <c r="K489" s="44">
        <f>IFERROR(VLOOKUP(A489,CURVA!$B$8:$F$30,5,0),"")</f>
        <v>0</v>
      </c>
      <c r="L489" s="45">
        <f t="shared" si="46"/>
        <v>7.7777777777777779E-2</v>
      </c>
      <c r="M489" s="46">
        <f>interpola(E489-$E$4,CURVA!$H$6:$H$20,CURVA!$G$6:$G$20)</f>
        <v>0.02</v>
      </c>
      <c r="N489" s="47">
        <f t="shared" si="47"/>
        <v>0.47394373509371884</v>
      </c>
      <c r="O489" s="49">
        <f>IF(K489="","",SUMPRODUCT($J$10:J489,$L$10:L489,$N$10:N489)*$E$5)</f>
        <v>526056.26490629325</v>
      </c>
      <c r="P489" s="49">
        <f>IF(K489="","",SUMPRODUCT($L$10:L489,$N$10:N489)*$K489*$E$5)</f>
        <v>0</v>
      </c>
    </row>
    <row r="490" spans="1:16" x14ac:dyDescent="0.2">
      <c r="A490" s="41">
        <f t="shared" si="43"/>
        <v>13468</v>
      </c>
      <c r="B490" s="41" t="s">
        <v>130</v>
      </c>
      <c r="C490" s="41">
        <v>481</v>
      </c>
      <c r="D490" s="15">
        <f t="shared" si="48"/>
        <v>56102</v>
      </c>
      <c r="E490" s="42">
        <f t="shared" si="44"/>
        <v>56130</v>
      </c>
      <c r="F490" s="42"/>
      <c r="G490" s="42"/>
      <c r="H490" s="50"/>
      <c r="I490" s="43">
        <f t="shared" si="45"/>
        <v>56130</v>
      </c>
      <c r="J490" s="44">
        <f>forward($E$4,D490,E490,CURVA!$H$6:H500,CURVA!$G$6:G500)</f>
        <v>2.0015563624537411E-2</v>
      </c>
      <c r="K490" s="44" t="str">
        <f>IFERROR(VLOOKUP(A490,CURVA!$B$8:$F$30,5,0),"")</f>
        <v/>
      </c>
      <c r="L490" s="45">
        <f t="shared" si="46"/>
        <v>7.7777777777777779E-2</v>
      </c>
      <c r="M490" s="46">
        <f>interpola(E490-$E$4,CURVA!$H$6:$H$20,CURVA!$G$6:$G$20)</f>
        <v>0.02</v>
      </c>
      <c r="N490" s="47">
        <f t="shared" si="47"/>
        <v>0.47320706239977106</v>
      </c>
      <c r="O490" s="49" t="str">
        <f>IF(K490="","",SUMPRODUCT($J$10:J490,$L$10:L490,$N$10:N490)*$E$5)</f>
        <v/>
      </c>
      <c r="P490" s="49" t="str">
        <f>IF(K490="","",SUMPRODUCT($L$10:L490,$N$10:N490)*$K490*$E$5)</f>
        <v/>
      </c>
    </row>
    <row r="491" spans="1:16" x14ac:dyDescent="0.2">
      <c r="A491" s="41">
        <f t="shared" si="43"/>
        <v>13496</v>
      </c>
      <c r="B491" s="41" t="s">
        <v>131</v>
      </c>
      <c r="C491" s="41">
        <v>482</v>
      </c>
      <c r="D491" s="15">
        <f t="shared" si="48"/>
        <v>56130</v>
      </c>
      <c r="E491" s="42">
        <f t="shared" si="44"/>
        <v>56158</v>
      </c>
      <c r="F491" s="42"/>
      <c r="G491" s="42"/>
      <c r="H491" s="50"/>
      <c r="I491" s="43">
        <f t="shared" si="45"/>
        <v>56158</v>
      </c>
      <c r="J491" s="44">
        <f>forward($E$4,D491,E491,CURVA!$H$6:H501,CURVA!$G$6:G501)</f>
        <v>2.0015563624537411E-2</v>
      </c>
      <c r="K491" s="44" t="str">
        <f>IFERROR(VLOOKUP(A491,CURVA!$B$8:$F$30,5,0),"")</f>
        <v/>
      </c>
      <c r="L491" s="45">
        <f t="shared" si="46"/>
        <v>7.7777777777777779E-2</v>
      </c>
      <c r="M491" s="46">
        <f>interpola(E491-$E$4,CURVA!$H$6:$H$20,CURVA!$G$6:$G$20)</f>
        <v>0.02</v>
      </c>
      <c r="N491" s="47">
        <f t="shared" si="47"/>
        <v>0.4724715347503039</v>
      </c>
      <c r="O491" s="49" t="str">
        <f>IF(K491="","",SUMPRODUCT($J$10:J491,$L$10:L491,$N$10:N491)*$E$5)</f>
        <v/>
      </c>
      <c r="P491" s="49" t="str">
        <f>IF(K491="","",SUMPRODUCT($L$10:L491,$N$10:N491)*$K491*$E$5)</f>
        <v/>
      </c>
    </row>
    <row r="492" spans="1:16" x14ac:dyDescent="0.2">
      <c r="A492" s="41">
        <f t="shared" si="43"/>
        <v>13524</v>
      </c>
      <c r="B492" s="41" t="s">
        <v>132</v>
      </c>
      <c r="C492" s="41">
        <v>483</v>
      </c>
      <c r="D492" s="15">
        <f t="shared" si="48"/>
        <v>56158</v>
      </c>
      <c r="E492" s="42">
        <f t="shared" si="44"/>
        <v>56186</v>
      </c>
      <c r="F492" s="42"/>
      <c r="G492" s="42"/>
      <c r="H492" s="50"/>
      <c r="I492" s="43">
        <f t="shared" si="45"/>
        <v>56186</v>
      </c>
      <c r="J492" s="44">
        <f>forward($E$4,D492,E492,CURVA!$H$6:H502,CURVA!$G$6:G502)</f>
        <v>2.0015563624537411E-2</v>
      </c>
      <c r="K492" s="44" t="str">
        <f>IFERROR(VLOOKUP(A492,CURVA!$B$8:$F$30,5,0),"")</f>
        <v/>
      </c>
      <c r="L492" s="45">
        <f t="shared" si="46"/>
        <v>7.7777777777777779E-2</v>
      </c>
      <c r="M492" s="46">
        <f>interpola(E492-$E$4,CURVA!$H$6:$H$20,CURVA!$G$6:$G$20)</f>
        <v>0.02</v>
      </c>
      <c r="N492" s="47">
        <f t="shared" si="47"/>
        <v>0.47173715036552177</v>
      </c>
      <c r="O492" s="49" t="str">
        <f>IF(K492="","",SUMPRODUCT($J$10:J492,$L$10:L492,$N$10:N492)*$E$5)</f>
        <v/>
      </c>
      <c r="P492" s="49" t="str">
        <f>IF(K492="","",SUMPRODUCT($L$10:L492,$N$10:N492)*$K492*$E$5)</f>
        <v/>
      </c>
    </row>
    <row r="493" spans="1:16" x14ac:dyDescent="0.2">
      <c r="A493" s="41">
        <f t="shared" si="43"/>
        <v>13552</v>
      </c>
      <c r="B493" s="41" t="s">
        <v>133</v>
      </c>
      <c r="C493" s="41">
        <v>484</v>
      </c>
      <c r="D493" s="15">
        <f t="shared" si="48"/>
        <v>56186</v>
      </c>
      <c r="E493" s="42">
        <f t="shared" si="44"/>
        <v>56214</v>
      </c>
      <c r="F493" s="42"/>
      <c r="G493" s="42"/>
      <c r="H493" s="50"/>
      <c r="I493" s="43">
        <f t="shared" si="45"/>
        <v>56214</v>
      </c>
      <c r="J493" s="44">
        <f>forward($E$4,D493,E493,CURVA!$H$6:H503,CURVA!$G$6:G503)</f>
        <v>2.0015563624537411E-2</v>
      </c>
      <c r="K493" s="44" t="str">
        <f>IFERROR(VLOOKUP(A493,CURVA!$B$8:$F$30,5,0),"")</f>
        <v/>
      </c>
      <c r="L493" s="45">
        <f t="shared" si="46"/>
        <v>7.7777777777777779E-2</v>
      </c>
      <c r="M493" s="46">
        <f>interpola(E493-$E$4,CURVA!$H$6:$H$20,CURVA!$G$6:$G$20)</f>
        <v>0.02</v>
      </c>
      <c r="N493" s="47">
        <f t="shared" si="47"/>
        <v>0.47100390746839543</v>
      </c>
      <c r="O493" s="49" t="str">
        <f>IF(K493="","",SUMPRODUCT($J$10:J493,$L$10:L493,$N$10:N493)*$E$5)</f>
        <v/>
      </c>
      <c r="P493" s="49" t="str">
        <f>IF(K493="","",SUMPRODUCT($L$10:L493,$N$10:N493)*$K493*$E$5)</f>
        <v/>
      </c>
    </row>
    <row r="494" spans="1:16" x14ac:dyDescent="0.2">
      <c r="A494" s="41">
        <f t="shared" si="43"/>
        <v>13580</v>
      </c>
      <c r="B494" s="41" t="s">
        <v>134</v>
      </c>
      <c r="C494" s="41">
        <v>485</v>
      </c>
      <c r="D494" s="15">
        <f t="shared" si="48"/>
        <v>56214</v>
      </c>
      <c r="E494" s="42">
        <f t="shared" si="44"/>
        <v>56242</v>
      </c>
      <c r="F494" s="42"/>
      <c r="G494" s="42"/>
      <c r="H494" s="50"/>
      <c r="I494" s="43">
        <f t="shared" si="45"/>
        <v>56242</v>
      </c>
      <c r="J494" s="44">
        <f>forward($E$4,D494,E494,CURVA!$H$6:H504,CURVA!$G$6:G504)</f>
        <v>2.0015563624537411E-2</v>
      </c>
      <c r="K494" s="44" t="str">
        <f>IFERROR(VLOOKUP(A494,CURVA!$B$8:$F$30,5,0),"")</f>
        <v/>
      </c>
      <c r="L494" s="45">
        <f t="shared" si="46"/>
        <v>7.7777777777777779E-2</v>
      </c>
      <c r="M494" s="46">
        <f>interpola(E494-$E$4,CURVA!$H$6:$H$20,CURVA!$G$6:$G$20)</f>
        <v>0.02</v>
      </c>
      <c r="N494" s="47">
        <f t="shared" si="47"/>
        <v>0.47027180428465765</v>
      </c>
      <c r="O494" s="49" t="str">
        <f>IF(K494="","",SUMPRODUCT($J$10:J494,$L$10:L494,$N$10:N494)*$E$5)</f>
        <v/>
      </c>
      <c r="P494" s="49" t="str">
        <f>IF(K494="","",SUMPRODUCT($L$10:L494,$N$10:N494)*$K494*$E$5)</f>
        <v/>
      </c>
    </row>
    <row r="495" spans="1:16" x14ac:dyDescent="0.2">
      <c r="A495" s="41">
        <f t="shared" si="43"/>
        <v>13608</v>
      </c>
      <c r="B495" s="41" t="s">
        <v>135</v>
      </c>
      <c r="C495" s="41">
        <v>486</v>
      </c>
      <c r="D495" s="15">
        <f t="shared" si="48"/>
        <v>56242</v>
      </c>
      <c r="E495" s="42">
        <f t="shared" si="44"/>
        <v>56270</v>
      </c>
      <c r="F495" s="42"/>
      <c r="G495" s="42"/>
      <c r="H495" s="50"/>
      <c r="I495" s="43">
        <f t="shared" si="45"/>
        <v>56270</v>
      </c>
      <c r="J495" s="44">
        <f>forward($E$4,D495,E495,CURVA!$H$6:H505,CURVA!$G$6:G505)</f>
        <v>2.0015563624537411E-2</v>
      </c>
      <c r="K495" s="44" t="str">
        <f>IFERROR(VLOOKUP(A495,CURVA!$B$8:$F$30,5,0),"")</f>
        <v/>
      </c>
      <c r="L495" s="45">
        <f t="shared" si="46"/>
        <v>7.7777777777777779E-2</v>
      </c>
      <c r="M495" s="46">
        <f>interpola(E495-$E$4,CURVA!$H$6:$H$20,CURVA!$G$6:$G$20)</f>
        <v>0.02</v>
      </c>
      <c r="N495" s="47">
        <f t="shared" si="47"/>
        <v>0.4695408390427992</v>
      </c>
      <c r="O495" s="49" t="str">
        <f>IF(K495="","",SUMPRODUCT($J$10:J495,$L$10:L495,$N$10:N495)*$E$5)</f>
        <v/>
      </c>
      <c r="P495" s="49" t="str">
        <f>IF(K495="","",SUMPRODUCT($L$10:L495,$N$10:N495)*$K495*$E$5)</f>
        <v/>
      </c>
    </row>
    <row r="496" spans="1:16" x14ac:dyDescent="0.2">
      <c r="A496" s="41">
        <f t="shared" si="43"/>
        <v>13636</v>
      </c>
      <c r="B496" s="41" t="s">
        <v>136</v>
      </c>
      <c r="C496" s="41">
        <v>487</v>
      </c>
      <c r="D496" s="15">
        <f t="shared" si="48"/>
        <v>56270</v>
      </c>
      <c r="E496" s="42">
        <f t="shared" si="44"/>
        <v>56298</v>
      </c>
      <c r="F496" s="42"/>
      <c r="G496" s="42"/>
      <c r="H496" s="50"/>
      <c r="I496" s="43">
        <f t="shared" si="45"/>
        <v>56298</v>
      </c>
      <c r="J496" s="44">
        <f>forward($E$4,D496,E496,CURVA!$H$6:H506,CURVA!$G$6:G506)</f>
        <v>2.0015563624537411E-2</v>
      </c>
      <c r="K496" s="44" t="str">
        <f>IFERROR(VLOOKUP(A496,CURVA!$B$8:$F$30,5,0),"")</f>
        <v/>
      </c>
      <c r="L496" s="45">
        <f t="shared" si="46"/>
        <v>7.7777777777777779E-2</v>
      </c>
      <c r="M496" s="46">
        <f>interpola(E496-$E$4,CURVA!$H$6:$H$20,CURVA!$G$6:$G$20)</f>
        <v>0.02</v>
      </c>
      <c r="N496" s="47">
        <f t="shared" si="47"/>
        <v>0.46881100997406439</v>
      </c>
      <c r="O496" s="49" t="str">
        <f>IF(K496="","",SUMPRODUCT($J$10:J496,$L$10:L496,$N$10:N496)*$E$5)</f>
        <v/>
      </c>
      <c r="P496" s="49" t="str">
        <f>IF(K496="","",SUMPRODUCT($L$10:L496,$N$10:N496)*$K496*$E$5)</f>
        <v/>
      </c>
    </row>
    <row r="497" spans="1:16" x14ac:dyDescent="0.2">
      <c r="A497" s="41">
        <f t="shared" si="43"/>
        <v>13664</v>
      </c>
      <c r="B497" s="41" t="s">
        <v>137</v>
      </c>
      <c r="C497" s="41">
        <v>488</v>
      </c>
      <c r="D497" s="15">
        <f t="shared" si="48"/>
        <v>56298</v>
      </c>
      <c r="E497" s="42">
        <f t="shared" si="44"/>
        <v>56326</v>
      </c>
      <c r="F497" s="42"/>
      <c r="G497" s="42"/>
      <c r="H497" s="50"/>
      <c r="I497" s="43">
        <f t="shared" si="45"/>
        <v>56326</v>
      </c>
      <c r="J497" s="44">
        <f>forward($E$4,D497,E497,CURVA!$H$6:H507,CURVA!$G$6:G507)</f>
        <v>2.0015563624537411E-2</v>
      </c>
      <c r="K497" s="44" t="str">
        <f>IFERROR(VLOOKUP(A497,CURVA!$B$8:$F$30,5,0),"")</f>
        <v/>
      </c>
      <c r="L497" s="45">
        <f t="shared" si="46"/>
        <v>7.7777777777777779E-2</v>
      </c>
      <c r="M497" s="46">
        <f>interpola(E497-$E$4,CURVA!$H$6:$H$20,CURVA!$G$6:$G$20)</f>
        <v>0.02</v>
      </c>
      <c r="N497" s="47">
        <f t="shared" si="47"/>
        <v>0.46808231531244665</v>
      </c>
      <c r="O497" s="49" t="str">
        <f>IF(K497="","",SUMPRODUCT($J$10:J497,$L$10:L497,$N$10:N497)*$E$5)</f>
        <v/>
      </c>
      <c r="P497" s="49" t="str">
        <f>IF(K497="","",SUMPRODUCT($L$10:L497,$N$10:N497)*$K497*$E$5)</f>
        <v/>
      </c>
    </row>
    <row r="498" spans="1:16" x14ac:dyDescent="0.2">
      <c r="A498" s="41">
        <f t="shared" si="43"/>
        <v>13692</v>
      </c>
      <c r="B498" s="41" t="s">
        <v>138</v>
      </c>
      <c r="C498" s="41">
        <v>489</v>
      </c>
      <c r="D498" s="15">
        <f t="shared" si="48"/>
        <v>56326</v>
      </c>
      <c r="E498" s="42">
        <f t="shared" si="44"/>
        <v>56354</v>
      </c>
      <c r="F498" s="42"/>
      <c r="G498" s="42"/>
      <c r="H498" s="50"/>
      <c r="I498" s="43">
        <f t="shared" si="45"/>
        <v>56354</v>
      </c>
      <c r="J498" s="44">
        <f>forward($E$4,D498,E498,CURVA!$H$6:H508,CURVA!$G$6:G508)</f>
        <v>2.0015563624534556E-2</v>
      </c>
      <c r="K498" s="44" t="str">
        <f>IFERROR(VLOOKUP(A498,CURVA!$B$8:$F$30,5,0),"")</f>
        <v/>
      </c>
      <c r="L498" s="45">
        <f t="shared" si="46"/>
        <v>7.7777777777777779E-2</v>
      </c>
      <c r="M498" s="46">
        <f>interpola(E498-$E$4,CURVA!$H$6:$H$20,CURVA!$G$6:$G$20)</f>
        <v>0.02</v>
      </c>
      <c r="N498" s="47">
        <f t="shared" si="47"/>
        <v>0.46735475329468451</v>
      </c>
      <c r="O498" s="49" t="str">
        <f>IF(K498="","",SUMPRODUCT($J$10:J498,$L$10:L498,$N$10:N498)*$E$5)</f>
        <v/>
      </c>
      <c r="P498" s="49" t="str">
        <f>IF(K498="","",SUMPRODUCT($L$10:L498,$N$10:N498)*$K498*$E$5)</f>
        <v/>
      </c>
    </row>
    <row r="499" spans="1:16" x14ac:dyDescent="0.2">
      <c r="A499" s="41">
        <f t="shared" si="43"/>
        <v>13720</v>
      </c>
      <c r="B499" s="41" t="s">
        <v>139</v>
      </c>
      <c r="C499" s="41">
        <v>490</v>
      </c>
      <c r="D499" s="15">
        <f t="shared" si="48"/>
        <v>56354</v>
      </c>
      <c r="E499" s="42">
        <f t="shared" si="44"/>
        <v>56382</v>
      </c>
      <c r="F499" s="42"/>
      <c r="G499" s="42"/>
      <c r="H499" s="50"/>
      <c r="I499" s="43">
        <f t="shared" si="45"/>
        <v>56382</v>
      </c>
      <c r="J499" s="44">
        <f>forward($E$4,D499,E499,CURVA!$H$6:H509,CURVA!$G$6:G509)</f>
        <v>2.0015563624537411E-2</v>
      </c>
      <c r="K499" s="44" t="str">
        <f>IFERROR(VLOOKUP(A499,CURVA!$B$8:$F$30,5,0),"")</f>
        <v/>
      </c>
      <c r="L499" s="45">
        <f t="shared" si="46"/>
        <v>7.7777777777777779E-2</v>
      </c>
      <c r="M499" s="46">
        <f>interpola(E499-$E$4,CURVA!$H$6:$H$20,CURVA!$G$6:$G$20)</f>
        <v>0.02</v>
      </c>
      <c r="N499" s="47">
        <f t="shared" si="47"/>
        <v>0.46662832216025701</v>
      </c>
      <c r="O499" s="49" t="str">
        <f>IF(K499="","",SUMPRODUCT($J$10:J499,$L$10:L499,$N$10:N499)*$E$5)</f>
        <v/>
      </c>
      <c r="P499" s="49" t="str">
        <f>IF(K499="","",SUMPRODUCT($L$10:L499,$N$10:N499)*$K499*$E$5)</f>
        <v/>
      </c>
    </row>
    <row r="500" spans="1:16" x14ac:dyDescent="0.2">
      <c r="A500" s="41">
        <f t="shared" si="43"/>
        <v>13748</v>
      </c>
      <c r="B500" s="41" t="s">
        <v>140</v>
      </c>
      <c r="C500" s="41">
        <v>491</v>
      </c>
      <c r="D500" s="15">
        <f t="shared" si="48"/>
        <v>56382</v>
      </c>
      <c r="E500" s="42">
        <f t="shared" si="44"/>
        <v>56410</v>
      </c>
      <c r="F500" s="42"/>
      <c r="G500" s="42"/>
      <c r="H500" s="50"/>
      <c r="I500" s="43">
        <f t="shared" si="45"/>
        <v>56410</v>
      </c>
      <c r="J500" s="44">
        <f>forward($E$4,D500,E500,CURVA!$H$6:H510,CURVA!$G$6:G510)</f>
        <v>2.0015563624534556E-2</v>
      </c>
      <c r="K500" s="44" t="str">
        <f>IFERROR(VLOOKUP(A500,CURVA!$B$8:$F$30,5,0),"")</f>
        <v/>
      </c>
      <c r="L500" s="45">
        <f t="shared" si="46"/>
        <v>7.7777777777777779E-2</v>
      </c>
      <c r="M500" s="46">
        <f>interpola(E500-$E$4,CURVA!$H$6:$H$20,CURVA!$G$6:$G$20)</f>
        <v>0.02</v>
      </c>
      <c r="N500" s="47">
        <f t="shared" si="47"/>
        <v>0.46590302015138019</v>
      </c>
      <c r="O500" s="49" t="str">
        <f>IF(K500="","",SUMPRODUCT($J$10:J500,$L$10:L500,$N$10:N500)*$E$5)</f>
        <v/>
      </c>
      <c r="P500" s="49" t="str">
        <f>IF(K500="","",SUMPRODUCT($L$10:L500,$N$10:N500)*$K500*$E$5)</f>
        <v/>
      </c>
    </row>
    <row r="501" spans="1:16" x14ac:dyDescent="0.2">
      <c r="A501" s="41">
        <f t="shared" si="43"/>
        <v>13776</v>
      </c>
      <c r="B501" s="41" t="s">
        <v>141</v>
      </c>
      <c r="C501" s="41">
        <v>492</v>
      </c>
      <c r="D501" s="15">
        <f t="shared" si="48"/>
        <v>56410</v>
      </c>
      <c r="E501" s="42">
        <f t="shared" si="44"/>
        <v>56438</v>
      </c>
      <c r="F501" s="42"/>
      <c r="G501" s="42"/>
      <c r="H501" s="50"/>
      <c r="I501" s="43">
        <f t="shared" si="45"/>
        <v>56438</v>
      </c>
      <c r="J501" s="44">
        <f>forward($E$4,D501,E501,CURVA!$H$6:H511,CURVA!$G$6:G511)</f>
        <v>2.0015563624537411E-2</v>
      </c>
      <c r="K501" s="44" t="str">
        <f>IFERROR(VLOOKUP(A501,CURVA!$B$8:$F$30,5,0),"")</f>
        <v/>
      </c>
      <c r="L501" s="45">
        <f t="shared" si="46"/>
        <v>7.7777777777777779E-2</v>
      </c>
      <c r="M501" s="46">
        <f>interpola(E501-$E$4,CURVA!$H$6:$H$20,CURVA!$G$6:$G$20)</f>
        <v>0.02</v>
      </c>
      <c r="N501" s="47">
        <f t="shared" si="47"/>
        <v>0.46517884551300148</v>
      </c>
      <c r="O501" s="49" t="str">
        <f>IF(K501="","",SUMPRODUCT($J$10:J501,$L$10:L501,$N$10:N501)*$E$5)</f>
        <v/>
      </c>
      <c r="P501" s="49" t="str">
        <f>IF(K501="","",SUMPRODUCT($L$10:L501,$N$10:N501)*$K501*$E$5)</f>
        <v/>
      </c>
    </row>
    <row r="502" spans="1:16" x14ac:dyDescent="0.2">
      <c r="A502" s="41">
        <f t="shared" si="43"/>
        <v>13804</v>
      </c>
      <c r="B502" s="41" t="s">
        <v>142</v>
      </c>
      <c r="C502" s="41">
        <v>493</v>
      </c>
      <c r="D502" s="15">
        <f t="shared" si="48"/>
        <v>56438</v>
      </c>
      <c r="E502" s="42">
        <f t="shared" si="44"/>
        <v>56466</v>
      </c>
      <c r="F502" s="42"/>
      <c r="G502" s="42"/>
      <c r="H502" s="50"/>
      <c r="I502" s="43">
        <f t="shared" si="45"/>
        <v>56466</v>
      </c>
      <c r="J502" s="44">
        <f>forward($E$4,D502,E502,CURVA!$H$6:H512,CURVA!$G$6:G512)</f>
        <v>2.0015563624537411E-2</v>
      </c>
      <c r="K502" s="44" t="str">
        <f>IFERROR(VLOOKUP(A502,CURVA!$B$8:$F$30,5,0),"")</f>
        <v/>
      </c>
      <c r="L502" s="45">
        <f t="shared" si="46"/>
        <v>7.7777777777777779E-2</v>
      </c>
      <c r="M502" s="46">
        <f>interpola(E502-$E$4,CURVA!$H$6:$H$20,CURVA!$G$6:$G$20)</f>
        <v>0.02</v>
      </c>
      <c r="N502" s="47">
        <f t="shared" si="47"/>
        <v>0.464455796492797</v>
      </c>
      <c r="O502" s="49" t="str">
        <f>IF(K502="","",SUMPRODUCT($J$10:J502,$L$10:L502,$N$10:N502)*$E$5)</f>
        <v/>
      </c>
      <c r="P502" s="49" t="str">
        <f>IF(K502="","",SUMPRODUCT($L$10:L502,$N$10:N502)*$K502*$E$5)</f>
        <v/>
      </c>
    </row>
    <row r="503" spans="1:16" x14ac:dyDescent="0.2">
      <c r="A503" s="41">
        <f t="shared" si="43"/>
        <v>13832</v>
      </c>
      <c r="B503" s="41" t="s">
        <v>143</v>
      </c>
      <c r="C503" s="41">
        <v>494</v>
      </c>
      <c r="D503" s="15">
        <f t="shared" si="48"/>
        <v>56466</v>
      </c>
      <c r="E503" s="42">
        <f t="shared" si="44"/>
        <v>56494</v>
      </c>
      <c r="F503" s="42"/>
      <c r="G503" s="42"/>
      <c r="H503" s="50"/>
      <c r="I503" s="43">
        <f t="shared" si="45"/>
        <v>56494</v>
      </c>
      <c r="J503" s="44">
        <f>forward($E$4,D503,E503,CURVA!$H$6:H513,CURVA!$G$6:G513)</f>
        <v>2.0015563624537411E-2</v>
      </c>
      <c r="K503" s="44" t="str">
        <f>IFERROR(VLOOKUP(A503,CURVA!$B$8:$F$30,5,0),"")</f>
        <v/>
      </c>
      <c r="L503" s="45">
        <f t="shared" si="46"/>
        <v>7.7777777777777779E-2</v>
      </c>
      <c r="M503" s="46">
        <f>interpola(E503-$E$4,CURVA!$H$6:$H$20,CURVA!$G$6:$G$20)</f>
        <v>0.02</v>
      </c>
      <c r="N503" s="47">
        <f t="shared" si="47"/>
        <v>0.46373387134116617</v>
      </c>
      <c r="O503" s="49" t="str">
        <f>IF(K503="","",SUMPRODUCT($J$10:J503,$L$10:L503,$N$10:N503)*$E$5)</f>
        <v/>
      </c>
      <c r="P503" s="49" t="str">
        <f>IF(K503="","",SUMPRODUCT($L$10:L503,$N$10:N503)*$K503*$E$5)</f>
        <v/>
      </c>
    </row>
    <row r="504" spans="1:16" x14ac:dyDescent="0.2">
      <c r="A504" s="41">
        <f t="shared" ref="A504:A567" si="49">C504*28</f>
        <v>13860</v>
      </c>
      <c r="B504" s="41" t="s">
        <v>144</v>
      </c>
      <c r="C504" s="41">
        <v>495</v>
      </c>
      <c r="D504" s="15">
        <f t="shared" si="48"/>
        <v>56494</v>
      </c>
      <c r="E504" s="42">
        <f t="shared" ref="E504:E567" si="50">$E$4+28*C504</f>
        <v>56522</v>
      </c>
      <c r="F504" s="42"/>
      <c r="G504" s="42"/>
      <c r="H504" s="50"/>
      <c r="I504" s="43">
        <f t="shared" si="45"/>
        <v>56522</v>
      </c>
      <c r="J504" s="44">
        <f>forward($E$4,D504,E504,CURVA!$H$6:H514,CURVA!$G$6:G514)</f>
        <v>2.0015563624537411E-2</v>
      </c>
      <c r="K504" s="44" t="str">
        <f>IFERROR(VLOOKUP(A504,CURVA!$B$8:$F$30,5,0),"")</f>
        <v/>
      </c>
      <c r="L504" s="45">
        <f t="shared" si="46"/>
        <v>7.7777777777777779E-2</v>
      </c>
      <c r="M504" s="46">
        <f>interpola(E504-$E$4,CURVA!$H$6:$H$20,CURVA!$G$6:$G$20)</f>
        <v>0.02</v>
      </c>
      <c r="N504" s="47">
        <f t="shared" si="47"/>
        <v>0.46301306831122807</v>
      </c>
      <c r="O504" s="49" t="str">
        <f>IF(K504="","",SUMPRODUCT($J$10:J504,$L$10:L504,$N$10:N504)*$E$5)</f>
        <v/>
      </c>
      <c r="P504" s="49" t="str">
        <f>IF(K504="","",SUMPRODUCT($L$10:L504,$N$10:N504)*$K504*$E$5)</f>
        <v/>
      </c>
    </row>
    <row r="505" spans="1:16" x14ac:dyDescent="0.2">
      <c r="A505" s="41">
        <f t="shared" si="49"/>
        <v>13888</v>
      </c>
      <c r="B505" s="41" t="s">
        <v>145</v>
      </c>
      <c r="C505" s="41">
        <v>496</v>
      </c>
      <c r="D505" s="15">
        <f t="shared" si="48"/>
        <v>56522</v>
      </c>
      <c r="E505" s="42">
        <f t="shared" si="50"/>
        <v>56550</v>
      </c>
      <c r="F505" s="42"/>
      <c r="G505" s="42"/>
      <c r="H505" s="50"/>
      <c r="I505" s="43">
        <f t="shared" si="45"/>
        <v>56550</v>
      </c>
      <c r="J505" s="44">
        <f>forward($E$4,D505,E505,CURVA!$H$6:H515,CURVA!$G$6:G515)</f>
        <v>2.0015563624537411E-2</v>
      </c>
      <c r="K505" s="44" t="str">
        <f>IFERROR(VLOOKUP(A505,CURVA!$B$8:$F$30,5,0),"")</f>
        <v/>
      </c>
      <c r="L505" s="45">
        <f t="shared" si="46"/>
        <v>7.7777777777777779E-2</v>
      </c>
      <c r="M505" s="46">
        <f>interpola(E505-$E$4,CURVA!$H$6:$H$20,CURVA!$G$6:$G$20)</f>
        <v>0.02</v>
      </c>
      <c r="N505" s="47">
        <f t="shared" si="47"/>
        <v>0.462293385658817</v>
      </c>
      <c r="O505" s="49" t="str">
        <f>IF(K505="","",SUMPRODUCT($J$10:J505,$L$10:L505,$N$10:N505)*$E$5)</f>
        <v/>
      </c>
      <c r="P505" s="49" t="str">
        <f>IF(K505="","",SUMPRODUCT($L$10:L505,$N$10:N505)*$K505*$E$5)</f>
        <v/>
      </c>
    </row>
    <row r="506" spans="1:16" x14ac:dyDescent="0.2">
      <c r="A506" s="41">
        <f t="shared" si="49"/>
        <v>13916</v>
      </c>
      <c r="B506" s="41" t="s">
        <v>146</v>
      </c>
      <c r="C506" s="41">
        <v>497</v>
      </c>
      <c r="D506" s="15">
        <f t="shared" si="48"/>
        <v>56550</v>
      </c>
      <c r="E506" s="42">
        <f t="shared" si="50"/>
        <v>56578</v>
      </c>
      <c r="F506" s="42"/>
      <c r="G506" s="42"/>
      <c r="H506" s="50"/>
      <c r="I506" s="43">
        <f t="shared" si="45"/>
        <v>56578</v>
      </c>
      <c r="J506" s="44">
        <f>forward($E$4,D506,E506,CURVA!$H$6:H516,CURVA!$G$6:G516)</f>
        <v>2.0015563624537411E-2</v>
      </c>
      <c r="K506" s="44" t="str">
        <f>IFERROR(VLOOKUP(A506,CURVA!$B$8:$F$30,5,0),"")</f>
        <v/>
      </c>
      <c r="L506" s="45">
        <f t="shared" si="46"/>
        <v>7.7777777777777779E-2</v>
      </c>
      <c r="M506" s="46">
        <f>interpola(E506-$E$4,CURVA!$H$6:$H$20,CURVA!$G$6:$G$20)</f>
        <v>0.02</v>
      </c>
      <c r="N506" s="47">
        <f t="shared" si="47"/>
        <v>0.46157482164247832</v>
      </c>
      <c r="O506" s="49" t="str">
        <f>IF(K506="","",SUMPRODUCT($J$10:J506,$L$10:L506,$N$10:N506)*$E$5)</f>
        <v/>
      </c>
      <c r="P506" s="49" t="str">
        <f>IF(K506="","",SUMPRODUCT($L$10:L506,$N$10:N506)*$K506*$E$5)</f>
        <v/>
      </c>
    </row>
    <row r="507" spans="1:16" x14ac:dyDescent="0.2">
      <c r="A507" s="41">
        <f t="shared" si="49"/>
        <v>13944</v>
      </c>
      <c r="B507" s="41" t="s">
        <v>147</v>
      </c>
      <c r="C507" s="41">
        <v>498</v>
      </c>
      <c r="D507" s="15">
        <f t="shared" si="48"/>
        <v>56578</v>
      </c>
      <c r="E507" s="42">
        <f t="shared" si="50"/>
        <v>56606</v>
      </c>
      <c r="F507" s="42"/>
      <c r="G507" s="42"/>
      <c r="H507" s="50"/>
      <c r="I507" s="43">
        <f t="shared" si="45"/>
        <v>56606</v>
      </c>
      <c r="J507" s="44">
        <f>forward($E$4,D507,E507,CURVA!$H$6:H517,CURVA!$G$6:G517)</f>
        <v>2.0015563624537411E-2</v>
      </c>
      <c r="K507" s="44" t="str">
        <f>IFERROR(VLOOKUP(A507,CURVA!$B$8:$F$30,5,0),"")</f>
        <v/>
      </c>
      <c r="L507" s="45">
        <f t="shared" si="46"/>
        <v>7.7777777777777779E-2</v>
      </c>
      <c r="M507" s="46">
        <f>interpola(E507-$E$4,CURVA!$H$6:$H$20,CURVA!$G$6:$G$20)</f>
        <v>0.02</v>
      </c>
      <c r="N507" s="47">
        <f t="shared" si="47"/>
        <v>0.46085737452346409</v>
      </c>
      <c r="O507" s="49" t="str">
        <f>IF(K507="","",SUMPRODUCT($J$10:J507,$L$10:L507,$N$10:N507)*$E$5)</f>
        <v/>
      </c>
      <c r="P507" s="49" t="str">
        <f>IF(K507="","",SUMPRODUCT($L$10:L507,$N$10:N507)*$K507*$E$5)</f>
        <v/>
      </c>
    </row>
    <row r="508" spans="1:16" x14ac:dyDescent="0.2">
      <c r="A508" s="41">
        <f t="shared" si="49"/>
        <v>13972</v>
      </c>
      <c r="B508" s="41" t="s">
        <v>148</v>
      </c>
      <c r="C508" s="41">
        <v>499</v>
      </c>
      <c r="D508" s="15">
        <f t="shared" si="48"/>
        <v>56606</v>
      </c>
      <c r="E508" s="42">
        <f t="shared" si="50"/>
        <v>56634</v>
      </c>
      <c r="F508" s="42"/>
      <c r="G508" s="42"/>
      <c r="H508" s="50"/>
      <c r="I508" s="43">
        <f t="shared" si="45"/>
        <v>56634</v>
      </c>
      <c r="J508" s="44">
        <f>forward($E$4,D508,E508,CURVA!$H$6:H518,CURVA!$G$6:G518)</f>
        <v>2.0015563624537411E-2</v>
      </c>
      <c r="K508" s="44" t="str">
        <f>IFERROR(VLOOKUP(A508,CURVA!$B$8:$F$30,5,0),"")</f>
        <v/>
      </c>
      <c r="L508" s="45">
        <f t="shared" si="46"/>
        <v>7.7777777777777779E-2</v>
      </c>
      <c r="M508" s="46">
        <f>interpola(E508-$E$4,CURVA!$H$6:$H$20,CURVA!$G$6:$G$20)</f>
        <v>0.02</v>
      </c>
      <c r="N508" s="47">
        <f t="shared" si="47"/>
        <v>0.46014104256572907</v>
      </c>
      <c r="O508" s="49" t="str">
        <f>IF(K508="","",SUMPRODUCT($J$10:J508,$L$10:L508,$N$10:N508)*$E$5)</f>
        <v/>
      </c>
      <c r="P508" s="49" t="str">
        <f>IF(K508="","",SUMPRODUCT($L$10:L508,$N$10:N508)*$K508*$E$5)</f>
        <v/>
      </c>
    </row>
    <row r="509" spans="1:16" x14ac:dyDescent="0.2">
      <c r="A509" s="41">
        <f t="shared" si="49"/>
        <v>14000</v>
      </c>
      <c r="B509" s="41" t="s">
        <v>149</v>
      </c>
      <c r="C509" s="41">
        <v>500</v>
      </c>
      <c r="D509" s="15">
        <f t="shared" si="48"/>
        <v>56634</v>
      </c>
      <c r="E509" s="42">
        <f t="shared" si="50"/>
        <v>56662</v>
      </c>
      <c r="F509" s="42"/>
      <c r="G509" s="42"/>
      <c r="H509" s="50"/>
      <c r="I509" s="43">
        <f t="shared" si="45"/>
        <v>56662</v>
      </c>
      <c r="J509" s="44">
        <f>forward($E$4,D509,E509,CURVA!$H$6:H519,CURVA!$G$6:G519)</f>
        <v>2.0015563624534556E-2</v>
      </c>
      <c r="K509" s="44" t="str">
        <f>IFERROR(VLOOKUP(A509,CURVA!$B$8:$F$30,5,0),"")</f>
        <v/>
      </c>
      <c r="L509" s="45">
        <f t="shared" si="46"/>
        <v>7.7777777777777779E-2</v>
      </c>
      <c r="M509" s="46">
        <f>interpola(E509-$E$4,CURVA!$H$6:$H$20,CURVA!$G$6:$G$20)</f>
        <v>0.02</v>
      </c>
      <c r="N509" s="47">
        <f t="shared" si="47"/>
        <v>0.45942582403592663</v>
      </c>
      <c r="O509" s="49" t="str">
        <f>IF(K509="","",SUMPRODUCT($J$10:J509,$L$10:L509,$N$10:N509)*$E$5)</f>
        <v/>
      </c>
      <c r="P509" s="49" t="str">
        <f>IF(K509="","",SUMPRODUCT($L$10:L509,$N$10:N509)*$K509*$E$5)</f>
        <v/>
      </c>
    </row>
    <row r="510" spans="1:16" x14ac:dyDescent="0.2">
      <c r="A510" s="41">
        <f t="shared" si="49"/>
        <v>14028</v>
      </c>
      <c r="B510" s="41" t="s">
        <v>150</v>
      </c>
      <c r="C510" s="41">
        <v>501</v>
      </c>
      <c r="D510" s="15">
        <f t="shared" si="48"/>
        <v>56662</v>
      </c>
      <c r="E510" s="42">
        <f t="shared" si="50"/>
        <v>56690</v>
      </c>
      <c r="F510" s="42"/>
      <c r="G510" s="42"/>
      <c r="H510" s="50"/>
      <c r="I510" s="43">
        <f t="shared" si="45"/>
        <v>56690</v>
      </c>
      <c r="J510" s="44">
        <f>forward($E$4,D510,E510,CURVA!$H$6:H520,CURVA!$G$6:G520)</f>
        <v>2.0015563624537411E-2</v>
      </c>
      <c r="K510" s="44" t="str">
        <f>IFERROR(VLOOKUP(A510,CURVA!$B$8:$F$30,5,0),"")</f>
        <v/>
      </c>
      <c r="L510" s="45">
        <f t="shared" si="46"/>
        <v>7.7777777777777779E-2</v>
      </c>
      <c r="M510" s="46">
        <f>interpola(E510-$E$4,CURVA!$H$6:$H$20,CURVA!$G$6:$G$20)</f>
        <v>0.02</v>
      </c>
      <c r="N510" s="47">
        <f t="shared" si="47"/>
        <v>0.45871171720340398</v>
      </c>
      <c r="O510" s="49" t="str">
        <f>IF(K510="","",SUMPRODUCT($J$10:J510,$L$10:L510,$N$10:N510)*$E$5)</f>
        <v/>
      </c>
      <c r="P510" s="49" t="str">
        <f>IF(K510="","",SUMPRODUCT($L$10:L510,$N$10:N510)*$K510*$E$5)</f>
        <v/>
      </c>
    </row>
    <row r="511" spans="1:16" x14ac:dyDescent="0.2">
      <c r="A511" s="41">
        <f t="shared" si="49"/>
        <v>14056</v>
      </c>
      <c r="B511" s="41" t="s">
        <v>151</v>
      </c>
      <c r="C511" s="41">
        <v>502</v>
      </c>
      <c r="D511" s="15">
        <f t="shared" si="48"/>
        <v>56690</v>
      </c>
      <c r="E511" s="42">
        <f t="shared" si="50"/>
        <v>56718</v>
      </c>
      <c r="F511" s="42"/>
      <c r="G511" s="42"/>
      <c r="H511" s="50"/>
      <c r="I511" s="43">
        <f t="shared" si="45"/>
        <v>56718</v>
      </c>
      <c r="J511" s="44">
        <f>forward($E$4,D511,E511,CURVA!$H$6:H521,CURVA!$G$6:G521)</f>
        <v>2.0015563624534556E-2</v>
      </c>
      <c r="K511" s="44" t="str">
        <f>IFERROR(VLOOKUP(A511,CURVA!$B$8:$F$30,5,0),"")</f>
        <v/>
      </c>
      <c r="L511" s="45">
        <f t="shared" si="46"/>
        <v>7.7777777777777779E-2</v>
      </c>
      <c r="M511" s="46">
        <f>interpola(E511-$E$4,CURVA!$H$6:$H$20,CURVA!$G$6:$G$20)</f>
        <v>0.02</v>
      </c>
      <c r="N511" s="47">
        <f t="shared" si="47"/>
        <v>0.45799872034019867</v>
      </c>
      <c r="O511" s="49" t="str">
        <f>IF(K511="","",SUMPRODUCT($J$10:J511,$L$10:L511,$N$10:N511)*$E$5)</f>
        <v/>
      </c>
      <c r="P511" s="49" t="str">
        <f>IF(K511="","",SUMPRODUCT($L$10:L511,$N$10:N511)*$K511*$E$5)</f>
        <v/>
      </c>
    </row>
    <row r="512" spans="1:16" x14ac:dyDescent="0.2">
      <c r="A512" s="41">
        <f t="shared" si="49"/>
        <v>14084</v>
      </c>
      <c r="B512" s="41" t="s">
        <v>152</v>
      </c>
      <c r="C512" s="41">
        <v>503</v>
      </c>
      <c r="D512" s="15">
        <f t="shared" si="48"/>
        <v>56718</v>
      </c>
      <c r="E512" s="42">
        <f t="shared" si="50"/>
        <v>56746</v>
      </c>
      <c r="F512" s="42"/>
      <c r="G512" s="42"/>
      <c r="H512" s="50"/>
      <c r="I512" s="43">
        <f t="shared" si="45"/>
        <v>56746</v>
      </c>
      <c r="J512" s="44">
        <f>forward($E$4,D512,E512,CURVA!$H$6:H522,CURVA!$G$6:G522)</f>
        <v>2.0015563624537411E-2</v>
      </c>
      <c r="K512" s="44" t="str">
        <f>IFERROR(VLOOKUP(A512,CURVA!$B$8:$F$30,5,0),"")</f>
        <v/>
      </c>
      <c r="L512" s="45">
        <f t="shared" si="46"/>
        <v>7.7777777777777779E-2</v>
      </c>
      <c r="M512" s="46">
        <f>interpola(E512-$E$4,CURVA!$H$6:$H$20,CURVA!$G$6:$G$20)</f>
        <v>0.02</v>
      </c>
      <c r="N512" s="47">
        <f t="shared" si="47"/>
        <v>0.4572868317210339</v>
      </c>
      <c r="O512" s="49" t="str">
        <f>IF(K512="","",SUMPRODUCT($J$10:J512,$L$10:L512,$N$10:N512)*$E$5)</f>
        <v/>
      </c>
      <c r="P512" s="49" t="str">
        <f>IF(K512="","",SUMPRODUCT($L$10:L512,$N$10:N512)*$K512*$E$5)</f>
        <v/>
      </c>
    </row>
    <row r="513" spans="1:16" x14ac:dyDescent="0.2">
      <c r="A513" s="41">
        <f t="shared" si="49"/>
        <v>14112</v>
      </c>
      <c r="B513" s="41" t="s">
        <v>153</v>
      </c>
      <c r="C513" s="41">
        <v>504</v>
      </c>
      <c r="D513" s="15">
        <f t="shared" si="48"/>
        <v>56746</v>
      </c>
      <c r="E513" s="42">
        <f t="shared" si="50"/>
        <v>56774</v>
      </c>
      <c r="F513" s="42"/>
      <c r="G513" s="42"/>
      <c r="H513" s="50"/>
      <c r="I513" s="43">
        <f t="shared" si="45"/>
        <v>56774</v>
      </c>
      <c r="J513" s="44">
        <f>forward($E$4,D513,E513,CURVA!$H$6:H523,CURVA!$G$6:G523)</f>
        <v>2.0015563624537411E-2</v>
      </c>
      <c r="K513" s="44" t="str">
        <f>IFERROR(VLOOKUP(A513,CURVA!$B$8:$F$30,5,0),"")</f>
        <v/>
      </c>
      <c r="L513" s="45">
        <f t="shared" si="46"/>
        <v>7.7777777777777779E-2</v>
      </c>
      <c r="M513" s="46">
        <f>interpola(E513-$E$4,CURVA!$H$6:$H$20,CURVA!$G$6:$G$20)</f>
        <v>0.02</v>
      </c>
      <c r="N513" s="47">
        <f t="shared" si="47"/>
        <v>0.45657604962331472</v>
      </c>
      <c r="O513" s="49" t="str">
        <f>IF(K513="","",SUMPRODUCT($J$10:J513,$L$10:L513,$N$10:N513)*$E$5)</f>
        <v/>
      </c>
      <c r="P513" s="49" t="str">
        <f>IF(K513="","",SUMPRODUCT($L$10:L513,$N$10:N513)*$K513*$E$5)</f>
        <v/>
      </c>
    </row>
    <row r="514" spans="1:16" x14ac:dyDescent="0.2">
      <c r="A514" s="41">
        <f t="shared" si="49"/>
        <v>14140</v>
      </c>
      <c r="B514" s="41" t="s">
        <v>154</v>
      </c>
      <c r="C514" s="41">
        <v>505</v>
      </c>
      <c r="D514" s="15">
        <f t="shared" si="48"/>
        <v>56774</v>
      </c>
      <c r="E514" s="42">
        <f t="shared" si="50"/>
        <v>56802</v>
      </c>
      <c r="F514" s="42"/>
      <c r="G514" s="42"/>
      <c r="H514" s="50"/>
      <c r="I514" s="43">
        <f t="shared" si="45"/>
        <v>56802</v>
      </c>
      <c r="J514" s="44">
        <f>forward($E$4,D514,E514,CURVA!$H$6:H524,CURVA!$G$6:G524)</f>
        <v>2.0015563624537411E-2</v>
      </c>
      <c r="K514" s="44" t="str">
        <f>IFERROR(VLOOKUP(A514,CURVA!$B$8:$F$30,5,0),"")</f>
        <v/>
      </c>
      <c r="L514" s="45">
        <f t="shared" si="46"/>
        <v>7.7777777777777779E-2</v>
      </c>
      <c r="M514" s="46">
        <f>interpola(E514-$E$4,CURVA!$H$6:$H$20,CURVA!$G$6:$G$20)</f>
        <v>0.02</v>
      </c>
      <c r="N514" s="47">
        <f t="shared" si="47"/>
        <v>0.45586637232712357</v>
      </c>
      <c r="O514" s="49" t="str">
        <f>IF(K514="","",SUMPRODUCT($J$10:J514,$L$10:L514,$N$10:N514)*$E$5)</f>
        <v/>
      </c>
      <c r="P514" s="49" t="str">
        <f>IF(K514="","",SUMPRODUCT($L$10:L514,$N$10:N514)*$K514*$E$5)</f>
        <v/>
      </c>
    </row>
    <row r="515" spans="1:16" x14ac:dyDescent="0.2">
      <c r="A515" s="41">
        <f t="shared" si="49"/>
        <v>14168</v>
      </c>
      <c r="B515" s="41" t="s">
        <v>155</v>
      </c>
      <c r="C515" s="41">
        <v>506</v>
      </c>
      <c r="D515" s="15">
        <f t="shared" si="48"/>
        <v>56802</v>
      </c>
      <c r="E515" s="42">
        <f t="shared" si="50"/>
        <v>56830</v>
      </c>
      <c r="F515" s="42"/>
      <c r="G515" s="42"/>
      <c r="H515" s="50"/>
      <c r="I515" s="43">
        <f t="shared" si="45"/>
        <v>56830</v>
      </c>
      <c r="J515" s="44">
        <f>forward($E$4,D515,E515,CURVA!$H$6:H525,CURVA!$G$6:G525)</f>
        <v>2.0015563624537411E-2</v>
      </c>
      <c r="K515" s="44" t="str">
        <f>IFERROR(VLOOKUP(A515,CURVA!$B$8:$F$30,5,0),"")</f>
        <v/>
      </c>
      <c r="L515" s="45">
        <f t="shared" si="46"/>
        <v>7.7777777777777779E-2</v>
      </c>
      <c r="M515" s="46">
        <f>interpola(E515-$E$4,CURVA!$H$6:$H$20,CURVA!$G$6:$G$20)</f>
        <v>0.02</v>
      </c>
      <c r="N515" s="47">
        <f t="shared" si="47"/>
        <v>0.45515779811521634</v>
      </c>
      <c r="O515" s="49" t="str">
        <f>IF(K515="","",SUMPRODUCT($J$10:J515,$L$10:L515,$N$10:N515)*$E$5)</f>
        <v/>
      </c>
      <c r="P515" s="49" t="str">
        <f>IF(K515="","",SUMPRODUCT($L$10:L515,$N$10:N515)*$K515*$E$5)</f>
        <v/>
      </c>
    </row>
    <row r="516" spans="1:16" x14ac:dyDescent="0.2">
      <c r="A516" s="41">
        <f t="shared" si="49"/>
        <v>14196</v>
      </c>
      <c r="B516" s="41" t="s">
        <v>156</v>
      </c>
      <c r="C516" s="41">
        <v>507</v>
      </c>
      <c r="D516" s="15">
        <f t="shared" si="48"/>
        <v>56830</v>
      </c>
      <c r="E516" s="42">
        <f t="shared" si="50"/>
        <v>56858</v>
      </c>
      <c r="F516" s="42"/>
      <c r="G516" s="42"/>
      <c r="H516" s="50"/>
      <c r="I516" s="43">
        <f t="shared" si="45"/>
        <v>56858</v>
      </c>
      <c r="J516" s="44">
        <f>forward($E$4,D516,E516,CURVA!$H$6:H526,CURVA!$G$6:G526)</f>
        <v>2.0015563624537411E-2</v>
      </c>
      <c r="K516" s="44" t="str">
        <f>IFERROR(VLOOKUP(A516,CURVA!$B$8:$F$30,5,0),"")</f>
        <v/>
      </c>
      <c r="L516" s="45">
        <f t="shared" si="46"/>
        <v>7.7777777777777779E-2</v>
      </c>
      <c r="M516" s="46">
        <f>interpola(E516-$E$4,CURVA!$H$6:$H$20,CURVA!$G$6:$G$20)</f>
        <v>0.02</v>
      </c>
      <c r="N516" s="47">
        <f t="shared" si="47"/>
        <v>0.45445032527301787</v>
      </c>
      <c r="O516" s="49" t="str">
        <f>IF(K516="","",SUMPRODUCT($J$10:J516,$L$10:L516,$N$10:N516)*$E$5)</f>
        <v/>
      </c>
      <c r="P516" s="49" t="str">
        <f>IF(K516="","",SUMPRODUCT($L$10:L516,$N$10:N516)*$K516*$E$5)</f>
        <v/>
      </c>
    </row>
    <row r="517" spans="1:16" x14ac:dyDescent="0.2">
      <c r="A517" s="41">
        <f t="shared" si="49"/>
        <v>14224</v>
      </c>
      <c r="B517" s="41" t="s">
        <v>157</v>
      </c>
      <c r="C517" s="41">
        <v>508</v>
      </c>
      <c r="D517" s="15">
        <f t="shared" si="48"/>
        <v>56858</v>
      </c>
      <c r="E517" s="42">
        <f t="shared" si="50"/>
        <v>56886</v>
      </c>
      <c r="F517" s="42"/>
      <c r="G517" s="42"/>
      <c r="H517" s="50"/>
      <c r="I517" s="43">
        <f t="shared" si="45"/>
        <v>56886</v>
      </c>
      <c r="J517" s="44">
        <f>forward($E$4,D517,E517,CURVA!$H$6:H527,CURVA!$G$6:G527)</f>
        <v>2.0015563624537411E-2</v>
      </c>
      <c r="K517" s="44" t="str">
        <f>IFERROR(VLOOKUP(A517,CURVA!$B$8:$F$30,5,0),"")</f>
        <v/>
      </c>
      <c r="L517" s="45">
        <f t="shared" si="46"/>
        <v>7.7777777777777779E-2</v>
      </c>
      <c r="M517" s="46">
        <f>interpola(E517-$E$4,CURVA!$H$6:$H$20,CURVA!$G$6:$G$20)</f>
        <v>0.02</v>
      </c>
      <c r="N517" s="47">
        <f t="shared" si="47"/>
        <v>0.45374395208861845</v>
      </c>
      <c r="O517" s="49" t="str">
        <f>IF(K517="","",SUMPRODUCT($J$10:J517,$L$10:L517,$N$10:N517)*$E$5)</f>
        <v/>
      </c>
      <c r="P517" s="49" t="str">
        <f>IF(K517="","",SUMPRODUCT($L$10:L517,$N$10:N517)*$K517*$E$5)</f>
        <v/>
      </c>
    </row>
    <row r="518" spans="1:16" x14ac:dyDescent="0.2">
      <c r="A518" s="41">
        <f t="shared" si="49"/>
        <v>14252</v>
      </c>
      <c r="B518" s="41" t="s">
        <v>158</v>
      </c>
      <c r="C518" s="41">
        <v>509</v>
      </c>
      <c r="D518" s="15">
        <f t="shared" si="48"/>
        <v>56886</v>
      </c>
      <c r="E518" s="42">
        <f t="shared" si="50"/>
        <v>56914</v>
      </c>
      <c r="F518" s="42"/>
      <c r="G518" s="42"/>
      <c r="H518" s="50"/>
      <c r="I518" s="43">
        <f t="shared" si="45"/>
        <v>56914</v>
      </c>
      <c r="J518" s="44">
        <f>forward($E$4,D518,E518,CURVA!$H$6:H528,CURVA!$G$6:G528)</f>
        <v>2.0015563624537411E-2</v>
      </c>
      <c r="K518" s="44" t="str">
        <f>IFERROR(VLOOKUP(A518,CURVA!$B$8:$F$30,5,0),"")</f>
        <v/>
      </c>
      <c r="L518" s="45">
        <f t="shared" si="46"/>
        <v>7.7777777777777779E-2</v>
      </c>
      <c r="M518" s="46">
        <f>interpola(E518-$E$4,CURVA!$H$6:$H$20,CURVA!$G$6:$G$20)</f>
        <v>0.02</v>
      </c>
      <c r="N518" s="47">
        <f t="shared" si="47"/>
        <v>0.45303867685276894</v>
      </c>
      <c r="O518" s="49" t="str">
        <f>IF(K518="","",SUMPRODUCT($J$10:J518,$L$10:L518,$N$10:N518)*$E$5)</f>
        <v/>
      </c>
      <c r="P518" s="49" t="str">
        <f>IF(K518="","",SUMPRODUCT($L$10:L518,$N$10:N518)*$K518*$E$5)</f>
        <v/>
      </c>
    </row>
    <row r="519" spans="1:16" x14ac:dyDescent="0.2">
      <c r="A519" s="41">
        <f t="shared" si="49"/>
        <v>14280</v>
      </c>
      <c r="B519" s="41" t="s">
        <v>159</v>
      </c>
      <c r="C519" s="41">
        <v>510</v>
      </c>
      <c r="D519" s="15">
        <f t="shared" si="48"/>
        <v>56914</v>
      </c>
      <c r="E519" s="42">
        <f t="shared" si="50"/>
        <v>56942</v>
      </c>
      <c r="F519" s="42"/>
      <c r="G519" s="42"/>
      <c r="H519" s="50"/>
      <c r="I519" s="43">
        <f t="shared" si="45"/>
        <v>56942</v>
      </c>
      <c r="J519" s="44">
        <f>forward($E$4,D519,E519,CURVA!$H$6:H529,CURVA!$G$6:G529)</f>
        <v>2.0015563624537411E-2</v>
      </c>
      <c r="K519" s="44" t="str">
        <f>IFERROR(VLOOKUP(A519,CURVA!$B$8:$F$30,5,0),"")</f>
        <v/>
      </c>
      <c r="L519" s="45">
        <f t="shared" si="46"/>
        <v>7.7777777777777779E-2</v>
      </c>
      <c r="M519" s="46">
        <f>interpola(E519-$E$4,CURVA!$H$6:$H$20,CURVA!$G$6:$G$20)</f>
        <v>0.02</v>
      </c>
      <c r="N519" s="47">
        <f t="shared" si="47"/>
        <v>0.45233449785887697</v>
      </c>
      <c r="O519" s="49" t="str">
        <f>IF(K519="","",SUMPRODUCT($J$10:J519,$L$10:L519,$N$10:N519)*$E$5)</f>
        <v/>
      </c>
      <c r="P519" s="49" t="str">
        <f>IF(K519="","",SUMPRODUCT($L$10:L519,$N$10:N519)*$K519*$E$5)</f>
        <v/>
      </c>
    </row>
    <row r="520" spans="1:16" x14ac:dyDescent="0.2">
      <c r="A520" s="41">
        <f t="shared" si="49"/>
        <v>14308</v>
      </c>
      <c r="B520" s="41" t="s">
        <v>160</v>
      </c>
      <c r="C520" s="41">
        <v>511</v>
      </c>
      <c r="D520" s="15">
        <f t="shared" si="48"/>
        <v>56942</v>
      </c>
      <c r="E520" s="42">
        <f t="shared" si="50"/>
        <v>56970</v>
      </c>
      <c r="F520" s="42"/>
      <c r="G520" s="42"/>
      <c r="H520" s="50"/>
      <c r="I520" s="43">
        <f t="shared" si="45"/>
        <v>56970</v>
      </c>
      <c r="J520" s="44">
        <f>forward($E$4,D520,E520,CURVA!$H$6:H530,CURVA!$G$6:G530)</f>
        <v>2.0015563624537411E-2</v>
      </c>
      <c r="K520" s="44" t="str">
        <f>IFERROR(VLOOKUP(A520,CURVA!$B$8:$F$30,5,0),"")</f>
        <v/>
      </c>
      <c r="L520" s="45">
        <f t="shared" si="46"/>
        <v>7.7777777777777779E-2</v>
      </c>
      <c r="M520" s="46">
        <f>interpola(E520-$E$4,CURVA!$H$6:$H$20,CURVA!$G$6:$G$20)</f>
        <v>0.02</v>
      </c>
      <c r="N520" s="47">
        <f t="shared" si="47"/>
        <v>0.45163141340300311</v>
      </c>
      <c r="O520" s="49" t="str">
        <f>IF(K520="","",SUMPRODUCT($J$10:J520,$L$10:L520,$N$10:N520)*$E$5)</f>
        <v/>
      </c>
      <c r="P520" s="49" t="str">
        <f>IF(K520="","",SUMPRODUCT($L$10:L520,$N$10:N520)*$K520*$E$5)</f>
        <v/>
      </c>
    </row>
    <row r="521" spans="1:16" x14ac:dyDescent="0.2">
      <c r="A521" s="41">
        <f t="shared" si="49"/>
        <v>14336</v>
      </c>
      <c r="B521" s="41" t="s">
        <v>161</v>
      </c>
      <c r="C521" s="41">
        <v>512</v>
      </c>
      <c r="D521" s="15">
        <f t="shared" si="48"/>
        <v>56970</v>
      </c>
      <c r="E521" s="42">
        <f t="shared" si="50"/>
        <v>56998</v>
      </c>
      <c r="F521" s="42"/>
      <c r="G521" s="42"/>
      <c r="H521" s="50"/>
      <c r="I521" s="43">
        <f t="shared" si="45"/>
        <v>56998</v>
      </c>
      <c r="J521" s="44">
        <f>forward($E$4,D521,E521,CURVA!$H$6:H531,CURVA!$G$6:G531)</f>
        <v>2.0015563624537411E-2</v>
      </c>
      <c r="K521" s="44" t="str">
        <f>IFERROR(VLOOKUP(A521,CURVA!$B$8:$F$30,5,0),"")</f>
        <v/>
      </c>
      <c r="L521" s="45">
        <f t="shared" si="46"/>
        <v>7.7777777777777779E-2</v>
      </c>
      <c r="M521" s="46">
        <f>interpola(E521-$E$4,CURVA!$H$6:$H$20,CURVA!$G$6:$G$20)</f>
        <v>0.02</v>
      </c>
      <c r="N521" s="47">
        <f t="shared" si="47"/>
        <v>0.45092942178385609</v>
      </c>
      <c r="O521" s="49" t="str">
        <f>IF(K521="","",SUMPRODUCT($J$10:J521,$L$10:L521,$N$10:N521)*$E$5)</f>
        <v/>
      </c>
      <c r="P521" s="49" t="str">
        <f>IF(K521="","",SUMPRODUCT($L$10:L521,$N$10:N521)*$K521*$E$5)</f>
        <v/>
      </c>
    </row>
    <row r="522" spans="1:16" x14ac:dyDescent="0.2">
      <c r="A522" s="41">
        <f t="shared" si="49"/>
        <v>14364</v>
      </c>
      <c r="B522" s="41" t="s">
        <v>162</v>
      </c>
      <c r="C522" s="41">
        <v>513</v>
      </c>
      <c r="D522" s="15">
        <f t="shared" si="48"/>
        <v>56998</v>
      </c>
      <c r="E522" s="42">
        <f t="shared" si="50"/>
        <v>57026</v>
      </c>
      <c r="F522" s="42"/>
      <c r="G522" s="42"/>
      <c r="H522" s="50"/>
      <c r="I522" s="43">
        <f t="shared" ref="I522:I585" si="51">E522</f>
        <v>57026</v>
      </c>
      <c r="J522" s="44">
        <f>forward($E$4,D522,E522,CURVA!$H$6:H532,CURVA!$G$6:G532)</f>
        <v>2.0015563624537411E-2</v>
      </c>
      <c r="K522" s="44" t="str">
        <f>IFERROR(VLOOKUP(A522,CURVA!$B$8:$F$30,5,0),"")</f>
        <v/>
      </c>
      <c r="L522" s="45">
        <f t="shared" si="46"/>
        <v>7.7777777777777779E-2</v>
      </c>
      <c r="M522" s="46">
        <f>interpola(E522-$E$4,CURVA!$H$6:$H$20,CURVA!$G$6:$G$20)</f>
        <v>0.02</v>
      </c>
      <c r="N522" s="47">
        <f t="shared" si="47"/>
        <v>0.45022852130278923</v>
      </c>
      <c r="O522" s="49" t="str">
        <f>IF(K522="","",SUMPRODUCT($J$10:J522,$L$10:L522,$N$10:N522)*$E$5)</f>
        <v/>
      </c>
      <c r="P522" s="49" t="str">
        <f>IF(K522="","",SUMPRODUCT($L$10:L522,$N$10:N522)*$K522*$E$5)</f>
        <v/>
      </c>
    </row>
    <row r="523" spans="1:16" x14ac:dyDescent="0.2">
      <c r="A523" s="41">
        <f t="shared" si="49"/>
        <v>14392</v>
      </c>
      <c r="B523" s="41" t="s">
        <v>163</v>
      </c>
      <c r="C523" s="41">
        <v>514</v>
      </c>
      <c r="D523" s="15">
        <f t="shared" si="48"/>
        <v>57026</v>
      </c>
      <c r="E523" s="42">
        <f t="shared" si="50"/>
        <v>57054</v>
      </c>
      <c r="F523" s="42"/>
      <c r="G523" s="42"/>
      <c r="H523" s="50"/>
      <c r="I523" s="43">
        <f t="shared" si="51"/>
        <v>57054</v>
      </c>
      <c r="J523" s="44">
        <f>forward($E$4,D523,E523,CURVA!$H$6:H533,CURVA!$G$6:G533)</f>
        <v>2.0015563624534556E-2</v>
      </c>
      <c r="K523" s="44" t="str">
        <f>IFERROR(VLOOKUP(A523,CURVA!$B$8:$F$30,5,0),"")</f>
        <v/>
      </c>
      <c r="L523" s="45">
        <f t="shared" ref="L523:L586" si="52">(E523-D523)/360</f>
        <v>7.7777777777777779E-2</v>
      </c>
      <c r="M523" s="46">
        <f>interpola(E523-$E$4,CURVA!$H$6:$H$20,CURVA!$G$6:$G$20)</f>
        <v>0.02</v>
      </c>
      <c r="N523" s="47">
        <f t="shared" ref="N523:N586" si="53">EXP(-M523*(E523-$E$4)/360)</f>
        <v>0.44952871026379598</v>
      </c>
      <c r="O523" s="49" t="str">
        <f>IF(K523="","",SUMPRODUCT($J$10:J523,$L$10:L523,$N$10:N523)*$E$5)</f>
        <v/>
      </c>
      <c r="P523" s="49" t="str">
        <f>IF(K523="","",SUMPRODUCT($L$10:L523,$N$10:N523)*$K523*$E$5)</f>
        <v/>
      </c>
    </row>
    <row r="524" spans="1:16" x14ac:dyDescent="0.2">
      <c r="A524" s="41">
        <f t="shared" si="49"/>
        <v>14420</v>
      </c>
      <c r="B524" s="41" t="s">
        <v>164</v>
      </c>
      <c r="C524" s="41">
        <v>515</v>
      </c>
      <c r="D524" s="15">
        <f t="shared" si="48"/>
        <v>57054</v>
      </c>
      <c r="E524" s="42">
        <f t="shared" si="50"/>
        <v>57082</v>
      </c>
      <c r="F524" s="42"/>
      <c r="G524" s="42"/>
      <c r="H524" s="50"/>
      <c r="I524" s="43">
        <f t="shared" si="51"/>
        <v>57082</v>
      </c>
      <c r="J524" s="44">
        <f>forward($E$4,D524,E524,CURVA!$H$6:H534,CURVA!$G$6:G534)</f>
        <v>2.0015563624537411E-2</v>
      </c>
      <c r="K524" s="44" t="str">
        <f>IFERROR(VLOOKUP(A524,CURVA!$B$8:$F$30,5,0),"")</f>
        <v/>
      </c>
      <c r="L524" s="45">
        <f t="shared" si="52"/>
        <v>7.7777777777777779E-2</v>
      </c>
      <c r="M524" s="46">
        <f>interpola(E524-$E$4,CURVA!$H$6:$H$20,CURVA!$G$6:$G$20)</f>
        <v>0.02</v>
      </c>
      <c r="N524" s="47">
        <f t="shared" si="53"/>
        <v>0.44882998697350623</v>
      </c>
      <c r="O524" s="49" t="str">
        <f>IF(K524="","",SUMPRODUCT($J$10:J524,$L$10:L524,$N$10:N524)*$E$5)</f>
        <v/>
      </c>
      <c r="P524" s="49" t="str">
        <f>IF(K524="","",SUMPRODUCT($L$10:L524,$N$10:N524)*$K524*$E$5)</f>
        <v/>
      </c>
    </row>
    <row r="525" spans="1:16" x14ac:dyDescent="0.2">
      <c r="A525" s="41">
        <f t="shared" si="49"/>
        <v>14448</v>
      </c>
      <c r="B525" s="41" t="s">
        <v>165</v>
      </c>
      <c r="C525" s="41">
        <v>516</v>
      </c>
      <c r="D525" s="15">
        <f t="shared" si="48"/>
        <v>57082</v>
      </c>
      <c r="E525" s="42">
        <f t="shared" si="50"/>
        <v>57110</v>
      </c>
      <c r="F525" s="42"/>
      <c r="G525" s="42"/>
      <c r="H525" s="50"/>
      <c r="I525" s="43">
        <f t="shared" si="51"/>
        <v>57110</v>
      </c>
      <c r="J525" s="44">
        <f>forward($E$4,D525,E525,CURVA!$H$6:H535,CURVA!$G$6:G535)</f>
        <v>2.0015563624537411E-2</v>
      </c>
      <c r="K525" s="44" t="str">
        <f>IFERROR(VLOOKUP(A525,CURVA!$B$8:$F$30,5,0),"")</f>
        <v/>
      </c>
      <c r="L525" s="45">
        <f t="shared" si="52"/>
        <v>7.7777777777777779E-2</v>
      </c>
      <c r="M525" s="46">
        <f>interpola(E525-$E$4,CURVA!$H$6:$H$20,CURVA!$G$6:$G$20)</f>
        <v>0.02</v>
      </c>
      <c r="N525" s="47">
        <f t="shared" si="53"/>
        <v>0.44813234974118182</v>
      </c>
      <c r="O525" s="49" t="str">
        <f>IF(K525="","",SUMPRODUCT($J$10:J525,$L$10:L525,$N$10:N525)*$E$5)</f>
        <v/>
      </c>
      <c r="P525" s="49" t="str">
        <f>IF(K525="","",SUMPRODUCT($L$10:L525,$N$10:N525)*$K525*$E$5)</f>
        <v/>
      </c>
    </row>
    <row r="526" spans="1:16" x14ac:dyDescent="0.2">
      <c r="A526" s="41">
        <f t="shared" si="49"/>
        <v>14476</v>
      </c>
      <c r="B526" s="41" t="s">
        <v>166</v>
      </c>
      <c r="C526" s="41">
        <v>517</v>
      </c>
      <c r="D526" s="15">
        <f t="shared" si="48"/>
        <v>57110</v>
      </c>
      <c r="E526" s="42">
        <f t="shared" si="50"/>
        <v>57138</v>
      </c>
      <c r="F526" s="42"/>
      <c r="G526" s="42"/>
      <c r="H526" s="50"/>
      <c r="I526" s="43">
        <f t="shared" si="51"/>
        <v>57138</v>
      </c>
      <c r="J526" s="44">
        <f>forward($E$4,D526,E526,CURVA!$H$6:H536,CURVA!$G$6:G536)</f>
        <v>2.0015563624537411E-2</v>
      </c>
      <c r="K526" s="44" t="str">
        <f>IFERROR(VLOOKUP(A526,CURVA!$B$8:$F$30,5,0),"")</f>
        <v/>
      </c>
      <c r="L526" s="45">
        <f t="shared" si="52"/>
        <v>7.7777777777777779E-2</v>
      </c>
      <c r="M526" s="46">
        <f>interpola(E526-$E$4,CURVA!$H$6:$H$20,CURVA!$G$6:$G$20)</f>
        <v>0.02</v>
      </c>
      <c r="N526" s="47">
        <f t="shared" si="53"/>
        <v>0.44743579687871238</v>
      </c>
      <c r="O526" s="49" t="str">
        <f>IF(K526="","",SUMPRODUCT($J$10:J526,$L$10:L526,$N$10:N526)*$E$5)</f>
        <v/>
      </c>
      <c r="P526" s="49" t="str">
        <f>IF(K526="","",SUMPRODUCT($L$10:L526,$N$10:N526)*$K526*$E$5)</f>
        <v/>
      </c>
    </row>
    <row r="527" spans="1:16" x14ac:dyDescent="0.2">
      <c r="A527" s="41">
        <f t="shared" si="49"/>
        <v>14504</v>
      </c>
      <c r="B527" s="41" t="s">
        <v>167</v>
      </c>
      <c r="C527" s="41">
        <v>518</v>
      </c>
      <c r="D527" s="15">
        <f t="shared" si="48"/>
        <v>57138</v>
      </c>
      <c r="E527" s="42">
        <f t="shared" si="50"/>
        <v>57166</v>
      </c>
      <c r="F527" s="42"/>
      <c r="G527" s="42"/>
      <c r="H527" s="50"/>
      <c r="I527" s="43">
        <f t="shared" si="51"/>
        <v>57166</v>
      </c>
      <c r="J527" s="44">
        <f>forward($E$4,D527,E527,CURVA!$H$6:H537,CURVA!$G$6:G537)</f>
        <v>2.0015563624537411E-2</v>
      </c>
      <c r="K527" s="44" t="str">
        <f>IFERROR(VLOOKUP(A527,CURVA!$B$8:$F$30,5,0),"")</f>
        <v/>
      </c>
      <c r="L527" s="45">
        <f t="shared" si="52"/>
        <v>7.7777777777777779E-2</v>
      </c>
      <c r="M527" s="46">
        <f>interpola(E527-$E$4,CURVA!$H$6:$H$20,CURVA!$G$6:$G$20)</f>
        <v>0.02</v>
      </c>
      <c r="N527" s="47">
        <f t="shared" si="53"/>
        <v>0.44674032670061176</v>
      </c>
      <c r="O527" s="49" t="str">
        <f>IF(K527="","",SUMPRODUCT($J$10:J527,$L$10:L527,$N$10:N527)*$E$5)</f>
        <v/>
      </c>
      <c r="P527" s="49" t="str">
        <f>IF(K527="","",SUMPRODUCT($L$10:L527,$N$10:N527)*$K527*$E$5)</f>
        <v/>
      </c>
    </row>
    <row r="528" spans="1:16" x14ac:dyDescent="0.2">
      <c r="A528" s="41">
        <f t="shared" si="49"/>
        <v>14532</v>
      </c>
      <c r="B528" s="41" t="s">
        <v>168</v>
      </c>
      <c r="C528" s="41">
        <v>519</v>
      </c>
      <c r="D528" s="15">
        <f t="shared" ref="D528:D591" si="54">E527</f>
        <v>57166</v>
      </c>
      <c r="E528" s="42">
        <f t="shared" si="50"/>
        <v>57194</v>
      </c>
      <c r="F528" s="42"/>
      <c r="G528" s="42"/>
      <c r="H528" s="50"/>
      <c r="I528" s="43">
        <f t="shared" si="51"/>
        <v>57194</v>
      </c>
      <c r="J528" s="44">
        <f>forward($E$4,D528,E528,CURVA!$H$6:H538,CURVA!$G$6:G538)</f>
        <v>2.0015563624537411E-2</v>
      </c>
      <c r="K528" s="44" t="str">
        <f>IFERROR(VLOOKUP(A528,CURVA!$B$8:$F$30,5,0),"")</f>
        <v/>
      </c>
      <c r="L528" s="45">
        <f t="shared" si="52"/>
        <v>7.7777777777777779E-2</v>
      </c>
      <c r="M528" s="46">
        <f>interpola(E528-$E$4,CURVA!$H$6:$H$20,CURVA!$G$6:$G$20)</f>
        <v>0.02</v>
      </c>
      <c r="N528" s="47">
        <f t="shared" si="53"/>
        <v>0.44604593752401339</v>
      </c>
      <c r="O528" s="49" t="str">
        <f>IF(K528="","",SUMPRODUCT($J$10:J528,$L$10:L528,$N$10:N528)*$E$5)</f>
        <v/>
      </c>
      <c r="P528" s="49" t="str">
        <f>IF(K528="","",SUMPRODUCT($L$10:L528,$N$10:N528)*$K528*$E$5)</f>
        <v/>
      </c>
    </row>
    <row r="529" spans="1:16" x14ac:dyDescent="0.2">
      <c r="A529" s="41">
        <f t="shared" si="49"/>
        <v>14560</v>
      </c>
      <c r="B529" s="41" t="s">
        <v>169</v>
      </c>
      <c r="C529" s="41">
        <v>520</v>
      </c>
      <c r="D529" s="15">
        <f t="shared" si="54"/>
        <v>57194</v>
      </c>
      <c r="E529" s="42">
        <f t="shared" si="50"/>
        <v>57222</v>
      </c>
      <c r="F529" s="42"/>
      <c r="G529" s="42"/>
      <c r="H529" s="50"/>
      <c r="I529" s="43">
        <f t="shared" si="51"/>
        <v>57222</v>
      </c>
      <c r="J529" s="44">
        <f>forward($E$4,D529,E529,CURVA!$H$6:H539,CURVA!$G$6:G539)</f>
        <v>2.0015563624537411E-2</v>
      </c>
      <c r="K529" s="44" t="str">
        <f>IFERROR(VLOOKUP(A529,CURVA!$B$8:$F$30,5,0),"")</f>
        <v/>
      </c>
      <c r="L529" s="45">
        <f t="shared" si="52"/>
        <v>7.7777777777777779E-2</v>
      </c>
      <c r="M529" s="46">
        <f>interpola(E529-$E$4,CURVA!$H$6:$H$20,CURVA!$G$6:$G$20)</f>
        <v>0.02</v>
      </c>
      <c r="N529" s="47">
        <f t="shared" si="53"/>
        <v>0.44535262766866679</v>
      </c>
      <c r="O529" s="49" t="str">
        <f>IF(K529="","",SUMPRODUCT($J$10:J529,$L$10:L529,$N$10:N529)*$E$5)</f>
        <v/>
      </c>
      <c r="P529" s="49" t="str">
        <f>IF(K529="","",SUMPRODUCT($L$10:L529,$N$10:N529)*$K529*$E$5)</f>
        <v/>
      </c>
    </row>
    <row r="530" spans="1:16" x14ac:dyDescent="0.2">
      <c r="A530" s="41">
        <f t="shared" si="49"/>
        <v>14588</v>
      </c>
      <c r="B530" s="41" t="s">
        <v>170</v>
      </c>
      <c r="C530" s="41">
        <v>521</v>
      </c>
      <c r="D530" s="15">
        <f t="shared" si="54"/>
        <v>57222</v>
      </c>
      <c r="E530" s="42">
        <f t="shared" si="50"/>
        <v>57250</v>
      </c>
      <c r="F530" s="42"/>
      <c r="G530" s="42"/>
      <c r="H530" s="50"/>
      <c r="I530" s="43">
        <f t="shared" si="51"/>
        <v>57250</v>
      </c>
      <c r="J530" s="44">
        <f>forward($E$4,D530,E530,CURVA!$H$6:H540,CURVA!$G$6:G540)</f>
        <v>2.0015563624537411E-2</v>
      </c>
      <c r="K530" s="44" t="str">
        <f>IFERROR(VLOOKUP(A530,CURVA!$B$8:$F$30,5,0),"")</f>
        <v/>
      </c>
      <c r="L530" s="45">
        <f t="shared" si="52"/>
        <v>7.7777777777777779E-2</v>
      </c>
      <c r="M530" s="46">
        <f>interpola(E530-$E$4,CURVA!$H$6:$H$20,CURVA!$G$6:$G$20)</f>
        <v>0.02</v>
      </c>
      <c r="N530" s="47">
        <f t="shared" si="53"/>
        <v>0.44466039545693281</v>
      </c>
      <c r="O530" s="49" t="str">
        <f>IF(K530="","",SUMPRODUCT($J$10:J530,$L$10:L530,$N$10:N530)*$E$5)</f>
        <v/>
      </c>
      <c r="P530" s="49" t="str">
        <f>IF(K530="","",SUMPRODUCT($L$10:L530,$N$10:N530)*$K530*$E$5)</f>
        <v/>
      </c>
    </row>
    <row r="531" spans="1:16" x14ac:dyDescent="0.2">
      <c r="A531" s="41">
        <f t="shared" si="49"/>
        <v>14616</v>
      </c>
      <c r="B531" s="41" t="s">
        <v>171</v>
      </c>
      <c r="C531" s="41">
        <v>522</v>
      </c>
      <c r="D531" s="15">
        <f t="shared" si="54"/>
        <v>57250</v>
      </c>
      <c r="E531" s="42">
        <f t="shared" si="50"/>
        <v>57278</v>
      </c>
      <c r="F531" s="42"/>
      <c r="G531" s="42"/>
      <c r="H531" s="50"/>
      <c r="I531" s="43">
        <f t="shared" si="51"/>
        <v>57278</v>
      </c>
      <c r="J531" s="44">
        <f>forward($E$4,D531,E531,CURVA!$H$6:H541,CURVA!$G$6:G541)</f>
        <v>2.0015563624537411E-2</v>
      </c>
      <c r="K531" s="44" t="str">
        <f>IFERROR(VLOOKUP(A531,CURVA!$B$8:$F$30,5,0),"")</f>
        <v/>
      </c>
      <c r="L531" s="45">
        <f t="shared" si="52"/>
        <v>7.7777777777777779E-2</v>
      </c>
      <c r="M531" s="46">
        <f>interpola(E531-$E$4,CURVA!$H$6:$H$20,CURVA!$G$6:$G$20)</f>
        <v>0.02</v>
      </c>
      <c r="N531" s="47">
        <f t="shared" si="53"/>
        <v>0.44396923921378006</v>
      </c>
      <c r="O531" s="49" t="str">
        <f>IF(K531="","",SUMPRODUCT($J$10:J531,$L$10:L531,$N$10:N531)*$E$5)</f>
        <v/>
      </c>
      <c r="P531" s="49" t="str">
        <f>IF(K531="","",SUMPRODUCT($L$10:L531,$N$10:N531)*$K531*$E$5)</f>
        <v/>
      </c>
    </row>
    <row r="532" spans="1:16" x14ac:dyDescent="0.2">
      <c r="A532" s="41">
        <f t="shared" si="49"/>
        <v>14644</v>
      </c>
      <c r="B532" s="41" t="s">
        <v>172</v>
      </c>
      <c r="C532" s="41">
        <v>523</v>
      </c>
      <c r="D532" s="15">
        <f t="shared" si="54"/>
        <v>57278</v>
      </c>
      <c r="E532" s="42">
        <f t="shared" si="50"/>
        <v>57306</v>
      </c>
      <c r="F532" s="42"/>
      <c r="G532" s="42"/>
      <c r="H532" s="50"/>
      <c r="I532" s="43">
        <f t="shared" si="51"/>
        <v>57306</v>
      </c>
      <c r="J532" s="44">
        <f>forward($E$4,D532,E532,CURVA!$H$6:H542,CURVA!$G$6:G542)</f>
        <v>2.0015563624537411E-2</v>
      </c>
      <c r="K532" s="44" t="str">
        <f>IFERROR(VLOOKUP(A532,CURVA!$B$8:$F$30,5,0),"")</f>
        <v/>
      </c>
      <c r="L532" s="45">
        <f t="shared" si="52"/>
        <v>7.7777777777777779E-2</v>
      </c>
      <c r="M532" s="46">
        <f>interpola(E532-$E$4,CURVA!$H$6:$H$20,CURVA!$G$6:$G$20)</f>
        <v>0.02</v>
      </c>
      <c r="N532" s="47">
        <f t="shared" si="53"/>
        <v>0.4432791572667808</v>
      </c>
      <c r="O532" s="49" t="str">
        <f>IF(K532="","",SUMPRODUCT($J$10:J532,$L$10:L532,$N$10:N532)*$E$5)</f>
        <v/>
      </c>
      <c r="P532" s="49" t="str">
        <f>IF(K532="","",SUMPRODUCT($L$10:L532,$N$10:N532)*$K532*$E$5)</f>
        <v/>
      </c>
    </row>
    <row r="533" spans="1:16" x14ac:dyDescent="0.2">
      <c r="A533" s="41">
        <f t="shared" si="49"/>
        <v>14672</v>
      </c>
      <c r="B533" s="41" t="s">
        <v>173</v>
      </c>
      <c r="C533" s="41">
        <v>524</v>
      </c>
      <c r="D533" s="15">
        <f t="shared" si="54"/>
        <v>57306</v>
      </c>
      <c r="E533" s="42">
        <f t="shared" si="50"/>
        <v>57334</v>
      </c>
      <c r="F533" s="42"/>
      <c r="G533" s="42"/>
      <c r="H533" s="50"/>
      <c r="I533" s="43">
        <f t="shared" si="51"/>
        <v>57334</v>
      </c>
      <c r="J533" s="44">
        <f>forward($E$4,D533,E533,CURVA!$H$6:H543,CURVA!$G$6:G543)</f>
        <v>2.0015563624537411E-2</v>
      </c>
      <c r="K533" s="44" t="str">
        <f>IFERROR(VLOOKUP(A533,CURVA!$B$8:$F$30,5,0),"")</f>
        <v/>
      </c>
      <c r="L533" s="45">
        <f t="shared" si="52"/>
        <v>7.7777777777777779E-2</v>
      </c>
      <c r="M533" s="46">
        <f>interpola(E533-$E$4,CURVA!$H$6:$H$20,CURVA!$G$6:$G$20)</f>
        <v>0.02</v>
      </c>
      <c r="N533" s="47">
        <f t="shared" si="53"/>
        <v>0.44259014794610685</v>
      </c>
      <c r="O533" s="49" t="str">
        <f>IF(K533="","",SUMPRODUCT($J$10:J533,$L$10:L533,$N$10:N533)*$E$5)</f>
        <v/>
      </c>
      <c r="P533" s="49" t="str">
        <f>IF(K533="","",SUMPRODUCT($L$10:L533,$N$10:N533)*$K533*$E$5)</f>
        <v/>
      </c>
    </row>
    <row r="534" spans="1:16" x14ac:dyDescent="0.2">
      <c r="A534" s="41">
        <f t="shared" si="49"/>
        <v>14700</v>
      </c>
      <c r="B534" s="41" t="s">
        <v>174</v>
      </c>
      <c r="C534" s="41">
        <v>525</v>
      </c>
      <c r="D534" s="15">
        <f t="shared" si="54"/>
        <v>57334</v>
      </c>
      <c r="E534" s="42">
        <f t="shared" si="50"/>
        <v>57362</v>
      </c>
      <c r="F534" s="42"/>
      <c r="G534" s="42"/>
      <c r="H534" s="50"/>
      <c r="I534" s="43">
        <f t="shared" si="51"/>
        <v>57362</v>
      </c>
      <c r="J534" s="44">
        <f>forward($E$4,D534,E534,CURVA!$H$6:H544,CURVA!$G$6:G544)</f>
        <v>2.0015563624537411E-2</v>
      </c>
      <c r="K534" s="44" t="str">
        <f>IFERROR(VLOOKUP(A534,CURVA!$B$8:$F$30,5,0),"")</f>
        <v/>
      </c>
      <c r="L534" s="45">
        <f t="shared" si="52"/>
        <v>7.7777777777777779E-2</v>
      </c>
      <c r="M534" s="46">
        <f>interpola(E534-$E$4,CURVA!$H$6:$H$20,CURVA!$G$6:$G$20)</f>
        <v>0.02</v>
      </c>
      <c r="N534" s="47">
        <f t="shared" si="53"/>
        <v>0.44190220958452531</v>
      </c>
      <c r="O534" s="49" t="str">
        <f>IF(K534="","",SUMPRODUCT($J$10:J534,$L$10:L534,$N$10:N534)*$E$5)</f>
        <v/>
      </c>
      <c r="P534" s="49" t="str">
        <f>IF(K534="","",SUMPRODUCT($L$10:L534,$N$10:N534)*$K534*$E$5)</f>
        <v/>
      </c>
    </row>
    <row r="535" spans="1:16" x14ac:dyDescent="0.2">
      <c r="A535" s="41">
        <f t="shared" si="49"/>
        <v>14728</v>
      </c>
      <c r="B535" s="41" t="s">
        <v>175</v>
      </c>
      <c r="C535" s="41">
        <v>526</v>
      </c>
      <c r="D535" s="15">
        <f t="shared" si="54"/>
        <v>57362</v>
      </c>
      <c r="E535" s="42">
        <f t="shared" si="50"/>
        <v>57390</v>
      </c>
      <c r="F535" s="42"/>
      <c r="G535" s="42"/>
      <c r="H535" s="50"/>
      <c r="I535" s="43">
        <f t="shared" si="51"/>
        <v>57390</v>
      </c>
      <c r="J535" s="44">
        <f>forward($E$4,D535,E535,CURVA!$H$6:H545,CURVA!$G$6:G545)</f>
        <v>2.0015563624537411E-2</v>
      </c>
      <c r="K535" s="44" t="str">
        <f>IFERROR(VLOOKUP(A535,CURVA!$B$8:$F$30,5,0),"")</f>
        <v/>
      </c>
      <c r="L535" s="45">
        <f t="shared" si="52"/>
        <v>7.7777777777777779E-2</v>
      </c>
      <c r="M535" s="46">
        <f>interpola(E535-$E$4,CURVA!$H$6:$H$20,CURVA!$G$6:$G$20)</f>
        <v>0.02</v>
      </c>
      <c r="N535" s="47">
        <f t="shared" si="53"/>
        <v>0.44121534051739497</v>
      </c>
      <c r="O535" s="49" t="str">
        <f>IF(K535="","",SUMPRODUCT($J$10:J535,$L$10:L535,$N$10:N535)*$E$5)</f>
        <v/>
      </c>
      <c r="P535" s="49" t="str">
        <f>IF(K535="","",SUMPRODUCT($L$10:L535,$N$10:N535)*$K535*$E$5)</f>
        <v/>
      </c>
    </row>
    <row r="536" spans="1:16" x14ac:dyDescent="0.2">
      <c r="A536" s="41">
        <f t="shared" si="49"/>
        <v>14756</v>
      </c>
      <c r="B536" s="41" t="s">
        <v>176</v>
      </c>
      <c r="C536" s="41">
        <v>527</v>
      </c>
      <c r="D536" s="15">
        <f t="shared" si="54"/>
        <v>57390</v>
      </c>
      <c r="E536" s="42">
        <f t="shared" si="50"/>
        <v>57418</v>
      </c>
      <c r="F536" s="42"/>
      <c r="G536" s="42"/>
      <c r="H536" s="50"/>
      <c r="I536" s="43">
        <f t="shared" si="51"/>
        <v>57418</v>
      </c>
      <c r="J536" s="44">
        <f>forward($E$4,D536,E536,CURVA!$H$6:H546,CURVA!$G$6:G546)</f>
        <v>2.0015563624534556E-2</v>
      </c>
      <c r="K536" s="44" t="str">
        <f>IFERROR(VLOOKUP(A536,CURVA!$B$8:$F$30,5,0),"")</f>
        <v/>
      </c>
      <c r="L536" s="45">
        <f t="shared" si="52"/>
        <v>7.7777777777777779E-2</v>
      </c>
      <c r="M536" s="46">
        <f>interpola(E536-$E$4,CURVA!$H$6:$H$20,CURVA!$G$6:$G$20)</f>
        <v>0.02</v>
      </c>
      <c r="N536" s="47">
        <f t="shared" si="53"/>
        <v>0.44052953908266185</v>
      </c>
      <c r="O536" s="49" t="str">
        <f>IF(K536="","",SUMPRODUCT($J$10:J536,$L$10:L536,$N$10:N536)*$E$5)</f>
        <v/>
      </c>
      <c r="P536" s="49" t="str">
        <f>IF(K536="","",SUMPRODUCT($L$10:L536,$N$10:N536)*$K536*$E$5)</f>
        <v/>
      </c>
    </row>
    <row r="537" spans="1:16" x14ac:dyDescent="0.2">
      <c r="A537" s="41">
        <f t="shared" si="49"/>
        <v>14784</v>
      </c>
      <c r="B537" s="41" t="s">
        <v>177</v>
      </c>
      <c r="C537" s="41">
        <v>528</v>
      </c>
      <c r="D537" s="15">
        <f t="shared" si="54"/>
        <v>57418</v>
      </c>
      <c r="E537" s="42">
        <f t="shared" si="50"/>
        <v>57446</v>
      </c>
      <c r="F537" s="42"/>
      <c r="G537" s="42"/>
      <c r="H537" s="50"/>
      <c r="I537" s="43">
        <f t="shared" si="51"/>
        <v>57446</v>
      </c>
      <c r="J537" s="44">
        <f>forward($E$4,D537,E537,CURVA!$H$6:H547,CURVA!$G$6:G547)</f>
        <v>2.0015563624537411E-2</v>
      </c>
      <c r="K537" s="44" t="str">
        <f>IFERROR(VLOOKUP(A537,CURVA!$B$8:$F$30,5,0),"")</f>
        <v/>
      </c>
      <c r="L537" s="45">
        <f t="shared" si="52"/>
        <v>7.7777777777777779E-2</v>
      </c>
      <c r="M537" s="46">
        <f>interpola(E537-$E$4,CURVA!$H$6:$H$20,CURVA!$G$6:$G$20)</f>
        <v>0.02</v>
      </c>
      <c r="N537" s="47">
        <f t="shared" si="53"/>
        <v>0.43984480362085554</v>
      </c>
      <c r="O537" s="49" t="str">
        <f>IF(K537="","",SUMPRODUCT($J$10:J537,$L$10:L537,$N$10:N537)*$E$5)</f>
        <v/>
      </c>
      <c r="P537" s="49" t="str">
        <f>IF(K537="","",SUMPRODUCT($L$10:L537,$N$10:N537)*$K537*$E$5)</f>
        <v/>
      </c>
    </row>
    <row r="538" spans="1:16" x14ac:dyDescent="0.2">
      <c r="A538" s="41">
        <f t="shared" si="49"/>
        <v>14812</v>
      </c>
      <c r="B538" s="41" t="s">
        <v>178</v>
      </c>
      <c r="C538" s="41">
        <v>529</v>
      </c>
      <c r="D538" s="15">
        <f t="shared" si="54"/>
        <v>57446</v>
      </c>
      <c r="E538" s="42">
        <f t="shared" si="50"/>
        <v>57474</v>
      </c>
      <c r="F538" s="42"/>
      <c r="G538" s="42"/>
      <c r="H538" s="50"/>
      <c r="I538" s="43">
        <f t="shared" si="51"/>
        <v>57474</v>
      </c>
      <c r="J538" s="44">
        <f>forward($E$4,D538,E538,CURVA!$H$6:H548,CURVA!$G$6:G548)</f>
        <v>2.0015563624534556E-2</v>
      </c>
      <c r="K538" s="44" t="str">
        <f>IFERROR(VLOOKUP(A538,CURVA!$B$8:$F$30,5,0),"")</f>
        <v/>
      </c>
      <c r="L538" s="45">
        <f t="shared" si="52"/>
        <v>7.7777777777777779E-2</v>
      </c>
      <c r="M538" s="46">
        <f>interpola(E538-$E$4,CURVA!$H$6:$H$20,CURVA!$G$6:$G$20)</f>
        <v>0.02</v>
      </c>
      <c r="N538" s="47">
        <f t="shared" si="53"/>
        <v>0.43916113247508498</v>
      </c>
      <c r="O538" s="49" t="str">
        <f>IF(K538="","",SUMPRODUCT($J$10:J538,$L$10:L538,$N$10:N538)*$E$5)</f>
        <v/>
      </c>
      <c r="P538" s="49" t="str">
        <f>IF(K538="","",SUMPRODUCT($L$10:L538,$N$10:N538)*$K538*$E$5)</f>
        <v/>
      </c>
    </row>
    <row r="539" spans="1:16" x14ac:dyDescent="0.2">
      <c r="A539" s="41">
        <f t="shared" si="49"/>
        <v>14840</v>
      </c>
      <c r="B539" s="41" t="s">
        <v>179</v>
      </c>
      <c r="C539" s="41">
        <v>530</v>
      </c>
      <c r="D539" s="15">
        <f t="shared" si="54"/>
        <v>57474</v>
      </c>
      <c r="E539" s="42">
        <f t="shared" si="50"/>
        <v>57502</v>
      </c>
      <c r="F539" s="42"/>
      <c r="G539" s="42"/>
      <c r="H539" s="50"/>
      <c r="I539" s="43">
        <f t="shared" si="51"/>
        <v>57502</v>
      </c>
      <c r="J539" s="44">
        <f>forward($E$4,D539,E539,CURVA!$H$6:H549,CURVA!$G$6:G549)</f>
        <v>2.0015563624537411E-2</v>
      </c>
      <c r="K539" s="44" t="str">
        <f>IFERROR(VLOOKUP(A539,CURVA!$B$8:$F$30,5,0),"")</f>
        <v/>
      </c>
      <c r="L539" s="45">
        <f t="shared" si="52"/>
        <v>7.7777777777777779E-2</v>
      </c>
      <c r="M539" s="46">
        <f>interpola(E539-$E$4,CURVA!$H$6:$H$20,CURVA!$G$6:$G$20)</f>
        <v>0.02</v>
      </c>
      <c r="N539" s="47">
        <f t="shared" si="53"/>
        <v>0.43847852399103449</v>
      </c>
      <c r="O539" s="49" t="str">
        <f>IF(K539="","",SUMPRODUCT($J$10:J539,$L$10:L539,$N$10:N539)*$E$5)</f>
        <v/>
      </c>
      <c r="P539" s="49" t="str">
        <f>IF(K539="","",SUMPRODUCT($L$10:L539,$N$10:N539)*$K539*$E$5)</f>
        <v/>
      </c>
    </row>
    <row r="540" spans="1:16" x14ac:dyDescent="0.2">
      <c r="A540" s="41">
        <f t="shared" si="49"/>
        <v>14868</v>
      </c>
      <c r="B540" s="41" t="s">
        <v>180</v>
      </c>
      <c r="C540" s="41">
        <v>531</v>
      </c>
      <c r="D540" s="15">
        <f t="shared" si="54"/>
        <v>57502</v>
      </c>
      <c r="E540" s="42">
        <f t="shared" si="50"/>
        <v>57530</v>
      </c>
      <c r="F540" s="42"/>
      <c r="G540" s="42"/>
      <c r="H540" s="50"/>
      <c r="I540" s="43">
        <f t="shared" si="51"/>
        <v>57530</v>
      </c>
      <c r="J540" s="44">
        <f>forward($E$4,D540,E540,CURVA!$H$6:H550,CURVA!$G$6:G550)</f>
        <v>2.0015563624537411E-2</v>
      </c>
      <c r="K540" s="44" t="str">
        <f>IFERROR(VLOOKUP(A540,CURVA!$B$8:$F$30,5,0),"")</f>
        <v/>
      </c>
      <c r="L540" s="45">
        <f t="shared" si="52"/>
        <v>7.7777777777777779E-2</v>
      </c>
      <c r="M540" s="46">
        <f>interpola(E540-$E$4,CURVA!$H$6:$H$20,CURVA!$G$6:$G$20)</f>
        <v>0.02</v>
      </c>
      <c r="N540" s="47">
        <f t="shared" si="53"/>
        <v>0.43779697651695959</v>
      </c>
      <c r="O540" s="49" t="str">
        <f>IF(K540="","",SUMPRODUCT($J$10:J540,$L$10:L540,$N$10:N540)*$E$5)</f>
        <v/>
      </c>
      <c r="P540" s="49" t="str">
        <f>IF(K540="","",SUMPRODUCT($L$10:L540,$N$10:N540)*$K540*$E$5)</f>
        <v/>
      </c>
    </row>
    <row r="541" spans="1:16" x14ac:dyDescent="0.2">
      <c r="A541" s="41">
        <f t="shared" si="49"/>
        <v>14896</v>
      </c>
      <c r="B541" s="41" t="s">
        <v>181</v>
      </c>
      <c r="C541" s="41">
        <v>532</v>
      </c>
      <c r="D541" s="15">
        <f t="shared" si="54"/>
        <v>57530</v>
      </c>
      <c r="E541" s="42">
        <f t="shared" si="50"/>
        <v>57558</v>
      </c>
      <c r="F541" s="42"/>
      <c r="G541" s="42"/>
      <c r="H541" s="50"/>
      <c r="I541" s="43">
        <f t="shared" si="51"/>
        <v>57558</v>
      </c>
      <c r="J541" s="44">
        <f>forward($E$4,D541,E541,CURVA!$H$6:H551,CURVA!$G$6:G551)</f>
        <v>2.0015563624537411E-2</v>
      </c>
      <c r="K541" s="44" t="str">
        <f>IFERROR(VLOOKUP(A541,CURVA!$B$8:$F$30,5,0),"")</f>
        <v/>
      </c>
      <c r="L541" s="45">
        <f t="shared" si="52"/>
        <v>7.7777777777777779E-2</v>
      </c>
      <c r="M541" s="46">
        <f>interpola(E541-$E$4,CURVA!$H$6:$H$20,CURVA!$G$6:$G$20)</f>
        <v>0.02</v>
      </c>
      <c r="N541" s="47">
        <f t="shared" si="53"/>
        <v>0.4371164884036835</v>
      </c>
      <c r="O541" s="49" t="str">
        <f>IF(K541="","",SUMPRODUCT($J$10:J541,$L$10:L541,$N$10:N541)*$E$5)</f>
        <v/>
      </c>
      <c r="P541" s="49" t="str">
        <f>IF(K541="","",SUMPRODUCT($L$10:L541,$N$10:N541)*$K541*$E$5)</f>
        <v/>
      </c>
    </row>
    <row r="542" spans="1:16" x14ac:dyDescent="0.2">
      <c r="A542" s="41">
        <f t="shared" si="49"/>
        <v>14924</v>
      </c>
      <c r="B542" s="41" t="s">
        <v>182</v>
      </c>
      <c r="C542" s="41">
        <v>533</v>
      </c>
      <c r="D542" s="15">
        <f t="shared" si="54"/>
        <v>57558</v>
      </c>
      <c r="E542" s="42">
        <f t="shared" si="50"/>
        <v>57586</v>
      </c>
      <c r="F542" s="42"/>
      <c r="G542" s="42"/>
      <c r="H542" s="50"/>
      <c r="I542" s="43">
        <f t="shared" si="51"/>
        <v>57586</v>
      </c>
      <c r="J542" s="44">
        <f>forward($E$4,D542,E542,CURVA!$H$6:H552,CURVA!$G$6:G552)</f>
        <v>2.0015563624537411E-2</v>
      </c>
      <c r="K542" s="44" t="str">
        <f>IFERROR(VLOOKUP(A542,CURVA!$B$8:$F$30,5,0),"")</f>
        <v/>
      </c>
      <c r="L542" s="45">
        <f t="shared" si="52"/>
        <v>7.7777777777777779E-2</v>
      </c>
      <c r="M542" s="46">
        <f>interpola(E542-$E$4,CURVA!$H$6:$H$20,CURVA!$G$6:$G$20)</f>
        <v>0.02</v>
      </c>
      <c r="N542" s="47">
        <f t="shared" si="53"/>
        <v>0.4364370580045927</v>
      </c>
      <c r="O542" s="49" t="str">
        <f>IF(K542="","",SUMPRODUCT($J$10:J542,$L$10:L542,$N$10:N542)*$E$5)</f>
        <v/>
      </c>
      <c r="P542" s="49" t="str">
        <f>IF(K542="","",SUMPRODUCT($L$10:L542,$N$10:N542)*$K542*$E$5)</f>
        <v/>
      </c>
    </row>
    <row r="543" spans="1:16" x14ac:dyDescent="0.2">
      <c r="A543" s="41">
        <f t="shared" si="49"/>
        <v>14952</v>
      </c>
      <c r="B543" s="41" t="s">
        <v>183</v>
      </c>
      <c r="C543" s="41">
        <v>534</v>
      </c>
      <c r="D543" s="15">
        <f t="shared" si="54"/>
        <v>57586</v>
      </c>
      <c r="E543" s="42">
        <f t="shared" si="50"/>
        <v>57614</v>
      </c>
      <c r="F543" s="42"/>
      <c r="G543" s="42"/>
      <c r="H543" s="50"/>
      <c r="I543" s="43">
        <f t="shared" si="51"/>
        <v>57614</v>
      </c>
      <c r="J543" s="44">
        <f>forward($E$4,D543,E543,CURVA!$H$6:H553,CURVA!$G$6:G553)</f>
        <v>2.0015563624537411E-2</v>
      </c>
      <c r="K543" s="44" t="str">
        <f>IFERROR(VLOOKUP(A543,CURVA!$B$8:$F$30,5,0),"")</f>
        <v/>
      </c>
      <c r="L543" s="45">
        <f t="shared" si="52"/>
        <v>7.7777777777777779E-2</v>
      </c>
      <c r="M543" s="46">
        <f>interpola(E543-$E$4,CURVA!$H$6:$H$20,CURVA!$G$6:$G$20)</f>
        <v>0.02</v>
      </c>
      <c r="N543" s="47">
        <f t="shared" si="53"/>
        <v>0.43575868367563286</v>
      </c>
      <c r="O543" s="49" t="str">
        <f>IF(K543="","",SUMPRODUCT($J$10:J543,$L$10:L543,$N$10:N543)*$E$5)</f>
        <v/>
      </c>
      <c r="P543" s="49" t="str">
        <f>IF(K543="","",SUMPRODUCT($L$10:L543,$N$10:N543)*$K543*$E$5)</f>
        <v/>
      </c>
    </row>
    <row r="544" spans="1:16" x14ac:dyDescent="0.2">
      <c r="A544" s="41">
        <f t="shared" si="49"/>
        <v>14980</v>
      </c>
      <c r="B544" s="41" t="s">
        <v>184</v>
      </c>
      <c r="C544" s="41">
        <v>535</v>
      </c>
      <c r="D544" s="15">
        <f t="shared" si="54"/>
        <v>57614</v>
      </c>
      <c r="E544" s="42">
        <f t="shared" si="50"/>
        <v>57642</v>
      </c>
      <c r="F544" s="42"/>
      <c r="G544" s="42"/>
      <c r="H544" s="50"/>
      <c r="I544" s="43">
        <f t="shared" si="51"/>
        <v>57642</v>
      </c>
      <c r="J544" s="44">
        <f>forward($E$4,D544,E544,CURVA!$H$6:H554,CURVA!$G$6:G554)</f>
        <v>2.0015563624537411E-2</v>
      </c>
      <c r="K544" s="44" t="str">
        <f>IFERROR(VLOOKUP(A544,CURVA!$B$8:$F$30,5,0),"")</f>
        <v/>
      </c>
      <c r="L544" s="45">
        <f t="shared" si="52"/>
        <v>7.7777777777777779E-2</v>
      </c>
      <c r="M544" s="46">
        <f>interpola(E544-$E$4,CURVA!$H$6:$H$20,CURVA!$G$6:$G$20)</f>
        <v>0.02</v>
      </c>
      <c r="N544" s="47">
        <f t="shared" si="53"/>
        <v>0.43508136377530549</v>
      </c>
      <c r="O544" s="49" t="str">
        <f>IF(K544="","",SUMPRODUCT($J$10:J544,$L$10:L544,$N$10:N544)*$E$5)</f>
        <v/>
      </c>
      <c r="P544" s="49" t="str">
        <f>IF(K544="","",SUMPRODUCT($L$10:L544,$N$10:N544)*$K544*$E$5)</f>
        <v/>
      </c>
    </row>
    <row r="545" spans="1:16" x14ac:dyDescent="0.2">
      <c r="A545" s="41">
        <f t="shared" si="49"/>
        <v>15008</v>
      </c>
      <c r="B545" s="41" t="s">
        <v>185</v>
      </c>
      <c r="C545" s="41">
        <v>536</v>
      </c>
      <c r="D545" s="15">
        <f t="shared" si="54"/>
        <v>57642</v>
      </c>
      <c r="E545" s="42">
        <f t="shared" si="50"/>
        <v>57670</v>
      </c>
      <c r="F545" s="42"/>
      <c r="G545" s="42"/>
      <c r="H545" s="50"/>
      <c r="I545" s="43">
        <f t="shared" si="51"/>
        <v>57670</v>
      </c>
      <c r="J545" s="44">
        <f>forward($E$4,D545,E545,CURVA!$H$6:H555,CURVA!$G$6:G555)</f>
        <v>2.0015563624537411E-2</v>
      </c>
      <c r="K545" s="44" t="str">
        <f>IFERROR(VLOOKUP(A545,CURVA!$B$8:$F$30,5,0),"")</f>
        <v/>
      </c>
      <c r="L545" s="45">
        <f t="shared" si="52"/>
        <v>7.7777777777777779E-2</v>
      </c>
      <c r="M545" s="46">
        <f>interpola(E545-$E$4,CURVA!$H$6:$H$20,CURVA!$G$6:$G$20)</f>
        <v>0.02</v>
      </c>
      <c r="N545" s="47">
        <f t="shared" si="53"/>
        <v>0.43440509666466326</v>
      </c>
      <c r="O545" s="49" t="str">
        <f>IF(K545="","",SUMPRODUCT($J$10:J545,$L$10:L545,$N$10:N545)*$E$5)</f>
        <v/>
      </c>
      <c r="P545" s="49" t="str">
        <f>IF(K545="","",SUMPRODUCT($L$10:L545,$N$10:N545)*$K545*$E$5)</f>
        <v/>
      </c>
    </row>
    <row r="546" spans="1:16" x14ac:dyDescent="0.2">
      <c r="A546" s="41">
        <f t="shared" si="49"/>
        <v>15036</v>
      </c>
      <c r="B546" s="41" t="s">
        <v>186</v>
      </c>
      <c r="C546" s="41">
        <v>537</v>
      </c>
      <c r="D546" s="15">
        <f t="shared" si="54"/>
        <v>57670</v>
      </c>
      <c r="E546" s="42">
        <f t="shared" si="50"/>
        <v>57698</v>
      </c>
      <c r="F546" s="42"/>
      <c r="G546" s="42"/>
      <c r="H546" s="50"/>
      <c r="I546" s="43">
        <f t="shared" si="51"/>
        <v>57698</v>
      </c>
      <c r="J546" s="44">
        <f>forward($E$4,D546,E546,CURVA!$H$6:H556,CURVA!$G$6:G556)</f>
        <v>2.0015563624537411E-2</v>
      </c>
      <c r="K546" s="44" t="str">
        <f>IFERROR(VLOOKUP(A546,CURVA!$B$8:$F$30,5,0),"")</f>
        <v/>
      </c>
      <c r="L546" s="45">
        <f t="shared" si="52"/>
        <v>7.7777777777777779E-2</v>
      </c>
      <c r="M546" s="46">
        <f>interpola(E546-$E$4,CURVA!$H$6:$H$20,CURVA!$G$6:$G$20)</f>
        <v>0.02</v>
      </c>
      <c r="N546" s="47">
        <f t="shared" si="53"/>
        <v>0.43372988070730639</v>
      </c>
      <c r="O546" s="49" t="str">
        <f>IF(K546="","",SUMPRODUCT($J$10:J546,$L$10:L546,$N$10:N546)*$E$5)</f>
        <v/>
      </c>
      <c r="P546" s="49" t="str">
        <f>IF(K546="","",SUMPRODUCT($L$10:L546,$N$10:N546)*$K546*$E$5)</f>
        <v/>
      </c>
    </row>
    <row r="547" spans="1:16" x14ac:dyDescent="0.2">
      <c r="A547" s="41">
        <f t="shared" si="49"/>
        <v>15064</v>
      </c>
      <c r="B547" s="41" t="s">
        <v>187</v>
      </c>
      <c r="C547" s="41">
        <v>538</v>
      </c>
      <c r="D547" s="15">
        <f t="shared" si="54"/>
        <v>57698</v>
      </c>
      <c r="E547" s="42">
        <f t="shared" si="50"/>
        <v>57726</v>
      </c>
      <c r="F547" s="42"/>
      <c r="G547" s="42"/>
      <c r="H547" s="50"/>
      <c r="I547" s="43">
        <f t="shared" si="51"/>
        <v>57726</v>
      </c>
      <c r="J547" s="44">
        <f>forward($E$4,D547,E547,CURVA!$H$6:H557,CURVA!$G$6:G557)</f>
        <v>2.0015563624534556E-2</v>
      </c>
      <c r="K547" s="44" t="str">
        <f>IFERROR(VLOOKUP(A547,CURVA!$B$8:$F$30,5,0),"")</f>
        <v/>
      </c>
      <c r="L547" s="45">
        <f t="shared" si="52"/>
        <v>7.7777777777777779E-2</v>
      </c>
      <c r="M547" s="46">
        <f>interpola(E547-$E$4,CURVA!$H$6:$H$20,CURVA!$G$6:$G$20)</f>
        <v>0.02</v>
      </c>
      <c r="N547" s="47">
        <f t="shared" si="53"/>
        <v>0.43305571426937861</v>
      </c>
      <c r="O547" s="49" t="str">
        <f>IF(K547="","",SUMPRODUCT($J$10:J547,$L$10:L547,$N$10:N547)*$E$5)</f>
        <v/>
      </c>
      <c r="P547" s="49" t="str">
        <f>IF(K547="","",SUMPRODUCT($L$10:L547,$N$10:N547)*$K547*$E$5)</f>
        <v/>
      </c>
    </row>
    <row r="548" spans="1:16" x14ac:dyDescent="0.2">
      <c r="A548" s="41">
        <f t="shared" si="49"/>
        <v>15092</v>
      </c>
      <c r="B548" s="41" t="s">
        <v>188</v>
      </c>
      <c r="C548" s="41">
        <v>539</v>
      </c>
      <c r="D548" s="15">
        <f t="shared" si="54"/>
        <v>57726</v>
      </c>
      <c r="E548" s="42">
        <f t="shared" si="50"/>
        <v>57754</v>
      </c>
      <c r="F548" s="42"/>
      <c r="G548" s="42"/>
      <c r="H548" s="50"/>
      <c r="I548" s="43">
        <f t="shared" si="51"/>
        <v>57754</v>
      </c>
      <c r="J548" s="44">
        <f>forward($E$4,D548,E548,CURVA!$H$6:H558,CURVA!$G$6:G558)</f>
        <v>2.0015563624537411E-2</v>
      </c>
      <c r="K548" s="44" t="str">
        <f>IFERROR(VLOOKUP(A548,CURVA!$B$8:$F$30,5,0),"")</f>
        <v/>
      </c>
      <c r="L548" s="45">
        <f t="shared" si="52"/>
        <v>7.7777777777777779E-2</v>
      </c>
      <c r="M548" s="46">
        <f>interpola(E548-$E$4,CURVA!$H$6:$H$20,CURVA!$G$6:$G$20)</f>
        <v>0.02</v>
      </c>
      <c r="N548" s="47">
        <f t="shared" si="53"/>
        <v>0.43238259571956339</v>
      </c>
      <c r="O548" s="49" t="str">
        <f>IF(K548="","",SUMPRODUCT($J$10:J548,$L$10:L548,$N$10:N548)*$E$5)</f>
        <v/>
      </c>
      <c r="P548" s="49" t="str">
        <f>IF(K548="","",SUMPRODUCT($L$10:L548,$N$10:N548)*$K548*$E$5)</f>
        <v/>
      </c>
    </row>
    <row r="549" spans="1:16" x14ac:dyDescent="0.2">
      <c r="A549" s="41">
        <f t="shared" si="49"/>
        <v>15120</v>
      </c>
      <c r="B549" s="41" t="s">
        <v>189</v>
      </c>
      <c r="C549" s="41">
        <v>540</v>
      </c>
      <c r="D549" s="15">
        <f t="shared" si="54"/>
        <v>57754</v>
      </c>
      <c r="E549" s="42">
        <f t="shared" si="50"/>
        <v>57782</v>
      </c>
      <c r="F549" s="42"/>
      <c r="G549" s="42"/>
      <c r="H549" s="50"/>
      <c r="I549" s="43">
        <f t="shared" si="51"/>
        <v>57782</v>
      </c>
      <c r="J549" s="44">
        <f>forward($E$4,D549,E549,CURVA!$H$6:H559,CURVA!$G$6:G559)</f>
        <v>2.0015563624534556E-2</v>
      </c>
      <c r="K549" s="44" t="str">
        <f>IFERROR(VLOOKUP(A549,CURVA!$B$8:$F$30,5,0),"")</f>
        <v/>
      </c>
      <c r="L549" s="45">
        <f t="shared" si="52"/>
        <v>7.7777777777777779E-2</v>
      </c>
      <c r="M549" s="46">
        <f>interpola(E549-$E$4,CURVA!$H$6:$H$20,CURVA!$G$6:$G$20)</f>
        <v>0.02</v>
      </c>
      <c r="N549" s="47">
        <f t="shared" si="53"/>
        <v>0.43171052342907967</v>
      </c>
      <c r="O549" s="49" t="str">
        <f>IF(K549="","",SUMPRODUCT($J$10:J549,$L$10:L549,$N$10:N549)*$E$5)</f>
        <v/>
      </c>
      <c r="P549" s="49" t="str">
        <f>IF(K549="","",SUMPRODUCT($L$10:L549,$N$10:N549)*$K549*$E$5)</f>
        <v/>
      </c>
    </row>
    <row r="550" spans="1:16" x14ac:dyDescent="0.2">
      <c r="A550" s="41">
        <f t="shared" si="49"/>
        <v>15148</v>
      </c>
      <c r="B550" s="41" t="s">
        <v>190</v>
      </c>
      <c r="C550" s="41">
        <v>541</v>
      </c>
      <c r="D550" s="15">
        <f t="shared" si="54"/>
        <v>57782</v>
      </c>
      <c r="E550" s="42">
        <f t="shared" si="50"/>
        <v>57810</v>
      </c>
      <c r="F550" s="42"/>
      <c r="G550" s="42"/>
      <c r="H550" s="50"/>
      <c r="I550" s="43">
        <f t="shared" si="51"/>
        <v>57810</v>
      </c>
      <c r="J550" s="44">
        <f>forward($E$4,D550,E550,CURVA!$H$6:H560,CURVA!$G$6:G560)</f>
        <v>2.0015563624537411E-2</v>
      </c>
      <c r="K550" s="44" t="str">
        <f>IFERROR(VLOOKUP(A550,CURVA!$B$8:$F$30,5,0),"")</f>
        <v/>
      </c>
      <c r="L550" s="45">
        <f t="shared" si="52"/>
        <v>7.7777777777777779E-2</v>
      </c>
      <c r="M550" s="46">
        <f>interpola(E550-$E$4,CURVA!$H$6:$H$20,CURVA!$G$6:$G$20)</f>
        <v>0.02</v>
      </c>
      <c r="N550" s="47">
        <f t="shared" si="53"/>
        <v>0.43103949577167811</v>
      </c>
      <c r="O550" s="49" t="str">
        <f>IF(K550="","",SUMPRODUCT($J$10:J550,$L$10:L550,$N$10:N550)*$E$5)</f>
        <v/>
      </c>
      <c r="P550" s="49" t="str">
        <f>IF(K550="","",SUMPRODUCT($L$10:L550,$N$10:N550)*$K550*$E$5)</f>
        <v/>
      </c>
    </row>
    <row r="551" spans="1:16" x14ac:dyDescent="0.2">
      <c r="A551" s="41">
        <f t="shared" si="49"/>
        <v>15176</v>
      </c>
      <c r="B551" s="41" t="s">
        <v>191</v>
      </c>
      <c r="C551" s="41">
        <v>542</v>
      </c>
      <c r="D551" s="15">
        <f t="shared" si="54"/>
        <v>57810</v>
      </c>
      <c r="E551" s="42">
        <f t="shared" si="50"/>
        <v>57838</v>
      </c>
      <c r="F551" s="42"/>
      <c r="G551" s="42"/>
      <c r="H551" s="50"/>
      <c r="I551" s="43">
        <f t="shared" si="51"/>
        <v>57838</v>
      </c>
      <c r="J551" s="44">
        <f>forward($E$4,D551,E551,CURVA!$H$6:H561,CURVA!$G$6:G561)</f>
        <v>2.0015563624537411E-2</v>
      </c>
      <c r="K551" s="44" t="str">
        <f>IFERROR(VLOOKUP(A551,CURVA!$B$8:$F$30,5,0),"")</f>
        <v/>
      </c>
      <c r="L551" s="45">
        <f t="shared" si="52"/>
        <v>7.7777777777777779E-2</v>
      </c>
      <c r="M551" s="46">
        <f>interpola(E551-$E$4,CURVA!$H$6:$H$20,CURVA!$G$6:$G$20)</f>
        <v>0.02</v>
      </c>
      <c r="N551" s="47">
        <f t="shared" si="53"/>
        <v>0.43036951112363708</v>
      </c>
      <c r="O551" s="49" t="str">
        <f>IF(K551="","",SUMPRODUCT($J$10:J551,$L$10:L551,$N$10:N551)*$E$5)</f>
        <v/>
      </c>
      <c r="P551" s="49" t="str">
        <f>IF(K551="","",SUMPRODUCT($L$10:L551,$N$10:N551)*$K551*$E$5)</f>
        <v/>
      </c>
    </row>
    <row r="552" spans="1:16" x14ac:dyDescent="0.2">
      <c r="A552" s="41">
        <f t="shared" si="49"/>
        <v>15204</v>
      </c>
      <c r="B552" s="41" t="s">
        <v>192</v>
      </c>
      <c r="C552" s="41">
        <v>543</v>
      </c>
      <c r="D552" s="15">
        <f t="shared" si="54"/>
        <v>57838</v>
      </c>
      <c r="E552" s="42">
        <f t="shared" si="50"/>
        <v>57866</v>
      </c>
      <c r="F552" s="42"/>
      <c r="G552" s="42"/>
      <c r="H552" s="50"/>
      <c r="I552" s="43">
        <f t="shared" si="51"/>
        <v>57866</v>
      </c>
      <c r="J552" s="44">
        <f>forward($E$4,D552,E552,CURVA!$H$6:H562,CURVA!$G$6:G562)</f>
        <v>2.0015563624537411E-2</v>
      </c>
      <c r="K552" s="44" t="str">
        <f>IFERROR(VLOOKUP(A552,CURVA!$B$8:$F$30,5,0),"")</f>
        <v/>
      </c>
      <c r="L552" s="45">
        <f t="shared" si="52"/>
        <v>7.7777777777777779E-2</v>
      </c>
      <c r="M552" s="46">
        <f>interpola(E552-$E$4,CURVA!$H$6:$H$20,CURVA!$G$6:$G$20)</f>
        <v>0.02</v>
      </c>
      <c r="N552" s="47">
        <f t="shared" si="53"/>
        <v>0.42970056786375888</v>
      </c>
      <c r="O552" s="49" t="str">
        <f>IF(K552="","",SUMPRODUCT($J$10:J552,$L$10:L552,$N$10:N552)*$E$5)</f>
        <v/>
      </c>
      <c r="P552" s="49" t="str">
        <f>IF(K552="","",SUMPRODUCT($L$10:L552,$N$10:N552)*$K552*$E$5)</f>
        <v/>
      </c>
    </row>
    <row r="553" spans="1:16" x14ac:dyDescent="0.2">
      <c r="A553" s="41">
        <f t="shared" si="49"/>
        <v>15232</v>
      </c>
      <c r="B553" s="41" t="s">
        <v>193</v>
      </c>
      <c r="C553" s="41">
        <v>544</v>
      </c>
      <c r="D553" s="15">
        <f t="shared" si="54"/>
        <v>57866</v>
      </c>
      <c r="E553" s="42">
        <f t="shared" si="50"/>
        <v>57894</v>
      </c>
      <c r="F553" s="42"/>
      <c r="G553" s="42"/>
      <c r="H553" s="50"/>
      <c r="I553" s="43">
        <f t="shared" si="51"/>
        <v>57894</v>
      </c>
      <c r="J553" s="44">
        <f>forward($E$4,D553,E553,CURVA!$H$6:H563,CURVA!$G$6:G563)</f>
        <v>2.0015563624537411E-2</v>
      </c>
      <c r="K553" s="44" t="str">
        <f>IFERROR(VLOOKUP(A553,CURVA!$B$8:$F$30,5,0),"")</f>
        <v/>
      </c>
      <c r="L553" s="45">
        <f t="shared" si="52"/>
        <v>7.7777777777777779E-2</v>
      </c>
      <c r="M553" s="46">
        <f>interpola(E553-$E$4,CURVA!$H$6:$H$20,CURVA!$G$6:$G$20)</f>
        <v>0.02</v>
      </c>
      <c r="N553" s="47">
        <f t="shared" si="53"/>
        <v>0.42903266437336568</v>
      </c>
      <c r="O553" s="49" t="str">
        <f>IF(K553="","",SUMPRODUCT($J$10:J553,$L$10:L553,$N$10:N553)*$E$5)</f>
        <v/>
      </c>
      <c r="P553" s="49" t="str">
        <f>IF(K553="","",SUMPRODUCT($L$10:L553,$N$10:N553)*$K553*$E$5)</f>
        <v/>
      </c>
    </row>
    <row r="554" spans="1:16" x14ac:dyDescent="0.2">
      <c r="A554" s="41">
        <f t="shared" si="49"/>
        <v>15260</v>
      </c>
      <c r="B554" s="41" t="s">
        <v>194</v>
      </c>
      <c r="C554" s="41">
        <v>545</v>
      </c>
      <c r="D554" s="15">
        <f t="shared" si="54"/>
        <v>57894</v>
      </c>
      <c r="E554" s="42">
        <f t="shared" si="50"/>
        <v>57922</v>
      </c>
      <c r="F554" s="42"/>
      <c r="G554" s="42"/>
      <c r="H554" s="50"/>
      <c r="I554" s="43">
        <f t="shared" si="51"/>
        <v>57922</v>
      </c>
      <c r="J554" s="44">
        <f>forward($E$4,D554,E554,CURVA!$H$6:H564,CURVA!$G$6:G564)</f>
        <v>2.0015563624537411E-2</v>
      </c>
      <c r="K554" s="44" t="str">
        <f>IFERROR(VLOOKUP(A554,CURVA!$B$8:$F$30,5,0),"")</f>
        <v/>
      </c>
      <c r="L554" s="45">
        <f t="shared" si="52"/>
        <v>7.7777777777777779E-2</v>
      </c>
      <c r="M554" s="46">
        <f>interpola(E554-$E$4,CURVA!$H$6:$H$20,CURVA!$G$6:$G$20)</f>
        <v>0.02</v>
      </c>
      <c r="N554" s="47">
        <f t="shared" si="53"/>
        <v>0.42836579903629562</v>
      </c>
      <c r="O554" s="49" t="str">
        <f>IF(K554="","",SUMPRODUCT($J$10:J554,$L$10:L554,$N$10:N554)*$E$5)</f>
        <v/>
      </c>
      <c r="P554" s="49" t="str">
        <f>IF(K554="","",SUMPRODUCT($L$10:L554,$N$10:N554)*$K554*$E$5)</f>
        <v/>
      </c>
    </row>
    <row r="555" spans="1:16" x14ac:dyDescent="0.2">
      <c r="A555" s="41">
        <f t="shared" si="49"/>
        <v>15288</v>
      </c>
      <c r="B555" s="41" t="s">
        <v>195</v>
      </c>
      <c r="C555" s="41">
        <v>546</v>
      </c>
      <c r="D555" s="15">
        <f t="shared" si="54"/>
        <v>57922</v>
      </c>
      <c r="E555" s="42">
        <f t="shared" si="50"/>
        <v>57950</v>
      </c>
      <c r="F555" s="42"/>
      <c r="G555" s="42"/>
      <c r="H555" s="50"/>
      <c r="I555" s="43">
        <f t="shared" si="51"/>
        <v>57950</v>
      </c>
      <c r="J555" s="44">
        <f>forward($E$4,D555,E555,CURVA!$H$6:H565,CURVA!$G$6:G565)</f>
        <v>2.0015563624537411E-2</v>
      </c>
      <c r="K555" s="44" t="str">
        <f>IFERROR(VLOOKUP(A555,CURVA!$B$8:$F$30,5,0),"")</f>
        <v/>
      </c>
      <c r="L555" s="45">
        <f t="shared" si="52"/>
        <v>7.7777777777777779E-2</v>
      </c>
      <c r="M555" s="46">
        <f>interpola(E555-$E$4,CURVA!$H$6:$H$20,CURVA!$G$6:$G$20)</f>
        <v>0.02</v>
      </c>
      <c r="N555" s="47">
        <f t="shared" si="53"/>
        <v>0.42769997023889894</v>
      </c>
      <c r="O555" s="49" t="str">
        <f>IF(K555="","",SUMPRODUCT($J$10:J555,$L$10:L555,$N$10:N555)*$E$5)</f>
        <v/>
      </c>
      <c r="P555" s="49" t="str">
        <f>IF(K555="","",SUMPRODUCT($L$10:L555,$N$10:N555)*$K555*$E$5)</f>
        <v/>
      </c>
    </row>
    <row r="556" spans="1:16" x14ac:dyDescent="0.2">
      <c r="A556" s="41">
        <f t="shared" si="49"/>
        <v>15316</v>
      </c>
      <c r="B556" s="41" t="s">
        <v>196</v>
      </c>
      <c r="C556" s="41">
        <v>547</v>
      </c>
      <c r="D556" s="15">
        <f t="shared" si="54"/>
        <v>57950</v>
      </c>
      <c r="E556" s="42">
        <f t="shared" si="50"/>
        <v>57978</v>
      </c>
      <c r="F556" s="42"/>
      <c r="G556" s="42"/>
      <c r="H556" s="50"/>
      <c r="I556" s="43">
        <f t="shared" si="51"/>
        <v>57978</v>
      </c>
      <c r="J556" s="44">
        <f>forward($E$4,D556,E556,CURVA!$H$6:H566,CURVA!$G$6:G566)</f>
        <v>2.0015563624537411E-2</v>
      </c>
      <c r="K556" s="44" t="str">
        <f>IFERROR(VLOOKUP(A556,CURVA!$B$8:$F$30,5,0),"")</f>
        <v/>
      </c>
      <c r="L556" s="45">
        <f t="shared" si="52"/>
        <v>7.7777777777777779E-2</v>
      </c>
      <c r="M556" s="46">
        <f>interpola(E556-$E$4,CURVA!$H$6:$H$20,CURVA!$G$6:$G$20)</f>
        <v>0.02</v>
      </c>
      <c r="N556" s="47">
        <f t="shared" si="53"/>
        <v>0.42703517637003391</v>
      </c>
      <c r="O556" s="49" t="str">
        <f>IF(K556="","",SUMPRODUCT($J$10:J556,$L$10:L556,$N$10:N556)*$E$5)</f>
        <v/>
      </c>
      <c r="P556" s="49" t="str">
        <f>IF(K556="","",SUMPRODUCT($L$10:L556,$N$10:N556)*$K556*$E$5)</f>
        <v/>
      </c>
    </row>
    <row r="557" spans="1:16" x14ac:dyDescent="0.2">
      <c r="A557" s="41">
        <f t="shared" si="49"/>
        <v>15344</v>
      </c>
      <c r="B557" s="41" t="s">
        <v>197</v>
      </c>
      <c r="C557" s="41">
        <v>548</v>
      </c>
      <c r="D557" s="15">
        <f t="shared" si="54"/>
        <v>57978</v>
      </c>
      <c r="E557" s="42">
        <f t="shared" si="50"/>
        <v>58006</v>
      </c>
      <c r="F557" s="42"/>
      <c r="G557" s="42"/>
      <c r="H557" s="50"/>
      <c r="I557" s="43">
        <f t="shared" si="51"/>
        <v>58006</v>
      </c>
      <c r="J557" s="44">
        <f>forward($E$4,D557,E557,CURVA!$H$6:H567,CURVA!$G$6:G567)</f>
        <v>2.0015563624537411E-2</v>
      </c>
      <c r="K557" s="44" t="str">
        <f>IFERROR(VLOOKUP(A557,CURVA!$B$8:$F$30,5,0),"")</f>
        <v/>
      </c>
      <c r="L557" s="45">
        <f t="shared" si="52"/>
        <v>7.7777777777777779E-2</v>
      </c>
      <c r="M557" s="46">
        <f>interpola(E557-$E$4,CURVA!$H$6:$H$20,CURVA!$G$6:$G$20)</f>
        <v>0.02</v>
      </c>
      <c r="N557" s="47">
        <f t="shared" si="53"/>
        <v>0.42637141582106336</v>
      </c>
      <c r="O557" s="49" t="str">
        <f>IF(K557="","",SUMPRODUCT($J$10:J557,$L$10:L557,$N$10:N557)*$E$5)</f>
        <v/>
      </c>
      <c r="P557" s="49" t="str">
        <f>IF(K557="","",SUMPRODUCT($L$10:L557,$N$10:N557)*$K557*$E$5)</f>
        <v/>
      </c>
    </row>
    <row r="558" spans="1:16" x14ac:dyDescent="0.2">
      <c r="A558" s="41">
        <f t="shared" si="49"/>
        <v>15372</v>
      </c>
      <c r="B558" s="41" t="s">
        <v>198</v>
      </c>
      <c r="C558" s="41">
        <v>549</v>
      </c>
      <c r="D558" s="15">
        <f t="shared" si="54"/>
        <v>58006</v>
      </c>
      <c r="E558" s="42">
        <f t="shared" si="50"/>
        <v>58034</v>
      </c>
      <c r="F558" s="42"/>
      <c r="G558" s="42"/>
      <c r="H558" s="50"/>
      <c r="I558" s="43">
        <f t="shared" si="51"/>
        <v>58034</v>
      </c>
      <c r="J558" s="44">
        <f>forward($E$4,D558,E558,CURVA!$H$6:H568,CURVA!$G$6:G568)</f>
        <v>2.0015563624537411E-2</v>
      </c>
      <c r="K558" s="44" t="str">
        <f>IFERROR(VLOOKUP(A558,CURVA!$B$8:$F$30,5,0),"")</f>
        <v/>
      </c>
      <c r="L558" s="45">
        <f t="shared" si="52"/>
        <v>7.7777777777777779E-2</v>
      </c>
      <c r="M558" s="46">
        <f>interpola(E558-$E$4,CURVA!$H$6:$H$20,CURVA!$G$6:$G$20)</f>
        <v>0.02</v>
      </c>
      <c r="N558" s="47">
        <f t="shared" si="53"/>
        <v>0.42570868698585018</v>
      </c>
      <c r="O558" s="49" t="str">
        <f>IF(K558="","",SUMPRODUCT($J$10:J558,$L$10:L558,$N$10:N558)*$E$5)</f>
        <v/>
      </c>
      <c r="P558" s="49" t="str">
        <f>IF(K558="","",SUMPRODUCT($L$10:L558,$N$10:N558)*$K558*$E$5)</f>
        <v/>
      </c>
    </row>
    <row r="559" spans="1:16" x14ac:dyDescent="0.2">
      <c r="A559" s="41">
        <f t="shared" si="49"/>
        <v>15400</v>
      </c>
      <c r="B559" s="41" t="s">
        <v>199</v>
      </c>
      <c r="C559" s="41">
        <v>550</v>
      </c>
      <c r="D559" s="15">
        <f t="shared" si="54"/>
        <v>58034</v>
      </c>
      <c r="E559" s="42">
        <f t="shared" si="50"/>
        <v>58062</v>
      </c>
      <c r="F559" s="42"/>
      <c r="G559" s="42"/>
      <c r="H559" s="50"/>
      <c r="I559" s="43">
        <f t="shared" si="51"/>
        <v>58062</v>
      </c>
      <c r="J559" s="44">
        <f>forward($E$4,D559,E559,CURVA!$H$6:H569,CURVA!$G$6:G569)</f>
        <v>2.0015563624537411E-2</v>
      </c>
      <c r="K559" s="44" t="str">
        <f>IFERROR(VLOOKUP(A559,CURVA!$B$8:$F$30,5,0),"")</f>
        <v/>
      </c>
      <c r="L559" s="45">
        <f t="shared" si="52"/>
        <v>7.7777777777777779E-2</v>
      </c>
      <c r="M559" s="46">
        <f>interpola(E559-$E$4,CURVA!$H$6:$H$20,CURVA!$G$6:$G$20)</f>
        <v>0.02</v>
      </c>
      <c r="N559" s="47">
        <f t="shared" si="53"/>
        <v>0.42504698826075404</v>
      </c>
      <c r="O559" s="49" t="str">
        <f>IF(K559="","",SUMPRODUCT($J$10:J559,$L$10:L559,$N$10:N559)*$E$5)</f>
        <v/>
      </c>
      <c r="P559" s="49" t="str">
        <f>IF(K559="","",SUMPRODUCT($L$10:L559,$N$10:N559)*$K559*$E$5)</f>
        <v/>
      </c>
    </row>
    <row r="560" spans="1:16" x14ac:dyDescent="0.2">
      <c r="A560" s="41">
        <f t="shared" si="49"/>
        <v>15428</v>
      </c>
      <c r="B560" s="41" t="s">
        <v>200</v>
      </c>
      <c r="C560" s="41">
        <v>551</v>
      </c>
      <c r="D560" s="15">
        <f t="shared" si="54"/>
        <v>58062</v>
      </c>
      <c r="E560" s="42">
        <f t="shared" si="50"/>
        <v>58090</v>
      </c>
      <c r="F560" s="42"/>
      <c r="G560" s="42"/>
      <c r="H560" s="50"/>
      <c r="I560" s="43">
        <f t="shared" si="51"/>
        <v>58090</v>
      </c>
      <c r="J560" s="44">
        <f>forward($E$4,D560,E560,CURVA!$H$6:H570,CURVA!$G$6:G570)</f>
        <v>2.0015563624537411E-2</v>
      </c>
      <c r="K560" s="44" t="str">
        <f>IFERROR(VLOOKUP(A560,CURVA!$B$8:$F$30,5,0),"")</f>
        <v/>
      </c>
      <c r="L560" s="45">
        <f t="shared" si="52"/>
        <v>7.7777777777777779E-2</v>
      </c>
      <c r="M560" s="46">
        <f>interpola(E560-$E$4,CURVA!$H$6:$H$20,CURVA!$G$6:$G$20)</f>
        <v>0.02</v>
      </c>
      <c r="N560" s="47">
        <f t="shared" si="53"/>
        <v>0.4243863180446269</v>
      </c>
      <c r="O560" s="49" t="str">
        <f>IF(K560="","",SUMPRODUCT($J$10:J560,$L$10:L560,$N$10:N560)*$E$5)</f>
        <v/>
      </c>
      <c r="P560" s="49" t="str">
        <f>IF(K560="","",SUMPRODUCT($L$10:L560,$N$10:N560)*$K560*$E$5)</f>
        <v/>
      </c>
    </row>
    <row r="561" spans="1:16" x14ac:dyDescent="0.2">
      <c r="A561" s="41">
        <f t="shared" si="49"/>
        <v>15456</v>
      </c>
      <c r="B561" s="41" t="s">
        <v>201</v>
      </c>
      <c r="C561" s="41">
        <v>552</v>
      </c>
      <c r="D561" s="15">
        <f t="shared" si="54"/>
        <v>58090</v>
      </c>
      <c r="E561" s="42">
        <f t="shared" si="50"/>
        <v>58118</v>
      </c>
      <c r="F561" s="42"/>
      <c r="G561" s="42"/>
      <c r="H561" s="50"/>
      <c r="I561" s="43">
        <f t="shared" si="51"/>
        <v>58118</v>
      </c>
      <c r="J561" s="44">
        <f>forward($E$4,D561,E561,CURVA!$H$6:H571,CURVA!$G$6:G571)</f>
        <v>2.0015563624534556E-2</v>
      </c>
      <c r="K561" s="44" t="str">
        <f>IFERROR(VLOOKUP(A561,CURVA!$B$8:$F$30,5,0),"")</f>
        <v/>
      </c>
      <c r="L561" s="45">
        <f t="shared" si="52"/>
        <v>7.7777777777777779E-2</v>
      </c>
      <c r="M561" s="46">
        <f>interpola(E561-$E$4,CURVA!$H$6:$H$20,CURVA!$G$6:$G$20)</f>
        <v>0.02</v>
      </c>
      <c r="N561" s="47">
        <f t="shared" si="53"/>
        <v>0.42372667473880987</v>
      </c>
      <c r="O561" s="49" t="str">
        <f>IF(K561="","",SUMPRODUCT($J$10:J561,$L$10:L561,$N$10:N561)*$E$5)</f>
        <v/>
      </c>
      <c r="P561" s="49" t="str">
        <f>IF(K561="","",SUMPRODUCT($L$10:L561,$N$10:N561)*$K561*$E$5)</f>
        <v/>
      </c>
    </row>
    <row r="562" spans="1:16" x14ac:dyDescent="0.2">
      <c r="A562" s="41">
        <f t="shared" si="49"/>
        <v>15484</v>
      </c>
      <c r="B562" s="41" t="s">
        <v>202</v>
      </c>
      <c r="C562" s="41">
        <v>553</v>
      </c>
      <c r="D562" s="15">
        <f t="shared" si="54"/>
        <v>58118</v>
      </c>
      <c r="E562" s="42">
        <f t="shared" si="50"/>
        <v>58146</v>
      </c>
      <c r="F562" s="42"/>
      <c r="G562" s="42"/>
      <c r="H562" s="50"/>
      <c r="I562" s="43">
        <f t="shared" si="51"/>
        <v>58146</v>
      </c>
      <c r="J562" s="44">
        <f>forward($E$4,D562,E562,CURVA!$H$6:H572,CURVA!$G$6:G572)</f>
        <v>2.0015563624537411E-2</v>
      </c>
      <c r="K562" s="44" t="str">
        <f>IFERROR(VLOOKUP(A562,CURVA!$B$8:$F$30,5,0),"")</f>
        <v/>
      </c>
      <c r="L562" s="45">
        <f t="shared" si="52"/>
        <v>7.7777777777777779E-2</v>
      </c>
      <c r="M562" s="46">
        <f>interpola(E562-$E$4,CURVA!$H$6:$H$20,CURVA!$G$6:$G$20)</f>
        <v>0.02</v>
      </c>
      <c r="N562" s="47">
        <f t="shared" si="53"/>
        <v>0.42306805674712855</v>
      </c>
      <c r="O562" s="49" t="str">
        <f>IF(K562="","",SUMPRODUCT($J$10:J562,$L$10:L562,$N$10:N562)*$E$5)</f>
        <v/>
      </c>
      <c r="P562" s="49" t="str">
        <f>IF(K562="","",SUMPRODUCT($L$10:L562,$N$10:N562)*$K562*$E$5)</f>
        <v/>
      </c>
    </row>
    <row r="563" spans="1:16" x14ac:dyDescent="0.2">
      <c r="A563" s="41">
        <f t="shared" si="49"/>
        <v>15512</v>
      </c>
      <c r="B563" s="41" t="s">
        <v>203</v>
      </c>
      <c r="C563" s="41">
        <v>554</v>
      </c>
      <c r="D563" s="15">
        <f t="shared" si="54"/>
        <v>58146</v>
      </c>
      <c r="E563" s="42">
        <f t="shared" si="50"/>
        <v>58174</v>
      </c>
      <c r="F563" s="42"/>
      <c r="G563" s="42"/>
      <c r="H563" s="50"/>
      <c r="I563" s="43">
        <f t="shared" si="51"/>
        <v>58174</v>
      </c>
      <c r="J563" s="44">
        <f>forward($E$4,D563,E563,CURVA!$H$6:H573,CURVA!$G$6:G573)</f>
        <v>2.0015563624537411E-2</v>
      </c>
      <c r="K563" s="44" t="str">
        <f>IFERROR(VLOOKUP(A563,CURVA!$B$8:$F$30,5,0),"")</f>
        <v/>
      </c>
      <c r="L563" s="45">
        <f t="shared" si="52"/>
        <v>7.7777777777777779E-2</v>
      </c>
      <c r="M563" s="46">
        <f>interpola(E563-$E$4,CURVA!$H$6:$H$20,CURVA!$G$6:$G$20)</f>
        <v>0.02</v>
      </c>
      <c r="N563" s="47">
        <f t="shared" si="53"/>
        <v>0.42241046247588976</v>
      </c>
      <c r="O563" s="49" t="str">
        <f>IF(K563="","",SUMPRODUCT($J$10:J563,$L$10:L563,$N$10:N563)*$E$5)</f>
        <v/>
      </c>
      <c r="P563" s="49" t="str">
        <f>IF(K563="","",SUMPRODUCT($L$10:L563,$N$10:N563)*$K563*$E$5)</f>
        <v/>
      </c>
    </row>
    <row r="564" spans="1:16" x14ac:dyDescent="0.2">
      <c r="A564" s="41">
        <f t="shared" si="49"/>
        <v>15540</v>
      </c>
      <c r="B564" s="41" t="s">
        <v>204</v>
      </c>
      <c r="C564" s="41">
        <v>555</v>
      </c>
      <c r="D564" s="15">
        <f t="shared" si="54"/>
        <v>58174</v>
      </c>
      <c r="E564" s="42">
        <f t="shared" si="50"/>
        <v>58202</v>
      </c>
      <c r="F564" s="42"/>
      <c r="G564" s="42"/>
      <c r="H564" s="50"/>
      <c r="I564" s="43">
        <f t="shared" si="51"/>
        <v>58202</v>
      </c>
      <c r="J564" s="44">
        <f>forward($E$4,D564,E564,CURVA!$H$6:H574,CURVA!$G$6:G574)</f>
        <v>2.0015563624537411E-2</v>
      </c>
      <c r="K564" s="44" t="str">
        <f>IFERROR(VLOOKUP(A564,CURVA!$B$8:$F$30,5,0),"")</f>
        <v/>
      </c>
      <c r="L564" s="45">
        <f t="shared" si="52"/>
        <v>7.7777777777777779E-2</v>
      </c>
      <c r="M564" s="46">
        <f>interpola(E564-$E$4,CURVA!$H$6:$H$20,CURVA!$G$6:$G$20)</f>
        <v>0.02</v>
      </c>
      <c r="N564" s="47">
        <f t="shared" si="53"/>
        <v>0.42175389033387728</v>
      </c>
      <c r="O564" s="49" t="str">
        <f>IF(K564="","",SUMPRODUCT($J$10:J564,$L$10:L564,$N$10:N564)*$E$5)</f>
        <v/>
      </c>
      <c r="P564" s="49" t="str">
        <f>IF(K564="","",SUMPRODUCT($L$10:L564,$N$10:N564)*$K564*$E$5)</f>
        <v/>
      </c>
    </row>
    <row r="565" spans="1:16" x14ac:dyDescent="0.2">
      <c r="A565" s="41">
        <f t="shared" si="49"/>
        <v>15568</v>
      </c>
      <c r="B565" s="41" t="s">
        <v>205</v>
      </c>
      <c r="C565" s="41">
        <v>556</v>
      </c>
      <c r="D565" s="15">
        <f t="shared" si="54"/>
        <v>58202</v>
      </c>
      <c r="E565" s="42">
        <f t="shared" si="50"/>
        <v>58230</v>
      </c>
      <c r="F565" s="42"/>
      <c r="G565" s="42"/>
      <c r="H565" s="50"/>
      <c r="I565" s="43">
        <f t="shared" si="51"/>
        <v>58230</v>
      </c>
      <c r="J565" s="44">
        <f>forward($E$4,D565,E565,CURVA!$H$6:H575,CURVA!$G$6:G575)</f>
        <v>2.0015563624537411E-2</v>
      </c>
      <c r="K565" s="44" t="str">
        <f>IFERROR(VLOOKUP(A565,CURVA!$B$8:$F$30,5,0),"")</f>
        <v/>
      </c>
      <c r="L565" s="45">
        <f t="shared" si="52"/>
        <v>7.7777777777777779E-2</v>
      </c>
      <c r="M565" s="46">
        <f>interpola(E565-$E$4,CURVA!$H$6:$H$20,CURVA!$G$6:$G$20)</f>
        <v>0.02</v>
      </c>
      <c r="N565" s="47">
        <f t="shared" si="53"/>
        <v>0.42109833873234853</v>
      </c>
      <c r="O565" s="49" t="str">
        <f>IF(K565="","",SUMPRODUCT($J$10:J565,$L$10:L565,$N$10:N565)*$E$5)</f>
        <v/>
      </c>
      <c r="P565" s="49" t="str">
        <f>IF(K565="","",SUMPRODUCT($L$10:L565,$N$10:N565)*$K565*$E$5)</f>
        <v/>
      </c>
    </row>
    <row r="566" spans="1:16" x14ac:dyDescent="0.2">
      <c r="A566" s="41">
        <f t="shared" si="49"/>
        <v>15596</v>
      </c>
      <c r="B566" s="41" t="s">
        <v>206</v>
      </c>
      <c r="C566" s="41">
        <v>557</v>
      </c>
      <c r="D566" s="15">
        <f t="shared" si="54"/>
        <v>58230</v>
      </c>
      <c r="E566" s="42">
        <f t="shared" si="50"/>
        <v>58258</v>
      </c>
      <c r="F566" s="42"/>
      <c r="G566" s="42"/>
      <c r="H566" s="50"/>
      <c r="I566" s="43">
        <f t="shared" si="51"/>
        <v>58258</v>
      </c>
      <c r="J566" s="44">
        <f>forward($E$4,D566,E566,CURVA!$H$6:H576,CURVA!$G$6:G576)</f>
        <v>2.0015563624537411E-2</v>
      </c>
      <c r="K566" s="44" t="str">
        <f>IFERROR(VLOOKUP(A566,CURVA!$B$8:$F$30,5,0),"")</f>
        <v/>
      </c>
      <c r="L566" s="45">
        <f t="shared" si="52"/>
        <v>7.7777777777777779E-2</v>
      </c>
      <c r="M566" s="46">
        <f>interpola(E566-$E$4,CURVA!$H$6:$H$20,CURVA!$G$6:$G$20)</f>
        <v>0.02</v>
      </c>
      <c r="N566" s="47">
        <f t="shared" si="53"/>
        <v>0.42044380608503013</v>
      </c>
      <c r="O566" s="49" t="str">
        <f>IF(K566="","",SUMPRODUCT($J$10:J566,$L$10:L566,$N$10:N566)*$E$5)</f>
        <v/>
      </c>
      <c r="P566" s="49" t="str">
        <f>IF(K566="","",SUMPRODUCT($L$10:L566,$N$10:N566)*$K566*$E$5)</f>
        <v/>
      </c>
    </row>
    <row r="567" spans="1:16" x14ac:dyDescent="0.2">
      <c r="A567" s="41">
        <f t="shared" si="49"/>
        <v>15624</v>
      </c>
      <c r="B567" s="41" t="s">
        <v>207</v>
      </c>
      <c r="C567" s="41">
        <v>558</v>
      </c>
      <c r="D567" s="15">
        <f t="shared" si="54"/>
        <v>58258</v>
      </c>
      <c r="E567" s="42">
        <f t="shared" si="50"/>
        <v>58286</v>
      </c>
      <c r="F567" s="42"/>
      <c r="G567" s="42"/>
      <c r="H567" s="50"/>
      <c r="I567" s="43">
        <f t="shared" si="51"/>
        <v>58286</v>
      </c>
      <c r="J567" s="44">
        <f>forward($E$4,D567,E567,CURVA!$H$6:H577,CURVA!$G$6:G577)</f>
        <v>2.0015563624537411E-2</v>
      </c>
      <c r="K567" s="44" t="str">
        <f>IFERROR(VLOOKUP(A567,CURVA!$B$8:$F$30,5,0),"")</f>
        <v/>
      </c>
      <c r="L567" s="45">
        <f t="shared" si="52"/>
        <v>7.7777777777777779E-2</v>
      </c>
      <c r="M567" s="46">
        <f>interpola(E567-$E$4,CURVA!$H$6:$H$20,CURVA!$G$6:$G$20)</f>
        <v>0.02</v>
      </c>
      <c r="N567" s="47">
        <f t="shared" si="53"/>
        <v>0.4197902908081142</v>
      </c>
      <c r="O567" s="49" t="str">
        <f>IF(K567="","",SUMPRODUCT($J$10:J567,$L$10:L567,$N$10:N567)*$E$5)</f>
        <v/>
      </c>
      <c r="P567" s="49" t="str">
        <f>IF(K567="","",SUMPRODUCT($L$10:L567,$N$10:N567)*$K567*$E$5)</f>
        <v/>
      </c>
    </row>
    <row r="568" spans="1:16" x14ac:dyDescent="0.2">
      <c r="A568" s="41">
        <f t="shared" ref="A568:A609" si="55">C568*28</f>
        <v>15652</v>
      </c>
      <c r="B568" s="41" t="s">
        <v>208</v>
      </c>
      <c r="C568" s="41">
        <v>559</v>
      </c>
      <c r="D568" s="15">
        <f t="shared" si="54"/>
        <v>58286</v>
      </c>
      <c r="E568" s="42">
        <f t="shared" ref="E568:E609" si="56">$E$4+28*C568</f>
        <v>58314</v>
      </c>
      <c r="F568" s="42"/>
      <c r="G568" s="42"/>
      <c r="H568" s="50"/>
      <c r="I568" s="43">
        <f t="shared" si="51"/>
        <v>58314</v>
      </c>
      <c r="J568" s="44">
        <f>forward($E$4,D568,E568,CURVA!$H$6:H578,CURVA!$G$6:G578)</f>
        <v>2.0015563624537411E-2</v>
      </c>
      <c r="K568" s="44" t="str">
        <f>IFERROR(VLOOKUP(A568,CURVA!$B$8:$F$30,5,0),"")</f>
        <v/>
      </c>
      <c r="L568" s="45">
        <f t="shared" si="52"/>
        <v>7.7777777777777779E-2</v>
      </c>
      <c r="M568" s="46">
        <f>interpola(E568-$E$4,CURVA!$H$6:$H$20,CURVA!$G$6:$G$20)</f>
        <v>0.02</v>
      </c>
      <c r="N568" s="47">
        <f t="shared" si="53"/>
        <v>0.41913779132025497</v>
      </c>
      <c r="O568" s="49" t="str">
        <f>IF(K568="","",SUMPRODUCT($J$10:J568,$L$10:L568,$N$10:N568)*$E$5)</f>
        <v/>
      </c>
      <c r="P568" s="49" t="str">
        <f>IF(K568="","",SUMPRODUCT($L$10:L568,$N$10:N568)*$K568*$E$5)</f>
        <v/>
      </c>
    </row>
    <row r="569" spans="1:16" x14ac:dyDescent="0.2">
      <c r="A569" s="41">
        <f t="shared" si="55"/>
        <v>15680</v>
      </c>
      <c r="B569" s="41" t="s">
        <v>209</v>
      </c>
      <c r="C569" s="41">
        <v>560</v>
      </c>
      <c r="D569" s="15">
        <f t="shared" si="54"/>
        <v>58314</v>
      </c>
      <c r="E569" s="42">
        <f t="shared" si="56"/>
        <v>58342</v>
      </c>
      <c r="F569" s="42"/>
      <c r="G569" s="42"/>
      <c r="H569" s="50"/>
      <c r="I569" s="43">
        <f t="shared" si="51"/>
        <v>58342</v>
      </c>
      <c r="J569" s="44">
        <f>forward($E$4,D569,E569,CURVA!$H$6:H579,CURVA!$G$6:G579)</f>
        <v>2.0015563624537411E-2</v>
      </c>
      <c r="K569" s="44" t="str">
        <f>IFERROR(VLOOKUP(A569,CURVA!$B$8:$F$30,5,0),"")</f>
        <v/>
      </c>
      <c r="L569" s="45">
        <f t="shared" si="52"/>
        <v>7.7777777777777779E-2</v>
      </c>
      <c r="M569" s="46">
        <f>interpola(E569-$E$4,CURVA!$H$6:$H$20,CURVA!$G$6:$G$20)</f>
        <v>0.02</v>
      </c>
      <c r="N569" s="47">
        <f t="shared" si="53"/>
        <v>0.41848630604256448</v>
      </c>
      <c r="O569" s="49" t="str">
        <f>IF(K569="","",SUMPRODUCT($J$10:J569,$L$10:L569,$N$10:N569)*$E$5)</f>
        <v/>
      </c>
      <c r="P569" s="49" t="str">
        <f>IF(K569="","",SUMPRODUCT($L$10:L569,$N$10:N569)*$K569*$E$5)</f>
        <v/>
      </c>
    </row>
    <row r="570" spans="1:16" x14ac:dyDescent="0.2">
      <c r="A570" s="41">
        <f t="shared" si="55"/>
        <v>15708</v>
      </c>
      <c r="B570" s="41" t="s">
        <v>210</v>
      </c>
      <c r="C570" s="41">
        <v>561</v>
      </c>
      <c r="D570" s="15">
        <f t="shared" si="54"/>
        <v>58342</v>
      </c>
      <c r="E570" s="42">
        <f t="shared" si="56"/>
        <v>58370</v>
      </c>
      <c r="F570" s="42"/>
      <c r="G570" s="42"/>
      <c r="H570" s="50"/>
      <c r="I570" s="43">
        <f t="shared" si="51"/>
        <v>58370</v>
      </c>
      <c r="J570" s="44">
        <f>forward($E$4,D570,E570,CURVA!$H$6:H580,CURVA!$G$6:G580)</f>
        <v>2.0015563624537411E-2</v>
      </c>
      <c r="K570" s="44" t="str">
        <f>IFERROR(VLOOKUP(A570,CURVA!$B$8:$F$30,5,0),"")</f>
        <v/>
      </c>
      <c r="L570" s="45">
        <f t="shared" si="52"/>
        <v>7.7777777777777779E-2</v>
      </c>
      <c r="M570" s="46">
        <f>interpola(E570-$E$4,CURVA!$H$6:$H$20,CURVA!$G$6:$G$20)</f>
        <v>0.02</v>
      </c>
      <c r="N570" s="47">
        <f t="shared" si="53"/>
        <v>0.41783583339860886</v>
      </c>
      <c r="O570" s="49" t="str">
        <f>IF(K570="","",SUMPRODUCT($J$10:J570,$L$10:L570,$N$10:N570)*$E$5)</f>
        <v/>
      </c>
      <c r="P570" s="49" t="str">
        <f>IF(K570="","",SUMPRODUCT($L$10:L570,$N$10:N570)*$K570*$E$5)</f>
        <v/>
      </c>
    </row>
    <row r="571" spans="1:16" x14ac:dyDescent="0.2">
      <c r="A571" s="41">
        <f t="shared" si="55"/>
        <v>15736</v>
      </c>
      <c r="B571" s="41" t="s">
        <v>211</v>
      </c>
      <c r="C571" s="41">
        <v>562</v>
      </c>
      <c r="D571" s="15">
        <f t="shared" si="54"/>
        <v>58370</v>
      </c>
      <c r="E571" s="42">
        <f t="shared" si="56"/>
        <v>58398</v>
      </c>
      <c r="F571" s="42"/>
      <c r="G571" s="42"/>
      <c r="H571" s="50"/>
      <c r="I571" s="43">
        <f t="shared" si="51"/>
        <v>58398</v>
      </c>
      <c r="J571" s="44">
        <f>forward($E$4,D571,E571,CURVA!$H$6:H581,CURVA!$G$6:G581)</f>
        <v>2.0015563624537411E-2</v>
      </c>
      <c r="K571" s="44" t="str">
        <f>IFERROR(VLOOKUP(A571,CURVA!$B$8:$F$30,5,0),"")</f>
        <v/>
      </c>
      <c r="L571" s="45">
        <f t="shared" si="52"/>
        <v>7.7777777777777779E-2</v>
      </c>
      <c r="M571" s="46">
        <f>interpola(E571-$E$4,CURVA!$H$6:$H$20,CURVA!$G$6:$G$20)</f>
        <v>0.02</v>
      </c>
      <c r="N571" s="47">
        <f t="shared" si="53"/>
        <v>0.41718637181440449</v>
      </c>
      <c r="O571" s="49" t="str">
        <f>IF(K571="","",SUMPRODUCT($J$10:J571,$L$10:L571,$N$10:N571)*$E$5)</f>
        <v/>
      </c>
      <c r="P571" s="49" t="str">
        <f>IF(K571="","",SUMPRODUCT($L$10:L571,$N$10:N571)*$K571*$E$5)</f>
        <v/>
      </c>
    </row>
    <row r="572" spans="1:16" x14ac:dyDescent="0.2">
      <c r="A572" s="41">
        <f t="shared" si="55"/>
        <v>15764</v>
      </c>
      <c r="B572" s="41" t="s">
        <v>212</v>
      </c>
      <c r="C572" s="41">
        <v>563</v>
      </c>
      <c r="D572" s="15">
        <f t="shared" si="54"/>
        <v>58398</v>
      </c>
      <c r="E572" s="42">
        <f t="shared" si="56"/>
        <v>58426</v>
      </c>
      <c r="F572" s="42"/>
      <c r="G572" s="42"/>
      <c r="H572" s="50"/>
      <c r="I572" s="43">
        <f t="shared" si="51"/>
        <v>58426</v>
      </c>
      <c r="J572" s="44">
        <f>forward($E$4,D572,E572,CURVA!$H$6:H582,CURVA!$G$6:G582)</f>
        <v>2.0015563624537411E-2</v>
      </c>
      <c r="K572" s="44" t="str">
        <f>IFERROR(VLOOKUP(A572,CURVA!$B$8:$F$30,5,0),"")</f>
        <v/>
      </c>
      <c r="L572" s="45">
        <f t="shared" si="52"/>
        <v>7.7777777777777779E-2</v>
      </c>
      <c r="M572" s="46">
        <f>interpola(E572-$E$4,CURVA!$H$6:$H$20,CURVA!$G$6:$G$20)</f>
        <v>0.02</v>
      </c>
      <c r="N572" s="47">
        <f t="shared" si="53"/>
        <v>0.41653791971841458</v>
      </c>
      <c r="O572" s="49" t="str">
        <f>IF(K572="","",SUMPRODUCT($J$10:J572,$L$10:L572,$N$10:N572)*$E$5)</f>
        <v/>
      </c>
      <c r="P572" s="49" t="str">
        <f>IF(K572="","",SUMPRODUCT($L$10:L572,$N$10:N572)*$K572*$E$5)</f>
        <v/>
      </c>
    </row>
    <row r="573" spans="1:16" x14ac:dyDescent="0.2">
      <c r="A573" s="41">
        <f t="shared" si="55"/>
        <v>15792</v>
      </c>
      <c r="B573" s="41" t="s">
        <v>213</v>
      </c>
      <c r="C573" s="41">
        <v>564</v>
      </c>
      <c r="D573" s="15">
        <f t="shared" si="54"/>
        <v>58426</v>
      </c>
      <c r="E573" s="42">
        <f t="shared" si="56"/>
        <v>58454</v>
      </c>
      <c r="F573" s="42"/>
      <c r="G573" s="42"/>
      <c r="H573" s="50"/>
      <c r="I573" s="43">
        <f t="shared" si="51"/>
        <v>58454</v>
      </c>
      <c r="J573" s="44">
        <f>forward($E$4,D573,E573,CURVA!$H$6:H583,CURVA!$G$6:G583)</f>
        <v>2.0015563624537411E-2</v>
      </c>
      <c r="K573" s="44" t="str">
        <f>IFERROR(VLOOKUP(A573,CURVA!$B$8:$F$30,5,0),"")</f>
        <v/>
      </c>
      <c r="L573" s="45">
        <f t="shared" si="52"/>
        <v>7.7777777777777779E-2</v>
      </c>
      <c r="M573" s="46">
        <f>interpola(E573-$E$4,CURVA!$H$6:$H$20,CURVA!$G$6:$G$20)</f>
        <v>0.02</v>
      </c>
      <c r="N573" s="47">
        <f t="shared" si="53"/>
        <v>0.41589047554154479</v>
      </c>
      <c r="O573" s="49" t="str">
        <f>IF(K573="","",SUMPRODUCT($J$10:J573,$L$10:L573,$N$10:N573)*$E$5)</f>
        <v/>
      </c>
      <c r="P573" s="49" t="str">
        <f>IF(K573="","",SUMPRODUCT($L$10:L573,$N$10:N573)*$K573*$E$5)</f>
        <v/>
      </c>
    </row>
    <row r="574" spans="1:16" x14ac:dyDescent="0.2">
      <c r="A574" s="41">
        <f t="shared" si="55"/>
        <v>15820</v>
      </c>
      <c r="B574" s="41" t="s">
        <v>214</v>
      </c>
      <c r="C574" s="41">
        <v>565</v>
      </c>
      <c r="D574" s="15">
        <f t="shared" si="54"/>
        <v>58454</v>
      </c>
      <c r="E574" s="42">
        <f t="shared" si="56"/>
        <v>58482</v>
      </c>
      <c r="F574" s="42"/>
      <c r="G574" s="42"/>
      <c r="H574" s="50"/>
      <c r="I574" s="43">
        <f t="shared" si="51"/>
        <v>58482</v>
      </c>
      <c r="J574" s="44">
        <f>forward($E$4,D574,E574,CURVA!$H$6:H584,CURVA!$G$6:G584)</f>
        <v>2.0015563624534556E-2</v>
      </c>
      <c r="K574" s="44" t="str">
        <f>IFERROR(VLOOKUP(A574,CURVA!$B$8:$F$30,5,0),"")</f>
        <v/>
      </c>
      <c r="L574" s="45">
        <f t="shared" si="52"/>
        <v>7.7777777777777779E-2</v>
      </c>
      <c r="M574" s="46">
        <f>interpola(E574-$E$4,CURVA!$H$6:$H$20,CURVA!$G$6:$G$20)</f>
        <v>0.02</v>
      </c>
      <c r="N574" s="47">
        <f t="shared" si="53"/>
        <v>0.41524403771713969</v>
      </c>
      <c r="O574" s="49" t="str">
        <f>IF(K574="","",SUMPRODUCT($J$10:J574,$L$10:L574,$N$10:N574)*$E$5)</f>
        <v/>
      </c>
      <c r="P574" s="49" t="str">
        <f>IF(K574="","",SUMPRODUCT($L$10:L574,$N$10:N574)*$K574*$E$5)</f>
        <v/>
      </c>
    </row>
    <row r="575" spans="1:16" x14ac:dyDescent="0.2">
      <c r="A575" s="41">
        <f t="shared" si="55"/>
        <v>15848</v>
      </c>
      <c r="B575" s="41" t="s">
        <v>215</v>
      </c>
      <c r="C575" s="41">
        <v>566</v>
      </c>
      <c r="D575" s="15">
        <f t="shared" si="54"/>
        <v>58482</v>
      </c>
      <c r="E575" s="42">
        <f t="shared" si="56"/>
        <v>58510</v>
      </c>
      <c r="F575" s="42"/>
      <c r="G575" s="42"/>
      <c r="H575" s="50"/>
      <c r="I575" s="43">
        <f t="shared" si="51"/>
        <v>58510</v>
      </c>
      <c r="J575" s="44">
        <f>forward($E$4,D575,E575,CURVA!$H$6:H585,CURVA!$G$6:G585)</f>
        <v>2.0015563624537411E-2</v>
      </c>
      <c r="K575" s="44" t="str">
        <f>IFERROR(VLOOKUP(A575,CURVA!$B$8:$F$30,5,0),"")</f>
        <v/>
      </c>
      <c r="L575" s="45">
        <f t="shared" si="52"/>
        <v>7.7777777777777779E-2</v>
      </c>
      <c r="M575" s="46">
        <f>interpola(E575-$E$4,CURVA!$H$6:$H$20,CURVA!$G$6:$G$20)</f>
        <v>0.02</v>
      </c>
      <c r="N575" s="47">
        <f t="shared" si="53"/>
        <v>0.41459860468097914</v>
      </c>
      <c r="O575" s="49" t="str">
        <f>IF(K575="","",SUMPRODUCT($J$10:J575,$L$10:L575,$N$10:N575)*$E$5)</f>
        <v/>
      </c>
      <c r="P575" s="49" t="str">
        <f>IF(K575="","",SUMPRODUCT($L$10:L575,$N$10:N575)*$K575*$E$5)</f>
        <v/>
      </c>
    </row>
    <row r="576" spans="1:16" x14ac:dyDescent="0.2">
      <c r="A576" s="41">
        <f t="shared" si="55"/>
        <v>15876</v>
      </c>
      <c r="B576" s="41" t="s">
        <v>216</v>
      </c>
      <c r="C576" s="41">
        <v>567</v>
      </c>
      <c r="D576" s="15">
        <f t="shared" si="54"/>
        <v>58510</v>
      </c>
      <c r="E576" s="42">
        <f t="shared" si="56"/>
        <v>58538</v>
      </c>
      <c r="F576" s="42"/>
      <c r="G576" s="42"/>
      <c r="H576" s="50"/>
      <c r="I576" s="43">
        <f t="shared" si="51"/>
        <v>58538</v>
      </c>
      <c r="J576" s="44">
        <f>forward($E$4,D576,E576,CURVA!$H$6:H586,CURVA!$G$6:G586)</f>
        <v>2.0015563624534556E-2</v>
      </c>
      <c r="K576" s="44" t="str">
        <f>IFERROR(VLOOKUP(A576,CURVA!$B$8:$F$30,5,0),"")</f>
        <v/>
      </c>
      <c r="L576" s="45">
        <f t="shared" si="52"/>
        <v>7.7777777777777779E-2</v>
      </c>
      <c r="M576" s="46">
        <f>interpola(E576-$E$4,CURVA!$H$6:$H$20,CURVA!$G$6:$G$20)</f>
        <v>0.02</v>
      </c>
      <c r="N576" s="47">
        <f t="shared" si="53"/>
        <v>0.41395417487127412</v>
      </c>
      <c r="O576" s="49" t="str">
        <f>IF(K576="","",SUMPRODUCT($J$10:J576,$L$10:L576,$N$10:N576)*$E$5)</f>
        <v/>
      </c>
      <c r="P576" s="49" t="str">
        <f>IF(K576="","",SUMPRODUCT($L$10:L576,$N$10:N576)*$K576*$E$5)</f>
        <v/>
      </c>
    </row>
    <row r="577" spans="1:16" x14ac:dyDescent="0.2">
      <c r="A577" s="41">
        <f t="shared" si="55"/>
        <v>15904</v>
      </c>
      <c r="B577" s="41" t="s">
        <v>217</v>
      </c>
      <c r="C577" s="41">
        <v>568</v>
      </c>
      <c r="D577" s="15">
        <f t="shared" si="54"/>
        <v>58538</v>
      </c>
      <c r="E577" s="42">
        <f t="shared" si="56"/>
        <v>58566</v>
      </c>
      <c r="F577" s="42"/>
      <c r="G577" s="42"/>
      <c r="H577" s="50"/>
      <c r="I577" s="43">
        <f t="shared" si="51"/>
        <v>58566</v>
      </c>
      <c r="J577" s="44">
        <f>forward($E$4,D577,E577,CURVA!$H$6:H587,CURVA!$G$6:G587)</f>
        <v>2.0015563624537411E-2</v>
      </c>
      <c r="K577" s="44" t="str">
        <f>IFERROR(VLOOKUP(A577,CURVA!$B$8:$F$30,5,0),"")</f>
        <v/>
      </c>
      <c r="L577" s="45">
        <f t="shared" si="52"/>
        <v>7.7777777777777779E-2</v>
      </c>
      <c r="M577" s="46">
        <f>interpola(E577-$E$4,CURVA!$H$6:$H$20,CURVA!$G$6:$G$20)</f>
        <v>0.02</v>
      </c>
      <c r="N577" s="47">
        <f t="shared" si="53"/>
        <v>0.41331074672866336</v>
      </c>
      <c r="O577" s="49" t="str">
        <f>IF(K577="","",SUMPRODUCT($J$10:J577,$L$10:L577,$N$10:N577)*$E$5)</f>
        <v/>
      </c>
      <c r="P577" s="49" t="str">
        <f>IF(K577="","",SUMPRODUCT($L$10:L577,$N$10:N577)*$K577*$E$5)</f>
        <v/>
      </c>
    </row>
    <row r="578" spans="1:16" x14ac:dyDescent="0.2">
      <c r="A578" s="41">
        <f t="shared" si="55"/>
        <v>15932</v>
      </c>
      <c r="B578" s="41" t="s">
        <v>218</v>
      </c>
      <c r="C578" s="41">
        <v>569</v>
      </c>
      <c r="D578" s="15">
        <f t="shared" si="54"/>
        <v>58566</v>
      </c>
      <c r="E578" s="42">
        <f t="shared" si="56"/>
        <v>58594</v>
      </c>
      <c r="F578" s="42"/>
      <c r="G578" s="42"/>
      <c r="H578" s="50"/>
      <c r="I578" s="43">
        <f t="shared" si="51"/>
        <v>58594</v>
      </c>
      <c r="J578" s="44">
        <f>forward($E$4,D578,E578,CURVA!$H$6:H588,CURVA!$G$6:G588)</f>
        <v>2.0015563624537411E-2</v>
      </c>
      <c r="K578" s="44" t="str">
        <f>IFERROR(VLOOKUP(A578,CURVA!$B$8:$F$30,5,0),"")</f>
        <v/>
      </c>
      <c r="L578" s="45">
        <f t="shared" si="52"/>
        <v>7.7777777777777779E-2</v>
      </c>
      <c r="M578" s="46">
        <f>interpola(E578-$E$4,CURVA!$H$6:$H$20,CURVA!$G$6:$G$20)</f>
        <v>0.02</v>
      </c>
      <c r="N578" s="47">
        <f t="shared" si="53"/>
        <v>0.41266831869620935</v>
      </c>
      <c r="O578" s="49" t="str">
        <f>IF(K578="","",SUMPRODUCT($J$10:J578,$L$10:L578,$N$10:N578)*$E$5)</f>
        <v/>
      </c>
      <c r="P578" s="49" t="str">
        <f>IF(K578="","",SUMPRODUCT($L$10:L578,$N$10:N578)*$K578*$E$5)</f>
        <v/>
      </c>
    </row>
    <row r="579" spans="1:16" x14ac:dyDescent="0.2">
      <c r="A579" s="41">
        <f t="shared" si="55"/>
        <v>15960</v>
      </c>
      <c r="B579" s="41" t="s">
        <v>219</v>
      </c>
      <c r="C579" s="41">
        <v>570</v>
      </c>
      <c r="D579" s="15">
        <f t="shared" si="54"/>
        <v>58594</v>
      </c>
      <c r="E579" s="42">
        <f t="shared" si="56"/>
        <v>58622</v>
      </c>
      <c r="F579" s="42"/>
      <c r="G579" s="42"/>
      <c r="H579" s="50"/>
      <c r="I579" s="43">
        <f t="shared" si="51"/>
        <v>58622</v>
      </c>
      <c r="J579" s="44">
        <f>forward($E$4,D579,E579,CURVA!$H$6:H589,CURVA!$G$6:G589)</f>
        <v>2.0015563624537411E-2</v>
      </c>
      <c r="K579" s="44" t="str">
        <f>IFERROR(VLOOKUP(A579,CURVA!$B$8:$F$30,5,0),"")</f>
        <v/>
      </c>
      <c r="L579" s="45">
        <f t="shared" si="52"/>
        <v>7.7777777777777779E-2</v>
      </c>
      <c r="M579" s="46">
        <f>interpola(E579-$E$4,CURVA!$H$6:$H$20,CURVA!$G$6:$G$20)</f>
        <v>0.02</v>
      </c>
      <c r="N579" s="47">
        <f t="shared" si="53"/>
        <v>0.41202688921939451</v>
      </c>
      <c r="O579" s="49" t="str">
        <f>IF(K579="","",SUMPRODUCT($J$10:J579,$L$10:L579,$N$10:N579)*$E$5)</f>
        <v/>
      </c>
      <c r="P579" s="49" t="str">
        <f>IF(K579="","",SUMPRODUCT($L$10:L579,$N$10:N579)*$K579*$E$5)</f>
        <v/>
      </c>
    </row>
    <row r="580" spans="1:16" x14ac:dyDescent="0.2">
      <c r="A580" s="41">
        <f t="shared" si="55"/>
        <v>15988</v>
      </c>
      <c r="B580" s="41" t="s">
        <v>220</v>
      </c>
      <c r="C580" s="41">
        <v>571</v>
      </c>
      <c r="D580" s="15">
        <f t="shared" si="54"/>
        <v>58622</v>
      </c>
      <c r="E580" s="42">
        <f t="shared" si="56"/>
        <v>58650</v>
      </c>
      <c r="F580" s="42"/>
      <c r="G580" s="42"/>
      <c r="H580" s="50"/>
      <c r="I580" s="43">
        <f t="shared" si="51"/>
        <v>58650</v>
      </c>
      <c r="J580" s="44">
        <f>forward($E$4,D580,E580,CURVA!$H$6:H590,CURVA!$G$6:G590)</f>
        <v>2.0015563624537411E-2</v>
      </c>
      <c r="K580" s="44" t="str">
        <f>IFERROR(VLOOKUP(A580,CURVA!$B$8:$F$30,5,0),"")</f>
        <v/>
      </c>
      <c r="L580" s="45">
        <f t="shared" si="52"/>
        <v>7.7777777777777779E-2</v>
      </c>
      <c r="M580" s="46">
        <f>interpola(E580-$E$4,CURVA!$H$6:$H$20,CURVA!$G$6:$G$20)</f>
        <v>0.02</v>
      </c>
      <c r="N580" s="47">
        <f t="shared" si="53"/>
        <v>0.41138645674611757</v>
      </c>
      <c r="O580" s="49" t="str">
        <f>IF(K580="","",SUMPRODUCT($J$10:J580,$L$10:L580,$N$10:N580)*$E$5)</f>
        <v/>
      </c>
      <c r="P580" s="49" t="str">
        <f>IF(K580="","",SUMPRODUCT($L$10:L580,$N$10:N580)*$K580*$E$5)</f>
        <v/>
      </c>
    </row>
    <row r="581" spans="1:16" x14ac:dyDescent="0.2">
      <c r="A581" s="41">
        <f t="shared" si="55"/>
        <v>16016</v>
      </c>
      <c r="B581" s="41" t="s">
        <v>221</v>
      </c>
      <c r="C581" s="41">
        <v>572</v>
      </c>
      <c r="D581" s="15">
        <f t="shared" si="54"/>
        <v>58650</v>
      </c>
      <c r="E581" s="42">
        <f t="shared" si="56"/>
        <v>58678</v>
      </c>
      <c r="F581" s="42"/>
      <c r="G581" s="42"/>
      <c r="H581" s="50"/>
      <c r="I581" s="43">
        <f t="shared" si="51"/>
        <v>58678</v>
      </c>
      <c r="J581" s="44">
        <f>forward($E$4,D581,E581,CURVA!$H$6:H591,CURVA!$G$6:G591)</f>
        <v>2.0015563624537411E-2</v>
      </c>
      <c r="K581" s="44" t="str">
        <f>IFERROR(VLOOKUP(A581,CURVA!$B$8:$F$30,5,0),"")</f>
        <v/>
      </c>
      <c r="L581" s="45">
        <f t="shared" si="52"/>
        <v>7.7777777777777779E-2</v>
      </c>
      <c r="M581" s="46">
        <f>interpola(E581-$E$4,CURVA!$H$6:$H$20,CURVA!$G$6:$G$20)</f>
        <v>0.02</v>
      </c>
      <c r="N581" s="47">
        <f t="shared" si="53"/>
        <v>0.41074701972668981</v>
      </c>
      <c r="O581" s="49" t="str">
        <f>IF(K581="","",SUMPRODUCT($J$10:J581,$L$10:L581,$N$10:N581)*$E$5)</f>
        <v/>
      </c>
      <c r="P581" s="49" t="str">
        <f>IF(K581="","",SUMPRODUCT($L$10:L581,$N$10:N581)*$K581*$E$5)</f>
        <v/>
      </c>
    </row>
    <row r="582" spans="1:16" x14ac:dyDescent="0.2">
      <c r="A582" s="41">
        <f t="shared" si="55"/>
        <v>16044</v>
      </c>
      <c r="B582" s="41" t="s">
        <v>222</v>
      </c>
      <c r="C582" s="41">
        <v>573</v>
      </c>
      <c r="D582" s="15">
        <f t="shared" si="54"/>
        <v>58678</v>
      </c>
      <c r="E582" s="42">
        <f t="shared" si="56"/>
        <v>58706</v>
      </c>
      <c r="F582" s="42"/>
      <c r="G582" s="42"/>
      <c r="H582" s="50"/>
      <c r="I582" s="43">
        <f t="shared" si="51"/>
        <v>58706</v>
      </c>
      <c r="J582" s="44">
        <f>forward($E$4,D582,E582,CURVA!$H$6:H592,CURVA!$G$6:G592)</f>
        <v>2.0015563624537411E-2</v>
      </c>
      <c r="K582" s="44" t="str">
        <f>IFERROR(VLOOKUP(A582,CURVA!$B$8:$F$30,5,0),"")</f>
        <v/>
      </c>
      <c r="L582" s="45">
        <f t="shared" si="52"/>
        <v>7.7777777777777779E-2</v>
      </c>
      <c r="M582" s="46">
        <f>interpola(E582-$E$4,CURVA!$H$6:$H$20,CURVA!$G$6:$G$20)</f>
        <v>0.02</v>
      </c>
      <c r="N582" s="47">
        <f t="shared" si="53"/>
        <v>0.41010857661383116</v>
      </c>
      <c r="O582" s="49" t="str">
        <f>IF(K582="","",SUMPRODUCT($J$10:J582,$L$10:L582,$N$10:N582)*$E$5)</f>
        <v/>
      </c>
      <c r="P582" s="49" t="str">
        <f>IF(K582="","",SUMPRODUCT($L$10:L582,$N$10:N582)*$K582*$E$5)</f>
        <v/>
      </c>
    </row>
    <row r="583" spans="1:16" x14ac:dyDescent="0.2">
      <c r="A583" s="41">
        <f t="shared" si="55"/>
        <v>16072</v>
      </c>
      <c r="B583" s="41" t="s">
        <v>223</v>
      </c>
      <c r="C583" s="41">
        <v>574</v>
      </c>
      <c r="D583" s="15">
        <f t="shared" si="54"/>
        <v>58706</v>
      </c>
      <c r="E583" s="42">
        <f t="shared" si="56"/>
        <v>58734</v>
      </c>
      <c r="F583" s="42"/>
      <c r="G583" s="42"/>
      <c r="H583" s="50"/>
      <c r="I583" s="43">
        <f t="shared" si="51"/>
        <v>58734</v>
      </c>
      <c r="J583" s="44">
        <f>forward($E$4,D583,E583,CURVA!$H$6:H593,CURVA!$G$6:G593)</f>
        <v>2.0015563624537411E-2</v>
      </c>
      <c r="K583" s="44" t="str">
        <f>IFERROR(VLOOKUP(A583,CURVA!$B$8:$F$30,5,0),"")</f>
        <v/>
      </c>
      <c r="L583" s="45">
        <f t="shared" si="52"/>
        <v>7.7777777777777779E-2</v>
      </c>
      <c r="M583" s="46">
        <f>interpola(E583-$E$4,CURVA!$H$6:$H$20,CURVA!$G$6:$G$20)</f>
        <v>0.02</v>
      </c>
      <c r="N583" s="47">
        <f t="shared" si="53"/>
        <v>0.40947112586266671</v>
      </c>
      <c r="O583" s="49" t="str">
        <f>IF(K583="","",SUMPRODUCT($J$10:J583,$L$10:L583,$N$10:N583)*$E$5)</f>
        <v/>
      </c>
      <c r="P583" s="49" t="str">
        <f>IF(K583="","",SUMPRODUCT($L$10:L583,$N$10:N583)*$K583*$E$5)</f>
        <v/>
      </c>
    </row>
    <row r="584" spans="1:16" x14ac:dyDescent="0.2">
      <c r="A584" s="41">
        <f t="shared" si="55"/>
        <v>16100</v>
      </c>
      <c r="B584" s="41" t="s">
        <v>224</v>
      </c>
      <c r="C584" s="41">
        <v>575</v>
      </c>
      <c r="D584" s="15">
        <f t="shared" si="54"/>
        <v>58734</v>
      </c>
      <c r="E584" s="42">
        <f t="shared" si="56"/>
        <v>58762</v>
      </c>
      <c r="F584" s="42"/>
      <c r="G584" s="42"/>
      <c r="H584" s="50"/>
      <c r="I584" s="43">
        <f t="shared" si="51"/>
        <v>58762</v>
      </c>
      <c r="J584" s="44">
        <f>forward($E$4,D584,E584,CURVA!$H$6:H594,CURVA!$G$6:G594)</f>
        <v>2.0015563624537411E-2</v>
      </c>
      <c r="K584" s="44" t="str">
        <f>IFERROR(VLOOKUP(A584,CURVA!$B$8:$F$30,5,0),"")</f>
        <v/>
      </c>
      <c r="L584" s="45">
        <f t="shared" si="52"/>
        <v>7.7777777777777779E-2</v>
      </c>
      <c r="M584" s="46">
        <f>interpola(E584-$E$4,CURVA!$H$6:$H$20,CURVA!$G$6:$G$20)</f>
        <v>0.02</v>
      </c>
      <c r="N584" s="47">
        <f t="shared" si="53"/>
        <v>0.40883466593072254</v>
      </c>
      <c r="O584" s="49" t="str">
        <f>IF(K584="","",SUMPRODUCT($J$10:J584,$L$10:L584,$N$10:N584)*$E$5)</f>
        <v/>
      </c>
      <c r="P584" s="49" t="str">
        <f>IF(K584="","",SUMPRODUCT($L$10:L584,$N$10:N584)*$K584*$E$5)</f>
        <v/>
      </c>
    </row>
    <row r="585" spans="1:16" x14ac:dyDescent="0.2">
      <c r="A585" s="41">
        <f t="shared" si="55"/>
        <v>16128</v>
      </c>
      <c r="B585" s="41" t="s">
        <v>225</v>
      </c>
      <c r="C585" s="41">
        <v>576</v>
      </c>
      <c r="D585" s="15">
        <f t="shared" si="54"/>
        <v>58762</v>
      </c>
      <c r="E585" s="42">
        <f t="shared" si="56"/>
        <v>58790</v>
      </c>
      <c r="F585" s="42"/>
      <c r="G585" s="42"/>
      <c r="H585" s="50"/>
      <c r="I585" s="43">
        <f t="shared" si="51"/>
        <v>58790</v>
      </c>
      <c r="J585" s="44">
        <f>forward($E$4,D585,E585,CURVA!$H$6:H595,CURVA!$G$6:G595)</f>
        <v>2.0015563624534556E-2</v>
      </c>
      <c r="K585" s="44" t="str">
        <f>IFERROR(VLOOKUP(A585,CURVA!$B$8:$F$30,5,0),"")</f>
        <v/>
      </c>
      <c r="L585" s="45">
        <f t="shared" si="52"/>
        <v>7.7777777777777779E-2</v>
      </c>
      <c r="M585" s="46">
        <f>interpola(E585-$E$4,CURVA!$H$6:$H$20,CURVA!$G$6:$G$20)</f>
        <v>0.02</v>
      </c>
      <c r="N585" s="47">
        <f t="shared" si="53"/>
        <v>0.4081991952779227</v>
      </c>
      <c r="O585" s="49" t="str">
        <f>IF(K585="","",SUMPRODUCT($J$10:J585,$L$10:L585,$N$10:N585)*$E$5)</f>
        <v/>
      </c>
      <c r="P585" s="49" t="str">
        <f>IF(K585="","",SUMPRODUCT($L$10:L585,$N$10:N585)*$K585*$E$5)</f>
        <v/>
      </c>
    </row>
    <row r="586" spans="1:16" x14ac:dyDescent="0.2">
      <c r="A586" s="41">
        <f t="shared" si="55"/>
        <v>16156</v>
      </c>
      <c r="B586" s="41" t="s">
        <v>226</v>
      </c>
      <c r="C586" s="41">
        <v>577</v>
      </c>
      <c r="D586" s="15">
        <f t="shared" si="54"/>
        <v>58790</v>
      </c>
      <c r="E586" s="42">
        <f t="shared" si="56"/>
        <v>58818</v>
      </c>
      <c r="F586" s="42"/>
      <c r="G586" s="42"/>
      <c r="H586" s="50"/>
      <c r="I586" s="43">
        <f t="shared" ref="I586:I609" si="57">E586</f>
        <v>58818</v>
      </c>
      <c r="J586" s="44">
        <f>forward($E$4,D586,E586,CURVA!$H$6:H596,CURVA!$G$6:G596)</f>
        <v>2.0015563624537411E-2</v>
      </c>
      <c r="K586" s="44" t="str">
        <f>IFERROR(VLOOKUP(A586,CURVA!$B$8:$F$30,5,0),"")</f>
        <v/>
      </c>
      <c r="L586" s="45">
        <f t="shared" si="52"/>
        <v>7.7777777777777779E-2</v>
      </c>
      <c r="M586" s="46">
        <f>interpola(E586-$E$4,CURVA!$H$6:$H$20,CURVA!$G$6:$G$20)</f>
        <v>0.02</v>
      </c>
      <c r="N586" s="47">
        <f t="shared" si="53"/>
        <v>0.40756471236658459</v>
      </c>
      <c r="O586" s="49" t="str">
        <f>IF(K586="","",SUMPRODUCT($J$10:J586,$L$10:L586,$N$10:N586)*$E$5)</f>
        <v/>
      </c>
      <c r="P586" s="49" t="str">
        <f>IF(K586="","",SUMPRODUCT($L$10:L586,$N$10:N586)*$K586*$E$5)</f>
        <v/>
      </c>
    </row>
    <row r="587" spans="1:16" x14ac:dyDescent="0.2">
      <c r="A587" s="41">
        <f t="shared" si="55"/>
        <v>16184</v>
      </c>
      <c r="B587" s="41" t="s">
        <v>227</v>
      </c>
      <c r="C587" s="41">
        <v>578</v>
      </c>
      <c r="D587" s="15">
        <f t="shared" si="54"/>
        <v>58818</v>
      </c>
      <c r="E587" s="42">
        <f t="shared" si="56"/>
        <v>58846</v>
      </c>
      <c r="F587" s="42"/>
      <c r="G587" s="42"/>
      <c r="H587" s="50"/>
      <c r="I587" s="43">
        <f t="shared" si="57"/>
        <v>58846</v>
      </c>
      <c r="J587" s="44">
        <f>forward($E$4,D587,E587,CURVA!$H$6:H597,CURVA!$G$6:G597)</f>
        <v>2.0015563624534556E-2</v>
      </c>
      <c r="K587" s="44" t="str">
        <f>IFERROR(VLOOKUP(A587,CURVA!$B$8:$F$30,5,0),"")</f>
        <v/>
      </c>
      <c r="L587" s="45">
        <f t="shared" ref="L587:L609" si="58">(E587-D587)/360</f>
        <v>7.7777777777777779E-2</v>
      </c>
      <c r="M587" s="46">
        <f>interpola(E587-$E$4,CURVA!$H$6:$H$20,CURVA!$G$6:$G$20)</f>
        <v>0.02</v>
      </c>
      <c r="N587" s="47">
        <f t="shared" ref="N587:N609" si="59">EXP(-M587*(E587-$E$4)/360)</f>
        <v>0.4069312156614161</v>
      </c>
      <c r="O587" s="49" t="str">
        <f>IF(K587="","",SUMPRODUCT($J$10:J587,$L$10:L587,$N$10:N587)*$E$5)</f>
        <v/>
      </c>
      <c r="P587" s="49" t="str">
        <f>IF(K587="","",SUMPRODUCT($L$10:L587,$N$10:N587)*$K587*$E$5)</f>
        <v/>
      </c>
    </row>
    <row r="588" spans="1:16" x14ac:dyDescent="0.2">
      <c r="A588" s="41">
        <f t="shared" si="55"/>
        <v>16212</v>
      </c>
      <c r="B588" s="41" t="s">
        <v>228</v>
      </c>
      <c r="C588" s="41">
        <v>579</v>
      </c>
      <c r="D588" s="15">
        <f t="shared" si="54"/>
        <v>58846</v>
      </c>
      <c r="E588" s="42">
        <f t="shared" si="56"/>
        <v>58874</v>
      </c>
      <c r="F588" s="42"/>
      <c r="G588" s="42"/>
      <c r="H588" s="50"/>
      <c r="I588" s="43">
        <f t="shared" si="57"/>
        <v>58874</v>
      </c>
      <c r="J588" s="44">
        <f>forward($E$4,D588,E588,CURVA!$H$6:H598,CURVA!$G$6:G598)</f>
        <v>2.0015563624537411E-2</v>
      </c>
      <c r="K588" s="44" t="str">
        <f>IFERROR(VLOOKUP(A588,CURVA!$B$8:$F$30,5,0),"")</f>
        <v/>
      </c>
      <c r="L588" s="45">
        <f t="shared" si="58"/>
        <v>7.7777777777777779E-2</v>
      </c>
      <c r="M588" s="46">
        <f>interpola(E588-$E$4,CURVA!$H$6:$H$20,CURVA!$G$6:$G$20)</f>
        <v>0.02</v>
      </c>
      <c r="N588" s="47">
        <f t="shared" si="59"/>
        <v>0.40629870362951115</v>
      </c>
      <c r="O588" s="49" t="str">
        <f>IF(K588="","",SUMPRODUCT($J$10:J588,$L$10:L588,$N$10:N588)*$E$5)</f>
        <v/>
      </c>
      <c r="P588" s="49" t="str">
        <f>IF(K588="","",SUMPRODUCT($L$10:L588,$N$10:N588)*$K588*$E$5)</f>
        <v/>
      </c>
    </row>
    <row r="589" spans="1:16" x14ac:dyDescent="0.2">
      <c r="A589" s="41">
        <f t="shared" si="55"/>
        <v>16240</v>
      </c>
      <c r="B589" s="41" t="s">
        <v>229</v>
      </c>
      <c r="C589" s="41">
        <v>580</v>
      </c>
      <c r="D589" s="15">
        <f t="shared" si="54"/>
        <v>58874</v>
      </c>
      <c r="E589" s="42">
        <f t="shared" si="56"/>
        <v>58902</v>
      </c>
      <c r="F589" s="42"/>
      <c r="G589" s="42"/>
      <c r="H589" s="50"/>
      <c r="I589" s="43">
        <f t="shared" si="57"/>
        <v>58902</v>
      </c>
      <c r="J589" s="44">
        <f>forward($E$4,D589,E589,CURVA!$H$6:H599,CURVA!$G$6:G599)</f>
        <v>2.0015563624537411E-2</v>
      </c>
      <c r="K589" s="44" t="str">
        <f>IFERROR(VLOOKUP(A589,CURVA!$B$8:$F$30,5,0),"")</f>
        <v/>
      </c>
      <c r="L589" s="45">
        <f t="shared" si="58"/>
        <v>7.7777777777777779E-2</v>
      </c>
      <c r="M589" s="46">
        <f>interpola(E589-$E$4,CURVA!$H$6:$H$20,CURVA!$G$6:$G$20)</f>
        <v>0.02</v>
      </c>
      <c r="N589" s="47">
        <f t="shared" si="59"/>
        <v>0.40566717474034658</v>
      </c>
      <c r="O589" s="49" t="str">
        <f>IF(K589="","",SUMPRODUCT($J$10:J589,$L$10:L589,$N$10:N589)*$E$5)</f>
        <v/>
      </c>
      <c r="P589" s="49" t="str">
        <f>IF(K589="","",SUMPRODUCT($L$10:L589,$N$10:N589)*$K589*$E$5)</f>
        <v/>
      </c>
    </row>
    <row r="590" spans="1:16" x14ac:dyDescent="0.2">
      <c r="A590" s="41">
        <f t="shared" si="55"/>
        <v>16268</v>
      </c>
      <c r="B590" s="41" t="s">
        <v>230</v>
      </c>
      <c r="C590" s="41">
        <v>581</v>
      </c>
      <c r="D590" s="15">
        <f t="shared" si="54"/>
        <v>58902</v>
      </c>
      <c r="E590" s="42">
        <f t="shared" si="56"/>
        <v>58930</v>
      </c>
      <c r="F590" s="42"/>
      <c r="G590" s="42"/>
      <c r="H590" s="50"/>
      <c r="I590" s="43">
        <f t="shared" si="57"/>
        <v>58930</v>
      </c>
      <c r="J590" s="44">
        <f>forward($E$4,D590,E590,CURVA!$H$6:H600,CURVA!$G$6:G600)</f>
        <v>2.0015563624537411E-2</v>
      </c>
      <c r="K590" s="44" t="str">
        <f>IFERROR(VLOOKUP(A590,CURVA!$B$8:$F$30,5,0),"")</f>
        <v/>
      </c>
      <c r="L590" s="45">
        <f t="shared" si="58"/>
        <v>7.7777777777777779E-2</v>
      </c>
      <c r="M590" s="46">
        <f>interpola(E590-$E$4,CURVA!$H$6:$H$20,CURVA!$G$6:$G$20)</f>
        <v>0.02</v>
      </c>
      <c r="N590" s="47">
        <f t="shared" si="59"/>
        <v>0.40503662746577812</v>
      </c>
      <c r="O590" s="49" t="str">
        <f>IF(K590="","",SUMPRODUCT($J$10:J590,$L$10:L590,$N$10:N590)*$E$5)</f>
        <v/>
      </c>
      <c r="P590" s="49" t="str">
        <f>IF(K590="","",SUMPRODUCT($L$10:L590,$N$10:N590)*$K590*$E$5)</f>
        <v/>
      </c>
    </row>
    <row r="591" spans="1:16" x14ac:dyDescent="0.2">
      <c r="A591" s="41">
        <f t="shared" si="55"/>
        <v>16296</v>
      </c>
      <c r="B591" s="41" t="s">
        <v>231</v>
      </c>
      <c r="C591" s="41">
        <v>582</v>
      </c>
      <c r="D591" s="15">
        <f t="shared" si="54"/>
        <v>58930</v>
      </c>
      <c r="E591" s="42">
        <f t="shared" si="56"/>
        <v>58958</v>
      </c>
      <c r="F591" s="42"/>
      <c r="G591" s="42"/>
      <c r="H591" s="50"/>
      <c r="I591" s="43">
        <f t="shared" si="57"/>
        <v>58958</v>
      </c>
      <c r="J591" s="44">
        <f>forward($E$4,D591,E591,CURVA!$H$6:H601,CURVA!$G$6:G601)</f>
        <v>2.0015563624537411E-2</v>
      </c>
      <c r="K591" s="44" t="str">
        <f>IFERROR(VLOOKUP(A591,CURVA!$B$8:$F$30,5,0),"")</f>
        <v/>
      </c>
      <c r="L591" s="45">
        <f t="shared" si="58"/>
        <v>7.7777777777777779E-2</v>
      </c>
      <c r="M591" s="46">
        <f>interpola(E591-$E$4,CURVA!$H$6:$H$20,CURVA!$G$6:$G$20)</f>
        <v>0.02</v>
      </c>
      <c r="N591" s="47">
        <f t="shared" si="59"/>
        <v>0.4044070602800367</v>
      </c>
      <c r="O591" s="49" t="str">
        <f>IF(K591="","",SUMPRODUCT($J$10:J591,$L$10:L591,$N$10:N591)*$E$5)</f>
        <v/>
      </c>
      <c r="P591" s="49" t="str">
        <f>IF(K591="","",SUMPRODUCT($L$10:L591,$N$10:N591)*$K591*$E$5)</f>
        <v/>
      </c>
    </row>
    <row r="592" spans="1:16" x14ac:dyDescent="0.2">
      <c r="A592" s="41">
        <f t="shared" si="55"/>
        <v>16324</v>
      </c>
      <c r="B592" s="41" t="s">
        <v>232</v>
      </c>
      <c r="C592" s="41">
        <v>583</v>
      </c>
      <c r="D592" s="15">
        <f t="shared" ref="D592:D609" si="60">E591</f>
        <v>58958</v>
      </c>
      <c r="E592" s="42">
        <f t="shared" si="56"/>
        <v>58986</v>
      </c>
      <c r="F592" s="42"/>
      <c r="G592" s="42"/>
      <c r="H592" s="50"/>
      <c r="I592" s="43">
        <f t="shared" si="57"/>
        <v>58986</v>
      </c>
      <c r="J592" s="44">
        <f>forward($E$4,D592,E592,CURVA!$H$6:H602,CURVA!$G$6:G602)</f>
        <v>2.0015563624537411E-2</v>
      </c>
      <c r="K592" s="44" t="str">
        <f>IFERROR(VLOOKUP(A592,CURVA!$B$8:$F$30,5,0),"")</f>
        <v/>
      </c>
      <c r="L592" s="45">
        <f t="shared" si="58"/>
        <v>7.7777777777777779E-2</v>
      </c>
      <c r="M592" s="46">
        <f>interpola(E592-$E$4,CURVA!$H$6:$H$20,CURVA!$G$6:$G$20)</f>
        <v>0.02</v>
      </c>
      <c r="N592" s="47">
        <f t="shared" si="59"/>
        <v>0.4037784716597248</v>
      </c>
      <c r="O592" s="49" t="str">
        <f>IF(K592="","",SUMPRODUCT($J$10:J592,$L$10:L592,$N$10:N592)*$E$5)</f>
        <v/>
      </c>
      <c r="P592" s="49" t="str">
        <f>IF(K592="","",SUMPRODUCT($L$10:L592,$N$10:N592)*$K592*$E$5)</f>
        <v/>
      </c>
    </row>
    <row r="593" spans="1:16" x14ac:dyDescent="0.2">
      <c r="A593" s="41">
        <f t="shared" si="55"/>
        <v>16352</v>
      </c>
      <c r="B593" s="41" t="s">
        <v>233</v>
      </c>
      <c r="C593" s="41">
        <v>584</v>
      </c>
      <c r="D593" s="15">
        <f t="shared" si="60"/>
        <v>58986</v>
      </c>
      <c r="E593" s="42">
        <f t="shared" si="56"/>
        <v>59014</v>
      </c>
      <c r="F593" s="42"/>
      <c r="G593" s="42"/>
      <c r="H593" s="50"/>
      <c r="I593" s="43">
        <f t="shared" si="57"/>
        <v>59014</v>
      </c>
      <c r="J593" s="44">
        <f>forward($E$4,D593,E593,CURVA!$H$6:H603,CURVA!$G$6:G603)</f>
        <v>2.0015563624537411E-2</v>
      </c>
      <c r="K593" s="44" t="str">
        <f>IFERROR(VLOOKUP(A593,CURVA!$B$8:$F$30,5,0),"")</f>
        <v/>
      </c>
      <c r="L593" s="45">
        <f t="shared" si="58"/>
        <v>7.7777777777777779E-2</v>
      </c>
      <c r="M593" s="46">
        <f>interpola(E593-$E$4,CURVA!$H$6:$H$20,CURVA!$G$6:$G$20)</f>
        <v>0.02</v>
      </c>
      <c r="N593" s="47">
        <f t="shared" si="59"/>
        <v>0.40315086008381307</v>
      </c>
      <c r="O593" s="49" t="str">
        <f>IF(K593="","",SUMPRODUCT($J$10:J593,$L$10:L593,$N$10:N593)*$E$5)</f>
        <v/>
      </c>
      <c r="P593" s="49" t="str">
        <f>IF(K593="","",SUMPRODUCT($L$10:L593,$N$10:N593)*$K593*$E$5)</f>
        <v/>
      </c>
    </row>
    <row r="594" spans="1:16" x14ac:dyDescent="0.2">
      <c r="A594" s="41">
        <f t="shared" si="55"/>
        <v>16380</v>
      </c>
      <c r="B594" s="41" t="s">
        <v>234</v>
      </c>
      <c r="C594" s="41">
        <v>585</v>
      </c>
      <c r="D594" s="15">
        <f t="shared" si="60"/>
        <v>59014</v>
      </c>
      <c r="E594" s="42">
        <f t="shared" si="56"/>
        <v>59042</v>
      </c>
      <c r="F594" s="42"/>
      <c r="G594" s="42"/>
      <c r="H594" s="50"/>
      <c r="I594" s="43">
        <f t="shared" si="57"/>
        <v>59042</v>
      </c>
      <c r="J594" s="44">
        <f>forward($E$4,D594,E594,CURVA!$H$6:H604,CURVA!$G$6:G604)</f>
        <v>2.0015563624537411E-2</v>
      </c>
      <c r="K594" s="44" t="str">
        <f>IFERROR(VLOOKUP(A594,CURVA!$B$8:$F$30,5,0),"")</f>
        <v/>
      </c>
      <c r="L594" s="45">
        <f t="shared" si="58"/>
        <v>7.7777777777777779E-2</v>
      </c>
      <c r="M594" s="46">
        <f>interpola(E594-$E$4,CURVA!$H$6:$H$20,CURVA!$G$6:$G$20)</f>
        <v>0.02</v>
      </c>
      <c r="N594" s="47">
        <f t="shared" si="59"/>
        <v>0.40252422403363597</v>
      </c>
      <c r="O594" s="49" t="str">
        <f>IF(K594="","",SUMPRODUCT($J$10:J594,$L$10:L594,$N$10:N594)*$E$5)</f>
        <v/>
      </c>
      <c r="P594" s="49" t="str">
        <f>IF(K594="","",SUMPRODUCT($L$10:L594,$N$10:N594)*$K594*$E$5)</f>
        <v/>
      </c>
    </row>
    <row r="595" spans="1:16" x14ac:dyDescent="0.2">
      <c r="A595" s="41">
        <f t="shared" si="55"/>
        <v>16408</v>
      </c>
      <c r="B595" s="41" t="s">
        <v>235</v>
      </c>
      <c r="C595" s="41">
        <v>586</v>
      </c>
      <c r="D595" s="15">
        <f t="shared" si="60"/>
        <v>59042</v>
      </c>
      <c r="E595" s="42">
        <f t="shared" si="56"/>
        <v>59070</v>
      </c>
      <c r="F595" s="42"/>
      <c r="G595" s="42"/>
      <c r="H595" s="50"/>
      <c r="I595" s="43">
        <f t="shared" si="57"/>
        <v>59070</v>
      </c>
      <c r="J595" s="44">
        <f>forward($E$4,D595,E595,CURVA!$H$6:H605,CURVA!$G$6:G605)</f>
        <v>2.0015563624537411E-2</v>
      </c>
      <c r="K595" s="44" t="str">
        <f>IFERROR(VLOOKUP(A595,CURVA!$B$8:$F$30,5,0),"")</f>
        <v/>
      </c>
      <c r="L595" s="45">
        <f t="shared" si="58"/>
        <v>7.7777777777777779E-2</v>
      </c>
      <c r="M595" s="46">
        <f>interpola(E595-$E$4,CURVA!$H$6:$H$20,CURVA!$G$6:$G$20)</f>
        <v>0.02</v>
      </c>
      <c r="N595" s="47">
        <f t="shared" si="59"/>
        <v>0.4018985619928887</v>
      </c>
      <c r="O595" s="49" t="str">
        <f>IF(K595="","",SUMPRODUCT($J$10:J595,$L$10:L595,$N$10:N595)*$E$5)</f>
        <v/>
      </c>
      <c r="P595" s="49" t="str">
        <f>IF(K595="","",SUMPRODUCT($L$10:L595,$N$10:N595)*$K595*$E$5)</f>
        <v/>
      </c>
    </row>
    <row r="596" spans="1:16" x14ac:dyDescent="0.2">
      <c r="A596" s="41">
        <f t="shared" si="55"/>
        <v>16436</v>
      </c>
      <c r="B596" s="41" t="s">
        <v>236</v>
      </c>
      <c r="C596" s="41">
        <v>587</v>
      </c>
      <c r="D596" s="15">
        <f t="shared" si="60"/>
        <v>59070</v>
      </c>
      <c r="E596" s="42">
        <f t="shared" si="56"/>
        <v>59098</v>
      </c>
      <c r="F596" s="42"/>
      <c r="G596" s="42"/>
      <c r="H596" s="50"/>
      <c r="I596" s="43">
        <f t="shared" si="57"/>
        <v>59098</v>
      </c>
      <c r="J596" s="44">
        <f>forward($E$4,D596,E596,CURVA!$H$6:H606,CURVA!$G$6:G606)</f>
        <v>2.0015563624537411E-2</v>
      </c>
      <c r="K596" s="44" t="str">
        <f>IFERROR(VLOOKUP(A596,CURVA!$B$8:$F$30,5,0),"")</f>
        <v/>
      </c>
      <c r="L596" s="45">
        <f t="shared" si="58"/>
        <v>7.7777777777777779E-2</v>
      </c>
      <c r="M596" s="46">
        <f>interpola(E596-$E$4,CURVA!$H$6:$H$20,CURVA!$G$6:$G$20)</f>
        <v>0.02</v>
      </c>
      <c r="N596" s="47">
        <f t="shared" si="59"/>
        <v>0.40127387244762341</v>
      </c>
      <c r="O596" s="49" t="str">
        <f>IF(K596="","",SUMPRODUCT($J$10:J596,$L$10:L596,$N$10:N596)*$E$5)</f>
        <v/>
      </c>
      <c r="P596" s="49" t="str">
        <f>IF(K596="","",SUMPRODUCT($L$10:L596,$N$10:N596)*$K596*$E$5)</f>
        <v/>
      </c>
    </row>
    <row r="597" spans="1:16" x14ac:dyDescent="0.2">
      <c r="A597" s="41">
        <f t="shared" si="55"/>
        <v>16464</v>
      </c>
      <c r="B597" s="41" t="s">
        <v>237</v>
      </c>
      <c r="C597" s="41">
        <v>588</v>
      </c>
      <c r="D597" s="15">
        <f t="shared" si="60"/>
        <v>59098</v>
      </c>
      <c r="E597" s="42">
        <f t="shared" si="56"/>
        <v>59126</v>
      </c>
      <c r="F597" s="42"/>
      <c r="G597" s="42"/>
      <c r="H597" s="50"/>
      <c r="I597" s="43">
        <f t="shared" si="57"/>
        <v>59126</v>
      </c>
      <c r="J597" s="44">
        <f>forward($E$4,D597,E597,CURVA!$H$6:H607,CURVA!$G$6:G607)</f>
        <v>2.0015563624537411E-2</v>
      </c>
      <c r="K597" s="44" t="str">
        <f>IFERROR(VLOOKUP(A597,CURVA!$B$8:$F$30,5,0),"")</f>
        <v/>
      </c>
      <c r="L597" s="45">
        <f t="shared" si="58"/>
        <v>7.7777777777777779E-2</v>
      </c>
      <c r="M597" s="46">
        <f>interpola(E597-$E$4,CURVA!$H$6:$H$20,CURVA!$G$6:$G$20)</f>
        <v>0.02</v>
      </c>
      <c r="N597" s="47">
        <f t="shared" si="59"/>
        <v>0.40065015388624525</v>
      </c>
      <c r="O597" s="49" t="str">
        <f>IF(K597="","",SUMPRODUCT($J$10:J597,$L$10:L597,$N$10:N597)*$E$5)</f>
        <v/>
      </c>
      <c r="P597" s="49" t="str">
        <f>IF(K597="","",SUMPRODUCT($L$10:L597,$N$10:N597)*$K597*$E$5)</f>
        <v/>
      </c>
    </row>
    <row r="598" spans="1:16" x14ac:dyDescent="0.2">
      <c r="A598" s="41">
        <f t="shared" si="55"/>
        <v>16492</v>
      </c>
      <c r="B598" s="41" t="s">
        <v>238</v>
      </c>
      <c r="C598" s="41">
        <v>589</v>
      </c>
      <c r="D598" s="15">
        <f t="shared" si="60"/>
        <v>59126</v>
      </c>
      <c r="E598" s="42">
        <f t="shared" si="56"/>
        <v>59154</v>
      </c>
      <c r="F598" s="42"/>
      <c r="G598" s="42"/>
      <c r="H598" s="50"/>
      <c r="I598" s="43">
        <f t="shared" si="57"/>
        <v>59154</v>
      </c>
      <c r="J598" s="44">
        <f>forward($E$4,D598,E598,CURVA!$H$6:H608,CURVA!$G$6:G608)</f>
        <v>2.0015563624537411E-2</v>
      </c>
      <c r="K598" s="44" t="str">
        <f>IFERROR(VLOOKUP(A598,CURVA!$B$8:$F$30,5,0),"")</f>
        <v/>
      </c>
      <c r="L598" s="45">
        <f t="shared" si="58"/>
        <v>7.7777777777777779E-2</v>
      </c>
      <c r="M598" s="46">
        <f>interpola(E598-$E$4,CURVA!$H$6:$H$20,CURVA!$G$6:$G$20)</f>
        <v>0.02</v>
      </c>
      <c r="N598" s="47">
        <f t="shared" si="59"/>
        <v>0.40002740479950905</v>
      </c>
      <c r="O598" s="49" t="str">
        <f>IF(K598="","",SUMPRODUCT($J$10:J598,$L$10:L598,$N$10:N598)*$E$5)</f>
        <v/>
      </c>
      <c r="P598" s="49" t="str">
        <f>IF(K598="","",SUMPRODUCT($L$10:L598,$N$10:N598)*$K598*$E$5)</f>
        <v/>
      </c>
    </row>
    <row r="599" spans="1:16" x14ac:dyDescent="0.2">
      <c r="A599" s="41">
        <f t="shared" si="55"/>
        <v>16520</v>
      </c>
      <c r="B599" s="41" t="s">
        <v>239</v>
      </c>
      <c r="C599" s="41">
        <v>590</v>
      </c>
      <c r="D599" s="15">
        <f t="shared" si="60"/>
        <v>59154</v>
      </c>
      <c r="E599" s="42">
        <f t="shared" si="56"/>
        <v>59182</v>
      </c>
      <c r="F599" s="42"/>
      <c r="G599" s="42"/>
      <c r="H599" s="50"/>
      <c r="I599" s="43">
        <f t="shared" si="57"/>
        <v>59182</v>
      </c>
      <c r="J599" s="44">
        <f>forward($E$4,D599,E599,CURVA!$H$6:H609,CURVA!$G$6:G609)</f>
        <v>2.0015563624534556E-2</v>
      </c>
      <c r="K599" s="44" t="str">
        <f>IFERROR(VLOOKUP(A599,CURVA!$B$8:$F$30,5,0),"")</f>
        <v/>
      </c>
      <c r="L599" s="45">
        <f t="shared" si="58"/>
        <v>7.7777777777777779E-2</v>
      </c>
      <c r="M599" s="46">
        <f>interpola(E599-$E$4,CURVA!$H$6:$H$20,CURVA!$G$6:$G$20)</f>
        <v>0.02</v>
      </c>
      <c r="N599" s="47">
        <f t="shared" si="59"/>
        <v>0.39940562368051535</v>
      </c>
      <c r="O599" s="49" t="str">
        <f>IF(K599="","",SUMPRODUCT($J$10:J599,$L$10:L599,$N$10:N599)*$E$5)</f>
        <v/>
      </c>
      <c r="P599" s="49" t="str">
        <f>IF(K599="","",SUMPRODUCT($L$10:L599,$N$10:N599)*$K599*$E$5)</f>
        <v/>
      </c>
    </row>
    <row r="600" spans="1:16" x14ac:dyDescent="0.2">
      <c r="A600" s="41">
        <f t="shared" si="55"/>
        <v>16548</v>
      </c>
      <c r="B600" s="41" t="s">
        <v>240</v>
      </c>
      <c r="C600" s="41">
        <v>591</v>
      </c>
      <c r="D600" s="15">
        <f t="shared" si="60"/>
        <v>59182</v>
      </c>
      <c r="E600" s="42">
        <f t="shared" si="56"/>
        <v>59210</v>
      </c>
      <c r="F600" s="42"/>
      <c r="G600" s="42"/>
      <c r="H600" s="50"/>
      <c r="I600" s="43">
        <f t="shared" si="57"/>
        <v>59210</v>
      </c>
      <c r="J600" s="44">
        <f>forward($E$4,D600,E600,CURVA!$H$6:H610,CURVA!$G$6:G610)</f>
        <v>2.0015563624537411E-2</v>
      </c>
      <c r="K600" s="44" t="str">
        <f>IFERROR(VLOOKUP(A600,CURVA!$B$8:$F$30,5,0),"")</f>
        <v/>
      </c>
      <c r="L600" s="45">
        <f t="shared" si="58"/>
        <v>7.7777777777777779E-2</v>
      </c>
      <c r="M600" s="46">
        <f>interpola(E600-$E$4,CURVA!$H$6:$H$20,CURVA!$G$6:$G$20)</f>
        <v>0.02</v>
      </c>
      <c r="N600" s="47">
        <f t="shared" si="59"/>
        <v>0.39878480902470737</v>
      </c>
      <c r="O600" s="49" t="str">
        <f>IF(K600="","",SUMPRODUCT($J$10:J600,$L$10:L600,$N$10:N600)*$E$5)</f>
        <v/>
      </c>
      <c r="P600" s="49" t="str">
        <f>IF(K600="","",SUMPRODUCT($L$10:L600,$N$10:N600)*$K600*$E$5)</f>
        <v/>
      </c>
    </row>
    <row r="601" spans="1:16" x14ac:dyDescent="0.2">
      <c r="A601" s="41">
        <f t="shared" si="55"/>
        <v>16576</v>
      </c>
      <c r="B601" s="41" t="s">
        <v>241</v>
      </c>
      <c r="C601" s="41">
        <v>592</v>
      </c>
      <c r="D601" s="15">
        <f t="shared" si="60"/>
        <v>59210</v>
      </c>
      <c r="E601" s="42">
        <f t="shared" si="56"/>
        <v>59238</v>
      </c>
      <c r="F601" s="42"/>
      <c r="G601" s="42"/>
      <c r="H601" s="50"/>
      <c r="I601" s="43">
        <f t="shared" si="57"/>
        <v>59238</v>
      </c>
      <c r="J601" s="44">
        <f>forward($E$4,D601,E601,CURVA!$H$6:H611,CURVA!$G$6:G611)</f>
        <v>2.0015563624537411E-2</v>
      </c>
      <c r="K601" s="44" t="str">
        <f>IFERROR(VLOOKUP(A601,CURVA!$B$8:$F$30,5,0),"")</f>
        <v/>
      </c>
      <c r="L601" s="45">
        <f t="shared" si="58"/>
        <v>7.7777777777777779E-2</v>
      </c>
      <c r="M601" s="46">
        <f>interpola(E601-$E$4,CURVA!$H$6:$H$20,CURVA!$G$6:$G$20)</f>
        <v>0.02</v>
      </c>
      <c r="N601" s="47">
        <f t="shared" si="59"/>
        <v>0.39816495932986629</v>
      </c>
      <c r="O601" s="49" t="str">
        <f>IF(K601="","",SUMPRODUCT($J$10:J601,$L$10:L601,$N$10:N601)*$E$5)</f>
        <v/>
      </c>
      <c r="P601" s="49" t="str">
        <f>IF(K601="","",SUMPRODUCT($L$10:L601,$N$10:N601)*$K601*$E$5)</f>
        <v/>
      </c>
    </row>
    <row r="602" spans="1:16" x14ac:dyDescent="0.2">
      <c r="A602" s="41">
        <f t="shared" si="55"/>
        <v>16604</v>
      </c>
      <c r="B602" s="41" t="s">
        <v>242</v>
      </c>
      <c r="C602" s="41">
        <v>593</v>
      </c>
      <c r="D602" s="15">
        <f t="shared" si="60"/>
        <v>59238</v>
      </c>
      <c r="E602" s="42">
        <f t="shared" si="56"/>
        <v>59266</v>
      </c>
      <c r="F602" s="42"/>
      <c r="G602" s="42"/>
      <c r="H602" s="50"/>
      <c r="I602" s="43">
        <f t="shared" si="57"/>
        <v>59266</v>
      </c>
      <c r="J602" s="44">
        <f>forward($E$4,D602,E602,CURVA!$H$6:H612,CURVA!$G$6:G612)</f>
        <v>2.0015563624537411E-2</v>
      </c>
      <c r="K602" s="44" t="str">
        <f>IFERROR(VLOOKUP(A602,CURVA!$B$8:$F$30,5,0),"")</f>
        <v/>
      </c>
      <c r="L602" s="45">
        <f t="shared" si="58"/>
        <v>7.7777777777777779E-2</v>
      </c>
      <c r="M602" s="46">
        <f>interpola(E602-$E$4,CURVA!$H$6:$H$20,CURVA!$G$6:$G$20)</f>
        <v>0.02</v>
      </c>
      <c r="N602" s="47">
        <f t="shared" si="59"/>
        <v>0.39754607309610873</v>
      </c>
      <c r="O602" s="49" t="str">
        <f>IF(K602="","",SUMPRODUCT($J$10:J602,$L$10:L602,$N$10:N602)*$E$5)</f>
        <v/>
      </c>
      <c r="P602" s="49" t="str">
        <f>IF(K602="","",SUMPRODUCT($L$10:L602,$N$10:N602)*$K602*$E$5)</f>
        <v/>
      </c>
    </row>
    <row r="603" spans="1:16" x14ac:dyDescent="0.2">
      <c r="A603" s="41">
        <f t="shared" si="55"/>
        <v>16632</v>
      </c>
      <c r="B603" s="41" t="s">
        <v>243</v>
      </c>
      <c r="C603" s="41">
        <v>594</v>
      </c>
      <c r="D603" s="15">
        <f t="shared" si="60"/>
        <v>59266</v>
      </c>
      <c r="E603" s="42">
        <f t="shared" si="56"/>
        <v>59294</v>
      </c>
      <c r="F603" s="42"/>
      <c r="G603" s="42"/>
      <c r="H603" s="50"/>
      <c r="I603" s="43">
        <f t="shared" si="57"/>
        <v>59294</v>
      </c>
      <c r="J603" s="44">
        <f>forward($E$4,D603,E603,CURVA!$H$6:H613,CURVA!$G$6:G613)</f>
        <v>2.0015563624537411E-2</v>
      </c>
      <c r="K603" s="44" t="str">
        <f>IFERROR(VLOOKUP(A603,CURVA!$B$8:$F$30,5,0),"")</f>
        <v/>
      </c>
      <c r="L603" s="45">
        <f t="shared" si="58"/>
        <v>7.7777777777777779E-2</v>
      </c>
      <c r="M603" s="46">
        <f>interpola(E603-$E$4,CURVA!$H$6:$H$20,CURVA!$G$6:$G$20)</f>
        <v>0.02</v>
      </c>
      <c r="N603" s="47">
        <f t="shared" si="59"/>
        <v>0.39692814882588251</v>
      </c>
      <c r="O603" s="49" t="str">
        <f>IF(K603="","",SUMPRODUCT($J$10:J603,$L$10:L603,$N$10:N603)*$E$5)</f>
        <v/>
      </c>
      <c r="P603" s="49" t="str">
        <f>IF(K603="","",SUMPRODUCT($L$10:L603,$N$10:N603)*$K603*$E$5)</f>
        <v/>
      </c>
    </row>
    <row r="604" spans="1:16" x14ac:dyDescent="0.2">
      <c r="A604" s="41">
        <f t="shared" si="55"/>
        <v>16660</v>
      </c>
      <c r="B604" s="41" t="s">
        <v>244</v>
      </c>
      <c r="C604" s="41">
        <v>595</v>
      </c>
      <c r="D604" s="15">
        <f t="shared" si="60"/>
        <v>59294</v>
      </c>
      <c r="E604" s="42">
        <f t="shared" si="56"/>
        <v>59322</v>
      </c>
      <c r="F604" s="42"/>
      <c r="G604" s="42"/>
      <c r="H604" s="50"/>
      <c r="I604" s="43">
        <f t="shared" si="57"/>
        <v>59322</v>
      </c>
      <c r="J604" s="44">
        <f>forward($E$4,D604,E604,CURVA!$H$6:H614,CURVA!$G$6:G614)</f>
        <v>2.0015563624537411E-2</v>
      </c>
      <c r="K604" s="44" t="str">
        <f>IFERROR(VLOOKUP(A604,CURVA!$B$8:$F$30,5,0),"")</f>
        <v/>
      </c>
      <c r="L604" s="45">
        <f t="shared" si="58"/>
        <v>7.7777777777777779E-2</v>
      </c>
      <c r="M604" s="46">
        <f>interpola(E604-$E$4,CURVA!$H$6:$H$20,CURVA!$G$6:$G$20)</f>
        <v>0.02</v>
      </c>
      <c r="N604" s="47">
        <f t="shared" si="59"/>
        <v>0.39631118502396318</v>
      </c>
      <c r="O604" s="49" t="str">
        <f>IF(K604="","",SUMPRODUCT($J$10:J604,$L$10:L604,$N$10:N604)*$E$5)</f>
        <v/>
      </c>
      <c r="P604" s="49" t="str">
        <f>IF(K604="","",SUMPRODUCT($L$10:L604,$N$10:N604)*$K604*$E$5)</f>
        <v/>
      </c>
    </row>
    <row r="605" spans="1:16" x14ac:dyDescent="0.2">
      <c r="A605" s="41">
        <f t="shared" si="55"/>
        <v>16688</v>
      </c>
      <c r="B605" s="41" t="s">
        <v>245</v>
      </c>
      <c r="C605" s="41">
        <v>596</v>
      </c>
      <c r="D605" s="15">
        <f t="shared" si="60"/>
        <v>59322</v>
      </c>
      <c r="E605" s="42">
        <f t="shared" si="56"/>
        <v>59350</v>
      </c>
      <c r="F605" s="42"/>
      <c r="G605" s="42"/>
      <c r="H605" s="50"/>
      <c r="I605" s="43">
        <f t="shared" si="57"/>
        <v>59350</v>
      </c>
      <c r="J605" s="44">
        <f>forward($E$4,D605,E605,CURVA!$H$6:H615,CURVA!$G$6:G615)</f>
        <v>2.0015563624537411E-2</v>
      </c>
      <c r="K605" s="44" t="str">
        <f>IFERROR(VLOOKUP(A605,CURVA!$B$8:$F$30,5,0),"")</f>
        <v/>
      </c>
      <c r="L605" s="45">
        <f t="shared" si="58"/>
        <v>7.7777777777777779E-2</v>
      </c>
      <c r="M605" s="46">
        <f>interpola(E605-$E$4,CURVA!$H$6:$H$20,CURVA!$G$6:$G$20)</f>
        <v>0.02</v>
      </c>
      <c r="N605" s="47">
        <f t="shared" si="59"/>
        <v>0.39569518019745037</v>
      </c>
      <c r="O605" s="49" t="str">
        <f>IF(K605="","",SUMPRODUCT($J$10:J605,$L$10:L605,$N$10:N605)*$E$5)</f>
        <v/>
      </c>
      <c r="P605" s="49" t="str">
        <f>IF(K605="","",SUMPRODUCT($L$10:L605,$N$10:N605)*$K605*$E$5)</f>
        <v/>
      </c>
    </row>
    <row r="606" spans="1:16" x14ac:dyDescent="0.2">
      <c r="A606" s="41">
        <f t="shared" si="55"/>
        <v>16716</v>
      </c>
      <c r="B606" s="41" t="s">
        <v>246</v>
      </c>
      <c r="C606" s="41">
        <v>597</v>
      </c>
      <c r="D606" s="15">
        <f t="shared" si="60"/>
        <v>59350</v>
      </c>
      <c r="E606" s="42">
        <f t="shared" si="56"/>
        <v>59378</v>
      </c>
      <c r="F606" s="42"/>
      <c r="G606" s="42"/>
      <c r="H606" s="50"/>
      <c r="I606" s="43">
        <f t="shared" si="57"/>
        <v>59378</v>
      </c>
      <c r="J606" s="44">
        <f>forward($E$4,D606,E606,CURVA!$H$6:H616,CURVA!$G$6:G616)</f>
        <v>2.0015563624537411E-2</v>
      </c>
      <c r="K606" s="44" t="str">
        <f>IFERROR(VLOOKUP(A606,CURVA!$B$8:$F$30,5,0),"")</f>
        <v/>
      </c>
      <c r="L606" s="45">
        <f t="shared" si="58"/>
        <v>7.7777777777777779E-2</v>
      </c>
      <c r="M606" s="46">
        <f>interpola(E606-$E$4,CURVA!$H$6:$H$20,CURVA!$G$6:$G$20)</f>
        <v>0.02</v>
      </c>
      <c r="N606" s="47">
        <f t="shared" si="59"/>
        <v>0.39508013285576421</v>
      </c>
      <c r="O606" s="49" t="str">
        <f>IF(K606="","",SUMPRODUCT($J$10:J606,$L$10:L606,$N$10:N606)*$E$5)</f>
        <v/>
      </c>
      <c r="P606" s="49" t="str">
        <f>IF(K606="","",SUMPRODUCT($L$10:L606,$N$10:N606)*$K606*$E$5)</f>
        <v/>
      </c>
    </row>
    <row r="607" spans="1:16" x14ac:dyDescent="0.2">
      <c r="A607" s="41">
        <f t="shared" si="55"/>
        <v>16744</v>
      </c>
      <c r="B607" s="41" t="s">
        <v>247</v>
      </c>
      <c r="C607" s="41">
        <v>598</v>
      </c>
      <c r="D607" s="15">
        <f t="shared" si="60"/>
        <v>59378</v>
      </c>
      <c r="E607" s="42">
        <f t="shared" si="56"/>
        <v>59406</v>
      </c>
      <c r="F607" s="42"/>
      <c r="G607" s="42"/>
      <c r="H607" s="50"/>
      <c r="I607" s="43">
        <f t="shared" si="57"/>
        <v>59406</v>
      </c>
      <c r="J607" s="44">
        <f>forward($E$4,D607,E607,CURVA!$H$6:H617,CURVA!$G$6:G617)</f>
        <v>2.0015563624537411E-2</v>
      </c>
      <c r="K607" s="44" t="str">
        <f>IFERROR(VLOOKUP(A607,CURVA!$B$8:$F$30,5,0),"")</f>
        <v/>
      </c>
      <c r="L607" s="45">
        <f t="shared" si="58"/>
        <v>7.7777777777777779E-2</v>
      </c>
      <c r="M607" s="46">
        <f>interpola(E607-$E$4,CURVA!$H$6:$H$20,CURVA!$G$6:$G$20)</f>
        <v>0.02</v>
      </c>
      <c r="N607" s="47">
        <f t="shared" si="59"/>
        <v>0.39446604151064169</v>
      </c>
      <c r="O607" s="49" t="str">
        <f>IF(K607="","",SUMPRODUCT($J$10:J607,$L$10:L607,$N$10:N607)*$E$5)</f>
        <v/>
      </c>
      <c r="P607" s="49" t="str">
        <f>IF(K607="","",SUMPRODUCT($L$10:L607,$N$10:N607)*$K607*$E$5)</f>
        <v/>
      </c>
    </row>
    <row r="608" spans="1:16" x14ac:dyDescent="0.2">
      <c r="A608" s="41">
        <f t="shared" si="55"/>
        <v>16772</v>
      </c>
      <c r="B608" s="41" t="s">
        <v>248</v>
      </c>
      <c r="C608" s="41">
        <v>599</v>
      </c>
      <c r="D608" s="15">
        <f t="shared" si="60"/>
        <v>59406</v>
      </c>
      <c r="E608" s="42">
        <f t="shared" si="56"/>
        <v>59434</v>
      </c>
      <c r="F608" s="42"/>
      <c r="G608" s="42"/>
      <c r="H608" s="50"/>
      <c r="I608" s="43">
        <f t="shared" si="57"/>
        <v>59434</v>
      </c>
      <c r="J608" s="44">
        <f>forward($E$4,D608,E608,CURVA!$H$6:H618,CURVA!$G$6:G618)</f>
        <v>2.0015563624537411E-2</v>
      </c>
      <c r="K608" s="44" t="str">
        <f>IFERROR(VLOOKUP(A608,CURVA!$B$8:$F$30,5,0),"")</f>
        <v/>
      </c>
      <c r="L608" s="45">
        <f t="shared" si="58"/>
        <v>7.7777777777777779E-2</v>
      </c>
      <c r="M608" s="46">
        <f>interpola(E608-$E$4,CURVA!$H$6:$H$20,CURVA!$G$6:$G$20)</f>
        <v>0.02</v>
      </c>
      <c r="N608" s="47">
        <f t="shared" si="59"/>
        <v>0.39385290467613299</v>
      </c>
      <c r="O608" s="49" t="str">
        <f>IF(K608="","",SUMPRODUCT($J$10:J608,$L$10:L608,$N$10:N608)*$E$5)</f>
        <v/>
      </c>
      <c r="P608" s="49" t="str">
        <f>IF(K608="","",SUMPRODUCT($L$10:L608,$N$10:N608)*$K608*$E$5)</f>
        <v/>
      </c>
    </row>
    <row r="609" spans="1:16" x14ac:dyDescent="0.2">
      <c r="A609" s="41">
        <f t="shared" si="55"/>
        <v>16800</v>
      </c>
      <c r="B609" s="41" t="s">
        <v>249</v>
      </c>
      <c r="C609" s="41">
        <v>600</v>
      </c>
      <c r="D609" s="15">
        <f t="shared" si="60"/>
        <v>59434</v>
      </c>
      <c r="E609" s="42">
        <f t="shared" si="56"/>
        <v>59462</v>
      </c>
      <c r="F609" s="42"/>
      <c r="G609" s="42"/>
      <c r="H609" s="50"/>
      <c r="I609" s="43">
        <f t="shared" si="57"/>
        <v>59462</v>
      </c>
      <c r="J609" s="44">
        <f>forward($E$4,D609,E609,CURVA!$H$6:H619,CURVA!$G$6:G619)</f>
        <v>2.0015563624537411E-2</v>
      </c>
      <c r="K609" s="44">
        <f>IFERROR(VLOOKUP(A609,CURVA!$B$8:$F$30,5,0),"")</f>
        <v>0</v>
      </c>
      <c r="L609" s="45">
        <f t="shared" si="58"/>
        <v>7.7777777777777779E-2</v>
      </c>
      <c r="M609" s="46">
        <f>interpola(E609-$E$4,CURVA!$H$6:$H$20,CURVA!$G$6:$G$20)</f>
        <v>0.02</v>
      </c>
      <c r="N609" s="47">
        <f t="shared" si="59"/>
        <v>0.39324072086859824</v>
      </c>
      <c r="O609" s="49">
        <f>IF(K609="","",SUMPRODUCT($J$10:J609,$L$10:L609,$N$10:N609)*$E$5)</f>
        <v>606759.27913141472</v>
      </c>
      <c r="P609" s="49">
        <f>IF(K609="","",SUMPRODUCT($L$10:L609,$N$10:N609)*$K609*$E$5)</f>
        <v>0</v>
      </c>
    </row>
    <row r="610" spans="1:16" x14ac:dyDescent="0.2">
      <c r="D610" s="51"/>
      <c r="E610" s="51"/>
      <c r="F610" s="52"/>
      <c r="G610" s="52"/>
    </row>
    <row r="611" spans="1:16" x14ac:dyDescent="0.2">
      <c r="D611" s="51"/>
      <c r="E611" s="51"/>
      <c r="F611" s="52"/>
      <c r="G611" s="52"/>
    </row>
    <row r="612" spans="1:16" x14ac:dyDescent="0.2">
      <c r="D612" s="51"/>
      <c r="E612" s="51"/>
      <c r="F612" s="52"/>
      <c r="G612" s="52"/>
    </row>
    <row r="613" spans="1:16" x14ac:dyDescent="0.2">
      <c r="D613" s="51"/>
      <c r="E613" s="51"/>
      <c r="F613" s="52"/>
      <c r="G613" s="52"/>
    </row>
    <row r="614" spans="1:16" x14ac:dyDescent="0.2">
      <c r="D614" s="51"/>
      <c r="E614" s="51"/>
      <c r="F614" s="52"/>
      <c r="G614" s="52"/>
    </row>
    <row r="615" spans="1:16" x14ac:dyDescent="0.2">
      <c r="D615" s="51"/>
      <c r="E615" s="51"/>
      <c r="F615" s="52"/>
      <c r="G615" s="52"/>
    </row>
    <row r="616" spans="1:16" x14ac:dyDescent="0.2">
      <c r="D616" s="51"/>
      <c r="E616" s="51"/>
      <c r="F616" s="52"/>
      <c r="G616" s="52"/>
    </row>
    <row r="617" spans="1:16" x14ac:dyDescent="0.2">
      <c r="D617" s="51"/>
      <c r="E617" s="51"/>
      <c r="F617" s="52"/>
      <c r="G617" s="52"/>
    </row>
    <row r="618" spans="1:16" x14ac:dyDescent="0.2">
      <c r="D618" s="51"/>
      <c r="E618" s="51"/>
      <c r="F618" s="52"/>
      <c r="G618" s="52"/>
    </row>
    <row r="619" spans="1:16" x14ac:dyDescent="0.2">
      <c r="D619" s="51"/>
      <c r="E619" s="51"/>
      <c r="F619" s="52"/>
      <c r="G619" s="52"/>
    </row>
    <row r="620" spans="1:16" x14ac:dyDescent="0.2">
      <c r="D620" s="51"/>
      <c r="E620" s="51"/>
      <c r="F620" s="52"/>
      <c r="G620" s="52"/>
    </row>
    <row r="621" spans="1:16" x14ac:dyDescent="0.2">
      <c r="D621" s="51"/>
      <c r="E621" s="51"/>
      <c r="F621" s="52"/>
      <c r="G621" s="52"/>
    </row>
    <row r="622" spans="1:16" x14ac:dyDescent="0.2">
      <c r="D622" s="51"/>
      <c r="E622" s="51"/>
      <c r="F622" s="52"/>
      <c r="G622" s="52"/>
    </row>
    <row r="623" spans="1:16" x14ac:dyDescent="0.2">
      <c r="D623" s="51"/>
      <c r="E623" s="51"/>
      <c r="F623" s="52"/>
      <c r="G623" s="52"/>
    </row>
    <row r="624" spans="1:16" x14ac:dyDescent="0.2">
      <c r="D624" s="51"/>
      <c r="E624" s="51"/>
      <c r="F624" s="52"/>
      <c r="G624" s="52"/>
    </row>
    <row r="625" spans="4:7" x14ac:dyDescent="0.2">
      <c r="D625" s="51"/>
      <c r="E625" s="51"/>
      <c r="F625" s="52"/>
      <c r="G625" s="52"/>
    </row>
    <row r="626" spans="4:7" x14ac:dyDescent="0.2">
      <c r="D626" s="51"/>
      <c r="E626" s="51"/>
      <c r="F626" s="52"/>
      <c r="G626" s="52"/>
    </row>
    <row r="627" spans="4:7" x14ac:dyDescent="0.2">
      <c r="D627" s="51"/>
      <c r="E627" s="51"/>
      <c r="F627" s="52"/>
      <c r="G627" s="52"/>
    </row>
    <row r="628" spans="4:7" x14ac:dyDescent="0.2">
      <c r="D628" s="51"/>
      <c r="E628" s="51"/>
      <c r="F628" s="52"/>
      <c r="G628" s="52"/>
    </row>
    <row r="629" spans="4:7" x14ac:dyDescent="0.2">
      <c r="D629" s="51"/>
      <c r="E629" s="51"/>
      <c r="F629" s="52"/>
      <c r="G629" s="52"/>
    </row>
    <row r="630" spans="4:7" x14ac:dyDescent="0.2">
      <c r="D630" s="51"/>
      <c r="E630" s="51"/>
      <c r="F630" s="52"/>
      <c r="G630" s="52"/>
    </row>
    <row r="631" spans="4:7" x14ac:dyDescent="0.2">
      <c r="D631" s="51"/>
      <c r="E631" s="51"/>
      <c r="F631" s="52"/>
      <c r="G631" s="52"/>
    </row>
    <row r="632" spans="4:7" x14ac:dyDescent="0.2">
      <c r="D632" s="51"/>
      <c r="E632" s="51"/>
      <c r="F632" s="52"/>
      <c r="G632" s="52"/>
    </row>
    <row r="633" spans="4:7" x14ac:dyDescent="0.2">
      <c r="D633" s="51"/>
      <c r="E633" s="51"/>
      <c r="F633" s="52"/>
      <c r="G633" s="52"/>
    </row>
    <row r="634" spans="4:7" x14ac:dyDescent="0.2">
      <c r="D634" s="51"/>
      <c r="E634" s="51"/>
      <c r="F634" s="52"/>
      <c r="G634" s="52"/>
    </row>
    <row r="635" spans="4:7" x14ac:dyDescent="0.2">
      <c r="D635" s="51"/>
      <c r="E635" s="51"/>
      <c r="F635" s="52"/>
      <c r="G635" s="52"/>
    </row>
    <row r="636" spans="4:7" x14ac:dyDescent="0.2">
      <c r="D636" s="51"/>
      <c r="E636" s="51"/>
      <c r="F636" s="52"/>
      <c r="G636" s="52"/>
    </row>
    <row r="637" spans="4:7" x14ac:dyDescent="0.2">
      <c r="D637" s="51"/>
      <c r="E637" s="51"/>
      <c r="F637" s="52"/>
      <c r="G637" s="52"/>
    </row>
    <row r="638" spans="4:7" x14ac:dyDescent="0.2">
      <c r="D638" s="51"/>
      <c r="E638" s="51"/>
      <c r="F638" s="52"/>
      <c r="G638" s="52"/>
    </row>
    <row r="639" spans="4:7" x14ac:dyDescent="0.2">
      <c r="D639" s="51"/>
      <c r="E639" s="51"/>
      <c r="F639" s="52"/>
      <c r="G639" s="52"/>
    </row>
    <row r="640" spans="4:7" x14ac:dyDescent="0.2">
      <c r="D640" s="51"/>
      <c r="E640" s="51"/>
      <c r="F640" s="52"/>
      <c r="G640" s="52"/>
    </row>
    <row r="641" spans="4:7" x14ac:dyDescent="0.2">
      <c r="D641" s="51"/>
      <c r="E641" s="51"/>
      <c r="F641" s="52"/>
      <c r="G641" s="52"/>
    </row>
    <row r="642" spans="4:7" x14ac:dyDescent="0.2">
      <c r="D642" s="51"/>
      <c r="E642" s="51"/>
      <c r="F642" s="52"/>
      <c r="G642" s="52"/>
    </row>
    <row r="643" spans="4:7" x14ac:dyDescent="0.2">
      <c r="D643" s="51"/>
      <c r="E643" s="51"/>
      <c r="F643" s="52"/>
      <c r="G643" s="52"/>
    </row>
    <row r="644" spans="4:7" x14ac:dyDescent="0.2">
      <c r="D644" s="51"/>
      <c r="E644" s="51"/>
      <c r="F644" s="52"/>
      <c r="G644" s="52"/>
    </row>
    <row r="645" spans="4:7" x14ac:dyDescent="0.2">
      <c r="D645" s="51"/>
      <c r="E645" s="51"/>
      <c r="F645" s="52"/>
      <c r="G645" s="52"/>
    </row>
    <row r="646" spans="4:7" x14ac:dyDescent="0.2">
      <c r="D646" s="51"/>
      <c r="E646" s="51"/>
      <c r="F646" s="52"/>
      <c r="G646" s="52"/>
    </row>
    <row r="647" spans="4:7" x14ac:dyDescent="0.2">
      <c r="D647" s="51"/>
      <c r="E647" s="51"/>
      <c r="F647" s="52"/>
      <c r="G647" s="52"/>
    </row>
    <row r="648" spans="4:7" x14ac:dyDescent="0.2">
      <c r="D648" s="51"/>
      <c r="E648" s="51"/>
      <c r="F648" s="52"/>
      <c r="G648" s="52"/>
    </row>
    <row r="649" spans="4:7" x14ac:dyDescent="0.2">
      <c r="D649" s="51"/>
      <c r="E649" s="51"/>
      <c r="F649" s="52"/>
      <c r="G649" s="52"/>
    </row>
    <row r="650" spans="4:7" x14ac:dyDescent="0.2">
      <c r="D650" s="51"/>
      <c r="E650" s="51"/>
      <c r="F650" s="52"/>
      <c r="G650" s="52"/>
    </row>
    <row r="651" spans="4:7" x14ac:dyDescent="0.2">
      <c r="D651" s="51"/>
      <c r="E651" s="51"/>
      <c r="F651" s="52"/>
      <c r="G651" s="52"/>
    </row>
    <row r="652" spans="4:7" x14ac:dyDescent="0.2">
      <c r="D652" s="51"/>
      <c r="E652" s="51"/>
      <c r="F652" s="52"/>
      <c r="G652" s="52"/>
    </row>
    <row r="653" spans="4:7" x14ac:dyDescent="0.2">
      <c r="D653" s="51"/>
      <c r="E653" s="51"/>
      <c r="F653" s="52"/>
      <c r="G653" s="52"/>
    </row>
    <row r="654" spans="4:7" x14ac:dyDescent="0.2">
      <c r="D654" s="51"/>
      <c r="E654" s="51"/>
      <c r="F654" s="52"/>
      <c r="G654" s="52"/>
    </row>
    <row r="655" spans="4:7" x14ac:dyDescent="0.2">
      <c r="D655" s="51"/>
      <c r="E655" s="51"/>
      <c r="F655" s="52"/>
      <c r="G655" s="52"/>
    </row>
    <row r="656" spans="4:7" x14ac:dyDescent="0.2">
      <c r="D656" s="51"/>
      <c r="E656" s="51"/>
      <c r="F656" s="52"/>
      <c r="G656" s="52"/>
    </row>
    <row r="657" spans="4:7" x14ac:dyDescent="0.2">
      <c r="D657" s="51"/>
      <c r="E657" s="51"/>
      <c r="F657" s="52"/>
      <c r="G657" s="52"/>
    </row>
    <row r="658" spans="4:7" x14ac:dyDescent="0.2">
      <c r="D658" s="51"/>
      <c r="E658" s="51"/>
      <c r="F658" s="52"/>
      <c r="G658" s="52"/>
    </row>
    <row r="659" spans="4:7" x14ac:dyDescent="0.2">
      <c r="D659" s="51"/>
      <c r="E659" s="51"/>
      <c r="F659" s="52"/>
      <c r="G659" s="52"/>
    </row>
    <row r="660" spans="4:7" x14ac:dyDescent="0.2">
      <c r="D660" s="51"/>
      <c r="E660" s="51"/>
      <c r="F660" s="52"/>
      <c r="G660" s="52"/>
    </row>
    <row r="661" spans="4:7" x14ac:dyDescent="0.2">
      <c r="D661" s="51"/>
      <c r="E661" s="51"/>
      <c r="F661" s="52"/>
      <c r="G661" s="52"/>
    </row>
    <row r="662" spans="4:7" x14ac:dyDescent="0.2">
      <c r="D662" s="51"/>
      <c r="E662" s="51"/>
      <c r="F662" s="52"/>
      <c r="G662" s="52"/>
    </row>
    <row r="663" spans="4:7" x14ac:dyDescent="0.2">
      <c r="D663" s="51"/>
      <c r="E663" s="51"/>
      <c r="F663" s="52"/>
      <c r="G663" s="52"/>
    </row>
    <row r="664" spans="4:7" x14ac:dyDescent="0.2">
      <c r="D664" s="51"/>
      <c r="E664" s="51"/>
      <c r="F664" s="52"/>
      <c r="G664" s="52"/>
    </row>
    <row r="665" spans="4:7" x14ac:dyDescent="0.2">
      <c r="D665" s="51"/>
      <c r="E665" s="51"/>
      <c r="F665" s="52"/>
      <c r="G665" s="52"/>
    </row>
    <row r="666" spans="4:7" x14ac:dyDescent="0.2">
      <c r="D666" s="51"/>
      <c r="E666" s="51"/>
      <c r="F666" s="52"/>
      <c r="G666" s="52"/>
    </row>
    <row r="667" spans="4:7" x14ac:dyDescent="0.2">
      <c r="D667" s="51"/>
      <c r="E667" s="51"/>
      <c r="F667" s="52"/>
      <c r="G667" s="52"/>
    </row>
    <row r="668" spans="4:7" x14ac:dyDescent="0.2">
      <c r="D668" s="51"/>
      <c r="E668" s="51"/>
      <c r="F668" s="52"/>
      <c r="G668" s="52"/>
    </row>
    <row r="669" spans="4:7" x14ac:dyDescent="0.2">
      <c r="D669" s="51"/>
      <c r="E669" s="51"/>
      <c r="F669" s="52"/>
      <c r="G669" s="52"/>
    </row>
    <row r="670" spans="4:7" x14ac:dyDescent="0.2">
      <c r="D670" s="51"/>
      <c r="E670" s="51"/>
      <c r="F670" s="52"/>
      <c r="G670" s="52"/>
    </row>
    <row r="671" spans="4:7" x14ac:dyDescent="0.2">
      <c r="D671" s="51"/>
      <c r="E671" s="51"/>
      <c r="F671" s="52"/>
      <c r="G671" s="52"/>
    </row>
    <row r="672" spans="4:7" x14ac:dyDescent="0.2">
      <c r="D672" s="51"/>
      <c r="E672" s="51"/>
      <c r="F672" s="52"/>
      <c r="G672" s="52"/>
    </row>
    <row r="673" spans="4:7" x14ac:dyDescent="0.2">
      <c r="D673" s="51"/>
      <c r="E673" s="51"/>
      <c r="F673" s="52"/>
      <c r="G673" s="52"/>
    </row>
    <row r="674" spans="4:7" x14ac:dyDescent="0.2">
      <c r="D674" s="51"/>
      <c r="E674" s="51"/>
      <c r="F674" s="52"/>
      <c r="G674" s="52"/>
    </row>
    <row r="675" spans="4:7" x14ac:dyDescent="0.2">
      <c r="D675" s="51"/>
      <c r="E675" s="51"/>
      <c r="F675" s="52"/>
      <c r="G675" s="52"/>
    </row>
    <row r="676" spans="4:7" x14ac:dyDescent="0.2">
      <c r="D676" s="51"/>
      <c r="E676" s="51"/>
      <c r="F676" s="52"/>
      <c r="G676" s="52"/>
    </row>
    <row r="677" spans="4:7" x14ac:dyDescent="0.2">
      <c r="D677" s="51"/>
      <c r="E677" s="51"/>
      <c r="F677" s="52"/>
      <c r="G677" s="52"/>
    </row>
    <row r="678" spans="4:7" x14ac:dyDescent="0.2">
      <c r="D678" s="51"/>
      <c r="E678" s="51"/>
      <c r="F678" s="52"/>
      <c r="G678" s="52"/>
    </row>
    <row r="679" spans="4:7" x14ac:dyDescent="0.2">
      <c r="D679" s="51"/>
      <c r="E679" s="51"/>
      <c r="F679" s="52"/>
      <c r="G679" s="52"/>
    </row>
    <row r="680" spans="4:7" x14ac:dyDescent="0.2">
      <c r="D680" s="51"/>
      <c r="E680" s="51"/>
      <c r="F680" s="52"/>
      <c r="G680" s="52"/>
    </row>
    <row r="681" spans="4:7" x14ac:dyDescent="0.2">
      <c r="D681" s="51"/>
      <c r="E681" s="51"/>
      <c r="F681" s="52"/>
      <c r="G681" s="52"/>
    </row>
    <row r="682" spans="4:7" x14ac:dyDescent="0.2">
      <c r="D682" s="51"/>
      <c r="E682" s="51"/>
      <c r="F682" s="52"/>
      <c r="G682" s="52"/>
    </row>
    <row r="683" spans="4:7" x14ac:dyDescent="0.2">
      <c r="D683" s="51"/>
      <c r="E683" s="51"/>
      <c r="F683" s="52"/>
      <c r="G683" s="52"/>
    </row>
    <row r="684" spans="4:7" x14ac:dyDescent="0.2">
      <c r="D684" s="51"/>
      <c r="E684" s="51"/>
      <c r="F684" s="52"/>
      <c r="G684" s="52"/>
    </row>
    <row r="685" spans="4:7" x14ac:dyDescent="0.2">
      <c r="D685" s="51"/>
      <c r="E685" s="51"/>
      <c r="F685" s="52"/>
      <c r="G685" s="52"/>
    </row>
    <row r="686" spans="4:7" x14ac:dyDescent="0.2">
      <c r="D686" s="51"/>
      <c r="E686" s="51"/>
      <c r="F686" s="52"/>
      <c r="G686" s="52"/>
    </row>
    <row r="687" spans="4:7" x14ac:dyDescent="0.2">
      <c r="D687" s="51"/>
      <c r="E687" s="51"/>
      <c r="F687" s="52"/>
      <c r="G687" s="52"/>
    </row>
    <row r="688" spans="4:7" x14ac:dyDescent="0.2">
      <c r="D688" s="51"/>
      <c r="E688" s="51"/>
      <c r="F688" s="52"/>
      <c r="G688" s="52"/>
    </row>
    <row r="689" spans="4:7" x14ac:dyDescent="0.2">
      <c r="D689" s="51"/>
      <c r="E689" s="51"/>
      <c r="F689" s="52"/>
      <c r="G689" s="52"/>
    </row>
    <row r="690" spans="4:7" x14ac:dyDescent="0.2">
      <c r="D690" s="51"/>
      <c r="E690" s="51"/>
      <c r="F690" s="52"/>
      <c r="G690" s="52"/>
    </row>
    <row r="691" spans="4:7" x14ac:dyDescent="0.2">
      <c r="D691" s="51"/>
      <c r="E691" s="51"/>
      <c r="F691" s="52"/>
      <c r="G691" s="52"/>
    </row>
    <row r="692" spans="4:7" x14ac:dyDescent="0.2">
      <c r="D692" s="51"/>
      <c r="E692" s="51"/>
      <c r="F692" s="52"/>
      <c r="G692" s="52"/>
    </row>
    <row r="693" spans="4:7" x14ac:dyDescent="0.2">
      <c r="D693" s="51"/>
      <c r="E693" s="51"/>
      <c r="F693" s="52"/>
      <c r="G693" s="52"/>
    </row>
    <row r="694" spans="4:7" x14ac:dyDescent="0.2">
      <c r="D694" s="51"/>
      <c r="E694" s="51"/>
      <c r="F694" s="52"/>
      <c r="G694" s="52"/>
    </row>
    <row r="695" spans="4:7" x14ac:dyDescent="0.2">
      <c r="D695" s="51"/>
      <c r="E695" s="51"/>
      <c r="F695" s="52"/>
      <c r="G695" s="52"/>
    </row>
    <row r="696" spans="4:7" x14ac:dyDescent="0.2">
      <c r="D696" s="51"/>
      <c r="E696" s="51"/>
      <c r="F696" s="52"/>
      <c r="G696" s="52"/>
    </row>
    <row r="697" spans="4:7" x14ac:dyDescent="0.2">
      <c r="D697" s="51"/>
      <c r="E697" s="51"/>
      <c r="F697" s="52"/>
      <c r="G697" s="52"/>
    </row>
    <row r="698" spans="4:7" x14ac:dyDescent="0.2">
      <c r="D698" s="51"/>
      <c r="E698" s="51"/>
      <c r="F698" s="52"/>
      <c r="G698" s="52"/>
    </row>
    <row r="699" spans="4:7" x14ac:dyDescent="0.2">
      <c r="D699" s="51"/>
      <c r="E699" s="51"/>
      <c r="F699" s="52"/>
      <c r="G699" s="52"/>
    </row>
    <row r="700" spans="4:7" x14ac:dyDescent="0.2">
      <c r="D700" s="51"/>
      <c r="E700" s="51"/>
      <c r="F700" s="52"/>
      <c r="G700" s="52"/>
    </row>
    <row r="701" spans="4:7" x14ac:dyDescent="0.2">
      <c r="D701" s="51"/>
      <c r="E701" s="51"/>
      <c r="F701" s="52"/>
      <c r="G701" s="52"/>
    </row>
    <row r="702" spans="4:7" x14ac:dyDescent="0.2">
      <c r="D702" s="51"/>
      <c r="E702" s="51"/>
      <c r="F702" s="52"/>
      <c r="G702" s="52"/>
    </row>
    <row r="703" spans="4:7" x14ac:dyDescent="0.2">
      <c r="D703" s="51"/>
      <c r="E703" s="51"/>
      <c r="F703" s="52"/>
      <c r="G703" s="52"/>
    </row>
    <row r="704" spans="4:7" x14ac:dyDescent="0.2">
      <c r="D704" s="51"/>
      <c r="E704" s="51"/>
      <c r="F704" s="52"/>
      <c r="G704" s="52"/>
    </row>
    <row r="705" spans="4:7" x14ac:dyDescent="0.2">
      <c r="D705" s="51"/>
      <c r="E705" s="51"/>
      <c r="F705" s="52"/>
      <c r="G705" s="52"/>
    </row>
    <row r="706" spans="4:7" x14ac:dyDescent="0.2">
      <c r="D706" s="51"/>
      <c r="E706" s="51"/>
      <c r="F706" s="52"/>
      <c r="G706" s="52"/>
    </row>
    <row r="707" spans="4:7" x14ac:dyDescent="0.2">
      <c r="D707" s="51"/>
      <c r="E707" s="51"/>
      <c r="F707" s="52"/>
      <c r="G707" s="52"/>
    </row>
    <row r="708" spans="4:7" x14ac:dyDescent="0.2">
      <c r="D708" s="51"/>
      <c r="E708" s="51"/>
      <c r="F708" s="52"/>
      <c r="G708" s="52"/>
    </row>
    <row r="709" spans="4:7" x14ac:dyDescent="0.2">
      <c r="D709" s="51"/>
      <c r="E709" s="51"/>
      <c r="F709" s="52"/>
      <c r="G709" s="52"/>
    </row>
    <row r="710" spans="4:7" x14ac:dyDescent="0.2">
      <c r="D710" s="51"/>
      <c r="E710" s="51"/>
      <c r="F710" s="52"/>
      <c r="G710" s="52"/>
    </row>
    <row r="711" spans="4:7" x14ac:dyDescent="0.2">
      <c r="D711" s="51"/>
      <c r="E711" s="51"/>
      <c r="F711" s="52"/>
      <c r="G711" s="52"/>
    </row>
    <row r="712" spans="4:7" x14ac:dyDescent="0.2">
      <c r="D712" s="51"/>
      <c r="E712" s="51"/>
      <c r="F712" s="52"/>
      <c r="G712" s="52"/>
    </row>
    <row r="713" spans="4:7" x14ac:dyDescent="0.2">
      <c r="D713" s="51"/>
      <c r="E713" s="51"/>
      <c r="F713" s="52"/>
      <c r="G713" s="52"/>
    </row>
    <row r="714" spans="4:7" x14ac:dyDescent="0.2">
      <c r="D714" s="51"/>
      <c r="E714" s="51"/>
      <c r="F714" s="52"/>
      <c r="G714" s="52"/>
    </row>
    <row r="715" spans="4:7" x14ac:dyDescent="0.2">
      <c r="D715" s="51"/>
      <c r="E715" s="51"/>
      <c r="F715" s="52"/>
      <c r="G715" s="52"/>
    </row>
    <row r="716" spans="4:7" x14ac:dyDescent="0.2">
      <c r="D716" s="51"/>
      <c r="E716" s="51"/>
      <c r="F716" s="52"/>
      <c r="G716" s="52"/>
    </row>
    <row r="717" spans="4:7" x14ac:dyDescent="0.2">
      <c r="D717" s="51"/>
      <c r="E717" s="51"/>
      <c r="F717" s="52"/>
      <c r="G717" s="52"/>
    </row>
    <row r="718" spans="4:7" x14ac:dyDescent="0.2">
      <c r="D718" s="51"/>
      <c r="E718" s="51"/>
      <c r="F718" s="52"/>
      <c r="G718" s="52"/>
    </row>
    <row r="719" spans="4:7" x14ac:dyDescent="0.2">
      <c r="D719" s="51"/>
      <c r="E719" s="51"/>
      <c r="F719" s="52"/>
      <c r="G719" s="52"/>
    </row>
    <row r="720" spans="4:7" x14ac:dyDescent="0.2">
      <c r="D720" s="51"/>
      <c r="E720" s="51"/>
      <c r="F720" s="52"/>
      <c r="G720" s="52"/>
    </row>
    <row r="721" spans="4:7" x14ac:dyDescent="0.2">
      <c r="D721" s="51"/>
      <c r="E721" s="51"/>
      <c r="F721" s="52"/>
      <c r="G721" s="52"/>
    </row>
    <row r="722" spans="4:7" x14ac:dyDescent="0.2">
      <c r="D722" s="51"/>
      <c r="E722" s="51"/>
      <c r="F722" s="52"/>
      <c r="G722" s="52"/>
    </row>
    <row r="723" spans="4:7" x14ac:dyDescent="0.2">
      <c r="D723" s="51"/>
      <c r="E723" s="51"/>
      <c r="F723" s="52"/>
      <c r="G723" s="52"/>
    </row>
    <row r="724" spans="4:7" x14ac:dyDescent="0.2">
      <c r="D724" s="51"/>
      <c r="E724" s="51"/>
      <c r="F724" s="52"/>
      <c r="G724" s="52"/>
    </row>
    <row r="725" spans="4:7" x14ac:dyDescent="0.2">
      <c r="D725" s="51"/>
      <c r="E725" s="51"/>
      <c r="F725" s="52"/>
      <c r="G725" s="52"/>
    </row>
    <row r="726" spans="4:7" x14ac:dyDescent="0.2">
      <c r="D726" s="51"/>
      <c r="E726" s="51"/>
      <c r="F726" s="52"/>
      <c r="G726" s="52"/>
    </row>
    <row r="727" spans="4:7" x14ac:dyDescent="0.2">
      <c r="D727" s="51"/>
      <c r="E727" s="51"/>
      <c r="F727" s="52"/>
      <c r="G727" s="52"/>
    </row>
    <row r="728" spans="4:7" x14ac:dyDescent="0.2">
      <c r="D728" s="51"/>
      <c r="E728" s="51"/>
      <c r="F728" s="52"/>
      <c r="G728" s="52"/>
    </row>
    <row r="729" spans="4:7" x14ac:dyDescent="0.2">
      <c r="D729" s="51"/>
      <c r="E729" s="51"/>
      <c r="F729" s="52"/>
      <c r="G729" s="52"/>
    </row>
    <row r="730" spans="4:7" x14ac:dyDescent="0.2">
      <c r="D730" s="51"/>
      <c r="E730" s="51"/>
      <c r="F730" s="52"/>
      <c r="G730" s="52"/>
    </row>
    <row r="731" spans="4:7" x14ac:dyDescent="0.2">
      <c r="D731" s="51"/>
      <c r="E731" s="51"/>
      <c r="F731" s="52"/>
      <c r="G731" s="52"/>
    </row>
    <row r="732" spans="4:7" x14ac:dyDescent="0.2">
      <c r="D732" s="51"/>
      <c r="E732" s="51"/>
      <c r="F732" s="52"/>
      <c r="G732" s="52"/>
    </row>
    <row r="733" spans="4:7" x14ac:dyDescent="0.2">
      <c r="D733" s="51"/>
      <c r="E733" s="51"/>
      <c r="F733" s="52"/>
      <c r="G733" s="52"/>
    </row>
    <row r="734" spans="4:7" x14ac:dyDescent="0.2">
      <c r="D734" s="51"/>
      <c r="E734" s="51"/>
      <c r="F734" s="52"/>
      <c r="G734" s="52"/>
    </row>
    <row r="735" spans="4:7" x14ac:dyDescent="0.2">
      <c r="D735" s="51"/>
      <c r="E735" s="51"/>
      <c r="F735" s="52"/>
      <c r="G735" s="52"/>
    </row>
    <row r="736" spans="4:7" x14ac:dyDescent="0.2">
      <c r="D736" s="51"/>
      <c r="E736" s="51"/>
      <c r="F736" s="52"/>
      <c r="G736" s="52"/>
    </row>
    <row r="737" spans="4:7" x14ac:dyDescent="0.2">
      <c r="D737" s="51"/>
      <c r="E737" s="51"/>
      <c r="F737" s="52"/>
      <c r="G737" s="52"/>
    </row>
    <row r="738" spans="4:7" x14ac:dyDescent="0.2">
      <c r="D738" s="51"/>
      <c r="E738" s="51"/>
      <c r="F738" s="52"/>
      <c r="G738" s="52"/>
    </row>
    <row r="739" spans="4:7" x14ac:dyDescent="0.2">
      <c r="D739" s="51"/>
      <c r="E739" s="51"/>
      <c r="F739" s="52"/>
      <c r="G739" s="52"/>
    </row>
    <row r="740" spans="4:7" x14ac:dyDescent="0.2">
      <c r="D740" s="51"/>
      <c r="E740" s="51"/>
      <c r="F740" s="52"/>
      <c r="G740" s="52"/>
    </row>
    <row r="741" spans="4:7" x14ac:dyDescent="0.2">
      <c r="D741" s="51"/>
      <c r="E741" s="51"/>
      <c r="F741" s="52"/>
      <c r="G741" s="52"/>
    </row>
    <row r="742" spans="4:7" x14ac:dyDescent="0.2">
      <c r="D742" s="51"/>
      <c r="E742" s="51"/>
      <c r="F742" s="52"/>
      <c r="G742" s="52"/>
    </row>
    <row r="743" spans="4:7" x14ac:dyDescent="0.2">
      <c r="D743" s="51"/>
      <c r="E743" s="51"/>
      <c r="F743" s="52"/>
      <c r="G743" s="52"/>
    </row>
    <row r="744" spans="4:7" x14ac:dyDescent="0.2">
      <c r="D744" s="51"/>
      <c r="E744" s="51"/>
      <c r="F744" s="52"/>
      <c r="G744" s="52"/>
    </row>
    <row r="745" spans="4:7" x14ac:dyDescent="0.2">
      <c r="D745" s="51"/>
      <c r="E745" s="51"/>
      <c r="F745" s="52"/>
      <c r="G745" s="52"/>
    </row>
    <row r="746" spans="4:7" x14ac:dyDescent="0.2">
      <c r="D746" s="51"/>
      <c r="E746" s="51"/>
      <c r="F746" s="52"/>
      <c r="G746" s="52"/>
    </row>
    <row r="747" spans="4:7" x14ac:dyDescent="0.2">
      <c r="D747" s="51"/>
      <c r="E747" s="51"/>
      <c r="F747" s="52"/>
      <c r="G747" s="52"/>
    </row>
    <row r="748" spans="4:7" x14ac:dyDescent="0.2">
      <c r="D748" s="51"/>
      <c r="E748" s="51"/>
      <c r="F748" s="52"/>
      <c r="G748" s="52"/>
    </row>
    <row r="749" spans="4:7" x14ac:dyDescent="0.2">
      <c r="D749" s="51"/>
      <c r="E749" s="51"/>
      <c r="F749" s="52"/>
      <c r="G749" s="52"/>
    </row>
    <row r="750" spans="4:7" x14ac:dyDescent="0.2">
      <c r="D750" s="51"/>
      <c r="E750" s="51"/>
      <c r="F750" s="52"/>
      <c r="G750" s="52"/>
    </row>
    <row r="751" spans="4:7" x14ac:dyDescent="0.2">
      <c r="D751" s="51"/>
      <c r="E751" s="51"/>
      <c r="F751" s="52"/>
      <c r="G751" s="52"/>
    </row>
    <row r="752" spans="4:7" x14ac:dyDescent="0.2">
      <c r="D752" s="51"/>
      <c r="E752" s="51"/>
      <c r="F752" s="52"/>
      <c r="G752" s="52"/>
    </row>
    <row r="753" spans="4:7" x14ac:dyDescent="0.2">
      <c r="D753" s="51"/>
      <c r="E753" s="51"/>
      <c r="F753" s="52"/>
      <c r="G753" s="52"/>
    </row>
    <row r="754" spans="4:7" x14ac:dyDescent="0.2">
      <c r="D754" s="51"/>
      <c r="E754" s="51"/>
      <c r="F754" s="52"/>
      <c r="G754" s="52"/>
    </row>
    <row r="755" spans="4:7" x14ac:dyDescent="0.2">
      <c r="D755" s="51"/>
      <c r="E755" s="51"/>
      <c r="F755" s="52"/>
      <c r="G755" s="52"/>
    </row>
    <row r="756" spans="4:7" x14ac:dyDescent="0.2">
      <c r="D756" s="51"/>
      <c r="E756" s="51"/>
      <c r="F756" s="52"/>
      <c r="G756" s="52"/>
    </row>
    <row r="757" spans="4:7" x14ac:dyDescent="0.2">
      <c r="D757" s="51"/>
      <c r="E757" s="51"/>
      <c r="F757" s="52"/>
      <c r="G757" s="52"/>
    </row>
    <row r="758" spans="4:7" x14ac:dyDescent="0.2">
      <c r="D758" s="51"/>
      <c r="E758" s="51"/>
      <c r="F758" s="52"/>
      <c r="G758" s="52"/>
    </row>
    <row r="759" spans="4:7" x14ac:dyDescent="0.2">
      <c r="D759" s="51"/>
      <c r="E759" s="51"/>
      <c r="F759" s="52"/>
      <c r="G759" s="52"/>
    </row>
    <row r="760" spans="4:7" x14ac:dyDescent="0.2">
      <c r="D760" s="51"/>
      <c r="E760" s="51"/>
      <c r="F760" s="52"/>
      <c r="G760" s="52"/>
    </row>
    <row r="761" spans="4:7" x14ac:dyDescent="0.2">
      <c r="D761" s="51"/>
      <c r="E761" s="51"/>
      <c r="F761" s="52"/>
      <c r="G761" s="52"/>
    </row>
    <row r="762" spans="4:7" x14ac:dyDescent="0.2">
      <c r="D762" s="51"/>
      <c r="E762" s="51"/>
      <c r="F762" s="52"/>
      <c r="G762" s="52"/>
    </row>
    <row r="763" spans="4:7" x14ac:dyDescent="0.2">
      <c r="D763" s="51"/>
      <c r="E763" s="51"/>
      <c r="F763" s="52"/>
      <c r="G763" s="52"/>
    </row>
    <row r="764" spans="4:7" x14ac:dyDescent="0.2">
      <c r="D764" s="51"/>
      <c r="E764" s="51"/>
      <c r="F764" s="52"/>
      <c r="G764" s="52"/>
    </row>
    <row r="765" spans="4:7" x14ac:dyDescent="0.2">
      <c r="D765" s="51"/>
      <c r="E765" s="51"/>
      <c r="F765" s="52"/>
      <c r="G765" s="52"/>
    </row>
    <row r="766" spans="4:7" x14ac:dyDescent="0.2">
      <c r="D766" s="51"/>
      <c r="E766" s="51"/>
      <c r="F766" s="52"/>
      <c r="G766" s="52"/>
    </row>
    <row r="767" spans="4:7" x14ac:dyDescent="0.2">
      <c r="D767" s="51"/>
      <c r="E767" s="51"/>
      <c r="F767" s="52"/>
      <c r="G767" s="52"/>
    </row>
    <row r="768" spans="4:7" x14ac:dyDescent="0.2">
      <c r="D768" s="51"/>
      <c r="E768" s="51"/>
      <c r="F768" s="52"/>
      <c r="G768" s="52"/>
    </row>
    <row r="769" spans="4:7" x14ac:dyDescent="0.2">
      <c r="D769" s="51"/>
      <c r="E769" s="51"/>
      <c r="F769" s="52"/>
      <c r="G769" s="52"/>
    </row>
    <row r="770" spans="4:7" x14ac:dyDescent="0.2">
      <c r="D770" s="51"/>
      <c r="E770" s="51"/>
      <c r="F770" s="52"/>
      <c r="G770" s="52"/>
    </row>
    <row r="771" spans="4:7" x14ac:dyDescent="0.2">
      <c r="D771" s="51"/>
      <c r="E771" s="51"/>
      <c r="F771" s="52"/>
      <c r="G771" s="52"/>
    </row>
    <row r="772" spans="4:7" x14ac:dyDescent="0.2">
      <c r="D772" s="51"/>
      <c r="E772" s="51"/>
      <c r="F772" s="52"/>
      <c r="G772" s="52"/>
    </row>
    <row r="773" spans="4:7" x14ac:dyDescent="0.2">
      <c r="D773" s="51"/>
      <c r="E773" s="51"/>
      <c r="F773" s="52"/>
      <c r="G773" s="52"/>
    </row>
    <row r="774" spans="4:7" x14ac:dyDescent="0.2">
      <c r="D774" s="51"/>
      <c r="E774" s="51"/>
      <c r="F774" s="52"/>
      <c r="G774" s="52"/>
    </row>
    <row r="775" spans="4:7" x14ac:dyDescent="0.2">
      <c r="D775" s="51"/>
      <c r="E775" s="51"/>
      <c r="F775" s="52"/>
      <c r="G775" s="52"/>
    </row>
    <row r="776" spans="4:7" x14ac:dyDescent="0.2">
      <c r="D776" s="51"/>
      <c r="E776" s="51"/>
      <c r="F776" s="52"/>
      <c r="G776" s="52"/>
    </row>
    <row r="777" spans="4:7" x14ac:dyDescent="0.2">
      <c r="D777" s="51"/>
      <c r="E777" s="51"/>
      <c r="F777" s="52"/>
      <c r="G777" s="52"/>
    </row>
    <row r="779" spans="4:7" x14ac:dyDescent="0.2">
      <c r="F779" s="52"/>
      <c r="G779" s="5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921"/>
  <sheetViews>
    <sheetView workbookViewId="0"/>
  </sheetViews>
  <sheetFormatPr defaultRowHeight="12.75" x14ac:dyDescent="0.2"/>
  <sheetData>
    <row r="1" spans="1:5" x14ac:dyDescent="0.2">
      <c r="A1" s="26" t="s">
        <v>35</v>
      </c>
      <c r="B1" s="26" t="s">
        <v>37</v>
      </c>
      <c r="C1" s="26" t="s">
        <v>36</v>
      </c>
      <c r="E1" s="30" t="s">
        <v>38</v>
      </c>
    </row>
    <row r="2" spans="1:5" x14ac:dyDescent="0.2">
      <c r="A2" s="28">
        <v>1</v>
      </c>
      <c r="B2" s="28" t="e">
        <f>interpola(#REF!,CURVA!$B$6:$B$20,CURVA!$G$6:$G$20)</f>
        <v>#VALUE!</v>
      </c>
      <c r="C2" s="29" t="e">
        <f t="shared" ref="C2:C65" si="0">(EXP(B2*A2/360)-1)*360/A2</f>
        <v>#VALUE!</v>
      </c>
      <c r="E2" t="e">
        <f>cubic_spline(CURVA!$B$6:$B$20,CURVA!$G$6:$G$20,#REF!)</f>
        <v>#VALUE!</v>
      </c>
    </row>
    <row r="3" spans="1:5" x14ac:dyDescent="0.2">
      <c r="A3" s="28">
        <v>2</v>
      </c>
      <c r="B3" s="28" t="e">
        <f>interpola(#REF!,CURVA!$B$6:$B$20,CURVA!$G$6:$G$20)</f>
        <v>#VALUE!</v>
      </c>
      <c r="C3" s="29" t="e">
        <f t="shared" si="0"/>
        <v>#VALUE!</v>
      </c>
      <c r="E3" t="e">
        <f>cubic_spline(CURVA!$B$6:$B$20,CURVA!$G$6:$G$20,#REF!)</f>
        <v>#VALUE!</v>
      </c>
    </row>
    <row r="4" spans="1:5" x14ac:dyDescent="0.2">
      <c r="A4" s="28">
        <v>3</v>
      </c>
      <c r="B4" s="28" t="e">
        <f>interpola(#REF!,CURVA!$B$6:$B$20,CURVA!$G$6:$G$20)</f>
        <v>#VALUE!</v>
      </c>
      <c r="C4" s="29" t="e">
        <f t="shared" si="0"/>
        <v>#VALUE!</v>
      </c>
      <c r="E4" t="e">
        <f>cubic_spline(CURVA!$B$6:$B$20,CURVA!$G$6:$G$20,#REF!)</f>
        <v>#VALUE!</v>
      </c>
    </row>
    <row r="5" spans="1:5" x14ac:dyDescent="0.2">
      <c r="A5" s="28">
        <v>4</v>
      </c>
      <c r="B5" s="28" t="e">
        <f>interpola(#REF!,CURVA!$B$6:$B$20,CURVA!$G$6:$G$20)</f>
        <v>#VALUE!</v>
      </c>
      <c r="C5" s="29" t="e">
        <f t="shared" si="0"/>
        <v>#VALUE!</v>
      </c>
      <c r="E5" t="e">
        <f>cubic_spline(CURVA!$B$6:$B$20,CURVA!$G$6:$G$20,#REF!)</f>
        <v>#VALUE!</v>
      </c>
    </row>
    <row r="6" spans="1:5" x14ac:dyDescent="0.2">
      <c r="A6" s="28">
        <v>5</v>
      </c>
      <c r="B6" s="28" t="e">
        <f>interpola(#REF!,CURVA!$B$6:$B$20,CURVA!$G$6:$G$20)</f>
        <v>#VALUE!</v>
      </c>
      <c r="C6" s="29" t="e">
        <f t="shared" si="0"/>
        <v>#VALUE!</v>
      </c>
      <c r="E6" t="e">
        <f>cubic_spline(CURVA!$B$6:$B$20,CURVA!$G$6:$G$20,#REF!)</f>
        <v>#VALUE!</v>
      </c>
    </row>
    <row r="7" spans="1:5" x14ac:dyDescent="0.2">
      <c r="A7" s="28">
        <v>6</v>
      </c>
      <c r="B7" s="28" t="e">
        <f>interpola(#REF!,CURVA!$B$6:$B$20,CURVA!$G$6:$G$20)</f>
        <v>#VALUE!</v>
      </c>
      <c r="C7" s="29" t="e">
        <f t="shared" si="0"/>
        <v>#VALUE!</v>
      </c>
      <c r="E7" t="e">
        <f>cubic_spline(CURVA!$B$6:$B$20,CURVA!$G$6:$G$20,#REF!)</f>
        <v>#VALUE!</v>
      </c>
    </row>
    <row r="8" spans="1:5" x14ac:dyDescent="0.2">
      <c r="A8" s="28">
        <v>7</v>
      </c>
      <c r="B8" s="28" t="e">
        <f>interpola(#REF!,CURVA!$B$6:$B$20,CURVA!$G$6:$G$20)</f>
        <v>#VALUE!</v>
      </c>
      <c r="C8" s="29" t="e">
        <f t="shared" si="0"/>
        <v>#VALUE!</v>
      </c>
      <c r="E8" t="e">
        <f>cubic_spline(CURVA!$B$6:$B$20,CURVA!$G$6:$G$20,#REF!)</f>
        <v>#VALUE!</v>
      </c>
    </row>
    <row r="9" spans="1:5" x14ac:dyDescent="0.2">
      <c r="A9" s="28">
        <v>8</v>
      </c>
      <c r="B9" s="28" t="e">
        <f>interpola(#REF!,CURVA!$B$6:$B$20,CURVA!$G$6:$G$20)</f>
        <v>#VALUE!</v>
      </c>
      <c r="C9" s="29" t="e">
        <f t="shared" si="0"/>
        <v>#VALUE!</v>
      </c>
      <c r="E9" t="e">
        <f>cubic_spline(CURVA!$B$6:$B$20,CURVA!$G$6:$G$20,#REF!)</f>
        <v>#VALUE!</v>
      </c>
    </row>
    <row r="10" spans="1:5" x14ac:dyDescent="0.2">
      <c r="A10" s="28">
        <v>9</v>
      </c>
      <c r="B10" s="28" t="e">
        <f>interpola(#REF!,CURVA!$B$6:$B$20,CURVA!$G$6:$G$20)</f>
        <v>#VALUE!</v>
      </c>
      <c r="C10" s="29" t="e">
        <f t="shared" si="0"/>
        <v>#VALUE!</v>
      </c>
      <c r="E10" t="e">
        <f>cubic_spline(CURVA!$B$6:$B$20,CURVA!$G$6:$G$20,#REF!)</f>
        <v>#VALUE!</v>
      </c>
    </row>
    <row r="11" spans="1:5" x14ac:dyDescent="0.2">
      <c r="A11" s="28">
        <v>10</v>
      </c>
      <c r="B11" s="28" t="e">
        <f>interpola(#REF!,CURVA!$B$6:$B$20,CURVA!$G$6:$G$20)</f>
        <v>#VALUE!</v>
      </c>
      <c r="C11" s="29" t="e">
        <f t="shared" si="0"/>
        <v>#VALUE!</v>
      </c>
      <c r="E11" t="e">
        <f>cubic_spline(CURVA!$B$6:$B$20,CURVA!$G$6:$G$20,#REF!)</f>
        <v>#VALUE!</v>
      </c>
    </row>
    <row r="12" spans="1:5" x14ac:dyDescent="0.2">
      <c r="A12" s="28">
        <v>11</v>
      </c>
      <c r="B12" s="28" t="e">
        <f>interpola(#REF!,CURVA!$B$6:$B$20,CURVA!$G$6:$G$20)</f>
        <v>#VALUE!</v>
      </c>
      <c r="C12" s="29" t="e">
        <f t="shared" si="0"/>
        <v>#VALUE!</v>
      </c>
      <c r="E12" t="e">
        <f>cubic_spline(CURVA!$B$6:$B$20,CURVA!$G$6:$G$20,#REF!)</f>
        <v>#VALUE!</v>
      </c>
    </row>
    <row r="13" spans="1:5" x14ac:dyDescent="0.2">
      <c r="A13" s="28">
        <v>12</v>
      </c>
      <c r="B13" s="28" t="e">
        <f>interpola(#REF!,CURVA!$B$6:$B$20,CURVA!$G$6:$G$20)</f>
        <v>#VALUE!</v>
      </c>
      <c r="C13" s="29" t="e">
        <f t="shared" si="0"/>
        <v>#VALUE!</v>
      </c>
      <c r="E13" t="e">
        <f>cubic_spline(CURVA!$B$6:$B$20,CURVA!$G$6:$G$20,#REF!)</f>
        <v>#VALUE!</v>
      </c>
    </row>
    <row r="14" spans="1:5" x14ac:dyDescent="0.2">
      <c r="A14" s="28">
        <v>13</v>
      </c>
      <c r="B14" s="28" t="e">
        <f>interpola(#REF!,CURVA!$B$6:$B$20,CURVA!$G$6:$G$20)</f>
        <v>#VALUE!</v>
      </c>
      <c r="C14" s="29" t="e">
        <f t="shared" si="0"/>
        <v>#VALUE!</v>
      </c>
      <c r="E14" t="e">
        <f>cubic_spline(CURVA!$B$6:$B$20,CURVA!$G$6:$G$20,#REF!)</f>
        <v>#VALUE!</v>
      </c>
    </row>
    <row r="15" spans="1:5" x14ac:dyDescent="0.2">
      <c r="A15" s="28">
        <v>14</v>
      </c>
      <c r="B15" s="28" t="e">
        <f>interpola(#REF!,CURVA!$B$6:$B$20,CURVA!$G$6:$G$20)</f>
        <v>#VALUE!</v>
      </c>
      <c r="C15" s="29" t="e">
        <f t="shared" si="0"/>
        <v>#VALUE!</v>
      </c>
      <c r="E15" t="e">
        <f>cubic_spline(CURVA!$B$6:$B$20,CURVA!$G$6:$G$20,#REF!)</f>
        <v>#VALUE!</v>
      </c>
    </row>
    <row r="16" spans="1:5" x14ac:dyDescent="0.2">
      <c r="A16" s="28">
        <v>15</v>
      </c>
      <c r="B16" s="28" t="e">
        <f>interpola(#REF!,CURVA!$B$6:$B$20,CURVA!$G$6:$G$20)</f>
        <v>#VALUE!</v>
      </c>
      <c r="C16" s="29" t="e">
        <f t="shared" si="0"/>
        <v>#VALUE!</v>
      </c>
      <c r="E16" t="e">
        <f>cubic_spline(CURVA!$B$6:$B$20,CURVA!$G$6:$G$20,#REF!)</f>
        <v>#VALUE!</v>
      </c>
    </row>
    <row r="17" spans="1:5" x14ac:dyDescent="0.2">
      <c r="A17" s="28">
        <v>16</v>
      </c>
      <c r="B17" s="28" t="e">
        <f>interpola(#REF!,CURVA!$B$6:$B$20,CURVA!$G$6:$G$20)</f>
        <v>#VALUE!</v>
      </c>
      <c r="C17" s="29" t="e">
        <f t="shared" si="0"/>
        <v>#VALUE!</v>
      </c>
      <c r="E17" t="e">
        <f>cubic_spline(CURVA!$B$6:$B$20,CURVA!$G$6:$G$20,#REF!)</f>
        <v>#VALUE!</v>
      </c>
    </row>
    <row r="18" spans="1:5" x14ac:dyDescent="0.2">
      <c r="A18" s="28">
        <v>17</v>
      </c>
      <c r="B18" s="28" t="e">
        <f>interpola(#REF!,CURVA!$B$6:$B$20,CURVA!$G$6:$G$20)</f>
        <v>#VALUE!</v>
      </c>
      <c r="C18" s="29" t="e">
        <f t="shared" si="0"/>
        <v>#VALUE!</v>
      </c>
      <c r="E18" t="e">
        <f>cubic_spline(CURVA!$B$6:$B$20,CURVA!$G$6:$G$20,#REF!)</f>
        <v>#VALUE!</v>
      </c>
    </row>
    <row r="19" spans="1:5" x14ac:dyDescent="0.2">
      <c r="A19" s="28">
        <v>18</v>
      </c>
      <c r="B19" s="28" t="e">
        <f>interpola(#REF!,CURVA!$B$6:$B$20,CURVA!$G$6:$G$20)</f>
        <v>#VALUE!</v>
      </c>
      <c r="C19" s="29" t="e">
        <f t="shared" si="0"/>
        <v>#VALUE!</v>
      </c>
      <c r="E19" t="e">
        <f>cubic_spline(CURVA!$B$6:$B$20,CURVA!$G$6:$G$20,#REF!)</f>
        <v>#VALUE!</v>
      </c>
    </row>
    <row r="20" spans="1:5" x14ac:dyDescent="0.2">
      <c r="A20" s="28">
        <v>19</v>
      </c>
      <c r="B20" s="28" t="e">
        <f>interpola(#REF!,CURVA!$B$6:$B$20,CURVA!$G$6:$G$20)</f>
        <v>#VALUE!</v>
      </c>
      <c r="C20" s="29" t="e">
        <f t="shared" si="0"/>
        <v>#VALUE!</v>
      </c>
      <c r="E20" t="e">
        <f>cubic_spline(CURVA!$B$6:$B$20,CURVA!$G$6:$G$20,#REF!)</f>
        <v>#VALUE!</v>
      </c>
    </row>
    <row r="21" spans="1:5" x14ac:dyDescent="0.2">
      <c r="A21" s="28">
        <v>20</v>
      </c>
      <c r="B21" s="28" t="e">
        <f>interpola(#REF!,CURVA!$B$6:$B$20,CURVA!$G$6:$G$20)</f>
        <v>#VALUE!</v>
      </c>
      <c r="C21" s="29" t="e">
        <f t="shared" si="0"/>
        <v>#VALUE!</v>
      </c>
      <c r="E21" t="e">
        <f>cubic_spline(CURVA!$B$6:$B$20,CURVA!$G$6:$G$20,#REF!)</f>
        <v>#VALUE!</v>
      </c>
    </row>
    <row r="22" spans="1:5" x14ac:dyDescent="0.2">
      <c r="A22" s="28">
        <v>21</v>
      </c>
      <c r="B22" s="28" t="e">
        <f>interpola(#REF!,CURVA!$B$6:$B$20,CURVA!$G$6:$G$20)</f>
        <v>#VALUE!</v>
      </c>
      <c r="C22" s="29" t="e">
        <f t="shared" si="0"/>
        <v>#VALUE!</v>
      </c>
      <c r="E22" t="e">
        <f>cubic_spline(CURVA!$B$6:$B$20,CURVA!$G$6:$G$20,#REF!)</f>
        <v>#VALUE!</v>
      </c>
    </row>
    <row r="23" spans="1:5" x14ac:dyDescent="0.2">
      <c r="A23" s="28">
        <v>22</v>
      </c>
      <c r="B23" s="28" t="e">
        <f>interpola(#REF!,CURVA!$B$6:$B$20,CURVA!$G$6:$G$20)</f>
        <v>#VALUE!</v>
      </c>
      <c r="C23" s="29" t="e">
        <f t="shared" si="0"/>
        <v>#VALUE!</v>
      </c>
      <c r="E23" t="e">
        <f>cubic_spline(CURVA!$B$6:$B$20,CURVA!$G$6:$G$20,#REF!)</f>
        <v>#VALUE!</v>
      </c>
    </row>
    <row r="24" spans="1:5" x14ac:dyDescent="0.2">
      <c r="A24" s="28">
        <v>23</v>
      </c>
      <c r="B24" s="28" t="e">
        <f>interpola(#REF!,CURVA!$B$6:$B$20,CURVA!$G$6:$G$20)</f>
        <v>#VALUE!</v>
      </c>
      <c r="C24" s="29" t="e">
        <f t="shared" si="0"/>
        <v>#VALUE!</v>
      </c>
      <c r="E24" t="e">
        <f>cubic_spline(CURVA!$B$6:$B$20,CURVA!$G$6:$G$20,#REF!)</f>
        <v>#VALUE!</v>
      </c>
    </row>
    <row r="25" spans="1:5" x14ac:dyDescent="0.2">
      <c r="A25" s="28">
        <v>24</v>
      </c>
      <c r="B25" s="28" t="e">
        <f>interpola(#REF!,CURVA!$B$6:$B$20,CURVA!$G$6:$G$20)</f>
        <v>#VALUE!</v>
      </c>
      <c r="C25" s="29" t="e">
        <f t="shared" si="0"/>
        <v>#VALUE!</v>
      </c>
      <c r="E25" t="e">
        <f>cubic_spline(CURVA!$B$6:$B$20,CURVA!$G$6:$G$20,#REF!)</f>
        <v>#VALUE!</v>
      </c>
    </row>
    <row r="26" spans="1:5" x14ac:dyDescent="0.2">
      <c r="A26" s="28">
        <v>25</v>
      </c>
      <c r="B26" s="28" t="e">
        <f>interpola(#REF!,CURVA!$B$6:$B$20,CURVA!$G$6:$G$20)</f>
        <v>#VALUE!</v>
      </c>
      <c r="C26" s="29" t="e">
        <f t="shared" si="0"/>
        <v>#VALUE!</v>
      </c>
      <c r="E26" t="e">
        <f>cubic_spline(CURVA!$B$6:$B$20,CURVA!$G$6:$G$20,#REF!)</f>
        <v>#VALUE!</v>
      </c>
    </row>
    <row r="27" spans="1:5" x14ac:dyDescent="0.2">
      <c r="A27" s="28">
        <v>26</v>
      </c>
      <c r="B27" s="28" t="e">
        <f>interpola(#REF!,CURVA!$B$6:$B$20,CURVA!$G$6:$G$20)</f>
        <v>#VALUE!</v>
      </c>
      <c r="C27" s="29" t="e">
        <f t="shared" si="0"/>
        <v>#VALUE!</v>
      </c>
      <c r="E27" t="e">
        <f>cubic_spline(CURVA!$B$6:$B$20,CURVA!$G$6:$G$20,#REF!)</f>
        <v>#VALUE!</v>
      </c>
    </row>
    <row r="28" spans="1:5" x14ac:dyDescent="0.2">
      <c r="A28" s="28">
        <v>27</v>
      </c>
      <c r="B28" s="28" t="e">
        <f>interpola(#REF!,CURVA!$B$6:$B$20,CURVA!$G$6:$G$20)</f>
        <v>#VALUE!</v>
      </c>
      <c r="C28" s="29" t="e">
        <f t="shared" si="0"/>
        <v>#VALUE!</v>
      </c>
      <c r="E28" t="e">
        <f>cubic_spline(CURVA!$B$6:$B$20,CURVA!$G$6:$G$20,#REF!)</f>
        <v>#VALUE!</v>
      </c>
    </row>
    <row r="29" spans="1:5" x14ac:dyDescent="0.2">
      <c r="A29" s="28">
        <v>28</v>
      </c>
      <c r="B29" s="28" t="e">
        <f>interpola(#REF!,CURVA!$B$6:$B$20,CURVA!$G$6:$G$20)</f>
        <v>#VALUE!</v>
      </c>
      <c r="C29" s="29" t="e">
        <f t="shared" si="0"/>
        <v>#VALUE!</v>
      </c>
      <c r="E29" t="e">
        <f>cubic_spline(CURVA!$B$6:$B$20,CURVA!$G$6:$G$20,#REF!)</f>
        <v>#VALUE!</v>
      </c>
    </row>
    <row r="30" spans="1:5" x14ac:dyDescent="0.2">
      <c r="A30" s="28">
        <v>29</v>
      </c>
      <c r="B30" s="28" t="e">
        <f>interpola(#REF!,CURVA!$B$6:$B$20,CURVA!$G$6:$G$20)</f>
        <v>#VALUE!</v>
      </c>
      <c r="C30" s="29" t="e">
        <f t="shared" si="0"/>
        <v>#VALUE!</v>
      </c>
      <c r="E30" t="e">
        <f>cubic_spline(CURVA!$B$6:$B$20,CURVA!$G$6:$G$20,#REF!)</f>
        <v>#VALUE!</v>
      </c>
    </row>
    <row r="31" spans="1:5" x14ac:dyDescent="0.2">
      <c r="A31" s="28">
        <v>30</v>
      </c>
      <c r="B31" s="28" t="e">
        <f>interpola(#REF!,CURVA!$B$6:$B$20,CURVA!$G$6:$G$20)</f>
        <v>#VALUE!</v>
      </c>
      <c r="C31" s="29" t="e">
        <f t="shared" si="0"/>
        <v>#VALUE!</v>
      </c>
      <c r="E31" t="e">
        <f>cubic_spline(CURVA!$B$6:$B$20,CURVA!$G$6:$G$20,#REF!)</f>
        <v>#VALUE!</v>
      </c>
    </row>
    <row r="32" spans="1:5" x14ac:dyDescent="0.2">
      <c r="A32" s="28">
        <v>31</v>
      </c>
      <c r="B32" s="28" t="e">
        <f>interpola(#REF!,CURVA!$B$6:$B$20,CURVA!$G$6:$G$20)</f>
        <v>#VALUE!</v>
      </c>
      <c r="C32" s="29" t="e">
        <f t="shared" si="0"/>
        <v>#VALUE!</v>
      </c>
      <c r="E32" t="e">
        <f>cubic_spline(CURVA!$B$6:$B$20,CURVA!$G$6:$G$20,#REF!)</f>
        <v>#VALUE!</v>
      </c>
    </row>
    <row r="33" spans="1:5" x14ac:dyDescent="0.2">
      <c r="A33" s="28">
        <v>32</v>
      </c>
      <c r="B33" s="28" t="e">
        <f>interpola(#REF!,CURVA!$B$6:$B$20,CURVA!$G$6:$G$20)</f>
        <v>#VALUE!</v>
      </c>
      <c r="C33" s="29" t="e">
        <f t="shared" si="0"/>
        <v>#VALUE!</v>
      </c>
      <c r="E33" t="e">
        <f>cubic_spline(CURVA!$B$6:$B$20,CURVA!$G$6:$G$20,#REF!)</f>
        <v>#VALUE!</v>
      </c>
    </row>
    <row r="34" spans="1:5" x14ac:dyDescent="0.2">
      <c r="A34" s="28">
        <v>33</v>
      </c>
      <c r="B34" s="28" t="e">
        <f>interpola(#REF!,CURVA!$B$6:$B$20,CURVA!$G$6:$G$20)</f>
        <v>#VALUE!</v>
      </c>
      <c r="C34" s="29" t="e">
        <f t="shared" si="0"/>
        <v>#VALUE!</v>
      </c>
      <c r="E34" t="e">
        <f>cubic_spline(CURVA!$B$6:$B$20,CURVA!$G$6:$G$20,#REF!)</f>
        <v>#VALUE!</v>
      </c>
    </row>
    <row r="35" spans="1:5" x14ac:dyDescent="0.2">
      <c r="A35" s="28">
        <v>34</v>
      </c>
      <c r="B35" s="28" t="e">
        <f>interpola(#REF!,CURVA!$B$6:$B$20,CURVA!$G$6:$G$20)</f>
        <v>#VALUE!</v>
      </c>
      <c r="C35" s="29" t="e">
        <f t="shared" si="0"/>
        <v>#VALUE!</v>
      </c>
      <c r="E35" t="e">
        <f>cubic_spline(CURVA!$B$6:$B$20,CURVA!$G$6:$G$20,#REF!)</f>
        <v>#VALUE!</v>
      </c>
    </row>
    <row r="36" spans="1:5" x14ac:dyDescent="0.2">
      <c r="A36" s="28">
        <v>35</v>
      </c>
      <c r="B36" s="28" t="e">
        <f>interpola(#REF!,CURVA!$B$6:$B$20,CURVA!$G$6:$G$20)</f>
        <v>#VALUE!</v>
      </c>
      <c r="C36" s="29" t="e">
        <f t="shared" si="0"/>
        <v>#VALUE!</v>
      </c>
      <c r="E36" t="e">
        <f>cubic_spline(CURVA!$B$6:$B$20,CURVA!$G$6:$G$20,#REF!)</f>
        <v>#VALUE!</v>
      </c>
    </row>
    <row r="37" spans="1:5" x14ac:dyDescent="0.2">
      <c r="A37" s="28">
        <v>36</v>
      </c>
      <c r="B37" s="28" t="e">
        <f>interpola(#REF!,CURVA!$B$6:$B$20,CURVA!$G$6:$G$20)</f>
        <v>#VALUE!</v>
      </c>
      <c r="C37" s="29" t="e">
        <f t="shared" si="0"/>
        <v>#VALUE!</v>
      </c>
      <c r="E37" t="e">
        <f>cubic_spline(CURVA!$B$6:$B$20,CURVA!$G$6:$G$20,#REF!)</f>
        <v>#VALUE!</v>
      </c>
    </row>
    <row r="38" spans="1:5" x14ac:dyDescent="0.2">
      <c r="A38" s="28">
        <v>37</v>
      </c>
      <c r="B38" s="28" t="e">
        <f>interpola(#REF!,CURVA!$B$6:$B$20,CURVA!$G$6:$G$20)</f>
        <v>#VALUE!</v>
      </c>
      <c r="C38" s="29" t="e">
        <f t="shared" si="0"/>
        <v>#VALUE!</v>
      </c>
      <c r="E38" t="e">
        <f>cubic_spline(CURVA!$B$6:$B$20,CURVA!$G$6:$G$20,#REF!)</f>
        <v>#VALUE!</v>
      </c>
    </row>
    <row r="39" spans="1:5" x14ac:dyDescent="0.2">
      <c r="A39" s="28">
        <v>38</v>
      </c>
      <c r="B39" s="28" t="e">
        <f>interpola(#REF!,CURVA!$B$6:$B$20,CURVA!$G$6:$G$20)</f>
        <v>#VALUE!</v>
      </c>
      <c r="C39" s="29" t="e">
        <f t="shared" si="0"/>
        <v>#VALUE!</v>
      </c>
      <c r="E39" t="e">
        <f>cubic_spline(CURVA!$B$6:$B$20,CURVA!$G$6:$G$20,#REF!)</f>
        <v>#VALUE!</v>
      </c>
    </row>
    <row r="40" spans="1:5" x14ac:dyDescent="0.2">
      <c r="A40" s="28">
        <v>39</v>
      </c>
      <c r="B40" s="28" t="e">
        <f>interpola(#REF!,CURVA!$B$6:$B$20,CURVA!$G$6:$G$20)</f>
        <v>#VALUE!</v>
      </c>
      <c r="C40" s="29" t="e">
        <f t="shared" si="0"/>
        <v>#VALUE!</v>
      </c>
      <c r="E40" t="e">
        <f>cubic_spline(CURVA!$B$6:$B$20,CURVA!$G$6:$G$20,#REF!)</f>
        <v>#VALUE!</v>
      </c>
    </row>
    <row r="41" spans="1:5" x14ac:dyDescent="0.2">
      <c r="A41" s="28">
        <v>40</v>
      </c>
      <c r="B41" s="28" t="e">
        <f>interpola(#REF!,CURVA!$B$6:$B$20,CURVA!$G$6:$G$20)</f>
        <v>#VALUE!</v>
      </c>
      <c r="C41" s="29" t="e">
        <f t="shared" si="0"/>
        <v>#VALUE!</v>
      </c>
      <c r="E41" t="e">
        <f>cubic_spline(CURVA!$B$6:$B$20,CURVA!$G$6:$G$20,#REF!)</f>
        <v>#VALUE!</v>
      </c>
    </row>
    <row r="42" spans="1:5" x14ac:dyDescent="0.2">
      <c r="A42" s="28">
        <v>41</v>
      </c>
      <c r="B42" s="28" t="e">
        <f>interpola(#REF!,CURVA!$B$6:$B$20,CURVA!$G$6:$G$20)</f>
        <v>#VALUE!</v>
      </c>
      <c r="C42" s="29" t="e">
        <f t="shared" si="0"/>
        <v>#VALUE!</v>
      </c>
      <c r="E42" t="e">
        <f>cubic_spline(CURVA!$B$6:$B$20,CURVA!$G$6:$G$20,#REF!)</f>
        <v>#VALUE!</v>
      </c>
    </row>
    <row r="43" spans="1:5" x14ac:dyDescent="0.2">
      <c r="A43" s="28">
        <v>42</v>
      </c>
      <c r="B43" s="28" t="e">
        <f>interpola(#REF!,CURVA!$B$6:$B$20,CURVA!$G$6:$G$20)</f>
        <v>#VALUE!</v>
      </c>
      <c r="C43" s="29" t="e">
        <f t="shared" si="0"/>
        <v>#VALUE!</v>
      </c>
      <c r="E43" t="e">
        <f>cubic_spline(CURVA!$B$6:$B$20,CURVA!$G$6:$G$20,#REF!)</f>
        <v>#VALUE!</v>
      </c>
    </row>
    <row r="44" spans="1:5" x14ac:dyDescent="0.2">
      <c r="A44" s="28">
        <v>43</v>
      </c>
      <c r="B44" s="28" t="e">
        <f>interpola(#REF!,CURVA!$B$6:$B$20,CURVA!$G$6:$G$20)</f>
        <v>#VALUE!</v>
      </c>
      <c r="C44" s="29" t="e">
        <f t="shared" si="0"/>
        <v>#VALUE!</v>
      </c>
      <c r="E44" t="e">
        <f>cubic_spline(CURVA!$B$6:$B$20,CURVA!$G$6:$G$20,#REF!)</f>
        <v>#VALUE!</v>
      </c>
    </row>
    <row r="45" spans="1:5" x14ac:dyDescent="0.2">
      <c r="A45" s="28">
        <v>44</v>
      </c>
      <c r="B45" s="28" t="e">
        <f>interpola(#REF!,CURVA!$B$6:$B$20,CURVA!$G$6:$G$20)</f>
        <v>#VALUE!</v>
      </c>
      <c r="C45" s="29" t="e">
        <f t="shared" si="0"/>
        <v>#VALUE!</v>
      </c>
      <c r="E45" t="e">
        <f>cubic_spline(CURVA!$B$6:$B$20,CURVA!$G$6:$G$20,#REF!)</f>
        <v>#VALUE!</v>
      </c>
    </row>
    <row r="46" spans="1:5" x14ac:dyDescent="0.2">
      <c r="A46" s="28">
        <v>45</v>
      </c>
      <c r="B46" s="28" t="e">
        <f>interpola(#REF!,CURVA!$B$6:$B$20,CURVA!$G$6:$G$20)</f>
        <v>#VALUE!</v>
      </c>
      <c r="C46" s="29" t="e">
        <f t="shared" si="0"/>
        <v>#VALUE!</v>
      </c>
      <c r="E46" t="e">
        <f>cubic_spline(CURVA!$B$6:$B$20,CURVA!$G$6:$G$20,#REF!)</f>
        <v>#VALUE!</v>
      </c>
    </row>
    <row r="47" spans="1:5" x14ac:dyDescent="0.2">
      <c r="A47" s="28">
        <v>46</v>
      </c>
      <c r="B47" s="28" t="e">
        <f>interpola(#REF!,CURVA!$B$6:$B$20,CURVA!$G$6:$G$20)</f>
        <v>#VALUE!</v>
      </c>
      <c r="C47" s="29" t="e">
        <f t="shared" si="0"/>
        <v>#VALUE!</v>
      </c>
      <c r="E47" t="e">
        <f>cubic_spline(CURVA!$B$6:$B$20,CURVA!$G$6:$G$20,#REF!)</f>
        <v>#VALUE!</v>
      </c>
    </row>
    <row r="48" spans="1:5" x14ac:dyDescent="0.2">
      <c r="A48" s="28">
        <v>47</v>
      </c>
      <c r="B48" s="28" t="e">
        <f>interpola(#REF!,CURVA!$B$6:$B$20,CURVA!$G$6:$G$20)</f>
        <v>#VALUE!</v>
      </c>
      <c r="C48" s="29" t="e">
        <f t="shared" si="0"/>
        <v>#VALUE!</v>
      </c>
      <c r="E48" t="e">
        <f>cubic_spline(CURVA!$B$6:$B$20,CURVA!$G$6:$G$20,#REF!)</f>
        <v>#VALUE!</v>
      </c>
    </row>
    <row r="49" spans="1:5" x14ac:dyDescent="0.2">
      <c r="A49" s="28">
        <v>48</v>
      </c>
      <c r="B49" s="28" t="e">
        <f>interpola(#REF!,CURVA!$B$6:$B$20,CURVA!$G$6:$G$20)</f>
        <v>#VALUE!</v>
      </c>
      <c r="C49" s="29" t="e">
        <f t="shared" si="0"/>
        <v>#VALUE!</v>
      </c>
      <c r="E49" t="e">
        <f>cubic_spline(CURVA!$B$6:$B$20,CURVA!$G$6:$G$20,#REF!)</f>
        <v>#VALUE!</v>
      </c>
    </row>
    <row r="50" spans="1:5" x14ac:dyDescent="0.2">
      <c r="A50" s="28">
        <v>49</v>
      </c>
      <c r="B50" s="28" t="e">
        <f>interpola(#REF!,CURVA!$B$6:$B$20,CURVA!$G$6:$G$20)</f>
        <v>#VALUE!</v>
      </c>
      <c r="C50" s="29" t="e">
        <f t="shared" si="0"/>
        <v>#VALUE!</v>
      </c>
      <c r="E50" t="e">
        <f>cubic_spline(CURVA!$B$6:$B$20,CURVA!$G$6:$G$20,#REF!)</f>
        <v>#VALUE!</v>
      </c>
    </row>
    <row r="51" spans="1:5" x14ac:dyDescent="0.2">
      <c r="A51" s="28">
        <v>50</v>
      </c>
      <c r="B51" s="28" t="e">
        <f>interpola(#REF!,CURVA!$B$6:$B$20,CURVA!$G$6:$G$20)</f>
        <v>#VALUE!</v>
      </c>
      <c r="C51" s="29" t="e">
        <f t="shared" si="0"/>
        <v>#VALUE!</v>
      </c>
      <c r="E51" t="e">
        <f>cubic_spline(CURVA!$B$6:$B$20,CURVA!$G$6:$G$20,#REF!)</f>
        <v>#VALUE!</v>
      </c>
    </row>
    <row r="52" spans="1:5" x14ac:dyDescent="0.2">
      <c r="A52" s="28">
        <v>51</v>
      </c>
      <c r="B52" s="28" t="e">
        <f>interpola(#REF!,CURVA!$B$6:$B$20,CURVA!$G$6:$G$20)</f>
        <v>#VALUE!</v>
      </c>
      <c r="C52" s="29" t="e">
        <f t="shared" si="0"/>
        <v>#VALUE!</v>
      </c>
      <c r="E52" t="e">
        <f>cubic_spline(CURVA!$B$6:$B$20,CURVA!$G$6:$G$20,#REF!)</f>
        <v>#VALUE!</v>
      </c>
    </row>
    <row r="53" spans="1:5" x14ac:dyDescent="0.2">
      <c r="A53" s="28">
        <v>52</v>
      </c>
      <c r="B53" s="28" t="e">
        <f>interpola(#REF!,CURVA!$B$6:$B$20,CURVA!$G$6:$G$20)</f>
        <v>#VALUE!</v>
      </c>
      <c r="C53" s="29" t="e">
        <f t="shared" si="0"/>
        <v>#VALUE!</v>
      </c>
      <c r="E53" t="e">
        <f>cubic_spline(CURVA!$B$6:$B$20,CURVA!$G$6:$G$20,#REF!)</f>
        <v>#VALUE!</v>
      </c>
    </row>
    <row r="54" spans="1:5" x14ac:dyDescent="0.2">
      <c r="A54" s="28">
        <v>53</v>
      </c>
      <c r="B54" s="28" t="e">
        <f>interpola(#REF!,CURVA!$B$6:$B$20,CURVA!$G$6:$G$20)</f>
        <v>#VALUE!</v>
      </c>
      <c r="C54" s="29" t="e">
        <f t="shared" si="0"/>
        <v>#VALUE!</v>
      </c>
      <c r="E54" t="e">
        <f>cubic_spline(CURVA!$B$6:$B$20,CURVA!$G$6:$G$20,#REF!)</f>
        <v>#VALUE!</v>
      </c>
    </row>
    <row r="55" spans="1:5" x14ac:dyDescent="0.2">
      <c r="A55" s="28">
        <v>54</v>
      </c>
      <c r="B55" s="28" t="e">
        <f>interpola(#REF!,CURVA!$B$6:$B$20,CURVA!$G$6:$G$20)</f>
        <v>#VALUE!</v>
      </c>
      <c r="C55" s="29" t="e">
        <f t="shared" si="0"/>
        <v>#VALUE!</v>
      </c>
      <c r="E55" t="e">
        <f>cubic_spline(CURVA!$B$6:$B$20,CURVA!$G$6:$G$20,#REF!)</f>
        <v>#VALUE!</v>
      </c>
    </row>
    <row r="56" spans="1:5" x14ac:dyDescent="0.2">
      <c r="A56" s="28">
        <v>55</v>
      </c>
      <c r="B56" s="28" t="e">
        <f>interpola(#REF!,CURVA!$B$6:$B$20,CURVA!$G$6:$G$20)</f>
        <v>#VALUE!</v>
      </c>
      <c r="C56" s="29" t="e">
        <f t="shared" si="0"/>
        <v>#VALUE!</v>
      </c>
      <c r="E56" t="e">
        <f>cubic_spline(CURVA!$B$6:$B$20,CURVA!$G$6:$G$20,#REF!)</f>
        <v>#VALUE!</v>
      </c>
    </row>
    <row r="57" spans="1:5" x14ac:dyDescent="0.2">
      <c r="A57" s="28">
        <v>56</v>
      </c>
      <c r="B57" s="28" t="e">
        <f>interpola(#REF!,CURVA!$B$6:$B$20,CURVA!$G$6:$G$20)</f>
        <v>#VALUE!</v>
      </c>
      <c r="C57" s="29" t="e">
        <f t="shared" si="0"/>
        <v>#VALUE!</v>
      </c>
      <c r="E57" t="e">
        <f>cubic_spline(CURVA!$B$6:$B$20,CURVA!$G$6:$G$20,#REF!)</f>
        <v>#VALUE!</v>
      </c>
    </row>
    <row r="58" spans="1:5" x14ac:dyDescent="0.2">
      <c r="A58" s="28">
        <v>57</v>
      </c>
      <c r="B58" s="28" t="e">
        <f>interpola(#REF!,CURVA!$B$6:$B$20,CURVA!$G$6:$G$20)</f>
        <v>#VALUE!</v>
      </c>
      <c r="C58" s="29" t="e">
        <f t="shared" si="0"/>
        <v>#VALUE!</v>
      </c>
      <c r="E58" t="e">
        <f>cubic_spline(CURVA!$B$6:$B$20,CURVA!$G$6:$G$20,#REF!)</f>
        <v>#VALUE!</v>
      </c>
    </row>
    <row r="59" spans="1:5" x14ac:dyDescent="0.2">
      <c r="A59" s="28">
        <v>58</v>
      </c>
      <c r="B59" s="28" t="e">
        <f>interpola(#REF!,CURVA!$B$6:$B$20,CURVA!$G$6:$G$20)</f>
        <v>#VALUE!</v>
      </c>
      <c r="C59" s="29" t="e">
        <f t="shared" si="0"/>
        <v>#VALUE!</v>
      </c>
      <c r="E59" t="e">
        <f>cubic_spline(CURVA!$B$6:$B$20,CURVA!$G$6:$G$20,#REF!)</f>
        <v>#VALUE!</v>
      </c>
    </row>
    <row r="60" spans="1:5" x14ac:dyDescent="0.2">
      <c r="A60" s="28">
        <v>59</v>
      </c>
      <c r="B60" s="28" t="e">
        <f>interpola(#REF!,CURVA!$B$6:$B$20,CURVA!$G$6:$G$20)</f>
        <v>#VALUE!</v>
      </c>
      <c r="C60" s="29" t="e">
        <f t="shared" si="0"/>
        <v>#VALUE!</v>
      </c>
      <c r="E60" t="e">
        <f>cubic_spline(CURVA!$B$6:$B$20,CURVA!$G$6:$G$20,#REF!)</f>
        <v>#VALUE!</v>
      </c>
    </row>
    <row r="61" spans="1:5" x14ac:dyDescent="0.2">
      <c r="A61" s="28">
        <v>60</v>
      </c>
      <c r="B61" s="28" t="e">
        <f>interpola(#REF!,CURVA!$B$6:$B$20,CURVA!$G$6:$G$20)</f>
        <v>#VALUE!</v>
      </c>
      <c r="C61" s="29" t="e">
        <f t="shared" si="0"/>
        <v>#VALUE!</v>
      </c>
      <c r="E61" t="e">
        <f>cubic_spline(CURVA!$B$6:$B$20,CURVA!$G$6:$G$20,#REF!)</f>
        <v>#VALUE!</v>
      </c>
    </row>
    <row r="62" spans="1:5" x14ac:dyDescent="0.2">
      <c r="A62" s="28">
        <v>61</v>
      </c>
      <c r="B62" s="28" t="e">
        <f>interpola(#REF!,CURVA!$B$6:$B$20,CURVA!$G$6:$G$20)</f>
        <v>#VALUE!</v>
      </c>
      <c r="C62" s="29" t="e">
        <f t="shared" si="0"/>
        <v>#VALUE!</v>
      </c>
      <c r="E62" t="e">
        <f>cubic_spline(CURVA!$B$6:$B$20,CURVA!$G$6:$G$20,#REF!)</f>
        <v>#VALUE!</v>
      </c>
    </row>
    <row r="63" spans="1:5" x14ac:dyDescent="0.2">
      <c r="A63" s="28">
        <v>62</v>
      </c>
      <c r="B63" s="28" t="e">
        <f>interpola(#REF!,CURVA!$B$6:$B$20,CURVA!$G$6:$G$20)</f>
        <v>#VALUE!</v>
      </c>
      <c r="C63" s="29" t="e">
        <f t="shared" si="0"/>
        <v>#VALUE!</v>
      </c>
      <c r="E63" t="e">
        <f>cubic_spline(CURVA!$B$6:$B$20,CURVA!$G$6:$G$20,#REF!)</f>
        <v>#VALUE!</v>
      </c>
    </row>
    <row r="64" spans="1:5" x14ac:dyDescent="0.2">
      <c r="A64" s="28">
        <v>63</v>
      </c>
      <c r="B64" s="28" t="e">
        <f>interpola(#REF!,CURVA!$B$6:$B$20,CURVA!$G$6:$G$20)</f>
        <v>#VALUE!</v>
      </c>
      <c r="C64" s="29" t="e">
        <f t="shared" si="0"/>
        <v>#VALUE!</v>
      </c>
      <c r="E64" t="e">
        <f>cubic_spline(CURVA!$B$6:$B$20,CURVA!$G$6:$G$20,#REF!)</f>
        <v>#VALUE!</v>
      </c>
    </row>
    <row r="65" spans="1:5" x14ac:dyDescent="0.2">
      <c r="A65" s="28">
        <v>64</v>
      </c>
      <c r="B65" s="28" t="e">
        <f>interpola(#REF!,CURVA!$B$6:$B$20,CURVA!$G$6:$G$20)</f>
        <v>#VALUE!</v>
      </c>
      <c r="C65" s="29" t="e">
        <f t="shared" si="0"/>
        <v>#VALUE!</v>
      </c>
      <c r="E65" t="e">
        <f>cubic_spline(CURVA!$B$6:$B$20,CURVA!$G$6:$G$20,#REF!)</f>
        <v>#VALUE!</v>
      </c>
    </row>
    <row r="66" spans="1:5" x14ac:dyDescent="0.2">
      <c r="A66" s="28">
        <v>65</v>
      </c>
      <c r="B66" s="28" t="e">
        <f>interpola(#REF!,CURVA!$B$6:$B$20,CURVA!$G$6:$G$20)</f>
        <v>#VALUE!</v>
      </c>
      <c r="C66" s="29" t="e">
        <f t="shared" ref="C66:C129" si="1">(EXP(B66*A66/360)-1)*360/A66</f>
        <v>#VALUE!</v>
      </c>
      <c r="E66" t="e">
        <f>cubic_spline(CURVA!$B$6:$B$20,CURVA!$G$6:$G$20,#REF!)</f>
        <v>#VALUE!</v>
      </c>
    </row>
    <row r="67" spans="1:5" x14ac:dyDescent="0.2">
      <c r="A67" s="28">
        <v>66</v>
      </c>
      <c r="B67" s="28" t="e">
        <f>interpola(#REF!,CURVA!$B$6:$B$20,CURVA!$G$6:$G$20)</f>
        <v>#VALUE!</v>
      </c>
      <c r="C67" s="29" t="e">
        <f t="shared" si="1"/>
        <v>#VALUE!</v>
      </c>
      <c r="E67" t="e">
        <f>cubic_spline(CURVA!$B$6:$B$20,CURVA!$G$6:$G$20,#REF!)</f>
        <v>#VALUE!</v>
      </c>
    </row>
    <row r="68" spans="1:5" x14ac:dyDescent="0.2">
      <c r="A68" s="28">
        <v>67</v>
      </c>
      <c r="B68" s="28" t="e">
        <f>interpola(#REF!,CURVA!$B$6:$B$20,CURVA!$G$6:$G$20)</f>
        <v>#VALUE!</v>
      </c>
      <c r="C68" s="29" t="e">
        <f t="shared" si="1"/>
        <v>#VALUE!</v>
      </c>
      <c r="E68" t="e">
        <f>cubic_spline(CURVA!$B$6:$B$20,CURVA!$G$6:$G$20,#REF!)</f>
        <v>#VALUE!</v>
      </c>
    </row>
    <row r="69" spans="1:5" x14ac:dyDescent="0.2">
      <c r="A69" s="28">
        <v>68</v>
      </c>
      <c r="B69" s="28" t="e">
        <f>interpola(#REF!,CURVA!$B$6:$B$20,CURVA!$G$6:$G$20)</f>
        <v>#VALUE!</v>
      </c>
      <c r="C69" s="29" t="e">
        <f t="shared" si="1"/>
        <v>#VALUE!</v>
      </c>
      <c r="E69" t="e">
        <f>cubic_spline(CURVA!$B$6:$B$20,CURVA!$G$6:$G$20,#REF!)</f>
        <v>#VALUE!</v>
      </c>
    </row>
    <row r="70" spans="1:5" x14ac:dyDescent="0.2">
      <c r="A70" s="28">
        <v>69</v>
      </c>
      <c r="B70" s="28" t="e">
        <f>interpola(#REF!,CURVA!$B$6:$B$20,CURVA!$G$6:$G$20)</f>
        <v>#VALUE!</v>
      </c>
      <c r="C70" s="29" t="e">
        <f t="shared" si="1"/>
        <v>#VALUE!</v>
      </c>
      <c r="E70" t="e">
        <f>cubic_spline(CURVA!$B$6:$B$20,CURVA!$G$6:$G$20,#REF!)</f>
        <v>#VALUE!</v>
      </c>
    </row>
    <row r="71" spans="1:5" x14ac:dyDescent="0.2">
      <c r="A71" s="28">
        <v>70</v>
      </c>
      <c r="B71" s="28" t="e">
        <f>interpola(#REF!,CURVA!$B$6:$B$20,CURVA!$G$6:$G$20)</f>
        <v>#VALUE!</v>
      </c>
      <c r="C71" s="29" t="e">
        <f t="shared" si="1"/>
        <v>#VALUE!</v>
      </c>
      <c r="E71" t="e">
        <f>cubic_spline(CURVA!$B$6:$B$20,CURVA!$G$6:$G$20,#REF!)</f>
        <v>#VALUE!</v>
      </c>
    </row>
    <row r="72" spans="1:5" x14ac:dyDescent="0.2">
      <c r="A72" s="28">
        <v>71</v>
      </c>
      <c r="B72" s="28" t="e">
        <f>interpola(#REF!,CURVA!$B$6:$B$20,CURVA!$G$6:$G$20)</f>
        <v>#VALUE!</v>
      </c>
      <c r="C72" s="29" t="e">
        <f t="shared" si="1"/>
        <v>#VALUE!</v>
      </c>
      <c r="E72" t="e">
        <f>cubic_spline(CURVA!$B$6:$B$20,CURVA!$G$6:$G$20,#REF!)</f>
        <v>#VALUE!</v>
      </c>
    </row>
    <row r="73" spans="1:5" x14ac:dyDescent="0.2">
      <c r="A73" s="28">
        <v>72</v>
      </c>
      <c r="B73" s="28" t="e">
        <f>interpola(#REF!,CURVA!$B$6:$B$20,CURVA!$G$6:$G$20)</f>
        <v>#VALUE!</v>
      </c>
      <c r="C73" s="29" t="e">
        <f t="shared" si="1"/>
        <v>#VALUE!</v>
      </c>
      <c r="E73" t="e">
        <f>cubic_spline(CURVA!$B$6:$B$20,CURVA!$G$6:$G$20,#REF!)</f>
        <v>#VALUE!</v>
      </c>
    </row>
    <row r="74" spans="1:5" x14ac:dyDescent="0.2">
      <c r="A74" s="28">
        <v>73</v>
      </c>
      <c r="B74" s="28" t="e">
        <f>interpola(#REF!,CURVA!$B$6:$B$20,CURVA!$G$6:$G$20)</f>
        <v>#VALUE!</v>
      </c>
      <c r="C74" s="29" t="e">
        <f t="shared" si="1"/>
        <v>#VALUE!</v>
      </c>
      <c r="E74" t="e">
        <f>cubic_spline(CURVA!$B$6:$B$20,CURVA!$G$6:$G$20,#REF!)</f>
        <v>#VALUE!</v>
      </c>
    </row>
    <row r="75" spans="1:5" x14ac:dyDescent="0.2">
      <c r="A75" s="28">
        <v>74</v>
      </c>
      <c r="B75" s="28" t="e">
        <f>interpola(#REF!,CURVA!$B$6:$B$20,CURVA!$G$6:$G$20)</f>
        <v>#VALUE!</v>
      </c>
      <c r="C75" s="29" t="e">
        <f t="shared" si="1"/>
        <v>#VALUE!</v>
      </c>
      <c r="E75" t="e">
        <f>cubic_spline(CURVA!$B$6:$B$20,CURVA!$G$6:$G$20,#REF!)</f>
        <v>#VALUE!</v>
      </c>
    </row>
    <row r="76" spans="1:5" x14ac:dyDescent="0.2">
      <c r="A76" s="28">
        <v>75</v>
      </c>
      <c r="B76" s="28" t="e">
        <f>interpola(#REF!,CURVA!$B$6:$B$20,CURVA!$G$6:$G$20)</f>
        <v>#VALUE!</v>
      </c>
      <c r="C76" s="29" t="e">
        <f t="shared" si="1"/>
        <v>#VALUE!</v>
      </c>
      <c r="E76" t="e">
        <f>cubic_spline(CURVA!$B$6:$B$20,CURVA!$G$6:$G$20,#REF!)</f>
        <v>#VALUE!</v>
      </c>
    </row>
    <row r="77" spans="1:5" x14ac:dyDescent="0.2">
      <c r="A77" s="28">
        <v>76</v>
      </c>
      <c r="B77" s="28" t="e">
        <f>interpola(#REF!,CURVA!$B$6:$B$20,CURVA!$G$6:$G$20)</f>
        <v>#VALUE!</v>
      </c>
      <c r="C77" s="29" t="e">
        <f t="shared" si="1"/>
        <v>#VALUE!</v>
      </c>
      <c r="E77" t="e">
        <f>cubic_spline(CURVA!$B$6:$B$20,CURVA!$G$6:$G$20,#REF!)</f>
        <v>#VALUE!</v>
      </c>
    </row>
    <row r="78" spans="1:5" x14ac:dyDescent="0.2">
      <c r="A78" s="28">
        <v>77</v>
      </c>
      <c r="B78" s="28" t="e">
        <f>interpola(#REF!,CURVA!$B$6:$B$20,CURVA!$G$6:$G$20)</f>
        <v>#VALUE!</v>
      </c>
      <c r="C78" s="29" t="e">
        <f t="shared" si="1"/>
        <v>#VALUE!</v>
      </c>
      <c r="E78" t="e">
        <f>cubic_spline(CURVA!$B$6:$B$20,CURVA!$G$6:$G$20,#REF!)</f>
        <v>#VALUE!</v>
      </c>
    </row>
    <row r="79" spans="1:5" x14ac:dyDescent="0.2">
      <c r="A79" s="28">
        <v>78</v>
      </c>
      <c r="B79" s="28" t="e">
        <f>interpola(#REF!,CURVA!$B$6:$B$20,CURVA!$G$6:$G$20)</f>
        <v>#VALUE!</v>
      </c>
      <c r="C79" s="29" t="e">
        <f t="shared" si="1"/>
        <v>#VALUE!</v>
      </c>
      <c r="E79" t="e">
        <f>cubic_spline(CURVA!$B$6:$B$20,CURVA!$G$6:$G$20,#REF!)</f>
        <v>#VALUE!</v>
      </c>
    </row>
    <row r="80" spans="1:5" x14ac:dyDescent="0.2">
      <c r="A80" s="28">
        <v>79</v>
      </c>
      <c r="B80" s="28" t="e">
        <f>interpola(#REF!,CURVA!$B$6:$B$20,CURVA!$G$6:$G$20)</f>
        <v>#VALUE!</v>
      </c>
      <c r="C80" s="29" t="e">
        <f t="shared" si="1"/>
        <v>#VALUE!</v>
      </c>
      <c r="E80" t="e">
        <f>cubic_spline(CURVA!$B$6:$B$20,CURVA!$G$6:$G$20,#REF!)</f>
        <v>#VALUE!</v>
      </c>
    </row>
    <row r="81" spans="1:5" x14ac:dyDescent="0.2">
      <c r="A81" s="28">
        <v>80</v>
      </c>
      <c r="B81" s="28" t="e">
        <f>interpola(#REF!,CURVA!$B$6:$B$20,CURVA!$G$6:$G$20)</f>
        <v>#VALUE!</v>
      </c>
      <c r="C81" s="29" t="e">
        <f t="shared" si="1"/>
        <v>#VALUE!</v>
      </c>
      <c r="E81" t="e">
        <f>cubic_spline(CURVA!$B$6:$B$20,CURVA!$G$6:$G$20,#REF!)</f>
        <v>#VALUE!</v>
      </c>
    </row>
    <row r="82" spans="1:5" x14ac:dyDescent="0.2">
      <c r="A82" s="28">
        <v>81</v>
      </c>
      <c r="B82" s="28" t="e">
        <f>interpola(#REF!,CURVA!$B$6:$B$20,CURVA!$G$6:$G$20)</f>
        <v>#VALUE!</v>
      </c>
      <c r="C82" s="29" t="e">
        <f t="shared" si="1"/>
        <v>#VALUE!</v>
      </c>
      <c r="E82" t="e">
        <f>cubic_spline(CURVA!$B$6:$B$20,CURVA!$G$6:$G$20,#REF!)</f>
        <v>#VALUE!</v>
      </c>
    </row>
    <row r="83" spans="1:5" x14ac:dyDescent="0.2">
      <c r="A83" s="28">
        <v>82</v>
      </c>
      <c r="B83" s="28" t="e">
        <f>interpola(#REF!,CURVA!$B$6:$B$20,CURVA!$G$6:$G$20)</f>
        <v>#VALUE!</v>
      </c>
      <c r="C83" s="29" t="e">
        <f t="shared" si="1"/>
        <v>#VALUE!</v>
      </c>
      <c r="E83" t="e">
        <f>cubic_spline(CURVA!$B$6:$B$20,CURVA!$G$6:$G$20,#REF!)</f>
        <v>#VALUE!</v>
      </c>
    </row>
    <row r="84" spans="1:5" x14ac:dyDescent="0.2">
      <c r="A84" s="28">
        <v>83</v>
      </c>
      <c r="B84" s="28" t="e">
        <f>interpola(#REF!,CURVA!$B$6:$B$20,CURVA!$G$6:$G$20)</f>
        <v>#VALUE!</v>
      </c>
      <c r="C84" s="29" t="e">
        <f t="shared" si="1"/>
        <v>#VALUE!</v>
      </c>
      <c r="E84" t="e">
        <f>cubic_spline(CURVA!$B$6:$B$20,CURVA!$G$6:$G$20,#REF!)</f>
        <v>#VALUE!</v>
      </c>
    </row>
    <row r="85" spans="1:5" x14ac:dyDescent="0.2">
      <c r="A85" s="28">
        <v>84</v>
      </c>
      <c r="B85" s="28" t="e">
        <f>interpola(#REF!,CURVA!$B$6:$B$20,CURVA!$G$6:$G$20)</f>
        <v>#VALUE!</v>
      </c>
      <c r="C85" s="29" t="e">
        <f t="shared" si="1"/>
        <v>#VALUE!</v>
      </c>
      <c r="E85" t="e">
        <f>cubic_spline(CURVA!$B$6:$B$20,CURVA!$G$6:$G$20,#REF!)</f>
        <v>#VALUE!</v>
      </c>
    </row>
    <row r="86" spans="1:5" x14ac:dyDescent="0.2">
      <c r="A86" s="28">
        <v>85</v>
      </c>
      <c r="B86" s="28" t="e">
        <f>interpola(#REF!,CURVA!$B$6:$B$20,CURVA!$G$6:$G$20)</f>
        <v>#VALUE!</v>
      </c>
      <c r="C86" s="29" t="e">
        <f t="shared" si="1"/>
        <v>#VALUE!</v>
      </c>
      <c r="E86" t="e">
        <f>cubic_spline(CURVA!$B$6:$B$20,CURVA!$G$6:$G$20,#REF!)</f>
        <v>#VALUE!</v>
      </c>
    </row>
    <row r="87" spans="1:5" x14ac:dyDescent="0.2">
      <c r="A87" s="28">
        <v>86</v>
      </c>
      <c r="B87" s="28" t="e">
        <f>interpola(#REF!,CURVA!$B$6:$B$20,CURVA!$G$6:$G$20)</f>
        <v>#VALUE!</v>
      </c>
      <c r="C87" s="29" t="e">
        <f t="shared" si="1"/>
        <v>#VALUE!</v>
      </c>
      <c r="E87" t="e">
        <f>cubic_spline(CURVA!$B$6:$B$20,CURVA!$G$6:$G$20,#REF!)</f>
        <v>#VALUE!</v>
      </c>
    </row>
    <row r="88" spans="1:5" x14ac:dyDescent="0.2">
      <c r="A88" s="28">
        <v>87</v>
      </c>
      <c r="B88" s="28" t="e">
        <f>interpola(#REF!,CURVA!$B$6:$B$20,CURVA!$G$6:$G$20)</f>
        <v>#VALUE!</v>
      </c>
      <c r="C88" s="29" t="e">
        <f t="shared" si="1"/>
        <v>#VALUE!</v>
      </c>
      <c r="E88" t="e">
        <f>cubic_spline(CURVA!$B$6:$B$20,CURVA!$G$6:$G$20,#REF!)</f>
        <v>#VALUE!</v>
      </c>
    </row>
    <row r="89" spans="1:5" x14ac:dyDescent="0.2">
      <c r="A89" s="28">
        <v>88</v>
      </c>
      <c r="B89" s="28" t="e">
        <f>interpola(#REF!,CURVA!$B$6:$B$20,CURVA!$G$6:$G$20)</f>
        <v>#VALUE!</v>
      </c>
      <c r="C89" s="29" t="e">
        <f t="shared" si="1"/>
        <v>#VALUE!</v>
      </c>
      <c r="E89" t="e">
        <f>cubic_spline(CURVA!$B$6:$B$20,CURVA!$G$6:$G$20,#REF!)</f>
        <v>#VALUE!</v>
      </c>
    </row>
    <row r="90" spans="1:5" x14ac:dyDescent="0.2">
      <c r="A90" s="28">
        <v>89</v>
      </c>
      <c r="B90" s="28" t="e">
        <f>interpola(#REF!,CURVA!$B$6:$B$20,CURVA!$G$6:$G$20)</f>
        <v>#VALUE!</v>
      </c>
      <c r="C90" s="29" t="e">
        <f t="shared" si="1"/>
        <v>#VALUE!</v>
      </c>
      <c r="E90" t="e">
        <f>cubic_spline(CURVA!$B$6:$B$20,CURVA!$G$6:$G$20,#REF!)</f>
        <v>#VALUE!</v>
      </c>
    </row>
    <row r="91" spans="1:5" x14ac:dyDescent="0.2">
      <c r="A91" s="28">
        <v>90</v>
      </c>
      <c r="B91" s="28" t="e">
        <f>interpola(#REF!,CURVA!$B$6:$B$20,CURVA!$G$6:$G$20)</f>
        <v>#VALUE!</v>
      </c>
      <c r="C91" s="29" t="e">
        <f t="shared" si="1"/>
        <v>#VALUE!</v>
      </c>
      <c r="E91" t="e">
        <f>cubic_spline(CURVA!$B$6:$B$20,CURVA!$G$6:$G$20,#REF!)</f>
        <v>#VALUE!</v>
      </c>
    </row>
    <row r="92" spans="1:5" x14ac:dyDescent="0.2">
      <c r="A92" s="28">
        <v>91</v>
      </c>
      <c r="B92" s="28" t="e">
        <f>interpola(#REF!,CURVA!$B$6:$B$20,CURVA!$G$6:$G$20)</f>
        <v>#VALUE!</v>
      </c>
      <c r="C92" s="29" t="e">
        <f t="shared" si="1"/>
        <v>#VALUE!</v>
      </c>
      <c r="E92" t="e">
        <f>cubic_spline(CURVA!$B$6:$B$20,CURVA!$G$6:$G$20,#REF!)</f>
        <v>#VALUE!</v>
      </c>
    </row>
    <row r="93" spans="1:5" x14ac:dyDescent="0.2">
      <c r="A93" s="28">
        <v>92</v>
      </c>
      <c r="B93" s="28" t="e">
        <f>interpola(#REF!,CURVA!$B$6:$B$20,CURVA!$G$6:$G$20)</f>
        <v>#VALUE!</v>
      </c>
      <c r="C93" s="29" t="e">
        <f t="shared" si="1"/>
        <v>#VALUE!</v>
      </c>
      <c r="E93" t="e">
        <f>cubic_spline(CURVA!$B$6:$B$20,CURVA!$G$6:$G$20,#REF!)</f>
        <v>#VALUE!</v>
      </c>
    </row>
    <row r="94" spans="1:5" x14ac:dyDescent="0.2">
      <c r="A94" s="28">
        <v>93</v>
      </c>
      <c r="B94" s="28" t="e">
        <f>interpola(#REF!,CURVA!$B$6:$B$20,CURVA!$G$6:$G$20)</f>
        <v>#VALUE!</v>
      </c>
      <c r="C94" s="29" t="e">
        <f t="shared" si="1"/>
        <v>#VALUE!</v>
      </c>
      <c r="E94" t="e">
        <f>cubic_spline(CURVA!$B$6:$B$20,CURVA!$G$6:$G$20,#REF!)</f>
        <v>#VALUE!</v>
      </c>
    </row>
    <row r="95" spans="1:5" x14ac:dyDescent="0.2">
      <c r="A95" s="28">
        <v>94</v>
      </c>
      <c r="B95" s="28" t="e">
        <f>interpola(#REF!,CURVA!$B$6:$B$20,CURVA!$G$6:$G$20)</f>
        <v>#VALUE!</v>
      </c>
      <c r="C95" s="29" t="e">
        <f t="shared" si="1"/>
        <v>#VALUE!</v>
      </c>
      <c r="E95" t="e">
        <f>cubic_spline(CURVA!$B$6:$B$20,CURVA!$G$6:$G$20,#REF!)</f>
        <v>#VALUE!</v>
      </c>
    </row>
    <row r="96" spans="1:5" x14ac:dyDescent="0.2">
      <c r="A96" s="28">
        <v>95</v>
      </c>
      <c r="B96" s="28" t="e">
        <f>interpola(#REF!,CURVA!$B$6:$B$20,CURVA!$G$6:$G$20)</f>
        <v>#VALUE!</v>
      </c>
      <c r="C96" s="29" t="e">
        <f t="shared" si="1"/>
        <v>#VALUE!</v>
      </c>
      <c r="E96" t="e">
        <f>cubic_spline(CURVA!$B$6:$B$20,CURVA!$G$6:$G$20,#REF!)</f>
        <v>#VALUE!</v>
      </c>
    </row>
    <row r="97" spans="1:5" x14ac:dyDescent="0.2">
      <c r="A97" s="28">
        <v>96</v>
      </c>
      <c r="B97" s="28" t="e">
        <f>interpola(#REF!,CURVA!$B$6:$B$20,CURVA!$G$6:$G$20)</f>
        <v>#VALUE!</v>
      </c>
      <c r="C97" s="29" t="e">
        <f t="shared" si="1"/>
        <v>#VALUE!</v>
      </c>
      <c r="E97" t="e">
        <f>cubic_spline(CURVA!$B$6:$B$20,CURVA!$G$6:$G$20,#REF!)</f>
        <v>#VALUE!</v>
      </c>
    </row>
    <row r="98" spans="1:5" x14ac:dyDescent="0.2">
      <c r="A98" s="28">
        <v>97</v>
      </c>
      <c r="B98" s="28" t="e">
        <f>interpola(#REF!,CURVA!$B$6:$B$20,CURVA!$G$6:$G$20)</f>
        <v>#VALUE!</v>
      </c>
      <c r="C98" s="29" t="e">
        <f t="shared" si="1"/>
        <v>#VALUE!</v>
      </c>
      <c r="E98" t="e">
        <f>cubic_spline(CURVA!$B$6:$B$20,CURVA!$G$6:$G$20,#REF!)</f>
        <v>#VALUE!</v>
      </c>
    </row>
    <row r="99" spans="1:5" x14ac:dyDescent="0.2">
      <c r="A99" s="28">
        <v>98</v>
      </c>
      <c r="B99" s="28" t="e">
        <f>interpola(#REF!,CURVA!$B$6:$B$20,CURVA!$G$6:$G$20)</f>
        <v>#VALUE!</v>
      </c>
      <c r="C99" s="29" t="e">
        <f t="shared" si="1"/>
        <v>#VALUE!</v>
      </c>
      <c r="E99" t="e">
        <f>cubic_spline(CURVA!$B$6:$B$20,CURVA!$G$6:$G$20,#REF!)</f>
        <v>#VALUE!</v>
      </c>
    </row>
    <row r="100" spans="1:5" x14ac:dyDescent="0.2">
      <c r="A100" s="28">
        <v>99</v>
      </c>
      <c r="B100" s="28" t="e">
        <f>interpola(#REF!,CURVA!$B$6:$B$20,CURVA!$G$6:$G$20)</f>
        <v>#VALUE!</v>
      </c>
      <c r="C100" s="29" t="e">
        <f t="shared" si="1"/>
        <v>#VALUE!</v>
      </c>
      <c r="E100" t="e">
        <f>cubic_spline(CURVA!$B$6:$B$20,CURVA!$G$6:$G$20,#REF!)</f>
        <v>#VALUE!</v>
      </c>
    </row>
    <row r="101" spans="1:5" x14ac:dyDescent="0.2">
      <c r="A101" s="28">
        <v>100</v>
      </c>
      <c r="B101" s="28" t="e">
        <f>interpola(#REF!,CURVA!$B$6:$B$20,CURVA!$G$6:$G$20)</f>
        <v>#VALUE!</v>
      </c>
      <c r="C101" s="29" t="e">
        <f t="shared" si="1"/>
        <v>#VALUE!</v>
      </c>
      <c r="E101" t="e">
        <f>cubic_spline(CURVA!$B$6:$B$20,CURVA!$G$6:$G$20,#REF!)</f>
        <v>#VALUE!</v>
      </c>
    </row>
    <row r="102" spans="1:5" x14ac:dyDescent="0.2">
      <c r="A102" s="28">
        <v>101</v>
      </c>
      <c r="B102" s="28" t="e">
        <f>interpola(#REF!,CURVA!$B$6:$B$20,CURVA!$G$6:$G$20)</f>
        <v>#VALUE!</v>
      </c>
      <c r="C102" s="29" t="e">
        <f t="shared" si="1"/>
        <v>#VALUE!</v>
      </c>
      <c r="E102" t="e">
        <f>cubic_spline(CURVA!$B$6:$B$20,CURVA!$G$6:$G$20,#REF!)</f>
        <v>#VALUE!</v>
      </c>
    </row>
    <row r="103" spans="1:5" x14ac:dyDescent="0.2">
      <c r="A103" s="28">
        <v>102</v>
      </c>
      <c r="B103" s="28" t="e">
        <f>interpola(#REF!,CURVA!$B$6:$B$20,CURVA!$G$6:$G$20)</f>
        <v>#VALUE!</v>
      </c>
      <c r="C103" s="29" t="e">
        <f t="shared" si="1"/>
        <v>#VALUE!</v>
      </c>
      <c r="E103" t="e">
        <f>cubic_spline(CURVA!$B$6:$B$20,CURVA!$G$6:$G$20,#REF!)</f>
        <v>#VALUE!</v>
      </c>
    </row>
    <row r="104" spans="1:5" x14ac:dyDescent="0.2">
      <c r="A104" s="28">
        <v>103</v>
      </c>
      <c r="B104" s="28" t="e">
        <f>interpola(#REF!,CURVA!$B$6:$B$20,CURVA!$G$6:$G$20)</f>
        <v>#VALUE!</v>
      </c>
      <c r="C104" s="29" t="e">
        <f t="shared" si="1"/>
        <v>#VALUE!</v>
      </c>
      <c r="E104" t="e">
        <f>cubic_spline(CURVA!$B$6:$B$20,CURVA!$G$6:$G$20,#REF!)</f>
        <v>#VALUE!</v>
      </c>
    </row>
    <row r="105" spans="1:5" x14ac:dyDescent="0.2">
      <c r="A105" s="28">
        <v>104</v>
      </c>
      <c r="B105" s="28" t="e">
        <f>interpola(#REF!,CURVA!$B$6:$B$20,CURVA!$G$6:$G$20)</f>
        <v>#VALUE!</v>
      </c>
      <c r="C105" s="29" t="e">
        <f t="shared" si="1"/>
        <v>#VALUE!</v>
      </c>
      <c r="E105" t="e">
        <f>cubic_spline(CURVA!$B$6:$B$20,CURVA!$G$6:$G$20,#REF!)</f>
        <v>#VALUE!</v>
      </c>
    </row>
    <row r="106" spans="1:5" x14ac:dyDescent="0.2">
      <c r="A106" s="28">
        <v>105</v>
      </c>
      <c r="B106" s="28" t="e">
        <f>interpola(#REF!,CURVA!$B$6:$B$20,CURVA!$G$6:$G$20)</f>
        <v>#VALUE!</v>
      </c>
      <c r="C106" s="29" t="e">
        <f t="shared" si="1"/>
        <v>#VALUE!</v>
      </c>
      <c r="E106" t="e">
        <f>cubic_spline(CURVA!$B$6:$B$20,CURVA!$G$6:$G$20,#REF!)</f>
        <v>#VALUE!</v>
      </c>
    </row>
    <row r="107" spans="1:5" x14ac:dyDescent="0.2">
      <c r="A107" s="28">
        <v>106</v>
      </c>
      <c r="B107" s="28" t="e">
        <f>interpola(#REF!,CURVA!$B$6:$B$20,CURVA!$G$6:$G$20)</f>
        <v>#VALUE!</v>
      </c>
      <c r="C107" s="29" t="e">
        <f t="shared" si="1"/>
        <v>#VALUE!</v>
      </c>
      <c r="E107" t="e">
        <f>cubic_spline(CURVA!$B$6:$B$20,CURVA!$G$6:$G$20,#REF!)</f>
        <v>#VALUE!</v>
      </c>
    </row>
    <row r="108" spans="1:5" x14ac:dyDescent="0.2">
      <c r="A108" s="28">
        <v>107</v>
      </c>
      <c r="B108" s="28" t="e">
        <f>interpola(#REF!,CURVA!$B$6:$B$20,CURVA!$G$6:$G$20)</f>
        <v>#VALUE!</v>
      </c>
      <c r="C108" s="29" t="e">
        <f t="shared" si="1"/>
        <v>#VALUE!</v>
      </c>
      <c r="E108" t="e">
        <f>cubic_spline(CURVA!$B$6:$B$20,CURVA!$G$6:$G$20,#REF!)</f>
        <v>#VALUE!</v>
      </c>
    </row>
    <row r="109" spans="1:5" x14ac:dyDescent="0.2">
      <c r="A109" s="28">
        <v>108</v>
      </c>
      <c r="B109" s="28" t="e">
        <f>interpola(#REF!,CURVA!$B$6:$B$20,CURVA!$G$6:$G$20)</f>
        <v>#VALUE!</v>
      </c>
      <c r="C109" s="29" t="e">
        <f t="shared" si="1"/>
        <v>#VALUE!</v>
      </c>
      <c r="E109" t="e">
        <f>cubic_spline(CURVA!$B$6:$B$20,CURVA!$G$6:$G$20,#REF!)</f>
        <v>#VALUE!</v>
      </c>
    </row>
    <row r="110" spans="1:5" x14ac:dyDescent="0.2">
      <c r="A110" s="28">
        <v>109</v>
      </c>
      <c r="B110" s="28" t="e">
        <f>interpola(#REF!,CURVA!$B$6:$B$20,CURVA!$G$6:$G$20)</f>
        <v>#VALUE!</v>
      </c>
      <c r="C110" s="29" t="e">
        <f t="shared" si="1"/>
        <v>#VALUE!</v>
      </c>
      <c r="E110" t="e">
        <f>cubic_spline(CURVA!$B$6:$B$20,CURVA!$G$6:$G$20,#REF!)</f>
        <v>#VALUE!</v>
      </c>
    </row>
    <row r="111" spans="1:5" x14ac:dyDescent="0.2">
      <c r="A111" s="28">
        <v>110</v>
      </c>
      <c r="B111" s="28" t="e">
        <f>interpola(#REF!,CURVA!$B$6:$B$20,CURVA!$G$6:$G$20)</f>
        <v>#VALUE!</v>
      </c>
      <c r="C111" s="29" t="e">
        <f t="shared" si="1"/>
        <v>#VALUE!</v>
      </c>
      <c r="E111" t="e">
        <f>cubic_spline(CURVA!$B$6:$B$20,CURVA!$G$6:$G$20,#REF!)</f>
        <v>#VALUE!</v>
      </c>
    </row>
    <row r="112" spans="1:5" x14ac:dyDescent="0.2">
      <c r="A112" s="28">
        <v>111</v>
      </c>
      <c r="B112" s="28" t="e">
        <f>interpola(#REF!,CURVA!$B$6:$B$20,CURVA!$G$6:$G$20)</f>
        <v>#VALUE!</v>
      </c>
      <c r="C112" s="29" t="e">
        <f t="shared" si="1"/>
        <v>#VALUE!</v>
      </c>
      <c r="E112" t="e">
        <f>cubic_spline(CURVA!$B$6:$B$20,CURVA!$G$6:$G$20,#REF!)</f>
        <v>#VALUE!</v>
      </c>
    </row>
    <row r="113" spans="1:5" x14ac:dyDescent="0.2">
      <c r="A113" s="28">
        <v>112</v>
      </c>
      <c r="B113" s="28" t="e">
        <f>interpola(#REF!,CURVA!$B$6:$B$20,CURVA!$G$6:$G$20)</f>
        <v>#VALUE!</v>
      </c>
      <c r="C113" s="29" t="e">
        <f t="shared" si="1"/>
        <v>#VALUE!</v>
      </c>
      <c r="E113" t="e">
        <f>cubic_spline(CURVA!$B$6:$B$20,CURVA!$G$6:$G$20,#REF!)</f>
        <v>#VALUE!</v>
      </c>
    </row>
    <row r="114" spans="1:5" x14ac:dyDescent="0.2">
      <c r="A114" s="28">
        <v>113</v>
      </c>
      <c r="B114" s="28" t="e">
        <f>interpola(#REF!,CURVA!$B$6:$B$20,CURVA!$G$6:$G$20)</f>
        <v>#VALUE!</v>
      </c>
      <c r="C114" s="29" t="e">
        <f t="shared" si="1"/>
        <v>#VALUE!</v>
      </c>
      <c r="E114" t="e">
        <f>cubic_spline(CURVA!$B$6:$B$20,CURVA!$G$6:$G$20,#REF!)</f>
        <v>#VALUE!</v>
      </c>
    </row>
    <row r="115" spans="1:5" x14ac:dyDescent="0.2">
      <c r="A115" s="28">
        <v>114</v>
      </c>
      <c r="B115" s="28" t="e">
        <f>interpola(#REF!,CURVA!$B$6:$B$20,CURVA!$G$6:$G$20)</f>
        <v>#VALUE!</v>
      </c>
      <c r="C115" s="29" t="e">
        <f t="shared" si="1"/>
        <v>#VALUE!</v>
      </c>
      <c r="E115" t="e">
        <f>cubic_spline(CURVA!$B$6:$B$20,CURVA!$G$6:$G$20,#REF!)</f>
        <v>#VALUE!</v>
      </c>
    </row>
    <row r="116" spans="1:5" x14ac:dyDescent="0.2">
      <c r="A116" s="28">
        <v>115</v>
      </c>
      <c r="B116" s="28" t="e">
        <f>interpola(#REF!,CURVA!$B$6:$B$20,CURVA!$G$6:$G$20)</f>
        <v>#VALUE!</v>
      </c>
      <c r="C116" s="29" t="e">
        <f t="shared" si="1"/>
        <v>#VALUE!</v>
      </c>
      <c r="E116" t="e">
        <f>cubic_spline(CURVA!$B$6:$B$20,CURVA!$G$6:$G$20,#REF!)</f>
        <v>#VALUE!</v>
      </c>
    </row>
    <row r="117" spans="1:5" x14ac:dyDescent="0.2">
      <c r="A117" s="28">
        <v>116</v>
      </c>
      <c r="B117" s="28" t="e">
        <f>interpola(#REF!,CURVA!$B$6:$B$20,CURVA!$G$6:$G$20)</f>
        <v>#VALUE!</v>
      </c>
      <c r="C117" s="29" t="e">
        <f t="shared" si="1"/>
        <v>#VALUE!</v>
      </c>
      <c r="E117" t="e">
        <f>cubic_spline(CURVA!$B$6:$B$20,CURVA!$G$6:$G$20,#REF!)</f>
        <v>#VALUE!</v>
      </c>
    </row>
    <row r="118" spans="1:5" x14ac:dyDescent="0.2">
      <c r="A118" s="28">
        <v>117</v>
      </c>
      <c r="B118" s="28" t="e">
        <f>interpola(#REF!,CURVA!$B$6:$B$20,CURVA!$G$6:$G$20)</f>
        <v>#VALUE!</v>
      </c>
      <c r="C118" s="29" t="e">
        <f t="shared" si="1"/>
        <v>#VALUE!</v>
      </c>
      <c r="E118" t="e">
        <f>cubic_spline(CURVA!$B$6:$B$20,CURVA!$G$6:$G$20,#REF!)</f>
        <v>#VALUE!</v>
      </c>
    </row>
    <row r="119" spans="1:5" x14ac:dyDescent="0.2">
      <c r="A119" s="28">
        <v>118</v>
      </c>
      <c r="B119" s="28" t="e">
        <f>interpola(#REF!,CURVA!$B$6:$B$20,CURVA!$G$6:$G$20)</f>
        <v>#VALUE!</v>
      </c>
      <c r="C119" s="29" t="e">
        <f t="shared" si="1"/>
        <v>#VALUE!</v>
      </c>
      <c r="E119" t="e">
        <f>cubic_spline(CURVA!$B$6:$B$20,CURVA!$G$6:$G$20,#REF!)</f>
        <v>#VALUE!</v>
      </c>
    </row>
    <row r="120" spans="1:5" x14ac:dyDescent="0.2">
      <c r="A120" s="28">
        <v>119</v>
      </c>
      <c r="B120" s="28" t="e">
        <f>interpola(#REF!,CURVA!$B$6:$B$20,CURVA!$G$6:$G$20)</f>
        <v>#VALUE!</v>
      </c>
      <c r="C120" s="29" t="e">
        <f t="shared" si="1"/>
        <v>#VALUE!</v>
      </c>
      <c r="E120" t="e">
        <f>cubic_spline(CURVA!$B$6:$B$20,CURVA!$G$6:$G$20,#REF!)</f>
        <v>#VALUE!</v>
      </c>
    </row>
    <row r="121" spans="1:5" x14ac:dyDescent="0.2">
      <c r="A121" s="28">
        <v>120</v>
      </c>
      <c r="B121" s="28" t="e">
        <f>interpola(#REF!,CURVA!$B$6:$B$20,CURVA!$G$6:$G$20)</f>
        <v>#VALUE!</v>
      </c>
      <c r="C121" s="29" t="e">
        <f t="shared" si="1"/>
        <v>#VALUE!</v>
      </c>
      <c r="E121" t="e">
        <f>cubic_spline(CURVA!$B$6:$B$20,CURVA!$G$6:$G$20,#REF!)</f>
        <v>#VALUE!</v>
      </c>
    </row>
    <row r="122" spans="1:5" x14ac:dyDescent="0.2">
      <c r="A122" s="28">
        <v>121</v>
      </c>
      <c r="B122" s="28" t="e">
        <f>interpola(#REF!,CURVA!$B$6:$B$20,CURVA!$G$6:$G$20)</f>
        <v>#VALUE!</v>
      </c>
      <c r="C122" s="29" t="e">
        <f t="shared" si="1"/>
        <v>#VALUE!</v>
      </c>
      <c r="E122" t="e">
        <f>cubic_spline(CURVA!$B$6:$B$20,CURVA!$G$6:$G$20,#REF!)</f>
        <v>#VALUE!</v>
      </c>
    </row>
    <row r="123" spans="1:5" x14ac:dyDescent="0.2">
      <c r="A123" s="28">
        <v>122</v>
      </c>
      <c r="B123" s="28" t="e">
        <f>interpola(#REF!,CURVA!$B$6:$B$20,CURVA!$G$6:$G$20)</f>
        <v>#VALUE!</v>
      </c>
      <c r="C123" s="29" t="e">
        <f t="shared" si="1"/>
        <v>#VALUE!</v>
      </c>
      <c r="E123" t="e">
        <f>cubic_spline(CURVA!$B$6:$B$20,CURVA!$G$6:$G$20,#REF!)</f>
        <v>#VALUE!</v>
      </c>
    </row>
    <row r="124" spans="1:5" x14ac:dyDescent="0.2">
      <c r="A124" s="28">
        <v>123</v>
      </c>
      <c r="B124" s="28" t="e">
        <f>interpola(#REF!,CURVA!$B$6:$B$20,CURVA!$G$6:$G$20)</f>
        <v>#VALUE!</v>
      </c>
      <c r="C124" s="29" t="e">
        <f t="shared" si="1"/>
        <v>#VALUE!</v>
      </c>
      <c r="E124" t="e">
        <f>cubic_spline(CURVA!$B$6:$B$20,CURVA!$G$6:$G$20,#REF!)</f>
        <v>#VALUE!</v>
      </c>
    </row>
    <row r="125" spans="1:5" x14ac:dyDescent="0.2">
      <c r="A125" s="28">
        <v>124</v>
      </c>
      <c r="B125" s="28" t="e">
        <f>interpola(#REF!,CURVA!$B$6:$B$20,CURVA!$G$6:$G$20)</f>
        <v>#VALUE!</v>
      </c>
      <c r="C125" s="29" t="e">
        <f t="shared" si="1"/>
        <v>#VALUE!</v>
      </c>
      <c r="E125" t="e">
        <f>cubic_spline(CURVA!$B$6:$B$20,CURVA!$G$6:$G$20,#REF!)</f>
        <v>#VALUE!</v>
      </c>
    </row>
    <row r="126" spans="1:5" x14ac:dyDescent="0.2">
      <c r="A126" s="28">
        <v>125</v>
      </c>
      <c r="B126" s="28" t="e">
        <f>interpola(#REF!,CURVA!$B$6:$B$20,CURVA!$G$6:$G$20)</f>
        <v>#VALUE!</v>
      </c>
      <c r="C126" s="29" t="e">
        <f t="shared" si="1"/>
        <v>#VALUE!</v>
      </c>
      <c r="E126" t="e">
        <f>cubic_spline(CURVA!$B$6:$B$20,CURVA!$G$6:$G$20,#REF!)</f>
        <v>#VALUE!</v>
      </c>
    </row>
    <row r="127" spans="1:5" x14ac:dyDescent="0.2">
      <c r="A127" s="28">
        <v>126</v>
      </c>
      <c r="B127" s="28" t="e">
        <f>interpola(#REF!,CURVA!$B$6:$B$20,CURVA!$G$6:$G$20)</f>
        <v>#VALUE!</v>
      </c>
      <c r="C127" s="29" t="e">
        <f t="shared" si="1"/>
        <v>#VALUE!</v>
      </c>
      <c r="E127" t="e">
        <f>cubic_spline(CURVA!$B$6:$B$20,CURVA!$G$6:$G$20,#REF!)</f>
        <v>#VALUE!</v>
      </c>
    </row>
    <row r="128" spans="1:5" x14ac:dyDescent="0.2">
      <c r="A128" s="28">
        <v>127</v>
      </c>
      <c r="B128" s="28" t="e">
        <f>interpola(#REF!,CURVA!$B$6:$B$20,CURVA!$G$6:$G$20)</f>
        <v>#VALUE!</v>
      </c>
      <c r="C128" s="29" t="e">
        <f t="shared" si="1"/>
        <v>#VALUE!</v>
      </c>
      <c r="E128" t="e">
        <f>cubic_spline(CURVA!$B$6:$B$20,CURVA!$G$6:$G$20,#REF!)</f>
        <v>#VALUE!</v>
      </c>
    </row>
    <row r="129" spans="1:5" x14ac:dyDescent="0.2">
      <c r="A129" s="28">
        <v>128</v>
      </c>
      <c r="B129" s="28" t="e">
        <f>interpola(#REF!,CURVA!$B$6:$B$20,CURVA!$G$6:$G$20)</f>
        <v>#VALUE!</v>
      </c>
      <c r="C129" s="29" t="e">
        <f t="shared" si="1"/>
        <v>#VALUE!</v>
      </c>
      <c r="E129" t="e">
        <f>cubic_spline(CURVA!$B$6:$B$20,CURVA!$G$6:$G$20,#REF!)</f>
        <v>#VALUE!</v>
      </c>
    </row>
    <row r="130" spans="1:5" x14ac:dyDescent="0.2">
      <c r="A130" s="28">
        <v>129</v>
      </c>
      <c r="B130" s="28" t="e">
        <f>interpola(#REF!,CURVA!$B$6:$B$20,CURVA!$G$6:$G$20)</f>
        <v>#VALUE!</v>
      </c>
      <c r="C130" s="29" t="e">
        <f t="shared" ref="C130:C193" si="2">(EXP(B130*A130/360)-1)*360/A130</f>
        <v>#VALUE!</v>
      </c>
      <c r="E130" t="e">
        <f>cubic_spline(CURVA!$B$6:$B$20,CURVA!$G$6:$G$20,#REF!)</f>
        <v>#VALUE!</v>
      </c>
    </row>
    <row r="131" spans="1:5" x14ac:dyDescent="0.2">
      <c r="A131" s="28">
        <v>130</v>
      </c>
      <c r="B131" s="28" t="e">
        <f>interpola(#REF!,CURVA!$B$6:$B$20,CURVA!$G$6:$G$20)</f>
        <v>#VALUE!</v>
      </c>
      <c r="C131" s="29" t="e">
        <f t="shared" si="2"/>
        <v>#VALUE!</v>
      </c>
      <c r="E131" t="e">
        <f>cubic_spline(CURVA!$B$6:$B$20,CURVA!$G$6:$G$20,#REF!)</f>
        <v>#VALUE!</v>
      </c>
    </row>
    <row r="132" spans="1:5" x14ac:dyDescent="0.2">
      <c r="A132" s="28">
        <v>131</v>
      </c>
      <c r="B132" s="28" t="e">
        <f>interpola(#REF!,CURVA!$B$6:$B$20,CURVA!$G$6:$G$20)</f>
        <v>#VALUE!</v>
      </c>
      <c r="C132" s="29" t="e">
        <f t="shared" si="2"/>
        <v>#VALUE!</v>
      </c>
      <c r="E132" t="e">
        <f>cubic_spline(CURVA!$B$6:$B$20,CURVA!$G$6:$G$20,#REF!)</f>
        <v>#VALUE!</v>
      </c>
    </row>
    <row r="133" spans="1:5" x14ac:dyDescent="0.2">
      <c r="A133" s="28">
        <v>132</v>
      </c>
      <c r="B133" s="28" t="e">
        <f>interpola(#REF!,CURVA!$B$6:$B$20,CURVA!$G$6:$G$20)</f>
        <v>#VALUE!</v>
      </c>
      <c r="C133" s="29" t="e">
        <f t="shared" si="2"/>
        <v>#VALUE!</v>
      </c>
      <c r="E133" t="e">
        <f>cubic_spline(CURVA!$B$6:$B$20,CURVA!$G$6:$G$20,#REF!)</f>
        <v>#VALUE!</v>
      </c>
    </row>
    <row r="134" spans="1:5" x14ac:dyDescent="0.2">
      <c r="A134" s="28">
        <v>133</v>
      </c>
      <c r="B134" s="28" t="e">
        <f>interpola(#REF!,CURVA!$B$6:$B$20,CURVA!$G$6:$G$20)</f>
        <v>#VALUE!</v>
      </c>
      <c r="C134" s="29" t="e">
        <f t="shared" si="2"/>
        <v>#VALUE!</v>
      </c>
      <c r="E134" t="e">
        <f>cubic_spline(CURVA!$B$6:$B$20,CURVA!$G$6:$G$20,#REF!)</f>
        <v>#VALUE!</v>
      </c>
    </row>
    <row r="135" spans="1:5" x14ac:dyDescent="0.2">
      <c r="A135" s="28">
        <v>134</v>
      </c>
      <c r="B135" s="28" t="e">
        <f>interpola(#REF!,CURVA!$B$6:$B$20,CURVA!$G$6:$G$20)</f>
        <v>#VALUE!</v>
      </c>
      <c r="C135" s="29" t="e">
        <f t="shared" si="2"/>
        <v>#VALUE!</v>
      </c>
      <c r="E135" t="e">
        <f>cubic_spline(CURVA!$B$6:$B$20,CURVA!$G$6:$G$20,#REF!)</f>
        <v>#VALUE!</v>
      </c>
    </row>
    <row r="136" spans="1:5" x14ac:dyDescent="0.2">
      <c r="A136" s="28">
        <v>135</v>
      </c>
      <c r="B136" s="28" t="e">
        <f>interpola(#REF!,CURVA!$B$6:$B$20,CURVA!$G$6:$G$20)</f>
        <v>#VALUE!</v>
      </c>
      <c r="C136" s="29" t="e">
        <f t="shared" si="2"/>
        <v>#VALUE!</v>
      </c>
      <c r="E136" t="e">
        <f>cubic_spline(CURVA!$B$6:$B$20,CURVA!$G$6:$G$20,#REF!)</f>
        <v>#VALUE!</v>
      </c>
    </row>
    <row r="137" spans="1:5" x14ac:dyDescent="0.2">
      <c r="A137" s="28">
        <v>136</v>
      </c>
      <c r="B137" s="28" t="e">
        <f>interpola(#REF!,CURVA!$B$6:$B$20,CURVA!$G$6:$G$20)</f>
        <v>#VALUE!</v>
      </c>
      <c r="C137" s="29" t="e">
        <f t="shared" si="2"/>
        <v>#VALUE!</v>
      </c>
      <c r="E137" t="e">
        <f>cubic_spline(CURVA!$B$6:$B$20,CURVA!$G$6:$G$20,#REF!)</f>
        <v>#VALUE!</v>
      </c>
    </row>
    <row r="138" spans="1:5" x14ac:dyDescent="0.2">
      <c r="A138" s="28">
        <v>137</v>
      </c>
      <c r="B138" s="28" t="e">
        <f>interpola(#REF!,CURVA!$B$6:$B$20,CURVA!$G$6:$G$20)</f>
        <v>#VALUE!</v>
      </c>
      <c r="C138" s="29" t="e">
        <f t="shared" si="2"/>
        <v>#VALUE!</v>
      </c>
      <c r="E138" t="e">
        <f>cubic_spline(CURVA!$B$6:$B$20,CURVA!$G$6:$G$20,#REF!)</f>
        <v>#VALUE!</v>
      </c>
    </row>
    <row r="139" spans="1:5" x14ac:dyDescent="0.2">
      <c r="A139" s="28">
        <v>138</v>
      </c>
      <c r="B139" s="28" t="e">
        <f>interpola(#REF!,CURVA!$B$6:$B$20,CURVA!$G$6:$G$20)</f>
        <v>#VALUE!</v>
      </c>
      <c r="C139" s="29" t="e">
        <f t="shared" si="2"/>
        <v>#VALUE!</v>
      </c>
      <c r="E139" t="e">
        <f>cubic_spline(CURVA!$B$6:$B$20,CURVA!$G$6:$G$20,#REF!)</f>
        <v>#VALUE!</v>
      </c>
    </row>
    <row r="140" spans="1:5" x14ac:dyDescent="0.2">
      <c r="A140" s="28">
        <v>139</v>
      </c>
      <c r="B140" s="28" t="e">
        <f>interpola(#REF!,CURVA!$B$6:$B$20,CURVA!$G$6:$G$20)</f>
        <v>#VALUE!</v>
      </c>
      <c r="C140" s="29" t="e">
        <f t="shared" si="2"/>
        <v>#VALUE!</v>
      </c>
      <c r="E140" t="e">
        <f>cubic_spline(CURVA!$B$6:$B$20,CURVA!$G$6:$G$20,#REF!)</f>
        <v>#VALUE!</v>
      </c>
    </row>
    <row r="141" spans="1:5" x14ac:dyDescent="0.2">
      <c r="A141" s="28">
        <v>140</v>
      </c>
      <c r="B141" s="28" t="e">
        <f>interpola(#REF!,CURVA!$B$6:$B$20,CURVA!$G$6:$G$20)</f>
        <v>#VALUE!</v>
      </c>
      <c r="C141" s="29" t="e">
        <f t="shared" si="2"/>
        <v>#VALUE!</v>
      </c>
      <c r="E141" t="e">
        <f>cubic_spline(CURVA!$B$6:$B$20,CURVA!$G$6:$G$20,#REF!)</f>
        <v>#VALUE!</v>
      </c>
    </row>
    <row r="142" spans="1:5" x14ac:dyDescent="0.2">
      <c r="A142" s="28">
        <v>141</v>
      </c>
      <c r="B142" s="28" t="e">
        <f>interpola(#REF!,CURVA!$B$6:$B$20,CURVA!$G$6:$G$20)</f>
        <v>#VALUE!</v>
      </c>
      <c r="C142" s="29" t="e">
        <f t="shared" si="2"/>
        <v>#VALUE!</v>
      </c>
      <c r="E142" t="e">
        <f>cubic_spline(CURVA!$B$6:$B$20,CURVA!$G$6:$G$20,#REF!)</f>
        <v>#VALUE!</v>
      </c>
    </row>
    <row r="143" spans="1:5" x14ac:dyDescent="0.2">
      <c r="A143" s="28">
        <v>142</v>
      </c>
      <c r="B143" s="28" t="e">
        <f>interpola(#REF!,CURVA!$B$6:$B$20,CURVA!$G$6:$G$20)</f>
        <v>#VALUE!</v>
      </c>
      <c r="C143" s="29" t="e">
        <f t="shared" si="2"/>
        <v>#VALUE!</v>
      </c>
      <c r="E143" t="e">
        <f>cubic_spline(CURVA!$B$6:$B$20,CURVA!$G$6:$G$20,#REF!)</f>
        <v>#VALUE!</v>
      </c>
    </row>
    <row r="144" spans="1:5" x14ac:dyDescent="0.2">
      <c r="A144" s="28">
        <v>143</v>
      </c>
      <c r="B144" s="28" t="e">
        <f>interpola(#REF!,CURVA!$B$6:$B$20,CURVA!$G$6:$G$20)</f>
        <v>#VALUE!</v>
      </c>
      <c r="C144" s="29" t="e">
        <f t="shared" si="2"/>
        <v>#VALUE!</v>
      </c>
      <c r="E144" t="e">
        <f>cubic_spline(CURVA!$B$6:$B$20,CURVA!$G$6:$G$20,#REF!)</f>
        <v>#VALUE!</v>
      </c>
    </row>
    <row r="145" spans="1:5" x14ac:dyDescent="0.2">
      <c r="A145" s="28">
        <v>144</v>
      </c>
      <c r="B145" s="28" t="e">
        <f>interpola(#REF!,CURVA!$B$6:$B$20,CURVA!$G$6:$G$20)</f>
        <v>#VALUE!</v>
      </c>
      <c r="C145" s="29" t="e">
        <f t="shared" si="2"/>
        <v>#VALUE!</v>
      </c>
      <c r="E145" t="e">
        <f>cubic_spline(CURVA!$B$6:$B$20,CURVA!$G$6:$G$20,#REF!)</f>
        <v>#VALUE!</v>
      </c>
    </row>
    <row r="146" spans="1:5" x14ac:dyDescent="0.2">
      <c r="A146" s="28">
        <v>145</v>
      </c>
      <c r="B146" s="28" t="e">
        <f>interpola(#REF!,CURVA!$B$6:$B$20,CURVA!$G$6:$G$20)</f>
        <v>#VALUE!</v>
      </c>
      <c r="C146" s="29" t="e">
        <f t="shared" si="2"/>
        <v>#VALUE!</v>
      </c>
      <c r="E146" t="e">
        <f>cubic_spline(CURVA!$B$6:$B$20,CURVA!$G$6:$G$20,#REF!)</f>
        <v>#VALUE!</v>
      </c>
    </row>
    <row r="147" spans="1:5" x14ac:dyDescent="0.2">
      <c r="A147" s="28">
        <v>146</v>
      </c>
      <c r="B147" s="28" t="e">
        <f>interpola(#REF!,CURVA!$B$6:$B$20,CURVA!$G$6:$G$20)</f>
        <v>#VALUE!</v>
      </c>
      <c r="C147" s="29" t="e">
        <f t="shared" si="2"/>
        <v>#VALUE!</v>
      </c>
      <c r="E147" t="e">
        <f>cubic_spline(CURVA!$B$6:$B$20,CURVA!$G$6:$G$20,#REF!)</f>
        <v>#VALUE!</v>
      </c>
    </row>
    <row r="148" spans="1:5" x14ac:dyDescent="0.2">
      <c r="A148" s="28">
        <v>147</v>
      </c>
      <c r="B148" s="28" t="e">
        <f>interpola(#REF!,CURVA!$B$6:$B$20,CURVA!$G$6:$G$20)</f>
        <v>#VALUE!</v>
      </c>
      <c r="C148" s="29" t="e">
        <f t="shared" si="2"/>
        <v>#VALUE!</v>
      </c>
      <c r="E148" t="e">
        <f>cubic_spline(CURVA!$B$6:$B$20,CURVA!$G$6:$G$20,#REF!)</f>
        <v>#VALUE!</v>
      </c>
    </row>
    <row r="149" spans="1:5" x14ac:dyDescent="0.2">
      <c r="A149" s="28">
        <v>148</v>
      </c>
      <c r="B149" s="28" t="e">
        <f>interpola(#REF!,CURVA!$B$6:$B$20,CURVA!$G$6:$G$20)</f>
        <v>#VALUE!</v>
      </c>
      <c r="C149" s="29" t="e">
        <f t="shared" si="2"/>
        <v>#VALUE!</v>
      </c>
      <c r="E149" t="e">
        <f>cubic_spline(CURVA!$B$6:$B$20,CURVA!$G$6:$G$20,#REF!)</f>
        <v>#VALUE!</v>
      </c>
    </row>
    <row r="150" spans="1:5" x14ac:dyDescent="0.2">
      <c r="A150" s="28">
        <v>149</v>
      </c>
      <c r="B150" s="28" t="e">
        <f>interpola(#REF!,CURVA!$B$6:$B$20,CURVA!$G$6:$G$20)</f>
        <v>#VALUE!</v>
      </c>
      <c r="C150" s="29" t="e">
        <f t="shared" si="2"/>
        <v>#VALUE!</v>
      </c>
      <c r="E150" t="e">
        <f>cubic_spline(CURVA!$B$6:$B$20,CURVA!$G$6:$G$20,#REF!)</f>
        <v>#VALUE!</v>
      </c>
    </row>
    <row r="151" spans="1:5" x14ac:dyDescent="0.2">
      <c r="A151" s="28">
        <v>150</v>
      </c>
      <c r="B151" s="28" t="e">
        <f>interpola(#REF!,CURVA!$B$6:$B$20,CURVA!$G$6:$G$20)</f>
        <v>#VALUE!</v>
      </c>
      <c r="C151" s="29" t="e">
        <f t="shared" si="2"/>
        <v>#VALUE!</v>
      </c>
      <c r="E151" t="e">
        <f>cubic_spline(CURVA!$B$6:$B$20,CURVA!$G$6:$G$20,#REF!)</f>
        <v>#VALUE!</v>
      </c>
    </row>
    <row r="152" spans="1:5" x14ac:dyDescent="0.2">
      <c r="A152" s="28">
        <v>151</v>
      </c>
      <c r="B152" s="28" t="e">
        <f>interpola(#REF!,CURVA!$B$6:$B$20,CURVA!$G$6:$G$20)</f>
        <v>#VALUE!</v>
      </c>
      <c r="C152" s="29" t="e">
        <f t="shared" si="2"/>
        <v>#VALUE!</v>
      </c>
      <c r="E152" t="e">
        <f>cubic_spline(CURVA!$B$6:$B$20,CURVA!$G$6:$G$20,#REF!)</f>
        <v>#VALUE!</v>
      </c>
    </row>
    <row r="153" spans="1:5" x14ac:dyDescent="0.2">
      <c r="A153" s="28">
        <v>152</v>
      </c>
      <c r="B153" s="28" t="e">
        <f>interpola(#REF!,CURVA!$B$6:$B$20,CURVA!$G$6:$G$20)</f>
        <v>#VALUE!</v>
      </c>
      <c r="C153" s="29" t="e">
        <f t="shared" si="2"/>
        <v>#VALUE!</v>
      </c>
      <c r="E153" t="e">
        <f>cubic_spline(CURVA!$B$6:$B$20,CURVA!$G$6:$G$20,#REF!)</f>
        <v>#VALUE!</v>
      </c>
    </row>
    <row r="154" spans="1:5" x14ac:dyDescent="0.2">
      <c r="A154" s="28">
        <v>153</v>
      </c>
      <c r="B154" s="28" t="e">
        <f>interpola(#REF!,CURVA!$B$6:$B$20,CURVA!$G$6:$G$20)</f>
        <v>#VALUE!</v>
      </c>
      <c r="C154" s="29" t="e">
        <f t="shared" si="2"/>
        <v>#VALUE!</v>
      </c>
      <c r="E154" t="e">
        <f>cubic_spline(CURVA!$B$6:$B$20,CURVA!$G$6:$G$20,#REF!)</f>
        <v>#VALUE!</v>
      </c>
    </row>
    <row r="155" spans="1:5" x14ac:dyDescent="0.2">
      <c r="A155" s="28">
        <v>154</v>
      </c>
      <c r="B155" s="28" t="e">
        <f>interpola(#REF!,CURVA!$B$6:$B$20,CURVA!$G$6:$G$20)</f>
        <v>#VALUE!</v>
      </c>
      <c r="C155" s="29" t="e">
        <f t="shared" si="2"/>
        <v>#VALUE!</v>
      </c>
      <c r="E155" t="e">
        <f>cubic_spline(CURVA!$B$6:$B$20,CURVA!$G$6:$G$20,#REF!)</f>
        <v>#VALUE!</v>
      </c>
    </row>
    <row r="156" spans="1:5" x14ac:dyDescent="0.2">
      <c r="A156" s="28">
        <v>155</v>
      </c>
      <c r="B156" s="28" t="e">
        <f>interpola(#REF!,CURVA!$B$6:$B$20,CURVA!$G$6:$G$20)</f>
        <v>#VALUE!</v>
      </c>
      <c r="C156" s="29" t="e">
        <f t="shared" si="2"/>
        <v>#VALUE!</v>
      </c>
      <c r="E156" t="e">
        <f>cubic_spline(CURVA!$B$6:$B$20,CURVA!$G$6:$G$20,#REF!)</f>
        <v>#VALUE!</v>
      </c>
    </row>
    <row r="157" spans="1:5" x14ac:dyDescent="0.2">
      <c r="A157" s="28">
        <v>156</v>
      </c>
      <c r="B157" s="28" t="e">
        <f>interpola(#REF!,CURVA!$B$6:$B$20,CURVA!$G$6:$G$20)</f>
        <v>#VALUE!</v>
      </c>
      <c r="C157" s="29" t="e">
        <f t="shared" si="2"/>
        <v>#VALUE!</v>
      </c>
      <c r="E157" t="e">
        <f>cubic_spline(CURVA!$B$6:$B$20,CURVA!$G$6:$G$20,#REF!)</f>
        <v>#VALUE!</v>
      </c>
    </row>
    <row r="158" spans="1:5" x14ac:dyDescent="0.2">
      <c r="A158" s="28">
        <v>157</v>
      </c>
      <c r="B158" s="28" t="e">
        <f>interpola(#REF!,CURVA!$B$6:$B$20,CURVA!$G$6:$G$20)</f>
        <v>#VALUE!</v>
      </c>
      <c r="C158" s="29" t="e">
        <f t="shared" si="2"/>
        <v>#VALUE!</v>
      </c>
      <c r="E158" t="e">
        <f>cubic_spline(CURVA!$B$6:$B$20,CURVA!$G$6:$G$20,#REF!)</f>
        <v>#VALUE!</v>
      </c>
    </row>
    <row r="159" spans="1:5" x14ac:dyDescent="0.2">
      <c r="A159" s="28">
        <v>158</v>
      </c>
      <c r="B159" s="28" t="e">
        <f>interpola(#REF!,CURVA!$B$6:$B$20,CURVA!$G$6:$G$20)</f>
        <v>#VALUE!</v>
      </c>
      <c r="C159" s="29" t="e">
        <f t="shared" si="2"/>
        <v>#VALUE!</v>
      </c>
      <c r="E159" t="e">
        <f>cubic_spline(CURVA!$B$6:$B$20,CURVA!$G$6:$G$20,#REF!)</f>
        <v>#VALUE!</v>
      </c>
    </row>
    <row r="160" spans="1:5" x14ac:dyDescent="0.2">
      <c r="A160" s="28">
        <v>159</v>
      </c>
      <c r="B160" s="28" t="e">
        <f>interpola(#REF!,CURVA!$B$6:$B$20,CURVA!$G$6:$G$20)</f>
        <v>#VALUE!</v>
      </c>
      <c r="C160" s="29" t="e">
        <f t="shared" si="2"/>
        <v>#VALUE!</v>
      </c>
      <c r="E160" t="e">
        <f>cubic_spline(CURVA!$B$6:$B$20,CURVA!$G$6:$G$20,#REF!)</f>
        <v>#VALUE!</v>
      </c>
    </row>
    <row r="161" spans="1:5" x14ac:dyDescent="0.2">
      <c r="A161" s="28">
        <v>160</v>
      </c>
      <c r="B161" s="28" t="e">
        <f>interpola(#REF!,CURVA!$B$6:$B$20,CURVA!$G$6:$G$20)</f>
        <v>#VALUE!</v>
      </c>
      <c r="C161" s="29" t="e">
        <f t="shared" si="2"/>
        <v>#VALUE!</v>
      </c>
      <c r="E161" t="e">
        <f>cubic_spline(CURVA!$B$6:$B$20,CURVA!$G$6:$G$20,#REF!)</f>
        <v>#VALUE!</v>
      </c>
    </row>
    <row r="162" spans="1:5" x14ac:dyDescent="0.2">
      <c r="A162" s="28">
        <v>161</v>
      </c>
      <c r="B162" s="28" t="e">
        <f>interpola(#REF!,CURVA!$B$6:$B$20,CURVA!$G$6:$G$20)</f>
        <v>#VALUE!</v>
      </c>
      <c r="C162" s="29" t="e">
        <f t="shared" si="2"/>
        <v>#VALUE!</v>
      </c>
      <c r="E162" t="e">
        <f>cubic_spline(CURVA!$B$6:$B$20,CURVA!$G$6:$G$20,#REF!)</f>
        <v>#VALUE!</v>
      </c>
    </row>
    <row r="163" spans="1:5" x14ac:dyDescent="0.2">
      <c r="A163" s="28">
        <v>162</v>
      </c>
      <c r="B163" s="28" t="e">
        <f>interpola(#REF!,CURVA!$B$6:$B$20,CURVA!$G$6:$G$20)</f>
        <v>#VALUE!</v>
      </c>
      <c r="C163" s="29" t="e">
        <f t="shared" si="2"/>
        <v>#VALUE!</v>
      </c>
      <c r="E163" t="e">
        <f>cubic_spline(CURVA!$B$6:$B$20,CURVA!$G$6:$G$20,#REF!)</f>
        <v>#VALUE!</v>
      </c>
    </row>
    <row r="164" spans="1:5" x14ac:dyDescent="0.2">
      <c r="A164" s="28">
        <v>163</v>
      </c>
      <c r="B164" s="28" t="e">
        <f>interpola(#REF!,CURVA!$B$6:$B$20,CURVA!$G$6:$G$20)</f>
        <v>#VALUE!</v>
      </c>
      <c r="C164" s="29" t="e">
        <f t="shared" si="2"/>
        <v>#VALUE!</v>
      </c>
      <c r="E164" t="e">
        <f>cubic_spline(CURVA!$B$6:$B$20,CURVA!$G$6:$G$20,#REF!)</f>
        <v>#VALUE!</v>
      </c>
    </row>
    <row r="165" spans="1:5" x14ac:dyDescent="0.2">
      <c r="A165" s="28">
        <v>164</v>
      </c>
      <c r="B165" s="28" t="e">
        <f>interpola(#REF!,CURVA!$B$6:$B$20,CURVA!$G$6:$G$20)</f>
        <v>#VALUE!</v>
      </c>
      <c r="C165" s="29" t="e">
        <f t="shared" si="2"/>
        <v>#VALUE!</v>
      </c>
      <c r="E165" t="e">
        <f>cubic_spline(CURVA!$B$6:$B$20,CURVA!$G$6:$G$20,#REF!)</f>
        <v>#VALUE!</v>
      </c>
    </row>
    <row r="166" spans="1:5" x14ac:dyDescent="0.2">
      <c r="A166" s="28">
        <v>165</v>
      </c>
      <c r="B166" s="28" t="e">
        <f>interpola(#REF!,CURVA!$B$6:$B$20,CURVA!$G$6:$G$20)</f>
        <v>#VALUE!</v>
      </c>
      <c r="C166" s="29" t="e">
        <f t="shared" si="2"/>
        <v>#VALUE!</v>
      </c>
      <c r="E166" t="e">
        <f>cubic_spline(CURVA!$B$6:$B$20,CURVA!$G$6:$G$20,#REF!)</f>
        <v>#VALUE!</v>
      </c>
    </row>
    <row r="167" spans="1:5" x14ac:dyDescent="0.2">
      <c r="A167" s="28">
        <v>166</v>
      </c>
      <c r="B167" s="28" t="e">
        <f>interpola(#REF!,CURVA!$B$6:$B$20,CURVA!$G$6:$G$20)</f>
        <v>#VALUE!</v>
      </c>
      <c r="C167" s="29" t="e">
        <f t="shared" si="2"/>
        <v>#VALUE!</v>
      </c>
      <c r="E167" t="e">
        <f>cubic_spline(CURVA!$B$6:$B$20,CURVA!$G$6:$G$20,#REF!)</f>
        <v>#VALUE!</v>
      </c>
    </row>
    <row r="168" spans="1:5" x14ac:dyDescent="0.2">
      <c r="A168" s="28">
        <v>167</v>
      </c>
      <c r="B168" s="28" t="e">
        <f>interpola(#REF!,CURVA!$B$6:$B$20,CURVA!$G$6:$G$20)</f>
        <v>#VALUE!</v>
      </c>
      <c r="C168" s="29" t="e">
        <f t="shared" si="2"/>
        <v>#VALUE!</v>
      </c>
      <c r="E168" t="e">
        <f>cubic_spline(CURVA!$B$6:$B$20,CURVA!$G$6:$G$20,#REF!)</f>
        <v>#VALUE!</v>
      </c>
    </row>
    <row r="169" spans="1:5" x14ac:dyDescent="0.2">
      <c r="A169" s="28">
        <v>168</v>
      </c>
      <c r="B169" s="28" t="e">
        <f>interpola(#REF!,CURVA!$B$6:$B$20,CURVA!$G$6:$G$20)</f>
        <v>#VALUE!</v>
      </c>
      <c r="C169" s="29" t="e">
        <f t="shared" si="2"/>
        <v>#VALUE!</v>
      </c>
      <c r="E169" t="e">
        <f>cubic_spline(CURVA!$B$6:$B$20,CURVA!$G$6:$G$20,#REF!)</f>
        <v>#VALUE!</v>
      </c>
    </row>
    <row r="170" spans="1:5" x14ac:dyDescent="0.2">
      <c r="A170" s="28">
        <v>169</v>
      </c>
      <c r="B170" s="28" t="e">
        <f>interpola(#REF!,CURVA!$B$6:$B$20,CURVA!$G$6:$G$20)</f>
        <v>#VALUE!</v>
      </c>
      <c r="C170" s="29" t="e">
        <f t="shared" si="2"/>
        <v>#VALUE!</v>
      </c>
      <c r="E170" t="e">
        <f>cubic_spline(CURVA!$B$6:$B$20,CURVA!$G$6:$G$20,#REF!)</f>
        <v>#VALUE!</v>
      </c>
    </row>
    <row r="171" spans="1:5" x14ac:dyDescent="0.2">
      <c r="A171" s="28">
        <v>170</v>
      </c>
      <c r="B171" s="28" t="e">
        <f>interpola(#REF!,CURVA!$B$6:$B$20,CURVA!$G$6:$G$20)</f>
        <v>#VALUE!</v>
      </c>
      <c r="C171" s="29" t="e">
        <f t="shared" si="2"/>
        <v>#VALUE!</v>
      </c>
      <c r="E171" t="e">
        <f>cubic_spline(CURVA!$B$6:$B$20,CURVA!$G$6:$G$20,#REF!)</f>
        <v>#VALUE!</v>
      </c>
    </row>
    <row r="172" spans="1:5" x14ac:dyDescent="0.2">
      <c r="A172" s="28">
        <v>171</v>
      </c>
      <c r="B172" s="28" t="e">
        <f>interpola(#REF!,CURVA!$B$6:$B$20,CURVA!$G$6:$G$20)</f>
        <v>#VALUE!</v>
      </c>
      <c r="C172" s="29" t="e">
        <f t="shared" si="2"/>
        <v>#VALUE!</v>
      </c>
      <c r="E172" t="e">
        <f>cubic_spline(CURVA!$B$6:$B$20,CURVA!$G$6:$G$20,#REF!)</f>
        <v>#VALUE!</v>
      </c>
    </row>
    <row r="173" spans="1:5" x14ac:dyDescent="0.2">
      <c r="A173" s="28">
        <v>172</v>
      </c>
      <c r="B173" s="28" t="e">
        <f>interpola(#REF!,CURVA!$B$6:$B$20,CURVA!$G$6:$G$20)</f>
        <v>#VALUE!</v>
      </c>
      <c r="C173" s="29" t="e">
        <f t="shared" si="2"/>
        <v>#VALUE!</v>
      </c>
      <c r="E173" t="e">
        <f>cubic_spline(CURVA!$B$6:$B$20,CURVA!$G$6:$G$20,#REF!)</f>
        <v>#VALUE!</v>
      </c>
    </row>
    <row r="174" spans="1:5" x14ac:dyDescent="0.2">
      <c r="A174" s="28">
        <v>173</v>
      </c>
      <c r="B174" s="28" t="e">
        <f>interpola(#REF!,CURVA!$B$6:$B$20,CURVA!$G$6:$G$20)</f>
        <v>#VALUE!</v>
      </c>
      <c r="C174" s="29" t="e">
        <f t="shared" si="2"/>
        <v>#VALUE!</v>
      </c>
      <c r="E174" t="e">
        <f>cubic_spline(CURVA!$B$6:$B$20,CURVA!$G$6:$G$20,#REF!)</f>
        <v>#VALUE!</v>
      </c>
    </row>
    <row r="175" spans="1:5" x14ac:dyDescent="0.2">
      <c r="A175" s="28">
        <v>174</v>
      </c>
      <c r="B175" s="28" t="e">
        <f>interpola(#REF!,CURVA!$B$6:$B$20,CURVA!$G$6:$G$20)</f>
        <v>#VALUE!</v>
      </c>
      <c r="C175" s="29" t="e">
        <f t="shared" si="2"/>
        <v>#VALUE!</v>
      </c>
      <c r="E175" t="e">
        <f>cubic_spline(CURVA!$B$6:$B$20,CURVA!$G$6:$G$20,#REF!)</f>
        <v>#VALUE!</v>
      </c>
    </row>
    <row r="176" spans="1:5" x14ac:dyDescent="0.2">
      <c r="A176" s="28">
        <v>175</v>
      </c>
      <c r="B176" s="28" t="e">
        <f>interpola(#REF!,CURVA!$B$6:$B$20,CURVA!$G$6:$G$20)</f>
        <v>#VALUE!</v>
      </c>
      <c r="C176" s="29" t="e">
        <f t="shared" si="2"/>
        <v>#VALUE!</v>
      </c>
      <c r="E176" t="e">
        <f>cubic_spline(CURVA!$B$6:$B$20,CURVA!$G$6:$G$20,#REF!)</f>
        <v>#VALUE!</v>
      </c>
    </row>
    <row r="177" spans="1:5" x14ac:dyDescent="0.2">
      <c r="A177" s="28">
        <v>176</v>
      </c>
      <c r="B177" s="28" t="e">
        <f>interpola(#REF!,CURVA!$B$6:$B$20,CURVA!$G$6:$G$20)</f>
        <v>#VALUE!</v>
      </c>
      <c r="C177" s="29" t="e">
        <f t="shared" si="2"/>
        <v>#VALUE!</v>
      </c>
      <c r="E177" t="e">
        <f>cubic_spline(CURVA!$B$6:$B$20,CURVA!$G$6:$G$20,#REF!)</f>
        <v>#VALUE!</v>
      </c>
    </row>
    <row r="178" spans="1:5" x14ac:dyDescent="0.2">
      <c r="A178" s="28">
        <v>177</v>
      </c>
      <c r="B178" s="28" t="e">
        <f>interpola(#REF!,CURVA!$B$6:$B$20,CURVA!$G$6:$G$20)</f>
        <v>#VALUE!</v>
      </c>
      <c r="C178" s="29" t="e">
        <f t="shared" si="2"/>
        <v>#VALUE!</v>
      </c>
      <c r="E178" t="e">
        <f>cubic_spline(CURVA!$B$6:$B$20,CURVA!$G$6:$G$20,#REF!)</f>
        <v>#VALUE!</v>
      </c>
    </row>
    <row r="179" spans="1:5" x14ac:dyDescent="0.2">
      <c r="A179" s="28">
        <v>178</v>
      </c>
      <c r="B179" s="28" t="e">
        <f>interpola(#REF!,CURVA!$B$6:$B$20,CURVA!$G$6:$G$20)</f>
        <v>#VALUE!</v>
      </c>
      <c r="C179" s="29" t="e">
        <f t="shared" si="2"/>
        <v>#VALUE!</v>
      </c>
      <c r="E179" t="e">
        <f>cubic_spline(CURVA!$B$6:$B$20,CURVA!$G$6:$G$20,#REF!)</f>
        <v>#VALUE!</v>
      </c>
    </row>
    <row r="180" spans="1:5" x14ac:dyDescent="0.2">
      <c r="A180" s="28">
        <v>179</v>
      </c>
      <c r="B180" s="28" t="e">
        <f>interpola(#REF!,CURVA!$B$6:$B$20,CURVA!$G$6:$G$20)</f>
        <v>#VALUE!</v>
      </c>
      <c r="C180" s="29" t="e">
        <f t="shared" si="2"/>
        <v>#VALUE!</v>
      </c>
      <c r="E180" t="e">
        <f>cubic_spline(CURVA!$B$6:$B$20,CURVA!$G$6:$G$20,#REF!)</f>
        <v>#VALUE!</v>
      </c>
    </row>
    <row r="181" spans="1:5" x14ac:dyDescent="0.2">
      <c r="A181" s="28">
        <v>180</v>
      </c>
      <c r="B181" s="28" t="e">
        <f>interpola(#REF!,CURVA!$B$6:$B$20,CURVA!$G$6:$G$20)</f>
        <v>#VALUE!</v>
      </c>
      <c r="C181" s="29" t="e">
        <f t="shared" si="2"/>
        <v>#VALUE!</v>
      </c>
      <c r="E181" t="e">
        <f>cubic_spline(CURVA!$B$6:$B$20,CURVA!$G$6:$G$20,#REF!)</f>
        <v>#VALUE!</v>
      </c>
    </row>
    <row r="182" spans="1:5" x14ac:dyDescent="0.2">
      <c r="A182" s="28">
        <v>181</v>
      </c>
      <c r="B182" s="28" t="e">
        <f>interpola(#REF!,CURVA!$B$6:$B$20,CURVA!$G$6:$G$20)</f>
        <v>#VALUE!</v>
      </c>
      <c r="C182" s="29" t="e">
        <f t="shared" si="2"/>
        <v>#VALUE!</v>
      </c>
      <c r="E182" t="e">
        <f>cubic_spline(CURVA!$B$6:$B$20,CURVA!$G$6:$G$20,#REF!)</f>
        <v>#VALUE!</v>
      </c>
    </row>
    <row r="183" spans="1:5" x14ac:dyDescent="0.2">
      <c r="A183" s="28">
        <v>182</v>
      </c>
      <c r="B183" s="28" t="e">
        <f>interpola(#REF!,CURVA!$B$6:$B$20,CURVA!$G$6:$G$20)</f>
        <v>#VALUE!</v>
      </c>
      <c r="C183" s="29" t="e">
        <f t="shared" si="2"/>
        <v>#VALUE!</v>
      </c>
      <c r="E183" t="e">
        <f>cubic_spline(CURVA!$B$6:$B$20,CURVA!$G$6:$G$20,#REF!)</f>
        <v>#VALUE!</v>
      </c>
    </row>
    <row r="184" spans="1:5" x14ac:dyDescent="0.2">
      <c r="A184" s="28">
        <v>183</v>
      </c>
      <c r="B184" s="28" t="e">
        <f>interpola(#REF!,CURVA!$B$6:$B$20,CURVA!$G$6:$G$20)</f>
        <v>#VALUE!</v>
      </c>
      <c r="C184" s="29" t="e">
        <f t="shared" si="2"/>
        <v>#VALUE!</v>
      </c>
      <c r="E184" t="e">
        <f>cubic_spline(CURVA!$B$6:$B$20,CURVA!$G$6:$G$20,#REF!)</f>
        <v>#VALUE!</v>
      </c>
    </row>
    <row r="185" spans="1:5" x14ac:dyDescent="0.2">
      <c r="A185" s="28">
        <v>184</v>
      </c>
      <c r="B185" s="28" t="e">
        <f>interpola(#REF!,CURVA!$B$6:$B$20,CURVA!$G$6:$G$20)</f>
        <v>#VALUE!</v>
      </c>
      <c r="C185" s="29" t="e">
        <f t="shared" si="2"/>
        <v>#VALUE!</v>
      </c>
      <c r="E185" t="e">
        <f>cubic_spline(CURVA!$B$6:$B$20,CURVA!$G$6:$G$20,#REF!)</f>
        <v>#VALUE!</v>
      </c>
    </row>
    <row r="186" spans="1:5" x14ac:dyDescent="0.2">
      <c r="A186" s="28">
        <v>185</v>
      </c>
      <c r="B186" s="28" t="e">
        <f>interpola(#REF!,CURVA!$B$6:$B$20,CURVA!$G$6:$G$20)</f>
        <v>#VALUE!</v>
      </c>
      <c r="C186" s="29" t="e">
        <f t="shared" si="2"/>
        <v>#VALUE!</v>
      </c>
      <c r="E186" t="e">
        <f>cubic_spline(CURVA!$B$6:$B$20,CURVA!$G$6:$G$20,#REF!)</f>
        <v>#VALUE!</v>
      </c>
    </row>
    <row r="187" spans="1:5" x14ac:dyDescent="0.2">
      <c r="A187" s="28">
        <v>186</v>
      </c>
      <c r="B187" s="28" t="e">
        <f>interpola(#REF!,CURVA!$B$6:$B$20,CURVA!$G$6:$G$20)</f>
        <v>#VALUE!</v>
      </c>
      <c r="C187" s="29" t="e">
        <f t="shared" si="2"/>
        <v>#VALUE!</v>
      </c>
      <c r="E187" t="e">
        <f>cubic_spline(CURVA!$B$6:$B$20,CURVA!$G$6:$G$20,#REF!)</f>
        <v>#VALUE!</v>
      </c>
    </row>
    <row r="188" spans="1:5" x14ac:dyDescent="0.2">
      <c r="A188" s="28">
        <v>187</v>
      </c>
      <c r="B188" s="28" t="e">
        <f>interpola(#REF!,CURVA!$B$6:$B$20,CURVA!$G$6:$G$20)</f>
        <v>#VALUE!</v>
      </c>
      <c r="C188" s="29" t="e">
        <f t="shared" si="2"/>
        <v>#VALUE!</v>
      </c>
      <c r="E188" t="e">
        <f>cubic_spline(CURVA!$B$6:$B$20,CURVA!$G$6:$G$20,#REF!)</f>
        <v>#VALUE!</v>
      </c>
    </row>
    <row r="189" spans="1:5" x14ac:dyDescent="0.2">
      <c r="A189" s="28">
        <v>188</v>
      </c>
      <c r="B189" s="28" t="e">
        <f>interpola(#REF!,CURVA!$B$6:$B$20,CURVA!$G$6:$G$20)</f>
        <v>#VALUE!</v>
      </c>
      <c r="C189" s="29" t="e">
        <f t="shared" si="2"/>
        <v>#VALUE!</v>
      </c>
      <c r="E189" t="e">
        <f>cubic_spline(CURVA!$B$6:$B$20,CURVA!$G$6:$G$20,#REF!)</f>
        <v>#VALUE!</v>
      </c>
    </row>
    <row r="190" spans="1:5" x14ac:dyDescent="0.2">
      <c r="A190" s="28">
        <v>189</v>
      </c>
      <c r="B190" s="28" t="e">
        <f>interpola(#REF!,CURVA!$B$6:$B$20,CURVA!$G$6:$G$20)</f>
        <v>#VALUE!</v>
      </c>
      <c r="C190" s="29" t="e">
        <f t="shared" si="2"/>
        <v>#VALUE!</v>
      </c>
      <c r="E190" t="e">
        <f>cubic_spline(CURVA!$B$6:$B$20,CURVA!$G$6:$G$20,#REF!)</f>
        <v>#VALUE!</v>
      </c>
    </row>
    <row r="191" spans="1:5" x14ac:dyDescent="0.2">
      <c r="A191" s="28">
        <v>190</v>
      </c>
      <c r="B191" s="28" t="e">
        <f>interpola(#REF!,CURVA!$B$6:$B$20,CURVA!$G$6:$G$20)</f>
        <v>#VALUE!</v>
      </c>
      <c r="C191" s="29" t="e">
        <f t="shared" si="2"/>
        <v>#VALUE!</v>
      </c>
      <c r="E191" t="e">
        <f>cubic_spline(CURVA!$B$6:$B$20,CURVA!$G$6:$G$20,#REF!)</f>
        <v>#VALUE!</v>
      </c>
    </row>
    <row r="192" spans="1:5" x14ac:dyDescent="0.2">
      <c r="A192" s="28">
        <v>191</v>
      </c>
      <c r="B192" s="28" t="e">
        <f>interpola(#REF!,CURVA!$B$6:$B$20,CURVA!$G$6:$G$20)</f>
        <v>#VALUE!</v>
      </c>
      <c r="C192" s="29" t="e">
        <f t="shared" si="2"/>
        <v>#VALUE!</v>
      </c>
      <c r="E192" t="e">
        <f>cubic_spline(CURVA!$B$6:$B$20,CURVA!$G$6:$G$20,#REF!)</f>
        <v>#VALUE!</v>
      </c>
    </row>
    <row r="193" spans="1:5" x14ac:dyDescent="0.2">
      <c r="A193" s="28">
        <v>192</v>
      </c>
      <c r="B193" s="28" t="e">
        <f>interpola(#REF!,CURVA!$B$6:$B$20,CURVA!$G$6:$G$20)</f>
        <v>#VALUE!</v>
      </c>
      <c r="C193" s="29" t="e">
        <f t="shared" si="2"/>
        <v>#VALUE!</v>
      </c>
      <c r="E193" t="e">
        <f>cubic_spline(CURVA!$B$6:$B$20,CURVA!$G$6:$G$20,#REF!)</f>
        <v>#VALUE!</v>
      </c>
    </row>
    <row r="194" spans="1:5" x14ac:dyDescent="0.2">
      <c r="A194" s="28">
        <v>193</v>
      </c>
      <c r="B194" s="28" t="e">
        <f>interpola(#REF!,CURVA!$B$6:$B$20,CURVA!$G$6:$G$20)</f>
        <v>#VALUE!</v>
      </c>
      <c r="C194" s="29" t="e">
        <f t="shared" ref="C194:C257" si="3">(EXP(B194*A194/360)-1)*360/A194</f>
        <v>#VALUE!</v>
      </c>
      <c r="E194" t="e">
        <f>cubic_spline(CURVA!$B$6:$B$20,CURVA!$G$6:$G$20,#REF!)</f>
        <v>#VALUE!</v>
      </c>
    </row>
    <row r="195" spans="1:5" x14ac:dyDescent="0.2">
      <c r="A195" s="28">
        <v>194</v>
      </c>
      <c r="B195" s="28" t="e">
        <f>interpola(#REF!,CURVA!$B$6:$B$20,CURVA!$G$6:$G$20)</f>
        <v>#VALUE!</v>
      </c>
      <c r="C195" s="29" t="e">
        <f t="shared" si="3"/>
        <v>#VALUE!</v>
      </c>
      <c r="E195" t="e">
        <f>cubic_spline(CURVA!$B$6:$B$20,CURVA!$G$6:$G$20,#REF!)</f>
        <v>#VALUE!</v>
      </c>
    </row>
    <row r="196" spans="1:5" x14ac:dyDescent="0.2">
      <c r="A196" s="28">
        <v>195</v>
      </c>
      <c r="B196" s="28" t="e">
        <f>interpola(#REF!,CURVA!$B$6:$B$20,CURVA!$G$6:$G$20)</f>
        <v>#VALUE!</v>
      </c>
      <c r="C196" s="29" t="e">
        <f t="shared" si="3"/>
        <v>#VALUE!</v>
      </c>
      <c r="E196" t="e">
        <f>cubic_spline(CURVA!$B$6:$B$20,CURVA!$G$6:$G$20,#REF!)</f>
        <v>#VALUE!</v>
      </c>
    </row>
    <row r="197" spans="1:5" x14ac:dyDescent="0.2">
      <c r="A197" s="28">
        <v>196</v>
      </c>
      <c r="B197" s="28" t="e">
        <f>interpola(#REF!,CURVA!$B$6:$B$20,CURVA!$G$6:$G$20)</f>
        <v>#VALUE!</v>
      </c>
      <c r="C197" s="29" t="e">
        <f t="shared" si="3"/>
        <v>#VALUE!</v>
      </c>
      <c r="E197" t="e">
        <f>cubic_spline(CURVA!$B$6:$B$20,CURVA!$G$6:$G$20,#REF!)</f>
        <v>#VALUE!</v>
      </c>
    </row>
    <row r="198" spans="1:5" x14ac:dyDescent="0.2">
      <c r="A198" s="28">
        <v>197</v>
      </c>
      <c r="B198" s="28" t="e">
        <f>interpola(#REF!,CURVA!$B$6:$B$20,CURVA!$G$6:$G$20)</f>
        <v>#VALUE!</v>
      </c>
      <c r="C198" s="29" t="e">
        <f t="shared" si="3"/>
        <v>#VALUE!</v>
      </c>
      <c r="E198" t="e">
        <f>cubic_spline(CURVA!$B$6:$B$20,CURVA!$G$6:$G$20,#REF!)</f>
        <v>#VALUE!</v>
      </c>
    </row>
    <row r="199" spans="1:5" x14ac:dyDescent="0.2">
      <c r="A199" s="28">
        <v>198</v>
      </c>
      <c r="B199" s="28" t="e">
        <f>interpola(#REF!,CURVA!$B$6:$B$20,CURVA!$G$6:$G$20)</f>
        <v>#VALUE!</v>
      </c>
      <c r="C199" s="29" t="e">
        <f t="shared" si="3"/>
        <v>#VALUE!</v>
      </c>
      <c r="E199" t="e">
        <f>cubic_spline(CURVA!$B$6:$B$20,CURVA!$G$6:$G$20,#REF!)</f>
        <v>#VALUE!</v>
      </c>
    </row>
    <row r="200" spans="1:5" x14ac:dyDescent="0.2">
      <c r="A200" s="28">
        <v>199</v>
      </c>
      <c r="B200" s="28" t="e">
        <f>interpola(#REF!,CURVA!$B$6:$B$20,CURVA!$G$6:$G$20)</f>
        <v>#VALUE!</v>
      </c>
      <c r="C200" s="29" t="e">
        <f t="shared" si="3"/>
        <v>#VALUE!</v>
      </c>
      <c r="E200" t="e">
        <f>cubic_spline(CURVA!$B$6:$B$20,CURVA!$G$6:$G$20,#REF!)</f>
        <v>#VALUE!</v>
      </c>
    </row>
    <row r="201" spans="1:5" x14ac:dyDescent="0.2">
      <c r="A201" s="28">
        <v>200</v>
      </c>
      <c r="B201" s="28" t="e">
        <f>interpola(#REF!,CURVA!$B$6:$B$20,CURVA!$G$6:$G$20)</f>
        <v>#VALUE!</v>
      </c>
      <c r="C201" s="29" t="e">
        <f t="shared" si="3"/>
        <v>#VALUE!</v>
      </c>
      <c r="E201" t="e">
        <f>cubic_spline(CURVA!$B$6:$B$20,CURVA!$G$6:$G$20,#REF!)</f>
        <v>#VALUE!</v>
      </c>
    </row>
    <row r="202" spans="1:5" x14ac:dyDescent="0.2">
      <c r="A202" s="28">
        <v>201</v>
      </c>
      <c r="B202" s="28" t="e">
        <f>interpola(#REF!,CURVA!$B$6:$B$20,CURVA!$G$6:$G$20)</f>
        <v>#VALUE!</v>
      </c>
      <c r="C202" s="29" t="e">
        <f t="shared" si="3"/>
        <v>#VALUE!</v>
      </c>
      <c r="E202" t="e">
        <f>cubic_spline(CURVA!$B$6:$B$20,CURVA!$G$6:$G$20,#REF!)</f>
        <v>#VALUE!</v>
      </c>
    </row>
    <row r="203" spans="1:5" x14ac:dyDescent="0.2">
      <c r="A203" s="28">
        <v>202</v>
      </c>
      <c r="B203" s="28" t="e">
        <f>interpola(#REF!,CURVA!$B$6:$B$20,CURVA!$G$6:$G$20)</f>
        <v>#VALUE!</v>
      </c>
      <c r="C203" s="29" t="e">
        <f t="shared" si="3"/>
        <v>#VALUE!</v>
      </c>
      <c r="E203" t="e">
        <f>cubic_spline(CURVA!$B$6:$B$20,CURVA!$G$6:$G$20,#REF!)</f>
        <v>#VALUE!</v>
      </c>
    </row>
    <row r="204" spans="1:5" x14ac:dyDescent="0.2">
      <c r="A204" s="28">
        <v>203</v>
      </c>
      <c r="B204" s="28" t="e">
        <f>interpola(#REF!,CURVA!$B$6:$B$20,CURVA!$G$6:$G$20)</f>
        <v>#VALUE!</v>
      </c>
      <c r="C204" s="29" t="e">
        <f t="shared" si="3"/>
        <v>#VALUE!</v>
      </c>
      <c r="E204" t="e">
        <f>cubic_spline(CURVA!$B$6:$B$20,CURVA!$G$6:$G$20,#REF!)</f>
        <v>#VALUE!</v>
      </c>
    </row>
    <row r="205" spans="1:5" x14ac:dyDescent="0.2">
      <c r="A205" s="28">
        <v>204</v>
      </c>
      <c r="B205" s="28" t="e">
        <f>interpola(#REF!,CURVA!$B$6:$B$20,CURVA!$G$6:$G$20)</f>
        <v>#VALUE!</v>
      </c>
      <c r="C205" s="29" t="e">
        <f t="shared" si="3"/>
        <v>#VALUE!</v>
      </c>
      <c r="E205" t="e">
        <f>cubic_spline(CURVA!$B$6:$B$20,CURVA!$G$6:$G$20,#REF!)</f>
        <v>#VALUE!</v>
      </c>
    </row>
    <row r="206" spans="1:5" x14ac:dyDescent="0.2">
      <c r="A206" s="28">
        <v>205</v>
      </c>
      <c r="B206" s="28" t="e">
        <f>interpola(#REF!,CURVA!$B$6:$B$20,CURVA!$G$6:$G$20)</f>
        <v>#VALUE!</v>
      </c>
      <c r="C206" s="29" t="e">
        <f t="shared" si="3"/>
        <v>#VALUE!</v>
      </c>
      <c r="E206" t="e">
        <f>cubic_spline(CURVA!$B$6:$B$20,CURVA!$G$6:$G$20,#REF!)</f>
        <v>#VALUE!</v>
      </c>
    </row>
    <row r="207" spans="1:5" x14ac:dyDescent="0.2">
      <c r="A207" s="28">
        <v>206</v>
      </c>
      <c r="B207" s="28" t="e">
        <f>interpola(#REF!,CURVA!$B$6:$B$20,CURVA!$G$6:$G$20)</f>
        <v>#VALUE!</v>
      </c>
      <c r="C207" s="29" t="e">
        <f t="shared" si="3"/>
        <v>#VALUE!</v>
      </c>
      <c r="E207" t="e">
        <f>cubic_spline(CURVA!$B$6:$B$20,CURVA!$G$6:$G$20,#REF!)</f>
        <v>#VALUE!</v>
      </c>
    </row>
    <row r="208" spans="1:5" x14ac:dyDescent="0.2">
      <c r="A208" s="28">
        <v>207</v>
      </c>
      <c r="B208" s="28" t="e">
        <f>interpola(#REF!,CURVA!$B$6:$B$20,CURVA!$G$6:$G$20)</f>
        <v>#VALUE!</v>
      </c>
      <c r="C208" s="29" t="e">
        <f t="shared" si="3"/>
        <v>#VALUE!</v>
      </c>
      <c r="E208" t="e">
        <f>cubic_spline(CURVA!$B$6:$B$20,CURVA!$G$6:$G$20,#REF!)</f>
        <v>#VALUE!</v>
      </c>
    </row>
    <row r="209" spans="1:5" x14ac:dyDescent="0.2">
      <c r="A209" s="28">
        <v>208</v>
      </c>
      <c r="B209" s="28" t="e">
        <f>interpola(#REF!,CURVA!$B$6:$B$20,CURVA!$G$6:$G$20)</f>
        <v>#VALUE!</v>
      </c>
      <c r="C209" s="29" t="e">
        <f t="shared" si="3"/>
        <v>#VALUE!</v>
      </c>
      <c r="E209" t="e">
        <f>cubic_spline(CURVA!$B$6:$B$20,CURVA!$G$6:$G$20,#REF!)</f>
        <v>#VALUE!</v>
      </c>
    </row>
    <row r="210" spans="1:5" x14ac:dyDescent="0.2">
      <c r="A210" s="28">
        <v>209</v>
      </c>
      <c r="B210" s="28" t="e">
        <f>interpola(#REF!,CURVA!$B$6:$B$20,CURVA!$G$6:$G$20)</f>
        <v>#VALUE!</v>
      </c>
      <c r="C210" s="29" t="e">
        <f t="shared" si="3"/>
        <v>#VALUE!</v>
      </c>
      <c r="E210" t="e">
        <f>cubic_spline(CURVA!$B$6:$B$20,CURVA!$G$6:$G$20,#REF!)</f>
        <v>#VALUE!</v>
      </c>
    </row>
    <row r="211" spans="1:5" x14ac:dyDescent="0.2">
      <c r="A211" s="28">
        <v>210</v>
      </c>
      <c r="B211" s="28" t="e">
        <f>interpola(#REF!,CURVA!$B$6:$B$20,CURVA!$G$6:$G$20)</f>
        <v>#VALUE!</v>
      </c>
      <c r="C211" s="29" t="e">
        <f t="shared" si="3"/>
        <v>#VALUE!</v>
      </c>
      <c r="E211" t="e">
        <f>cubic_spline(CURVA!$B$6:$B$20,CURVA!$G$6:$G$20,#REF!)</f>
        <v>#VALUE!</v>
      </c>
    </row>
    <row r="212" spans="1:5" x14ac:dyDescent="0.2">
      <c r="A212" s="28">
        <v>211</v>
      </c>
      <c r="B212" s="28" t="e">
        <f>interpola(#REF!,CURVA!$B$6:$B$20,CURVA!$G$6:$G$20)</f>
        <v>#VALUE!</v>
      </c>
      <c r="C212" s="29" t="e">
        <f t="shared" si="3"/>
        <v>#VALUE!</v>
      </c>
      <c r="E212" t="e">
        <f>cubic_spline(CURVA!$B$6:$B$20,CURVA!$G$6:$G$20,#REF!)</f>
        <v>#VALUE!</v>
      </c>
    </row>
    <row r="213" spans="1:5" x14ac:dyDescent="0.2">
      <c r="A213" s="28">
        <v>212</v>
      </c>
      <c r="B213" s="28" t="e">
        <f>interpola(#REF!,CURVA!$B$6:$B$20,CURVA!$G$6:$G$20)</f>
        <v>#VALUE!</v>
      </c>
      <c r="C213" s="29" t="e">
        <f t="shared" si="3"/>
        <v>#VALUE!</v>
      </c>
      <c r="E213" t="e">
        <f>cubic_spline(CURVA!$B$6:$B$20,CURVA!$G$6:$G$20,#REF!)</f>
        <v>#VALUE!</v>
      </c>
    </row>
    <row r="214" spans="1:5" x14ac:dyDescent="0.2">
      <c r="A214" s="28">
        <v>213</v>
      </c>
      <c r="B214" s="28" t="e">
        <f>interpola(#REF!,CURVA!$B$6:$B$20,CURVA!$G$6:$G$20)</f>
        <v>#VALUE!</v>
      </c>
      <c r="C214" s="29" t="e">
        <f t="shared" si="3"/>
        <v>#VALUE!</v>
      </c>
      <c r="E214" t="e">
        <f>cubic_spline(CURVA!$B$6:$B$20,CURVA!$G$6:$G$20,#REF!)</f>
        <v>#VALUE!</v>
      </c>
    </row>
    <row r="215" spans="1:5" x14ac:dyDescent="0.2">
      <c r="A215" s="28">
        <v>214</v>
      </c>
      <c r="B215" s="28" t="e">
        <f>interpola(#REF!,CURVA!$B$6:$B$20,CURVA!$G$6:$G$20)</f>
        <v>#VALUE!</v>
      </c>
      <c r="C215" s="29" t="e">
        <f t="shared" si="3"/>
        <v>#VALUE!</v>
      </c>
      <c r="E215" t="e">
        <f>cubic_spline(CURVA!$B$6:$B$20,CURVA!$G$6:$G$20,#REF!)</f>
        <v>#VALUE!</v>
      </c>
    </row>
    <row r="216" spans="1:5" x14ac:dyDescent="0.2">
      <c r="A216" s="28">
        <v>215</v>
      </c>
      <c r="B216" s="28" t="e">
        <f>interpola(#REF!,CURVA!$B$6:$B$20,CURVA!$G$6:$G$20)</f>
        <v>#VALUE!</v>
      </c>
      <c r="C216" s="29" t="e">
        <f t="shared" si="3"/>
        <v>#VALUE!</v>
      </c>
      <c r="E216" t="e">
        <f>cubic_spline(CURVA!$B$6:$B$20,CURVA!$G$6:$G$20,#REF!)</f>
        <v>#VALUE!</v>
      </c>
    </row>
    <row r="217" spans="1:5" x14ac:dyDescent="0.2">
      <c r="A217" s="28">
        <v>216</v>
      </c>
      <c r="B217" s="28" t="e">
        <f>interpola(#REF!,CURVA!$B$6:$B$20,CURVA!$G$6:$G$20)</f>
        <v>#VALUE!</v>
      </c>
      <c r="C217" s="29" t="e">
        <f t="shared" si="3"/>
        <v>#VALUE!</v>
      </c>
      <c r="E217" t="e">
        <f>cubic_spline(CURVA!$B$6:$B$20,CURVA!$G$6:$G$20,#REF!)</f>
        <v>#VALUE!</v>
      </c>
    </row>
    <row r="218" spans="1:5" x14ac:dyDescent="0.2">
      <c r="A218" s="28">
        <v>217</v>
      </c>
      <c r="B218" s="28" t="e">
        <f>interpola(#REF!,CURVA!$B$6:$B$20,CURVA!$G$6:$G$20)</f>
        <v>#VALUE!</v>
      </c>
      <c r="C218" s="29" t="e">
        <f t="shared" si="3"/>
        <v>#VALUE!</v>
      </c>
      <c r="E218" t="e">
        <f>cubic_spline(CURVA!$B$6:$B$20,CURVA!$G$6:$G$20,#REF!)</f>
        <v>#VALUE!</v>
      </c>
    </row>
    <row r="219" spans="1:5" x14ac:dyDescent="0.2">
      <c r="A219" s="28">
        <v>218</v>
      </c>
      <c r="B219" s="28" t="e">
        <f>interpola(#REF!,CURVA!$B$6:$B$20,CURVA!$G$6:$G$20)</f>
        <v>#VALUE!</v>
      </c>
      <c r="C219" s="29" t="e">
        <f t="shared" si="3"/>
        <v>#VALUE!</v>
      </c>
      <c r="E219" t="e">
        <f>cubic_spline(CURVA!$B$6:$B$20,CURVA!$G$6:$G$20,#REF!)</f>
        <v>#VALUE!</v>
      </c>
    </row>
    <row r="220" spans="1:5" x14ac:dyDescent="0.2">
      <c r="A220" s="28">
        <v>219</v>
      </c>
      <c r="B220" s="28" t="e">
        <f>interpola(#REF!,CURVA!$B$6:$B$20,CURVA!$G$6:$G$20)</f>
        <v>#VALUE!</v>
      </c>
      <c r="C220" s="29" t="e">
        <f t="shared" si="3"/>
        <v>#VALUE!</v>
      </c>
      <c r="E220" t="e">
        <f>cubic_spline(CURVA!$B$6:$B$20,CURVA!$G$6:$G$20,#REF!)</f>
        <v>#VALUE!</v>
      </c>
    </row>
    <row r="221" spans="1:5" x14ac:dyDescent="0.2">
      <c r="A221" s="28">
        <v>220</v>
      </c>
      <c r="B221" s="28" t="e">
        <f>interpola(#REF!,CURVA!$B$6:$B$20,CURVA!$G$6:$G$20)</f>
        <v>#VALUE!</v>
      </c>
      <c r="C221" s="29" t="e">
        <f t="shared" si="3"/>
        <v>#VALUE!</v>
      </c>
      <c r="E221" t="e">
        <f>cubic_spline(CURVA!$B$6:$B$20,CURVA!$G$6:$G$20,#REF!)</f>
        <v>#VALUE!</v>
      </c>
    </row>
    <row r="222" spans="1:5" x14ac:dyDescent="0.2">
      <c r="A222" s="28">
        <v>221</v>
      </c>
      <c r="B222" s="28" t="e">
        <f>interpola(#REF!,CURVA!$B$6:$B$20,CURVA!$G$6:$G$20)</f>
        <v>#VALUE!</v>
      </c>
      <c r="C222" s="29" t="e">
        <f t="shared" si="3"/>
        <v>#VALUE!</v>
      </c>
      <c r="E222" t="e">
        <f>cubic_spline(CURVA!$B$6:$B$20,CURVA!$G$6:$G$20,#REF!)</f>
        <v>#VALUE!</v>
      </c>
    </row>
    <row r="223" spans="1:5" x14ac:dyDescent="0.2">
      <c r="A223" s="28">
        <v>222</v>
      </c>
      <c r="B223" s="28" t="e">
        <f>interpola(#REF!,CURVA!$B$6:$B$20,CURVA!$G$6:$G$20)</f>
        <v>#VALUE!</v>
      </c>
      <c r="C223" s="29" t="e">
        <f t="shared" si="3"/>
        <v>#VALUE!</v>
      </c>
      <c r="E223" t="e">
        <f>cubic_spline(CURVA!$B$6:$B$20,CURVA!$G$6:$G$20,#REF!)</f>
        <v>#VALUE!</v>
      </c>
    </row>
    <row r="224" spans="1:5" x14ac:dyDescent="0.2">
      <c r="A224" s="28">
        <v>223</v>
      </c>
      <c r="B224" s="28" t="e">
        <f>interpola(#REF!,CURVA!$B$6:$B$20,CURVA!$G$6:$G$20)</f>
        <v>#VALUE!</v>
      </c>
      <c r="C224" s="29" t="e">
        <f t="shared" si="3"/>
        <v>#VALUE!</v>
      </c>
      <c r="E224" t="e">
        <f>cubic_spline(CURVA!$B$6:$B$20,CURVA!$G$6:$G$20,#REF!)</f>
        <v>#VALUE!</v>
      </c>
    </row>
    <row r="225" spans="1:5" x14ac:dyDescent="0.2">
      <c r="A225" s="28">
        <v>224</v>
      </c>
      <c r="B225" s="28" t="e">
        <f>interpola(#REF!,CURVA!$B$6:$B$20,CURVA!$G$6:$G$20)</f>
        <v>#VALUE!</v>
      </c>
      <c r="C225" s="29" t="e">
        <f t="shared" si="3"/>
        <v>#VALUE!</v>
      </c>
      <c r="E225" t="e">
        <f>cubic_spline(CURVA!$B$6:$B$20,CURVA!$G$6:$G$20,#REF!)</f>
        <v>#VALUE!</v>
      </c>
    </row>
    <row r="226" spans="1:5" x14ac:dyDescent="0.2">
      <c r="A226" s="28">
        <v>225</v>
      </c>
      <c r="B226" s="28" t="e">
        <f>interpola(#REF!,CURVA!$B$6:$B$20,CURVA!$G$6:$G$20)</f>
        <v>#VALUE!</v>
      </c>
      <c r="C226" s="29" t="e">
        <f t="shared" si="3"/>
        <v>#VALUE!</v>
      </c>
      <c r="E226" t="e">
        <f>cubic_spline(CURVA!$B$6:$B$20,CURVA!$G$6:$G$20,#REF!)</f>
        <v>#VALUE!</v>
      </c>
    </row>
    <row r="227" spans="1:5" x14ac:dyDescent="0.2">
      <c r="A227" s="28">
        <v>226</v>
      </c>
      <c r="B227" s="28" t="e">
        <f>interpola(#REF!,CURVA!$B$6:$B$20,CURVA!$G$6:$G$20)</f>
        <v>#VALUE!</v>
      </c>
      <c r="C227" s="29" t="e">
        <f t="shared" si="3"/>
        <v>#VALUE!</v>
      </c>
      <c r="E227" t="e">
        <f>cubic_spline(CURVA!$B$6:$B$20,CURVA!$G$6:$G$20,#REF!)</f>
        <v>#VALUE!</v>
      </c>
    </row>
    <row r="228" spans="1:5" x14ac:dyDescent="0.2">
      <c r="A228" s="28">
        <v>227</v>
      </c>
      <c r="B228" s="28" t="e">
        <f>interpola(#REF!,CURVA!$B$6:$B$20,CURVA!$G$6:$G$20)</f>
        <v>#VALUE!</v>
      </c>
      <c r="C228" s="29" t="e">
        <f t="shared" si="3"/>
        <v>#VALUE!</v>
      </c>
      <c r="E228" t="e">
        <f>cubic_spline(CURVA!$B$6:$B$20,CURVA!$G$6:$G$20,#REF!)</f>
        <v>#VALUE!</v>
      </c>
    </row>
    <row r="229" spans="1:5" x14ac:dyDescent="0.2">
      <c r="A229" s="28">
        <v>228</v>
      </c>
      <c r="B229" s="28" t="e">
        <f>interpola(#REF!,CURVA!$B$6:$B$20,CURVA!$G$6:$G$20)</f>
        <v>#VALUE!</v>
      </c>
      <c r="C229" s="29" t="e">
        <f t="shared" si="3"/>
        <v>#VALUE!</v>
      </c>
      <c r="E229" t="e">
        <f>cubic_spline(CURVA!$B$6:$B$20,CURVA!$G$6:$G$20,#REF!)</f>
        <v>#VALUE!</v>
      </c>
    </row>
    <row r="230" spans="1:5" x14ac:dyDescent="0.2">
      <c r="A230" s="28">
        <v>229</v>
      </c>
      <c r="B230" s="28" t="e">
        <f>interpola(#REF!,CURVA!$B$6:$B$20,CURVA!$G$6:$G$20)</f>
        <v>#VALUE!</v>
      </c>
      <c r="C230" s="29" t="e">
        <f t="shared" si="3"/>
        <v>#VALUE!</v>
      </c>
      <c r="E230" t="e">
        <f>cubic_spline(CURVA!$B$6:$B$20,CURVA!$G$6:$G$20,#REF!)</f>
        <v>#VALUE!</v>
      </c>
    </row>
    <row r="231" spans="1:5" x14ac:dyDescent="0.2">
      <c r="A231" s="28">
        <v>230</v>
      </c>
      <c r="B231" s="28" t="e">
        <f>interpola(#REF!,CURVA!$B$6:$B$20,CURVA!$G$6:$G$20)</f>
        <v>#VALUE!</v>
      </c>
      <c r="C231" s="29" t="e">
        <f t="shared" si="3"/>
        <v>#VALUE!</v>
      </c>
      <c r="E231" t="e">
        <f>cubic_spline(CURVA!$B$6:$B$20,CURVA!$G$6:$G$20,#REF!)</f>
        <v>#VALUE!</v>
      </c>
    </row>
    <row r="232" spans="1:5" x14ac:dyDescent="0.2">
      <c r="A232" s="28">
        <v>231</v>
      </c>
      <c r="B232" s="28" t="e">
        <f>interpola(#REF!,CURVA!$B$6:$B$20,CURVA!$G$6:$G$20)</f>
        <v>#VALUE!</v>
      </c>
      <c r="C232" s="29" t="e">
        <f t="shared" si="3"/>
        <v>#VALUE!</v>
      </c>
      <c r="E232" t="e">
        <f>cubic_spline(CURVA!$B$6:$B$20,CURVA!$G$6:$G$20,#REF!)</f>
        <v>#VALUE!</v>
      </c>
    </row>
    <row r="233" spans="1:5" x14ac:dyDescent="0.2">
      <c r="A233" s="28">
        <v>232</v>
      </c>
      <c r="B233" s="28" t="e">
        <f>interpola(#REF!,CURVA!$B$6:$B$20,CURVA!$G$6:$G$20)</f>
        <v>#VALUE!</v>
      </c>
      <c r="C233" s="29" t="e">
        <f t="shared" si="3"/>
        <v>#VALUE!</v>
      </c>
      <c r="E233" t="e">
        <f>cubic_spline(CURVA!$B$6:$B$20,CURVA!$G$6:$G$20,#REF!)</f>
        <v>#VALUE!</v>
      </c>
    </row>
    <row r="234" spans="1:5" x14ac:dyDescent="0.2">
      <c r="A234" s="28">
        <v>233</v>
      </c>
      <c r="B234" s="28" t="e">
        <f>interpola(#REF!,CURVA!$B$6:$B$20,CURVA!$G$6:$G$20)</f>
        <v>#VALUE!</v>
      </c>
      <c r="C234" s="29" t="e">
        <f t="shared" si="3"/>
        <v>#VALUE!</v>
      </c>
      <c r="E234" t="e">
        <f>cubic_spline(CURVA!$B$6:$B$20,CURVA!$G$6:$G$20,#REF!)</f>
        <v>#VALUE!</v>
      </c>
    </row>
    <row r="235" spans="1:5" x14ac:dyDescent="0.2">
      <c r="A235" s="28">
        <v>234</v>
      </c>
      <c r="B235" s="28" t="e">
        <f>interpola(#REF!,CURVA!$B$6:$B$20,CURVA!$G$6:$G$20)</f>
        <v>#VALUE!</v>
      </c>
      <c r="C235" s="29" t="e">
        <f t="shared" si="3"/>
        <v>#VALUE!</v>
      </c>
      <c r="E235" t="e">
        <f>cubic_spline(CURVA!$B$6:$B$20,CURVA!$G$6:$G$20,#REF!)</f>
        <v>#VALUE!</v>
      </c>
    </row>
    <row r="236" spans="1:5" x14ac:dyDescent="0.2">
      <c r="A236" s="28">
        <v>235</v>
      </c>
      <c r="B236" s="28" t="e">
        <f>interpola(#REF!,CURVA!$B$6:$B$20,CURVA!$G$6:$G$20)</f>
        <v>#VALUE!</v>
      </c>
      <c r="C236" s="29" t="e">
        <f t="shared" si="3"/>
        <v>#VALUE!</v>
      </c>
      <c r="E236" t="e">
        <f>cubic_spline(CURVA!$B$6:$B$20,CURVA!$G$6:$G$20,#REF!)</f>
        <v>#VALUE!</v>
      </c>
    </row>
    <row r="237" spans="1:5" x14ac:dyDescent="0.2">
      <c r="A237" s="28">
        <v>236</v>
      </c>
      <c r="B237" s="28" t="e">
        <f>interpola(#REF!,CURVA!$B$6:$B$20,CURVA!$G$6:$G$20)</f>
        <v>#VALUE!</v>
      </c>
      <c r="C237" s="29" t="e">
        <f t="shared" si="3"/>
        <v>#VALUE!</v>
      </c>
      <c r="E237" t="e">
        <f>cubic_spline(CURVA!$B$6:$B$20,CURVA!$G$6:$G$20,#REF!)</f>
        <v>#VALUE!</v>
      </c>
    </row>
    <row r="238" spans="1:5" x14ac:dyDescent="0.2">
      <c r="A238" s="28">
        <v>237</v>
      </c>
      <c r="B238" s="28" t="e">
        <f>interpola(#REF!,CURVA!$B$6:$B$20,CURVA!$G$6:$G$20)</f>
        <v>#VALUE!</v>
      </c>
      <c r="C238" s="29" t="e">
        <f t="shared" si="3"/>
        <v>#VALUE!</v>
      </c>
      <c r="E238" t="e">
        <f>cubic_spline(CURVA!$B$6:$B$20,CURVA!$G$6:$G$20,#REF!)</f>
        <v>#VALUE!</v>
      </c>
    </row>
    <row r="239" spans="1:5" x14ac:dyDescent="0.2">
      <c r="A239" s="28">
        <v>238</v>
      </c>
      <c r="B239" s="28" t="e">
        <f>interpola(#REF!,CURVA!$B$6:$B$20,CURVA!$G$6:$G$20)</f>
        <v>#VALUE!</v>
      </c>
      <c r="C239" s="29" t="e">
        <f t="shared" si="3"/>
        <v>#VALUE!</v>
      </c>
      <c r="E239" t="e">
        <f>cubic_spline(CURVA!$B$6:$B$20,CURVA!$G$6:$G$20,#REF!)</f>
        <v>#VALUE!</v>
      </c>
    </row>
    <row r="240" spans="1:5" x14ac:dyDescent="0.2">
      <c r="A240" s="28">
        <v>239</v>
      </c>
      <c r="B240" s="28" t="e">
        <f>interpola(#REF!,CURVA!$B$6:$B$20,CURVA!$G$6:$G$20)</f>
        <v>#VALUE!</v>
      </c>
      <c r="C240" s="29" t="e">
        <f t="shared" si="3"/>
        <v>#VALUE!</v>
      </c>
      <c r="E240" t="e">
        <f>cubic_spline(CURVA!$B$6:$B$20,CURVA!$G$6:$G$20,#REF!)</f>
        <v>#VALUE!</v>
      </c>
    </row>
    <row r="241" spans="1:5" x14ac:dyDescent="0.2">
      <c r="A241" s="28">
        <v>240</v>
      </c>
      <c r="B241" s="28" t="e">
        <f>interpola(#REF!,CURVA!$B$6:$B$20,CURVA!$G$6:$G$20)</f>
        <v>#VALUE!</v>
      </c>
      <c r="C241" s="29" t="e">
        <f t="shared" si="3"/>
        <v>#VALUE!</v>
      </c>
      <c r="E241" t="e">
        <f>cubic_spline(CURVA!$B$6:$B$20,CURVA!$G$6:$G$20,#REF!)</f>
        <v>#VALUE!</v>
      </c>
    </row>
    <row r="242" spans="1:5" x14ac:dyDescent="0.2">
      <c r="A242" s="28">
        <v>241</v>
      </c>
      <c r="B242" s="28" t="e">
        <f>interpola(#REF!,CURVA!$B$6:$B$20,CURVA!$G$6:$G$20)</f>
        <v>#VALUE!</v>
      </c>
      <c r="C242" s="29" t="e">
        <f t="shared" si="3"/>
        <v>#VALUE!</v>
      </c>
      <c r="E242" t="e">
        <f>cubic_spline(CURVA!$B$6:$B$20,CURVA!$G$6:$G$20,#REF!)</f>
        <v>#VALUE!</v>
      </c>
    </row>
    <row r="243" spans="1:5" x14ac:dyDescent="0.2">
      <c r="A243" s="28">
        <v>242</v>
      </c>
      <c r="B243" s="28" t="e">
        <f>interpola(#REF!,CURVA!$B$6:$B$20,CURVA!$G$6:$G$20)</f>
        <v>#VALUE!</v>
      </c>
      <c r="C243" s="29" t="e">
        <f t="shared" si="3"/>
        <v>#VALUE!</v>
      </c>
      <c r="E243" t="e">
        <f>cubic_spline(CURVA!$B$6:$B$20,CURVA!$G$6:$G$20,#REF!)</f>
        <v>#VALUE!</v>
      </c>
    </row>
    <row r="244" spans="1:5" x14ac:dyDescent="0.2">
      <c r="A244" s="28">
        <v>243</v>
      </c>
      <c r="B244" s="28" t="e">
        <f>interpola(#REF!,CURVA!$B$6:$B$20,CURVA!$G$6:$G$20)</f>
        <v>#VALUE!</v>
      </c>
      <c r="C244" s="29" t="e">
        <f t="shared" si="3"/>
        <v>#VALUE!</v>
      </c>
      <c r="E244" t="e">
        <f>cubic_spline(CURVA!$B$6:$B$20,CURVA!$G$6:$G$20,#REF!)</f>
        <v>#VALUE!</v>
      </c>
    </row>
    <row r="245" spans="1:5" x14ac:dyDescent="0.2">
      <c r="A245" s="28">
        <v>244</v>
      </c>
      <c r="B245" s="28" t="e">
        <f>interpola(#REF!,CURVA!$B$6:$B$20,CURVA!$G$6:$G$20)</f>
        <v>#VALUE!</v>
      </c>
      <c r="C245" s="29" t="e">
        <f t="shared" si="3"/>
        <v>#VALUE!</v>
      </c>
      <c r="E245" t="e">
        <f>cubic_spline(CURVA!$B$6:$B$20,CURVA!$G$6:$G$20,#REF!)</f>
        <v>#VALUE!</v>
      </c>
    </row>
    <row r="246" spans="1:5" x14ac:dyDescent="0.2">
      <c r="A246" s="28">
        <v>245</v>
      </c>
      <c r="B246" s="28" t="e">
        <f>interpola(#REF!,CURVA!$B$6:$B$20,CURVA!$G$6:$G$20)</f>
        <v>#VALUE!</v>
      </c>
      <c r="C246" s="29" t="e">
        <f t="shared" si="3"/>
        <v>#VALUE!</v>
      </c>
      <c r="E246" t="e">
        <f>cubic_spline(CURVA!$B$6:$B$20,CURVA!$G$6:$G$20,#REF!)</f>
        <v>#VALUE!</v>
      </c>
    </row>
    <row r="247" spans="1:5" x14ac:dyDescent="0.2">
      <c r="A247" s="28">
        <v>246</v>
      </c>
      <c r="B247" s="28" t="e">
        <f>interpola(#REF!,CURVA!$B$6:$B$20,CURVA!$G$6:$G$20)</f>
        <v>#VALUE!</v>
      </c>
      <c r="C247" s="29" t="e">
        <f t="shared" si="3"/>
        <v>#VALUE!</v>
      </c>
      <c r="E247" t="e">
        <f>cubic_spline(CURVA!$B$6:$B$20,CURVA!$G$6:$G$20,#REF!)</f>
        <v>#VALUE!</v>
      </c>
    </row>
    <row r="248" spans="1:5" x14ac:dyDescent="0.2">
      <c r="A248" s="28">
        <v>247</v>
      </c>
      <c r="B248" s="28" t="e">
        <f>interpola(#REF!,CURVA!$B$6:$B$20,CURVA!$G$6:$G$20)</f>
        <v>#VALUE!</v>
      </c>
      <c r="C248" s="29" t="e">
        <f t="shared" si="3"/>
        <v>#VALUE!</v>
      </c>
      <c r="E248" t="e">
        <f>cubic_spline(CURVA!$B$6:$B$20,CURVA!$G$6:$G$20,#REF!)</f>
        <v>#VALUE!</v>
      </c>
    </row>
    <row r="249" spans="1:5" x14ac:dyDescent="0.2">
      <c r="A249" s="28">
        <v>248</v>
      </c>
      <c r="B249" s="28" t="e">
        <f>interpola(#REF!,CURVA!$B$6:$B$20,CURVA!$G$6:$G$20)</f>
        <v>#VALUE!</v>
      </c>
      <c r="C249" s="29" t="e">
        <f t="shared" si="3"/>
        <v>#VALUE!</v>
      </c>
      <c r="E249" t="e">
        <f>cubic_spline(CURVA!$B$6:$B$20,CURVA!$G$6:$G$20,#REF!)</f>
        <v>#VALUE!</v>
      </c>
    </row>
    <row r="250" spans="1:5" x14ac:dyDescent="0.2">
      <c r="A250" s="28">
        <v>249</v>
      </c>
      <c r="B250" s="28" t="e">
        <f>interpola(#REF!,CURVA!$B$6:$B$20,CURVA!$G$6:$G$20)</f>
        <v>#VALUE!</v>
      </c>
      <c r="C250" s="29" t="e">
        <f t="shared" si="3"/>
        <v>#VALUE!</v>
      </c>
      <c r="E250" t="e">
        <f>cubic_spline(CURVA!$B$6:$B$20,CURVA!$G$6:$G$20,#REF!)</f>
        <v>#VALUE!</v>
      </c>
    </row>
    <row r="251" spans="1:5" x14ac:dyDescent="0.2">
      <c r="A251" s="28">
        <v>250</v>
      </c>
      <c r="B251" s="28" t="e">
        <f>interpola(#REF!,CURVA!$B$6:$B$20,CURVA!$G$6:$G$20)</f>
        <v>#VALUE!</v>
      </c>
      <c r="C251" s="29" t="e">
        <f t="shared" si="3"/>
        <v>#VALUE!</v>
      </c>
      <c r="E251" t="e">
        <f>cubic_spline(CURVA!$B$6:$B$20,CURVA!$G$6:$G$20,#REF!)</f>
        <v>#VALUE!</v>
      </c>
    </row>
    <row r="252" spans="1:5" x14ac:dyDescent="0.2">
      <c r="A252" s="28">
        <v>251</v>
      </c>
      <c r="B252" s="28" t="e">
        <f>interpola(#REF!,CURVA!$B$6:$B$20,CURVA!$G$6:$G$20)</f>
        <v>#VALUE!</v>
      </c>
      <c r="C252" s="29" t="e">
        <f t="shared" si="3"/>
        <v>#VALUE!</v>
      </c>
      <c r="E252" t="e">
        <f>cubic_spline(CURVA!$B$6:$B$20,CURVA!$G$6:$G$20,#REF!)</f>
        <v>#VALUE!</v>
      </c>
    </row>
    <row r="253" spans="1:5" x14ac:dyDescent="0.2">
      <c r="A253" s="28">
        <v>252</v>
      </c>
      <c r="B253" s="28" t="e">
        <f>interpola(#REF!,CURVA!$B$6:$B$20,CURVA!$G$6:$G$20)</f>
        <v>#VALUE!</v>
      </c>
      <c r="C253" s="29" t="e">
        <f t="shared" si="3"/>
        <v>#VALUE!</v>
      </c>
      <c r="E253" t="e">
        <f>cubic_spline(CURVA!$B$6:$B$20,CURVA!$G$6:$G$20,#REF!)</f>
        <v>#VALUE!</v>
      </c>
    </row>
    <row r="254" spans="1:5" x14ac:dyDescent="0.2">
      <c r="A254" s="28">
        <v>253</v>
      </c>
      <c r="B254" s="28" t="e">
        <f>interpola(#REF!,CURVA!$B$6:$B$20,CURVA!$G$6:$G$20)</f>
        <v>#VALUE!</v>
      </c>
      <c r="C254" s="29" t="e">
        <f t="shared" si="3"/>
        <v>#VALUE!</v>
      </c>
      <c r="E254" t="e">
        <f>cubic_spline(CURVA!$B$6:$B$20,CURVA!$G$6:$G$20,#REF!)</f>
        <v>#VALUE!</v>
      </c>
    </row>
    <row r="255" spans="1:5" x14ac:dyDescent="0.2">
      <c r="A255" s="28">
        <v>254</v>
      </c>
      <c r="B255" s="28" t="e">
        <f>interpola(#REF!,CURVA!$B$6:$B$20,CURVA!$G$6:$G$20)</f>
        <v>#VALUE!</v>
      </c>
      <c r="C255" s="29" t="e">
        <f t="shared" si="3"/>
        <v>#VALUE!</v>
      </c>
      <c r="E255" t="e">
        <f>cubic_spline(CURVA!$B$6:$B$20,CURVA!$G$6:$G$20,#REF!)</f>
        <v>#VALUE!</v>
      </c>
    </row>
    <row r="256" spans="1:5" x14ac:dyDescent="0.2">
      <c r="A256" s="28">
        <v>255</v>
      </c>
      <c r="B256" s="28" t="e">
        <f>interpola(#REF!,CURVA!$B$6:$B$20,CURVA!$G$6:$G$20)</f>
        <v>#VALUE!</v>
      </c>
      <c r="C256" s="29" t="e">
        <f t="shared" si="3"/>
        <v>#VALUE!</v>
      </c>
      <c r="E256" t="e">
        <f>cubic_spline(CURVA!$B$6:$B$20,CURVA!$G$6:$G$20,#REF!)</f>
        <v>#VALUE!</v>
      </c>
    </row>
    <row r="257" spans="1:5" x14ac:dyDescent="0.2">
      <c r="A257" s="28">
        <v>256</v>
      </c>
      <c r="B257" s="28" t="e">
        <f>interpola(#REF!,CURVA!$B$6:$B$20,CURVA!$G$6:$G$20)</f>
        <v>#VALUE!</v>
      </c>
      <c r="C257" s="29" t="e">
        <f t="shared" si="3"/>
        <v>#VALUE!</v>
      </c>
      <c r="E257" t="e">
        <f>cubic_spline(CURVA!$B$6:$B$20,CURVA!$G$6:$G$20,#REF!)</f>
        <v>#VALUE!</v>
      </c>
    </row>
    <row r="258" spans="1:5" x14ac:dyDescent="0.2">
      <c r="A258" s="28">
        <v>257</v>
      </c>
      <c r="B258" s="28" t="e">
        <f>interpola(#REF!,CURVA!$B$6:$B$20,CURVA!$G$6:$G$20)</f>
        <v>#VALUE!</v>
      </c>
      <c r="C258" s="29" t="e">
        <f t="shared" ref="C258:C321" si="4">(EXP(B258*A258/360)-1)*360/A258</f>
        <v>#VALUE!</v>
      </c>
      <c r="E258" t="e">
        <f>cubic_spline(CURVA!$B$6:$B$20,CURVA!$G$6:$G$20,#REF!)</f>
        <v>#VALUE!</v>
      </c>
    </row>
    <row r="259" spans="1:5" x14ac:dyDescent="0.2">
      <c r="A259" s="28">
        <v>258</v>
      </c>
      <c r="B259" s="28" t="e">
        <f>interpola(#REF!,CURVA!$B$6:$B$20,CURVA!$G$6:$G$20)</f>
        <v>#VALUE!</v>
      </c>
      <c r="C259" s="29" t="e">
        <f t="shared" si="4"/>
        <v>#VALUE!</v>
      </c>
      <c r="E259" t="e">
        <f>cubic_spline(CURVA!$B$6:$B$20,CURVA!$G$6:$G$20,#REF!)</f>
        <v>#VALUE!</v>
      </c>
    </row>
    <row r="260" spans="1:5" x14ac:dyDescent="0.2">
      <c r="A260" s="28">
        <v>259</v>
      </c>
      <c r="B260" s="28" t="e">
        <f>interpola(#REF!,CURVA!$B$6:$B$20,CURVA!$G$6:$G$20)</f>
        <v>#VALUE!</v>
      </c>
      <c r="C260" s="29" t="e">
        <f t="shared" si="4"/>
        <v>#VALUE!</v>
      </c>
      <c r="E260" t="e">
        <f>cubic_spline(CURVA!$B$6:$B$20,CURVA!$G$6:$G$20,#REF!)</f>
        <v>#VALUE!</v>
      </c>
    </row>
    <row r="261" spans="1:5" x14ac:dyDescent="0.2">
      <c r="A261" s="28">
        <v>260</v>
      </c>
      <c r="B261" s="28" t="e">
        <f>interpola(#REF!,CURVA!$B$6:$B$20,CURVA!$G$6:$G$20)</f>
        <v>#VALUE!</v>
      </c>
      <c r="C261" s="29" t="e">
        <f t="shared" si="4"/>
        <v>#VALUE!</v>
      </c>
      <c r="E261" t="e">
        <f>cubic_spline(CURVA!$B$6:$B$20,CURVA!$G$6:$G$20,#REF!)</f>
        <v>#VALUE!</v>
      </c>
    </row>
    <row r="262" spans="1:5" x14ac:dyDescent="0.2">
      <c r="A262" s="28">
        <v>261</v>
      </c>
      <c r="B262" s="28" t="e">
        <f>interpola(#REF!,CURVA!$B$6:$B$20,CURVA!$G$6:$G$20)</f>
        <v>#VALUE!</v>
      </c>
      <c r="C262" s="29" t="e">
        <f t="shared" si="4"/>
        <v>#VALUE!</v>
      </c>
      <c r="E262" t="e">
        <f>cubic_spline(CURVA!$B$6:$B$20,CURVA!$G$6:$G$20,#REF!)</f>
        <v>#VALUE!</v>
      </c>
    </row>
    <row r="263" spans="1:5" x14ac:dyDescent="0.2">
      <c r="A263" s="28">
        <v>262</v>
      </c>
      <c r="B263" s="28" t="e">
        <f>interpola(#REF!,CURVA!$B$6:$B$20,CURVA!$G$6:$G$20)</f>
        <v>#VALUE!</v>
      </c>
      <c r="C263" s="29" t="e">
        <f t="shared" si="4"/>
        <v>#VALUE!</v>
      </c>
      <c r="E263" t="e">
        <f>cubic_spline(CURVA!$B$6:$B$20,CURVA!$G$6:$G$20,#REF!)</f>
        <v>#VALUE!</v>
      </c>
    </row>
    <row r="264" spans="1:5" x14ac:dyDescent="0.2">
      <c r="A264" s="28">
        <v>263</v>
      </c>
      <c r="B264" s="28" t="e">
        <f>interpola(#REF!,CURVA!$B$6:$B$20,CURVA!$G$6:$G$20)</f>
        <v>#VALUE!</v>
      </c>
      <c r="C264" s="29" t="e">
        <f t="shared" si="4"/>
        <v>#VALUE!</v>
      </c>
      <c r="E264" t="e">
        <f>cubic_spline(CURVA!$B$6:$B$20,CURVA!$G$6:$G$20,#REF!)</f>
        <v>#VALUE!</v>
      </c>
    </row>
    <row r="265" spans="1:5" x14ac:dyDescent="0.2">
      <c r="A265" s="28">
        <v>264</v>
      </c>
      <c r="B265" s="28" t="e">
        <f>interpola(#REF!,CURVA!$B$6:$B$20,CURVA!$G$6:$G$20)</f>
        <v>#VALUE!</v>
      </c>
      <c r="C265" s="29" t="e">
        <f t="shared" si="4"/>
        <v>#VALUE!</v>
      </c>
      <c r="E265" t="e">
        <f>cubic_spline(CURVA!$B$6:$B$20,CURVA!$G$6:$G$20,#REF!)</f>
        <v>#VALUE!</v>
      </c>
    </row>
    <row r="266" spans="1:5" x14ac:dyDescent="0.2">
      <c r="A266" s="28">
        <v>265</v>
      </c>
      <c r="B266" s="28" t="e">
        <f>interpola(#REF!,CURVA!$B$6:$B$20,CURVA!$G$6:$G$20)</f>
        <v>#VALUE!</v>
      </c>
      <c r="C266" s="29" t="e">
        <f t="shared" si="4"/>
        <v>#VALUE!</v>
      </c>
      <c r="E266" t="e">
        <f>cubic_spline(CURVA!$B$6:$B$20,CURVA!$G$6:$G$20,#REF!)</f>
        <v>#VALUE!</v>
      </c>
    </row>
    <row r="267" spans="1:5" x14ac:dyDescent="0.2">
      <c r="A267" s="28">
        <v>266</v>
      </c>
      <c r="B267" s="28" t="e">
        <f>interpola(#REF!,CURVA!$B$6:$B$20,CURVA!$G$6:$G$20)</f>
        <v>#VALUE!</v>
      </c>
      <c r="C267" s="29" t="e">
        <f t="shared" si="4"/>
        <v>#VALUE!</v>
      </c>
      <c r="E267" t="e">
        <f>cubic_spline(CURVA!$B$6:$B$20,CURVA!$G$6:$G$20,#REF!)</f>
        <v>#VALUE!</v>
      </c>
    </row>
    <row r="268" spans="1:5" x14ac:dyDescent="0.2">
      <c r="A268" s="28">
        <v>267</v>
      </c>
      <c r="B268" s="28" t="e">
        <f>interpola(#REF!,CURVA!$B$6:$B$20,CURVA!$G$6:$G$20)</f>
        <v>#VALUE!</v>
      </c>
      <c r="C268" s="29" t="e">
        <f t="shared" si="4"/>
        <v>#VALUE!</v>
      </c>
      <c r="E268" t="e">
        <f>cubic_spline(CURVA!$B$6:$B$20,CURVA!$G$6:$G$20,#REF!)</f>
        <v>#VALUE!</v>
      </c>
    </row>
    <row r="269" spans="1:5" x14ac:dyDescent="0.2">
      <c r="A269" s="28">
        <v>268</v>
      </c>
      <c r="B269" s="28" t="e">
        <f>interpola(#REF!,CURVA!$B$6:$B$20,CURVA!$G$6:$G$20)</f>
        <v>#VALUE!</v>
      </c>
      <c r="C269" s="29" t="e">
        <f t="shared" si="4"/>
        <v>#VALUE!</v>
      </c>
      <c r="E269" t="e">
        <f>cubic_spline(CURVA!$B$6:$B$20,CURVA!$G$6:$G$20,#REF!)</f>
        <v>#VALUE!</v>
      </c>
    </row>
    <row r="270" spans="1:5" x14ac:dyDescent="0.2">
      <c r="A270" s="28">
        <v>269</v>
      </c>
      <c r="B270" s="28" t="e">
        <f>interpola(#REF!,CURVA!$B$6:$B$20,CURVA!$G$6:$G$20)</f>
        <v>#VALUE!</v>
      </c>
      <c r="C270" s="29" t="e">
        <f t="shared" si="4"/>
        <v>#VALUE!</v>
      </c>
      <c r="E270" t="e">
        <f>cubic_spline(CURVA!$B$6:$B$20,CURVA!$G$6:$G$20,#REF!)</f>
        <v>#VALUE!</v>
      </c>
    </row>
    <row r="271" spans="1:5" x14ac:dyDescent="0.2">
      <c r="A271" s="28">
        <v>270</v>
      </c>
      <c r="B271" s="28" t="e">
        <f>interpola(#REF!,CURVA!$B$6:$B$20,CURVA!$G$6:$G$20)</f>
        <v>#VALUE!</v>
      </c>
      <c r="C271" s="29" t="e">
        <f t="shared" si="4"/>
        <v>#VALUE!</v>
      </c>
      <c r="E271" t="e">
        <f>cubic_spline(CURVA!$B$6:$B$20,CURVA!$G$6:$G$20,#REF!)</f>
        <v>#VALUE!</v>
      </c>
    </row>
    <row r="272" spans="1:5" x14ac:dyDescent="0.2">
      <c r="A272" s="28">
        <v>271</v>
      </c>
      <c r="B272" s="28" t="e">
        <f>interpola(#REF!,CURVA!$B$6:$B$20,CURVA!$G$6:$G$20)</f>
        <v>#VALUE!</v>
      </c>
      <c r="C272" s="29" t="e">
        <f t="shared" si="4"/>
        <v>#VALUE!</v>
      </c>
      <c r="E272" t="e">
        <f>cubic_spline(CURVA!$B$6:$B$20,CURVA!$G$6:$G$20,#REF!)</f>
        <v>#VALUE!</v>
      </c>
    </row>
    <row r="273" spans="1:5" x14ac:dyDescent="0.2">
      <c r="A273" s="28">
        <v>272</v>
      </c>
      <c r="B273" s="28" t="e">
        <f>interpola(#REF!,CURVA!$B$6:$B$20,CURVA!$G$6:$G$20)</f>
        <v>#VALUE!</v>
      </c>
      <c r="C273" s="29" t="e">
        <f t="shared" si="4"/>
        <v>#VALUE!</v>
      </c>
      <c r="E273" t="e">
        <f>cubic_spline(CURVA!$B$6:$B$20,CURVA!$G$6:$G$20,#REF!)</f>
        <v>#VALUE!</v>
      </c>
    </row>
    <row r="274" spans="1:5" x14ac:dyDescent="0.2">
      <c r="A274" s="28">
        <v>273</v>
      </c>
      <c r="B274" s="28" t="e">
        <f>interpola(#REF!,CURVA!$B$6:$B$20,CURVA!$G$6:$G$20)</f>
        <v>#VALUE!</v>
      </c>
      <c r="C274" s="29" t="e">
        <f t="shared" si="4"/>
        <v>#VALUE!</v>
      </c>
      <c r="E274" t="e">
        <f>cubic_spline(CURVA!$B$6:$B$20,CURVA!$G$6:$G$20,#REF!)</f>
        <v>#VALUE!</v>
      </c>
    </row>
    <row r="275" spans="1:5" x14ac:dyDescent="0.2">
      <c r="A275" s="28">
        <v>274</v>
      </c>
      <c r="B275" s="28" t="e">
        <f>interpola(#REF!,CURVA!$B$6:$B$20,CURVA!$G$6:$G$20)</f>
        <v>#VALUE!</v>
      </c>
      <c r="C275" s="29" t="e">
        <f t="shared" si="4"/>
        <v>#VALUE!</v>
      </c>
      <c r="E275" t="e">
        <f>cubic_spline(CURVA!$B$6:$B$20,CURVA!$G$6:$G$20,#REF!)</f>
        <v>#VALUE!</v>
      </c>
    </row>
    <row r="276" spans="1:5" x14ac:dyDescent="0.2">
      <c r="A276" s="28">
        <v>275</v>
      </c>
      <c r="B276" s="28" t="e">
        <f>interpola(#REF!,CURVA!$B$6:$B$20,CURVA!$G$6:$G$20)</f>
        <v>#VALUE!</v>
      </c>
      <c r="C276" s="29" t="e">
        <f t="shared" si="4"/>
        <v>#VALUE!</v>
      </c>
      <c r="E276" t="e">
        <f>cubic_spline(CURVA!$B$6:$B$20,CURVA!$G$6:$G$20,#REF!)</f>
        <v>#VALUE!</v>
      </c>
    </row>
    <row r="277" spans="1:5" x14ac:dyDescent="0.2">
      <c r="A277" s="28">
        <v>276</v>
      </c>
      <c r="B277" s="28" t="e">
        <f>interpola(#REF!,CURVA!$B$6:$B$20,CURVA!$G$6:$G$20)</f>
        <v>#VALUE!</v>
      </c>
      <c r="C277" s="29" t="e">
        <f t="shared" si="4"/>
        <v>#VALUE!</v>
      </c>
      <c r="E277" t="e">
        <f>cubic_spline(CURVA!$B$6:$B$20,CURVA!$G$6:$G$20,#REF!)</f>
        <v>#VALUE!</v>
      </c>
    </row>
    <row r="278" spans="1:5" x14ac:dyDescent="0.2">
      <c r="A278" s="28">
        <v>277</v>
      </c>
      <c r="B278" s="28" t="e">
        <f>interpola(#REF!,CURVA!$B$6:$B$20,CURVA!$G$6:$G$20)</f>
        <v>#VALUE!</v>
      </c>
      <c r="C278" s="29" t="e">
        <f t="shared" si="4"/>
        <v>#VALUE!</v>
      </c>
      <c r="E278" t="e">
        <f>cubic_spline(CURVA!$B$6:$B$20,CURVA!$G$6:$G$20,#REF!)</f>
        <v>#VALUE!</v>
      </c>
    </row>
    <row r="279" spans="1:5" x14ac:dyDescent="0.2">
      <c r="A279" s="28">
        <v>278</v>
      </c>
      <c r="B279" s="28" t="e">
        <f>interpola(#REF!,CURVA!$B$6:$B$20,CURVA!$G$6:$G$20)</f>
        <v>#VALUE!</v>
      </c>
      <c r="C279" s="29" t="e">
        <f t="shared" si="4"/>
        <v>#VALUE!</v>
      </c>
      <c r="E279" t="e">
        <f>cubic_spline(CURVA!$B$6:$B$20,CURVA!$G$6:$G$20,#REF!)</f>
        <v>#VALUE!</v>
      </c>
    </row>
    <row r="280" spans="1:5" x14ac:dyDescent="0.2">
      <c r="A280" s="28">
        <v>279</v>
      </c>
      <c r="B280" s="28" t="e">
        <f>interpola(#REF!,CURVA!$B$6:$B$20,CURVA!$G$6:$G$20)</f>
        <v>#VALUE!</v>
      </c>
      <c r="C280" s="29" t="e">
        <f t="shared" si="4"/>
        <v>#VALUE!</v>
      </c>
      <c r="E280" t="e">
        <f>cubic_spline(CURVA!$B$6:$B$20,CURVA!$G$6:$G$20,#REF!)</f>
        <v>#VALUE!</v>
      </c>
    </row>
    <row r="281" spans="1:5" x14ac:dyDescent="0.2">
      <c r="A281" s="28">
        <v>280</v>
      </c>
      <c r="B281" s="28" t="e">
        <f>interpola(#REF!,CURVA!$B$6:$B$20,CURVA!$G$6:$G$20)</f>
        <v>#VALUE!</v>
      </c>
      <c r="C281" s="29" t="e">
        <f t="shared" si="4"/>
        <v>#VALUE!</v>
      </c>
      <c r="E281" t="e">
        <f>cubic_spline(CURVA!$B$6:$B$20,CURVA!$G$6:$G$20,#REF!)</f>
        <v>#VALUE!</v>
      </c>
    </row>
    <row r="282" spans="1:5" x14ac:dyDescent="0.2">
      <c r="A282" s="28">
        <v>281</v>
      </c>
      <c r="B282" s="28" t="e">
        <f>interpola(#REF!,CURVA!$B$6:$B$20,CURVA!$G$6:$G$20)</f>
        <v>#VALUE!</v>
      </c>
      <c r="C282" s="29" t="e">
        <f t="shared" si="4"/>
        <v>#VALUE!</v>
      </c>
      <c r="E282" t="e">
        <f>cubic_spline(CURVA!$B$6:$B$20,CURVA!$G$6:$G$20,#REF!)</f>
        <v>#VALUE!</v>
      </c>
    </row>
    <row r="283" spans="1:5" x14ac:dyDescent="0.2">
      <c r="A283" s="28">
        <v>282</v>
      </c>
      <c r="B283" s="28" t="e">
        <f>interpola(#REF!,CURVA!$B$6:$B$20,CURVA!$G$6:$G$20)</f>
        <v>#VALUE!</v>
      </c>
      <c r="C283" s="29" t="e">
        <f t="shared" si="4"/>
        <v>#VALUE!</v>
      </c>
      <c r="E283" t="e">
        <f>cubic_spline(CURVA!$B$6:$B$20,CURVA!$G$6:$G$20,#REF!)</f>
        <v>#VALUE!</v>
      </c>
    </row>
    <row r="284" spans="1:5" x14ac:dyDescent="0.2">
      <c r="A284" s="28">
        <v>283</v>
      </c>
      <c r="B284" s="28" t="e">
        <f>interpola(#REF!,CURVA!$B$6:$B$20,CURVA!$G$6:$G$20)</f>
        <v>#VALUE!</v>
      </c>
      <c r="C284" s="29" t="e">
        <f t="shared" si="4"/>
        <v>#VALUE!</v>
      </c>
      <c r="E284" t="e">
        <f>cubic_spline(CURVA!$B$6:$B$20,CURVA!$G$6:$G$20,#REF!)</f>
        <v>#VALUE!</v>
      </c>
    </row>
    <row r="285" spans="1:5" x14ac:dyDescent="0.2">
      <c r="A285" s="28">
        <v>284</v>
      </c>
      <c r="B285" s="28" t="e">
        <f>interpola(#REF!,CURVA!$B$6:$B$20,CURVA!$G$6:$G$20)</f>
        <v>#VALUE!</v>
      </c>
      <c r="C285" s="29" t="e">
        <f t="shared" si="4"/>
        <v>#VALUE!</v>
      </c>
      <c r="E285" t="e">
        <f>cubic_spline(CURVA!$B$6:$B$20,CURVA!$G$6:$G$20,#REF!)</f>
        <v>#VALUE!</v>
      </c>
    </row>
    <row r="286" spans="1:5" x14ac:dyDescent="0.2">
      <c r="A286" s="28">
        <v>285</v>
      </c>
      <c r="B286" s="28" t="e">
        <f>interpola(#REF!,CURVA!$B$6:$B$20,CURVA!$G$6:$G$20)</f>
        <v>#VALUE!</v>
      </c>
      <c r="C286" s="29" t="e">
        <f t="shared" si="4"/>
        <v>#VALUE!</v>
      </c>
      <c r="E286" t="e">
        <f>cubic_spline(CURVA!$B$6:$B$20,CURVA!$G$6:$G$20,#REF!)</f>
        <v>#VALUE!</v>
      </c>
    </row>
    <row r="287" spans="1:5" x14ac:dyDescent="0.2">
      <c r="A287" s="28">
        <v>286</v>
      </c>
      <c r="B287" s="28" t="e">
        <f>interpola(#REF!,CURVA!$B$6:$B$20,CURVA!$G$6:$G$20)</f>
        <v>#VALUE!</v>
      </c>
      <c r="C287" s="29" t="e">
        <f t="shared" si="4"/>
        <v>#VALUE!</v>
      </c>
      <c r="E287" t="e">
        <f>cubic_spline(CURVA!$B$6:$B$20,CURVA!$G$6:$G$20,#REF!)</f>
        <v>#VALUE!</v>
      </c>
    </row>
    <row r="288" spans="1:5" x14ac:dyDescent="0.2">
      <c r="A288" s="28">
        <v>287</v>
      </c>
      <c r="B288" s="28" t="e">
        <f>interpola(#REF!,CURVA!$B$6:$B$20,CURVA!$G$6:$G$20)</f>
        <v>#VALUE!</v>
      </c>
      <c r="C288" s="29" t="e">
        <f t="shared" si="4"/>
        <v>#VALUE!</v>
      </c>
      <c r="E288" t="e">
        <f>cubic_spline(CURVA!$B$6:$B$20,CURVA!$G$6:$G$20,#REF!)</f>
        <v>#VALUE!</v>
      </c>
    </row>
    <row r="289" spans="1:5" x14ac:dyDescent="0.2">
      <c r="A289" s="28">
        <v>288</v>
      </c>
      <c r="B289" s="28" t="e">
        <f>interpola(#REF!,CURVA!$B$6:$B$20,CURVA!$G$6:$G$20)</f>
        <v>#VALUE!</v>
      </c>
      <c r="C289" s="29" t="e">
        <f t="shared" si="4"/>
        <v>#VALUE!</v>
      </c>
      <c r="E289" t="e">
        <f>cubic_spline(CURVA!$B$6:$B$20,CURVA!$G$6:$G$20,#REF!)</f>
        <v>#VALUE!</v>
      </c>
    </row>
    <row r="290" spans="1:5" x14ac:dyDescent="0.2">
      <c r="A290" s="28">
        <v>289</v>
      </c>
      <c r="B290" s="28" t="e">
        <f>interpola(#REF!,CURVA!$B$6:$B$20,CURVA!$G$6:$G$20)</f>
        <v>#VALUE!</v>
      </c>
      <c r="C290" s="29" t="e">
        <f t="shared" si="4"/>
        <v>#VALUE!</v>
      </c>
      <c r="E290" t="e">
        <f>cubic_spline(CURVA!$B$6:$B$20,CURVA!$G$6:$G$20,#REF!)</f>
        <v>#VALUE!</v>
      </c>
    </row>
    <row r="291" spans="1:5" x14ac:dyDescent="0.2">
      <c r="A291" s="28">
        <v>290</v>
      </c>
      <c r="B291" s="28" t="e">
        <f>interpola(#REF!,CURVA!$B$6:$B$20,CURVA!$G$6:$G$20)</f>
        <v>#VALUE!</v>
      </c>
      <c r="C291" s="29" t="e">
        <f t="shared" si="4"/>
        <v>#VALUE!</v>
      </c>
      <c r="E291" t="e">
        <f>cubic_spline(CURVA!$B$6:$B$20,CURVA!$G$6:$G$20,#REF!)</f>
        <v>#VALUE!</v>
      </c>
    </row>
    <row r="292" spans="1:5" x14ac:dyDescent="0.2">
      <c r="A292" s="28">
        <v>291</v>
      </c>
      <c r="B292" s="28" t="e">
        <f>interpola(#REF!,CURVA!$B$6:$B$20,CURVA!$G$6:$G$20)</f>
        <v>#VALUE!</v>
      </c>
      <c r="C292" s="29" t="e">
        <f t="shared" si="4"/>
        <v>#VALUE!</v>
      </c>
      <c r="E292" t="e">
        <f>cubic_spline(CURVA!$B$6:$B$20,CURVA!$G$6:$G$20,#REF!)</f>
        <v>#VALUE!</v>
      </c>
    </row>
    <row r="293" spans="1:5" x14ac:dyDescent="0.2">
      <c r="A293" s="28">
        <v>292</v>
      </c>
      <c r="B293" s="28" t="e">
        <f>interpola(#REF!,CURVA!$B$6:$B$20,CURVA!$G$6:$G$20)</f>
        <v>#VALUE!</v>
      </c>
      <c r="C293" s="29" t="e">
        <f t="shared" si="4"/>
        <v>#VALUE!</v>
      </c>
      <c r="E293" t="e">
        <f>cubic_spline(CURVA!$B$6:$B$20,CURVA!$G$6:$G$20,#REF!)</f>
        <v>#VALUE!</v>
      </c>
    </row>
    <row r="294" spans="1:5" x14ac:dyDescent="0.2">
      <c r="A294" s="28">
        <v>293</v>
      </c>
      <c r="B294" s="28" t="e">
        <f>interpola(#REF!,CURVA!$B$6:$B$20,CURVA!$G$6:$G$20)</f>
        <v>#VALUE!</v>
      </c>
      <c r="C294" s="29" t="e">
        <f t="shared" si="4"/>
        <v>#VALUE!</v>
      </c>
      <c r="E294" t="e">
        <f>cubic_spline(CURVA!$B$6:$B$20,CURVA!$G$6:$G$20,#REF!)</f>
        <v>#VALUE!</v>
      </c>
    </row>
    <row r="295" spans="1:5" x14ac:dyDescent="0.2">
      <c r="A295" s="28">
        <v>294</v>
      </c>
      <c r="B295" s="28" t="e">
        <f>interpola(#REF!,CURVA!$B$6:$B$20,CURVA!$G$6:$G$20)</f>
        <v>#VALUE!</v>
      </c>
      <c r="C295" s="29" t="e">
        <f t="shared" si="4"/>
        <v>#VALUE!</v>
      </c>
      <c r="E295" t="e">
        <f>cubic_spline(CURVA!$B$6:$B$20,CURVA!$G$6:$G$20,#REF!)</f>
        <v>#VALUE!</v>
      </c>
    </row>
    <row r="296" spans="1:5" x14ac:dyDescent="0.2">
      <c r="A296" s="28">
        <v>295</v>
      </c>
      <c r="B296" s="28" t="e">
        <f>interpola(#REF!,CURVA!$B$6:$B$20,CURVA!$G$6:$G$20)</f>
        <v>#VALUE!</v>
      </c>
      <c r="C296" s="29" t="e">
        <f t="shared" si="4"/>
        <v>#VALUE!</v>
      </c>
      <c r="E296" t="e">
        <f>cubic_spline(CURVA!$B$6:$B$20,CURVA!$G$6:$G$20,#REF!)</f>
        <v>#VALUE!</v>
      </c>
    </row>
    <row r="297" spans="1:5" x14ac:dyDescent="0.2">
      <c r="A297" s="28">
        <v>296</v>
      </c>
      <c r="B297" s="28" t="e">
        <f>interpola(#REF!,CURVA!$B$6:$B$20,CURVA!$G$6:$G$20)</f>
        <v>#VALUE!</v>
      </c>
      <c r="C297" s="29" t="e">
        <f t="shared" si="4"/>
        <v>#VALUE!</v>
      </c>
      <c r="E297" t="e">
        <f>cubic_spline(CURVA!$B$6:$B$20,CURVA!$G$6:$G$20,#REF!)</f>
        <v>#VALUE!</v>
      </c>
    </row>
    <row r="298" spans="1:5" x14ac:dyDescent="0.2">
      <c r="A298" s="28">
        <v>297</v>
      </c>
      <c r="B298" s="28" t="e">
        <f>interpola(#REF!,CURVA!$B$6:$B$20,CURVA!$G$6:$G$20)</f>
        <v>#VALUE!</v>
      </c>
      <c r="C298" s="29" t="e">
        <f t="shared" si="4"/>
        <v>#VALUE!</v>
      </c>
      <c r="E298" t="e">
        <f>cubic_spline(CURVA!$B$6:$B$20,CURVA!$G$6:$G$20,#REF!)</f>
        <v>#VALUE!</v>
      </c>
    </row>
    <row r="299" spans="1:5" x14ac:dyDescent="0.2">
      <c r="A299" s="28">
        <v>298</v>
      </c>
      <c r="B299" s="28" t="e">
        <f>interpola(#REF!,CURVA!$B$6:$B$20,CURVA!$G$6:$G$20)</f>
        <v>#VALUE!</v>
      </c>
      <c r="C299" s="29" t="e">
        <f t="shared" si="4"/>
        <v>#VALUE!</v>
      </c>
      <c r="E299" t="e">
        <f>cubic_spline(CURVA!$B$6:$B$20,CURVA!$G$6:$G$20,#REF!)</f>
        <v>#VALUE!</v>
      </c>
    </row>
    <row r="300" spans="1:5" x14ac:dyDescent="0.2">
      <c r="A300" s="28">
        <v>299</v>
      </c>
      <c r="B300" s="28" t="e">
        <f>interpola(#REF!,CURVA!$B$6:$B$20,CURVA!$G$6:$G$20)</f>
        <v>#VALUE!</v>
      </c>
      <c r="C300" s="29" t="e">
        <f t="shared" si="4"/>
        <v>#VALUE!</v>
      </c>
      <c r="E300" t="e">
        <f>cubic_spline(CURVA!$B$6:$B$20,CURVA!$G$6:$G$20,#REF!)</f>
        <v>#VALUE!</v>
      </c>
    </row>
    <row r="301" spans="1:5" x14ac:dyDescent="0.2">
      <c r="A301" s="28">
        <v>300</v>
      </c>
      <c r="B301" s="28" t="e">
        <f>interpola(#REF!,CURVA!$B$6:$B$20,CURVA!$G$6:$G$20)</f>
        <v>#VALUE!</v>
      </c>
      <c r="C301" s="29" t="e">
        <f t="shared" si="4"/>
        <v>#VALUE!</v>
      </c>
      <c r="E301" t="e">
        <f>cubic_spline(CURVA!$B$6:$B$20,CURVA!$G$6:$G$20,#REF!)</f>
        <v>#VALUE!</v>
      </c>
    </row>
    <row r="302" spans="1:5" x14ac:dyDescent="0.2">
      <c r="A302" s="28">
        <v>301</v>
      </c>
      <c r="B302" s="28" t="e">
        <f>interpola(#REF!,CURVA!$B$6:$B$20,CURVA!$G$6:$G$20)</f>
        <v>#VALUE!</v>
      </c>
      <c r="C302" s="29" t="e">
        <f t="shared" si="4"/>
        <v>#VALUE!</v>
      </c>
      <c r="E302" t="e">
        <f>cubic_spline(CURVA!$B$6:$B$20,CURVA!$G$6:$G$20,#REF!)</f>
        <v>#VALUE!</v>
      </c>
    </row>
    <row r="303" spans="1:5" x14ac:dyDescent="0.2">
      <c r="A303" s="28">
        <v>302</v>
      </c>
      <c r="B303" s="28" t="e">
        <f>interpola(#REF!,CURVA!$B$6:$B$20,CURVA!$G$6:$G$20)</f>
        <v>#VALUE!</v>
      </c>
      <c r="C303" s="29" t="e">
        <f t="shared" si="4"/>
        <v>#VALUE!</v>
      </c>
      <c r="E303" t="e">
        <f>cubic_spline(CURVA!$B$6:$B$20,CURVA!$G$6:$G$20,#REF!)</f>
        <v>#VALUE!</v>
      </c>
    </row>
    <row r="304" spans="1:5" x14ac:dyDescent="0.2">
      <c r="A304" s="28">
        <v>303</v>
      </c>
      <c r="B304" s="28" t="e">
        <f>interpola(#REF!,CURVA!$B$6:$B$20,CURVA!$G$6:$G$20)</f>
        <v>#VALUE!</v>
      </c>
      <c r="C304" s="29" t="e">
        <f t="shared" si="4"/>
        <v>#VALUE!</v>
      </c>
      <c r="E304" t="e">
        <f>cubic_spline(CURVA!$B$6:$B$20,CURVA!$G$6:$G$20,#REF!)</f>
        <v>#VALUE!</v>
      </c>
    </row>
    <row r="305" spans="1:5" x14ac:dyDescent="0.2">
      <c r="A305" s="28">
        <v>304</v>
      </c>
      <c r="B305" s="28" t="e">
        <f>interpola(#REF!,CURVA!$B$6:$B$20,CURVA!$G$6:$G$20)</f>
        <v>#VALUE!</v>
      </c>
      <c r="C305" s="29" t="e">
        <f t="shared" si="4"/>
        <v>#VALUE!</v>
      </c>
      <c r="E305" t="e">
        <f>cubic_spline(CURVA!$B$6:$B$20,CURVA!$G$6:$G$20,#REF!)</f>
        <v>#VALUE!</v>
      </c>
    </row>
    <row r="306" spans="1:5" x14ac:dyDescent="0.2">
      <c r="A306" s="28">
        <v>305</v>
      </c>
      <c r="B306" s="28" t="e">
        <f>interpola(#REF!,CURVA!$B$6:$B$20,CURVA!$G$6:$G$20)</f>
        <v>#VALUE!</v>
      </c>
      <c r="C306" s="29" t="e">
        <f t="shared" si="4"/>
        <v>#VALUE!</v>
      </c>
      <c r="E306" t="e">
        <f>cubic_spline(CURVA!$B$6:$B$20,CURVA!$G$6:$G$20,#REF!)</f>
        <v>#VALUE!</v>
      </c>
    </row>
    <row r="307" spans="1:5" x14ac:dyDescent="0.2">
      <c r="A307" s="28">
        <v>306</v>
      </c>
      <c r="B307" s="28" t="e">
        <f>interpola(#REF!,CURVA!$B$6:$B$20,CURVA!$G$6:$G$20)</f>
        <v>#VALUE!</v>
      </c>
      <c r="C307" s="29" t="e">
        <f t="shared" si="4"/>
        <v>#VALUE!</v>
      </c>
      <c r="E307" t="e">
        <f>cubic_spline(CURVA!$B$6:$B$20,CURVA!$G$6:$G$20,#REF!)</f>
        <v>#VALUE!</v>
      </c>
    </row>
    <row r="308" spans="1:5" x14ac:dyDescent="0.2">
      <c r="A308" s="28">
        <v>307</v>
      </c>
      <c r="B308" s="28" t="e">
        <f>interpola(#REF!,CURVA!$B$6:$B$20,CURVA!$G$6:$G$20)</f>
        <v>#VALUE!</v>
      </c>
      <c r="C308" s="29" t="e">
        <f t="shared" si="4"/>
        <v>#VALUE!</v>
      </c>
      <c r="E308" t="e">
        <f>cubic_spline(CURVA!$B$6:$B$20,CURVA!$G$6:$G$20,#REF!)</f>
        <v>#VALUE!</v>
      </c>
    </row>
    <row r="309" spans="1:5" x14ac:dyDescent="0.2">
      <c r="A309" s="28">
        <v>308</v>
      </c>
      <c r="B309" s="28" t="e">
        <f>interpola(#REF!,CURVA!$B$6:$B$20,CURVA!$G$6:$G$20)</f>
        <v>#VALUE!</v>
      </c>
      <c r="C309" s="29" t="e">
        <f t="shared" si="4"/>
        <v>#VALUE!</v>
      </c>
      <c r="E309" t="e">
        <f>cubic_spline(CURVA!$B$6:$B$20,CURVA!$G$6:$G$20,#REF!)</f>
        <v>#VALUE!</v>
      </c>
    </row>
    <row r="310" spans="1:5" x14ac:dyDescent="0.2">
      <c r="A310" s="28">
        <v>309</v>
      </c>
      <c r="B310" s="28" t="e">
        <f>interpola(#REF!,CURVA!$B$6:$B$20,CURVA!$G$6:$G$20)</f>
        <v>#VALUE!</v>
      </c>
      <c r="C310" s="29" t="e">
        <f t="shared" si="4"/>
        <v>#VALUE!</v>
      </c>
      <c r="E310" t="e">
        <f>cubic_spline(CURVA!$B$6:$B$20,CURVA!$G$6:$G$20,#REF!)</f>
        <v>#VALUE!</v>
      </c>
    </row>
    <row r="311" spans="1:5" x14ac:dyDescent="0.2">
      <c r="A311" s="28">
        <v>310</v>
      </c>
      <c r="B311" s="28" t="e">
        <f>interpola(#REF!,CURVA!$B$6:$B$20,CURVA!$G$6:$G$20)</f>
        <v>#VALUE!</v>
      </c>
      <c r="C311" s="29" t="e">
        <f t="shared" si="4"/>
        <v>#VALUE!</v>
      </c>
      <c r="E311" t="e">
        <f>cubic_spline(CURVA!$B$6:$B$20,CURVA!$G$6:$G$20,#REF!)</f>
        <v>#VALUE!</v>
      </c>
    </row>
    <row r="312" spans="1:5" x14ac:dyDescent="0.2">
      <c r="A312" s="28">
        <v>311</v>
      </c>
      <c r="B312" s="28" t="e">
        <f>interpola(#REF!,CURVA!$B$6:$B$20,CURVA!$G$6:$G$20)</f>
        <v>#VALUE!</v>
      </c>
      <c r="C312" s="29" t="e">
        <f t="shared" si="4"/>
        <v>#VALUE!</v>
      </c>
      <c r="E312" t="e">
        <f>cubic_spline(CURVA!$B$6:$B$20,CURVA!$G$6:$G$20,#REF!)</f>
        <v>#VALUE!</v>
      </c>
    </row>
    <row r="313" spans="1:5" x14ac:dyDescent="0.2">
      <c r="A313" s="28">
        <v>312</v>
      </c>
      <c r="B313" s="28" t="e">
        <f>interpola(#REF!,CURVA!$B$6:$B$20,CURVA!$G$6:$G$20)</f>
        <v>#VALUE!</v>
      </c>
      <c r="C313" s="29" t="e">
        <f t="shared" si="4"/>
        <v>#VALUE!</v>
      </c>
      <c r="E313" t="e">
        <f>cubic_spline(CURVA!$B$6:$B$20,CURVA!$G$6:$G$20,#REF!)</f>
        <v>#VALUE!</v>
      </c>
    </row>
    <row r="314" spans="1:5" x14ac:dyDescent="0.2">
      <c r="A314" s="28">
        <v>313</v>
      </c>
      <c r="B314" s="28" t="e">
        <f>interpola(#REF!,CURVA!$B$6:$B$20,CURVA!$G$6:$G$20)</f>
        <v>#VALUE!</v>
      </c>
      <c r="C314" s="29" t="e">
        <f t="shared" si="4"/>
        <v>#VALUE!</v>
      </c>
      <c r="E314" t="e">
        <f>cubic_spline(CURVA!$B$6:$B$20,CURVA!$G$6:$G$20,#REF!)</f>
        <v>#VALUE!</v>
      </c>
    </row>
    <row r="315" spans="1:5" x14ac:dyDescent="0.2">
      <c r="A315" s="28">
        <v>314</v>
      </c>
      <c r="B315" s="28" t="e">
        <f>interpola(#REF!,CURVA!$B$6:$B$20,CURVA!$G$6:$G$20)</f>
        <v>#VALUE!</v>
      </c>
      <c r="C315" s="29" t="e">
        <f t="shared" si="4"/>
        <v>#VALUE!</v>
      </c>
      <c r="E315" t="e">
        <f>cubic_spline(CURVA!$B$6:$B$20,CURVA!$G$6:$G$20,#REF!)</f>
        <v>#VALUE!</v>
      </c>
    </row>
    <row r="316" spans="1:5" x14ac:dyDescent="0.2">
      <c r="A316" s="28">
        <v>315</v>
      </c>
      <c r="B316" s="28" t="e">
        <f>interpola(#REF!,CURVA!$B$6:$B$20,CURVA!$G$6:$G$20)</f>
        <v>#VALUE!</v>
      </c>
      <c r="C316" s="29" t="e">
        <f t="shared" si="4"/>
        <v>#VALUE!</v>
      </c>
      <c r="E316" t="e">
        <f>cubic_spline(CURVA!$B$6:$B$20,CURVA!$G$6:$G$20,#REF!)</f>
        <v>#VALUE!</v>
      </c>
    </row>
    <row r="317" spans="1:5" x14ac:dyDescent="0.2">
      <c r="A317" s="28">
        <v>316</v>
      </c>
      <c r="B317" s="28" t="e">
        <f>interpola(#REF!,CURVA!$B$6:$B$20,CURVA!$G$6:$G$20)</f>
        <v>#VALUE!</v>
      </c>
      <c r="C317" s="29" t="e">
        <f t="shared" si="4"/>
        <v>#VALUE!</v>
      </c>
      <c r="E317" t="e">
        <f>cubic_spline(CURVA!$B$6:$B$20,CURVA!$G$6:$G$20,#REF!)</f>
        <v>#VALUE!</v>
      </c>
    </row>
    <row r="318" spans="1:5" x14ac:dyDescent="0.2">
      <c r="A318" s="28">
        <v>317</v>
      </c>
      <c r="B318" s="28" t="e">
        <f>interpola(#REF!,CURVA!$B$6:$B$20,CURVA!$G$6:$G$20)</f>
        <v>#VALUE!</v>
      </c>
      <c r="C318" s="29" t="e">
        <f t="shared" si="4"/>
        <v>#VALUE!</v>
      </c>
      <c r="E318" t="e">
        <f>cubic_spline(CURVA!$B$6:$B$20,CURVA!$G$6:$G$20,#REF!)</f>
        <v>#VALUE!</v>
      </c>
    </row>
    <row r="319" spans="1:5" x14ac:dyDescent="0.2">
      <c r="A319" s="28">
        <v>318</v>
      </c>
      <c r="B319" s="28" t="e">
        <f>interpola(#REF!,CURVA!$B$6:$B$20,CURVA!$G$6:$G$20)</f>
        <v>#VALUE!</v>
      </c>
      <c r="C319" s="29" t="e">
        <f t="shared" si="4"/>
        <v>#VALUE!</v>
      </c>
      <c r="E319" t="e">
        <f>cubic_spline(CURVA!$B$6:$B$20,CURVA!$G$6:$G$20,#REF!)</f>
        <v>#VALUE!</v>
      </c>
    </row>
    <row r="320" spans="1:5" x14ac:dyDescent="0.2">
      <c r="A320" s="28">
        <v>319</v>
      </c>
      <c r="B320" s="28" t="e">
        <f>interpola(#REF!,CURVA!$B$6:$B$20,CURVA!$G$6:$G$20)</f>
        <v>#VALUE!</v>
      </c>
      <c r="C320" s="29" t="e">
        <f t="shared" si="4"/>
        <v>#VALUE!</v>
      </c>
      <c r="E320" t="e">
        <f>cubic_spline(CURVA!$B$6:$B$20,CURVA!$G$6:$G$20,#REF!)</f>
        <v>#VALUE!</v>
      </c>
    </row>
    <row r="321" spans="1:5" x14ac:dyDescent="0.2">
      <c r="A321" s="28">
        <v>320</v>
      </c>
      <c r="B321" s="28" t="e">
        <f>interpola(#REF!,CURVA!$B$6:$B$20,CURVA!$G$6:$G$20)</f>
        <v>#VALUE!</v>
      </c>
      <c r="C321" s="29" t="e">
        <f t="shared" si="4"/>
        <v>#VALUE!</v>
      </c>
      <c r="E321" t="e">
        <f>cubic_spline(CURVA!$B$6:$B$20,CURVA!$G$6:$G$20,#REF!)</f>
        <v>#VALUE!</v>
      </c>
    </row>
    <row r="322" spans="1:5" x14ac:dyDescent="0.2">
      <c r="A322" s="28">
        <v>321</v>
      </c>
      <c r="B322" s="28" t="e">
        <f>interpola(#REF!,CURVA!$B$6:$B$20,CURVA!$G$6:$G$20)</f>
        <v>#VALUE!</v>
      </c>
      <c r="C322" s="29" t="e">
        <f t="shared" ref="C322:C385" si="5">(EXP(B322*A322/360)-1)*360/A322</f>
        <v>#VALUE!</v>
      </c>
      <c r="E322" t="e">
        <f>cubic_spline(CURVA!$B$6:$B$20,CURVA!$G$6:$G$20,#REF!)</f>
        <v>#VALUE!</v>
      </c>
    </row>
    <row r="323" spans="1:5" x14ac:dyDescent="0.2">
      <c r="A323" s="28">
        <v>322</v>
      </c>
      <c r="B323" s="28" t="e">
        <f>interpola(#REF!,CURVA!$B$6:$B$20,CURVA!$G$6:$G$20)</f>
        <v>#VALUE!</v>
      </c>
      <c r="C323" s="29" t="e">
        <f t="shared" si="5"/>
        <v>#VALUE!</v>
      </c>
      <c r="E323" t="e">
        <f>cubic_spline(CURVA!$B$6:$B$20,CURVA!$G$6:$G$20,#REF!)</f>
        <v>#VALUE!</v>
      </c>
    </row>
    <row r="324" spans="1:5" x14ac:dyDescent="0.2">
      <c r="A324" s="28">
        <v>323</v>
      </c>
      <c r="B324" s="28" t="e">
        <f>interpola(#REF!,CURVA!$B$6:$B$20,CURVA!$G$6:$G$20)</f>
        <v>#VALUE!</v>
      </c>
      <c r="C324" s="29" t="e">
        <f t="shared" si="5"/>
        <v>#VALUE!</v>
      </c>
      <c r="E324" t="e">
        <f>cubic_spline(CURVA!$B$6:$B$20,CURVA!$G$6:$G$20,#REF!)</f>
        <v>#VALUE!</v>
      </c>
    </row>
    <row r="325" spans="1:5" x14ac:dyDescent="0.2">
      <c r="A325" s="28">
        <v>324</v>
      </c>
      <c r="B325" s="28" t="e">
        <f>interpola(#REF!,CURVA!$B$6:$B$20,CURVA!$G$6:$G$20)</f>
        <v>#VALUE!</v>
      </c>
      <c r="C325" s="29" t="e">
        <f t="shared" si="5"/>
        <v>#VALUE!</v>
      </c>
      <c r="E325" t="e">
        <f>cubic_spline(CURVA!$B$6:$B$20,CURVA!$G$6:$G$20,#REF!)</f>
        <v>#VALUE!</v>
      </c>
    </row>
    <row r="326" spans="1:5" x14ac:dyDescent="0.2">
      <c r="A326" s="28">
        <v>325</v>
      </c>
      <c r="B326" s="28" t="e">
        <f>interpola(#REF!,CURVA!$B$6:$B$20,CURVA!$G$6:$G$20)</f>
        <v>#VALUE!</v>
      </c>
      <c r="C326" s="29" t="e">
        <f t="shared" si="5"/>
        <v>#VALUE!</v>
      </c>
      <c r="E326" t="e">
        <f>cubic_spline(CURVA!$B$6:$B$20,CURVA!$G$6:$G$20,#REF!)</f>
        <v>#VALUE!</v>
      </c>
    </row>
    <row r="327" spans="1:5" x14ac:dyDescent="0.2">
      <c r="A327" s="28">
        <v>326</v>
      </c>
      <c r="B327" s="28" t="e">
        <f>interpola(#REF!,CURVA!$B$6:$B$20,CURVA!$G$6:$G$20)</f>
        <v>#VALUE!</v>
      </c>
      <c r="C327" s="29" t="e">
        <f t="shared" si="5"/>
        <v>#VALUE!</v>
      </c>
      <c r="E327" t="e">
        <f>cubic_spline(CURVA!$B$6:$B$20,CURVA!$G$6:$G$20,#REF!)</f>
        <v>#VALUE!</v>
      </c>
    </row>
    <row r="328" spans="1:5" x14ac:dyDescent="0.2">
      <c r="A328" s="28">
        <v>327</v>
      </c>
      <c r="B328" s="28" t="e">
        <f>interpola(#REF!,CURVA!$B$6:$B$20,CURVA!$G$6:$G$20)</f>
        <v>#VALUE!</v>
      </c>
      <c r="C328" s="29" t="e">
        <f t="shared" si="5"/>
        <v>#VALUE!</v>
      </c>
      <c r="E328" t="e">
        <f>cubic_spline(CURVA!$B$6:$B$20,CURVA!$G$6:$G$20,#REF!)</f>
        <v>#VALUE!</v>
      </c>
    </row>
    <row r="329" spans="1:5" x14ac:dyDescent="0.2">
      <c r="A329" s="28">
        <v>328</v>
      </c>
      <c r="B329" s="28" t="e">
        <f>interpola(#REF!,CURVA!$B$6:$B$20,CURVA!$G$6:$G$20)</f>
        <v>#VALUE!</v>
      </c>
      <c r="C329" s="29" t="e">
        <f t="shared" si="5"/>
        <v>#VALUE!</v>
      </c>
      <c r="E329" t="e">
        <f>cubic_spline(CURVA!$B$6:$B$20,CURVA!$G$6:$G$20,#REF!)</f>
        <v>#VALUE!</v>
      </c>
    </row>
    <row r="330" spans="1:5" x14ac:dyDescent="0.2">
      <c r="A330" s="28">
        <v>329</v>
      </c>
      <c r="B330" s="28" t="e">
        <f>interpola(#REF!,CURVA!$B$6:$B$20,CURVA!$G$6:$G$20)</f>
        <v>#VALUE!</v>
      </c>
      <c r="C330" s="29" t="e">
        <f t="shared" si="5"/>
        <v>#VALUE!</v>
      </c>
      <c r="E330" t="e">
        <f>cubic_spline(CURVA!$B$6:$B$20,CURVA!$G$6:$G$20,#REF!)</f>
        <v>#VALUE!</v>
      </c>
    </row>
    <row r="331" spans="1:5" x14ac:dyDescent="0.2">
      <c r="A331" s="28">
        <v>330</v>
      </c>
      <c r="B331" s="28" t="e">
        <f>interpola(#REF!,CURVA!$B$6:$B$20,CURVA!$G$6:$G$20)</f>
        <v>#VALUE!</v>
      </c>
      <c r="C331" s="29" t="e">
        <f t="shared" si="5"/>
        <v>#VALUE!</v>
      </c>
      <c r="E331" t="e">
        <f>cubic_spline(CURVA!$B$6:$B$20,CURVA!$G$6:$G$20,#REF!)</f>
        <v>#VALUE!</v>
      </c>
    </row>
    <row r="332" spans="1:5" x14ac:dyDescent="0.2">
      <c r="A332" s="28">
        <v>331</v>
      </c>
      <c r="B332" s="28" t="e">
        <f>interpola(#REF!,CURVA!$B$6:$B$20,CURVA!$G$6:$G$20)</f>
        <v>#VALUE!</v>
      </c>
      <c r="C332" s="29" t="e">
        <f t="shared" si="5"/>
        <v>#VALUE!</v>
      </c>
      <c r="E332" t="e">
        <f>cubic_spline(CURVA!$B$6:$B$20,CURVA!$G$6:$G$20,#REF!)</f>
        <v>#VALUE!</v>
      </c>
    </row>
    <row r="333" spans="1:5" x14ac:dyDescent="0.2">
      <c r="A333" s="28">
        <v>332</v>
      </c>
      <c r="B333" s="28" t="e">
        <f>interpola(#REF!,CURVA!$B$6:$B$20,CURVA!$G$6:$G$20)</f>
        <v>#VALUE!</v>
      </c>
      <c r="C333" s="29" t="e">
        <f t="shared" si="5"/>
        <v>#VALUE!</v>
      </c>
      <c r="E333" t="e">
        <f>cubic_spline(CURVA!$B$6:$B$20,CURVA!$G$6:$G$20,#REF!)</f>
        <v>#VALUE!</v>
      </c>
    </row>
    <row r="334" spans="1:5" x14ac:dyDescent="0.2">
      <c r="A334" s="28">
        <v>333</v>
      </c>
      <c r="B334" s="28" t="e">
        <f>interpola(#REF!,CURVA!$B$6:$B$20,CURVA!$G$6:$G$20)</f>
        <v>#VALUE!</v>
      </c>
      <c r="C334" s="29" t="e">
        <f t="shared" si="5"/>
        <v>#VALUE!</v>
      </c>
      <c r="E334" t="e">
        <f>cubic_spline(CURVA!$B$6:$B$20,CURVA!$G$6:$G$20,#REF!)</f>
        <v>#VALUE!</v>
      </c>
    </row>
    <row r="335" spans="1:5" x14ac:dyDescent="0.2">
      <c r="A335" s="28">
        <v>334</v>
      </c>
      <c r="B335" s="28" t="e">
        <f>interpola(#REF!,CURVA!$B$6:$B$20,CURVA!$G$6:$G$20)</f>
        <v>#VALUE!</v>
      </c>
      <c r="C335" s="29" t="e">
        <f t="shared" si="5"/>
        <v>#VALUE!</v>
      </c>
      <c r="E335" t="e">
        <f>cubic_spline(CURVA!$B$6:$B$20,CURVA!$G$6:$G$20,#REF!)</f>
        <v>#VALUE!</v>
      </c>
    </row>
    <row r="336" spans="1:5" x14ac:dyDescent="0.2">
      <c r="A336" s="28">
        <v>335</v>
      </c>
      <c r="B336" s="28" t="e">
        <f>interpola(#REF!,CURVA!$B$6:$B$20,CURVA!$G$6:$G$20)</f>
        <v>#VALUE!</v>
      </c>
      <c r="C336" s="29" t="e">
        <f t="shared" si="5"/>
        <v>#VALUE!</v>
      </c>
      <c r="E336" t="e">
        <f>cubic_spline(CURVA!$B$6:$B$20,CURVA!$G$6:$G$20,#REF!)</f>
        <v>#VALUE!</v>
      </c>
    </row>
    <row r="337" spans="1:5" x14ac:dyDescent="0.2">
      <c r="A337" s="28">
        <v>336</v>
      </c>
      <c r="B337" s="28" t="e">
        <f>interpola(#REF!,CURVA!$B$6:$B$20,CURVA!$G$6:$G$20)</f>
        <v>#VALUE!</v>
      </c>
      <c r="C337" s="29" t="e">
        <f t="shared" si="5"/>
        <v>#VALUE!</v>
      </c>
      <c r="E337" t="e">
        <f>cubic_spline(CURVA!$B$6:$B$20,CURVA!$G$6:$G$20,#REF!)</f>
        <v>#VALUE!</v>
      </c>
    </row>
    <row r="338" spans="1:5" x14ac:dyDescent="0.2">
      <c r="A338" s="28">
        <v>337</v>
      </c>
      <c r="B338" s="28" t="e">
        <f>interpola(#REF!,CURVA!$B$6:$B$20,CURVA!$G$6:$G$20)</f>
        <v>#VALUE!</v>
      </c>
      <c r="C338" s="29" t="e">
        <f t="shared" si="5"/>
        <v>#VALUE!</v>
      </c>
      <c r="E338" t="e">
        <f>cubic_spline(CURVA!$B$6:$B$20,CURVA!$G$6:$G$20,#REF!)</f>
        <v>#VALUE!</v>
      </c>
    </row>
    <row r="339" spans="1:5" x14ac:dyDescent="0.2">
      <c r="A339" s="28">
        <v>338</v>
      </c>
      <c r="B339" s="28" t="e">
        <f>interpola(#REF!,CURVA!$B$6:$B$20,CURVA!$G$6:$G$20)</f>
        <v>#VALUE!</v>
      </c>
      <c r="C339" s="29" t="e">
        <f t="shared" si="5"/>
        <v>#VALUE!</v>
      </c>
      <c r="E339" t="e">
        <f>cubic_spline(CURVA!$B$6:$B$20,CURVA!$G$6:$G$20,#REF!)</f>
        <v>#VALUE!</v>
      </c>
    </row>
    <row r="340" spans="1:5" x14ac:dyDescent="0.2">
      <c r="A340" s="28">
        <v>339</v>
      </c>
      <c r="B340" s="28" t="e">
        <f>interpola(#REF!,CURVA!$B$6:$B$20,CURVA!$G$6:$G$20)</f>
        <v>#VALUE!</v>
      </c>
      <c r="C340" s="29" t="e">
        <f t="shared" si="5"/>
        <v>#VALUE!</v>
      </c>
      <c r="E340" t="e">
        <f>cubic_spline(CURVA!$B$6:$B$20,CURVA!$G$6:$G$20,#REF!)</f>
        <v>#VALUE!</v>
      </c>
    </row>
    <row r="341" spans="1:5" x14ac:dyDescent="0.2">
      <c r="A341" s="28">
        <v>340</v>
      </c>
      <c r="B341" s="28" t="e">
        <f>interpola(#REF!,CURVA!$B$6:$B$20,CURVA!$G$6:$G$20)</f>
        <v>#VALUE!</v>
      </c>
      <c r="C341" s="29" t="e">
        <f t="shared" si="5"/>
        <v>#VALUE!</v>
      </c>
      <c r="E341" t="e">
        <f>cubic_spline(CURVA!$B$6:$B$20,CURVA!$G$6:$G$20,#REF!)</f>
        <v>#VALUE!</v>
      </c>
    </row>
    <row r="342" spans="1:5" x14ac:dyDescent="0.2">
      <c r="A342" s="28">
        <v>341</v>
      </c>
      <c r="B342" s="28" t="e">
        <f>interpola(#REF!,CURVA!$B$6:$B$20,CURVA!$G$6:$G$20)</f>
        <v>#VALUE!</v>
      </c>
      <c r="C342" s="29" t="e">
        <f t="shared" si="5"/>
        <v>#VALUE!</v>
      </c>
      <c r="E342" t="e">
        <f>cubic_spline(CURVA!$B$6:$B$20,CURVA!$G$6:$G$20,#REF!)</f>
        <v>#VALUE!</v>
      </c>
    </row>
    <row r="343" spans="1:5" x14ac:dyDescent="0.2">
      <c r="A343" s="28">
        <v>342</v>
      </c>
      <c r="B343" s="28" t="e">
        <f>interpola(#REF!,CURVA!$B$6:$B$20,CURVA!$G$6:$G$20)</f>
        <v>#VALUE!</v>
      </c>
      <c r="C343" s="29" t="e">
        <f t="shared" si="5"/>
        <v>#VALUE!</v>
      </c>
      <c r="E343" t="e">
        <f>cubic_spline(CURVA!$B$6:$B$20,CURVA!$G$6:$G$20,#REF!)</f>
        <v>#VALUE!</v>
      </c>
    </row>
    <row r="344" spans="1:5" x14ac:dyDescent="0.2">
      <c r="A344" s="28">
        <v>343</v>
      </c>
      <c r="B344" s="28" t="e">
        <f>interpola(#REF!,CURVA!$B$6:$B$20,CURVA!$G$6:$G$20)</f>
        <v>#VALUE!</v>
      </c>
      <c r="C344" s="29" t="e">
        <f t="shared" si="5"/>
        <v>#VALUE!</v>
      </c>
      <c r="E344" t="e">
        <f>cubic_spline(CURVA!$B$6:$B$20,CURVA!$G$6:$G$20,#REF!)</f>
        <v>#VALUE!</v>
      </c>
    </row>
    <row r="345" spans="1:5" x14ac:dyDescent="0.2">
      <c r="A345" s="28">
        <v>344</v>
      </c>
      <c r="B345" s="28" t="e">
        <f>interpola(#REF!,CURVA!$B$6:$B$20,CURVA!$G$6:$G$20)</f>
        <v>#VALUE!</v>
      </c>
      <c r="C345" s="29" t="e">
        <f t="shared" si="5"/>
        <v>#VALUE!</v>
      </c>
      <c r="E345" t="e">
        <f>cubic_spline(CURVA!$B$6:$B$20,CURVA!$G$6:$G$20,#REF!)</f>
        <v>#VALUE!</v>
      </c>
    </row>
    <row r="346" spans="1:5" x14ac:dyDescent="0.2">
      <c r="A346" s="28">
        <v>345</v>
      </c>
      <c r="B346" s="28" t="e">
        <f>interpola(#REF!,CURVA!$B$6:$B$20,CURVA!$G$6:$G$20)</f>
        <v>#VALUE!</v>
      </c>
      <c r="C346" s="29" t="e">
        <f t="shared" si="5"/>
        <v>#VALUE!</v>
      </c>
      <c r="E346" t="e">
        <f>cubic_spline(CURVA!$B$6:$B$20,CURVA!$G$6:$G$20,#REF!)</f>
        <v>#VALUE!</v>
      </c>
    </row>
    <row r="347" spans="1:5" x14ac:dyDescent="0.2">
      <c r="A347" s="28">
        <v>346</v>
      </c>
      <c r="B347" s="28" t="e">
        <f>interpola(#REF!,CURVA!$B$6:$B$20,CURVA!$G$6:$G$20)</f>
        <v>#VALUE!</v>
      </c>
      <c r="C347" s="29" t="e">
        <f t="shared" si="5"/>
        <v>#VALUE!</v>
      </c>
      <c r="E347" t="e">
        <f>cubic_spline(CURVA!$B$6:$B$20,CURVA!$G$6:$G$20,#REF!)</f>
        <v>#VALUE!</v>
      </c>
    </row>
    <row r="348" spans="1:5" x14ac:dyDescent="0.2">
      <c r="A348" s="28">
        <v>347</v>
      </c>
      <c r="B348" s="28" t="e">
        <f>interpola(#REF!,CURVA!$B$6:$B$20,CURVA!$G$6:$G$20)</f>
        <v>#VALUE!</v>
      </c>
      <c r="C348" s="29" t="e">
        <f t="shared" si="5"/>
        <v>#VALUE!</v>
      </c>
      <c r="E348" t="e">
        <f>cubic_spline(CURVA!$B$6:$B$20,CURVA!$G$6:$G$20,#REF!)</f>
        <v>#VALUE!</v>
      </c>
    </row>
    <row r="349" spans="1:5" x14ac:dyDescent="0.2">
      <c r="A349" s="28">
        <v>348</v>
      </c>
      <c r="B349" s="28" t="e">
        <f>interpola(#REF!,CURVA!$B$6:$B$20,CURVA!$G$6:$G$20)</f>
        <v>#VALUE!</v>
      </c>
      <c r="C349" s="29" t="e">
        <f t="shared" si="5"/>
        <v>#VALUE!</v>
      </c>
      <c r="E349" t="e">
        <f>cubic_spline(CURVA!$B$6:$B$20,CURVA!$G$6:$G$20,#REF!)</f>
        <v>#VALUE!</v>
      </c>
    </row>
    <row r="350" spans="1:5" x14ac:dyDescent="0.2">
      <c r="A350" s="28">
        <v>349</v>
      </c>
      <c r="B350" s="28" t="e">
        <f>interpola(#REF!,CURVA!$B$6:$B$20,CURVA!$G$6:$G$20)</f>
        <v>#VALUE!</v>
      </c>
      <c r="C350" s="29" t="e">
        <f t="shared" si="5"/>
        <v>#VALUE!</v>
      </c>
      <c r="E350" t="e">
        <f>cubic_spline(CURVA!$B$6:$B$20,CURVA!$G$6:$G$20,#REF!)</f>
        <v>#VALUE!</v>
      </c>
    </row>
    <row r="351" spans="1:5" x14ac:dyDescent="0.2">
      <c r="A351" s="28">
        <v>350</v>
      </c>
      <c r="B351" s="28" t="e">
        <f>interpola(#REF!,CURVA!$B$6:$B$20,CURVA!$G$6:$G$20)</f>
        <v>#VALUE!</v>
      </c>
      <c r="C351" s="29" t="e">
        <f t="shared" si="5"/>
        <v>#VALUE!</v>
      </c>
      <c r="E351" t="e">
        <f>cubic_spline(CURVA!$B$6:$B$20,CURVA!$G$6:$G$20,#REF!)</f>
        <v>#VALUE!</v>
      </c>
    </row>
    <row r="352" spans="1:5" x14ac:dyDescent="0.2">
      <c r="A352" s="28">
        <v>351</v>
      </c>
      <c r="B352" s="28" t="e">
        <f>interpola(#REF!,CURVA!$B$6:$B$20,CURVA!$G$6:$G$20)</f>
        <v>#VALUE!</v>
      </c>
      <c r="C352" s="29" t="e">
        <f t="shared" si="5"/>
        <v>#VALUE!</v>
      </c>
      <c r="E352" t="e">
        <f>cubic_spline(CURVA!$B$6:$B$20,CURVA!$G$6:$G$20,#REF!)</f>
        <v>#VALUE!</v>
      </c>
    </row>
    <row r="353" spans="1:5" x14ac:dyDescent="0.2">
      <c r="A353" s="28">
        <v>352</v>
      </c>
      <c r="B353" s="28" t="e">
        <f>interpola(#REF!,CURVA!$B$6:$B$20,CURVA!$G$6:$G$20)</f>
        <v>#VALUE!</v>
      </c>
      <c r="C353" s="29" t="e">
        <f t="shared" si="5"/>
        <v>#VALUE!</v>
      </c>
      <c r="E353" t="e">
        <f>cubic_spline(CURVA!$B$6:$B$20,CURVA!$G$6:$G$20,#REF!)</f>
        <v>#VALUE!</v>
      </c>
    </row>
    <row r="354" spans="1:5" x14ac:dyDescent="0.2">
      <c r="A354" s="28">
        <v>353</v>
      </c>
      <c r="B354" s="28" t="e">
        <f>interpola(#REF!,CURVA!$B$6:$B$20,CURVA!$G$6:$G$20)</f>
        <v>#VALUE!</v>
      </c>
      <c r="C354" s="29" t="e">
        <f t="shared" si="5"/>
        <v>#VALUE!</v>
      </c>
      <c r="E354" t="e">
        <f>cubic_spline(CURVA!$B$6:$B$20,CURVA!$G$6:$G$20,#REF!)</f>
        <v>#VALUE!</v>
      </c>
    </row>
    <row r="355" spans="1:5" x14ac:dyDescent="0.2">
      <c r="A355" s="28">
        <v>354</v>
      </c>
      <c r="B355" s="28" t="e">
        <f>interpola(#REF!,CURVA!$B$6:$B$20,CURVA!$G$6:$G$20)</f>
        <v>#VALUE!</v>
      </c>
      <c r="C355" s="29" t="e">
        <f t="shared" si="5"/>
        <v>#VALUE!</v>
      </c>
      <c r="E355" t="e">
        <f>cubic_spline(CURVA!$B$6:$B$20,CURVA!$G$6:$G$20,#REF!)</f>
        <v>#VALUE!</v>
      </c>
    </row>
    <row r="356" spans="1:5" x14ac:dyDescent="0.2">
      <c r="A356" s="28">
        <v>355</v>
      </c>
      <c r="B356" s="28" t="e">
        <f>interpola(#REF!,CURVA!$B$6:$B$20,CURVA!$G$6:$G$20)</f>
        <v>#VALUE!</v>
      </c>
      <c r="C356" s="29" t="e">
        <f t="shared" si="5"/>
        <v>#VALUE!</v>
      </c>
      <c r="E356" t="e">
        <f>cubic_spline(CURVA!$B$6:$B$20,CURVA!$G$6:$G$20,#REF!)</f>
        <v>#VALUE!</v>
      </c>
    </row>
    <row r="357" spans="1:5" x14ac:dyDescent="0.2">
      <c r="A357" s="28">
        <v>356</v>
      </c>
      <c r="B357" s="28" t="e">
        <f>interpola(#REF!,CURVA!$B$6:$B$20,CURVA!$G$6:$G$20)</f>
        <v>#VALUE!</v>
      </c>
      <c r="C357" s="29" t="e">
        <f t="shared" si="5"/>
        <v>#VALUE!</v>
      </c>
      <c r="E357" t="e">
        <f>cubic_spline(CURVA!$B$6:$B$20,CURVA!$G$6:$G$20,#REF!)</f>
        <v>#VALUE!</v>
      </c>
    </row>
    <row r="358" spans="1:5" x14ac:dyDescent="0.2">
      <c r="A358" s="28">
        <v>357</v>
      </c>
      <c r="B358" s="28" t="e">
        <f>interpola(#REF!,CURVA!$B$6:$B$20,CURVA!$G$6:$G$20)</f>
        <v>#VALUE!</v>
      </c>
      <c r="C358" s="29" t="e">
        <f t="shared" si="5"/>
        <v>#VALUE!</v>
      </c>
      <c r="E358" t="e">
        <f>cubic_spline(CURVA!$B$6:$B$20,CURVA!$G$6:$G$20,#REF!)</f>
        <v>#VALUE!</v>
      </c>
    </row>
    <row r="359" spans="1:5" x14ac:dyDescent="0.2">
      <c r="A359" s="28">
        <v>358</v>
      </c>
      <c r="B359" s="28" t="e">
        <f>interpola(#REF!,CURVA!$B$6:$B$20,CURVA!$G$6:$G$20)</f>
        <v>#VALUE!</v>
      </c>
      <c r="C359" s="29" t="e">
        <f t="shared" si="5"/>
        <v>#VALUE!</v>
      </c>
      <c r="E359" t="e">
        <f>cubic_spline(CURVA!$B$6:$B$20,CURVA!$G$6:$G$20,#REF!)</f>
        <v>#VALUE!</v>
      </c>
    </row>
    <row r="360" spans="1:5" x14ac:dyDescent="0.2">
      <c r="A360" s="28">
        <v>359</v>
      </c>
      <c r="B360" s="28" t="e">
        <f>interpola(#REF!,CURVA!$B$6:$B$20,CURVA!$G$6:$G$20)</f>
        <v>#VALUE!</v>
      </c>
      <c r="C360" s="29" t="e">
        <f t="shared" si="5"/>
        <v>#VALUE!</v>
      </c>
      <c r="E360" t="e">
        <f>cubic_spline(CURVA!$B$6:$B$20,CURVA!$G$6:$G$20,#REF!)</f>
        <v>#VALUE!</v>
      </c>
    </row>
    <row r="361" spans="1:5" x14ac:dyDescent="0.2">
      <c r="A361" s="28">
        <v>360</v>
      </c>
      <c r="B361" s="28" t="e">
        <f>interpola(#REF!,CURVA!$B$6:$B$20,CURVA!$G$6:$G$20)</f>
        <v>#VALUE!</v>
      </c>
      <c r="C361" s="29" t="e">
        <f t="shared" si="5"/>
        <v>#VALUE!</v>
      </c>
      <c r="E361" t="e">
        <f>cubic_spline(CURVA!$B$6:$B$20,CURVA!$G$6:$G$20,#REF!)</f>
        <v>#VALUE!</v>
      </c>
    </row>
    <row r="362" spans="1:5" x14ac:dyDescent="0.2">
      <c r="A362" s="28">
        <v>361</v>
      </c>
      <c r="B362" s="28" t="e">
        <f>interpola(#REF!,CURVA!$B$6:$B$20,CURVA!$G$6:$G$20)</f>
        <v>#VALUE!</v>
      </c>
      <c r="C362" s="29" t="e">
        <f t="shared" si="5"/>
        <v>#VALUE!</v>
      </c>
      <c r="E362" t="e">
        <f>cubic_spline(CURVA!$B$6:$B$20,CURVA!$G$6:$G$20,#REF!)</f>
        <v>#VALUE!</v>
      </c>
    </row>
    <row r="363" spans="1:5" x14ac:dyDescent="0.2">
      <c r="A363" s="28">
        <v>362</v>
      </c>
      <c r="B363" s="28" t="e">
        <f>interpola(#REF!,CURVA!$B$6:$B$20,CURVA!$G$6:$G$20)</f>
        <v>#VALUE!</v>
      </c>
      <c r="C363" s="29" t="e">
        <f t="shared" si="5"/>
        <v>#VALUE!</v>
      </c>
      <c r="E363" t="e">
        <f>cubic_spline(CURVA!$B$6:$B$20,CURVA!$G$6:$G$20,#REF!)</f>
        <v>#VALUE!</v>
      </c>
    </row>
    <row r="364" spans="1:5" x14ac:dyDescent="0.2">
      <c r="A364" s="28">
        <v>363</v>
      </c>
      <c r="B364" s="28" t="e">
        <f>interpola(#REF!,CURVA!$B$6:$B$20,CURVA!$G$6:$G$20)</f>
        <v>#VALUE!</v>
      </c>
      <c r="C364" s="29" t="e">
        <f t="shared" si="5"/>
        <v>#VALUE!</v>
      </c>
      <c r="E364" t="e">
        <f>cubic_spline(CURVA!$B$6:$B$20,CURVA!$G$6:$G$20,#REF!)</f>
        <v>#VALUE!</v>
      </c>
    </row>
    <row r="365" spans="1:5" x14ac:dyDescent="0.2">
      <c r="A365" s="28">
        <v>364</v>
      </c>
      <c r="B365" s="28" t="e">
        <f>interpola(#REF!,CURVA!$B$6:$B$20,CURVA!$G$6:$G$20)</f>
        <v>#VALUE!</v>
      </c>
      <c r="C365" s="29" t="e">
        <f t="shared" si="5"/>
        <v>#VALUE!</v>
      </c>
      <c r="E365" t="e">
        <f>cubic_spline(CURVA!$B$6:$B$20,CURVA!$G$6:$G$20,#REF!)</f>
        <v>#VALUE!</v>
      </c>
    </row>
    <row r="366" spans="1:5" x14ac:dyDescent="0.2">
      <c r="A366" s="28">
        <v>365</v>
      </c>
      <c r="B366" s="28" t="e">
        <f>interpola(#REF!,CURVA!$B$6:$B$20,CURVA!$G$6:$G$20)</f>
        <v>#VALUE!</v>
      </c>
      <c r="C366" s="29" t="e">
        <f t="shared" si="5"/>
        <v>#VALUE!</v>
      </c>
      <c r="E366" t="e">
        <f>cubic_spline(CURVA!$B$6:$B$20,CURVA!$G$6:$G$20,#REF!)</f>
        <v>#VALUE!</v>
      </c>
    </row>
    <row r="367" spans="1:5" x14ac:dyDescent="0.2">
      <c r="A367" s="28">
        <v>366</v>
      </c>
      <c r="B367" s="28" t="e">
        <f>interpola(#REF!,CURVA!$B$6:$B$20,CURVA!$G$6:$G$20)</f>
        <v>#VALUE!</v>
      </c>
      <c r="C367" s="29" t="e">
        <f t="shared" si="5"/>
        <v>#VALUE!</v>
      </c>
      <c r="E367" t="e">
        <f>cubic_spline(CURVA!$B$6:$B$20,CURVA!$G$6:$G$20,#REF!)</f>
        <v>#VALUE!</v>
      </c>
    </row>
    <row r="368" spans="1:5" x14ac:dyDescent="0.2">
      <c r="A368" s="28">
        <v>367</v>
      </c>
      <c r="B368" s="28" t="e">
        <f>interpola(#REF!,CURVA!$B$6:$B$20,CURVA!$G$6:$G$20)</f>
        <v>#VALUE!</v>
      </c>
      <c r="C368" s="29" t="e">
        <f t="shared" si="5"/>
        <v>#VALUE!</v>
      </c>
      <c r="E368" t="e">
        <f>cubic_spline(CURVA!$B$6:$B$20,CURVA!$G$6:$G$20,#REF!)</f>
        <v>#VALUE!</v>
      </c>
    </row>
    <row r="369" spans="1:5" x14ac:dyDescent="0.2">
      <c r="A369" s="28">
        <v>368</v>
      </c>
      <c r="B369" s="28" t="e">
        <f>interpola(#REF!,CURVA!$B$6:$B$20,CURVA!$G$6:$G$20)</f>
        <v>#VALUE!</v>
      </c>
      <c r="C369" s="29" t="e">
        <f t="shared" si="5"/>
        <v>#VALUE!</v>
      </c>
      <c r="E369" t="e">
        <f>cubic_spline(CURVA!$B$6:$B$20,CURVA!$G$6:$G$20,#REF!)</f>
        <v>#VALUE!</v>
      </c>
    </row>
    <row r="370" spans="1:5" x14ac:dyDescent="0.2">
      <c r="A370" s="28">
        <v>369</v>
      </c>
      <c r="B370" s="28" t="e">
        <f>interpola(#REF!,CURVA!$B$6:$B$20,CURVA!$G$6:$G$20)</f>
        <v>#VALUE!</v>
      </c>
      <c r="C370" s="29" t="e">
        <f t="shared" si="5"/>
        <v>#VALUE!</v>
      </c>
      <c r="E370" t="e">
        <f>cubic_spline(CURVA!$B$6:$B$20,CURVA!$G$6:$G$20,#REF!)</f>
        <v>#VALUE!</v>
      </c>
    </row>
    <row r="371" spans="1:5" x14ac:dyDescent="0.2">
      <c r="A371" s="28">
        <v>370</v>
      </c>
      <c r="B371" s="28" t="e">
        <f>interpola(#REF!,CURVA!$B$6:$B$20,CURVA!$G$6:$G$20)</f>
        <v>#VALUE!</v>
      </c>
      <c r="C371" s="29" t="e">
        <f t="shared" si="5"/>
        <v>#VALUE!</v>
      </c>
      <c r="E371" t="e">
        <f>cubic_spline(CURVA!$B$6:$B$20,CURVA!$G$6:$G$20,#REF!)</f>
        <v>#VALUE!</v>
      </c>
    </row>
    <row r="372" spans="1:5" x14ac:dyDescent="0.2">
      <c r="A372" s="28">
        <v>371</v>
      </c>
      <c r="B372" s="28" t="e">
        <f>interpola(#REF!,CURVA!$B$6:$B$20,CURVA!$G$6:$G$20)</f>
        <v>#VALUE!</v>
      </c>
      <c r="C372" s="29" t="e">
        <f t="shared" si="5"/>
        <v>#VALUE!</v>
      </c>
      <c r="E372" t="e">
        <f>cubic_spline(CURVA!$B$6:$B$20,CURVA!$G$6:$G$20,#REF!)</f>
        <v>#VALUE!</v>
      </c>
    </row>
    <row r="373" spans="1:5" x14ac:dyDescent="0.2">
      <c r="A373" s="28">
        <v>372</v>
      </c>
      <c r="B373" s="28" t="e">
        <f>interpola(#REF!,CURVA!$B$6:$B$20,CURVA!$G$6:$G$20)</f>
        <v>#VALUE!</v>
      </c>
      <c r="C373" s="29" t="e">
        <f t="shared" si="5"/>
        <v>#VALUE!</v>
      </c>
      <c r="E373" t="e">
        <f>cubic_spline(CURVA!$B$6:$B$20,CURVA!$G$6:$G$20,#REF!)</f>
        <v>#VALUE!</v>
      </c>
    </row>
    <row r="374" spans="1:5" x14ac:dyDescent="0.2">
      <c r="A374" s="28">
        <v>373</v>
      </c>
      <c r="B374" s="28" t="e">
        <f>interpola(#REF!,CURVA!$B$6:$B$20,CURVA!$G$6:$G$20)</f>
        <v>#VALUE!</v>
      </c>
      <c r="C374" s="29" t="e">
        <f t="shared" si="5"/>
        <v>#VALUE!</v>
      </c>
      <c r="E374" t="e">
        <f>cubic_spline(CURVA!$B$6:$B$20,CURVA!$G$6:$G$20,#REF!)</f>
        <v>#VALUE!</v>
      </c>
    </row>
    <row r="375" spans="1:5" x14ac:dyDescent="0.2">
      <c r="A375" s="28">
        <v>374</v>
      </c>
      <c r="B375" s="28" t="e">
        <f>interpola(#REF!,CURVA!$B$6:$B$20,CURVA!$G$6:$G$20)</f>
        <v>#VALUE!</v>
      </c>
      <c r="C375" s="29" t="e">
        <f t="shared" si="5"/>
        <v>#VALUE!</v>
      </c>
      <c r="E375" t="e">
        <f>cubic_spline(CURVA!$B$6:$B$20,CURVA!$G$6:$G$20,#REF!)</f>
        <v>#VALUE!</v>
      </c>
    </row>
    <row r="376" spans="1:5" x14ac:dyDescent="0.2">
      <c r="A376" s="28">
        <v>375</v>
      </c>
      <c r="B376" s="28" t="e">
        <f>interpola(#REF!,CURVA!$B$6:$B$20,CURVA!$G$6:$G$20)</f>
        <v>#VALUE!</v>
      </c>
      <c r="C376" s="29" t="e">
        <f t="shared" si="5"/>
        <v>#VALUE!</v>
      </c>
      <c r="E376" t="e">
        <f>cubic_spline(CURVA!$B$6:$B$20,CURVA!$G$6:$G$20,#REF!)</f>
        <v>#VALUE!</v>
      </c>
    </row>
    <row r="377" spans="1:5" x14ac:dyDescent="0.2">
      <c r="A377" s="28">
        <v>376</v>
      </c>
      <c r="B377" s="28" t="e">
        <f>interpola(#REF!,CURVA!$B$6:$B$20,CURVA!$G$6:$G$20)</f>
        <v>#VALUE!</v>
      </c>
      <c r="C377" s="29" t="e">
        <f t="shared" si="5"/>
        <v>#VALUE!</v>
      </c>
      <c r="E377" t="e">
        <f>cubic_spline(CURVA!$B$6:$B$20,CURVA!$G$6:$G$20,#REF!)</f>
        <v>#VALUE!</v>
      </c>
    </row>
    <row r="378" spans="1:5" x14ac:dyDescent="0.2">
      <c r="A378" s="28">
        <v>377</v>
      </c>
      <c r="B378" s="28" t="e">
        <f>interpola(#REF!,CURVA!$B$6:$B$20,CURVA!$G$6:$G$20)</f>
        <v>#VALUE!</v>
      </c>
      <c r="C378" s="29" t="e">
        <f t="shared" si="5"/>
        <v>#VALUE!</v>
      </c>
      <c r="E378" t="e">
        <f>cubic_spline(CURVA!$B$6:$B$20,CURVA!$G$6:$G$20,#REF!)</f>
        <v>#VALUE!</v>
      </c>
    </row>
    <row r="379" spans="1:5" x14ac:dyDescent="0.2">
      <c r="A379" s="28">
        <v>378</v>
      </c>
      <c r="B379" s="28" t="e">
        <f>interpola(#REF!,CURVA!$B$6:$B$20,CURVA!$G$6:$G$20)</f>
        <v>#VALUE!</v>
      </c>
      <c r="C379" s="29" t="e">
        <f t="shared" si="5"/>
        <v>#VALUE!</v>
      </c>
      <c r="E379" t="e">
        <f>cubic_spline(CURVA!$B$6:$B$20,CURVA!$G$6:$G$20,#REF!)</f>
        <v>#VALUE!</v>
      </c>
    </row>
    <row r="380" spans="1:5" x14ac:dyDescent="0.2">
      <c r="A380" s="28">
        <v>379</v>
      </c>
      <c r="B380" s="28" t="e">
        <f>interpola(#REF!,CURVA!$B$6:$B$20,CURVA!$G$6:$G$20)</f>
        <v>#VALUE!</v>
      </c>
      <c r="C380" s="29" t="e">
        <f t="shared" si="5"/>
        <v>#VALUE!</v>
      </c>
      <c r="E380" t="e">
        <f>cubic_spline(CURVA!$B$6:$B$20,CURVA!$G$6:$G$20,#REF!)</f>
        <v>#VALUE!</v>
      </c>
    </row>
    <row r="381" spans="1:5" x14ac:dyDescent="0.2">
      <c r="A381" s="28">
        <v>380</v>
      </c>
      <c r="B381" s="28" t="e">
        <f>interpola(#REF!,CURVA!$B$6:$B$20,CURVA!$G$6:$G$20)</f>
        <v>#VALUE!</v>
      </c>
      <c r="C381" s="29" t="e">
        <f t="shared" si="5"/>
        <v>#VALUE!</v>
      </c>
      <c r="E381" t="e">
        <f>cubic_spline(CURVA!$B$6:$B$20,CURVA!$G$6:$G$20,#REF!)</f>
        <v>#VALUE!</v>
      </c>
    </row>
    <row r="382" spans="1:5" x14ac:dyDescent="0.2">
      <c r="A382" s="28">
        <v>381</v>
      </c>
      <c r="B382" s="28" t="e">
        <f>interpola(#REF!,CURVA!$B$6:$B$20,CURVA!$G$6:$G$20)</f>
        <v>#VALUE!</v>
      </c>
      <c r="C382" s="29" t="e">
        <f t="shared" si="5"/>
        <v>#VALUE!</v>
      </c>
      <c r="E382" t="e">
        <f>cubic_spline(CURVA!$B$6:$B$20,CURVA!$G$6:$G$20,#REF!)</f>
        <v>#VALUE!</v>
      </c>
    </row>
    <row r="383" spans="1:5" x14ac:dyDescent="0.2">
      <c r="A383" s="28">
        <v>382</v>
      </c>
      <c r="B383" s="28" t="e">
        <f>interpola(#REF!,CURVA!$B$6:$B$20,CURVA!$G$6:$G$20)</f>
        <v>#VALUE!</v>
      </c>
      <c r="C383" s="29" t="e">
        <f t="shared" si="5"/>
        <v>#VALUE!</v>
      </c>
      <c r="E383" t="e">
        <f>cubic_spline(CURVA!$B$6:$B$20,CURVA!$G$6:$G$20,#REF!)</f>
        <v>#VALUE!</v>
      </c>
    </row>
    <row r="384" spans="1:5" x14ac:dyDescent="0.2">
      <c r="A384" s="28">
        <v>383</v>
      </c>
      <c r="B384" s="28" t="e">
        <f>interpola(#REF!,CURVA!$B$6:$B$20,CURVA!$G$6:$G$20)</f>
        <v>#VALUE!</v>
      </c>
      <c r="C384" s="29" t="e">
        <f t="shared" si="5"/>
        <v>#VALUE!</v>
      </c>
      <c r="E384" t="e">
        <f>cubic_spline(CURVA!$B$6:$B$20,CURVA!$G$6:$G$20,#REF!)</f>
        <v>#VALUE!</v>
      </c>
    </row>
    <row r="385" spans="1:5" x14ac:dyDescent="0.2">
      <c r="A385" s="28">
        <v>384</v>
      </c>
      <c r="B385" s="28" t="e">
        <f>interpola(#REF!,CURVA!$B$6:$B$20,CURVA!$G$6:$G$20)</f>
        <v>#VALUE!</v>
      </c>
      <c r="C385" s="29" t="e">
        <f t="shared" si="5"/>
        <v>#VALUE!</v>
      </c>
      <c r="E385" t="e">
        <f>cubic_spline(CURVA!$B$6:$B$20,CURVA!$G$6:$G$20,#REF!)</f>
        <v>#VALUE!</v>
      </c>
    </row>
    <row r="386" spans="1:5" x14ac:dyDescent="0.2">
      <c r="A386" s="28">
        <v>385</v>
      </c>
      <c r="B386" s="28" t="e">
        <f>interpola(#REF!,CURVA!$B$6:$B$20,CURVA!$G$6:$G$20)</f>
        <v>#VALUE!</v>
      </c>
      <c r="C386" s="29" t="e">
        <f t="shared" ref="C386:C449" si="6">(EXP(B386*A386/360)-1)*360/A386</f>
        <v>#VALUE!</v>
      </c>
      <c r="E386" t="e">
        <f>cubic_spline(CURVA!$B$6:$B$20,CURVA!$G$6:$G$20,#REF!)</f>
        <v>#VALUE!</v>
      </c>
    </row>
    <row r="387" spans="1:5" x14ac:dyDescent="0.2">
      <c r="A387" s="28">
        <v>386</v>
      </c>
      <c r="B387" s="28" t="e">
        <f>interpola(#REF!,CURVA!$B$6:$B$20,CURVA!$G$6:$G$20)</f>
        <v>#VALUE!</v>
      </c>
      <c r="C387" s="29" t="e">
        <f t="shared" si="6"/>
        <v>#VALUE!</v>
      </c>
      <c r="E387" t="e">
        <f>cubic_spline(CURVA!$B$6:$B$20,CURVA!$G$6:$G$20,#REF!)</f>
        <v>#VALUE!</v>
      </c>
    </row>
    <row r="388" spans="1:5" x14ac:dyDescent="0.2">
      <c r="A388" s="28">
        <v>387</v>
      </c>
      <c r="B388" s="28" t="e">
        <f>interpola(#REF!,CURVA!$B$6:$B$20,CURVA!$G$6:$G$20)</f>
        <v>#VALUE!</v>
      </c>
      <c r="C388" s="29" t="e">
        <f t="shared" si="6"/>
        <v>#VALUE!</v>
      </c>
      <c r="E388" t="e">
        <f>cubic_spline(CURVA!$B$6:$B$20,CURVA!$G$6:$G$20,#REF!)</f>
        <v>#VALUE!</v>
      </c>
    </row>
    <row r="389" spans="1:5" x14ac:dyDescent="0.2">
      <c r="A389" s="28">
        <v>388</v>
      </c>
      <c r="B389" s="28" t="e">
        <f>interpola(#REF!,CURVA!$B$6:$B$20,CURVA!$G$6:$G$20)</f>
        <v>#VALUE!</v>
      </c>
      <c r="C389" s="29" t="e">
        <f t="shared" si="6"/>
        <v>#VALUE!</v>
      </c>
      <c r="E389" t="e">
        <f>cubic_spline(CURVA!$B$6:$B$20,CURVA!$G$6:$G$20,#REF!)</f>
        <v>#VALUE!</v>
      </c>
    </row>
    <row r="390" spans="1:5" x14ac:dyDescent="0.2">
      <c r="A390" s="28">
        <v>389</v>
      </c>
      <c r="B390" s="28" t="e">
        <f>interpola(#REF!,CURVA!$B$6:$B$20,CURVA!$G$6:$G$20)</f>
        <v>#VALUE!</v>
      </c>
      <c r="C390" s="29" t="e">
        <f t="shared" si="6"/>
        <v>#VALUE!</v>
      </c>
      <c r="E390" t="e">
        <f>cubic_spline(CURVA!$B$6:$B$20,CURVA!$G$6:$G$20,#REF!)</f>
        <v>#VALUE!</v>
      </c>
    </row>
    <row r="391" spans="1:5" x14ac:dyDescent="0.2">
      <c r="A391" s="28">
        <v>390</v>
      </c>
      <c r="B391" s="28" t="e">
        <f>interpola(#REF!,CURVA!$B$6:$B$20,CURVA!$G$6:$G$20)</f>
        <v>#VALUE!</v>
      </c>
      <c r="C391" s="29" t="e">
        <f t="shared" si="6"/>
        <v>#VALUE!</v>
      </c>
      <c r="E391" t="e">
        <f>cubic_spline(CURVA!$B$6:$B$20,CURVA!$G$6:$G$20,#REF!)</f>
        <v>#VALUE!</v>
      </c>
    </row>
    <row r="392" spans="1:5" x14ac:dyDescent="0.2">
      <c r="A392" s="28">
        <v>391</v>
      </c>
      <c r="B392" s="28" t="e">
        <f>interpola(#REF!,CURVA!$B$6:$B$20,CURVA!$G$6:$G$20)</f>
        <v>#VALUE!</v>
      </c>
      <c r="C392" s="29" t="e">
        <f t="shared" si="6"/>
        <v>#VALUE!</v>
      </c>
      <c r="E392" t="e">
        <f>cubic_spline(CURVA!$B$6:$B$20,CURVA!$G$6:$G$20,#REF!)</f>
        <v>#VALUE!</v>
      </c>
    </row>
    <row r="393" spans="1:5" x14ac:dyDescent="0.2">
      <c r="A393" s="28">
        <v>392</v>
      </c>
      <c r="B393" s="28" t="e">
        <f>interpola(#REF!,CURVA!$B$6:$B$20,CURVA!$G$6:$G$20)</f>
        <v>#VALUE!</v>
      </c>
      <c r="C393" s="29" t="e">
        <f t="shared" si="6"/>
        <v>#VALUE!</v>
      </c>
      <c r="E393" t="e">
        <f>cubic_spline(CURVA!$B$6:$B$20,CURVA!$G$6:$G$20,#REF!)</f>
        <v>#VALUE!</v>
      </c>
    </row>
    <row r="394" spans="1:5" x14ac:dyDescent="0.2">
      <c r="A394" s="28">
        <v>393</v>
      </c>
      <c r="B394" s="28" t="e">
        <f>interpola(#REF!,CURVA!$B$6:$B$20,CURVA!$G$6:$G$20)</f>
        <v>#VALUE!</v>
      </c>
      <c r="C394" s="29" t="e">
        <f t="shared" si="6"/>
        <v>#VALUE!</v>
      </c>
      <c r="E394" t="e">
        <f>cubic_spline(CURVA!$B$6:$B$20,CURVA!$G$6:$G$20,#REF!)</f>
        <v>#VALUE!</v>
      </c>
    </row>
    <row r="395" spans="1:5" x14ac:dyDescent="0.2">
      <c r="A395" s="28">
        <v>394</v>
      </c>
      <c r="B395" s="28" t="e">
        <f>interpola(#REF!,CURVA!$B$6:$B$20,CURVA!$G$6:$G$20)</f>
        <v>#VALUE!</v>
      </c>
      <c r="C395" s="29" t="e">
        <f t="shared" si="6"/>
        <v>#VALUE!</v>
      </c>
      <c r="E395" t="e">
        <f>cubic_spline(CURVA!$B$6:$B$20,CURVA!$G$6:$G$20,#REF!)</f>
        <v>#VALUE!</v>
      </c>
    </row>
    <row r="396" spans="1:5" x14ac:dyDescent="0.2">
      <c r="A396" s="28">
        <v>395</v>
      </c>
      <c r="B396" s="28" t="e">
        <f>interpola(#REF!,CURVA!$B$6:$B$20,CURVA!$G$6:$G$20)</f>
        <v>#VALUE!</v>
      </c>
      <c r="C396" s="29" t="e">
        <f t="shared" si="6"/>
        <v>#VALUE!</v>
      </c>
      <c r="E396" t="e">
        <f>cubic_spline(CURVA!$B$6:$B$20,CURVA!$G$6:$G$20,#REF!)</f>
        <v>#VALUE!</v>
      </c>
    </row>
    <row r="397" spans="1:5" x14ac:dyDescent="0.2">
      <c r="A397" s="28">
        <v>396</v>
      </c>
      <c r="B397" s="28" t="e">
        <f>interpola(#REF!,CURVA!$B$6:$B$20,CURVA!$G$6:$G$20)</f>
        <v>#VALUE!</v>
      </c>
      <c r="C397" s="29" t="e">
        <f t="shared" si="6"/>
        <v>#VALUE!</v>
      </c>
      <c r="E397" t="e">
        <f>cubic_spline(CURVA!$B$6:$B$20,CURVA!$G$6:$G$20,#REF!)</f>
        <v>#VALUE!</v>
      </c>
    </row>
    <row r="398" spans="1:5" x14ac:dyDescent="0.2">
      <c r="A398" s="28">
        <v>397</v>
      </c>
      <c r="B398" s="28" t="e">
        <f>interpola(#REF!,CURVA!$B$6:$B$20,CURVA!$G$6:$G$20)</f>
        <v>#VALUE!</v>
      </c>
      <c r="C398" s="29" t="e">
        <f t="shared" si="6"/>
        <v>#VALUE!</v>
      </c>
      <c r="E398" t="e">
        <f>cubic_spline(CURVA!$B$6:$B$20,CURVA!$G$6:$G$20,#REF!)</f>
        <v>#VALUE!</v>
      </c>
    </row>
    <row r="399" spans="1:5" x14ac:dyDescent="0.2">
      <c r="A399" s="28">
        <v>398</v>
      </c>
      <c r="B399" s="28" t="e">
        <f>interpola(#REF!,CURVA!$B$6:$B$20,CURVA!$G$6:$G$20)</f>
        <v>#VALUE!</v>
      </c>
      <c r="C399" s="29" t="e">
        <f t="shared" si="6"/>
        <v>#VALUE!</v>
      </c>
      <c r="E399" t="e">
        <f>cubic_spline(CURVA!$B$6:$B$20,CURVA!$G$6:$G$20,#REF!)</f>
        <v>#VALUE!</v>
      </c>
    </row>
    <row r="400" spans="1:5" x14ac:dyDescent="0.2">
      <c r="A400" s="28">
        <v>399</v>
      </c>
      <c r="B400" s="28" t="e">
        <f>interpola(#REF!,CURVA!$B$6:$B$20,CURVA!$G$6:$G$20)</f>
        <v>#VALUE!</v>
      </c>
      <c r="C400" s="29" t="e">
        <f t="shared" si="6"/>
        <v>#VALUE!</v>
      </c>
      <c r="E400" t="e">
        <f>cubic_spline(CURVA!$B$6:$B$20,CURVA!$G$6:$G$20,#REF!)</f>
        <v>#VALUE!</v>
      </c>
    </row>
    <row r="401" spans="1:5" x14ac:dyDescent="0.2">
      <c r="A401" s="28">
        <v>400</v>
      </c>
      <c r="B401" s="28" t="e">
        <f>interpola(#REF!,CURVA!$B$6:$B$20,CURVA!$G$6:$G$20)</f>
        <v>#VALUE!</v>
      </c>
      <c r="C401" s="29" t="e">
        <f t="shared" si="6"/>
        <v>#VALUE!</v>
      </c>
      <c r="E401" t="e">
        <f>cubic_spline(CURVA!$B$6:$B$20,CURVA!$G$6:$G$20,#REF!)</f>
        <v>#VALUE!</v>
      </c>
    </row>
    <row r="402" spans="1:5" x14ac:dyDescent="0.2">
      <c r="A402" s="28">
        <v>401</v>
      </c>
      <c r="B402" s="28" t="e">
        <f>interpola(#REF!,CURVA!$B$6:$B$20,CURVA!$G$6:$G$20)</f>
        <v>#VALUE!</v>
      </c>
      <c r="C402" s="29" t="e">
        <f t="shared" si="6"/>
        <v>#VALUE!</v>
      </c>
      <c r="E402" t="e">
        <f>cubic_spline(CURVA!$B$6:$B$20,CURVA!$G$6:$G$20,#REF!)</f>
        <v>#VALUE!</v>
      </c>
    </row>
    <row r="403" spans="1:5" x14ac:dyDescent="0.2">
      <c r="A403" s="28">
        <v>402</v>
      </c>
      <c r="B403" s="28" t="e">
        <f>interpola(#REF!,CURVA!$B$6:$B$20,CURVA!$G$6:$G$20)</f>
        <v>#VALUE!</v>
      </c>
      <c r="C403" s="29" t="e">
        <f t="shared" si="6"/>
        <v>#VALUE!</v>
      </c>
      <c r="E403" t="e">
        <f>cubic_spline(CURVA!$B$6:$B$20,CURVA!$G$6:$G$20,#REF!)</f>
        <v>#VALUE!</v>
      </c>
    </row>
    <row r="404" spans="1:5" x14ac:dyDescent="0.2">
      <c r="A404" s="28">
        <v>403</v>
      </c>
      <c r="B404" s="28" t="e">
        <f>interpola(#REF!,CURVA!$B$6:$B$20,CURVA!$G$6:$G$20)</f>
        <v>#VALUE!</v>
      </c>
      <c r="C404" s="29" t="e">
        <f t="shared" si="6"/>
        <v>#VALUE!</v>
      </c>
      <c r="E404" t="e">
        <f>cubic_spline(CURVA!$B$6:$B$20,CURVA!$G$6:$G$20,#REF!)</f>
        <v>#VALUE!</v>
      </c>
    </row>
    <row r="405" spans="1:5" x14ac:dyDescent="0.2">
      <c r="A405" s="28">
        <v>404</v>
      </c>
      <c r="B405" s="28" t="e">
        <f>interpola(#REF!,CURVA!$B$6:$B$20,CURVA!$G$6:$G$20)</f>
        <v>#VALUE!</v>
      </c>
      <c r="C405" s="29" t="e">
        <f t="shared" si="6"/>
        <v>#VALUE!</v>
      </c>
      <c r="E405" t="e">
        <f>cubic_spline(CURVA!$B$6:$B$20,CURVA!$G$6:$G$20,#REF!)</f>
        <v>#VALUE!</v>
      </c>
    </row>
    <row r="406" spans="1:5" x14ac:dyDescent="0.2">
      <c r="A406" s="28">
        <v>405</v>
      </c>
      <c r="B406" s="28" t="e">
        <f>interpola(#REF!,CURVA!$B$6:$B$20,CURVA!$G$6:$G$20)</f>
        <v>#VALUE!</v>
      </c>
      <c r="C406" s="29" t="e">
        <f t="shared" si="6"/>
        <v>#VALUE!</v>
      </c>
      <c r="E406" t="e">
        <f>cubic_spline(CURVA!$B$6:$B$20,CURVA!$G$6:$G$20,#REF!)</f>
        <v>#VALUE!</v>
      </c>
    </row>
    <row r="407" spans="1:5" x14ac:dyDescent="0.2">
      <c r="A407" s="28">
        <v>406</v>
      </c>
      <c r="B407" s="28" t="e">
        <f>interpola(#REF!,CURVA!$B$6:$B$20,CURVA!$G$6:$G$20)</f>
        <v>#VALUE!</v>
      </c>
      <c r="C407" s="29" t="e">
        <f t="shared" si="6"/>
        <v>#VALUE!</v>
      </c>
      <c r="E407" t="e">
        <f>cubic_spline(CURVA!$B$6:$B$20,CURVA!$G$6:$G$20,#REF!)</f>
        <v>#VALUE!</v>
      </c>
    </row>
    <row r="408" spans="1:5" x14ac:dyDescent="0.2">
      <c r="A408" s="28">
        <v>407</v>
      </c>
      <c r="B408" s="28" t="e">
        <f>interpola(#REF!,CURVA!$B$6:$B$20,CURVA!$G$6:$G$20)</f>
        <v>#VALUE!</v>
      </c>
      <c r="C408" s="29" t="e">
        <f t="shared" si="6"/>
        <v>#VALUE!</v>
      </c>
      <c r="E408" t="e">
        <f>cubic_spline(CURVA!$B$6:$B$20,CURVA!$G$6:$G$20,#REF!)</f>
        <v>#VALUE!</v>
      </c>
    </row>
    <row r="409" spans="1:5" x14ac:dyDescent="0.2">
      <c r="A409" s="28">
        <v>408</v>
      </c>
      <c r="B409" s="28" t="e">
        <f>interpola(#REF!,CURVA!$B$6:$B$20,CURVA!$G$6:$G$20)</f>
        <v>#VALUE!</v>
      </c>
      <c r="C409" s="29" t="e">
        <f t="shared" si="6"/>
        <v>#VALUE!</v>
      </c>
      <c r="E409" t="e">
        <f>cubic_spline(CURVA!$B$6:$B$20,CURVA!$G$6:$G$20,#REF!)</f>
        <v>#VALUE!</v>
      </c>
    </row>
    <row r="410" spans="1:5" x14ac:dyDescent="0.2">
      <c r="A410" s="28">
        <v>409</v>
      </c>
      <c r="B410" s="28" t="e">
        <f>interpola(#REF!,CURVA!$B$6:$B$20,CURVA!$G$6:$G$20)</f>
        <v>#VALUE!</v>
      </c>
      <c r="C410" s="29" t="e">
        <f t="shared" si="6"/>
        <v>#VALUE!</v>
      </c>
      <c r="E410" t="e">
        <f>cubic_spline(CURVA!$B$6:$B$20,CURVA!$G$6:$G$20,#REF!)</f>
        <v>#VALUE!</v>
      </c>
    </row>
    <row r="411" spans="1:5" x14ac:dyDescent="0.2">
      <c r="A411" s="28">
        <v>410</v>
      </c>
      <c r="B411" s="28" t="e">
        <f>interpola(#REF!,CURVA!$B$6:$B$20,CURVA!$G$6:$G$20)</f>
        <v>#VALUE!</v>
      </c>
      <c r="C411" s="29" t="e">
        <f t="shared" si="6"/>
        <v>#VALUE!</v>
      </c>
      <c r="E411" t="e">
        <f>cubic_spline(CURVA!$B$6:$B$20,CURVA!$G$6:$G$20,#REF!)</f>
        <v>#VALUE!</v>
      </c>
    </row>
    <row r="412" spans="1:5" x14ac:dyDescent="0.2">
      <c r="A412" s="28">
        <v>411</v>
      </c>
      <c r="B412" s="28" t="e">
        <f>interpola(#REF!,CURVA!$B$6:$B$20,CURVA!$G$6:$G$20)</f>
        <v>#VALUE!</v>
      </c>
      <c r="C412" s="29" t="e">
        <f t="shared" si="6"/>
        <v>#VALUE!</v>
      </c>
      <c r="E412" t="e">
        <f>cubic_spline(CURVA!$B$6:$B$20,CURVA!$G$6:$G$20,#REF!)</f>
        <v>#VALUE!</v>
      </c>
    </row>
    <row r="413" spans="1:5" x14ac:dyDescent="0.2">
      <c r="A413" s="28">
        <v>412</v>
      </c>
      <c r="B413" s="28" t="e">
        <f>interpola(#REF!,CURVA!$B$6:$B$20,CURVA!$G$6:$G$20)</f>
        <v>#VALUE!</v>
      </c>
      <c r="C413" s="29" t="e">
        <f t="shared" si="6"/>
        <v>#VALUE!</v>
      </c>
      <c r="E413" t="e">
        <f>cubic_spline(CURVA!$B$6:$B$20,CURVA!$G$6:$G$20,#REF!)</f>
        <v>#VALUE!</v>
      </c>
    </row>
    <row r="414" spans="1:5" x14ac:dyDescent="0.2">
      <c r="A414" s="28">
        <v>413</v>
      </c>
      <c r="B414" s="28" t="e">
        <f>interpola(#REF!,CURVA!$B$6:$B$20,CURVA!$G$6:$G$20)</f>
        <v>#VALUE!</v>
      </c>
      <c r="C414" s="29" t="e">
        <f t="shared" si="6"/>
        <v>#VALUE!</v>
      </c>
      <c r="E414" t="e">
        <f>cubic_spline(CURVA!$B$6:$B$20,CURVA!$G$6:$G$20,#REF!)</f>
        <v>#VALUE!</v>
      </c>
    </row>
    <row r="415" spans="1:5" x14ac:dyDescent="0.2">
      <c r="A415" s="28">
        <v>414</v>
      </c>
      <c r="B415" s="28" t="e">
        <f>interpola(#REF!,CURVA!$B$6:$B$20,CURVA!$G$6:$G$20)</f>
        <v>#VALUE!</v>
      </c>
      <c r="C415" s="29" t="e">
        <f t="shared" si="6"/>
        <v>#VALUE!</v>
      </c>
      <c r="E415" t="e">
        <f>cubic_spline(CURVA!$B$6:$B$20,CURVA!$G$6:$G$20,#REF!)</f>
        <v>#VALUE!</v>
      </c>
    </row>
    <row r="416" spans="1:5" x14ac:dyDescent="0.2">
      <c r="A416" s="28">
        <v>415</v>
      </c>
      <c r="B416" s="28" t="e">
        <f>interpola(#REF!,CURVA!$B$6:$B$20,CURVA!$G$6:$G$20)</f>
        <v>#VALUE!</v>
      </c>
      <c r="C416" s="29" t="e">
        <f t="shared" si="6"/>
        <v>#VALUE!</v>
      </c>
      <c r="E416" t="e">
        <f>cubic_spline(CURVA!$B$6:$B$20,CURVA!$G$6:$G$20,#REF!)</f>
        <v>#VALUE!</v>
      </c>
    </row>
    <row r="417" spans="1:5" x14ac:dyDescent="0.2">
      <c r="A417" s="28">
        <v>416</v>
      </c>
      <c r="B417" s="28" t="e">
        <f>interpola(#REF!,CURVA!$B$6:$B$20,CURVA!$G$6:$G$20)</f>
        <v>#VALUE!</v>
      </c>
      <c r="C417" s="29" t="e">
        <f t="shared" si="6"/>
        <v>#VALUE!</v>
      </c>
      <c r="E417" t="e">
        <f>cubic_spline(CURVA!$B$6:$B$20,CURVA!$G$6:$G$20,#REF!)</f>
        <v>#VALUE!</v>
      </c>
    </row>
    <row r="418" spans="1:5" x14ac:dyDescent="0.2">
      <c r="A418" s="28">
        <v>417</v>
      </c>
      <c r="B418" s="28" t="e">
        <f>interpola(#REF!,CURVA!$B$6:$B$20,CURVA!$G$6:$G$20)</f>
        <v>#VALUE!</v>
      </c>
      <c r="C418" s="29" t="e">
        <f t="shared" si="6"/>
        <v>#VALUE!</v>
      </c>
      <c r="E418" t="e">
        <f>cubic_spline(CURVA!$B$6:$B$20,CURVA!$G$6:$G$20,#REF!)</f>
        <v>#VALUE!</v>
      </c>
    </row>
    <row r="419" spans="1:5" x14ac:dyDescent="0.2">
      <c r="A419" s="28">
        <v>418</v>
      </c>
      <c r="B419" s="28" t="e">
        <f>interpola(#REF!,CURVA!$B$6:$B$20,CURVA!$G$6:$G$20)</f>
        <v>#VALUE!</v>
      </c>
      <c r="C419" s="29" t="e">
        <f t="shared" si="6"/>
        <v>#VALUE!</v>
      </c>
      <c r="E419" t="e">
        <f>cubic_spline(CURVA!$B$6:$B$20,CURVA!$G$6:$G$20,#REF!)</f>
        <v>#VALUE!</v>
      </c>
    </row>
    <row r="420" spans="1:5" x14ac:dyDescent="0.2">
      <c r="A420" s="28">
        <v>419</v>
      </c>
      <c r="B420" s="28" t="e">
        <f>interpola(#REF!,CURVA!$B$6:$B$20,CURVA!$G$6:$G$20)</f>
        <v>#VALUE!</v>
      </c>
      <c r="C420" s="29" t="e">
        <f t="shared" si="6"/>
        <v>#VALUE!</v>
      </c>
      <c r="E420" t="e">
        <f>cubic_spline(CURVA!$B$6:$B$20,CURVA!$G$6:$G$20,#REF!)</f>
        <v>#VALUE!</v>
      </c>
    </row>
    <row r="421" spans="1:5" x14ac:dyDescent="0.2">
      <c r="A421" s="28">
        <v>420</v>
      </c>
      <c r="B421" s="28" t="e">
        <f>interpola(#REF!,CURVA!$B$6:$B$20,CURVA!$G$6:$G$20)</f>
        <v>#VALUE!</v>
      </c>
      <c r="C421" s="29" t="e">
        <f t="shared" si="6"/>
        <v>#VALUE!</v>
      </c>
      <c r="E421" t="e">
        <f>cubic_spline(CURVA!$B$6:$B$20,CURVA!$G$6:$G$20,#REF!)</f>
        <v>#VALUE!</v>
      </c>
    </row>
    <row r="422" spans="1:5" x14ac:dyDescent="0.2">
      <c r="A422" s="28">
        <v>421</v>
      </c>
      <c r="B422" s="28" t="e">
        <f>interpola(#REF!,CURVA!$B$6:$B$20,CURVA!$G$6:$G$20)</f>
        <v>#VALUE!</v>
      </c>
      <c r="C422" s="29" t="e">
        <f t="shared" si="6"/>
        <v>#VALUE!</v>
      </c>
      <c r="E422" t="e">
        <f>cubic_spline(CURVA!$B$6:$B$20,CURVA!$G$6:$G$20,#REF!)</f>
        <v>#VALUE!</v>
      </c>
    </row>
    <row r="423" spans="1:5" x14ac:dyDescent="0.2">
      <c r="A423" s="28">
        <v>422</v>
      </c>
      <c r="B423" s="28" t="e">
        <f>interpola(#REF!,CURVA!$B$6:$B$20,CURVA!$G$6:$G$20)</f>
        <v>#VALUE!</v>
      </c>
      <c r="C423" s="29" t="e">
        <f t="shared" si="6"/>
        <v>#VALUE!</v>
      </c>
      <c r="E423" t="e">
        <f>cubic_spline(CURVA!$B$6:$B$20,CURVA!$G$6:$G$20,#REF!)</f>
        <v>#VALUE!</v>
      </c>
    </row>
    <row r="424" spans="1:5" x14ac:dyDescent="0.2">
      <c r="A424" s="28">
        <v>423</v>
      </c>
      <c r="B424" s="28" t="e">
        <f>interpola(#REF!,CURVA!$B$6:$B$20,CURVA!$G$6:$G$20)</f>
        <v>#VALUE!</v>
      </c>
      <c r="C424" s="29" t="e">
        <f t="shared" si="6"/>
        <v>#VALUE!</v>
      </c>
      <c r="E424" t="e">
        <f>cubic_spline(CURVA!$B$6:$B$20,CURVA!$G$6:$G$20,#REF!)</f>
        <v>#VALUE!</v>
      </c>
    </row>
    <row r="425" spans="1:5" x14ac:dyDescent="0.2">
      <c r="A425" s="28">
        <v>424</v>
      </c>
      <c r="B425" s="28" t="e">
        <f>interpola(#REF!,CURVA!$B$6:$B$20,CURVA!$G$6:$G$20)</f>
        <v>#VALUE!</v>
      </c>
      <c r="C425" s="29" t="e">
        <f t="shared" si="6"/>
        <v>#VALUE!</v>
      </c>
      <c r="E425" t="e">
        <f>cubic_spline(CURVA!$B$6:$B$20,CURVA!$G$6:$G$20,#REF!)</f>
        <v>#VALUE!</v>
      </c>
    </row>
    <row r="426" spans="1:5" x14ac:dyDescent="0.2">
      <c r="A426" s="28">
        <v>425</v>
      </c>
      <c r="B426" s="28" t="e">
        <f>interpola(#REF!,CURVA!$B$6:$B$20,CURVA!$G$6:$G$20)</f>
        <v>#VALUE!</v>
      </c>
      <c r="C426" s="29" t="e">
        <f t="shared" si="6"/>
        <v>#VALUE!</v>
      </c>
      <c r="E426" t="e">
        <f>cubic_spline(CURVA!$B$6:$B$20,CURVA!$G$6:$G$20,#REF!)</f>
        <v>#VALUE!</v>
      </c>
    </row>
    <row r="427" spans="1:5" x14ac:dyDescent="0.2">
      <c r="A427" s="28">
        <v>426</v>
      </c>
      <c r="B427" s="28" t="e">
        <f>interpola(#REF!,CURVA!$B$6:$B$20,CURVA!$G$6:$G$20)</f>
        <v>#VALUE!</v>
      </c>
      <c r="C427" s="29" t="e">
        <f t="shared" si="6"/>
        <v>#VALUE!</v>
      </c>
      <c r="E427" t="e">
        <f>cubic_spline(CURVA!$B$6:$B$20,CURVA!$G$6:$G$20,#REF!)</f>
        <v>#VALUE!</v>
      </c>
    </row>
    <row r="428" spans="1:5" x14ac:dyDescent="0.2">
      <c r="A428" s="28">
        <v>427</v>
      </c>
      <c r="B428" s="28" t="e">
        <f>interpola(#REF!,CURVA!$B$6:$B$20,CURVA!$G$6:$G$20)</f>
        <v>#VALUE!</v>
      </c>
      <c r="C428" s="29" t="e">
        <f t="shared" si="6"/>
        <v>#VALUE!</v>
      </c>
      <c r="E428" t="e">
        <f>cubic_spline(CURVA!$B$6:$B$20,CURVA!$G$6:$G$20,#REF!)</f>
        <v>#VALUE!</v>
      </c>
    </row>
    <row r="429" spans="1:5" x14ac:dyDescent="0.2">
      <c r="A429" s="28">
        <v>428</v>
      </c>
      <c r="B429" s="28" t="e">
        <f>interpola(#REF!,CURVA!$B$6:$B$20,CURVA!$G$6:$G$20)</f>
        <v>#VALUE!</v>
      </c>
      <c r="C429" s="29" t="e">
        <f t="shared" si="6"/>
        <v>#VALUE!</v>
      </c>
      <c r="E429" t="e">
        <f>cubic_spline(CURVA!$B$6:$B$20,CURVA!$G$6:$G$20,#REF!)</f>
        <v>#VALUE!</v>
      </c>
    </row>
    <row r="430" spans="1:5" x14ac:dyDescent="0.2">
      <c r="A430" s="28">
        <v>429</v>
      </c>
      <c r="B430" s="28" t="e">
        <f>interpola(#REF!,CURVA!$B$6:$B$20,CURVA!$G$6:$G$20)</f>
        <v>#VALUE!</v>
      </c>
      <c r="C430" s="29" t="e">
        <f t="shared" si="6"/>
        <v>#VALUE!</v>
      </c>
      <c r="E430" t="e">
        <f>cubic_spline(CURVA!$B$6:$B$20,CURVA!$G$6:$G$20,#REF!)</f>
        <v>#VALUE!</v>
      </c>
    </row>
    <row r="431" spans="1:5" x14ac:dyDescent="0.2">
      <c r="A431" s="28">
        <v>430</v>
      </c>
      <c r="B431" s="28" t="e">
        <f>interpola(#REF!,CURVA!$B$6:$B$20,CURVA!$G$6:$G$20)</f>
        <v>#VALUE!</v>
      </c>
      <c r="C431" s="29" t="e">
        <f t="shared" si="6"/>
        <v>#VALUE!</v>
      </c>
      <c r="E431" t="e">
        <f>cubic_spline(CURVA!$B$6:$B$20,CURVA!$G$6:$G$20,#REF!)</f>
        <v>#VALUE!</v>
      </c>
    </row>
    <row r="432" spans="1:5" x14ac:dyDescent="0.2">
      <c r="A432" s="28">
        <v>431</v>
      </c>
      <c r="B432" s="28" t="e">
        <f>interpola(#REF!,CURVA!$B$6:$B$20,CURVA!$G$6:$G$20)</f>
        <v>#VALUE!</v>
      </c>
      <c r="C432" s="29" t="e">
        <f t="shared" si="6"/>
        <v>#VALUE!</v>
      </c>
      <c r="E432" t="e">
        <f>cubic_spline(CURVA!$B$6:$B$20,CURVA!$G$6:$G$20,#REF!)</f>
        <v>#VALUE!</v>
      </c>
    </row>
    <row r="433" spans="1:5" x14ac:dyDescent="0.2">
      <c r="A433" s="28">
        <v>432</v>
      </c>
      <c r="B433" s="28" t="e">
        <f>interpola(#REF!,CURVA!$B$6:$B$20,CURVA!$G$6:$G$20)</f>
        <v>#VALUE!</v>
      </c>
      <c r="C433" s="29" t="e">
        <f t="shared" si="6"/>
        <v>#VALUE!</v>
      </c>
      <c r="E433" t="e">
        <f>cubic_spline(CURVA!$B$6:$B$20,CURVA!$G$6:$G$20,#REF!)</f>
        <v>#VALUE!</v>
      </c>
    </row>
    <row r="434" spans="1:5" x14ac:dyDescent="0.2">
      <c r="A434" s="28">
        <v>433</v>
      </c>
      <c r="B434" s="28" t="e">
        <f>interpola(#REF!,CURVA!$B$6:$B$20,CURVA!$G$6:$G$20)</f>
        <v>#VALUE!</v>
      </c>
      <c r="C434" s="29" t="e">
        <f t="shared" si="6"/>
        <v>#VALUE!</v>
      </c>
      <c r="E434" t="e">
        <f>cubic_spline(CURVA!$B$6:$B$20,CURVA!$G$6:$G$20,#REF!)</f>
        <v>#VALUE!</v>
      </c>
    </row>
    <row r="435" spans="1:5" x14ac:dyDescent="0.2">
      <c r="A435" s="28">
        <v>434</v>
      </c>
      <c r="B435" s="28" t="e">
        <f>interpola(#REF!,CURVA!$B$6:$B$20,CURVA!$G$6:$G$20)</f>
        <v>#VALUE!</v>
      </c>
      <c r="C435" s="29" t="e">
        <f t="shared" si="6"/>
        <v>#VALUE!</v>
      </c>
      <c r="E435" t="e">
        <f>cubic_spline(CURVA!$B$6:$B$20,CURVA!$G$6:$G$20,#REF!)</f>
        <v>#VALUE!</v>
      </c>
    </row>
    <row r="436" spans="1:5" x14ac:dyDescent="0.2">
      <c r="A436" s="28">
        <v>435</v>
      </c>
      <c r="B436" s="28" t="e">
        <f>interpola(#REF!,CURVA!$B$6:$B$20,CURVA!$G$6:$G$20)</f>
        <v>#VALUE!</v>
      </c>
      <c r="C436" s="29" t="e">
        <f t="shared" si="6"/>
        <v>#VALUE!</v>
      </c>
      <c r="E436" t="e">
        <f>cubic_spline(CURVA!$B$6:$B$20,CURVA!$G$6:$G$20,#REF!)</f>
        <v>#VALUE!</v>
      </c>
    </row>
    <row r="437" spans="1:5" x14ac:dyDescent="0.2">
      <c r="A437" s="28">
        <v>436</v>
      </c>
      <c r="B437" s="28" t="e">
        <f>interpola(#REF!,CURVA!$B$6:$B$20,CURVA!$G$6:$G$20)</f>
        <v>#VALUE!</v>
      </c>
      <c r="C437" s="29" t="e">
        <f t="shared" si="6"/>
        <v>#VALUE!</v>
      </c>
      <c r="E437" t="e">
        <f>cubic_spline(CURVA!$B$6:$B$20,CURVA!$G$6:$G$20,#REF!)</f>
        <v>#VALUE!</v>
      </c>
    </row>
    <row r="438" spans="1:5" x14ac:dyDescent="0.2">
      <c r="A438" s="28">
        <v>437</v>
      </c>
      <c r="B438" s="28" t="e">
        <f>interpola(#REF!,CURVA!$B$6:$B$20,CURVA!$G$6:$G$20)</f>
        <v>#VALUE!</v>
      </c>
      <c r="C438" s="29" t="e">
        <f t="shared" si="6"/>
        <v>#VALUE!</v>
      </c>
      <c r="E438" t="e">
        <f>cubic_spline(CURVA!$B$6:$B$20,CURVA!$G$6:$G$20,#REF!)</f>
        <v>#VALUE!</v>
      </c>
    </row>
    <row r="439" spans="1:5" x14ac:dyDescent="0.2">
      <c r="A439" s="28">
        <v>438</v>
      </c>
      <c r="B439" s="28" t="e">
        <f>interpola(#REF!,CURVA!$B$6:$B$20,CURVA!$G$6:$G$20)</f>
        <v>#VALUE!</v>
      </c>
      <c r="C439" s="29" t="e">
        <f t="shared" si="6"/>
        <v>#VALUE!</v>
      </c>
      <c r="E439" t="e">
        <f>cubic_spline(CURVA!$B$6:$B$20,CURVA!$G$6:$G$20,#REF!)</f>
        <v>#VALUE!</v>
      </c>
    </row>
    <row r="440" spans="1:5" x14ac:dyDescent="0.2">
      <c r="A440" s="28">
        <v>439</v>
      </c>
      <c r="B440" s="28" t="e">
        <f>interpola(#REF!,CURVA!$B$6:$B$20,CURVA!$G$6:$G$20)</f>
        <v>#VALUE!</v>
      </c>
      <c r="C440" s="29" t="e">
        <f t="shared" si="6"/>
        <v>#VALUE!</v>
      </c>
      <c r="E440" t="e">
        <f>cubic_spline(CURVA!$B$6:$B$20,CURVA!$G$6:$G$20,#REF!)</f>
        <v>#VALUE!</v>
      </c>
    </row>
    <row r="441" spans="1:5" x14ac:dyDescent="0.2">
      <c r="A441" s="28">
        <v>440</v>
      </c>
      <c r="B441" s="28" t="e">
        <f>interpola(#REF!,CURVA!$B$6:$B$20,CURVA!$G$6:$G$20)</f>
        <v>#VALUE!</v>
      </c>
      <c r="C441" s="29" t="e">
        <f t="shared" si="6"/>
        <v>#VALUE!</v>
      </c>
      <c r="E441" t="e">
        <f>cubic_spline(CURVA!$B$6:$B$20,CURVA!$G$6:$G$20,#REF!)</f>
        <v>#VALUE!</v>
      </c>
    </row>
    <row r="442" spans="1:5" x14ac:dyDescent="0.2">
      <c r="A442" s="28">
        <v>441</v>
      </c>
      <c r="B442" s="28" t="e">
        <f>interpola(#REF!,CURVA!$B$6:$B$20,CURVA!$G$6:$G$20)</f>
        <v>#VALUE!</v>
      </c>
      <c r="C442" s="29" t="e">
        <f t="shared" si="6"/>
        <v>#VALUE!</v>
      </c>
      <c r="E442" t="e">
        <f>cubic_spline(CURVA!$B$6:$B$20,CURVA!$G$6:$G$20,#REF!)</f>
        <v>#VALUE!</v>
      </c>
    </row>
    <row r="443" spans="1:5" x14ac:dyDescent="0.2">
      <c r="A443" s="28">
        <v>442</v>
      </c>
      <c r="B443" s="28" t="e">
        <f>interpola(#REF!,CURVA!$B$6:$B$20,CURVA!$G$6:$G$20)</f>
        <v>#VALUE!</v>
      </c>
      <c r="C443" s="29" t="e">
        <f t="shared" si="6"/>
        <v>#VALUE!</v>
      </c>
      <c r="E443" t="e">
        <f>cubic_spline(CURVA!$B$6:$B$20,CURVA!$G$6:$G$20,#REF!)</f>
        <v>#VALUE!</v>
      </c>
    </row>
    <row r="444" spans="1:5" x14ac:dyDescent="0.2">
      <c r="A444" s="28">
        <v>443</v>
      </c>
      <c r="B444" s="28" t="e">
        <f>interpola(#REF!,CURVA!$B$6:$B$20,CURVA!$G$6:$G$20)</f>
        <v>#VALUE!</v>
      </c>
      <c r="C444" s="29" t="e">
        <f t="shared" si="6"/>
        <v>#VALUE!</v>
      </c>
      <c r="E444" t="e">
        <f>cubic_spline(CURVA!$B$6:$B$20,CURVA!$G$6:$G$20,#REF!)</f>
        <v>#VALUE!</v>
      </c>
    </row>
    <row r="445" spans="1:5" x14ac:dyDescent="0.2">
      <c r="A445" s="28">
        <v>444</v>
      </c>
      <c r="B445" s="28" t="e">
        <f>interpola(#REF!,CURVA!$B$6:$B$20,CURVA!$G$6:$G$20)</f>
        <v>#VALUE!</v>
      </c>
      <c r="C445" s="29" t="e">
        <f t="shared" si="6"/>
        <v>#VALUE!</v>
      </c>
      <c r="E445" t="e">
        <f>cubic_spline(CURVA!$B$6:$B$20,CURVA!$G$6:$G$20,#REF!)</f>
        <v>#VALUE!</v>
      </c>
    </row>
    <row r="446" spans="1:5" x14ac:dyDescent="0.2">
      <c r="A446" s="28">
        <v>445</v>
      </c>
      <c r="B446" s="28" t="e">
        <f>interpola(#REF!,CURVA!$B$6:$B$20,CURVA!$G$6:$G$20)</f>
        <v>#VALUE!</v>
      </c>
      <c r="C446" s="29" t="e">
        <f t="shared" si="6"/>
        <v>#VALUE!</v>
      </c>
      <c r="E446" t="e">
        <f>cubic_spline(CURVA!$B$6:$B$20,CURVA!$G$6:$G$20,#REF!)</f>
        <v>#VALUE!</v>
      </c>
    </row>
    <row r="447" spans="1:5" x14ac:dyDescent="0.2">
      <c r="A447" s="28">
        <v>446</v>
      </c>
      <c r="B447" s="28" t="e">
        <f>interpola(#REF!,CURVA!$B$6:$B$20,CURVA!$G$6:$G$20)</f>
        <v>#VALUE!</v>
      </c>
      <c r="C447" s="29" t="e">
        <f t="shared" si="6"/>
        <v>#VALUE!</v>
      </c>
      <c r="E447" t="e">
        <f>cubic_spline(CURVA!$B$6:$B$20,CURVA!$G$6:$G$20,#REF!)</f>
        <v>#VALUE!</v>
      </c>
    </row>
    <row r="448" spans="1:5" x14ac:dyDescent="0.2">
      <c r="A448" s="28">
        <v>447</v>
      </c>
      <c r="B448" s="28" t="e">
        <f>interpola(#REF!,CURVA!$B$6:$B$20,CURVA!$G$6:$G$20)</f>
        <v>#VALUE!</v>
      </c>
      <c r="C448" s="29" t="e">
        <f t="shared" si="6"/>
        <v>#VALUE!</v>
      </c>
      <c r="E448" t="e">
        <f>cubic_spline(CURVA!$B$6:$B$20,CURVA!$G$6:$G$20,#REF!)</f>
        <v>#VALUE!</v>
      </c>
    </row>
    <row r="449" spans="1:5" x14ac:dyDescent="0.2">
      <c r="A449" s="28">
        <v>448</v>
      </c>
      <c r="B449" s="28" t="e">
        <f>interpola(#REF!,CURVA!$B$6:$B$20,CURVA!$G$6:$G$20)</f>
        <v>#VALUE!</v>
      </c>
      <c r="C449" s="29" t="e">
        <f t="shared" si="6"/>
        <v>#VALUE!</v>
      </c>
      <c r="E449" t="e">
        <f>cubic_spline(CURVA!$B$6:$B$20,CURVA!$G$6:$G$20,#REF!)</f>
        <v>#VALUE!</v>
      </c>
    </row>
    <row r="450" spans="1:5" x14ac:dyDescent="0.2">
      <c r="A450" s="28">
        <v>449</v>
      </c>
      <c r="B450" s="28" t="e">
        <f>interpola(#REF!,CURVA!$B$6:$B$20,CURVA!$G$6:$G$20)</f>
        <v>#VALUE!</v>
      </c>
      <c r="C450" s="29" t="e">
        <f t="shared" ref="C450:C513" si="7">(EXP(B450*A450/360)-1)*360/A450</f>
        <v>#VALUE!</v>
      </c>
      <c r="E450" t="e">
        <f>cubic_spline(CURVA!$B$6:$B$20,CURVA!$G$6:$G$20,#REF!)</f>
        <v>#VALUE!</v>
      </c>
    </row>
    <row r="451" spans="1:5" x14ac:dyDescent="0.2">
      <c r="A451" s="28">
        <v>450</v>
      </c>
      <c r="B451" s="28" t="e">
        <f>interpola(#REF!,CURVA!$B$6:$B$20,CURVA!$G$6:$G$20)</f>
        <v>#VALUE!</v>
      </c>
      <c r="C451" s="29" t="e">
        <f t="shared" si="7"/>
        <v>#VALUE!</v>
      </c>
      <c r="E451" t="e">
        <f>cubic_spline(CURVA!$B$6:$B$20,CURVA!$G$6:$G$20,#REF!)</f>
        <v>#VALUE!</v>
      </c>
    </row>
    <row r="452" spans="1:5" x14ac:dyDescent="0.2">
      <c r="A452" s="28">
        <v>451</v>
      </c>
      <c r="B452" s="28" t="e">
        <f>interpola(#REF!,CURVA!$B$6:$B$20,CURVA!$G$6:$G$20)</f>
        <v>#VALUE!</v>
      </c>
      <c r="C452" s="29" t="e">
        <f t="shared" si="7"/>
        <v>#VALUE!</v>
      </c>
      <c r="E452" t="e">
        <f>cubic_spline(CURVA!$B$6:$B$20,CURVA!$G$6:$G$20,#REF!)</f>
        <v>#VALUE!</v>
      </c>
    </row>
    <row r="453" spans="1:5" x14ac:dyDescent="0.2">
      <c r="A453" s="28">
        <v>452</v>
      </c>
      <c r="B453" s="28" t="e">
        <f>interpola(#REF!,CURVA!$B$6:$B$20,CURVA!$G$6:$G$20)</f>
        <v>#VALUE!</v>
      </c>
      <c r="C453" s="29" t="e">
        <f t="shared" si="7"/>
        <v>#VALUE!</v>
      </c>
      <c r="E453" t="e">
        <f>cubic_spline(CURVA!$B$6:$B$20,CURVA!$G$6:$G$20,#REF!)</f>
        <v>#VALUE!</v>
      </c>
    </row>
    <row r="454" spans="1:5" x14ac:dyDescent="0.2">
      <c r="A454" s="28">
        <v>453</v>
      </c>
      <c r="B454" s="28" t="e">
        <f>interpola(#REF!,CURVA!$B$6:$B$20,CURVA!$G$6:$G$20)</f>
        <v>#VALUE!</v>
      </c>
      <c r="C454" s="29" t="e">
        <f t="shared" si="7"/>
        <v>#VALUE!</v>
      </c>
      <c r="E454" t="e">
        <f>cubic_spline(CURVA!$B$6:$B$20,CURVA!$G$6:$G$20,#REF!)</f>
        <v>#VALUE!</v>
      </c>
    </row>
    <row r="455" spans="1:5" x14ac:dyDescent="0.2">
      <c r="A455" s="28">
        <v>454</v>
      </c>
      <c r="B455" s="28" t="e">
        <f>interpola(#REF!,CURVA!$B$6:$B$20,CURVA!$G$6:$G$20)</f>
        <v>#VALUE!</v>
      </c>
      <c r="C455" s="29" t="e">
        <f t="shared" si="7"/>
        <v>#VALUE!</v>
      </c>
      <c r="E455" t="e">
        <f>cubic_spline(CURVA!$B$6:$B$20,CURVA!$G$6:$G$20,#REF!)</f>
        <v>#VALUE!</v>
      </c>
    </row>
    <row r="456" spans="1:5" x14ac:dyDescent="0.2">
      <c r="A456" s="28">
        <v>455</v>
      </c>
      <c r="B456" s="28" t="e">
        <f>interpola(#REF!,CURVA!$B$6:$B$20,CURVA!$G$6:$G$20)</f>
        <v>#VALUE!</v>
      </c>
      <c r="C456" s="29" t="e">
        <f t="shared" si="7"/>
        <v>#VALUE!</v>
      </c>
      <c r="E456" t="e">
        <f>cubic_spline(CURVA!$B$6:$B$20,CURVA!$G$6:$G$20,#REF!)</f>
        <v>#VALUE!</v>
      </c>
    </row>
    <row r="457" spans="1:5" x14ac:dyDescent="0.2">
      <c r="A457" s="28">
        <v>456</v>
      </c>
      <c r="B457" s="28" t="e">
        <f>interpola(#REF!,CURVA!$B$6:$B$20,CURVA!$G$6:$G$20)</f>
        <v>#VALUE!</v>
      </c>
      <c r="C457" s="29" t="e">
        <f t="shared" si="7"/>
        <v>#VALUE!</v>
      </c>
      <c r="E457" t="e">
        <f>cubic_spline(CURVA!$B$6:$B$20,CURVA!$G$6:$G$20,#REF!)</f>
        <v>#VALUE!</v>
      </c>
    </row>
    <row r="458" spans="1:5" x14ac:dyDescent="0.2">
      <c r="A458" s="28">
        <v>457</v>
      </c>
      <c r="B458" s="28" t="e">
        <f>interpola(#REF!,CURVA!$B$6:$B$20,CURVA!$G$6:$G$20)</f>
        <v>#VALUE!</v>
      </c>
      <c r="C458" s="29" t="e">
        <f t="shared" si="7"/>
        <v>#VALUE!</v>
      </c>
      <c r="E458" t="e">
        <f>cubic_spline(CURVA!$B$6:$B$20,CURVA!$G$6:$G$20,#REF!)</f>
        <v>#VALUE!</v>
      </c>
    </row>
    <row r="459" spans="1:5" x14ac:dyDescent="0.2">
      <c r="A459" s="28">
        <v>458</v>
      </c>
      <c r="B459" s="28" t="e">
        <f>interpola(#REF!,CURVA!$B$6:$B$20,CURVA!$G$6:$G$20)</f>
        <v>#VALUE!</v>
      </c>
      <c r="C459" s="29" t="e">
        <f t="shared" si="7"/>
        <v>#VALUE!</v>
      </c>
      <c r="E459" t="e">
        <f>cubic_spline(CURVA!$B$6:$B$20,CURVA!$G$6:$G$20,#REF!)</f>
        <v>#VALUE!</v>
      </c>
    </row>
    <row r="460" spans="1:5" x14ac:dyDescent="0.2">
      <c r="A460" s="28">
        <v>459</v>
      </c>
      <c r="B460" s="28" t="e">
        <f>interpola(#REF!,CURVA!$B$6:$B$20,CURVA!$G$6:$G$20)</f>
        <v>#VALUE!</v>
      </c>
      <c r="C460" s="29" t="e">
        <f t="shared" si="7"/>
        <v>#VALUE!</v>
      </c>
      <c r="E460" t="e">
        <f>cubic_spline(CURVA!$B$6:$B$20,CURVA!$G$6:$G$20,#REF!)</f>
        <v>#VALUE!</v>
      </c>
    </row>
    <row r="461" spans="1:5" x14ac:dyDescent="0.2">
      <c r="A461" s="28">
        <v>460</v>
      </c>
      <c r="B461" s="28" t="e">
        <f>interpola(#REF!,CURVA!$B$6:$B$20,CURVA!$G$6:$G$20)</f>
        <v>#VALUE!</v>
      </c>
      <c r="C461" s="29" t="e">
        <f t="shared" si="7"/>
        <v>#VALUE!</v>
      </c>
      <c r="E461" t="e">
        <f>cubic_spline(CURVA!$B$6:$B$20,CURVA!$G$6:$G$20,#REF!)</f>
        <v>#VALUE!</v>
      </c>
    </row>
    <row r="462" spans="1:5" x14ac:dyDescent="0.2">
      <c r="A462" s="28">
        <v>461</v>
      </c>
      <c r="B462" s="28" t="e">
        <f>interpola(#REF!,CURVA!$B$6:$B$20,CURVA!$G$6:$G$20)</f>
        <v>#VALUE!</v>
      </c>
      <c r="C462" s="29" t="e">
        <f t="shared" si="7"/>
        <v>#VALUE!</v>
      </c>
      <c r="E462" t="e">
        <f>cubic_spline(CURVA!$B$6:$B$20,CURVA!$G$6:$G$20,#REF!)</f>
        <v>#VALUE!</v>
      </c>
    </row>
    <row r="463" spans="1:5" x14ac:dyDescent="0.2">
      <c r="A463" s="28">
        <v>462</v>
      </c>
      <c r="B463" s="28" t="e">
        <f>interpola(#REF!,CURVA!$B$6:$B$20,CURVA!$G$6:$G$20)</f>
        <v>#VALUE!</v>
      </c>
      <c r="C463" s="29" t="e">
        <f t="shared" si="7"/>
        <v>#VALUE!</v>
      </c>
      <c r="E463" t="e">
        <f>cubic_spline(CURVA!$B$6:$B$20,CURVA!$G$6:$G$20,#REF!)</f>
        <v>#VALUE!</v>
      </c>
    </row>
    <row r="464" spans="1:5" x14ac:dyDescent="0.2">
      <c r="A464" s="28">
        <v>463</v>
      </c>
      <c r="B464" s="28" t="e">
        <f>interpola(#REF!,CURVA!$B$6:$B$20,CURVA!$G$6:$G$20)</f>
        <v>#VALUE!</v>
      </c>
      <c r="C464" s="29" t="e">
        <f t="shared" si="7"/>
        <v>#VALUE!</v>
      </c>
      <c r="E464" t="e">
        <f>cubic_spline(CURVA!$B$6:$B$20,CURVA!$G$6:$G$20,#REF!)</f>
        <v>#VALUE!</v>
      </c>
    </row>
    <row r="465" spans="1:5" x14ac:dyDescent="0.2">
      <c r="A465" s="28">
        <v>464</v>
      </c>
      <c r="B465" s="28" t="e">
        <f>interpola(#REF!,CURVA!$B$6:$B$20,CURVA!$G$6:$G$20)</f>
        <v>#VALUE!</v>
      </c>
      <c r="C465" s="29" t="e">
        <f t="shared" si="7"/>
        <v>#VALUE!</v>
      </c>
      <c r="E465" t="e">
        <f>cubic_spline(CURVA!$B$6:$B$20,CURVA!$G$6:$G$20,#REF!)</f>
        <v>#VALUE!</v>
      </c>
    </row>
    <row r="466" spans="1:5" x14ac:dyDescent="0.2">
      <c r="A466" s="28">
        <v>465</v>
      </c>
      <c r="B466" s="28" t="e">
        <f>interpola(#REF!,CURVA!$B$6:$B$20,CURVA!$G$6:$G$20)</f>
        <v>#VALUE!</v>
      </c>
      <c r="C466" s="29" t="e">
        <f t="shared" si="7"/>
        <v>#VALUE!</v>
      </c>
      <c r="E466" t="e">
        <f>cubic_spline(CURVA!$B$6:$B$20,CURVA!$G$6:$G$20,#REF!)</f>
        <v>#VALUE!</v>
      </c>
    </row>
    <row r="467" spans="1:5" x14ac:dyDescent="0.2">
      <c r="A467" s="28">
        <v>466</v>
      </c>
      <c r="B467" s="28" t="e">
        <f>interpola(#REF!,CURVA!$B$6:$B$20,CURVA!$G$6:$G$20)</f>
        <v>#VALUE!</v>
      </c>
      <c r="C467" s="29" t="e">
        <f t="shared" si="7"/>
        <v>#VALUE!</v>
      </c>
      <c r="E467" t="e">
        <f>cubic_spline(CURVA!$B$6:$B$20,CURVA!$G$6:$G$20,#REF!)</f>
        <v>#VALUE!</v>
      </c>
    </row>
    <row r="468" spans="1:5" x14ac:dyDescent="0.2">
      <c r="A468" s="28">
        <v>467</v>
      </c>
      <c r="B468" s="28" t="e">
        <f>interpola(#REF!,CURVA!$B$6:$B$20,CURVA!$G$6:$G$20)</f>
        <v>#VALUE!</v>
      </c>
      <c r="C468" s="29" t="e">
        <f t="shared" si="7"/>
        <v>#VALUE!</v>
      </c>
      <c r="E468" t="e">
        <f>cubic_spline(CURVA!$B$6:$B$20,CURVA!$G$6:$G$20,#REF!)</f>
        <v>#VALUE!</v>
      </c>
    </row>
    <row r="469" spans="1:5" x14ac:dyDescent="0.2">
      <c r="A469" s="28">
        <v>468</v>
      </c>
      <c r="B469" s="28" t="e">
        <f>interpola(#REF!,CURVA!$B$6:$B$20,CURVA!$G$6:$G$20)</f>
        <v>#VALUE!</v>
      </c>
      <c r="C469" s="29" t="e">
        <f t="shared" si="7"/>
        <v>#VALUE!</v>
      </c>
      <c r="E469" t="e">
        <f>cubic_spline(CURVA!$B$6:$B$20,CURVA!$G$6:$G$20,#REF!)</f>
        <v>#VALUE!</v>
      </c>
    </row>
    <row r="470" spans="1:5" x14ac:dyDescent="0.2">
      <c r="A470" s="28">
        <v>469</v>
      </c>
      <c r="B470" s="28" t="e">
        <f>interpola(#REF!,CURVA!$B$6:$B$20,CURVA!$G$6:$G$20)</f>
        <v>#VALUE!</v>
      </c>
      <c r="C470" s="29" t="e">
        <f t="shared" si="7"/>
        <v>#VALUE!</v>
      </c>
      <c r="E470" t="e">
        <f>cubic_spline(CURVA!$B$6:$B$20,CURVA!$G$6:$G$20,#REF!)</f>
        <v>#VALUE!</v>
      </c>
    </row>
    <row r="471" spans="1:5" x14ac:dyDescent="0.2">
      <c r="A471" s="28">
        <v>470</v>
      </c>
      <c r="B471" s="28" t="e">
        <f>interpola(#REF!,CURVA!$B$6:$B$20,CURVA!$G$6:$G$20)</f>
        <v>#VALUE!</v>
      </c>
      <c r="C471" s="29" t="e">
        <f t="shared" si="7"/>
        <v>#VALUE!</v>
      </c>
      <c r="E471" t="e">
        <f>cubic_spline(CURVA!$B$6:$B$20,CURVA!$G$6:$G$20,#REF!)</f>
        <v>#VALUE!</v>
      </c>
    </row>
    <row r="472" spans="1:5" x14ac:dyDescent="0.2">
      <c r="A472" s="28">
        <v>471</v>
      </c>
      <c r="B472" s="28" t="e">
        <f>interpola(#REF!,CURVA!$B$6:$B$20,CURVA!$G$6:$G$20)</f>
        <v>#VALUE!</v>
      </c>
      <c r="C472" s="29" t="e">
        <f t="shared" si="7"/>
        <v>#VALUE!</v>
      </c>
      <c r="E472" t="e">
        <f>cubic_spline(CURVA!$B$6:$B$20,CURVA!$G$6:$G$20,#REF!)</f>
        <v>#VALUE!</v>
      </c>
    </row>
    <row r="473" spans="1:5" x14ac:dyDescent="0.2">
      <c r="A473" s="28">
        <v>472</v>
      </c>
      <c r="B473" s="28" t="e">
        <f>interpola(#REF!,CURVA!$B$6:$B$20,CURVA!$G$6:$G$20)</f>
        <v>#VALUE!</v>
      </c>
      <c r="C473" s="29" t="e">
        <f t="shared" si="7"/>
        <v>#VALUE!</v>
      </c>
      <c r="E473" t="e">
        <f>cubic_spline(CURVA!$B$6:$B$20,CURVA!$G$6:$G$20,#REF!)</f>
        <v>#VALUE!</v>
      </c>
    </row>
    <row r="474" spans="1:5" x14ac:dyDescent="0.2">
      <c r="A474" s="28">
        <v>473</v>
      </c>
      <c r="B474" s="28" t="e">
        <f>interpola(#REF!,CURVA!$B$6:$B$20,CURVA!$G$6:$G$20)</f>
        <v>#VALUE!</v>
      </c>
      <c r="C474" s="29" t="e">
        <f t="shared" si="7"/>
        <v>#VALUE!</v>
      </c>
      <c r="E474" t="e">
        <f>cubic_spline(CURVA!$B$6:$B$20,CURVA!$G$6:$G$20,#REF!)</f>
        <v>#VALUE!</v>
      </c>
    </row>
    <row r="475" spans="1:5" x14ac:dyDescent="0.2">
      <c r="A475" s="28">
        <v>474</v>
      </c>
      <c r="B475" s="28" t="e">
        <f>interpola(#REF!,CURVA!$B$6:$B$20,CURVA!$G$6:$G$20)</f>
        <v>#VALUE!</v>
      </c>
      <c r="C475" s="29" t="e">
        <f t="shared" si="7"/>
        <v>#VALUE!</v>
      </c>
      <c r="E475" t="e">
        <f>cubic_spline(CURVA!$B$6:$B$20,CURVA!$G$6:$G$20,#REF!)</f>
        <v>#VALUE!</v>
      </c>
    </row>
    <row r="476" spans="1:5" x14ac:dyDescent="0.2">
      <c r="A476" s="28">
        <v>475</v>
      </c>
      <c r="B476" s="28" t="e">
        <f>interpola(#REF!,CURVA!$B$6:$B$20,CURVA!$G$6:$G$20)</f>
        <v>#VALUE!</v>
      </c>
      <c r="C476" s="29" t="e">
        <f t="shared" si="7"/>
        <v>#VALUE!</v>
      </c>
      <c r="E476" t="e">
        <f>cubic_spline(CURVA!$B$6:$B$20,CURVA!$G$6:$G$20,#REF!)</f>
        <v>#VALUE!</v>
      </c>
    </row>
    <row r="477" spans="1:5" x14ac:dyDescent="0.2">
      <c r="A477" s="28">
        <v>476</v>
      </c>
      <c r="B477" s="28" t="e">
        <f>interpola(#REF!,CURVA!$B$6:$B$20,CURVA!$G$6:$G$20)</f>
        <v>#VALUE!</v>
      </c>
      <c r="C477" s="29" t="e">
        <f t="shared" si="7"/>
        <v>#VALUE!</v>
      </c>
      <c r="E477" t="e">
        <f>cubic_spline(CURVA!$B$6:$B$20,CURVA!$G$6:$G$20,#REF!)</f>
        <v>#VALUE!</v>
      </c>
    </row>
    <row r="478" spans="1:5" x14ac:dyDescent="0.2">
      <c r="A478" s="28">
        <v>477</v>
      </c>
      <c r="B478" s="28" t="e">
        <f>interpola(#REF!,CURVA!$B$6:$B$20,CURVA!$G$6:$G$20)</f>
        <v>#VALUE!</v>
      </c>
      <c r="C478" s="29" t="e">
        <f t="shared" si="7"/>
        <v>#VALUE!</v>
      </c>
      <c r="E478" t="e">
        <f>cubic_spline(CURVA!$B$6:$B$20,CURVA!$G$6:$G$20,#REF!)</f>
        <v>#VALUE!</v>
      </c>
    </row>
    <row r="479" spans="1:5" x14ac:dyDescent="0.2">
      <c r="A479" s="28">
        <v>478</v>
      </c>
      <c r="B479" s="28" t="e">
        <f>interpola(#REF!,CURVA!$B$6:$B$20,CURVA!$G$6:$G$20)</f>
        <v>#VALUE!</v>
      </c>
      <c r="C479" s="29" t="e">
        <f t="shared" si="7"/>
        <v>#VALUE!</v>
      </c>
      <c r="E479" t="e">
        <f>cubic_spline(CURVA!$B$6:$B$20,CURVA!$G$6:$G$20,#REF!)</f>
        <v>#VALUE!</v>
      </c>
    </row>
    <row r="480" spans="1:5" x14ac:dyDescent="0.2">
      <c r="A480" s="28">
        <v>479</v>
      </c>
      <c r="B480" s="28" t="e">
        <f>interpola(#REF!,CURVA!$B$6:$B$20,CURVA!$G$6:$G$20)</f>
        <v>#VALUE!</v>
      </c>
      <c r="C480" s="29" t="e">
        <f t="shared" si="7"/>
        <v>#VALUE!</v>
      </c>
      <c r="E480" t="e">
        <f>cubic_spline(CURVA!$B$6:$B$20,CURVA!$G$6:$G$20,#REF!)</f>
        <v>#VALUE!</v>
      </c>
    </row>
    <row r="481" spans="1:5" x14ac:dyDescent="0.2">
      <c r="A481" s="28">
        <v>480</v>
      </c>
      <c r="B481" s="28" t="e">
        <f>interpola(#REF!,CURVA!$B$6:$B$20,CURVA!$G$6:$G$20)</f>
        <v>#VALUE!</v>
      </c>
      <c r="C481" s="29" t="e">
        <f t="shared" si="7"/>
        <v>#VALUE!</v>
      </c>
      <c r="E481" t="e">
        <f>cubic_spline(CURVA!$B$6:$B$20,CURVA!$G$6:$G$20,#REF!)</f>
        <v>#VALUE!</v>
      </c>
    </row>
    <row r="482" spans="1:5" x14ac:dyDescent="0.2">
      <c r="A482" s="28">
        <v>481</v>
      </c>
      <c r="B482" s="28" t="e">
        <f>interpola(#REF!,CURVA!$B$6:$B$20,CURVA!$G$6:$G$20)</f>
        <v>#VALUE!</v>
      </c>
      <c r="C482" s="29" t="e">
        <f t="shared" si="7"/>
        <v>#VALUE!</v>
      </c>
      <c r="E482" t="e">
        <f>cubic_spline(CURVA!$B$6:$B$20,CURVA!$G$6:$G$20,#REF!)</f>
        <v>#VALUE!</v>
      </c>
    </row>
    <row r="483" spans="1:5" x14ac:dyDescent="0.2">
      <c r="A483" s="28">
        <v>482</v>
      </c>
      <c r="B483" s="28" t="e">
        <f>interpola(#REF!,CURVA!$B$6:$B$20,CURVA!$G$6:$G$20)</f>
        <v>#VALUE!</v>
      </c>
      <c r="C483" s="29" t="e">
        <f t="shared" si="7"/>
        <v>#VALUE!</v>
      </c>
      <c r="E483" t="e">
        <f>cubic_spline(CURVA!$B$6:$B$20,CURVA!$G$6:$G$20,#REF!)</f>
        <v>#VALUE!</v>
      </c>
    </row>
    <row r="484" spans="1:5" x14ac:dyDescent="0.2">
      <c r="A484" s="28">
        <v>483</v>
      </c>
      <c r="B484" s="28" t="e">
        <f>interpola(#REF!,CURVA!$B$6:$B$20,CURVA!$G$6:$G$20)</f>
        <v>#VALUE!</v>
      </c>
      <c r="C484" s="29" t="e">
        <f t="shared" si="7"/>
        <v>#VALUE!</v>
      </c>
      <c r="E484" t="e">
        <f>cubic_spline(CURVA!$B$6:$B$20,CURVA!$G$6:$G$20,#REF!)</f>
        <v>#VALUE!</v>
      </c>
    </row>
    <row r="485" spans="1:5" x14ac:dyDescent="0.2">
      <c r="A485" s="28">
        <v>484</v>
      </c>
      <c r="B485" s="28" t="e">
        <f>interpola(#REF!,CURVA!$B$6:$B$20,CURVA!$G$6:$G$20)</f>
        <v>#VALUE!</v>
      </c>
      <c r="C485" s="29" t="e">
        <f t="shared" si="7"/>
        <v>#VALUE!</v>
      </c>
      <c r="E485" t="e">
        <f>cubic_spline(CURVA!$B$6:$B$20,CURVA!$G$6:$G$20,#REF!)</f>
        <v>#VALUE!</v>
      </c>
    </row>
    <row r="486" spans="1:5" x14ac:dyDescent="0.2">
      <c r="A486" s="28">
        <v>485</v>
      </c>
      <c r="B486" s="28" t="e">
        <f>interpola(#REF!,CURVA!$B$6:$B$20,CURVA!$G$6:$G$20)</f>
        <v>#VALUE!</v>
      </c>
      <c r="C486" s="29" t="e">
        <f t="shared" si="7"/>
        <v>#VALUE!</v>
      </c>
      <c r="E486" t="e">
        <f>cubic_spline(CURVA!$B$6:$B$20,CURVA!$G$6:$G$20,#REF!)</f>
        <v>#VALUE!</v>
      </c>
    </row>
    <row r="487" spans="1:5" x14ac:dyDescent="0.2">
      <c r="A487" s="28">
        <v>486</v>
      </c>
      <c r="B487" s="28" t="e">
        <f>interpola(#REF!,CURVA!$B$6:$B$20,CURVA!$G$6:$G$20)</f>
        <v>#VALUE!</v>
      </c>
      <c r="C487" s="29" t="e">
        <f t="shared" si="7"/>
        <v>#VALUE!</v>
      </c>
      <c r="E487" t="e">
        <f>cubic_spline(CURVA!$B$6:$B$20,CURVA!$G$6:$G$20,#REF!)</f>
        <v>#VALUE!</v>
      </c>
    </row>
    <row r="488" spans="1:5" x14ac:dyDescent="0.2">
      <c r="A488" s="28">
        <v>487</v>
      </c>
      <c r="B488" s="28" t="e">
        <f>interpola(#REF!,CURVA!$B$6:$B$20,CURVA!$G$6:$G$20)</f>
        <v>#VALUE!</v>
      </c>
      <c r="C488" s="29" t="e">
        <f t="shared" si="7"/>
        <v>#VALUE!</v>
      </c>
      <c r="E488" t="e">
        <f>cubic_spline(CURVA!$B$6:$B$20,CURVA!$G$6:$G$20,#REF!)</f>
        <v>#VALUE!</v>
      </c>
    </row>
    <row r="489" spans="1:5" x14ac:dyDescent="0.2">
      <c r="A489" s="28">
        <v>488</v>
      </c>
      <c r="B489" s="28" t="e">
        <f>interpola(#REF!,CURVA!$B$6:$B$20,CURVA!$G$6:$G$20)</f>
        <v>#VALUE!</v>
      </c>
      <c r="C489" s="29" t="e">
        <f t="shared" si="7"/>
        <v>#VALUE!</v>
      </c>
      <c r="E489" t="e">
        <f>cubic_spline(CURVA!$B$6:$B$20,CURVA!$G$6:$G$20,#REF!)</f>
        <v>#VALUE!</v>
      </c>
    </row>
    <row r="490" spans="1:5" x14ac:dyDescent="0.2">
      <c r="A490" s="28">
        <v>489</v>
      </c>
      <c r="B490" s="28" t="e">
        <f>interpola(#REF!,CURVA!$B$6:$B$20,CURVA!$G$6:$G$20)</f>
        <v>#VALUE!</v>
      </c>
      <c r="C490" s="29" t="e">
        <f t="shared" si="7"/>
        <v>#VALUE!</v>
      </c>
      <c r="E490" t="e">
        <f>cubic_spline(CURVA!$B$6:$B$20,CURVA!$G$6:$G$20,#REF!)</f>
        <v>#VALUE!</v>
      </c>
    </row>
    <row r="491" spans="1:5" x14ac:dyDescent="0.2">
      <c r="A491" s="28">
        <v>490</v>
      </c>
      <c r="B491" s="28" t="e">
        <f>interpola(#REF!,CURVA!$B$6:$B$20,CURVA!$G$6:$G$20)</f>
        <v>#VALUE!</v>
      </c>
      <c r="C491" s="29" t="e">
        <f t="shared" si="7"/>
        <v>#VALUE!</v>
      </c>
      <c r="E491" t="e">
        <f>cubic_spline(CURVA!$B$6:$B$20,CURVA!$G$6:$G$20,#REF!)</f>
        <v>#VALUE!</v>
      </c>
    </row>
    <row r="492" spans="1:5" x14ac:dyDescent="0.2">
      <c r="A492" s="28">
        <v>491</v>
      </c>
      <c r="B492" s="28" t="e">
        <f>interpola(#REF!,CURVA!$B$6:$B$20,CURVA!$G$6:$G$20)</f>
        <v>#VALUE!</v>
      </c>
      <c r="C492" s="29" t="e">
        <f t="shared" si="7"/>
        <v>#VALUE!</v>
      </c>
      <c r="E492" t="e">
        <f>cubic_spline(CURVA!$B$6:$B$20,CURVA!$G$6:$G$20,#REF!)</f>
        <v>#VALUE!</v>
      </c>
    </row>
    <row r="493" spans="1:5" x14ac:dyDescent="0.2">
      <c r="A493" s="28">
        <v>492</v>
      </c>
      <c r="B493" s="28" t="e">
        <f>interpola(#REF!,CURVA!$B$6:$B$20,CURVA!$G$6:$G$20)</f>
        <v>#VALUE!</v>
      </c>
      <c r="C493" s="29" t="e">
        <f t="shared" si="7"/>
        <v>#VALUE!</v>
      </c>
      <c r="E493" t="e">
        <f>cubic_spline(CURVA!$B$6:$B$20,CURVA!$G$6:$G$20,#REF!)</f>
        <v>#VALUE!</v>
      </c>
    </row>
    <row r="494" spans="1:5" x14ac:dyDescent="0.2">
      <c r="A494" s="28">
        <v>493</v>
      </c>
      <c r="B494" s="28" t="e">
        <f>interpola(#REF!,CURVA!$B$6:$B$20,CURVA!$G$6:$G$20)</f>
        <v>#VALUE!</v>
      </c>
      <c r="C494" s="29" t="e">
        <f t="shared" si="7"/>
        <v>#VALUE!</v>
      </c>
      <c r="E494" t="e">
        <f>cubic_spline(CURVA!$B$6:$B$20,CURVA!$G$6:$G$20,#REF!)</f>
        <v>#VALUE!</v>
      </c>
    </row>
    <row r="495" spans="1:5" x14ac:dyDescent="0.2">
      <c r="A495" s="28">
        <v>494</v>
      </c>
      <c r="B495" s="28" t="e">
        <f>interpola(#REF!,CURVA!$B$6:$B$20,CURVA!$G$6:$G$20)</f>
        <v>#VALUE!</v>
      </c>
      <c r="C495" s="29" t="e">
        <f t="shared" si="7"/>
        <v>#VALUE!</v>
      </c>
      <c r="E495" t="e">
        <f>cubic_spline(CURVA!$B$6:$B$20,CURVA!$G$6:$G$20,#REF!)</f>
        <v>#VALUE!</v>
      </c>
    </row>
    <row r="496" spans="1:5" x14ac:dyDescent="0.2">
      <c r="A496" s="28">
        <v>495</v>
      </c>
      <c r="B496" s="28" t="e">
        <f>interpola(#REF!,CURVA!$B$6:$B$20,CURVA!$G$6:$G$20)</f>
        <v>#VALUE!</v>
      </c>
      <c r="C496" s="29" t="e">
        <f t="shared" si="7"/>
        <v>#VALUE!</v>
      </c>
      <c r="E496" t="e">
        <f>cubic_spline(CURVA!$B$6:$B$20,CURVA!$G$6:$G$20,#REF!)</f>
        <v>#VALUE!</v>
      </c>
    </row>
    <row r="497" spans="1:5" x14ac:dyDescent="0.2">
      <c r="A497" s="28">
        <v>496</v>
      </c>
      <c r="B497" s="28" t="e">
        <f>interpola(#REF!,CURVA!$B$6:$B$20,CURVA!$G$6:$G$20)</f>
        <v>#VALUE!</v>
      </c>
      <c r="C497" s="29" t="e">
        <f t="shared" si="7"/>
        <v>#VALUE!</v>
      </c>
      <c r="E497" t="e">
        <f>cubic_spline(CURVA!$B$6:$B$20,CURVA!$G$6:$G$20,#REF!)</f>
        <v>#VALUE!</v>
      </c>
    </row>
    <row r="498" spans="1:5" x14ac:dyDescent="0.2">
      <c r="A498" s="28">
        <v>497</v>
      </c>
      <c r="B498" s="28" t="e">
        <f>interpola(#REF!,CURVA!$B$6:$B$20,CURVA!$G$6:$G$20)</f>
        <v>#VALUE!</v>
      </c>
      <c r="C498" s="29" t="e">
        <f t="shared" si="7"/>
        <v>#VALUE!</v>
      </c>
      <c r="E498" t="e">
        <f>cubic_spline(CURVA!$B$6:$B$20,CURVA!$G$6:$G$20,#REF!)</f>
        <v>#VALUE!</v>
      </c>
    </row>
    <row r="499" spans="1:5" x14ac:dyDescent="0.2">
      <c r="A499" s="28">
        <v>498</v>
      </c>
      <c r="B499" s="28" t="e">
        <f>interpola(#REF!,CURVA!$B$6:$B$20,CURVA!$G$6:$G$20)</f>
        <v>#VALUE!</v>
      </c>
      <c r="C499" s="29" t="e">
        <f t="shared" si="7"/>
        <v>#VALUE!</v>
      </c>
      <c r="E499" t="e">
        <f>cubic_spline(CURVA!$B$6:$B$20,CURVA!$G$6:$G$20,#REF!)</f>
        <v>#VALUE!</v>
      </c>
    </row>
    <row r="500" spans="1:5" x14ac:dyDescent="0.2">
      <c r="A500" s="28">
        <v>499</v>
      </c>
      <c r="B500" s="28" t="e">
        <f>interpola(#REF!,CURVA!$B$6:$B$20,CURVA!$G$6:$G$20)</f>
        <v>#VALUE!</v>
      </c>
      <c r="C500" s="29" t="e">
        <f t="shared" si="7"/>
        <v>#VALUE!</v>
      </c>
      <c r="E500" t="e">
        <f>cubic_spline(CURVA!$B$6:$B$20,CURVA!$G$6:$G$20,#REF!)</f>
        <v>#VALUE!</v>
      </c>
    </row>
    <row r="501" spans="1:5" x14ac:dyDescent="0.2">
      <c r="A501" s="28">
        <v>500</v>
      </c>
      <c r="B501" s="28" t="e">
        <f>interpola(#REF!,CURVA!$B$6:$B$20,CURVA!$G$6:$G$20)</f>
        <v>#VALUE!</v>
      </c>
      <c r="C501" s="29" t="e">
        <f t="shared" si="7"/>
        <v>#VALUE!</v>
      </c>
      <c r="E501" t="e">
        <f>cubic_spline(CURVA!$B$6:$B$20,CURVA!$G$6:$G$20,#REF!)</f>
        <v>#VALUE!</v>
      </c>
    </row>
    <row r="502" spans="1:5" x14ac:dyDescent="0.2">
      <c r="A502" s="28">
        <v>501</v>
      </c>
      <c r="B502" s="28" t="e">
        <f>interpola(#REF!,CURVA!$B$6:$B$20,CURVA!$G$6:$G$20)</f>
        <v>#VALUE!</v>
      </c>
      <c r="C502" s="29" t="e">
        <f t="shared" si="7"/>
        <v>#VALUE!</v>
      </c>
      <c r="E502" t="e">
        <f>cubic_spline(CURVA!$B$6:$B$20,CURVA!$G$6:$G$20,#REF!)</f>
        <v>#VALUE!</v>
      </c>
    </row>
    <row r="503" spans="1:5" x14ac:dyDescent="0.2">
      <c r="A503" s="28">
        <v>502</v>
      </c>
      <c r="B503" s="28" t="e">
        <f>interpola(#REF!,CURVA!$B$6:$B$20,CURVA!$G$6:$G$20)</f>
        <v>#VALUE!</v>
      </c>
      <c r="C503" s="29" t="e">
        <f t="shared" si="7"/>
        <v>#VALUE!</v>
      </c>
      <c r="E503" t="e">
        <f>cubic_spline(CURVA!$B$6:$B$20,CURVA!$G$6:$G$20,#REF!)</f>
        <v>#VALUE!</v>
      </c>
    </row>
    <row r="504" spans="1:5" x14ac:dyDescent="0.2">
      <c r="A504" s="28">
        <v>503</v>
      </c>
      <c r="B504" s="28" t="e">
        <f>interpola(#REF!,CURVA!$B$6:$B$20,CURVA!$G$6:$G$20)</f>
        <v>#VALUE!</v>
      </c>
      <c r="C504" s="29" t="e">
        <f t="shared" si="7"/>
        <v>#VALUE!</v>
      </c>
      <c r="E504" t="e">
        <f>cubic_spline(CURVA!$B$6:$B$20,CURVA!$G$6:$G$20,#REF!)</f>
        <v>#VALUE!</v>
      </c>
    </row>
    <row r="505" spans="1:5" x14ac:dyDescent="0.2">
      <c r="A505" s="28">
        <v>504</v>
      </c>
      <c r="B505" s="28" t="e">
        <f>interpola(#REF!,CURVA!$B$6:$B$20,CURVA!$G$6:$G$20)</f>
        <v>#VALUE!</v>
      </c>
      <c r="C505" s="29" t="e">
        <f t="shared" si="7"/>
        <v>#VALUE!</v>
      </c>
      <c r="E505" t="e">
        <f>cubic_spline(CURVA!$B$6:$B$20,CURVA!$G$6:$G$20,#REF!)</f>
        <v>#VALUE!</v>
      </c>
    </row>
    <row r="506" spans="1:5" x14ac:dyDescent="0.2">
      <c r="A506" s="28">
        <v>505</v>
      </c>
      <c r="B506" s="28" t="e">
        <f>interpola(#REF!,CURVA!$B$6:$B$20,CURVA!$G$6:$G$20)</f>
        <v>#VALUE!</v>
      </c>
      <c r="C506" s="29" t="e">
        <f t="shared" si="7"/>
        <v>#VALUE!</v>
      </c>
      <c r="E506" t="e">
        <f>cubic_spline(CURVA!$B$6:$B$20,CURVA!$G$6:$G$20,#REF!)</f>
        <v>#VALUE!</v>
      </c>
    </row>
    <row r="507" spans="1:5" x14ac:dyDescent="0.2">
      <c r="A507" s="28">
        <v>506</v>
      </c>
      <c r="B507" s="28" t="e">
        <f>interpola(#REF!,CURVA!$B$6:$B$20,CURVA!$G$6:$G$20)</f>
        <v>#VALUE!</v>
      </c>
      <c r="C507" s="29" t="e">
        <f t="shared" si="7"/>
        <v>#VALUE!</v>
      </c>
      <c r="E507" t="e">
        <f>cubic_spline(CURVA!$B$6:$B$20,CURVA!$G$6:$G$20,#REF!)</f>
        <v>#VALUE!</v>
      </c>
    </row>
    <row r="508" spans="1:5" x14ac:dyDescent="0.2">
      <c r="A508" s="28">
        <v>507</v>
      </c>
      <c r="B508" s="28" t="e">
        <f>interpola(#REF!,CURVA!$B$6:$B$20,CURVA!$G$6:$G$20)</f>
        <v>#VALUE!</v>
      </c>
      <c r="C508" s="29" t="e">
        <f t="shared" si="7"/>
        <v>#VALUE!</v>
      </c>
      <c r="E508" t="e">
        <f>cubic_spline(CURVA!$B$6:$B$20,CURVA!$G$6:$G$20,#REF!)</f>
        <v>#VALUE!</v>
      </c>
    </row>
    <row r="509" spans="1:5" x14ac:dyDescent="0.2">
      <c r="A509" s="28">
        <v>508</v>
      </c>
      <c r="B509" s="28" t="e">
        <f>interpola(#REF!,CURVA!$B$6:$B$20,CURVA!$G$6:$G$20)</f>
        <v>#VALUE!</v>
      </c>
      <c r="C509" s="29" t="e">
        <f t="shared" si="7"/>
        <v>#VALUE!</v>
      </c>
      <c r="E509" t="e">
        <f>cubic_spline(CURVA!$B$6:$B$20,CURVA!$G$6:$G$20,#REF!)</f>
        <v>#VALUE!</v>
      </c>
    </row>
    <row r="510" spans="1:5" x14ac:dyDescent="0.2">
      <c r="A510" s="28">
        <v>509</v>
      </c>
      <c r="B510" s="28" t="e">
        <f>interpola(#REF!,CURVA!$B$6:$B$20,CURVA!$G$6:$G$20)</f>
        <v>#VALUE!</v>
      </c>
      <c r="C510" s="29" t="e">
        <f t="shared" si="7"/>
        <v>#VALUE!</v>
      </c>
      <c r="E510" t="e">
        <f>cubic_spline(CURVA!$B$6:$B$20,CURVA!$G$6:$G$20,#REF!)</f>
        <v>#VALUE!</v>
      </c>
    </row>
    <row r="511" spans="1:5" x14ac:dyDescent="0.2">
      <c r="A511" s="28">
        <v>510</v>
      </c>
      <c r="B511" s="28" t="e">
        <f>interpola(#REF!,CURVA!$B$6:$B$20,CURVA!$G$6:$G$20)</f>
        <v>#VALUE!</v>
      </c>
      <c r="C511" s="29" t="e">
        <f t="shared" si="7"/>
        <v>#VALUE!</v>
      </c>
      <c r="E511" t="e">
        <f>cubic_spline(CURVA!$B$6:$B$20,CURVA!$G$6:$G$20,#REF!)</f>
        <v>#VALUE!</v>
      </c>
    </row>
    <row r="512" spans="1:5" x14ac:dyDescent="0.2">
      <c r="A512" s="28">
        <v>511</v>
      </c>
      <c r="B512" s="28" t="e">
        <f>interpola(#REF!,CURVA!$B$6:$B$20,CURVA!$G$6:$G$20)</f>
        <v>#VALUE!</v>
      </c>
      <c r="C512" s="29" t="e">
        <f t="shared" si="7"/>
        <v>#VALUE!</v>
      </c>
      <c r="E512" t="e">
        <f>cubic_spline(CURVA!$B$6:$B$20,CURVA!$G$6:$G$20,#REF!)</f>
        <v>#VALUE!</v>
      </c>
    </row>
    <row r="513" spans="1:5" x14ac:dyDescent="0.2">
      <c r="A513" s="28">
        <v>512</v>
      </c>
      <c r="B513" s="28" t="e">
        <f>interpola(#REF!,CURVA!$B$6:$B$20,CURVA!$G$6:$G$20)</f>
        <v>#VALUE!</v>
      </c>
      <c r="C513" s="29" t="e">
        <f t="shared" si="7"/>
        <v>#VALUE!</v>
      </c>
      <c r="E513" t="e">
        <f>cubic_spline(CURVA!$B$6:$B$20,CURVA!$G$6:$G$20,#REF!)</f>
        <v>#VALUE!</v>
      </c>
    </row>
    <row r="514" spans="1:5" x14ac:dyDescent="0.2">
      <c r="A514" s="28">
        <v>513</v>
      </c>
      <c r="B514" s="28" t="e">
        <f>interpola(#REF!,CURVA!$B$6:$B$20,CURVA!$G$6:$G$20)</f>
        <v>#VALUE!</v>
      </c>
      <c r="C514" s="29" t="e">
        <f t="shared" ref="C514:C577" si="8">(EXP(B514*A514/360)-1)*360/A514</f>
        <v>#VALUE!</v>
      </c>
      <c r="E514" t="e">
        <f>cubic_spline(CURVA!$B$6:$B$20,CURVA!$G$6:$G$20,#REF!)</f>
        <v>#VALUE!</v>
      </c>
    </row>
    <row r="515" spans="1:5" x14ac:dyDescent="0.2">
      <c r="A515" s="28">
        <v>514</v>
      </c>
      <c r="B515" s="28" t="e">
        <f>interpola(#REF!,CURVA!$B$6:$B$20,CURVA!$G$6:$G$20)</f>
        <v>#VALUE!</v>
      </c>
      <c r="C515" s="29" t="e">
        <f t="shared" si="8"/>
        <v>#VALUE!</v>
      </c>
      <c r="E515" t="e">
        <f>cubic_spline(CURVA!$B$6:$B$20,CURVA!$G$6:$G$20,#REF!)</f>
        <v>#VALUE!</v>
      </c>
    </row>
    <row r="516" spans="1:5" x14ac:dyDescent="0.2">
      <c r="A516" s="28">
        <v>515</v>
      </c>
      <c r="B516" s="28" t="e">
        <f>interpola(#REF!,CURVA!$B$6:$B$20,CURVA!$G$6:$G$20)</f>
        <v>#VALUE!</v>
      </c>
      <c r="C516" s="29" t="e">
        <f t="shared" si="8"/>
        <v>#VALUE!</v>
      </c>
      <c r="E516" t="e">
        <f>cubic_spline(CURVA!$B$6:$B$20,CURVA!$G$6:$G$20,#REF!)</f>
        <v>#VALUE!</v>
      </c>
    </row>
    <row r="517" spans="1:5" x14ac:dyDescent="0.2">
      <c r="A517" s="28">
        <v>516</v>
      </c>
      <c r="B517" s="28" t="e">
        <f>interpola(#REF!,CURVA!$B$6:$B$20,CURVA!$G$6:$G$20)</f>
        <v>#VALUE!</v>
      </c>
      <c r="C517" s="29" t="e">
        <f t="shared" si="8"/>
        <v>#VALUE!</v>
      </c>
      <c r="E517" t="e">
        <f>cubic_spline(CURVA!$B$6:$B$20,CURVA!$G$6:$G$20,#REF!)</f>
        <v>#VALUE!</v>
      </c>
    </row>
    <row r="518" spans="1:5" x14ac:dyDescent="0.2">
      <c r="A518" s="28">
        <v>517</v>
      </c>
      <c r="B518" s="28" t="e">
        <f>interpola(#REF!,CURVA!$B$6:$B$20,CURVA!$G$6:$G$20)</f>
        <v>#VALUE!</v>
      </c>
      <c r="C518" s="29" t="e">
        <f t="shared" si="8"/>
        <v>#VALUE!</v>
      </c>
      <c r="E518" t="e">
        <f>cubic_spline(CURVA!$B$6:$B$20,CURVA!$G$6:$G$20,#REF!)</f>
        <v>#VALUE!</v>
      </c>
    </row>
    <row r="519" spans="1:5" x14ac:dyDescent="0.2">
      <c r="A519" s="28">
        <v>518</v>
      </c>
      <c r="B519" s="28" t="e">
        <f>interpola(#REF!,CURVA!$B$6:$B$20,CURVA!$G$6:$G$20)</f>
        <v>#VALUE!</v>
      </c>
      <c r="C519" s="29" t="e">
        <f t="shared" si="8"/>
        <v>#VALUE!</v>
      </c>
      <c r="E519" t="e">
        <f>cubic_spline(CURVA!$B$6:$B$20,CURVA!$G$6:$G$20,#REF!)</f>
        <v>#VALUE!</v>
      </c>
    </row>
    <row r="520" spans="1:5" x14ac:dyDescent="0.2">
      <c r="A520" s="28">
        <v>519</v>
      </c>
      <c r="B520" s="28" t="e">
        <f>interpola(#REF!,CURVA!$B$6:$B$20,CURVA!$G$6:$G$20)</f>
        <v>#VALUE!</v>
      </c>
      <c r="C520" s="29" t="e">
        <f t="shared" si="8"/>
        <v>#VALUE!</v>
      </c>
      <c r="E520" t="e">
        <f>cubic_spline(CURVA!$B$6:$B$20,CURVA!$G$6:$G$20,#REF!)</f>
        <v>#VALUE!</v>
      </c>
    </row>
    <row r="521" spans="1:5" x14ac:dyDescent="0.2">
      <c r="A521" s="28">
        <v>520</v>
      </c>
      <c r="B521" s="28" t="e">
        <f>interpola(#REF!,CURVA!$B$6:$B$20,CURVA!$G$6:$G$20)</f>
        <v>#VALUE!</v>
      </c>
      <c r="C521" s="29" t="e">
        <f t="shared" si="8"/>
        <v>#VALUE!</v>
      </c>
      <c r="E521" t="e">
        <f>cubic_spline(CURVA!$B$6:$B$20,CURVA!$G$6:$G$20,#REF!)</f>
        <v>#VALUE!</v>
      </c>
    </row>
    <row r="522" spans="1:5" x14ac:dyDescent="0.2">
      <c r="A522" s="28">
        <v>521</v>
      </c>
      <c r="B522" s="28" t="e">
        <f>interpola(#REF!,CURVA!$B$6:$B$20,CURVA!$G$6:$G$20)</f>
        <v>#VALUE!</v>
      </c>
      <c r="C522" s="29" t="e">
        <f t="shared" si="8"/>
        <v>#VALUE!</v>
      </c>
      <c r="E522" t="e">
        <f>cubic_spline(CURVA!$B$6:$B$20,CURVA!$G$6:$G$20,#REF!)</f>
        <v>#VALUE!</v>
      </c>
    </row>
    <row r="523" spans="1:5" x14ac:dyDescent="0.2">
      <c r="A523" s="28">
        <v>522</v>
      </c>
      <c r="B523" s="28" t="e">
        <f>interpola(#REF!,CURVA!$B$6:$B$20,CURVA!$G$6:$G$20)</f>
        <v>#VALUE!</v>
      </c>
      <c r="C523" s="29" t="e">
        <f t="shared" si="8"/>
        <v>#VALUE!</v>
      </c>
      <c r="E523" t="e">
        <f>cubic_spline(CURVA!$B$6:$B$20,CURVA!$G$6:$G$20,#REF!)</f>
        <v>#VALUE!</v>
      </c>
    </row>
    <row r="524" spans="1:5" x14ac:dyDescent="0.2">
      <c r="A524" s="28">
        <v>523</v>
      </c>
      <c r="B524" s="28" t="e">
        <f>interpola(#REF!,CURVA!$B$6:$B$20,CURVA!$G$6:$G$20)</f>
        <v>#VALUE!</v>
      </c>
      <c r="C524" s="29" t="e">
        <f t="shared" si="8"/>
        <v>#VALUE!</v>
      </c>
      <c r="E524" t="e">
        <f>cubic_spline(CURVA!$B$6:$B$20,CURVA!$G$6:$G$20,#REF!)</f>
        <v>#VALUE!</v>
      </c>
    </row>
    <row r="525" spans="1:5" x14ac:dyDescent="0.2">
      <c r="A525" s="28">
        <v>524</v>
      </c>
      <c r="B525" s="28" t="e">
        <f>interpola(#REF!,CURVA!$B$6:$B$20,CURVA!$G$6:$G$20)</f>
        <v>#VALUE!</v>
      </c>
      <c r="C525" s="29" t="e">
        <f t="shared" si="8"/>
        <v>#VALUE!</v>
      </c>
      <c r="E525" t="e">
        <f>cubic_spline(CURVA!$B$6:$B$20,CURVA!$G$6:$G$20,#REF!)</f>
        <v>#VALUE!</v>
      </c>
    </row>
    <row r="526" spans="1:5" x14ac:dyDescent="0.2">
      <c r="A526" s="28">
        <v>525</v>
      </c>
      <c r="B526" s="28" t="e">
        <f>interpola(#REF!,CURVA!$B$6:$B$20,CURVA!$G$6:$G$20)</f>
        <v>#VALUE!</v>
      </c>
      <c r="C526" s="29" t="e">
        <f t="shared" si="8"/>
        <v>#VALUE!</v>
      </c>
      <c r="E526" t="e">
        <f>cubic_spline(CURVA!$B$6:$B$20,CURVA!$G$6:$G$20,#REF!)</f>
        <v>#VALUE!</v>
      </c>
    </row>
    <row r="527" spans="1:5" x14ac:dyDescent="0.2">
      <c r="A527" s="28">
        <v>526</v>
      </c>
      <c r="B527" s="28" t="e">
        <f>interpola(#REF!,CURVA!$B$6:$B$20,CURVA!$G$6:$G$20)</f>
        <v>#VALUE!</v>
      </c>
      <c r="C527" s="29" t="e">
        <f t="shared" si="8"/>
        <v>#VALUE!</v>
      </c>
      <c r="E527" t="e">
        <f>cubic_spline(CURVA!$B$6:$B$20,CURVA!$G$6:$G$20,#REF!)</f>
        <v>#VALUE!</v>
      </c>
    </row>
    <row r="528" spans="1:5" x14ac:dyDescent="0.2">
      <c r="A528" s="28">
        <v>527</v>
      </c>
      <c r="B528" s="28" t="e">
        <f>interpola(#REF!,CURVA!$B$6:$B$20,CURVA!$G$6:$G$20)</f>
        <v>#VALUE!</v>
      </c>
      <c r="C528" s="29" t="e">
        <f t="shared" si="8"/>
        <v>#VALUE!</v>
      </c>
      <c r="E528" t="e">
        <f>cubic_spline(CURVA!$B$6:$B$20,CURVA!$G$6:$G$20,#REF!)</f>
        <v>#VALUE!</v>
      </c>
    </row>
    <row r="529" spans="1:5" x14ac:dyDescent="0.2">
      <c r="A529" s="28">
        <v>528</v>
      </c>
      <c r="B529" s="28" t="e">
        <f>interpola(#REF!,CURVA!$B$6:$B$20,CURVA!$G$6:$G$20)</f>
        <v>#VALUE!</v>
      </c>
      <c r="C529" s="29" t="e">
        <f t="shared" si="8"/>
        <v>#VALUE!</v>
      </c>
      <c r="E529" t="e">
        <f>cubic_spline(CURVA!$B$6:$B$20,CURVA!$G$6:$G$20,#REF!)</f>
        <v>#VALUE!</v>
      </c>
    </row>
    <row r="530" spans="1:5" x14ac:dyDescent="0.2">
      <c r="A530" s="28">
        <v>529</v>
      </c>
      <c r="B530" s="28" t="e">
        <f>interpola(#REF!,CURVA!$B$6:$B$20,CURVA!$G$6:$G$20)</f>
        <v>#VALUE!</v>
      </c>
      <c r="C530" s="29" t="e">
        <f t="shared" si="8"/>
        <v>#VALUE!</v>
      </c>
      <c r="E530" t="e">
        <f>cubic_spline(CURVA!$B$6:$B$20,CURVA!$G$6:$G$20,#REF!)</f>
        <v>#VALUE!</v>
      </c>
    </row>
    <row r="531" spans="1:5" x14ac:dyDescent="0.2">
      <c r="A531" s="28">
        <v>530</v>
      </c>
      <c r="B531" s="28" t="e">
        <f>interpola(#REF!,CURVA!$B$6:$B$20,CURVA!$G$6:$G$20)</f>
        <v>#VALUE!</v>
      </c>
      <c r="C531" s="29" t="e">
        <f t="shared" si="8"/>
        <v>#VALUE!</v>
      </c>
      <c r="E531" t="e">
        <f>cubic_spline(CURVA!$B$6:$B$20,CURVA!$G$6:$G$20,#REF!)</f>
        <v>#VALUE!</v>
      </c>
    </row>
    <row r="532" spans="1:5" x14ac:dyDescent="0.2">
      <c r="A532" s="28">
        <v>531</v>
      </c>
      <c r="B532" s="28" t="e">
        <f>interpola(#REF!,CURVA!$B$6:$B$20,CURVA!$G$6:$G$20)</f>
        <v>#VALUE!</v>
      </c>
      <c r="C532" s="29" t="e">
        <f t="shared" si="8"/>
        <v>#VALUE!</v>
      </c>
      <c r="E532" t="e">
        <f>cubic_spline(CURVA!$B$6:$B$20,CURVA!$G$6:$G$20,#REF!)</f>
        <v>#VALUE!</v>
      </c>
    </row>
    <row r="533" spans="1:5" x14ac:dyDescent="0.2">
      <c r="A533" s="28">
        <v>532</v>
      </c>
      <c r="B533" s="28" t="e">
        <f>interpola(#REF!,CURVA!$B$6:$B$20,CURVA!$G$6:$G$20)</f>
        <v>#VALUE!</v>
      </c>
      <c r="C533" s="29" t="e">
        <f t="shared" si="8"/>
        <v>#VALUE!</v>
      </c>
      <c r="E533" t="e">
        <f>cubic_spline(CURVA!$B$6:$B$20,CURVA!$G$6:$G$20,#REF!)</f>
        <v>#VALUE!</v>
      </c>
    </row>
    <row r="534" spans="1:5" x14ac:dyDescent="0.2">
      <c r="A534" s="28">
        <v>533</v>
      </c>
      <c r="B534" s="28" t="e">
        <f>interpola(#REF!,CURVA!$B$6:$B$20,CURVA!$G$6:$G$20)</f>
        <v>#VALUE!</v>
      </c>
      <c r="C534" s="29" t="e">
        <f t="shared" si="8"/>
        <v>#VALUE!</v>
      </c>
      <c r="E534" t="e">
        <f>cubic_spline(CURVA!$B$6:$B$20,CURVA!$G$6:$G$20,#REF!)</f>
        <v>#VALUE!</v>
      </c>
    </row>
    <row r="535" spans="1:5" x14ac:dyDescent="0.2">
      <c r="A535" s="28">
        <v>534</v>
      </c>
      <c r="B535" s="28" t="e">
        <f>interpola(#REF!,CURVA!$B$6:$B$20,CURVA!$G$6:$G$20)</f>
        <v>#VALUE!</v>
      </c>
      <c r="C535" s="29" t="e">
        <f t="shared" si="8"/>
        <v>#VALUE!</v>
      </c>
      <c r="E535" t="e">
        <f>cubic_spline(CURVA!$B$6:$B$20,CURVA!$G$6:$G$20,#REF!)</f>
        <v>#VALUE!</v>
      </c>
    </row>
    <row r="536" spans="1:5" x14ac:dyDescent="0.2">
      <c r="A536" s="28">
        <v>535</v>
      </c>
      <c r="B536" s="28" t="e">
        <f>interpola(#REF!,CURVA!$B$6:$B$20,CURVA!$G$6:$G$20)</f>
        <v>#VALUE!</v>
      </c>
      <c r="C536" s="29" t="e">
        <f t="shared" si="8"/>
        <v>#VALUE!</v>
      </c>
      <c r="E536" t="e">
        <f>cubic_spline(CURVA!$B$6:$B$20,CURVA!$G$6:$G$20,#REF!)</f>
        <v>#VALUE!</v>
      </c>
    </row>
    <row r="537" spans="1:5" x14ac:dyDescent="0.2">
      <c r="A537" s="28">
        <v>536</v>
      </c>
      <c r="B537" s="28" t="e">
        <f>interpola(#REF!,CURVA!$B$6:$B$20,CURVA!$G$6:$G$20)</f>
        <v>#VALUE!</v>
      </c>
      <c r="C537" s="29" t="e">
        <f t="shared" si="8"/>
        <v>#VALUE!</v>
      </c>
      <c r="E537" t="e">
        <f>cubic_spline(CURVA!$B$6:$B$20,CURVA!$G$6:$G$20,#REF!)</f>
        <v>#VALUE!</v>
      </c>
    </row>
    <row r="538" spans="1:5" x14ac:dyDescent="0.2">
      <c r="A538" s="28">
        <v>537</v>
      </c>
      <c r="B538" s="28" t="e">
        <f>interpola(#REF!,CURVA!$B$6:$B$20,CURVA!$G$6:$G$20)</f>
        <v>#VALUE!</v>
      </c>
      <c r="C538" s="29" t="e">
        <f t="shared" si="8"/>
        <v>#VALUE!</v>
      </c>
      <c r="E538" t="e">
        <f>cubic_spline(CURVA!$B$6:$B$20,CURVA!$G$6:$G$20,#REF!)</f>
        <v>#VALUE!</v>
      </c>
    </row>
    <row r="539" spans="1:5" x14ac:dyDescent="0.2">
      <c r="A539" s="28">
        <v>538</v>
      </c>
      <c r="B539" s="28" t="e">
        <f>interpola(#REF!,CURVA!$B$6:$B$20,CURVA!$G$6:$G$20)</f>
        <v>#VALUE!</v>
      </c>
      <c r="C539" s="29" t="e">
        <f t="shared" si="8"/>
        <v>#VALUE!</v>
      </c>
      <c r="E539" t="e">
        <f>cubic_spline(CURVA!$B$6:$B$20,CURVA!$G$6:$G$20,#REF!)</f>
        <v>#VALUE!</v>
      </c>
    </row>
    <row r="540" spans="1:5" x14ac:dyDescent="0.2">
      <c r="A540" s="28">
        <v>539</v>
      </c>
      <c r="B540" s="28" t="e">
        <f>interpola(#REF!,CURVA!$B$6:$B$20,CURVA!$G$6:$G$20)</f>
        <v>#VALUE!</v>
      </c>
      <c r="C540" s="29" t="e">
        <f t="shared" si="8"/>
        <v>#VALUE!</v>
      </c>
      <c r="E540" t="e">
        <f>cubic_spline(CURVA!$B$6:$B$20,CURVA!$G$6:$G$20,#REF!)</f>
        <v>#VALUE!</v>
      </c>
    </row>
    <row r="541" spans="1:5" x14ac:dyDescent="0.2">
      <c r="A541" s="28">
        <v>540</v>
      </c>
      <c r="B541" s="28" t="e">
        <f>interpola(#REF!,CURVA!$B$6:$B$20,CURVA!$G$6:$G$20)</f>
        <v>#VALUE!</v>
      </c>
      <c r="C541" s="29" t="e">
        <f t="shared" si="8"/>
        <v>#VALUE!</v>
      </c>
      <c r="E541" t="e">
        <f>cubic_spline(CURVA!$B$6:$B$20,CURVA!$G$6:$G$20,#REF!)</f>
        <v>#VALUE!</v>
      </c>
    </row>
    <row r="542" spans="1:5" x14ac:dyDescent="0.2">
      <c r="A542" s="28">
        <v>541</v>
      </c>
      <c r="B542" s="28" t="e">
        <f>interpola(#REF!,CURVA!$B$6:$B$20,CURVA!$G$6:$G$20)</f>
        <v>#VALUE!</v>
      </c>
      <c r="C542" s="29" t="e">
        <f t="shared" si="8"/>
        <v>#VALUE!</v>
      </c>
      <c r="E542" t="e">
        <f>cubic_spline(CURVA!$B$6:$B$20,CURVA!$G$6:$G$20,#REF!)</f>
        <v>#VALUE!</v>
      </c>
    </row>
    <row r="543" spans="1:5" x14ac:dyDescent="0.2">
      <c r="A543" s="28">
        <v>542</v>
      </c>
      <c r="B543" s="28" t="e">
        <f>interpola(#REF!,CURVA!$B$6:$B$20,CURVA!$G$6:$G$20)</f>
        <v>#VALUE!</v>
      </c>
      <c r="C543" s="29" t="e">
        <f t="shared" si="8"/>
        <v>#VALUE!</v>
      </c>
      <c r="E543" t="e">
        <f>cubic_spline(CURVA!$B$6:$B$20,CURVA!$G$6:$G$20,#REF!)</f>
        <v>#VALUE!</v>
      </c>
    </row>
    <row r="544" spans="1:5" x14ac:dyDescent="0.2">
      <c r="A544" s="28">
        <v>543</v>
      </c>
      <c r="B544" s="28" t="e">
        <f>interpola(#REF!,CURVA!$B$6:$B$20,CURVA!$G$6:$G$20)</f>
        <v>#VALUE!</v>
      </c>
      <c r="C544" s="29" t="e">
        <f t="shared" si="8"/>
        <v>#VALUE!</v>
      </c>
      <c r="E544" t="e">
        <f>cubic_spline(CURVA!$B$6:$B$20,CURVA!$G$6:$G$20,#REF!)</f>
        <v>#VALUE!</v>
      </c>
    </row>
    <row r="545" spans="1:5" x14ac:dyDescent="0.2">
      <c r="A545" s="28">
        <v>544</v>
      </c>
      <c r="B545" s="28" t="e">
        <f>interpola(#REF!,CURVA!$B$6:$B$20,CURVA!$G$6:$G$20)</f>
        <v>#VALUE!</v>
      </c>
      <c r="C545" s="29" t="e">
        <f t="shared" si="8"/>
        <v>#VALUE!</v>
      </c>
      <c r="E545" t="e">
        <f>cubic_spline(CURVA!$B$6:$B$20,CURVA!$G$6:$G$20,#REF!)</f>
        <v>#VALUE!</v>
      </c>
    </row>
    <row r="546" spans="1:5" x14ac:dyDescent="0.2">
      <c r="A546" s="28">
        <v>545</v>
      </c>
      <c r="B546" s="28" t="e">
        <f>interpola(#REF!,CURVA!$B$6:$B$20,CURVA!$G$6:$G$20)</f>
        <v>#VALUE!</v>
      </c>
      <c r="C546" s="29" t="e">
        <f t="shared" si="8"/>
        <v>#VALUE!</v>
      </c>
      <c r="E546" t="e">
        <f>cubic_spline(CURVA!$B$6:$B$20,CURVA!$G$6:$G$20,#REF!)</f>
        <v>#VALUE!</v>
      </c>
    </row>
    <row r="547" spans="1:5" x14ac:dyDescent="0.2">
      <c r="A547" s="28">
        <v>546</v>
      </c>
      <c r="B547" s="28" t="e">
        <f>interpola(#REF!,CURVA!$B$6:$B$20,CURVA!$G$6:$G$20)</f>
        <v>#VALUE!</v>
      </c>
      <c r="C547" s="29" t="e">
        <f t="shared" si="8"/>
        <v>#VALUE!</v>
      </c>
      <c r="E547" t="e">
        <f>cubic_spline(CURVA!$B$6:$B$20,CURVA!$G$6:$G$20,#REF!)</f>
        <v>#VALUE!</v>
      </c>
    </row>
    <row r="548" spans="1:5" x14ac:dyDescent="0.2">
      <c r="A548" s="28">
        <v>547</v>
      </c>
      <c r="B548" s="28" t="e">
        <f>interpola(#REF!,CURVA!$B$6:$B$20,CURVA!$G$6:$G$20)</f>
        <v>#VALUE!</v>
      </c>
      <c r="C548" s="29" t="e">
        <f t="shared" si="8"/>
        <v>#VALUE!</v>
      </c>
      <c r="E548" t="e">
        <f>cubic_spline(CURVA!$B$6:$B$20,CURVA!$G$6:$G$20,#REF!)</f>
        <v>#VALUE!</v>
      </c>
    </row>
    <row r="549" spans="1:5" x14ac:dyDescent="0.2">
      <c r="A549" s="28">
        <v>548</v>
      </c>
      <c r="B549" s="28" t="e">
        <f>interpola(#REF!,CURVA!$B$6:$B$20,CURVA!$G$6:$G$20)</f>
        <v>#VALUE!</v>
      </c>
      <c r="C549" s="29" t="e">
        <f t="shared" si="8"/>
        <v>#VALUE!</v>
      </c>
      <c r="E549" t="e">
        <f>cubic_spline(CURVA!$B$6:$B$20,CURVA!$G$6:$G$20,#REF!)</f>
        <v>#VALUE!</v>
      </c>
    </row>
    <row r="550" spans="1:5" x14ac:dyDescent="0.2">
      <c r="A550" s="28">
        <v>549</v>
      </c>
      <c r="B550" s="28" t="e">
        <f>interpola(#REF!,CURVA!$B$6:$B$20,CURVA!$G$6:$G$20)</f>
        <v>#VALUE!</v>
      </c>
      <c r="C550" s="29" t="e">
        <f t="shared" si="8"/>
        <v>#VALUE!</v>
      </c>
      <c r="E550" t="e">
        <f>cubic_spline(CURVA!$B$6:$B$20,CURVA!$G$6:$G$20,#REF!)</f>
        <v>#VALUE!</v>
      </c>
    </row>
    <row r="551" spans="1:5" x14ac:dyDescent="0.2">
      <c r="A551" s="28">
        <v>550</v>
      </c>
      <c r="B551" s="28" t="e">
        <f>interpola(#REF!,CURVA!$B$6:$B$20,CURVA!$G$6:$G$20)</f>
        <v>#VALUE!</v>
      </c>
      <c r="C551" s="29" t="e">
        <f t="shared" si="8"/>
        <v>#VALUE!</v>
      </c>
      <c r="E551" t="e">
        <f>cubic_spline(CURVA!$B$6:$B$20,CURVA!$G$6:$G$20,#REF!)</f>
        <v>#VALUE!</v>
      </c>
    </row>
    <row r="552" spans="1:5" x14ac:dyDescent="0.2">
      <c r="A552" s="28">
        <v>551</v>
      </c>
      <c r="B552" s="28" t="e">
        <f>interpola(#REF!,CURVA!$B$6:$B$20,CURVA!$G$6:$G$20)</f>
        <v>#VALUE!</v>
      </c>
      <c r="C552" s="29" t="e">
        <f t="shared" si="8"/>
        <v>#VALUE!</v>
      </c>
      <c r="E552" t="e">
        <f>cubic_spline(CURVA!$B$6:$B$20,CURVA!$G$6:$G$20,#REF!)</f>
        <v>#VALUE!</v>
      </c>
    </row>
    <row r="553" spans="1:5" x14ac:dyDescent="0.2">
      <c r="A553" s="28">
        <v>552</v>
      </c>
      <c r="B553" s="28" t="e">
        <f>interpola(#REF!,CURVA!$B$6:$B$20,CURVA!$G$6:$G$20)</f>
        <v>#VALUE!</v>
      </c>
      <c r="C553" s="29" t="e">
        <f t="shared" si="8"/>
        <v>#VALUE!</v>
      </c>
      <c r="E553" t="e">
        <f>cubic_spline(CURVA!$B$6:$B$20,CURVA!$G$6:$G$20,#REF!)</f>
        <v>#VALUE!</v>
      </c>
    </row>
    <row r="554" spans="1:5" x14ac:dyDescent="0.2">
      <c r="A554" s="28">
        <v>553</v>
      </c>
      <c r="B554" s="28" t="e">
        <f>interpola(#REF!,CURVA!$B$6:$B$20,CURVA!$G$6:$G$20)</f>
        <v>#VALUE!</v>
      </c>
      <c r="C554" s="29" t="e">
        <f t="shared" si="8"/>
        <v>#VALUE!</v>
      </c>
      <c r="E554" t="e">
        <f>cubic_spline(CURVA!$B$6:$B$20,CURVA!$G$6:$G$20,#REF!)</f>
        <v>#VALUE!</v>
      </c>
    </row>
    <row r="555" spans="1:5" x14ac:dyDescent="0.2">
      <c r="A555" s="28">
        <v>554</v>
      </c>
      <c r="B555" s="28" t="e">
        <f>interpola(#REF!,CURVA!$B$6:$B$20,CURVA!$G$6:$G$20)</f>
        <v>#VALUE!</v>
      </c>
      <c r="C555" s="29" t="e">
        <f t="shared" si="8"/>
        <v>#VALUE!</v>
      </c>
      <c r="E555" t="e">
        <f>cubic_spline(CURVA!$B$6:$B$20,CURVA!$G$6:$G$20,#REF!)</f>
        <v>#VALUE!</v>
      </c>
    </row>
    <row r="556" spans="1:5" x14ac:dyDescent="0.2">
      <c r="A556" s="28">
        <v>555</v>
      </c>
      <c r="B556" s="28" t="e">
        <f>interpola(#REF!,CURVA!$B$6:$B$20,CURVA!$G$6:$G$20)</f>
        <v>#VALUE!</v>
      </c>
      <c r="C556" s="29" t="e">
        <f t="shared" si="8"/>
        <v>#VALUE!</v>
      </c>
      <c r="E556" t="e">
        <f>cubic_spline(CURVA!$B$6:$B$20,CURVA!$G$6:$G$20,#REF!)</f>
        <v>#VALUE!</v>
      </c>
    </row>
    <row r="557" spans="1:5" x14ac:dyDescent="0.2">
      <c r="A557" s="28">
        <v>556</v>
      </c>
      <c r="B557" s="28" t="e">
        <f>interpola(#REF!,CURVA!$B$6:$B$20,CURVA!$G$6:$G$20)</f>
        <v>#VALUE!</v>
      </c>
      <c r="C557" s="29" t="e">
        <f t="shared" si="8"/>
        <v>#VALUE!</v>
      </c>
      <c r="E557" t="e">
        <f>cubic_spline(CURVA!$B$6:$B$20,CURVA!$G$6:$G$20,#REF!)</f>
        <v>#VALUE!</v>
      </c>
    </row>
    <row r="558" spans="1:5" x14ac:dyDescent="0.2">
      <c r="A558" s="28">
        <v>557</v>
      </c>
      <c r="B558" s="28" t="e">
        <f>interpola(#REF!,CURVA!$B$6:$B$20,CURVA!$G$6:$G$20)</f>
        <v>#VALUE!</v>
      </c>
      <c r="C558" s="29" t="e">
        <f t="shared" si="8"/>
        <v>#VALUE!</v>
      </c>
      <c r="E558" t="e">
        <f>cubic_spline(CURVA!$B$6:$B$20,CURVA!$G$6:$G$20,#REF!)</f>
        <v>#VALUE!</v>
      </c>
    </row>
    <row r="559" spans="1:5" x14ac:dyDescent="0.2">
      <c r="A559" s="28">
        <v>558</v>
      </c>
      <c r="B559" s="28" t="e">
        <f>interpola(#REF!,CURVA!$B$6:$B$20,CURVA!$G$6:$G$20)</f>
        <v>#VALUE!</v>
      </c>
      <c r="C559" s="29" t="e">
        <f t="shared" si="8"/>
        <v>#VALUE!</v>
      </c>
      <c r="E559" t="e">
        <f>cubic_spline(CURVA!$B$6:$B$20,CURVA!$G$6:$G$20,#REF!)</f>
        <v>#VALUE!</v>
      </c>
    </row>
    <row r="560" spans="1:5" x14ac:dyDescent="0.2">
      <c r="A560" s="28">
        <v>559</v>
      </c>
      <c r="B560" s="28" t="e">
        <f>interpola(#REF!,CURVA!$B$6:$B$20,CURVA!$G$6:$G$20)</f>
        <v>#VALUE!</v>
      </c>
      <c r="C560" s="29" t="e">
        <f t="shared" si="8"/>
        <v>#VALUE!</v>
      </c>
      <c r="E560" t="e">
        <f>cubic_spline(CURVA!$B$6:$B$20,CURVA!$G$6:$G$20,#REF!)</f>
        <v>#VALUE!</v>
      </c>
    </row>
    <row r="561" spans="1:5" x14ac:dyDescent="0.2">
      <c r="A561" s="28">
        <v>560</v>
      </c>
      <c r="B561" s="28" t="e">
        <f>interpola(#REF!,CURVA!$B$6:$B$20,CURVA!$G$6:$G$20)</f>
        <v>#VALUE!</v>
      </c>
      <c r="C561" s="29" t="e">
        <f t="shared" si="8"/>
        <v>#VALUE!</v>
      </c>
      <c r="E561" t="e">
        <f>cubic_spline(CURVA!$B$6:$B$20,CURVA!$G$6:$G$20,#REF!)</f>
        <v>#VALUE!</v>
      </c>
    </row>
    <row r="562" spans="1:5" x14ac:dyDescent="0.2">
      <c r="A562" s="28">
        <v>561</v>
      </c>
      <c r="B562" s="28" t="e">
        <f>interpola(#REF!,CURVA!$B$6:$B$20,CURVA!$G$6:$G$20)</f>
        <v>#VALUE!</v>
      </c>
      <c r="C562" s="29" t="e">
        <f t="shared" si="8"/>
        <v>#VALUE!</v>
      </c>
      <c r="E562" t="e">
        <f>cubic_spline(CURVA!$B$6:$B$20,CURVA!$G$6:$G$20,#REF!)</f>
        <v>#VALUE!</v>
      </c>
    </row>
    <row r="563" spans="1:5" x14ac:dyDescent="0.2">
      <c r="A563" s="28">
        <v>562</v>
      </c>
      <c r="B563" s="28" t="e">
        <f>interpola(#REF!,CURVA!$B$6:$B$20,CURVA!$G$6:$G$20)</f>
        <v>#VALUE!</v>
      </c>
      <c r="C563" s="29" t="e">
        <f t="shared" si="8"/>
        <v>#VALUE!</v>
      </c>
      <c r="E563" t="e">
        <f>cubic_spline(CURVA!$B$6:$B$20,CURVA!$G$6:$G$20,#REF!)</f>
        <v>#VALUE!</v>
      </c>
    </row>
    <row r="564" spans="1:5" x14ac:dyDescent="0.2">
      <c r="A564" s="28">
        <v>563</v>
      </c>
      <c r="B564" s="28" t="e">
        <f>interpola(#REF!,CURVA!$B$6:$B$20,CURVA!$G$6:$G$20)</f>
        <v>#VALUE!</v>
      </c>
      <c r="C564" s="29" t="e">
        <f t="shared" si="8"/>
        <v>#VALUE!</v>
      </c>
      <c r="E564" t="e">
        <f>cubic_spline(CURVA!$B$6:$B$20,CURVA!$G$6:$G$20,#REF!)</f>
        <v>#VALUE!</v>
      </c>
    </row>
    <row r="565" spans="1:5" x14ac:dyDescent="0.2">
      <c r="A565" s="28">
        <v>564</v>
      </c>
      <c r="B565" s="28" t="e">
        <f>interpola(#REF!,CURVA!$B$6:$B$20,CURVA!$G$6:$G$20)</f>
        <v>#VALUE!</v>
      </c>
      <c r="C565" s="29" t="e">
        <f t="shared" si="8"/>
        <v>#VALUE!</v>
      </c>
      <c r="E565" t="e">
        <f>cubic_spline(CURVA!$B$6:$B$20,CURVA!$G$6:$G$20,#REF!)</f>
        <v>#VALUE!</v>
      </c>
    </row>
    <row r="566" spans="1:5" x14ac:dyDescent="0.2">
      <c r="A566" s="28">
        <v>565</v>
      </c>
      <c r="B566" s="28" t="e">
        <f>interpola(#REF!,CURVA!$B$6:$B$20,CURVA!$G$6:$G$20)</f>
        <v>#VALUE!</v>
      </c>
      <c r="C566" s="29" t="e">
        <f t="shared" si="8"/>
        <v>#VALUE!</v>
      </c>
      <c r="E566" t="e">
        <f>cubic_spline(CURVA!$B$6:$B$20,CURVA!$G$6:$G$20,#REF!)</f>
        <v>#VALUE!</v>
      </c>
    </row>
    <row r="567" spans="1:5" x14ac:dyDescent="0.2">
      <c r="A567" s="28">
        <v>566</v>
      </c>
      <c r="B567" s="28" t="e">
        <f>interpola(#REF!,CURVA!$B$6:$B$20,CURVA!$G$6:$G$20)</f>
        <v>#VALUE!</v>
      </c>
      <c r="C567" s="29" t="e">
        <f t="shared" si="8"/>
        <v>#VALUE!</v>
      </c>
      <c r="E567" t="e">
        <f>cubic_spline(CURVA!$B$6:$B$20,CURVA!$G$6:$G$20,#REF!)</f>
        <v>#VALUE!</v>
      </c>
    </row>
    <row r="568" spans="1:5" x14ac:dyDescent="0.2">
      <c r="A568" s="28">
        <v>567</v>
      </c>
      <c r="B568" s="28" t="e">
        <f>interpola(#REF!,CURVA!$B$6:$B$20,CURVA!$G$6:$G$20)</f>
        <v>#VALUE!</v>
      </c>
      <c r="C568" s="29" t="e">
        <f t="shared" si="8"/>
        <v>#VALUE!</v>
      </c>
      <c r="E568" t="e">
        <f>cubic_spline(CURVA!$B$6:$B$20,CURVA!$G$6:$G$20,#REF!)</f>
        <v>#VALUE!</v>
      </c>
    </row>
    <row r="569" spans="1:5" x14ac:dyDescent="0.2">
      <c r="A569" s="28">
        <v>568</v>
      </c>
      <c r="B569" s="28" t="e">
        <f>interpola(#REF!,CURVA!$B$6:$B$20,CURVA!$G$6:$G$20)</f>
        <v>#VALUE!</v>
      </c>
      <c r="C569" s="29" t="e">
        <f t="shared" si="8"/>
        <v>#VALUE!</v>
      </c>
      <c r="E569" t="e">
        <f>cubic_spline(CURVA!$B$6:$B$20,CURVA!$G$6:$G$20,#REF!)</f>
        <v>#VALUE!</v>
      </c>
    </row>
    <row r="570" spans="1:5" x14ac:dyDescent="0.2">
      <c r="A570" s="28">
        <v>569</v>
      </c>
      <c r="B570" s="28" t="e">
        <f>interpola(#REF!,CURVA!$B$6:$B$20,CURVA!$G$6:$G$20)</f>
        <v>#VALUE!</v>
      </c>
      <c r="C570" s="29" t="e">
        <f t="shared" si="8"/>
        <v>#VALUE!</v>
      </c>
      <c r="E570" t="e">
        <f>cubic_spline(CURVA!$B$6:$B$20,CURVA!$G$6:$G$20,#REF!)</f>
        <v>#VALUE!</v>
      </c>
    </row>
    <row r="571" spans="1:5" x14ac:dyDescent="0.2">
      <c r="A571" s="28">
        <v>570</v>
      </c>
      <c r="B571" s="28" t="e">
        <f>interpola(#REF!,CURVA!$B$6:$B$20,CURVA!$G$6:$G$20)</f>
        <v>#VALUE!</v>
      </c>
      <c r="C571" s="29" t="e">
        <f t="shared" si="8"/>
        <v>#VALUE!</v>
      </c>
      <c r="E571" t="e">
        <f>cubic_spline(CURVA!$B$6:$B$20,CURVA!$G$6:$G$20,#REF!)</f>
        <v>#VALUE!</v>
      </c>
    </row>
    <row r="572" spans="1:5" x14ac:dyDescent="0.2">
      <c r="A572" s="28">
        <v>571</v>
      </c>
      <c r="B572" s="28" t="e">
        <f>interpola(#REF!,CURVA!$B$6:$B$20,CURVA!$G$6:$G$20)</f>
        <v>#VALUE!</v>
      </c>
      <c r="C572" s="29" t="e">
        <f t="shared" si="8"/>
        <v>#VALUE!</v>
      </c>
      <c r="E572" t="e">
        <f>cubic_spline(CURVA!$B$6:$B$20,CURVA!$G$6:$G$20,#REF!)</f>
        <v>#VALUE!</v>
      </c>
    </row>
    <row r="573" spans="1:5" x14ac:dyDescent="0.2">
      <c r="A573" s="28">
        <v>572</v>
      </c>
      <c r="B573" s="28" t="e">
        <f>interpola(#REF!,CURVA!$B$6:$B$20,CURVA!$G$6:$G$20)</f>
        <v>#VALUE!</v>
      </c>
      <c r="C573" s="29" t="e">
        <f t="shared" si="8"/>
        <v>#VALUE!</v>
      </c>
      <c r="E573" t="e">
        <f>cubic_spline(CURVA!$B$6:$B$20,CURVA!$G$6:$G$20,#REF!)</f>
        <v>#VALUE!</v>
      </c>
    </row>
    <row r="574" spans="1:5" x14ac:dyDescent="0.2">
      <c r="A574" s="28">
        <v>573</v>
      </c>
      <c r="B574" s="28" t="e">
        <f>interpola(#REF!,CURVA!$B$6:$B$20,CURVA!$G$6:$G$20)</f>
        <v>#VALUE!</v>
      </c>
      <c r="C574" s="29" t="e">
        <f t="shared" si="8"/>
        <v>#VALUE!</v>
      </c>
      <c r="E574" t="e">
        <f>cubic_spline(CURVA!$B$6:$B$20,CURVA!$G$6:$G$20,#REF!)</f>
        <v>#VALUE!</v>
      </c>
    </row>
    <row r="575" spans="1:5" x14ac:dyDescent="0.2">
      <c r="A575" s="28">
        <v>574</v>
      </c>
      <c r="B575" s="28" t="e">
        <f>interpola(#REF!,CURVA!$B$6:$B$20,CURVA!$G$6:$G$20)</f>
        <v>#VALUE!</v>
      </c>
      <c r="C575" s="29" t="e">
        <f t="shared" si="8"/>
        <v>#VALUE!</v>
      </c>
      <c r="E575" t="e">
        <f>cubic_spline(CURVA!$B$6:$B$20,CURVA!$G$6:$G$20,#REF!)</f>
        <v>#VALUE!</v>
      </c>
    </row>
    <row r="576" spans="1:5" x14ac:dyDescent="0.2">
      <c r="A576" s="28">
        <v>575</v>
      </c>
      <c r="B576" s="28" t="e">
        <f>interpola(#REF!,CURVA!$B$6:$B$20,CURVA!$G$6:$G$20)</f>
        <v>#VALUE!</v>
      </c>
      <c r="C576" s="29" t="e">
        <f t="shared" si="8"/>
        <v>#VALUE!</v>
      </c>
      <c r="E576" t="e">
        <f>cubic_spline(CURVA!$B$6:$B$20,CURVA!$G$6:$G$20,#REF!)</f>
        <v>#VALUE!</v>
      </c>
    </row>
    <row r="577" spans="1:5" x14ac:dyDescent="0.2">
      <c r="A577" s="28">
        <v>576</v>
      </c>
      <c r="B577" s="28" t="e">
        <f>interpola(#REF!,CURVA!$B$6:$B$20,CURVA!$G$6:$G$20)</f>
        <v>#VALUE!</v>
      </c>
      <c r="C577" s="29" t="e">
        <f t="shared" si="8"/>
        <v>#VALUE!</v>
      </c>
      <c r="E577" t="e">
        <f>cubic_spline(CURVA!$B$6:$B$20,CURVA!$G$6:$G$20,#REF!)</f>
        <v>#VALUE!</v>
      </c>
    </row>
    <row r="578" spans="1:5" x14ac:dyDescent="0.2">
      <c r="A578" s="28">
        <v>577</v>
      </c>
      <c r="B578" s="28" t="e">
        <f>interpola(#REF!,CURVA!$B$6:$B$20,CURVA!$G$6:$G$20)</f>
        <v>#VALUE!</v>
      </c>
      <c r="C578" s="29" t="e">
        <f t="shared" ref="C578:C641" si="9">(EXP(B578*A578/360)-1)*360/A578</f>
        <v>#VALUE!</v>
      </c>
      <c r="E578" t="e">
        <f>cubic_spline(CURVA!$B$6:$B$20,CURVA!$G$6:$G$20,#REF!)</f>
        <v>#VALUE!</v>
      </c>
    </row>
    <row r="579" spans="1:5" x14ac:dyDescent="0.2">
      <c r="A579" s="28">
        <v>578</v>
      </c>
      <c r="B579" s="28" t="e">
        <f>interpola(#REF!,CURVA!$B$6:$B$20,CURVA!$G$6:$G$20)</f>
        <v>#VALUE!</v>
      </c>
      <c r="C579" s="29" t="e">
        <f t="shared" si="9"/>
        <v>#VALUE!</v>
      </c>
      <c r="E579" t="e">
        <f>cubic_spline(CURVA!$B$6:$B$20,CURVA!$G$6:$G$20,#REF!)</f>
        <v>#VALUE!</v>
      </c>
    </row>
    <row r="580" spans="1:5" x14ac:dyDescent="0.2">
      <c r="A580" s="28">
        <v>579</v>
      </c>
      <c r="B580" s="28" t="e">
        <f>interpola(#REF!,CURVA!$B$6:$B$20,CURVA!$G$6:$G$20)</f>
        <v>#VALUE!</v>
      </c>
      <c r="C580" s="29" t="e">
        <f t="shared" si="9"/>
        <v>#VALUE!</v>
      </c>
      <c r="E580" t="e">
        <f>cubic_spline(CURVA!$B$6:$B$20,CURVA!$G$6:$G$20,#REF!)</f>
        <v>#VALUE!</v>
      </c>
    </row>
    <row r="581" spans="1:5" x14ac:dyDescent="0.2">
      <c r="A581" s="28">
        <v>580</v>
      </c>
      <c r="B581" s="28" t="e">
        <f>interpola(#REF!,CURVA!$B$6:$B$20,CURVA!$G$6:$G$20)</f>
        <v>#VALUE!</v>
      </c>
      <c r="C581" s="29" t="e">
        <f t="shared" si="9"/>
        <v>#VALUE!</v>
      </c>
      <c r="E581" t="e">
        <f>cubic_spline(CURVA!$B$6:$B$20,CURVA!$G$6:$G$20,#REF!)</f>
        <v>#VALUE!</v>
      </c>
    </row>
    <row r="582" spans="1:5" x14ac:dyDescent="0.2">
      <c r="A582" s="28">
        <v>581</v>
      </c>
      <c r="B582" s="28" t="e">
        <f>interpola(#REF!,CURVA!$B$6:$B$20,CURVA!$G$6:$G$20)</f>
        <v>#VALUE!</v>
      </c>
      <c r="C582" s="29" t="e">
        <f t="shared" si="9"/>
        <v>#VALUE!</v>
      </c>
      <c r="E582" t="e">
        <f>cubic_spline(CURVA!$B$6:$B$20,CURVA!$G$6:$G$20,#REF!)</f>
        <v>#VALUE!</v>
      </c>
    </row>
    <row r="583" spans="1:5" x14ac:dyDescent="0.2">
      <c r="A583" s="28">
        <v>582</v>
      </c>
      <c r="B583" s="28" t="e">
        <f>interpola(#REF!,CURVA!$B$6:$B$20,CURVA!$G$6:$G$20)</f>
        <v>#VALUE!</v>
      </c>
      <c r="C583" s="29" t="e">
        <f t="shared" si="9"/>
        <v>#VALUE!</v>
      </c>
      <c r="E583" t="e">
        <f>cubic_spline(CURVA!$B$6:$B$20,CURVA!$G$6:$G$20,#REF!)</f>
        <v>#VALUE!</v>
      </c>
    </row>
    <row r="584" spans="1:5" x14ac:dyDescent="0.2">
      <c r="A584" s="28">
        <v>583</v>
      </c>
      <c r="B584" s="28" t="e">
        <f>interpola(#REF!,CURVA!$B$6:$B$20,CURVA!$G$6:$G$20)</f>
        <v>#VALUE!</v>
      </c>
      <c r="C584" s="29" t="e">
        <f t="shared" si="9"/>
        <v>#VALUE!</v>
      </c>
      <c r="E584" t="e">
        <f>cubic_spline(CURVA!$B$6:$B$20,CURVA!$G$6:$G$20,#REF!)</f>
        <v>#VALUE!</v>
      </c>
    </row>
    <row r="585" spans="1:5" x14ac:dyDescent="0.2">
      <c r="A585" s="28">
        <v>584</v>
      </c>
      <c r="B585" s="28" t="e">
        <f>interpola(#REF!,CURVA!$B$6:$B$20,CURVA!$G$6:$G$20)</f>
        <v>#VALUE!</v>
      </c>
      <c r="C585" s="29" t="e">
        <f t="shared" si="9"/>
        <v>#VALUE!</v>
      </c>
      <c r="E585" t="e">
        <f>cubic_spline(CURVA!$B$6:$B$20,CURVA!$G$6:$G$20,#REF!)</f>
        <v>#VALUE!</v>
      </c>
    </row>
    <row r="586" spans="1:5" x14ac:dyDescent="0.2">
      <c r="A586" s="28">
        <v>585</v>
      </c>
      <c r="B586" s="28" t="e">
        <f>interpola(#REF!,CURVA!$B$6:$B$20,CURVA!$G$6:$G$20)</f>
        <v>#VALUE!</v>
      </c>
      <c r="C586" s="29" t="e">
        <f t="shared" si="9"/>
        <v>#VALUE!</v>
      </c>
      <c r="E586" t="e">
        <f>cubic_spline(CURVA!$B$6:$B$20,CURVA!$G$6:$G$20,#REF!)</f>
        <v>#VALUE!</v>
      </c>
    </row>
    <row r="587" spans="1:5" x14ac:dyDescent="0.2">
      <c r="A587" s="28">
        <v>586</v>
      </c>
      <c r="B587" s="28" t="e">
        <f>interpola(#REF!,CURVA!$B$6:$B$20,CURVA!$G$6:$G$20)</f>
        <v>#VALUE!</v>
      </c>
      <c r="C587" s="29" t="e">
        <f t="shared" si="9"/>
        <v>#VALUE!</v>
      </c>
      <c r="E587" t="e">
        <f>cubic_spline(CURVA!$B$6:$B$20,CURVA!$G$6:$G$20,#REF!)</f>
        <v>#VALUE!</v>
      </c>
    </row>
    <row r="588" spans="1:5" x14ac:dyDescent="0.2">
      <c r="A588" s="28">
        <v>587</v>
      </c>
      <c r="B588" s="28" t="e">
        <f>interpola(#REF!,CURVA!$B$6:$B$20,CURVA!$G$6:$G$20)</f>
        <v>#VALUE!</v>
      </c>
      <c r="C588" s="29" t="e">
        <f t="shared" si="9"/>
        <v>#VALUE!</v>
      </c>
      <c r="E588" t="e">
        <f>cubic_spline(CURVA!$B$6:$B$20,CURVA!$G$6:$G$20,#REF!)</f>
        <v>#VALUE!</v>
      </c>
    </row>
    <row r="589" spans="1:5" x14ac:dyDescent="0.2">
      <c r="A589" s="28">
        <v>588</v>
      </c>
      <c r="B589" s="28" t="e">
        <f>interpola(#REF!,CURVA!$B$6:$B$20,CURVA!$G$6:$G$20)</f>
        <v>#VALUE!</v>
      </c>
      <c r="C589" s="29" t="e">
        <f t="shared" si="9"/>
        <v>#VALUE!</v>
      </c>
      <c r="E589" t="e">
        <f>cubic_spline(CURVA!$B$6:$B$20,CURVA!$G$6:$G$20,#REF!)</f>
        <v>#VALUE!</v>
      </c>
    </row>
    <row r="590" spans="1:5" x14ac:dyDescent="0.2">
      <c r="A590" s="28">
        <v>589</v>
      </c>
      <c r="B590" s="28" t="e">
        <f>interpola(#REF!,CURVA!$B$6:$B$20,CURVA!$G$6:$G$20)</f>
        <v>#VALUE!</v>
      </c>
      <c r="C590" s="29" t="e">
        <f t="shared" si="9"/>
        <v>#VALUE!</v>
      </c>
      <c r="E590" t="e">
        <f>cubic_spline(CURVA!$B$6:$B$20,CURVA!$G$6:$G$20,#REF!)</f>
        <v>#VALUE!</v>
      </c>
    </row>
    <row r="591" spans="1:5" x14ac:dyDescent="0.2">
      <c r="A591" s="28">
        <v>590</v>
      </c>
      <c r="B591" s="28" t="e">
        <f>interpola(#REF!,CURVA!$B$6:$B$20,CURVA!$G$6:$G$20)</f>
        <v>#VALUE!</v>
      </c>
      <c r="C591" s="29" t="e">
        <f t="shared" si="9"/>
        <v>#VALUE!</v>
      </c>
      <c r="E591" t="e">
        <f>cubic_spline(CURVA!$B$6:$B$20,CURVA!$G$6:$G$20,#REF!)</f>
        <v>#VALUE!</v>
      </c>
    </row>
    <row r="592" spans="1:5" x14ac:dyDescent="0.2">
      <c r="A592" s="28">
        <v>591</v>
      </c>
      <c r="B592" s="28" t="e">
        <f>interpola(#REF!,CURVA!$B$6:$B$20,CURVA!$G$6:$G$20)</f>
        <v>#VALUE!</v>
      </c>
      <c r="C592" s="29" t="e">
        <f t="shared" si="9"/>
        <v>#VALUE!</v>
      </c>
      <c r="E592" t="e">
        <f>cubic_spline(CURVA!$B$6:$B$20,CURVA!$G$6:$G$20,#REF!)</f>
        <v>#VALUE!</v>
      </c>
    </row>
    <row r="593" spans="1:5" x14ac:dyDescent="0.2">
      <c r="A593" s="28">
        <v>592</v>
      </c>
      <c r="B593" s="28" t="e">
        <f>interpola(#REF!,CURVA!$B$6:$B$20,CURVA!$G$6:$G$20)</f>
        <v>#VALUE!</v>
      </c>
      <c r="C593" s="29" t="e">
        <f t="shared" si="9"/>
        <v>#VALUE!</v>
      </c>
      <c r="E593" t="e">
        <f>cubic_spline(CURVA!$B$6:$B$20,CURVA!$G$6:$G$20,#REF!)</f>
        <v>#VALUE!</v>
      </c>
    </row>
    <row r="594" spans="1:5" x14ac:dyDescent="0.2">
      <c r="A594" s="28">
        <v>593</v>
      </c>
      <c r="B594" s="28" t="e">
        <f>interpola(#REF!,CURVA!$B$6:$B$20,CURVA!$G$6:$G$20)</f>
        <v>#VALUE!</v>
      </c>
      <c r="C594" s="29" t="e">
        <f t="shared" si="9"/>
        <v>#VALUE!</v>
      </c>
      <c r="E594" t="e">
        <f>cubic_spline(CURVA!$B$6:$B$20,CURVA!$G$6:$G$20,#REF!)</f>
        <v>#VALUE!</v>
      </c>
    </row>
    <row r="595" spans="1:5" x14ac:dyDescent="0.2">
      <c r="A595" s="28">
        <v>594</v>
      </c>
      <c r="B595" s="28" t="e">
        <f>interpola(#REF!,CURVA!$B$6:$B$20,CURVA!$G$6:$G$20)</f>
        <v>#VALUE!</v>
      </c>
      <c r="C595" s="29" t="e">
        <f t="shared" si="9"/>
        <v>#VALUE!</v>
      </c>
      <c r="E595" t="e">
        <f>cubic_spline(CURVA!$B$6:$B$20,CURVA!$G$6:$G$20,#REF!)</f>
        <v>#VALUE!</v>
      </c>
    </row>
    <row r="596" spans="1:5" x14ac:dyDescent="0.2">
      <c r="A596" s="28">
        <v>595</v>
      </c>
      <c r="B596" s="28" t="e">
        <f>interpola(#REF!,CURVA!$B$6:$B$20,CURVA!$G$6:$G$20)</f>
        <v>#VALUE!</v>
      </c>
      <c r="C596" s="29" t="e">
        <f t="shared" si="9"/>
        <v>#VALUE!</v>
      </c>
      <c r="E596" t="e">
        <f>cubic_spline(CURVA!$B$6:$B$20,CURVA!$G$6:$G$20,#REF!)</f>
        <v>#VALUE!</v>
      </c>
    </row>
    <row r="597" spans="1:5" x14ac:dyDescent="0.2">
      <c r="A597" s="28">
        <v>596</v>
      </c>
      <c r="B597" s="28" t="e">
        <f>interpola(#REF!,CURVA!$B$6:$B$20,CURVA!$G$6:$G$20)</f>
        <v>#VALUE!</v>
      </c>
      <c r="C597" s="29" t="e">
        <f t="shared" si="9"/>
        <v>#VALUE!</v>
      </c>
      <c r="E597" t="e">
        <f>cubic_spline(CURVA!$B$6:$B$20,CURVA!$G$6:$G$20,#REF!)</f>
        <v>#VALUE!</v>
      </c>
    </row>
    <row r="598" spans="1:5" x14ac:dyDescent="0.2">
      <c r="A598" s="28">
        <v>597</v>
      </c>
      <c r="B598" s="28" t="e">
        <f>interpola(#REF!,CURVA!$B$6:$B$20,CURVA!$G$6:$G$20)</f>
        <v>#VALUE!</v>
      </c>
      <c r="C598" s="29" t="e">
        <f t="shared" si="9"/>
        <v>#VALUE!</v>
      </c>
      <c r="E598" t="e">
        <f>cubic_spline(CURVA!$B$6:$B$20,CURVA!$G$6:$G$20,#REF!)</f>
        <v>#VALUE!</v>
      </c>
    </row>
    <row r="599" spans="1:5" x14ac:dyDescent="0.2">
      <c r="A599" s="28">
        <v>598</v>
      </c>
      <c r="B599" s="28" t="e">
        <f>interpola(#REF!,CURVA!$B$6:$B$20,CURVA!$G$6:$G$20)</f>
        <v>#VALUE!</v>
      </c>
      <c r="C599" s="29" t="e">
        <f t="shared" si="9"/>
        <v>#VALUE!</v>
      </c>
      <c r="E599" t="e">
        <f>cubic_spline(CURVA!$B$6:$B$20,CURVA!$G$6:$G$20,#REF!)</f>
        <v>#VALUE!</v>
      </c>
    </row>
    <row r="600" spans="1:5" x14ac:dyDescent="0.2">
      <c r="A600" s="28">
        <v>599</v>
      </c>
      <c r="B600" s="28" t="e">
        <f>interpola(#REF!,CURVA!$B$6:$B$20,CURVA!$G$6:$G$20)</f>
        <v>#VALUE!</v>
      </c>
      <c r="C600" s="29" t="e">
        <f t="shared" si="9"/>
        <v>#VALUE!</v>
      </c>
      <c r="E600" t="e">
        <f>cubic_spline(CURVA!$B$6:$B$20,CURVA!$G$6:$G$20,#REF!)</f>
        <v>#VALUE!</v>
      </c>
    </row>
    <row r="601" spans="1:5" x14ac:dyDescent="0.2">
      <c r="A601" s="28">
        <v>600</v>
      </c>
      <c r="B601" s="28" t="e">
        <f>interpola(#REF!,CURVA!$B$6:$B$20,CURVA!$G$6:$G$20)</f>
        <v>#VALUE!</v>
      </c>
      <c r="C601" s="29" t="e">
        <f t="shared" si="9"/>
        <v>#VALUE!</v>
      </c>
      <c r="E601" t="e">
        <f>cubic_spline(CURVA!$B$6:$B$20,CURVA!$G$6:$G$20,#REF!)</f>
        <v>#VALUE!</v>
      </c>
    </row>
    <row r="602" spans="1:5" x14ac:dyDescent="0.2">
      <c r="A602" s="28">
        <v>601</v>
      </c>
      <c r="B602" s="28" t="e">
        <f>interpola(#REF!,CURVA!$B$6:$B$20,CURVA!$G$6:$G$20)</f>
        <v>#VALUE!</v>
      </c>
      <c r="C602" s="29" t="e">
        <f t="shared" si="9"/>
        <v>#VALUE!</v>
      </c>
      <c r="E602" t="e">
        <f>cubic_spline(CURVA!$B$6:$B$20,CURVA!$G$6:$G$20,#REF!)</f>
        <v>#VALUE!</v>
      </c>
    </row>
    <row r="603" spans="1:5" x14ac:dyDescent="0.2">
      <c r="A603" s="28">
        <v>602</v>
      </c>
      <c r="B603" s="28" t="e">
        <f>interpola(#REF!,CURVA!$B$6:$B$20,CURVA!$G$6:$G$20)</f>
        <v>#VALUE!</v>
      </c>
      <c r="C603" s="29" t="e">
        <f t="shared" si="9"/>
        <v>#VALUE!</v>
      </c>
      <c r="E603" t="e">
        <f>cubic_spline(CURVA!$B$6:$B$20,CURVA!$G$6:$G$20,#REF!)</f>
        <v>#VALUE!</v>
      </c>
    </row>
    <row r="604" spans="1:5" x14ac:dyDescent="0.2">
      <c r="A604" s="28">
        <v>603</v>
      </c>
      <c r="B604" s="28" t="e">
        <f>interpola(#REF!,CURVA!$B$6:$B$20,CURVA!$G$6:$G$20)</f>
        <v>#VALUE!</v>
      </c>
      <c r="C604" s="29" t="e">
        <f t="shared" si="9"/>
        <v>#VALUE!</v>
      </c>
      <c r="E604" t="e">
        <f>cubic_spline(CURVA!$B$6:$B$20,CURVA!$G$6:$G$20,#REF!)</f>
        <v>#VALUE!</v>
      </c>
    </row>
    <row r="605" spans="1:5" x14ac:dyDescent="0.2">
      <c r="A605" s="28">
        <v>604</v>
      </c>
      <c r="B605" s="28" t="e">
        <f>interpola(#REF!,CURVA!$B$6:$B$20,CURVA!$G$6:$G$20)</f>
        <v>#VALUE!</v>
      </c>
      <c r="C605" s="29" t="e">
        <f t="shared" si="9"/>
        <v>#VALUE!</v>
      </c>
      <c r="E605" t="e">
        <f>cubic_spline(CURVA!$B$6:$B$20,CURVA!$G$6:$G$20,#REF!)</f>
        <v>#VALUE!</v>
      </c>
    </row>
    <row r="606" spans="1:5" x14ac:dyDescent="0.2">
      <c r="A606" s="28">
        <v>605</v>
      </c>
      <c r="B606" s="28" t="e">
        <f>interpola(#REF!,CURVA!$B$6:$B$20,CURVA!$G$6:$G$20)</f>
        <v>#VALUE!</v>
      </c>
      <c r="C606" s="29" t="e">
        <f t="shared" si="9"/>
        <v>#VALUE!</v>
      </c>
      <c r="E606" t="e">
        <f>cubic_spline(CURVA!$B$6:$B$20,CURVA!$G$6:$G$20,#REF!)</f>
        <v>#VALUE!</v>
      </c>
    </row>
    <row r="607" spans="1:5" x14ac:dyDescent="0.2">
      <c r="A607" s="28">
        <v>606</v>
      </c>
      <c r="B607" s="28" t="e">
        <f>interpola(#REF!,CURVA!$B$6:$B$20,CURVA!$G$6:$G$20)</f>
        <v>#VALUE!</v>
      </c>
      <c r="C607" s="29" t="e">
        <f t="shared" si="9"/>
        <v>#VALUE!</v>
      </c>
      <c r="E607" t="e">
        <f>cubic_spline(CURVA!$B$6:$B$20,CURVA!$G$6:$G$20,#REF!)</f>
        <v>#VALUE!</v>
      </c>
    </row>
    <row r="608" spans="1:5" x14ac:dyDescent="0.2">
      <c r="A608" s="28">
        <v>607</v>
      </c>
      <c r="B608" s="28" t="e">
        <f>interpola(#REF!,CURVA!$B$6:$B$20,CURVA!$G$6:$G$20)</f>
        <v>#VALUE!</v>
      </c>
      <c r="C608" s="29" t="e">
        <f t="shared" si="9"/>
        <v>#VALUE!</v>
      </c>
      <c r="E608" t="e">
        <f>cubic_spline(CURVA!$B$6:$B$20,CURVA!$G$6:$G$20,#REF!)</f>
        <v>#VALUE!</v>
      </c>
    </row>
    <row r="609" spans="1:5" x14ac:dyDescent="0.2">
      <c r="A609" s="28">
        <v>608</v>
      </c>
      <c r="B609" s="28" t="e">
        <f>interpola(#REF!,CURVA!$B$6:$B$20,CURVA!$G$6:$G$20)</f>
        <v>#VALUE!</v>
      </c>
      <c r="C609" s="29" t="e">
        <f t="shared" si="9"/>
        <v>#VALUE!</v>
      </c>
      <c r="E609" t="e">
        <f>cubic_spline(CURVA!$B$6:$B$20,CURVA!$G$6:$G$20,#REF!)</f>
        <v>#VALUE!</v>
      </c>
    </row>
    <row r="610" spans="1:5" x14ac:dyDescent="0.2">
      <c r="A610" s="28">
        <v>609</v>
      </c>
      <c r="B610" s="28" t="e">
        <f>interpola(#REF!,CURVA!$B$6:$B$20,CURVA!$G$6:$G$20)</f>
        <v>#VALUE!</v>
      </c>
      <c r="C610" s="29" t="e">
        <f t="shared" si="9"/>
        <v>#VALUE!</v>
      </c>
      <c r="E610" t="e">
        <f>cubic_spline(CURVA!$B$6:$B$20,CURVA!$G$6:$G$20,#REF!)</f>
        <v>#VALUE!</v>
      </c>
    </row>
    <row r="611" spans="1:5" x14ac:dyDescent="0.2">
      <c r="A611" s="28">
        <v>610</v>
      </c>
      <c r="B611" s="28" t="e">
        <f>interpola(#REF!,CURVA!$B$6:$B$20,CURVA!$G$6:$G$20)</f>
        <v>#VALUE!</v>
      </c>
      <c r="C611" s="29" t="e">
        <f t="shared" si="9"/>
        <v>#VALUE!</v>
      </c>
      <c r="E611" t="e">
        <f>cubic_spline(CURVA!$B$6:$B$20,CURVA!$G$6:$G$20,#REF!)</f>
        <v>#VALUE!</v>
      </c>
    </row>
    <row r="612" spans="1:5" x14ac:dyDescent="0.2">
      <c r="A612" s="28">
        <v>611</v>
      </c>
      <c r="B612" s="28" t="e">
        <f>interpola(#REF!,CURVA!$B$6:$B$20,CURVA!$G$6:$G$20)</f>
        <v>#VALUE!</v>
      </c>
      <c r="C612" s="29" t="e">
        <f t="shared" si="9"/>
        <v>#VALUE!</v>
      </c>
      <c r="E612" t="e">
        <f>cubic_spline(CURVA!$B$6:$B$20,CURVA!$G$6:$G$20,#REF!)</f>
        <v>#VALUE!</v>
      </c>
    </row>
    <row r="613" spans="1:5" x14ac:dyDescent="0.2">
      <c r="A613" s="28">
        <v>612</v>
      </c>
      <c r="B613" s="28" t="e">
        <f>interpola(#REF!,CURVA!$B$6:$B$20,CURVA!$G$6:$G$20)</f>
        <v>#VALUE!</v>
      </c>
      <c r="C613" s="29" t="e">
        <f t="shared" si="9"/>
        <v>#VALUE!</v>
      </c>
      <c r="E613" t="e">
        <f>cubic_spline(CURVA!$B$6:$B$20,CURVA!$G$6:$G$20,#REF!)</f>
        <v>#VALUE!</v>
      </c>
    </row>
    <row r="614" spans="1:5" x14ac:dyDescent="0.2">
      <c r="A614" s="28">
        <v>613</v>
      </c>
      <c r="B614" s="28" t="e">
        <f>interpola(#REF!,CURVA!$B$6:$B$20,CURVA!$G$6:$G$20)</f>
        <v>#VALUE!</v>
      </c>
      <c r="C614" s="29" t="e">
        <f t="shared" si="9"/>
        <v>#VALUE!</v>
      </c>
      <c r="E614" t="e">
        <f>cubic_spline(CURVA!$B$6:$B$20,CURVA!$G$6:$G$20,#REF!)</f>
        <v>#VALUE!</v>
      </c>
    </row>
    <row r="615" spans="1:5" x14ac:dyDescent="0.2">
      <c r="A615" s="28">
        <v>614</v>
      </c>
      <c r="B615" s="28" t="e">
        <f>interpola(#REF!,CURVA!$B$6:$B$20,CURVA!$G$6:$G$20)</f>
        <v>#VALUE!</v>
      </c>
      <c r="C615" s="29" t="e">
        <f t="shared" si="9"/>
        <v>#VALUE!</v>
      </c>
      <c r="E615" t="e">
        <f>cubic_spline(CURVA!$B$6:$B$20,CURVA!$G$6:$G$20,#REF!)</f>
        <v>#VALUE!</v>
      </c>
    </row>
    <row r="616" spans="1:5" x14ac:dyDescent="0.2">
      <c r="A616" s="28">
        <v>615</v>
      </c>
      <c r="B616" s="28" t="e">
        <f>interpola(#REF!,CURVA!$B$6:$B$20,CURVA!$G$6:$G$20)</f>
        <v>#VALUE!</v>
      </c>
      <c r="C616" s="29" t="e">
        <f t="shared" si="9"/>
        <v>#VALUE!</v>
      </c>
      <c r="E616" t="e">
        <f>cubic_spline(CURVA!$B$6:$B$20,CURVA!$G$6:$G$20,#REF!)</f>
        <v>#VALUE!</v>
      </c>
    </row>
    <row r="617" spans="1:5" x14ac:dyDescent="0.2">
      <c r="A617" s="28">
        <v>616</v>
      </c>
      <c r="B617" s="28" t="e">
        <f>interpola(#REF!,CURVA!$B$6:$B$20,CURVA!$G$6:$G$20)</f>
        <v>#VALUE!</v>
      </c>
      <c r="C617" s="29" t="e">
        <f t="shared" si="9"/>
        <v>#VALUE!</v>
      </c>
      <c r="E617" t="e">
        <f>cubic_spline(CURVA!$B$6:$B$20,CURVA!$G$6:$G$20,#REF!)</f>
        <v>#VALUE!</v>
      </c>
    </row>
    <row r="618" spans="1:5" x14ac:dyDescent="0.2">
      <c r="A618" s="28">
        <v>617</v>
      </c>
      <c r="B618" s="28" t="e">
        <f>interpola(#REF!,CURVA!$B$6:$B$20,CURVA!$G$6:$G$20)</f>
        <v>#VALUE!</v>
      </c>
      <c r="C618" s="29" t="e">
        <f t="shared" si="9"/>
        <v>#VALUE!</v>
      </c>
      <c r="E618" t="e">
        <f>cubic_spline(CURVA!$B$6:$B$20,CURVA!$G$6:$G$20,#REF!)</f>
        <v>#VALUE!</v>
      </c>
    </row>
    <row r="619" spans="1:5" x14ac:dyDescent="0.2">
      <c r="A619" s="28">
        <v>618</v>
      </c>
      <c r="B619" s="28" t="e">
        <f>interpola(#REF!,CURVA!$B$6:$B$20,CURVA!$G$6:$G$20)</f>
        <v>#VALUE!</v>
      </c>
      <c r="C619" s="29" t="e">
        <f t="shared" si="9"/>
        <v>#VALUE!</v>
      </c>
      <c r="E619" t="e">
        <f>cubic_spline(CURVA!$B$6:$B$20,CURVA!$G$6:$G$20,#REF!)</f>
        <v>#VALUE!</v>
      </c>
    </row>
    <row r="620" spans="1:5" x14ac:dyDescent="0.2">
      <c r="A620" s="28">
        <v>619</v>
      </c>
      <c r="B620" s="28" t="e">
        <f>interpola(#REF!,CURVA!$B$6:$B$20,CURVA!$G$6:$G$20)</f>
        <v>#VALUE!</v>
      </c>
      <c r="C620" s="29" t="e">
        <f t="shared" si="9"/>
        <v>#VALUE!</v>
      </c>
      <c r="E620" t="e">
        <f>cubic_spline(CURVA!$B$6:$B$20,CURVA!$G$6:$G$20,#REF!)</f>
        <v>#VALUE!</v>
      </c>
    </row>
    <row r="621" spans="1:5" x14ac:dyDescent="0.2">
      <c r="A621" s="28">
        <v>620</v>
      </c>
      <c r="B621" s="28" t="e">
        <f>interpola(#REF!,CURVA!$B$6:$B$20,CURVA!$G$6:$G$20)</f>
        <v>#VALUE!</v>
      </c>
      <c r="C621" s="29" t="e">
        <f t="shared" si="9"/>
        <v>#VALUE!</v>
      </c>
      <c r="E621" t="e">
        <f>cubic_spline(CURVA!$B$6:$B$20,CURVA!$G$6:$G$20,#REF!)</f>
        <v>#VALUE!</v>
      </c>
    </row>
    <row r="622" spans="1:5" x14ac:dyDescent="0.2">
      <c r="A622" s="28">
        <v>621</v>
      </c>
      <c r="B622" s="28" t="e">
        <f>interpola(#REF!,CURVA!$B$6:$B$20,CURVA!$G$6:$G$20)</f>
        <v>#VALUE!</v>
      </c>
      <c r="C622" s="29" t="e">
        <f t="shared" si="9"/>
        <v>#VALUE!</v>
      </c>
      <c r="E622" t="e">
        <f>cubic_spline(CURVA!$B$6:$B$20,CURVA!$G$6:$G$20,#REF!)</f>
        <v>#VALUE!</v>
      </c>
    </row>
    <row r="623" spans="1:5" x14ac:dyDescent="0.2">
      <c r="A623" s="28">
        <v>622</v>
      </c>
      <c r="B623" s="28" t="e">
        <f>interpola(#REF!,CURVA!$B$6:$B$20,CURVA!$G$6:$G$20)</f>
        <v>#VALUE!</v>
      </c>
      <c r="C623" s="29" t="e">
        <f t="shared" si="9"/>
        <v>#VALUE!</v>
      </c>
      <c r="E623" t="e">
        <f>cubic_spline(CURVA!$B$6:$B$20,CURVA!$G$6:$G$20,#REF!)</f>
        <v>#VALUE!</v>
      </c>
    </row>
    <row r="624" spans="1:5" x14ac:dyDescent="0.2">
      <c r="A624" s="28">
        <v>623</v>
      </c>
      <c r="B624" s="28" t="e">
        <f>interpola(#REF!,CURVA!$B$6:$B$20,CURVA!$G$6:$G$20)</f>
        <v>#VALUE!</v>
      </c>
      <c r="C624" s="29" t="e">
        <f t="shared" si="9"/>
        <v>#VALUE!</v>
      </c>
      <c r="E624" t="e">
        <f>cubic_spline(CURVA!$B$6:$B$20,CURVA!$G$6:$G$20,#REF!)</f>
        <v>#VALUE!</v>
      </c>
    </row>
    <row r="625" spans="1:5" x14ac:dyDescent="0.2">
      <c r="A625" s="28">
        <v>624</v>
      </c>
      <c r="B625" s="28" t="e">
        <f>interpola(#REF!,CURVA!$B$6:$B$20,CURVA!$G$6:$G$20)</f>
        <v>#VALUE!</v>
      </c>
      <c r="C625" s="29" t="e">
        <f t="shared" si="9"/>
        <v>#VALUE!</v>
      </c>
      <c r="E625" t="e">
        <f>cubic_spline(CURVA!$B$6:$B$20,CURVA!$G$6:$G$20,#REF!)</f>
        <v>#VALUE!</v>
      </c>
    </row>
    <row r="626" spans="1:5" x14ac:dyDescent="0.2">
      <c r="A626" s="28">
        <v>625</v>
      </c>
      <c r="B626" s="28" t="e">
        <f>interpola(#REF!,CURVA!$B$6:$B$20,CURVA!$G$6:$G$20)</f>
        <v>#VALUE!</v>
      </c>
      <c r="C626" s="29" t="e">
        <f t="shared" si="9"/>
        <v>#VALUE!</v>
      </c>
      <c r="E626" t="e">
        <f>cubic_spline(CURVA!$B$6:$B$20,CURVA!$G$6:$G$20,#REF!)</f>
        <v>#VALUE!</v>
      </c>
    </row>
    <row r="627" spans="1:5" x14ac:dyDescent="0.2">
      <c r="A627" s="28">
        <v>626</v>
      </c>
      <c r="B627" s="28" t="e">
        <f>interpola(#REF!,CURVA!$B$6:$B$20,CURVA!$G$6:$G$20)</f>
        <v>#VALUE!</v>
      </c>
      <c r="C627" s="29" t="e">
        <f t="shared" si="9"/>
        <v>#VALUE!</v>
      </c>
      <c r="E627" t="e">
        <f>cubic_spline(CURVA!$B$6:$B$20,CURVA!$G$6:$G$20,#REF!)</f>
        <v>#VALUE!</v>
      </c>
    </row>
    <row r="628" spans="1:5" x14ac:dyDescent="0.2">
      <c r="A628" s="28">
        <v>627</v>
      </c>
      <c r="B628" s="28" t="e">
        <f>interpola(#REF!,CURVA!$B$6:$B$20,CURVA!$G$6:$G$20)</f>
        <v>#VALUE!</v>
      </c>
      <c r="C628" s="29" t="e">
        <f t="shared" si="9"/>
        <v>#VALUE!</v>
      </c>
      <c r="E628" t="e">
        <f>cubic_spline(CURVA!$B$6:$B$20,CURVA!$G$6:$G$20,#REF!)</f>
        <v>#VALUE!</v>
      </c>
    </row>
    <row r="629" spans="1:5" x14ac:dyDescent="0.2">
      <c r="A629" s="28">
        <v>628</v>
      </c>
      <c r="B629" s="28" t="e">
        <f>interpola(#REF!,CURVA!$B$6:$B$20,CURVA!$G$6:$G$20)</f>
        <v>#VALUE!</v>
      </c>
      <c r="C629" s="29" t="e">
        <f t="shared" si="9"/>
        <v>#VALUE!</v>
      </c>
      <c r="E629" t="e">
        <f>cubic_spline(CURVA!$B$6:$B$20,CURVA!$G$6:$G$20,#REF!)</f>
        <v>#VALUE!</v>
      </c>
    </row>
    <row r="630" spans="1:5" x14ac:dyDescent="0.2">
      <c r="A630" s="28">
        <v>629</v>
      </c>
      <c r="B630" s="28" t="e">
        <f>interpola(#REF!,CURVA!$B$6:$B$20,CURVA!$G$6:$G$20)</f>
        <v>#VALUE!</v>
      </c>
      <c r="C630" s="29" t="e">
        <f t="shared" si="9"/>
        <v>#VALUE!</v>
      </c>
      <c r="E630" t="e">
        <f>cubic_spline(CURVA!$B$6:$B$20,CURVA!$G$6:$G$20,#REF!)</f>
        <v>#VALUE!</v>
      </c>
    </row>
    <row r="631" spans="1:5" x14ac:dyDescent="0.2">
      <c r="A631" s="28">
        <v>630</v>
      </c>
      <c r="B631" s="28" t="e">
        <f>interpola(#REF!,CURVA!$B$6:$B$20,CURVA!$G$6:$G$20)</f>
        <v>#VALUE!</v>
      </c>
      <c r="C631" s="29" t="e">
        <f t="shared" si="9"/>
        <v>#VALUE!</v>
      </c>
      <c r="E631" t="e">
        <f>cubic_spline(CURVA!$B$6:$B$20,CURVA!$G$6:$G$20,#REF!)</f>
        <v>#VALUE!</v>
      </c>
    </row>
    <row r="632" spans="1:5" x14ac:dyDescent="0.2">
      <c r="A632" s="28">
        <v>631</v>
      </c>
      <c r="B632" s="28" t="e">
        <f>interpola(#REF!,CURVA!$B$6:$B$20,CURVA!$G$6:$G$20)</f>
        <v>#VALUE!</v>
      </c>
      <c r="C632" s="29" t="e">
        <f t="shared" si="9"/>
        <v>#VALUE!</v>
      </c>
      <c r="E632" t="e">
        <f>cubic_spline(CURVA!$B$6:$B$20,CURVA!$G$6:$G$20,#REF!)</f>
        <v>#VALUE!</v>
      </c>
    </row>
    <row r="633" spans="1:5" x14ac:dyDescent="0.2">
      <c r="A633" s="28">
        <v>632</v>
      </c>
      <c r="B633" s="28" t="e">
        <f>interpola(#REF!,CURVA!$B$6:$B$20,CURVA!$G$6:$G$20)</f>
        <v>#VALUE!</v>
      </c>
      <c r="C633" s="29" t="e">
        <f t="shared" si="9"/>
        <v>#VALUE!</v>
      </c>
      <c r="E633" t="e">
        <f>cubic_spline(CURVA!$B$6:$B$20,CURVA!$G$6:$G$20,#REF!)</f>
        <v>#VALUE!</v>
      </c>
    </row>
    <row r="634" spans="1:5" x14ac:dyDescent="0.2">
      <c r="A634" s="28">
        <v>633</v>
      </c>
      <c r="B634" s="28" t="e">
        <f>interpola(#REF!,CURVA!$B$6:$B$20,CURVA!$G$6:$G$20)</f>
        <v>#VALUE!</v>
      </c>
      <c r="C634" s="29" t="e">
        <f t="shared" si="9"/>
        <v>#VALUE!</v>
      </c>
      <c r="E634" t="e">
        <f>cubic_spline(CURVA!$B$6:$B$20,CURVA!$G$6:$G$20,#REF!)</f>
        <v>#VALUE!</v>
      </c>
    </row>
    <row r="635" spans="1:5" x14ac:dyDescent="0.2">
      <c r="A635" s="28">
        <v>634</v>
      </c>
      <c r="B635" s="28" t="e">
        <f>interpola(#REF!,CURVA!$B$6:$B$20,CURVA!$G$6:$G$20)</f>
        <v>#VALUE!</v>
      </c>
      <c r="C635" s="29" t="e">
        <f t="shared" si="9"/>
        <v>#VALUE!</v>
      </c>
      <c r="E635" t="e">
        <f>cubic_spline(CURVA!$B$6:$B$20,CURVA!$G$6:$G$20,#REF!)</f>
        <v>#VALUE!</v>
      </c>
    </row>
    <row r="636" spans="1:5" x14ac:dyDescent="0.2">
      <c r="A636" s="28">
        <v>635</v>
      </c>
      <c r="B636" s="28" t="e">
        <f>interpola(#REF!,CURVA!$B$6:$B$20,CURVA!$G$6:$G$20)</f>
        <v>#VALUE!</v>
      </c>
      <c r="C636" s="29" t="e">
        <f t="shared" si="9"/>
        <v>#VALUE!</v>
      </c>
      <c r="E636" t="e">
        <f>cubic_spline(CURVA!$B$6:$B$20,CURVA!$G$6:$G$20,#REF!)</f>
        <v>#VALUE!</v>
      </c>
    </row>
    <row r="637" spans="1:5" x14ac:dyDescent="0.2">
      <c r="A637" s="28">
        <v>636</v>
      </c>
      <c r="B637" s="28" t="e">
        <f>interpola(#REF!,CURVA!$B$6:$B$20,CURVA!$G$6:$G$20)</f>
        <v>#VALUE!</v>
      </c>
      <c r="C637" s="29" t="e">
        <f t="shared" si="9"/>
        <v>#VALUE!</v>
      </c>
      <c r="E637" t="e">
        <f>cubic_spline(CURVA!$B$6:$B$20,CURVA!$G$6:$G$20,#REF!)</f>
        <v>#VALUE!</v>
      </c>
    </row>
    <row r="638" spans="1:5" x14ac:dyDescent="0.2">
      <c r="A638" s="28">
        <v>637</v>
      </c>
      <c r="B638" s="28" t="e">
        <f>interpola(#REF!,CURVA!$B$6:$B$20,CURVA!$G$6:$G$20)</f>
        <v>#VALUE!</v>
      </c>
      <c r="C638" s="29" t="e">
        <f t="shared" si="9"/>
        <v>#VALUE!</v>
      </c>
      <c r="E638" t="e">
        <f>cubic_spline(CURVA!$B$6:$B$20,CURVA!$G$6:$G$20,#REF!)</f>
        <v>#VALUE!</v>
      </c>
    </row>
    <row r="639" spans="1:5" x14ac:dyDescent="0.2">
      <c r="A639" s="28">
        <v>638</v>
      </c>
      <c r="B639" s="28" t="e">
        <f>interpola(#REF!,CURVA!$B$6:$B$20,CURVA!$G$6:$G$20)</f>
        <v>#VALUE!</v>
      </c>
      <c r="C639" s="29" t="e">
        <f t="shared" si="9"/>
        <v>#VALUE!</v>
      </c>
      <c r="E639" t="e">
        <f>cubic_spline(CURVA!$B$6:$B$20,CURVA!$G$6:$G$20,#REF!)</f>
        <v>#VALUE!</v>
      </c>
    </row>
    <row r="640" spans="1:5" x14ac:dyDescent="0.2">
      <c r="A640" s="28">
        <v>639</v>
      </c>
      <c r="B640" s="28" t="e">
        <f>interpola(#REF!,CURVA!$B$6:$B$20,CURVA!$G$6:$G$20)</f>
        <v>#VALUE!</v>
      </c>
      <c r="C640" s="29" t="e">
        <f t="shared" si="9"/>
        <v>#VALUE!</v>
      </c>
      <c r="E640" t="e">
        <f>cubic_spline(CURVA!$B$6:$B$20,CURVA!$G$6:$G$20,#REF!)</f>
        <v>#VALUE!</v>
      </c>
    </row>
    <row r="641" spans="1:5" x14ac:dyDescent="0.2">
      <c r="A641" s="28">
        <v>640</v>
      </c>
      <c r="B641" s="28" t="e">
        <f>interpola(#REF!,CURVA!$B$6:$B$20,CURVA!$G$6:$G$20)</f>
        <v>#VALUE!</v>
      </c>
      <c r="C641" s="29" t="e">
        <f t="shared" si="9"/>
        <v>#VALUE!</v>
      </c>
      <c r="E641" t="e">
        <f>cubic_spline(CURVA!$B$6:$B$20,CURVA!$G$6:$G$20,#REF!)</f>
        <v>#VALUE!</v>
      </c>
    </row>
    <row r="642" spans="1:5" x14ac:dyDescent="0.2">
      <c r="A642" s="28">
        <v>641</v>
      </c>
      <c r="B642" s="28" t="e">
        <f>interpola(#REF!,CURVA!$B$6:$B$20,CURVA!$G$6:$G$20)</f>
        <v>#VALUE!</v>
      </c>
      <c r="C642" s="29" t="e">
        <f t="shared" ref="C642:C705" si="10">(EXP(B642*A642/360)-1)*360/A642</f>
        <v>#VALUE!</v>
      </c>
      <c r="E642" t="e">
        <f>cubic_spline(CURVA!$B$6:$B$20,CURVA!$G$6:$G$20,#REF!)</f>
        <v>#VALUE!</v>
      </c>
    </row>
    <row r="643" spans="1:5" x14ac:dyDescent="0.2">
      <c r="A643" s="28">
        <v>642</v>
      </c>
      <c r="B643" s="28" t="e">
        <f>interpola(#REF!,CURVA!$B$6:$B$20,CURVA!$G$6:$G$20)</f>
        <v>#VALUE!</v>
      </c>
      <c r="C643" s="29" t="e">
        <f t="shared" si="10"/>
        <v>#VALUE!</v>
      </c>
      <c r="E643" t="e">
        <f>cubic_spline(CURVA!$B$6:$B$20,CURVA!$G$6:$G$20,#REF!)</f>
        <v>#VALUE!</v>
      </c>
    </row>
    <row r="644" spans="1:5" x14ac:dyDescent="0.2">
      <c r="A644" s="28">
        <v>643</v>
      </c>
      <c r="B644" s="28" t="e">
        <f>interpola(#REF!,CURVA!$B$6:$B$20,CURVA!$G$6:$G$20)</f>
        <v>#VALUE!</v>
      </c>
      <c r="C644" s="29" t="e">
        <f t="shared" si="10"/>
        <v>#VALUE!</v>
      </c>
      <c r="E644" t="e">
        <f>cubic_spline(CURVA!$B$6:$B$20,CURVA!$G$6:$G$20,#REF!)</f>
        <v>#VALUE!</v>
      </c>
    </row>
    <row r="645" spans="1:5" x14ac:dyDescent="0.2">
      <c r="A645" s="28">
        <v>644</v>
      </c>
      <c r="B645" s="28" t="e">
        <f>interpola(#REF!,CURVA!$B$6:$B$20,CURVA!$G$6:$G$20)</f>
        <v>#VALUE!</v>
      </c>
      <c r="C645" s="29" t="e">
        <f t="shared" si="10"/>
        <v>#VALUE!</v>
      </c>
      <c r="E645" t="e">
        <f>cubic_spline(CURVA!$B$6:$B$20,CURVA!$G$6:$G$20,#REF!)</f>
        <v>#VALUE!</v>
      </c>
    </row>
    <row r="646" spans="1:5" x14ac:dyDescent="0.2">
      <c r="A646" s="28">
        <v>645</v>
      </c>
      <c r="B646" s="28" t="e">
        <f>interpola(#REF!,CURVA!$B$6:$B$20,CURVA!$G$6:$G$20)</f>
        <v>#VALUE!</v>
      </c>
      <c r="C646" s="29" t="e">
        <f t="shared" si="10"/>
        <v>#VALUE!</v>
      </c>
      <c r="E646" t="e">
        <f>cubic_spline(CURVA!$B$6:$B$20,CURVA!$G$6:$G$20,#REF!)</f>
        <v>#VALUE!</v>
      </c>
    </row>
    <row r="647" spans="1:5" x14ac:dyDescent="0.2">
      <c r="A647" s="28">
        <v>646</v>
      </c>
      <c r="B647" s="28" t="e">
        <f>interpola(#REF!,CURVA!$B$6:$B$20,CURVA!$G$6:$G$20)</f>
        <v>#VALUE!</v>
      </c>
      <c r="C647" s="29" t="e">
        <f t="shared" si="10"/>
        <v>#VALUE!</v>
      </c>
      <c r="E647" t="e">
        <f>cubic_spline(CURVA!$B$6:$B$20,CURVA!$G$6:$G$20,#REF!)</f>
        <v>#VALUE!</v>
      </c>
    </row>
    <row r="648" spans="1:5" x14ac:dyDescent="0.2">
      <c r="A648" s="28">
        <v>647</v>
      </c>
      <c r="B648" s="28" t="e">
        <f>interpola(#REF!,CURVA!$B$6:$B$20,CURVA!$G$6:$G$20)</f>
        <v>#VALUE!</v>
      </c>
      <c r="C648" s="29" t="e">
        <f t="shared" si="10"/>
        <v>#VALUE!</v>
      </c>
      <c r="E648" t="e">
        <f>cubic_spline(CURVA!$B$6:$B$20,CURVA!$G$6:$G$20,#REF!)</f>
        <v>#VALUE!</v>
      </c>
    </row>
    <row r="649" spans="1:5" x14ac:dyDescent="0.2">
      <c r="A649" s="28">
        <v>648</v>
      </c>
      <c r="B649" s="28" t="e">
        <f>interpola(#REF!,CURVA!$B$6:$B$20,CURVA!$G$6:$G$20)</f>
        <v>#VALUE!</v>
      </c>
      <c r="C649" s="29" t="e">
        <f t="shared" si="10"/>
        <v>#VALUE!</v>
      </c>
      <c r="E649" t="e">
        <f>cubic_spline(CURVA!$B$6:$B$20,CURVA!$G$6:$G$20,#REF!)</f>
        <v>#VALUE!</v>
      </c>
    </row>
    <row r="650" spans="1:5" x14ac:dyDescent="0.2">
      <c r="A650" s="28">
        <v>649</v>
      </c>
      <c r="B650" s="28" t="e">
        <f>interpola(#REF!,CURVA!$B$6:$B$20,CURVA!$G$6:$G$20)</f>
        <v>#VALUE!</v>
      </c>
      <c r="C650" s="29" t="e">
        <f t="shared" si="10"/>
        <v>#VALUE!</v>
      </c>
      <c r="E650" t="e">
        <f>cubic_spline(CURVA!$B$6:$B$20,CURVA!$G$6:$G$20,#REF!)</f>
        <v>#VALUE!</v>
      </c>
    </row>
    <row r="651" spans="1:5" x14ac:dyDescent="0.2">
      <c r="A651" s="28">
        <v>650</v>
      </c>
      <c r="B651" s="28" t="e">
        <f>interpola(#REF!,CURVA!$B$6:$B$20,CURVA!$G$6:$G$20)</f>
        <v>#VALUE!</v>
      </c>
      <c r="C651" s="29" t="e">
        <f t="shared" si="10"/>
        <v>#VALUE!</v>
      </c>
      <c r="E651" t="e">
        <f>cubic_spline(CURVA!$B$6:$B$20,CURVA!$G$6:$G$20,#REF!)</f>
        <v>#VALUE!</v>
      </c>
    </row>
    <row r="652" spans="1:5" x14ac:dyDescent="0.2">
      <c r="A652" s="28">
        <v>651</v>
      </c>
      <c r="B652" s="28" t="e">
        <f>interpola(#REF!,CURVA!$B$6:$B$20,CURVA!$G$6:$G$20)</f>
        <v>#VALUE!</v>
      </c>
      <c r="C652" s="29" t="e">
        <f t="shared" si="10"/>
        <v>#VALUE!</v>
      </c>
      <c r="E652" t="e">
        <f>cubic_spline(CURVA!$B$6:$B$20,CURVA!$G$6:$G$20,#REF!)</f>
        <v>#VALUE!</v>
      </c>
    </row>
    <row r="653" spans="1:5" x14ac:dyDescent="0.2">
      <c r="A653" s="28">
        <v>652</v>
      </c>
      <c r="B653" s="28" t="e">
        <f>interpola(#REF!,CURVA!$B$6:$B$20,CURVA!$G$6:$G$20)</f>
        <v>#VALUE!</v>
      </c>
      <c r="C653" s="29" t="e">
        <f t="shared" si="10"/>
        <v>#VALUE!</v>
      </c>
      <c r="E653" t="e">
        <f>cubic_spline(CURVA!$B$6:$B$20,CURVA!$G$6:$G$20,#REF!)</f>
        <v>#VALUE!</v>
      </c>
    </row>
    <row r="654" spans="1:5" x14ac:dyDescent="0.2">
      <c r="A654" s="28">
        <v>653</v>
      </c>
      <c r="B654" s="28" t="e">
        <f>interpola(#REF!,CURVA!$B$6:$B$20,CURVA!$G$6:$G$20)</f>
        <v>#VALUE!</v>
      </c>
      <c r="C654" s="29" t="e">
        <f t="shared" si="10"/>
        <v>#VALUE!</v>
      </c>
      <c r="E654" t="e">
        <f>cubic_spline(CURVA!$B$6:$B$20,CURVA!$G$6:$G$20,#REF!)</f>
        <v>#VALUE!</v>
      </c>
    </row>
    <row r="655" spans="1:5" x14ac:dyDescent="0.2">
      <c r="A655" s="28">
        <v>654</v>
      </c>
      <c r="B655" s="28" t="e">
        <f>interpola(#REF!,CURVA!$B$6:$B$20,CURVA!$G$6:$G$20)</f>
        <v>#VALUE!</v>
      </c>
      <c r="C655" s="29" t="e">
        <f t="shared" si="10"/>
        <v>#VALUE!</v>
      </c>
      <c r="E655" t="e">
        <f>cubic_spline(CURVA!$B$6:$B$20,CURVA!$G$6:$G$20,#REF!)</f>
        <v>#VALUE!</v>
      </c>
    </row>
    <row r="656" spans="1:5" x14ac:dyDescent="0.2">
      <c r="A656" s="28">
        <v>655</v>
      </c>
      <c r="B656" s="28" t="e">
        <f>interpola(#REF!,CURVA!$B$6:$B$20,CURVA!$G$6:$G$20)</f>
        <v>#VALUE!</v>
      </c>
      <c r="C656" s="29" t="e">
        <f t="shared" si="10"/>
        <v>#VALUE!</v>
      </c>
      <c r="E656" t="e">
        <f>cubic_spline(CURVA!$B$6:$B$20,CURVA!$G$6:$G$20,#REF!)</f>
        <v>#VALUE!</v>
      </c>
    </row>
    <row r="657" spans="1:5" x14ac:dyDescent="0.2">
      <c r="A657" s="28">
        <v>656</v>
      </c>
      <c r="B657" s="28" t="e">
        <f>interpola(#REF!,CURVA!$B$6:$B$20,CURVA!$G$6:$G$20)</f>
        <v>#VALUE!</v>
      </c>
      <c r="C657" s="29" t="e">
        <f t="shared" si="10"/>
        <v>#VALUE!</v>
      </c>
      <c r="E657" t="e">
        <f>cubic_spline(CURVA!$B$6:$B$20,CURVA!$G$6:$G$20,#REF!)</f>
        <v>#VALUE!</v>
      </c>
    </row>
    <row r="658" spans="1:5" x14ac:dyDescent="0.2">
      <c r="A658" s="28">
        <v>657</v>
      </c>
      <c r="B658" s="28" t="e">
        <f>interpola(#REF!,CURVA!$B$6:$B$20,CURVA!$G$6:$G$20)</f>
        <v>#VALUE!</v>
      </c>
      <c r="C658" s="29" t="e">
        <f t="shared" si="10"/>
        <v>#VALUE!</v>
      </c>
      <c r="E658" t="e">
        <f>cubic_spline(CURVA!$B$6:$B$20,CURVA!$G$6:$G$20,#REF!)</f>
        <v>#VALUE!</v>
      </c>
    </row>
    <row r="659" spans="1:5" x14ac:dyDescent="0.2">
      <c r="A659" s="28">
        <v>658</v>
      </c>
      <c r="B659" s="28" t="e">
        <f>interpola(#REF!,CURVA!$B$6:$B$20,CURVA!$G$6:$G$20)</f>
        <v>#VALUE!</v>
      </c>
      <c r="C659" s="29" t="e">
        <f t="shared" si="10"/>
        <v>#VALUE!</v>
      </c>
      <c r="E659" t="e">
        <f>cubic_spline(CURVA!$B$6:$B$20,CURVA!$G$6:$G$20,#REF!)</f>
        <v>#VALUE!</v>
      </c>
    </row>
    <row r="660" spans="1:5" x14ac:dyDescent="0.2">
      <c r="A660" s="28">
        <v>659</v>
      </c>
      <c r="B660" s="28" t="e">
        <f>interpola(#REF!,CURVA!$B$6:$B$20,CURVA!$G$6:$G$20)</f>
        <v>#VALUE!</v>
      </c>
      <c r="C660" s="29" t="e">
        <f t="shared" si="10"/>
        <v>#VALUE!</v>
      </c>
      <c r="E660" t="e">
        <f>cubic_spline(CURVA!$B$6:$B$20,CURVA!$G$6:$G$20,#REF!)</f>
        <v>#VALUE!</v>
      </c>
    </row>
    <row r="661" spans="1:5" x14ac:dyDescent="0.2">
      <c r="A661" s="28">
        <v>660</v>
      </c>
      <c r="B661" s="28" t="e">
        <f>interpola(#REF!,CURVA!$B$6:$B$20,CURVA!$G$6:$G$20)</f>
        <v>#VALUE!</v>
      </c>
      <c r="C661" s="29" t="e">
        <f t="shared" si="10"/>
        <v>#VALUE!</v>
      </c>
      <c r="E661" t="e">
        <f>cubic_spline(CURVA!$B$6:$B$20,CURVA!$G$6:$G$20,#REF!)</f>
        <v>#VALUE!</v>
      </c>
    </row>
    <row r="662" spans="1:5" x14ac:dyDescent="0.2">
      <c r="A662" s="28">
        <v>661</v>
      </c>
      <c r="B662" s="28" t="e">
        <f>interpola(#REF!,CURVA!$B$6:$B$20,CURVA!$G$6:$G$20)</f>
        <v>#VALUE!</v>
      </c>
      <c r="C662" s="29" t="e">
        <f t="shared" si="10"/>
        <v>#VALUE!</v>
      </c>
      <c r="E662" t="e">
        <f>cubic_spline(CURVA!$B$6:$B$20,CURVA!$G$6:$G$20,#REF!)</f>
        <v>#VALUE!</v>
      </c>
    </row>
    <row r="663" spans="1:5" x14ac:dyDescent="0.2">
      <c r="A663" s="28">
        <v>662</v>
      </c>
      <c r="B663" s="28" t="e">
        <f>interpola(#REF!,CURVA!$B$6:$B$20,CURVA!$G$6:$G$20)</f>
        <v>#VALUE!</v>
      </c>
      <c r="C663" s="29" t="e">
        <f t="shared" si="10"/>
        <v>#VALUE!</v>
      </c>
      <c r="E663" t="e">
        <f>cubic_spline(CURVA!$B$6:$B$20,CURVA!$G$6:$G$20,#REF!)</f>
        <v>#VALUE!</v>
      </c>
    </row>
    <row r="664" spans="1:5" x14ac:dyDescent="0.2">
      <c r="A664" s="28">
        <v>663</v>
      </c>
      <c r="B664" s="28" t="e">
        <f>interpola(#REF!,CURVA!$B$6:$B$20,CURVA!$G$6:$G$20)</f>
        <v>#VALUE!</v>
      </c>
      <c r="C664" s="29" t="e">
        <f t="shared" si="10"/>
        <v>#VALUE!</v>
      </c>
      <c r="E664" t="e">
        <f>cubic_spline(CURVA!$B$6:$B$20,CURVA!$G$6:$G$20,#REF!)</f>
        <v>#VALUE!</v>
      </c>
    </row>
    <row r="665" spans="1:5" x14ac:dyDescent="0.2">
      <c r="A665" s="28">
        <v>664</v>
      </c>
      <c r="B665" s="28" t="e">
        <f>interpola(#REF!,CURVA!$B$6:$B$20,CURVA!$G$6:$G$20)</f>
        <v>#VALUE!</v>
      </c>
      <c r="C665" s="29" t="e">
        <f t="shared" si="10"/>
        <v>#VALUE!</v>
      </c>
      <c r="E665" t="e">
        <f>cubic_spline(CURVA!$B$6:$B$20,CURVA!$G$6:$G$20,#REF!)</f>
        <v>#VALUE!</v>
      </c>
    </row>
    <row r="666" spans="1:5" x14ac:dyDescent="0.2">
      <c r="A666" s="28">
        <v>665</v>
      </c>
      <c r="B666" s="28" t="e">
        <f>interpola(#REF!,CURVA!$B$6:$B$20,CURVA!$G$6:$G$20)</f>
        <v>#VALUE!</v>
      </c>
      <c r="C666" s="29" t="e">
        <f t="shared" si="10"/>
        <v>#VALUE!</v>
      </c>
      <c r="E666" t="e">
        <f>cubic_spline(CURVA!$B$6:$B$20,CURVA!$G$6:$G$20,#REF!)</f>
        <v>#VALUE!</v>
      </c>
    </row>
    <row r="667" spans="1:5" x14ac:dyDescent="0.2">
      <c r="A667" s="28">
        <v>666</v>
      </c>
      <c r="B667" s="28" t="e">
        <f>interpola(#REF!,CURVA!$B$6:$B$20,CURVA!$G$6:$G$20)</f>
        <v>#VALUE!</v>
      </c>
      <c r="C667" s="29" t="e">
        <f t="shared" si="10"/>
        <v>#VALUE!</v>
      </c>
      <c r="E667" t="e">
        <f>cubic_spline(CURVA!$B$6:$B$20,CURVA!$G$6:$G$20,#REF!)</f>
        <v>#VALUE!</v>
      </c>
    </row>
    <row r="668" spans="1:5" x14ac:dyDescent="0.2">
      <c r="A668" s="28">
        <v>667</v>
      </c>
      <c r="B668" s="28" t="e">
        <f>interpola(#REF!,CURVA!$B$6:$B$20,CURVA!$G$6:$G$20)</f>
        <v>#VALUE!</v>
      </c>
      <c r="C668" s="29" t="e">
        <f t="shared" si="10"/>
        <v>#VALUE!</v>
      </c>
      <c r="E668" t="e">
        <f>cubic_spline(CURVA!$B$6:$B$20,CURVA!$G$6:$G$20,#REF!)</f>
        <v>#VALUE!</v>
      </c>
    </row>
    <row r="669" spans="1:5" x14ac:dyDescent="0.2">
      <c r="A669" s="28">
        <v>668</v>
      </c>
      <c r="B669" s="28" t="e">
        <f>interpola(#REF!,CURVA!$B$6:$B$20,CURVA!$G$6:$G$20)</f>
        <v>#VALUE!</v>
      </c>
      <c r="C669" s="29" t="e">
        <f t="shared" si="10"/>
        <v>#VALUE!</v>
      </c>
      <c r="E669" t="e">
        <f>cubic_spline(CURVA!$B$6:$B$20,CURVA!$G$6:$G$20,#REF!)</f>
        <v>#VALUE!</v>
      </c>
    </row>
    <row r="670" spans="1:5" x14ac:dyDescent="0.2">
      <c r="A670" s="28">
        <v>669</v>
      </c>
      <c r="B670" s="28" t="e">
        <f>interpola(#REF!,CURVA!$B$6:$B$20,CURVA!$G$6:$G$20)</f>
        <v>#VALUE!</v>
      </c>
      <c r="C670" s="29" t="e">
        <f t="shared" si="10"/>
        <v>#VALUE!</v>
      </c>
      <c r="E670" t="e">
        <f>cubic_spline(CURVA!$B$6:$B$20,CURVA!$G$6:$G$20,#REF!)</f>
        <v>#VALUE!</v>
      </c>
    </row>
    <row r="671" spans="1:5" x14ac:dyDescent="0.2">
      <c r="A671" s="28">
        <v>670</v>
      </c>
      <c r="B671" s="28" t="e">
        <f>interpola(#REF!,CURVA!$B$6:$B$20,CURVA!$G$6:$G$20)</f>
        <v>#VALUE!</v>
      </c>
      <c r="C671" s="29" t="e">
        <f t="shared" si="10"/>
        <v>#VALUE!</v>
      </c>
      <c r="E671" t="e">
        <f>cubic_spline(CURVA!$B$6:$B$20,CURVA!$G$6:$G$20,#REF!)</f>
        <v>#VALUE!</v>
      </c>
    </row>
    <row r="672" spans="1:5" x14ac:dyDescent="0.2">
      <c r="A672" s="28">
        <v>671</v>
      </c>
      <c r="B672" s="28" t="e">
        <f>interpola(#REF!,CURVA!$B$6:$B$20,CURVA!$G$6:$G$20)</f>
        <v>#VALUE!</v>
      </c>
      <c r="C672" s="29" t="e">
        <f t="shared" si="10"/>
        <v>#VALUE!</v>
      </c>
      <c r="E672" t="e">
        <f>cubic_spline(CURVA!$B$6:$B$20,CURVA!$G$6:$G$20,#REF!)</f>
        <v>#VALUE!</v>
      </c>
    </row>
    <row r="673" spans="1:5" x14ac:dyDescent="0.2">
      <c r="A673" s="28">
        <v>672</v>
      </c>
      <c r="B673" s="28" t="e">
        <f>interpola(#REF!,CURVA!$B$6:$B$20,CURVA!$G$6:$G$20)</f>
        <v>#VALUE!</v>
      </c>
      <c r="C673" s="29" t="e">
        <f t="shared" si="10"/>
        <v>#VALUE!</v>
      </c>
      <c r="E673" t="e">
        <f>cubic_spline(CURVA!$B$6:$B$20,CURVA!$G$6:$G$20,#REF!)</f>
        <v>#VALUE!</v>
      </c>
    </row>
    <row r="674" spans="1:5" x14ac:dyDescent="0.2">
      <c r="A674" s="28">
        <v>673</v>
      </c>
      <c r="B674" s="28" t="e">
        <f>interpola(#REF!,CURVA!$B$6:$B$20,CURVA!$G$6:$G$20)</f>
        <v>#VALUE!</v>
      </c>
      <c r="C674" s="29" t="e">
        <f t="shared" si="10"/>
        <v>#VALUE!</v>
      </c>
      <c r="E674" t="e">
        <f>cubic_spline(CURVA!$B$6:$B$20,CURVA!$G$6:$G$20,#REF!)</f>
        <v>#VALUE!</v>
      </c>
    </row>
    <row r="675" spans="1:5" x14ac:dyDescent="0.2">
      <c r="A675" s="28">
        <v>674</v>
      </c>
      <c r="B675" s="28" t="e">
        <f>interpola(#REF!,CURVA!$B$6:$B$20,CURVA!$G$6:$G$20)</f>
        <v>#VALUE!</v>
      </c>
      <c r="C675" s="29" t="e">
        <f t="shared" si="10"/>
        <v>#VALUE!</v>
      </c>
      <c r="E675" t="e">
        <f>cubic_spline(CURVA!$B$6:$B$20,CURVA!$G$6:$G$20,#REF!)</f>
        <v>#VALUE!</v>
      </c>
    </row>
    <row r="676" spans="1:5" x14ac:dyDescent="0.2">
      <c r="A676" s="28">
        <v>675</v>
      </c>
      <c r="B676" s="28" t="e">
        <f>interpola(#REF!,CURVA!$B$6:$B$20,CURVA!$G$6:$G$20)</f>
        <v>#VALUE!</v>
      </c>
      <c r="C676" s="29" t="e">
        <f t="shared" si="10"/>
        <v>#VALUE!</v>
      </c>
      <c r="E676" t="e">
        <f>cubic_spline(CURVA!$B$6:$B$20,CURVA!$G$6:$G$20,#REF!)</f>
        <v>#VALUE!</v>
      </c>
    </row>
    <row r="677" spans="1:5" x14ac:dyDescent="0.2">
      <c r="A677" s="28">
        <v>676</v>
      </c>
      <c r="B677" s="28" t="e">
        <f>interpola(#REF!,CURVA!$B$6:$B$20,CURVA!$G$6:$G$20)</f>
        <v>#VALUE!</v>
      </c>
      <c r="C677" s="29" t="e">
        <f t="shared" si="10"/>
        <v>#VALUE!</v>
      </c>
      <c r="E677" t="e">
        <f>cubic_spline(CURVA!$B$6:$B$20,CURVA!$G$6:$G$20,#REF!)</f>
        <v>#VALUE!</v>
      </c>
    </row>
    <row r="678" spans="1:5" x14ac:dyDescent="0.2">
      <c r="A678" s="28">
        <v>677</v>
      </c>
      <c r="B678" s="28" t="e">
        <f>interpola(#REF!,CURVA!$B$6:$B$20,CURVA!$G$6:$G$20)</f>
        <v>#VALUE!</v>
      </c>
      <c r="C678" s="29" t="e">
        <f t="shared" si="10"/>
        <v>#VALUE!</v>
      </c>
      <c r="E678" t="e">
        <f>cubic_spline(CURVA!$B$6:$B$20,CURVA!$G$6:$G$20,#REF!)</f>
        <v>#VALUE!</v>
      </c>
    </row>
    <row r="679" spans="1:5" x14ac:dyDescent="0.2">
      <c r="A679" s="28">
        <v>678</v>
      </c>
      <c r="B679" s="28" t="e">
        <f>interpola(#REF!,CURVA!$B$6:$B$20,CURVA!$G$6:$G$20)</f>
        <v>#VALUE!</v>
      </c>
      <c r="C679" s="29" t="e">
        <f t="shared" si="10"/>
        <v>#VALUE!</v>
      </c>
      <c r="E679" t="e">
        <f>cubic_spline(CURVA!$B$6:$B$20,CURVA!$G$6:$G$20,#REF!)</f>
        <v>#VALUE!</v>
      </c>
    </row>
    <row r="680" spans="1:5" x14ac:dyDescent="0.2">
      <c r="A680" s="28">
        <v>679</v>
      </c>
      <c r="B680" s="28" t="e">
        <f>interpola(#REF!,CURVA!$B$6:$B$20,CURVA!$G$6:$G$20)</f>
        <v>#VALUE!</v>
      </c>
      <c r="C680" s="29" t="e">
        <f t="shared" si="10"/>
        <v>#VALUE!</v>
      </c>
      <c r="E680" t="e">
        <f>cubic_spline(CURVA!$B$6:$B$20,CURVA!$G$6:$G$20,#REF!)</f>
        <v>#VALUE!</v>
      </c>
    </row>
    <row r="681" spans="1:5" x14ac:dyDescent="0.2">
      <c r="A681" s="28">
        <v>680</v>
      </c>
      <c r="B681" s="28" t="e">
        <f>interpola(#REF!,CURVA!$B$6:$B$20,CURVA!$G$6:$G$20)</f>
        <v>#VALUE!</v>
      </c>
      <c r="C681" s="29" t="e">
        <f t="shared" si="10"/>
        <v>#VALUE!</v>
      </c>
      <c r="E681" t="e">
        <f>cubic_spline(CURVA!$B$6:$B$20,CURVA!$G$6:$G$20,#REF!)</f>
        <v>#VALUE!</v>
      </c>
    </row>
    <row r="682" spans="1:5" x14ac:dyDescent="0.2">
      <c r="A682" s="28">
        <v>681</v>
      </c>
      <c r="B682" s="28" t="e">
        <f>interpola(#REF!,CURVA!$B$6:$B$20,CURVA!$G$6:$G$20)</f>
        <v>#VALUE!</v>
      </c>
      <c r="C682" s="29" t="e">
        <f t="shared" si="10"/>
        <v>#VALUE!</v>
      </c>
      <c r="E682" t="e">
        <f>cubic_spline(CURVA!$B$6:$B$20,CURVA!$G$6:$G$20,#REF!)</f>
        <v>#VALUE!</v>
      </c>
    </row>
    <row r="683" spans="1:5" x14ac:dyDescent="0.2">
      <c r="A683" s="28">
        <v>682</v>
      </c>
      <c r="B683" s="28" t="e">
        <f>interpola(#REF!,CURVA!$B$6:$B$20,CURVA!$G$6:$G$20)</f>
        <v>#VALUE!</v>
      </c>
      <c r="C683" s="29" t="e">
        <f t="shared" si="10"/>
        <v>#VALUE!</v>
      </c>
      <c r="E683" t="e">
        <f>cubic_spline(CURVA!$B$6:$B$20,CURVA!$G$6:$G$20,#REF!)</f>
        <v>#VALUE!</v>
      </c>
    </row>
    <row r="684" spans="1:5" x14ac:dyDescent="0.2">
      <c r="A684" s="28">
        <v>683</v>
      </c>
      <c r="B684" s="28" t="e">
        <f>interpola(#REF!,CURVA!$B$6:$B$20,CURVA!$G$6:$G$20)</f>
        <v>#VALUE!</v>
      </c>
      <c r="C684" s="29" t="e">
        <f t="shared" si="10"/>
        <v>#VALUE!</v>
      </c>
      <c r="E684" t="e">
        <f>cubic_spline(CURVA!$B$6:$B$20,CURVA!$G$6:$G$20,#REF!)</f>
        <v>#VALUE!</v>
      </c>
    </row>
    <row r="685" spans="1:5" x14ac:dyDescent="0.2">
      <c r="A685" s="28">
        <v>684</v>
      </c>
      <c r="B685" s="28" t="e">
        <f>interpola(#REF!,CURVA!$B$6:$B$20,CURVA!$G$6:$G$20)</f>
        <v>#VALUE!</v>
      </c>
      <c r="C685" s="29" t="e">
        <f t="shared" si="10"/>
        <v>#VALUE!</v>
      </c>
      <c r="E685" t="e">
        <f>cubic_spline(CURVA!$B$6:$B$20,CURVA!$G$6:$G$20,#REF!)</f>
        <v>#VALUE!</v>
      </c>
    </row>
    <row r="686" spans="1:5" x14ac:dyDescent="0.2">
      <c r="A686" s="28">
        <v>685</v>
      </c>
      <c r="B686" s="28" t="e">
        <f>interpola(#REF!,CURVA!$B$6:$B$20,CURVA!$G$6:$G$20)</f>
        <v>#VALUE!</v>
      </c>
      <c r="C686" s="29" t="e">
        <f t="shared" si="10"/>
        <v>#VALUE!</v>
      </c>
      <c r="E686" t="e">
        <f>cubic_spline(CURVA!$B$6:$B$20,CURVA!$G$6:$G$20,#REF!)</f>
        <v>#VALUE!</v>
      </c>
    </row>
    <row r="687" spans="1:5" x14ac:dyDescent="0.2">
      <c r="A687" s="28">
        <v>686</v>
      </c>
      <c r="B687" s="28" t="e">
        <f>interpola(#REF!,CURVA!$B$6:$B$20,CURVA!$G$6:$G$20)</f>
        <v>#VALUE!</v>
      </c>
      <c r="C687" s="29" t="e">
        <f t="shared" si="10"/>
        <v>#VALUE!</v>
      </c>
      <c r="E687" t="e">
        <f>cubic_spline(CURVA!$B$6:$B$20,CURVA!$G$6:$G$20,#REF!)</f>
        <v>#VALUE!</v>
      </c>
    </row>
    <row r="688" spans="1:5" x14ac:dyDescent="0.2">
      <c r="A688" s="28">
        <v>687</v>
      </c>
      <c r="B688" s="28" t="e">
        <f>interpola(#REF!,CURVA!$B$6:$B$20,CURVA!$G$6:$G$20)</f>
        <v>#VALUE!</v>
      </c>
      <c r="C688" s="29" t="e">
        <f t="shared" si="10"/>
        <v>#VALUE!</v>
      </c>
      <c r="E688" t="e">
        <f>cubic_spline(CURVA!$B$6:$B$20,CURVA!$G$6:$G$20,#REF!)</f>
        <v>#VALUE!</v>
      </c>
    </row>
    <row r="689" spans="1:5" x14ac:dyDescent="0.2">
      <c r="A689" s="28">
        <v>688</v>
      </c>
      <c r="B689" s="28" t="e">
        <f>interpola(#REF!,CURVA!$B$6:$B$20,CURVA!$G$6:$G$20)</f>
        <v>#VALUE!</v>
      </c>
      <c r="C689" s="29" t="e">
        <f t="shared" si="10"/>
        <v>#VALUE!</v>
      </c>
      <c r="E689" t="e">
        <f>cubic_spline(CURVA!$B$6:$B$20,CURVA!$G$6:$G$20,#REF!)</f>
        <v>#VALUE!</v>
      </c>
    </row>
    <row r="690" spans="1:5" x14ac:dyDescent="0.2">
      <c r="A690" s="28">
        <v>689</v>
      </c>
      <c r="B690" s="28" t="e">
        <f>interpola(#REF!,CURVA!$B$6:$B$20,CURVA!$G$6:$G$20)</f>
        <v>#VALUE!</v>
      </c>
      <c r="C690" s="29" t="e">
        <f t="shared" si="10"/>
        <v>#VALUE!</v>
      </c>
      <c r="E690" t="e">
        <f>cubic_spline(CURVA!$B$6:$B$20,CURVA!$G$6:$G$20,#REF!)</f>
        <v>#VALUE!</v>
      </c>
    </row>
    <row r="691" spans="1:5" x14ac:dyDescent="0.2">
      <c r="A691" s="28">
        <v>690</v>
      </c>
      <c r="B691" s="28" t="e">
        <f>interpola(#REF!,CURVA!$B$6:$B$20,CURVA!$G$6:$G$20)</f>
        <v>#VALUE!</v>
      </c>
      <c r="C691" s="29" t="e">
        <f t="shared" si="10"/>
        <v>#VALUE!</v>
      </c>
      <c r="E691" t="e">
        <f>cubic_spline(CURVA!$B$6:$B$20,CURVA!$G$6:$G$20,#REF!)</f>
        <v>#VALUE!</v>
      </c>
    </row>
    <row r="692" spans="1:5" x14ac:dyDescent="0.2">
      <c r="A692" s="28">
        <v>691</v>
      </c>
      <c r="B692" s="28" t="e">
        <f>interpola(#REF!,CURVA!$B$6:$B$20,CURVA!$G$6:$G$20)</f>
        <v>#VALUE!</v>
      </c>
      <c r="C692" s="29" t="e">
        <f t="shared" si="10"/>
        <v>#VALUE!</v>
      </c>
      <c r="E692" t="e">
        <f>cubic_spline(CURVA!$B$6:$B$20,CURVA!$G$6:$G$20,#REF!)</f>
        <v>#VALUE!</v>
      </c>
    </row>
    <row r="693" spans="1:5" x14ac:dyDescent="0.2">
      <c r="A693" s="28">
        <v>692</v>
      </c>
      <c r="B693" s="28" t="e">
        <f>interpola(#REF!,CURVA!$B$6:$B$20,CURVA!$G$6:$G$20)</f>
        <v>#VALUE!</v>
      </c>
      <c r="C693" s="29" t="e">
        <f t="shared" si="10"/>
        <v>#VALUE!</v>
      </c>
      <c r="E693" t="e">
        <f>cubic_spline(CURVA!$B$6:$B$20,CURVA!$G$6:$G$20,#REF!)</f>
        <v>#VALUE!</v>
      </c>
    </row>
    <row r="694" spans="1:5" x14ac:dyDescent="0.2">
      <c r="A694" s="28">
        <v>693</v>
      </c>
      <c r="B694" s="28" t="e">
        <f>interpola(#REF!,CURVA!$B$6:$B$20,CURVA!$G$6:$G$20)</f>
        <v>#VALUE!</v>
      </c>
      <c r="C694" s="29" t="e">
        <f t="shared" si="10"/>
        <v>#VALUE!</v>
      </c>
      <c r="E694" t="e">
        <f>cubic_spline(CURVA!$B$6:$B$20,CURVA!$G$6:$G$20,#REF!)</f>
        <v>#VALUE!</v>
      </c>
    </row>
    <row r="695" spans="1:5" x14ac:dyDescent="0.2">
      <c r="A695" s="28">
        <v>694</v>
      </c>
      <c r="B695" s="28" t="e">
        <f>interpola(#REF!,CURVA!$B$6:$B$20,CURVA!$G$6:$G$20)</f>
        <v>#VALUE!</v>
      </c>
      <c r="C695" s="29" t="e">
        <f t="shared" si="10"/>
        <v>#VALUE!</v>
      </c>
      <c r="E695" t="e">
        <f>cubic_spline(CURVA!$B$6:$B$20,CURVA!$G$6:$G$20,#REF!)</f>
        <v>#VALUE!</v>
      </c>
    </row>
    <row r="696" spans="1:5" x14ac:dyDescent="0.2">
      <c r="A696" s="28">
        <v>695</v>
      </c>
      <c r="B696" s="28" t="e">
        <f>interpola(#REF!,CURVA!$B$6:$B$20,CURVA!$G$6:$G$20)</f>
        <v>#VALUE!</v>
      </c>
      <c r="C696" s="29" t="e">
        <f t="shared" si="10"/>
        <v>#VALUE!</v>
      </c>
      <c r="E696" t="e">
        <f>cubic_spline(CURVA!$B$6:$B$20,CURVA!$G$6:$G$20,#REF!)</f>
        <v>#VALUE!</v>
      </c>
    </row>
    <row r="697" spans="1:5" x14ac:dyDescent="0.2">
      <c r="A697" s="28">
        <v>696</v>
      </c>
      <c r="B697" s="28" t="e">
        <f>interpola(#REF!,CURVA!$B$6:$B$20,CURVA!$G$6:$G$20)</f>
        <v>#VALUE!</v>
      </c>
      <c r="C697" s="29" t="e">
        <f t="shared" si="10"/>
        <v>#VALUE!</v>
      </c>
      <c r="E697" t="e">
        <f>cubic_spline(CURVA!$B$6:$B$20,CURVA!$G$6:$G$20,#REF!)</f>
        <v>#VALUE!</v>
      </c>
    </row>
    <row r="698" spans="1:5" x14ac:dyDescent="0.2">
      <c r="A698" s="28">
        <v>697</v>
      </c>
      <c r="B698" s="28" t="e">
        <f>interpola(#REF!,CURVA!$B$6:$B$20,CURVA!$G$6:$G$20)</f>
        <v>#VALUE!</v>
      </c>
      <c r="C698" s="29" t="e">
        <f t="shared" si="10"/>
        <v>#VALUE!</v>
      </c>
      <c r="E698" t="e">
        <f>cubic_spline(CURVA!$B$6:$B$20,CURVA!$G$6:$G$20,#REF!)</f>
        <v>#VALUE!</v>
      </c>
    </row>
    <row r="699" spans="1:5" x14ac:dyDescent="0.2">
      <c r="A699" s="28">
        <v>698</v>
      </c>
      <c r="B699" s="28" t="e">
        <f>interpola(#REF!,CURVA!$B$6:$B$20,CURVA!$G$6:$G$20)</f>
        <v>#VALUE!</v>
      </c>
      <c r="C699" s="29" t="e">
        <f t="shared" si="10"/>
        <v>#VALUE!</v>
      </c>
      <c r="E699" t="e">
        <f>cubic_spline(CURVA!$B$6:$B$20,CURVA!$G$6:$G$20,#REF!)</f>
        <v>#VALUE!</v>
      </c>
    </row>
    <row r="700" spans="1:5" x14ac:dyDescent="0.2">
      <c r="A700" s="28">
        <v>699</v>
      </c>
      <c r="B700" s="28" t="e">
        <f>interpola(#REF!,CURVA!$B$6:$B$20,CURVA!$G$6:$G$20)</f>
        <v>#VALUE!</v>
      </c>
      <c r="C700" s="29" t="e">
        <f t="shared" si="10"/>
        <v>#VALUE!</v>
      </c>
      <c r="E700" t="e">
        <f>cubic_spline(CURVA!$B$6:$B$20,CURVA!$G$6:$G$20,#REF!)</f>
        <v>#VALUE!</v>
      </c>
    </row>
    <row r="701" spans="1:5" x14ac:dyDescent="0.2">
      <c r="A701" s="28">
        <v>700</v>
      </c>
      <c r="B701" s="28" t="e">
        <f>interpola(#REF!,CURVA!$B$6:$B$20,CURVA!$G$6:$G$20)</f>
        <v>#VALUE!</v>
      </c>
      <c r="C701" s="29" t="e">
        <f t="shared" si="10"/>
        <v>#VALUE!</v>
      </c>
      <c r="E701" t="e">
        <f>cubic_spline(CURVA!$B$6:$B$20,CURVA!$G$6:$G$20,#REF!)</f>
        <v>#VALUE!</v>
      </c>
    </row>
    <row r="702" spans="1:5" x14ac:dyDescent="0.2">
      <c r="A702" s="28">
        <v>701</v>
      </c>
      <c r="B702" s="28" t="e">
        <f>interpola(#REF!,CURVA!$B$6:$B$20,CURVA!$G$6:$G$20)</f>
        <v>#VALUE!</v>
      </c>
      <c r="C702" s="29" t="e">
        <f t="shared" si="10"/>
        <v>#VALUE!</v>
      </c>
      <c r="E702" t="e">
        <f>cubic_spline(CURVA!$B$6:$B$20,CURVA!$G$6:$G$20,#REF!)</f>
        <v>#VALUE!</v>
      </c>
    </row>
    <row r="703" spans="1:5" x14ac:dyDescent="0.2">
      <c r="A703" s="28">
        <v>702</v>
      </c>
      <c r="B703" s="28" t="e">
        <f>interpola(#REF!,CURVA!$B$6:$B$20,CURVA!$G$6:$G$20)</f>
        <v>#VALUE!</v>
      </c>
      <c r="C703" s="29" t="e">
        <f t="shared" si="10"/>
        <v>#VALUE!</v>
      </c>
      <c r="E703" t="e">
        <f>cubic_spline(CURVA!$B$6:$B$20,CURVA!$G$6:$G$20,#REF!)</f>
        <v>#VALUE!</v>
      </c>
    </row>
    <row r="704" spans="1:5" x14ac:dyDescent="0.2">
      <c r="A704" s="28">
        <v>703</v>
      </c>
      <c r="B704" s="28" t="e">
        <f>interpola(#REF!,CURVA!$B$6:$B$20,CURVA!$G$6:$G$20)</f>
        <v>#VALUE!</v>
      </c>
      <c r="C704" s="29" t="e">
        <f t="shared" si="10"/>
        <v>#VALUE!</v>
      </c>
      <c r="E704" t="e">
        <f>cubic_spline(CURVA!$B$6:$B$20,CURVA!$G$6:$G$20,#REF!)</f>
        <v>#VALUE!</v>
      </c>
    </row>
    <row r="705" spans="1:5" x14ac:dyDescent="0.2">
      <c r="A705" s="28">
        <v>704</v>
      </c>
      <c r="B705" s="28" t="e">
        <f>interpola(#REF!,CURVA!$B$6:$B$20,CURVA!$G$6:$G$20)</f>
        <v>#VALUE!</v>
      </c>
      <c r="C705" s="29" t="e">
        <f t="shared" si="10"/>
        <v>#VALUE!</v>
      </c>
      <c r="E705" t="e">
        <f>cubic_spline(CURVA!$B$6:$B$20,CURVA!$G$6:$G$20,#REF!)</f>
        <v>#VALUE!</v>
      </c>
    </row>
    <row r="706" spans="1:5" x14ac:dyDescent="0.2">
      <c r="A706" s="28">
        <v>705</v>
      </c>
      <c r="B706" s="28" t="e">
        <f>interpola(#REF!,CURVA!$B$6:$B$20,CURVA!$G$6:$G$20)</f>
        <v>#VALUE!</v>
      </c>
      <c r="C706" s="29" t="e">
        <f t="shared" ref="C706:C769" si="11">(EXP(B706*A706/360)-1)*360/A706</f>
        <v>#VALUE!</v>
      </c>
      <c r="E706" t="e">
        <f>cubic_spline(CURVA!$B$6:$B$20,CURVA!$G$6:$G$20,#REF!)</f>
        <v>#VALUE!</v>
      </c>
    </row>
    <row r="707" spans="1:5" x14ac:dyDescent="0.2">
      <c r="A707" s="28">
        <v>706</v>
      </c>
      <c r="B707" s="28" t="e">
        <f>interpola(#REF!,CURVA!$B$6:$B$20,CURVA!$G$6:$G$20)</f>
        <v>#VALUE!</v>
      </c>
      <c r="C707" s="29" t="e">
        <f t="shared" si="11"/>
        <v>#VALUE!</v>
      </c>
      <c r="E707" t="e">
        <f>cubic_spline(CURVA!$B$6:$B$20,CURVA!$G$6:$G$20,#REF!)</f>
        <v>#VALUE!</v>
      </c>
    </row>
    <row r="708" spans="1:5" x14ac:dyDescent="0.2">
      <c r="A708" s="28">
        <v>707</v>
      </c>
      <c r="B708" s="28" t="e">
        <f>interpola(#REF!,CURVA!$B$6:$B$20,CURVA!$G$6:$G$20)</f>
        <v>#VALUE!</v>
      </c>
      <c r="C708" s="29" t="e">
        <f t="shared" si="11"/>
        <v>#VALUE!</v>
      </c>
      <c r="E708" t="e">
        <f>cubic_spline(CURVA!$B$6:$B$20,CURVA!$G$6:$G$20,#REF!)</f>
        <v>#VALUE!</v>
      </c>
    </row>
    <row r="709" spans="1:5" x14ac:dyDescent="0.2">
      <c r="A709" s="28">
        <v>708</v>
      </c>
      <c r="B709" s="28" t="e">
        <f>interpola(#REF!,CURVA!$B$6:$B$20,CURVA!$G$6:$G$20)</f>
        <v>#VALUE!</v>
      </c>
      <c r="C709" s="29" t="e">
        <f t="shared" si="11"/>
        <v>#VALUE!</v>
      </c>
      <c r="E709" t="e">
        <f>cubic_spline(CURVA!$B$6:$B$20,CURVA!$G$6:$G$20,#REF!)</f>
        <v>#VALUE!</v>
      </c>
    </row>
    <row r="710" spans="1:5" x14ac:dyDescent="0.2">
      <c r="A710" s="28">
        <v>709</v>
      </c>
      <c r="B710" s="28" t="e">
        <f>interpola(#REF!,CURVA!$B$6:$B$20,CURVA!$G$6:$G$20)</f>
        <v>#VALUE!</v>
      </c>
      <c r="C710" s="29" t="e">
        <f t="shared" si="11"/>
        <v>#VALUE!</v>
      </c>
      <c r="E710" t="e">
        <f>cubic_spline(CURVA!$B$6:$B$20,CURVA!$G$6:$G$20,#REF!)</f>
        <v>#VALUE!</v>
      </c>
    </row>
    <row r="711" spans="1:5" x14ac:dyDescent="0.2">
      <c r="A711" s="28">
        <v>710</v>
      </c>
      <c r="B711" s="28" t="e">
        <f>interpola(#REF!,CURVA!$B$6:$B$20,CURVA!$G$6:$G$20)</f>
        <v>#VALUE!</v>
      </c>
      <c r="C711" s="29" t="e">
        <f t="shared" si="11"/>
        <v>#VALUE!</v>
      </c>
      <c r="E711" t="e">
        <f>cubic_spline(CURVA!$B$6:$B$20,CURVA!$G$6:$G$20,#REF!)</f>
        <v>#VALUE!</v>
      </c>
    </row>
    <row r="712" spans="1:5" x14ac:dyDescent="0.2">
      <c r="A712" s="28">
        <v>711</v>
      </c>
      <c r="B712" s="28" t="e">
        <f>interpola(#REF!,CURVA!$B$6:$B$20,CURVA!$G$6:$G$20)</f>
        <v>#VALUE!</v>
      </c>
      <c r="C712" s="29" t="e">
        <f t="shared" si="11"/>
        <v>#VALUE!</v>
      </c>
      <c r="E712" t="e">
        <f>cubic_spline(CURVA!$B$6:$B$20,CURVA!$G$6:$G$20,#REF!)</f>
        <v>#VALUE!</v>
      </c>
    </row>
    <row r="713" spans="1:5" x14ac:dyDescent="0.2">
      <c r="A713" s="28">
        <v>712</v>
      </c>
      <c r="B713" s="28" t="e">
        <f>interpola(#REF!,CURVA!$B$6:$B$20,CURVA!$G$6:$G$20)</f>
        <v>#VALUE!</v>
      </c>
      <c r="C713" s="29" t="e">
        <f t="shared" si="11"/>
        <v>#VALUE!</v>
      </c>
      <c r="E713" t="e">
        <f>cubic_spline(CURVA!$B$6:$B$20,CURVA!$G$6:$G$20,#REF!)</f>
        <v>#VALUE!</v>
      </c>
    </row>
    <row r="714" spans="1:5" x14ac:dyDescent="0.2">
      <c r="A714" s="28">
        <v>713</v>
      </c>
      <c r="B714" s="28" t="e">
        <f>interpola(#REF!,CURVA!$B$6:$B$20,CURVA!$G$6:$G$20)</f>
        <v>#VALUE!</v>
      </c>
      <c r="C714" s="29" t="e">
        <f t="shared" si="11"/>
        <v>#VALUE!</v>
      </c>
      <c r="E714" t="e">
        <f>cubic_spline(CURVA!$B$6:$B$20,CURVA!$G$6:$G$20,#REF!)</f>
        <v>#VALUE!</v>
      </c>
    </row>
    <row r="715" spans="1:5" x14ac:dyDescent="0.2">
      <c r="A715" s="28">
        <v>714</v>
      </c>
      <c r="B715" s="28" t="e">
        <f>interpola(#REF!,CURVA!$B$6:$B$20,CURVA!$G$6:$G$20)</f>
        <v>#VALUE!</v>
      </c>
      <c r="C715" s="29" t="e">
        <f t="shared" si="11"/>
        <v>#VALUE!</v>
      </c>
      <c r="E715" t="e">
        <f>cubic_spline(CURVA!$B$6:$B$20,CURVA!$G$6:$G$20,#REF!)</f>
        <v>#VALUE!</v>
      </c>
    </row>
    <row r="716" spans="1:5" x14ac:dyDescent="0.2">
      <c r="A716" s="28">
        <v>715</v>
      </c>
      <c r="B716" s="28" t="e">
        <f>interpola(#REF!,CURVA!$B$6:$B$20,CURVA!$G$6:$G$20)</f>
        <v>#VALUE!</v>
      </c>
      <c r="C716" s="29" t="e">
        <f t="shared" si="11"/>
        <v>#VALUE!</v>
      </c>
      <c r="E716" t="e">
        <f>cubic_spline(CURVA!$B$6:$B$20,CURVA!$G$6:$G$20,#REF!)</f>
        <v>#VALUE!</v>
      </c>
    </row>
    <row r="717" spans="1:5" x14ac:dyDescent="0.2">
      <c r="A717" s="28">
        <v>716</v>
      </c>
      <c r="B717" s="28" t="e">
        <f>interpola(#REF!,CURVA!$B$6:$B$20,CURVA!$G$6:$G$20)</f>
        <v>#VALUE!</v>
      </c>
      <c r="C717" s="29" t="e">
        <f t="shared" si="11"/>
        <v>#VALUE!</v>
      </c>
      <c r="E717" t="e">
        <f>cubic_spline(CURVA!$B$6:$B$20,CURVA!$G$6:$G$20,#REF!)</f>
        <v>#VALUE!</v>
      </c>
    </row>
    <row r="718" spans="1:5" x14ac:dyDescent="0.2">
      <c r="A718" s="28">
        <v>717</v>
      </c>
      <c r="B718" s="28" t="e">
        <f>interpola(#REF!,CURVA!$B$6:$B$20,CURVA!$G$6:$G$20)</f>
        <v>#VALUE!</v>
      </c>
      <c r="C718" s="29" t="e">
        <f t="shared" si="11"/>
        <v>#VALUE!</v>
      </c>
      <c r="E718" t="e">
        <f>cubic_spline(CURVA!$B$6:$B$20,CURVA!$G$6:$G$20,#REF!)</f>
        <v>#VALUE!</v>
      </c>
    </row>
    <row r="719" spans="1:5" x14ac:dyDescent="0.2">
      <c r="A719" s="28">
        <v>718</v>
      </c>
      <c r="B719" s="28" t="e">
        <f>interpola(#REF!,CURVA!$B$6:$B$20,CURVA!$G$6:$G$20)</f>
        <v>#VALUE!</v>
      </c>
      <c r="C719" s="29" t="e">
        <f t="shared" si="11"/>
        <v>#VALUE!</v>
      </c>
      <c r="E719" t="e">
        <f>cubic_spline(CURVA!$B$6:$B$20,CURVA!$G$6:$G$20,#REF!)</f>
        <v>#VALUE!</v>
      </c>
    </row>
    <row r="720" spans="1:5" x14ac:dyDescent="0.2">
      <c r="A720" s="28">
        <v>719</v>
      </c>
      <c r="B720" s="28" t="e">
        <f>interpola(#REF!,CURVA!$B$6:$B$20,CURVA!$G$6:$G$20)</f>
        <v>#VALUE!</v>
      </c>
      <c r="C720" s="29" t="e">
        <f t="shared" si="11"/>
        <v>#VALUE!</v>
      </c>
      <c r="E720" t="e">
        <f>cubic_spline(CURVA!$B$6:$B$20,CURVA!$G$6:$G$20,#REF!)</f>
        <v>#VALUE!</v>
      </c>
    </row>
    <row r="721" spans="1:5" x14ac:dyDescent="0.2">
      <c r="A721" s="28">
        <v>720</v>
      </c>
      <c r="B721" s="28" t="e">
        <f>interpola(#REF!,CURVA!$B$6:$B$20,CURVA!$G$6:$G$20)</f>
        <v>#VALUE!</v>
      </c>
      <c r="C721" s="29" t="e">
        <f t="shared" si="11"/>
        <v>#VALUE!</v>
      </c>
      <c r="E721" t="e">
        <f>cubic_spline(CURVA!$B$6:$B$20,CURVA!$G$6:$G$20,#REF!)</f>
        <v>#VALUE!</v>
      </c>
    </row>
    <row r="722" spans="1:5" x14ac:dyDescent="0.2">
      <c r="A722" s="28">
        <v>721</v>
      </c>
      <c r="B722" s="28" t="e">
        <f>interpola(#REF!,CURVA!$B$6:$B$20,CURVA!$G$6:$G$20)</f>
        <v>#VALUE!</v>
      </c>
      <c r="C722" s="29" t="e">
        <f t="shared" si="11"/>
        <v>#VALUE!</v>
      </c>
      <c r="E722" t="e">
        <f>cubic_spline(CURVA!$B$6:$B$20,CURVA!$G$6:$G$20,#REF!)</f>
        <v>#VALUE!</v>
      </c>
    </row>
    <row r="723" spans="1:5" x14ac:dyDescent="0.2">
      <c r="A723" s="28">
        <v>722</v>
      </c>
      <c r="B723" s="28" t="e">
        <f>interpola(#REF!,CURVA!$B$6:$B$20,CURVA!$G$6:$G$20)</f>
        <v>#VALUE!</v>
      </c>
      <c r="C723" s="29" t="e">
        <f t="shared" si="11"/>
        <v>#VALUE!</v>
      </c>
      <c r="E723" t="e">
        <f>cubic_spline(CURVA!$B$6:$B$20,CURVA!$G$6:$G$20,#REF!)</f>
        <v>#VALUE!</v>
      </c>
    </row>
    <row r="724" spans="1:5" x14ac:dyDescent="0.2">
      <c r="A724" s="28">
        <v>723</v>
      </c>
      <c r="B724" s="28" t="e">
        <f>interpola(#REF!,CURVA!$B$6:$B$20,CURVA!$G$6:$G$20)</f>
        <v>#VALUE!</v>
      </c>
      <c r="C724" s="29" t="e">
        <f t="shared" si="11"/>
        <v>#VALUE!</v>
      </c>
      <c r="E724" t="e">
        <f>cubic_spline(CURVA!$B$6:$B$20,CURVA!$G$6:$G$20,#REF!)</f>
        <v>#VALUE!</v>
      </c>
    </row>
    <row r="725" spans="1:5" x14ac:dyDescent="0.2">
      <c r="A725" s="28">
        <v>724</v>
      </c>
      <c r="B725" s="28" t="e">
        <f>interpola(#REF!,CURVA!$B$6:$B$20,CURVA!$G$6:$G$20)</f>
        <v>#VALUE!</v>
      </c>
      <c r="C725" s="29" t="e">
        <f t="shared" si="11"/>
        <v>#VALUE!</v>
      </c>
      <c r="E725" t="e">
        <f>cubic_spline(CURVA!$B$6:$B$20,CURVA!$G$6:$G$20,#REF!)</f>
        <v>#VALUE!</v>
      </c>
    </row>
    <row r="726" spans="1:5" x14ac:dyDescent="0.2">
      <c r="A726" s="28">
        <v>725</v>
      </c>
      <c r="B726" s="28" t="e">
        <f>interpola(#REF!,CURVA!$B$6:$B$20,CURVA!$G$6:$G$20)</f>
        <v>#VALUE!</v>
      </c>
      <c r="C726" s="29" t="e">
        <f t="shared" si="11"/>
        <v>#VALUE!</v>
      </c>
      <c r="E726" t="e">
        <f>cubic_spline(CURVA!$B$6:$B$20,CURVA!$G$6:$G$20,#REF!)</f>
        <v>#VALUE!</v>
      </c>
    </row>
    <row r="727" spans="1:5" x14ac:dyDescent="0.2">
      <c r="A727" s="28">
        <v>726</v>
      </c>
      <c r="B727" s="28" t="e">
        <f>interpola(#REF!,CURVA!$B$6:$B$20,CURVA!$G$6:$G$20)</f>
        <v>#VALUE!</v>
      </c>
      <c r="C727" s="29" t="e">
        <f t="shared" si="11"/>
        <v>#VALUE!</v>
      </c>
      <c r="E727" t="e">
        <f>cubic_spline(CURVA!$B$6:$B$20,CURVA!$G$6:$G$20,#REF!)</f>
        <v>#VALUE!</v>
      </c>
    </row>
    <row r="728" spans="1:5" x14ac:dyDescent="0.2">
      <c r="A728" s="28">
        <v>727</v>
      </c>
      <c r="B728" s="28" t="e">
        <f>interpola(#REF!,CURVA!$B$6:$B$20,CURVA!$G$6:$G$20)</f>
        <v>#VALUE!</v>
      </c>
      <c r="C728" s="29" t="e">
        <f t="shared" si="11"/>
        <v>#VALUE!</v>
      </c>
      <c r="E728" t="e">
        <f>cubic_spline(CURVA!$B$6:$B$20,CURVA!$G$6:$G$20,#REF!)</f>
        <v>#VALUE!</v>
      </c>
    </row>
    <row r="729" spans="1:5" x14ac:dyDescent="0.2">
      <c r="A729" s="28">
        <v>728</v>
      </c>
      <c r="B729" s="28" t="e">
        <f>interpola(#REF!,CURVA!$B$6:$B$20,CURVA!$G$6:$G$20)</f>
        <v>#VALUE!</v>
      </c>
      <c r="C729" s="29" t="e">
        <f t="shared" si="11"/>
        <v>#VALUE!</v>
      </c>
      <c r="E729" t="e">
        <f>cubic_spline(CURVA!$B$6:$B$20,CURVA!$G$6:$G$20,#REF!)</f>
        <v>#VALUE!</v>
      </c>
    </row>
    <row r="730" spans="1:5" x14ac:dyDescent="0.2">
      <c r="A730" s="28">
        <v>729</v>
      </c>
      <c r="B730" s="28" t="e">
        <f>interpola(#REF!,CURVA!$B$6:$B$20,CURVA!$G$6:$G$20)</f>
        <v>#VALUE!</v>
      </c>
      <c r="C730" s="29" t="e">
        <f t="shared" si="11"/>
        <v>#VALUE!</v>
      </c>
      <c r="E730" t="e">
        <f>cubic_spline(CURVA!$B$6:$B$20,CURVA!$G$6:$G$20,#REF!)</f>
        <v>#VALUE!</v>
      </c>
    </row>
    <row r="731" spans="1:5" x14ac:dyDescent="0.2">
      <c r="A731" s="28">
        <v>730</v>
      </c>
      <c r="B731" s="28" t="e">
        <f>interpola(#REF!,CURVA!$B$6:$B$20,CURVA!$G$6:$G$20)</f>
        <v>#VALUE!</v>
      </c>
      <c r="C731" s="29" t="e">
        <f t="shared" si="11"/>
        <v>#VALUE!</v>
      </c>
      <c r="E731" t="e">
        <f>cubic_spline(CURVA!$B$6:$B$20,CURVA!$G$6:$G$20,#REF!)</f>
        <v>#VALUE!</v>
      </c>
    </row>
    <row r="732" spans="1:5" x14ac:dyDescent="0.2">
      <c r="A732" s="28">
        <v>731</v>
      </c>
      <c r="B732" s="28" t="e">
        <f>interpola(#REF!,CURVA!$B$6:$B$20,CURVA!$G$6:$G$20)</f>
        <v>#VALUE!</v>
      </c>
      <c r="C732" s="29" t="e">
        <f t="shared" si="11"/>
        <v>#VALUE!</v>
      </c>
      <c r="E732" t="e">
        <f>cubic_spline(CURVA!$B$6:$B$20,CURVA!$G$6:$G$20,#REF!)</f>
        <v>#VALUE!</v>
      </c>
    </row>
    <row r="733" spans="1:5" x14ac:dyDescent="0.2">
      <c r="A733" s="28">
        <v>732</v>
      </c>
      <c r="B733" s="28" t="e">
        <f>interpola(#REF!,CURVA!$B$6:$B$20,CURVA!$G$6:$G$20)</f>
        <v>#VALUE!</v>
      </c>
      <c r="C733" s="29" t="e">
        <f t="shared" si="11"/>
        <v>#VALUE!</v>
      </c>
      <c r="E733" t="e">
        <f>cubic_spline(CURVA!$B$6:$B$20,CURVA!$G$6:$G$20,#REF!)</f>
        <v>#VALUE!</v>
      </c>
    </row>
    <row r="734" spans="1:5" x14ac:dyDescent="0.2">
      <c r="A734" s="28">
        <v>733</v>
      </c>
      <c r="B734" s="28" t="e">
        <f>interpola(#REF!,CURVA!$B$6:$B$20,CURVA!$G$6:$G$20)</f>
        <v>#VALUE!</v>
      </c>
      <c r="C734" s="29" t="e">
        <f t="shared" si="11"/>
        <v>#VALUE!</v>
      </c>
      <c r="E734" t="e">
        <f>cubic_spline(CURVA!$B$6:$B$20,CURVA!$G$6:$G$20,#REF!)</f>
        <v>#VALUE!</v>
      </c>
    </row>
    <row r="735" spans="1:5" x14ac:dyDescent="0.2">
      <c r="A735" s="28">
        <v>734</v>
      </c>
      <c r="B735" s="28" t="e">
        <f>interpola(#REF!,CURVA!$B$6:$B$20,CURVA!$G$6:$G$20)</f>
        <v>#VALUE!</v>
      </c>
      <c r="C735" s="29" t="e">
        <f t="shared" si="11"/>
        <v>#VALUE!</v>
      </c>
      <c r="E735" t="e">
        <f>cubic_spline(CURVA!$B$6:$B$20,CURVA!$G$6:$G$20,#REF!)</f>
        <v>#VALUE!</v>
      </c>
    </row>
    <row r="736" spans="1:5" x14ac:dyDescent="0.2">
      <c r="A736" s="28">
        <v>735</v>
      </c>
      <c r="B736" s="28" t="e">
        <f>interpola(#REF!,CURVA!$B$6:$B$20,CURVA!$G$6:$G$20)</f>
        <v>#VALUE!</v>
      </c>
      <c r="C736" s="29" t="e">
        <f t="shared" si="11"/>
        <v>#VALUE!</v>
      </c>
      <c r="E736" t="e">
        <f>cubic_spline(CURVA!$B$6:$B$20,CURVA!$G$6:$G$20,#REF!)</f>
        <v>#VALUE!</v>
      </c>
    </row>
    <row r="737" spans="1:5" x14ac:dyDescent="0.2">
      <c r="A737" s="28">
        <v>736</v>
      </c>
      <c r="B737" s="28" t="e">
        <f>interpola(#REF!,CURVA!$B$6:$B$20,CURVA!$G$6:$G$20)</f>
        <v>#VALUE!</v>
      </c>
      <c r="C737" s="29" t="e">
        <f t="shared" si="11"/>
        <v>#VALUE!</v>
      </c>
      <c r="E737" t="e">
        <f>cubic_spline(CURVA!$B$6:$B$20,CURVA!$G$6:$G$20,#REF!)</f>
        <v>#VALUE!</v>
      </c>
    </row>
    <row r="738" spans="1:5" x14ac:dyDescent="0.2">
      <c r="A738" s="28">
        <v>737</v>
      </c>
      <c r="B738" s="28" t="e">
        <f>interpola(#REF!,CURVA!$B$6:$B$20,CURVA!$G$6:$G$20)</f>
        <v>#VALUE!</v>
      </c>
      <c r="C738" s="29" t="e">
        <f t="shared" si="11"/>
        <v>#VALUE!</v>
      </c>
      <c r="E738" t="e">
        <f>cubic_spline(CURVA!$B$6:$B$20,CURVA!$G$6:$G$20,#REF!)</f>
        <v>#VALUE!</v>
      </c>
    </row>
    <row r="739" spans="1:5" x14ac:dyDescent="0.2">
      <c r="A739" s="28">
        <v>738</v>
      </c>
      <c r="B739" s="28" t="e">
        <f>interpola(#REF!,CURVA!$B$6:$B$20,CURVA!$G$6:$G$20)</f>
        <v>#VALUE!</v>
      </c>
      <c r="C739" s="29" t="e">
        <f t="shared" si="11"/>
        <v>#VALUE!</v>
      </c>
      <c r="E739" t="e">
        <f>cubic_spline(CURVA!$B$6:$B$20,CURVA!$G$6:$G$20,#REF!)</f>
        <v>#VALUE!</v>
      </c>
    </row>
    <row r="740" spans="1:5" x14ac:dyDescent="0.2">
      <c r="A740" s="28">
        <v>739</v>
      </c>
      <c r="B740" s="28" t="e">
        <f>interpola(#REF!,CURVA!$B$6:$B$20,CURVA!$G$6:$G$20)</f>
        <v>#VALUE!</v>
      </c>
      <c r="C740" s="29" t="e">
        <f t="shared" si="11"/>
        <v>#VALUE!</v>
      </c>
      <c r="E740" t="e">
        <f>cubic_spline(CURVA!$B$6:$B$20,CURVA!$G$6:$G$20,#REF!)</f>
        <v>#VALUE!</v>
      </c>
    </row>
    <row r="741" spans="1:5" x14ac:dyDescent="0.2">
      <c r="A741" s="28">
        <v>740</v>
      </c>
      <c r="B741" s="28" t="e">
        <f>interpola(#REF!,CURVA!$B$6:$B$20,CURVA!$G$6:$G$20)</f>
        <v>#VALUE!</v>
      </c>
      <c r="C741" s="29" t="e">
        <f t="shared" si="11"/>
        <v>#VALUE!</v>
      </c>
      <c r="E741" t="e">
        <f>cubic_spline(CURVA!$B$6:$B$20,CURVA!$G$6:$G$20,#REF!)</f>
        <v>#VALUE!</v>
      </c>
    </row>
    <row r="742" spans="1:5" x14ac:dyDescent="0.2">
      <c r="A742" s="28">
        <v>741</v>
      </c>
      <c r="B742" s="28" t="e">
        <f>interpola(#REF!,CURVA!$B$6:$B$20,CURVA!$G$6:$G$20)</f>
        <v>#VALUE!</v>
      </c>
      <c r="C742" s="29" t="e">
        <f t="shared" si="11"/>
        <v>#VALUE!</v>
      </c>
      <c r="E742" t="e">
        <f>cubic_spline(CURVA!$B$6:$B$20,CURVA!$G$6:$G$20,#REF!)</f>
        <v>#VALUE!</v>
      </c>
    </row>
    <row r="743" spans="1:5" x14ac:dyDescent="0.2">
      <c r="A743" s="28">
        <v>742</v>
      </c>
      <c r="B743" s="28" t="e">
        <f>interpola(#REF!,CURVA!$B$6:$B$20,CURVA!$G$6:$G$20)</f>
        <v>#VALUE!</v>
      </c>
      <c r="C743" s="29" t="e">
        <f t="shared" si="11"/>
        <v>#VALUE!</v>
      </c>
      <c r="E743" t="e">
        <f>cubic_spline(CURVA!$B$6:$B$20,CURVA!$G$6:$G$20,#REF!)</f>
        <v>#VALUE!</v>
      </c>
    </row>
    <row r="744" spans="1:5" x14ac:dyDescent="0.2">
      <c r="A744" s="28">
        <v>743</v>
      </c>
      <c r="B744" s="28" t="e">
        <f>interpola(#REF!,CURVA!$B$6:$B$20,CURVA!$G$6:$G$20)</f>
        <v>#VALUE!</v>
      </c>
      <c r="C744" s="29" t="e">
        <f t="shared" si="11"/>
        <v>#VALUE!</v>
      </c>
      <c r="E744" t="e">
        <f>cubic_spline(CURVA!$B$6:$B$20,CURVA!$G$6:$G$20,#REF!)</f>
        <v>#VALUE!</v>
      </c>
    </row>
    <row r="745" spans="1:5" x14ac:dyDescent="0.2">
      <c r="A745" s="28">
        <v>744</v>
      </c>
      <c r="B745" s="28" t="e">
        <f>interpola(#REF!,CURVA!$B$6:$B$20,CURVA!$G$6:$G$20)</f>
        <v>#VALUE!</v>
      </c>
      <c r="C745" s="29" t="e">
        <f t="shared" si="11"/>
        <v>#VALUE!</v>
      </c>
      <c r="E745" t="e">
        <f>cubic_spline(CURVA!$B$6:$B$20,CURVA!$G$6:$G$20,#REF!)</f>
        <v>#VALUE!</v>
      </c>
    </row>
    <row r="746" spans="1:5" x14ac:dyDescent="0.2">
      <c r="A746" s="28">
        <v>745</v>
      </c>
      <c r="B746" s="28" t="e">
        <f>interpola(#REF!,CURVA!$B$6:$B$20,CURVA!$G$6:$G$20)</f>
        <v>#VALUE!</v>
      </c>
      <c r="C746" s="29" t="e">
        <f t="shared" si="11"/>
        <v>#VALUE!</v>
      </c>
      <c r="E746" t="e">
        <f>cubic_spline(CURVA!$B$6:$B$20,CURVA!$G$6:$G$20,#REF!)</f>
        <v>#VALUE!</v>
      </c>
    </row>
    <row r="747" spans="1:5" x14ac:dyDescent="0.2">
      <c r="A747" s="28">
        <v>746</v>
      </c>
      <c r="B747" s="28" t="e">
        <f>interpola(#REF!,CURVA!$B$6:$B$20,CURVA!$G$6:$G$20)</f>
        <v>#VALUE!</v>
      </c>
      <c r="C747" s="29" t="e">
        <f t="shared" si="11"/>
        <v>#VALUE!</v>
      </c>
      <c r="E747" t="e">
        <f>cubic_spline(CURVA!$B$6:$B$20,CURVA!$G$6:$G$20,#REF!)</f>
        <v>#VALUE!</v>
      </c>
    </row>
    <row r="748" spans="1:5" x14ac:dyDescent="0.2">
      <c r="A748" s="28">
        <v>747</v>
      </c>
      <c r="B748" s="28" t="e">
        <f>interpola(#REF!,CURVA!$B$6:$B$20,CURVA!$G$6:$G$20)</f>
        <v>#VALUE!</v>
      </c>
      <c r="C748" s="29" t="e">
        <f t="shared" si="11"/>
        <v>#VALUE!</v>
      </c>
      <c r="E748" t="e">
        <f>cubic_spline(CURVA!$B$6:$B$20,CURVA!$G$6:$G$20,#REF!)</f>
        <v>#VALUE!</v>
      </c>
    </row>
    <row r="749" spans="1:5" x14ac:dyDescent="0.2">
      <c r="A749" s="28">
        <v>748</v>
      </c>
      <c r="B749" s="28" t="e">
        <f>interpola(#REF!,CURVA!$B$6:$B$20,CURVA!$G$6:$G$20)</f>
        <v>#VALUE!</v>
      </c>
      <c r="C749" s="29" t="e">
        <f t="shared" si="11"/>
        <v>#VALUE!</v>
      </c>
      <c r="E749" t="e">
        <f>cubic_spline(CURVA!$B$6:$B$20,CURVA!$G$6:$G$20,#REF!)</f>
        <v>#VALUE!</v>
      </c>
    </row>
    <row r="750" spans="1:5" x14ac:dyDescent="0.2">
      <c r="A750" s="28">
        <v>749</v>
      </c>
      <c r="B750" s="28" t="e">
        <f>interpola(#REF!,CURVA!$B$6:$B$20,CURVA!$G$6:$G$20)</f>
        <v>#VALUE!</v>
      </c>
      <c r="C750" s="29" t="e">
        <f t="shared" si="11"/>
        <v>#VALUE!</v>
      </c>
      <c r="E750" t="e">
        <f>cubic_spline(CURVA!$B$6:$B$20,CURVA!$G$6:$G$20,#REF!)</f>
        <v>#VALUE!</v>
      </c>
    </row>
    <row r="751" spans="1:5" x14ac:dyDescent="0.2">
      <c r="A751" s="28">
        <v>750</v>
      </c>
      <c r="B751" s="28" t="e">
        <f>interpola(#REF!,CURVA!$B$6:$B$20,CURVA!$G$6:$G$20)</f>
        <v>#VALUE!</v>
      </c>
      <c r="C751" s="29" t="e">
        <f t="shared" si="11"/>
        <v>#VALUE!</v>
      </c>
      <c r="E751" t="e">
        <f>cubic_spline(CURVA!$B$6:$B$20,CURVA!$G$6:$G$20,#REF!)</f>
        <v>#VALUE!</v>
      </c>
    </row>
    <row r="752" spans="1:5" x14ac:dyDescent="0.2">
      <c r="A752" s="28">
        <v>751</v>
      </c>
      <c r="B752" s="28" t="e">
        <f>interpola(#REF!,CURVA!$B$6:$B$20,CURVA!$G$6:$G$20)</f>
        <v>#VALUE!</v>
      </c>
      <c r="C752" s="29" t="e">
        <f t="shared" si="11"/>
        <v>#VALUE!</v>
      </c>
      <c r="E752" t="e">
        <f>cubic_spline(CURVA!$B$6:$B$20,CURVA!$G$6:$G$20,#REF!)</f>
        <v>#VALUE!</v>
      </c>
    </row>
    <row r="753" spans="1:5" x14ac:dyDescent="0.2">
      <c r="A753" s="28">
        <v>752</v>
      </c>
      <c r="B753" s="28" t="e">
        <f>interpola(#REF!,CURVA!$B$6:$B$20,CURVA!$G$6:$G$20)</f>
        <v>#VALUE!</v>
      </c>
      <c r="C753" s="29" t="e">
        <f t="shared" si="11"/>
        <v>#VALUE!</v>
      </c>
      <c r="E753" t="e">
        <f>cubic_spline(CURVA!$B$6:$B$20,CURVA!$G$6:$G$20,#REF!)</f>
        <v>#VALUE!</v>
      </c>
    </row>
    <row r="754" spans="1:5" x14ac:dyDescent="0.2">
      <c r="A754" s="28">
        <v>753</v>
      </c>
      <c r="B754" s="28" t="e">
        <f>interpola(#REF!,CURVA!$B$6:$B$20,CURVA!$G$6:$G$20)</f>
        <v>#VALUE!</v>
      </c>
      <c r="C754" s="29" t="e">
        <f t="shared" si="11"/>
        <v>#VALUE!</v>
      </c>
      <c r="E754" t="e">
        <f>cubic_spline(CURVA!$B$6:$B$20,CURVA!$G$6:$G$20,#REF!)</f>
        <v>#VALUE!</v>
      </c>
    </row>
    <row r="755" spans="1:5" x14ac:dyDescent="0.2">
      <c r="A755" s="28">
        <v>754</v>
      </c>
      <c r="B755" s="28" t="e">
        <f>interpola(#REF!,CURVA!$B$6:$B$20,CURVA!$G$6:$G$20)</f>
        <v>#VALUE!</v>
      </c>
      <c r="C755" s="29" t="e">
        <f t="shared" si="11"/>
        <v>#VALUE!</v>
      </c>
      <c r="E755" t="e">
        <f>cubic_spline(CURVA!$B$6:$B$20,CURVA!$G$6:$G$20,#REF!)</f>
        <v>#VALUE!</v>
      </c>
    </row>
    <row r="756" spans="1:5" x14ac:dyDescent="0.2">
      <c r="A756" s="28">
        <v>755</v>
      </c>
      <c r="B756" s="28" t="e">
        <f>interpola(#REF!,CURVA!$B$6:$B$20,CURVA!$G$6:$G$20)</f>
        <v>#VALUE!</v>
      </c>
      <c r="C756" s="29" t="e">
        <f t="shared" si="11"/>
        <v>#VALUE!</v>
      </c>
      <c r="E756" t="e">
        <f>cubic_spline(CURVA!$B$6:$B$20,CURVA!$G$6:$G$20,#REF!)</f>
        <v>#VALUE!</v>
      </c>
    </row>
    <row r="757" spans="1:5" x14ac:dyDescent="0.2">
      <c r="A757" s="28">
        <v>756</v>
      </c>
      <c r="B757" s="28" t="e">
        <f>interpola(#REF!,CURVA!$B$6:$B$20,CURVA!$G$6:$G$20)</f>
        <v>#VALUE!</v>
      </c>
      <c r="C757" s="29" t="e">
        <f t="shared" si="11"/>
        <v>#VALUE!</v>
      </c>
      <c r="E757" t="e">
        <f>cubic_spline(CURVA!$B$6:$B$20,CURVA!$G$6:$G$20,#REF!)</f>
        <v>#VALUE!</v>
      </c>
    </row>
    <row r="758" spans="1:5" x14ac:dyDescent="0.2">
      <c r="A758" s="28">
        <v>757</v>
      </c>
      <c r="B758" s="28" t="e">
        <f>interpola(#REF!,CURVA!$B$6:$B$20,CURVA!$G$6:$G$20)</f>
        <v>#VALUE!</v>
      </c>
      <c r="C758" s="29" t="e">
        <f t="shared" si="11"/>
        <v>#VALUE!</v>
      </c>
      <c r="E758" t="e">
        <f>cubic_spline(CURVA!$B$6:$B$20,CURVA!$G$6:$G$20,#REF!)</f>
        <v>#VALUE!</v>
      </c>
    </row>
    <row r="759" spans="1:5" x14ac:dyDescent="0.2">
      <c r="A759" s="28">
        <v>758</v>
      </c>
      <c r="B759" s="28" t="e">
        <f>interpola(#REF!,CURVA!$B$6:$B$20,CURVA!$G$6:$G$20)</f>
        <v>#VALUE!</v>
      </c>
      <c r="C759" s="29" t="e">
        <f t="shared" si="11"/>
        <v>#VALUE!</v>
      </c>
      <c r="E759" t="e">
        <f>cubic_spline(CURVA!$B$6:$B$20,CURVA!$G$6:$G$20,#REF!)</f>
        <v>#VALUE!</v>
      </c>
    </row>
    <row r="760" spans="1:5" x14ac:dyDescent="0.2">
      <c r="A760" s="28">
        <v>759</v>
      </c>
      <c r="B760" s="28" t="e">
        <f>interpola(#REF!,CURVA!$B$6:$B$20,CURVA!$G$6:$G$20)</f>
        <v>#VALUE!</v>
      </c>
      <c r="C760" s="29" t="e">
        <f t="shared" si="11"/>
        <v>#VALUE!</v>
      </c>
      <c r="E760" t="e">
        <f>cubic_spline(CURVA!$B$6:$B$20,CURVA!$G$6:$G$20,#REF!)</f>
        <v>#VALUE!</v>
      </c>
    </row>
    <row r="761" spans="1:5" x14ac:dyDescent="0.2">
      <c r="A761" s="28">
        <v>760</v>
      </c>
      <c r="B761" s="28" t="e">
        <f>interpola(#REF!,CURVA!$B$6:$B$20,CURVA!$G$6:$G$20)</f>
        <v>#VALUE!</v>
      </c>
      <c r="C761" s="29" t="e">
        <f t="shared" si="11"/>
        <v>#VALUE!</v>
      </c>
      <c r="E761" t="e">
        <f>cubic_spline(CURVA!$B$6:$B$20,CURVA!$G$6:$G$20,#REF!)</f>
        <v>#VALUE!</v>
      </c>
    </row>
    <row r="762" spans="1:5" x14ac:dyDescent="0.2">
      <c r="A762" s="28">
        <v>761</v>
      </c>
      <c r="B762" s="28" t="e">
        <f>interpola(#REF!,CURVA!$B$6:$B$20,CURVA!$G$6:$G$20)</f>
        <v>#VALUE!</v>
      </c>
      <c r="C762" s="29" t="e">
        <f t="shared" si="11"/>
        <v>#VALUE!</v>
      </c>
      <c r="E762" t="e">
        <f>cubic_spline(CURVA!$B$6:$B$20,CURVA!$G$6:$G$20,#REF!)</f>
        <v>#VALUE!</v>
      </c>
    </row>
    <row r="763" spans="1:5" x14ac:dyDescent="0.2">
      <c r="A763" s="28">
        <v>762</v>
      </c>
      <c r="B763" s="28" t="e">
        <f>interpola(#REF!,CURVA!$B$6:$B$20,CURVA!$G$6:$G$20)</f>
        <v>#VALUE!</v>
      </c>
      <c r="C763" s="29" t="e">
        <f t="shared" si="11"/>
        <v>#VALUE!</v>
      </c>
      <c r="E763" t="e">
        <f>cubic_spline(CURVA!$B$6:$B$20,CURVA!$G$6:$G$20,#REF!)</f>
        <v>#VALUE!</v>
      </c>
    </row>
    <row r="764" spans="1:5" x14ac:dyDescent="0.2">
      <c r="A764" s="28">
        <v>763</v>
      </c>
      <c r="B764" s="28" t="e">
        <f>interpola(#REF!,CURVA!$B$6:$B$20,CURVA!$G$6:$G$20)</f>
        <v>#VALUE!</v>
      </c>
      <c r="C764" s="29" t="e">
        <f t="shared" si="11"/>
        <v>#VALUE!</v>
      </c>
      <c r="E764" t="e">
        <f>cubic_spline(CURVA!$B$6:$B$20,CURVA!$G$6:$G$20,#REF!)</f>
        <v>#VALUE!</v>
      </c>
    </row>
    <row r="765" spans="1:5" x14ac:dyDescent="0.2">
      <c r="A765" s="28">
        <v>764</v>
      </c>
      <c r="B765" s="28" t="e">
        <f>interpola(#REF!,CURVA!$B$6:$B$20,CURVA!$G$6:$G$20)</f>
        <v>#VALUE!</v>
      </c>
      <c r="C765" s="29" t="e">
        <f t="shared" si="11"/>
        <v>#VALUE!</v>
      </c>
      <c r="E765" t="e">
        <f>cubic_spline(CURVA!$B$6:$B$20,CURVA!$G$6:$G$20,#REF!)</f>
        <v>#VALUE!</v>
      </c>
    </row>
    <row r="766" spans="1:5" x14ac:dyDescent="0.2">
      <c r="A766" s="28">
        <v>765</v>
      </c>
      <c r="B766" s="28" t="e">
        <f>interpola(#REF!,CURVA!$B$6:$B$20,CURVA!$G$6:$G$20)</f>
        <v>#VALUE!</v>
      </c>
      <c r="C766" s="29" t="e">
        <f t="shared" si="11"/>
        <v>#VALUE!</v>
      </c>
      <c r="E766" t="e">
        <f>cubic_spline(CURVA!$B$6:$B$20,CURVA!$G$6:$G$20,#REF!)</f>
        <v>#VALUE!</v>
      </c>
    </row>
    <row r="767" spans="1:5" x14ac:dyDescent="0.2">
      <c r="A767" s="28">
        <v>766</v>
      </c>
      <c r="B767" s="28" t="e">
        <f>interpola(#REF!,CURVA!$B$6:$B$20,CURVA!$G$6:$G$20)</f>
        <v>#VALUE!</v>
      </c>
      <c r="C767" s="29" t="e">
        <f t="shared" si="11"/>
        <v>#VALUE!</v>
      </c>
      <c r="E767" t="e">
        <f>cubic_spline(CURVA!$B$6:$B$20,CURVA!$G$6:$G$20,#REF!)</f>
        <v>#VALUE!</v>
      </c>
    </row>
    <row r="768" spans="1:5" x14ac:dyDescent="0.2">
      <c r="A768" s="28">
        <v>767</v>
      </c>
      <c r="B768" s="28" t="e">
        <f>interpola(#REF!,CURVA!$B$6:$B$20,CURVA!$G$6:$G$20)</f>
        <v>#VALUE!</v>
      </c>
      <c r="C768" s="29" t="e">
        <f t="shared" si="11"/>
        <v>#VALUE!</v>
      </c>
      <c r="E768" t="e">
        <f>cubic_spline(CURVA!$B$6:$B$20,CURVA!$G$6:$G$20,#REF!)</f>
        <v>#VALUE!</v>
      </c>
    </row>
    <row r="769" spans="1:5" x14ac:dyDescent="0.2">
      <c r="A769" s="28">
        <v>768</v>
      </c>
      <c r="B769" s="28" t="e">
        <f>interpola(#REF!,CURVA!$B$6:$B$20,CURVA!$G$6:$G$20)</f>
        <v>#VALUE!</v>
      </c>
      <c r="C769" s="29" t="e">
        <f t="shared" si="11"/>
        <v>#VALUE!</v>
      </c>
      <c r="E769" t="e">
        <f>cubic_spline(CURVA!$B$6:$B$20,CURVA!$G$6:$G$20,#REF!)</f>
        <v>#VALUE!</v>
      </c>
    </row>
    <row r="770" spans="1:5" x14ac:dyDescent="0.2">
      <c r="A770" s="28">
        <v>769</v>
      </c>
      <c r="B770" s="28" t="e">
        <f>interpola(#REF!,CURVA!$B$6:$B$20,CURVA!$G$6:$G$20)</f>
        <v>#VALUE!</v>
      </c>
      <c r="C770" s="29" t="e">
        <f t="shared" ref="C770:C833" si="12">(EXP(B770*A770/360)-1)*360/A770</f>
        <v>#VALUE!</v>
      </c>
      <c r="E770" t="e">
        <f>cubic_spline(CURVA!$B$6:$B$20,CURVA!$G$6:$G$20,#REF!)</f>
        <v>#VALUE!</v>
      </c>
    </row>
    <row r="771" spans="1:5" x14ac:dyDescent="0.2">
      <c r="A771" s="28">
        <v>770</v>
      </c>
      <c r="B771" s="28" t="e">
        <f>interpola(#REF!,CURVA!$B$6:$B$20,CURVA!$G$6:$G$20)</f>
        <v>#VALUE!</v>
      </c>
      <c r="C771" s="29" t="e">
        <f t="shared" si="12"/>
        <v>#VALUE!</v>
      </c>
      <c r="E771" t="e">
        <f>cubic_spline(CURVA!$B$6:$B$20,CURVA!$G$6:$G$20,#REF!)</f>
        <v>#VALUE!</v>
      </c>
    </row>
    <row r="772" spans="1:5" x14ac:dyDescent="0.2">
      <c r="A772" s="28">
        <v>771</v>
      </c>
      <c r="B772" s="28" t="e">
        <f>interpola(#REF!,CURVA!$B$6:$B$20,CURVA!$G$6:$G$20)</f>
        <v>#VALUE!</v>
      </c>
      <c r="C772" s="29" t="e">
        <f t="shared" si="12"/>
        <v>#VALUE!</v>
      </c>
      <c r="E772" t="e">
        <f>cubic_spline(CURVA!$B$6:$B$20,CURVA!$G$6:$G$20,#REF!)</f>
        <v>#VALUE!</v>
      </c>
    </row>
    <row r="773" spans="1:5" x14ac:dyDescent="0.2">
      <c r="A773" s="28">
        <v>772</v>
      </c>
      <c r="B773" s="28" t="e">
        <f>interpola(#REF!,CURVA!$B$6:$B$20,CURVA!$G$6:$G$20)</f>
        <v>#VALUE!</v>
      </c>
      <c r="C773" s="29" t="e">
        <f t="shared" si="12"/>
        <v>#VALUE!</v>
      </c>
      <c r="E773" t="e">
        <f>cubic_spline(CURVA!$B$6:$B$20,CURVA!$G$6:$G$20,#REF!)</f>
        <v>#VALUE!</v>
      </c>
    </row>
    <row r="774" spans="1:5" x14ac:dyDescent="0.2">
      <c r="A774" s="28">
        <v>773</v>
      </c>
      <c r="B774" s="28" t="e">
        <f>interpola(#REF!,CURVA!$B$6:$B$20,CURVA!$G$6:$G$20)</f>
        <v>#VALUE!</v>
      </c>
      <c r="C774" s="29" t="e">
        <f t="shared" si="12"/>
        <v>#VALUE!</v>
      </c>
      <c r="E774" t="e">
        <f>cubic_spline(CURVA!$B$6:$B$20,CURVA!$G$6:$G$20,#REF!)</f>
        <v>#VALUE!</v>
      </c>
    </row>
    <row r="775" spans="1:5" x14ac:dyDescent="0.2">
      <c r="A775" s="28">
        <v>774</v>
      </c>
      <c r="B775" s="28" t="e">
        <f>interpola(#REF!,CURVA!$B$6:$B$20,CURVA!$G$6:$G$20)</f>
        <v>#VALUE!</v>
      </c>
      <c r="C775" s="29" t="e">
        <f t="shared" si="12"/>
        <v>#VALUE!</v>
      </c>
      <c r="E775" t="e">
        <f>cubic_spline(CURVA!$B$6:$B$20,CURVA!$G$6:$G$20,#REF!)</f>
        <v>#VALUE!</v>
      </c>
    </row>
    <row r="776" spans="1:5" x14ac:dyDescent="0.2">
      <c r="A776" s="28">
        <v>775</v>
      </c>
      <c r="B776" s="28" t="e">
        <f>interpola(#REF!,CURVA!$B$6:$B$20,CURVA!$G$6:$G$20)</f>
        <v>#VALUE!</v>
      </c>
      <c r="C776" s="29" t="e">
        <f t="shared" si="12"/>
        <v>#VALUE!</v>
      </c>
      <c r="E776" t="e">
        <f>cubic_spline(CURVA!$B$6:$B$20,CURVA!$G$6:$G$20,#REF!)</f>
        <v>#VALUE!</v>
      </c>
    </row>
    <row r="777" spans="1:5" x14ac:dyDescent="0.2">
      <c r="A777" s="28">
        <v>776</v>
      </c>
      <c r="B777" s="28" t="e">
        <f>interpola(#REF!,CURVA!$B$6:$B$20,CURVA!$G$6:$G$20)</f>
        <v>#VALUE!</v>
      </c>
      <c r="C777" s="29" t="e">
        <f t="shared" si="12"/>
        <v>#VALUE!</v>
      </c>
      <c r="E777" t="e">
        <f>cubic_spline(CURVA!$B$6:$B$20,CURVA!$G$6:$G$20,#REF!)</f>
        <v>#VALUE!</v>
      </c>
    </row>
    <row r="778" spans="1:5" x14ac:dyDescent="0.2">
      <c r="A778" s="28">
        <v>777</v>
      </c>
      <c r="B778" s="28" t="e">
        <f>interpola(#REF!,CURVA!$B$6:$B$20,CURVA!$G$6:$G$20)</f>
        <v>#VALUE!</v>
      </c>
      <c r="C778" s="29" t="e">
        <f t="shared" si="12"/>
        <v>#VALUE!</v>
      </c>
      <c r="E778" t="e">
        <f>cubic_spline(CURVA!$B$6:$B$20,CURVA!$G$6:$G$20,#REF!)</f>
        <v>#VALUE!</v>
      </c>
    </row>
    <row r="779" spans="1:5" x14ac:dyDescent="0.2">
      <c r="A779" s="28">
        <v>778</v>
      </c>
      <c r="B779" s="28" t="e">
        <f>interpola(#REF!,CURVA!$B$6:$B$20,CURVA!$G$6:$G$20)</f>
        <v>#VALUE!</v>
      </c>
      <c r="C779" s="29" t="e">
        <f t="shared" si="12"/>
        <v>#VALUE!</v>
      </c>
      <c r="E779" t="e">
        <f>cubic_spline(CURVA!$B$6:$B$20,CURVA!$G$6:$G$20,#REF!)</f>
        <v>#VALUE!</v>
      </c>
    </row>
    <row r="780" spans="1:5" x14ac:dyDescent="0.2">
      <c r="A780" s="28">
        <v>779</v>
      </c>
      <c r="B780" s="28" t="e">
        <f>interpola(#REF!,CURVA!$B$6:$B$20,CURVA!$G$6:$G$20)</f>
        <v>#VALUE!</v>
      </c>
      <c r="C780" s="29" t="e">
        <f t="shared" si="12"/>
        <v>#VALUE!</v>
      </c>
      <c r="E780" t="e">
        <f>cubic_spline(CURVA!$B$6:$B$20,CURVA!$G$6:$G$20,#REF!)</f>
        <v>#VALUE!</v>
      </c>
    </row>
    <row r="781" spans="1:5" x14ac:dyDescent="0.2">
      <c r="A781" s="28">
        <v>780</v>
      </c>
      <c r="B781" s="28" t="e">
        <f>interpola(#REF!,CURVA!$B$6:$B$20,CURVA!$G$6:$G$20)</f>
        <v>#VALUE!</v>
      </c>
      <c r="C781" s="29" t="e">
        <f t="shared" si="12"/>
        <v>#VALUE!</v>
      </c>
      <c r="E781" t="e">
        <f>cubic_spline(CURVA!$B$6:$B$20,CURVA!$G$6:$G$20,#REF!)</f>
        <v>#VALUE!</v>
      </c>
    </row>
    <row r="782" spans="1:5" x14ac:dyDescent="0.2">
      <c r="A782" s="28">
        <v>781</v>
      </c>
      <c r="B782" s="28" t="e">
        <f>interpola(#REF!,CURVA!$B$6:$B$20,CURVA!$G$6:$G$20)</f>
        <v>#VALUE!</v>
      </c>
      <c r="C782" s="29" t="e">
        <f t="shared" si="12"/>
        <v>#VALUE!</v>
      </c>
      <c r="E782" t="e">
        <f>cubic_spline(CURVA!$B$6:$B$20,CURVA!$G$6:$G$20,#REF!)</f>
        <v>#VALUE!</v>
      </c>
    </row>
    <row r="783" spans="1:5" x14ac:dyDescent="0.2">
      <c r="A783" s="28">
        <v>782</v>
      </c>
      <c r="B783" s="28" t="e">
        <f>interpola(#REF!,CURVA!$B$6:$B$20,CURVA!$G$6:$G$20)</f>
        <v>#VALUE!</v>
      </c>
      <c r="C783" s="29" t="e">
        <f t="shared" si="12"/>
        <v>#VALUE!</v>
      </c>
      <c r="E783" t="e">
        <f>cubic_spline(CURVA!$B$6:$B$20,CURVA!$G$6:$G$20,#REF!)</f>
        <v>#VALUE!</v>
      </c>
    </row>
    <row r="784" spans="1:5" x14ac:dyDescent="0.2">
      <c r="A784" s="28">
        <v>783</v>
      </c>
      <c r="B784" s="28" t="e">
        <f>interpola(#REF!,CURVA!$B$6:$B$20,CURVA!$G$6:$G$20)</f>
        <v>#VALUE!</v>
      </c>
      <c r="C784" s="29" t="e">
        <f t="shared" si="12"/>
        <v>#VALUE!</v>
      </c>
      <c r="E784" t="e">
        <f>cubic_spline(CURVA!$B$6:$B$20,CURVA!$G$6:$G$20,#REF!)</f>
        <v>#VALUE!</v>
      </c>
    </row>
    <row r="785" spans="1:5" x14ac:dyDescent="0.2">
      <c r="A785" s="28">
        <v>784</v>
      </c>
      <c r="B785" s="28" t="e">
        <f>interpola(#REF!,CURVA!$B$6:$B$20,CURVA!$G$6:$G$20)</f>
        <v>#VALUE!</v>
      </c>
      <c r="C785" s="29" t="e">
        <f t="shared" si="12"/>
        <v>#VALUE!</v>
      </c>
      <c r="E785" t="e">
        <f>cubic_spline(CURVA!$B$6:$B$20,CURVA!$G$6:$G$20,#REF!)</f>
        <v>#VALUE!</v>
      </c>
    </row>
    <row r="786" spans="1:5" x14ac:dyDescent="0.2">
      <c r="A786" s="28">
        <v>785</v>
      </c>
      <c r="B786" s="28" t="e">
        <f>interpola(#REF!,CURVA!$B$6:$B$20,CURVA!$G$6:$G$20)</f>
        <v>#VALUE!</v>
      </c>
      <c r="C786" s="29" t="e">
        <f t="shared" si="12"/>
        <v>#VALUE!</v>
      </c>
      <c r="E786" t="e">
        <f>cubic_spline(CURVA!$B$6:$B$20,CURVA!$G$6:$G$20,#REF!)</f>
        <v>#VALUE!</v>
      </c>
    </row>
    <row r="787" spans="1:5" x14ac:dyDescent="0.2">
      <c r="A787" s="28">
        <v>786</v>
      </c>
      <c r="B787" s="28" t="e">
        <f>interpola(#REF!,CURVA!$B$6:$B$20,CURVA!$G$6:$G$20)</f>
        <v>#VALUE!</v>
      </c>
      <c r="C787" s="29" t="e">
        <f t="shared" si="12"/>
        <v>#VALUE!</v>
      </c>
      <c r="E787" t="e">
        <f>cubic_spline(CURVA!$B$6:$B$20,CURVA!$G$6:$G$20,#REF!)</f>
        <v>#VALUE!</v>
      </c>
    </row>
    <row r="788" spans="1:5" x14ac:dyDescent="0.2">
      <c r="A788" s="28">
        <v>787</v>
      </c>
      <c r="B788" s="28" t="e">
        <f>interpola(#REF!,CURVA!$B$6:$B$20,CURVA!$G$6:$G$20)</f>
        <v>#VALUE!</v>
      </c>
      <c r="C788" s="29" t="e">
        <f t="shared" si="12"/>
        <v>#VALUE!</v>
      </c>
      <c r="E788" t="e">
        <f>cubic_spline(CURVA!$B$6:$B$20,CURVA!$G$6:$G$20,#REF!)</f>
        <v>#VALUE!</v>
      </c>
    </row>
    <row r="789" spans="1:5" x14ac:dyDescent="0.2">
      <c r="A789" s="28">
        <v>788</v>
      </c>
      <c r="B789" s="28" t="e">
        <f>interpola(#REF!,CURVA!$B$6:$B$20,CURVA!$G$6:$G$20)</f>
        <v>#VALUE!</v>
      </c>
      <c r="C789" s="29" t="e">
        <f t="shared" si="12"/>
        <v>#VALUE!</v>
      </c>
      <c r="E789" t="e">
        <f>cubic_spline(CURVA!$B$6:$B$20,CURVA!$G$6:$G$20,#REF!)</f>
        <v>#VALUE!</v>
      </c>
    </row>
    <row r="790" spans="1:5" x14ac:dyDescent="0.2">
      <c r="A790" s="28">
        <v>789</v>
      </c>
      <c r="B790" s="28" t="e">
        <f>interpola(#REF!,CURVA!$B$6:$B$20,CURVA!$G$6:$G$20)</f>
        <v>#VALUE!</v>
      </c>
      <c r="C790" s="29" t="e">
        <f t="shared" si="12"/>
        <v>#VALUE!</v>
      </c>
      <c r="E790" t="e">
        <f>cubic_spline(CURVA!$B$6:$B$20,CURVA!$G$6:$G$20,#REF!)</f>
        <v>#VALUE!</v>
      </c>
    </row>
    <row r="791" spans="1:5" x14ac:dyDescent="0.2">
      <c r="A791" s="28">
        <v>790</v>
      </c>
      <c r="B791" s="28" t="e">
        <f>interpola(#REF!,CURVA!$B$6:$B$20,CURVA!$G$6:$G$20)</f>
        <v>#VALUE!</v>
      </c>
      <c r="C791" s="29" t="e">
        <f t="shared" si="12"/>
        <v>#VALUE!</v>
      </c>
      <c r="E791" t="e">
        <f>cubic_spline(CURVA!$B$6:$B$20,CURVA!$G$6:$G$20,#REF!)</f>
        <v>#VALUE!</v>
      </c>
    </row>
    <row r="792" spans="1:5" x14ac:dyDescent="0.2">
      <c r="A792" s="28">
        <v>791</v>
      </c>
      <c r="B792" s="28" t="e">
        <f>interpola(#REF!,CURVA!$B$6:$B$20,CURVA!$G$6:$G$20)</f>
        <v>#VALUE!</v>
      </c>
      <c r="C792" s="29" t="e">
        <f t="shared" si="12"/>
        <v>#VALUE!</v>
      </c>
      <c r="E792" t="e">
        <f>cubic_spline(CURVA!$B$6:$B$20,CURVA!$G$6:$G$20,#REF!)</f>
        <v>#VALUE!</v>
      </c>
    </row>
    <row r="793" spans="1:5" x14ac:dyDescent="0.2">
      <c r="A793" s="28">
        <v>792</v>
      </c>
      <c r="B793" s="28" t="e">
        <f>interpola(#REF!,CURVA!$B$6:$B$20,CURVA!$G$6:$G$20)</f>
        <v>#VALUE!</v>
      </c>
      <c r="C793" s="29" t="e">
        <f t="shared" si="12"/>
        <v>#VALUE!</v>
      </c>
      <c r="E793" t="e">
        <f>cubic_spline(CURVA!$B$6:$B$20,CURVA!$G$6:$G$20,#REF!)</f>
        <v>#VALUE!</v>
      </c>
    </row>
    <row r="794" spans="1:5" x14ac:dyDescent="0.2">
      <c r="A794" s="28">
        <v>793</v>
      </c>
      <c r="B794" s="28" t="e">
        <f>interpola(#REF!,CURVA!$B$6:$B$20,CURVA!$G$6:$G$20)</f>
        <v>#VALUE!</v>
      </c>
      <c r="C794" s="29" t="e">
        <f t="shared" si="12"/>
        <v>#VALUE!</v>
      </c>
      <c r="E794" t="e">
        <f>cubic_spline(CURVA!$B$6:$B$20,CURVA!$G$6:$G$20,#REF!)</f>
        <v>#VALUE!</v>
      </c>
    </row>
    <row r="795" spans="1:5" x14ac:dyDescent="0.2">
      <c r="A795" s="28">
        <v>794</v>
      </c>
      <c r="B795" s="28" t="e">
        <f>interpola(#REF!,CURVA!$B$6:$B$20,CURVA!$G$6:$G$20)</f>
        <v>#VALUE!</v>
      </c>
      <c r="C795" s="29" t="e">
        <f t="shared" si="12"/>
        <v>#VALUE!</v>
      </c>
      <c r="E795" t="e">
        <f>cubic_spline(CURVA!$B$6:$B$20,CURVA!$G$6:$G$20,#REF!)</f>
        <v>#VALUE!</v>
      </c>
    </row>
    <row r="796" spans="1:5" x14ac:dyDescent="0.2">
      <c r="A796" s="28">
        <v>795</v>
      </c>
      <c r="B796" s="28" t="e">
        <f>interpola(#REF!,CURVA!$B$6:$B$20,CURVA!$G$6:$G$20)</f>
        <v>#VALUE!</v>
      </c>
      <c r="C796" s="29" t="e">
        <f t="shared" si="12"/>
        <v>#VALUE!</v>
      </c>
      <c r="E796" t="e">
        <f>cubic_spline(CURVA!$B$6:$B$20,CURVA!$G$6:$G$20,#REF!)</f>
        <v>#VALUE!</v>
      </c>
    </row>
    <row r="797" spans="1:5" x14ac:dyDescent="0.2">
      <c r="A797" s="28">
        <v>796</v>
      </c>
      <c r="B797" s="28" t="e">
        <f>interpola(#REF!,CURVA!$B$6:$B$20,CURVA!$G$6:$G$20)</f>
        <v>#VALUE!</v>
      </c>
      <c r="C797" s="29" t="e">
        <f t="shared" si="12"/>
        <v>#VALUE!</v>
      </c>
      <c r="E797" t="e">
        <f>cubic_spline(CURVA!$B$6:$B$20,CURVA!$G$6:$G$20,#REF!)</f>
        <v>#VALUE!</v>
      </c>
    </row>
    <row r="798" spans="1:5" x14ac:dyDescent="0.2">
      <c r="A798" s="28">
        <v>797</v>
      </c>
      <c r="B798" s="28" t="e">
        <f>interpola(#REF!,CURVA!$B$6:$B$20,CURVA!$G$6:$G$20)</f>
        <v>#VALUE!</v>
      </c>
      <c r="C798" s="29" t="e">
        <f t="shared" si="12"/>
        <v>#VALUE!</v>
      </c>
      <c r="E798" t="e">
        <f>cubic_spline(CURVA!$B$6:$B$20,CURVA!$G$6:$G$20,#REF!)</f>
        <v>#VALUE!</v>
      </c>
    </row>
    <row r="799" spans="1:5" x14ac:dyDescent="0.2">
      <c r="A799" s="28">
        <v>798</v>
      </c>
      <c r="B799" s="28" t="e">
        <f>interpola(#REF!,CURVA!$B$6:$B$20,CURVA!$G$6:$G$20)</f>
        <v>#VALUE!</v>
      </c>
      <c r="C799" s="29" t="e">
        <f t="shared" si="12"/>
        <v>#VALUE!</v>
      </c>
      <c r="E799" t="e">
        <f>cubic_spline(CURVA!$B$6:$B$20,CURVA!$G$6:$G$20,#REF!)</f>
        <v>#VALUE!</v>
      </c>
    </row>
    <row r="800" spans="1:5" x14ac:dyDescent="0.2">
      <c r="A800" s="28">
        <v>799</v>
      </c>
      <c r="B800" s="28" t="e">
        <f>interpola(#REF!,CURVA!$B$6:$B$20,CURVA!$G$6:$G$20)</f>
        <v>#VALUE!</v>
      </c>
      <c r="C800" s="29" t="e">
        <f t="shared" si="12"/>
        <v>#VALUE!</v>
      </c>
      <c r="E800" t="e">
        <f>cubic_spline(CURVA!$B$6:$B$20,CURVA!$G$6:$G$20,#REF!)</f>
        <v>#VALUE!</v>
      </c>
    </row>
    <row r="801" spans="1:5" x14ac:dyDescent="0.2">
      <c r="A801" s="28">
        <v>800</v>
      </c>
      <c r="B801" s="28" t="e">
        <f>interpola(#REF!,CURVA!$B$6:$B$20,CURVA!$G$6:$G$20)</f>
        <v>#VALUE!</v>
      </c>
      <c r="C801" s="29" t="e">
        <f t="shared" si="12"/>
        <v>#VALUE!</v>
      </c>
      <c r="E801" t="e">
        <f>cubic_spline(CURVA!$B$6:$B$20,CURVA!$G$6:$G$20,#REF!)</f>
        <v>#VALUE!</v>
      </c>
    </row>
    <row r="802" spans="1:5" x14ac:dyDescent="0.2">
      <c r="A802" s="28">
        <v>801</v>
      </c>
      <c r="B802" s="28" t="e">
        <f>interpola(#REF!,CURVA!$B$6:$B$20,CURVA!$G$6:$G$20)</f>
        <v>#VALUE!</v>
      </c>
      <c r="C802" s="29" t="e">
        <f t="shared" si="12"/>
        <v>#VALUE!</v>
      </c>
      <c r="E802" t="e">
        <f>cubic_spline(CURVA!$B$6:$B$20,CURVA!$G$6:$G$20,#REF!)</f>
        <v>#VALUE!</v>
      </c>
    </row>
    <row r="803" spans="1:5" x14ac:dyDescent="0.2">
      <c r="A803" s="28">
        <v>802</v>
      </c>
      <c r="B803" s="28" t="e">
        <f>interpola(#REF!,CURVA!$B$6:$B$20,CURVA!$G$6:$G$20)</f>
        <v>#VALUE!</v>
      </c>
      <c r="C803" s="29" t="e">
        <f t="shared" si="12"/>
        <v>#VALUE!</v>
      </c>
      <c r="E803" t="e">
        <f>cubic_spline(CURVA!$B$6:$B$20,CURVA!$G$6:$G$20,#REF!)</f>
        <v>#VALUE!</v>
      </c>
    </row>
    <row r="804" spans="1:5" x14ac:dyDescent="0.2">
      <c r="A804" s="28">
        <v>803</v>
      </c>
      <c r="B804" s="28" t="e">
        <f>interpola(#REF!,CURVA!$B$6:$B$20,CURVA!$G$6:$G$20)</f>
        <v>#VALUE!</v>
      </c>
      <c r="C804" s="29" t="e">
        <f t="shared" si="12"/>
        <v>#VALUE!</v>
      </c>
      <c r="E804" t="e">
        <f>cubic_spline(CURVA!$B$6:$B$20,CURVA!$G$6:$G$20,#REF!)</f>
        <v>#VALUE!</v>
      </c>
    </row>
    <row r="805" spans="1:5" x14ac:dyDescent="0.2">
      <c r="A805" s="28">
        <v>804</v>
      </c>
      <c r="B805" s="28" t="e">
        <f>interpola(#REF!,CURVA!$B$6:$B$20,CURVA!$G$6:$G$20)</f>
        <v>#VALUE!</v>
      </c>
      <c r="C805" s="29" t="e">
        <f t="shared" si="12"/>
        <v>#VALUE!</v>
      </c>
      <c r="E805" t="e">
        <f>cubic_spline(CURVA!$B$6:$B$20,CURVA!$G$6:$G$20,#REF!)</f>
        <v>#VALUE!</v>
      </c>
    </row>
    <row r="806" spans="1:5" x14ac:dyDescent="0.2">
      <c r="A806" s="28">
        <v>805</v>
      </c>
      <c r="B806" s="28" t="e">
        <f>interpola(#REF!,CURVA!$B$6:$B$20,CURVA!$G$6:$G$20)</f>
        <v>#VALUE!</v>
      </c>
      <c r="C806" s="29" t="e">
        <f t="shared" si="12"/>
        <v>#VALUE!</v>
      </c>
      <c r="E806" t="e">
        <f>cubic_spline(CURVA!$B$6:$B$20,CURVA!$G$6:$G$20,#REF!)</f>
        <v>#VALUE!</v>
      </c>
    </row>
    <row r="807" spans="1:5" x14ac:dyDescent="0.2">
      <c r="A807" s="28">
        <v>806</v>
      </c>
      <c r="B807" s="28" t="e">
        <f>interpola(#REF!,CURVA!$B$6:$B$20,CURVA!$G$6:$G$20)</f>
        <v>#VALUE!</v>
      </c>
      <c r="C807" s="29" t="e">
        <f t="shared" si="12"/>
        <v>#VALUE!</v>
      </c>
      <c r="E807" t="e">
        <f>cubic_spline(CURVA!$B$6:$B$20,CURVA!$G$6:$G$20,#REF!)</f>
        <v>#VALUE!</v>
      </c>
    </row>
    <row r="808" spans="1:5" x14ac:dyDescent="0.2">
      <c r="A808" s="28">
        <v>807</v>
      </c>
      <c r="B808" s="28" t="e">
        <f>interpola(#REF!,CURVA!$B$6:$B$20,CURVA!$G$6:$G$20)</f>
        <v>#VALUE!</v>
      </c>
      <c r="C808" s="29" t="e">
        <f t="shared" si="12"/>
        <v>#VALUE!</v>
      </c>
      <c r="E808" t="e">
        <f>cubic_spline(CURVA!$B$6:$B$20,CURVA!$G$6:$G$20,#REF!)</f>
        <v>#VALUE!</v>
      </c>
    </row>
    <row r="809" spans="1:5" x14ac:dyDescent="0.2">
      <c r="A809" s="28">
        <v>808</v>
      </c>
      <c r="B809" s="28" t="e">
        <f>interpola(#REF!,CURVA!$B$6:$B$20,CURVA!$G$6:$G$20)</f>
        <v>#VALUE!</v>
      </c>
      <c r="C809" s="29" t="e">
        <f t="shared" si="12"/>
        <v>#VALUE!</v>
      </c>
      <c r="E809" t="e">
        <f>cubic_spline(CURVA!$B$6:$B$20,CURVA!$G$6:$G$20,#REF!)</f>
        <v>#VALUE!</v>
      </c>
    </row>
    <row r="810" spans="1:5" x14ac:dyDescent="0.2">
      <c r="A810" s="28">
        <v>809</v>
      </c>
      <c r="B810" s="28" t="e">
        <f>interpola(#REF!,CURVA!$B$6:$B$20,CURVA!$G$6:$G$20)</f>
        <v>#VALUE!</v>
      </c>
      <c r="C810" s="29" t="e">
        <f t="shared" si="12"/>
        <v>#VALUE!</v>
      </c>
      <c r="E810" t="e">
        <f>cubic_spline(CURVA!$B$6:$B$20,CURVA!$G$6:$G$20,#REF!)</f>
        <v>#VALUE!</v>
      </c>
    </row>
    <row r="811" spans="1:5" x14ac:dyDescent="0.2">
      <c r="A811" s="28">
        <v>810</v>
      </c>
      <c r="B811" s="28" t="e">
        <f>interpola(#REF!,CURVA!$B$6:$B$20,CURVA!$G$6:$G$20)</f>
        <v>#VALUE!</v>
      </c>
      <c r="C811" s="29" t="e">
        <f t="shared" si="12"/>
        <v>#VALUE!</v>
      </c>
      <c r="E811" t="e">
        <f>cubic_spline(CURVA!$B$6:$B$20,CURVA!$G$6:$G$20,#REF!)</f>
        <v>#VALUE!</v>
      </c>
    </row>
    <row r="812" spans="1:5" x14ac:dyDescent="0.2">
      <c r="A812" s="28">
        <v>811</v>
      </c>
      <c r="B812" s="28" t="e">
        <f>interpola(#REF!,CURVA!$B$6:$B$20,CURVA!$G$6:$G$20)</f>
        <v>#VALUE!</v>
      </c>
      <c r="C812" s="29" t="e">
        <f t="shared" si="12"/>
        <v>#VALUE!</v>
      </c>
      <c r="E812" t="e">
        <f>cubic_spline(CURVA!$B$6:$B$20,CURVA!$G$6:$G$20,#REF!)</f>
        <v>#VALUE!</v>
      </c>
    </row>
    <row r="813" spans="1:5" x14ac:dyDescent="0.2">
      <c r="A813" s="28">
        <v>812</v>
      </c>
      <c r="B813" s="28" t="e">
        <f>interpola(#REF!,CURVA!$B$6:$B$20,CURVA!$G$6:$G$20)</f>
        <v>#VALUE!</v>
      </c>
      <c r="C813" s="29" t="e">
        <f t="shared" si="12"/>
        <v>#VALUE!</v>
      </c>
      <c r="E813" t="e">
        <f>cubic_spline(CURVA!$B$6:$B$20,CURVA!$G$6:$G$20,#REF!)</f>
        <v>#VALUE!</v>
      </c>
    </row>
    <row r="814" spans="1:5" x14ac:dyDescent="0.2">
      <c r="A814" s="28">
        <v>813</v>
      </c>
      <c r="B814" s="28" t="e">
        <f>interpola(#REF!,CURVA!$B$6:$B$20,CURVA!$G$6:$G$20)</f>
        <v>#VALUE!</v>
      </c>
      <c r="C814" s="29" t="e">
        <f t="shared" si="12"/>
        <v>#VALUE!</v>
      </c>
      <c r="E814" t="e">
        <f>cubic_spline(CURVA!$B$6:$B$20,CURVA!$G$6:$G$20,#REF!)</f>
        <v>#VALUE!</v>
      </c>
    </row>
    <row r="815" spans="1:5" x14ac:dyDescent="0.2">
      <c r="A815" s="28">
        <v>814</v>
      </c>
      <c r="B815" s="28" t="e">
        <f>interpola(#REF!,CURVA!$B$6:$B$20,CURVA!$G$6:$G$20)</f>
        <v>#VALUE!</v>
      </c>
      <c r="C815" s="29" t="e">
        <f t="shared" si="12"/>
        <v>#VALUE!</v>
      </c>
      <c r="E815" t="e">
        <f>cubic_spline(CURVA!$B$6:$B$20,CURVA!$G$6:$G$20,#REF!)</f>
        <v>#VALUE!</v>
      </c>
    </row>
    <row r="816" spans="1:5" x14ac:dyDescent="0.2">
      <c r="A816" s="28">
        <v>815</v>
      </c>
      <c r="B816" s="28" t="e">
        <f>interpola(#REF!,CURVA!$B$6:$B$20,CURVA!$G$6:$G$20)</f>
        <v>#VALUE!</v>
      </c>
      <c r="C816" s="29" t="e">
        <f t="shared" si="12"/>
        <v>#VALUE!</v>
      </c>
      <c r="E816" t="e">
        <f>cubic_spline(CURVA!$B$6:$B$20,CURVA!$G$6:$G$20,#REF!)</f>
        <v>#VALUE!</v>
      </c>
    </row>
    <row r="817" spans="1:5" x14ac:dyDescent="0.2">
      <c r="A817" s="28">
        <v>816</v>
      </c>
      <c r="B817" s="28" t="e">
        <f>interpola(#REF!,CURVA!$B$6:$B$20,CURVA!$G$6:$G$20)</f>
        <v>#VALUE!</v>
      </c>
      <c r="C817" s="29" t="e">
        <f t="shared" si="12"/>
        <v>#VALUE!</v>
      </c>
      <c r="E817" t="e">
        <f>cubic_spline(CURVA!$B$6:$B$20,CURVA!$G$6:$G$20,#REF!)</f>
        <v>#VALUE!</v>
      </c>
    </row>
    <row r="818" spans="1:5" x14ac:dyDescent="0.2">
      <c r="A818" s="28">
        <v>817</v>
      </c>
      <c r="B818" s="28" t="e">
        <f>interpola(#REF!,CURVA!$B$6:$B$20,CURVA!$G$6:$G$20)</f>
        <v>#VALUE!</v>
      </c>
      <c r="C818" s="29" t="e">
        <f t="shared" si="12"/>
        <v>#VALUE!</v>
      </c>
      <c r="E818" t="e">
        <f>cubic_spline(CURVA!$B$6:$B$20,CURVA!$G$6:$G$20,#REF!)</f>
        <v>#VALUE!</v>
      </c>
    </row>
    <row r="819" spans="1:5" x14ac:dyDescent="0.2">
      <c r="A819" s="28">
        <v>818</v>
      </c>
      <c r="B819" s="28" t="e">
        <f>interpola(#REF!,CURVA!$B$6:$B$20,CURVA!$G$6:$G$20)</f>
        <v>#VALUE!</v>
      </c>
      <c r="C819" s="29" t="e">
        <f t="shared" si="12"/>
        <v>#VALUE!</v>
      </c>
      <c r="E819" t="e">
        <f>cubic_spline(CURVA!$B$6:$B$20,CURVA!$G$6:$G$20,#REF!)</f>
        <v>#VALUE!</v>
      </c>
    </row>
    <row r="820" spans="1:5" x14ac:dyDescent="0.2">
      <c r="A820" s="28">
        <v>819</v>
      </c>
      <c r="B820" s="28" t="e">
        <f>interpola(#REF!,CURVA!$B$6:$B$20,CURVA!$G$6:$G$20)</f>
        <v>#VALUE!</v>
      </c>
      <c r="C820" s="29" t="e">
        <f t="shared" si="12"/>
        <v>#VALUE!</v>
      </c>
      <c r="E820" t="e">
        <f>cubic_spline(CURVA!$B$6:$B$20,CURVA!$G$6:$G$20,#REF!)</f>
        <v>#VALUE!</v>
      </c>
    </row>
    <row r="821" spans="1:5" x14ac:dyDescent="0.2">
      <c r="A821" s="28">
        <v>820</v>
      </c>
      <c r="B821" s="28" t="e">
        <f>interpola(#REF!,CURVA!$B$6:$B$20,CURVA!$G$6:$G$20)</f>
        <v>#VALUE!</v>
      </c>
      <c r="C821" s="29" t="e">
        <f t="shared" si="12"/>
        <v>#VALUE!</v>
      </c>
      <c r="E821" t="e">
        <f>cubic_spline(CURVA!$B$6:$B$20,CURVA!$G$6:$G$20,#REF!)</f>
        <v>#VALUE!</v>
      </c>
    </row>
    <row r="822" spans="1:5" x14ac:dyDescent="0.2">
      <c r="A822" s="28">
        <v>821</v>
      </c>
      <c r="B822" s="28" t="e">
        <f>interpola(#REF!,CURVA!$B$6:$B$20,CURVA!$G$6:$G$20)</f>
        <v>#VALUE!</v>
      </c>
      <c r="C822" s="29" t="e">
        <f t="shared" si="12"/>
        <v>#VALUE!</v>
      </c>
      <c r="E822" t="e">
        <f>cubic_spline(CURVA!$B$6:$B$20,CURVA!$G$6:$G$20,#REF!)</f>
        <v>#VALUE!</v>
      </c>
    </row>
    <row r="823" spans="1:5" x14ac:dyDescent="0.2">
      <c r="A823" s="28">
        <v>822</v>
      </c>
      <c r="B823" s="28" t="e">
        <f>interpola(#REF!,CURVA!$B$6:$B$20,CURVA!$G$6:$G$20)</f>
        <v>#VALUE!</v>
      </c>
      <c r="C823" s="29" t="e">
        <f t="shared" si="12"/>
        <v>#VALUE!</v>
      </c>
      <c r="E823" t="e">
        <f>cubic_spline(CURVA!$B$6:$B$20,CURVA!$G$6:$G$20,#REF!)</f>
        <v>#VALUE!</v>
      </c>
    </row>
    <row r="824" spans="1:5" x14ac:dyDescent="0.2">
      <c r="A824" s="28">
        <v>823</v>
      </c>
      <c r="B824" s="28" t="e">
        <f>interpola(#REF!,CURVA!$B$6:$B$20,CURVA!$G$6:$G$20)</f>
        <v>#VALUE!</v>
      </c>
      <c r="C824" s="29" t="e">
        <f t="shared" si="12"/>
        <v>#VALUE!</v>
      </c>
      <c r="E824" t="e">
        <f>cubic_spline(CURVA!$B$6:$B$20,CURVA!$G$6:$G$20,#REF!)</f>
        <v>#VALUE!</v>
      </c>
    </row>
    <row r="825" spans="1:5" x14ac:dyDescent="0.2">
      <c r="A825" s="28">
        <v>824</v>
      </c>
      <c r="B825" s="28" t="e">
        <f>interpola(#REF!,CURVA!$B$6:$B$20,CURVA!$G$6:$G$20)</f>
        <v>#VALUE!</v>
      </c>
      <c r="C825" s="29" t="e">
        <f t="shared" si="12"/>
        <v>#VALUE!</v>
      </c>
      <c r="E825" t="e">
        <f>cubic_spline(CURVA!$B$6:$B$20,CURVA!$G$6:$G$20,#REF!)</f>
        <v>#VALUE!</v>
      </c>
    </row>
    <row r="826" spans="1:5" x14ac:dyDescent="0.2">
      <c r="A826" s="28">
        <v>825</v>
      </c>
      <c r="B826" s="28" t="e">
        <f>interpola(#REF!,CURVA!$B$6:$B$20,CURVA!$G$6:$G$20)</f>
        <v>#VALUE!</v>
      </c>
      <c r="C826" s="29" t="e">
        <f t="shared" si="12"/>
        <v>#VALUE!</v>
      </c>
      <c r="E826" t="e">
        <f>cubic_spline(CURVA!$B$6:$B$20,CURVA!$G$6:$G$20,#REF!)</f>
        <v>#VALUE!</v>
      </c>
    </row>
    <row r="827" spans="1:5" x14ac:dyDescent="0.2">
      <c r="A827" s="28">
        <v>826</v>
      </c>
      <c r="B827" s="28" t="e">
        <f>interpola(#REF!,CURVA!$B$6:$B$20,CURVA!$G$6:$G$20)</f>
        <v>#VALUE!</v>
      </c>
      <c r="C827" s="29" t="e">
        <f t="shared" si="12"/>
        <v>#VALUE!</v>
      </c>
      <c r="E827" t="e">
        <f>cubic_spline(CURVA!$B$6:$B$20,CURVA!$G$6:$G$20,#REF!)</f>
        <v>#VALUE!</v>
      </c>
    </row>
    <row r="828" spans="1:5" x14ac:dyDescent="0.2">
      <c r="A828" s="28">
        <v>827</v>
      </c>
      <c r="B828" s="28" t="e">
        <f>interpola(#REF!,CURVA!$B$6:$B$20,CURVA!$G$6:$G$20)</f>
        <v>#VALUE!</v>
      </c>
      <c r="C828" s="29" t="e">
        <f t="shared" si="12"/>
        <v>#VALUE!</v>
      </c>
      <c r="E828" t="e">
        <f>cubic_spline(CURVA!$B$6:$B$20,CURVA!$G$6:$G$20,#REF!)</f>
        <v>#VALUE!</v>
      </c>
    </row>
    <row r="829" spans="1:5" x14ac:dyDescent="0.2">
      <c r="A829" s="28">
        <v>828</v>
      </c>
      <c r="B829" s="28" t="e">
        <f>interpola(#REF!,CURVA!$B$6:$B$20,CURVA!$G$6:$G$20)</f>
        <v>#VALUE!</v>
      </c>
      <c r="C829" s="29" t="e">
        <f t="shared" si="12"/>
        <v>#VALUE!</v>
      </c>
      <c r="E829" t="e">
        <f>cubic_spline(CURVA!$B$6:$B$20,CURVA!$G$6:$G$20,#REF!)</f>
        <v>#VALUE!</v>
      </c>
    </row>
    <row r="830" spans="1:5" x14ac:dyDescent="0.2">
      <c r="A830" s="28">
        <v>829</v>
      </c>
      <c r="B830" s="28" t="e">
        <f>interpola(#REF!,CURVA!$B$6:$B$20,CURVA!$G$6:$G$20)</f>
        <v>#VALUE!</v>
      </c>
      <c r="C830" s="29" t="e">
        <f t="shared" si="12"/>
        <v>#VALUE!</v>
      </c>
      <c r="E830" t="e">
        <f>cubic_spline(CURVA!$B$6:$B$20,CURVA!$G$6:$G$20,#REF!)</f>
        <v>#VALUE!</v>
      </c>
    </row>
    <row r="831" spans="1:5" x14ac:dyDescent="0.2">
      <c r="A831" s="28">
        <v>830</v>
      </c>
      <c r="B831" s="28" t="e">
        <f>interpola(#REF!,CURVA!$B$6:$B$20,CURVA!$G$6:$G$20)</f>
        <v>#VALUE!</v>
      </c>
      <c r="C831" s="29" t="e">
        <f t="shared" si="12"/>
        <v>#VALUE!</v>
      </c>
      <c r="E831" t="e">
        <f>cubic_spline(CURVA!$B$6:$B$20,CURVA!$G$6:$G$20,#REF!)</f>
        <v>#VALUE!</v>
      </c>
    </row>
    <row r="832" spans="1:5" x14ac:dyDescent="0.2">
      <c r="A832" s="28">
        <v>831</v>
      </c>
      <c r="B832" s="28" t="e">
        <f>interpola(#REF!,CURVA!$B$6:$B$20,CURVA!$G$6:$G$20)</f>
        <v>#VALUE!</v>
      </c>
      <c r="C832" s="29" t="e">
        <f t="shared" si="12"/>
        <v>#VALUE!</v>
      </c>
      <c r="E832" t="e">
        <f>cubic_spline(CURVA!$B$6:$B$20,CURVA!$G$6:$G$20,#REF!)</f>
        <v>#VALUE!</v>
      </c>
    </row>
    <row r="833" spans="1:5" x14ac:dyDescent="0.2">
      <c r="A833" s="28">
        <v>832</v>
      </c>
      <c r="B833" s="28" t="e">
        <f>interpola(#REF!,CURVA!$B$6:$B$20,CURVA!$G$6:$G$20)</f>
        <v>#VALUE!</v>
      </c>
      <c r="C833" s="29" t="e">
        <f t="shared" si="12"/>
        <v>#VALUE!</v>
      </c>
      <c r="E833" t="e">
        <f>cubic_spline(CURVA!$B$6:$B$20,CURVA!$G$6:$G$20,#REF!)</f>
        <v>#VALUE!</v>
      </c>
    </row>
    <row r="834" spans="1:5" x14ac:dyDescent="0.2">
      <c r="A834" s="28">
        <v>833</v>
      </c>
      <c r="B834" s="28" t="e">
        <f>interpola(#REF!,CURVA!$B$6:$B$20,CURVA!$G$6:$G$20)</f>
        <v>#VALUE!</v>
      </c>
      <c r="C834" s="29" t="e">
        <f t="shared" ref="C834:C897" si="13">(EXP(B834*A834/360)-1)*360/A834</f>
        <v>#VALUE!</v>
      </c>
      <c r="E834" t="e">
        <f>cubic_spline(CURVA!$B$6:$B$20,CURVA!$G$6:$G$20,#REF!)</f>
        <v>#VALUE!</v>
      </c>
    </row>
    <row r="835" spans="1:5" x14ac:dyDescent="0.2">
      <c r="A835" s="28">
        <v>834</v>
      </c>
      <c r="B835" s="28" t="e">
        <f>interpola(#REF!,CURVA!$B$6:$B$20,CURVA!$G$6:$G$20)</f>
        <v>#VALUE!</v>
      </c>
      <c r="C835" s="29" t="e">
        <f t="shared" si="13"/>
        <v>#VALUE!</v>
      </c>
      <c r="E835" t="e">
        <f>cubic_spline(CURVA!$B$6:$B$20,CURVA!$G$6:$G$20,#REF!)</f>
        <v>#VALUE!</v>
      </c>
    </row>
    <row r="836" spans="1:5" x14ac:dyDescent="0.2">
      <c r="A836" s="28">
        <v>835</v>
      </c>
      <c r="B836" s="28" t="e">
        <f>interpola(#REF!,CURVA!$B$6:$B$20,CURVA!$G$6:$G$20)</f>
        <v>#VALUE!</v>
      </c>
      <c r="C836" s="29" t="e">
        <f t="shared" si="13"/>
        <v>#VALUE!</v>
      </c>
      <c r="E836" t="e">
        <f>cubic_spline(CURVA!$B$6:$B$20,CURVA!$G$6:$G$20,#REF!)</f>
        <v>#VALUE!</v>
      </c>
    </row>
    <row r="837" spans="1:5" x14ac:dyDescent="0.2">
      <c r="A837" s="28">
        <v>836</v>
      </c>
      <c r="B837" s="28" t="e">
        <f>interpola(#REF!,CURVA!$B$6:$B$20,CURVA!$G$6:$G$20)</f>
        <v>#VALUE!</v>
      </c>
      <c r="C837" s="29" t="e">
        <f t="shared" si="13"/>
        <v>#VALUE!</v>
      </c>
      <c r="E837" t="e">
        <f>cubic_spline(CURVA!$B$6:$B$20,CURVA!$G$6:$G$20,#REF!)</f>
        <v>#VALUE!</v>
      </c>
    </row>
    <row r="838" spans="1:5" x14ac:dyDescent="0.2">
      <c r="A838" s="28">
        <v>837</v>
      </c>
      <c r="B838" s="28" t="e">
        <f>interpola(#REF!,CURVA!$B$6:$B$20,CURVA!$G$6:$G$20)</f>
        <v>#VALUE!</v>
      </c>
      <c r="C838" s="29" t="e">
        <f t="shared" si="13"/>
        <v>#VALUE!</v>
      </c>
      <c r="E838" t="e">
        <f>cubic_spline(CURVA!$B$6:$B$20,CURVA!$G$6:$G$20,#REF!)</f>
        <v>#VALUE!</v>
      </c>
    </row>
    <row r="839" spans="1:5" x14ac:dyDescent="0.2">
      <c r="A839" s="28">
        <v>838</v>
      </c>
      <c r="B839" s="28" t="e">
        <f>interpola(#REF!,CURVA!$B$6:$B$20,CURVA!$G$6:$G$20)</f>
        <v>#VALUE!</v>
      </c>
      <c r="C839" s="29" t="e">
        <f t="shared" si="13"/>
        <v>#VALUE!</v>
      </c>
      <c r="E839" t="e">
        <f>cubic_spline(CURVA!$B$6:$B$20,CURVA!$G$6:$G$20,#REF!)</f>
        <v>#VALUE!</v>
      </c>
    </row>
    <row r="840" spans="1:5" x14ac:dyDescent="0.2">
      <c r="A840" s="28">
        <v>839</v>
      </c>
      <c r="B840" s="28" t="e">
        <f>interpola(#REF!,CURVA!$B$6:$B$20,CURVA!$G$6:$G$20)</f>
        <v>#VALUE!</v>
      </c>
      <c r="C840" s="29" t="e">
        <f t="shared" si="13"/>
        <v>#VALUE!</v>
      </c>
      <c r="E840" t="e">
        <f>cubic_spline(CURVA!$B$6:$B$20,CURVA!$G$6:$G$20,#REF!)</f>
        <v>#VALUE!</v>
      </c>
    </row>
    <row r="841" spans="1:5" x14ac:dyDescent="0.2">
      <c r="A841" s="28">
        <v>840</v>
      </c>
      <c r="B841" s="28" t="e">
        <f>interpola(#REF!,CURVA!$B$6:$B$20,CURVA!$G$6:$G$20)</f>
        <v>#VALUE!</v>
      </c>
      <c r="C841" s="29" t="e">
        <f t="shared" si="13"/>
        <v>#VALUE!</v>
      </c>
      <c r="E841" t="e">
        <f>cubic_spline(CURVA!$B$6:$B$20,CURVA!$G$6:$G$20,#REF!)</f>
        <v>#VALUE!</v>
      </c>
    </row>
    <row r="842" spans="1:5" x14ac:dyDescent="0.2">
      <c r="A842" s="28">
        <v>841</v>
      </c>
      <c r="B842" s="28" t="e">
        <f>interpola(#REF!,CURVA!$B$6:$B$20,CURVA!$G$6:$G$20)</f>
        <v>#VALUE!</v>
      </c>
      <c r="C842" s="29" t="e">
        <f t="shared" si="13"/>
        <v>#VALUE!</v>
      </c>
      <c r="E842" t="e">
        <f>cubic_spline(CURVA!$B$6:$B$20,CURVA!$G$6:$G$20,#REF!)</f>
        <v>#VALUE!</v>
      </c>
    </row>
    <row r="843" spans="1:5" x14ac:dyDescent="0.2">
      <c r="A843" s="28">
        <v>842</v>
      </c>
      <c r="B843" s="28" t="e">
        <f>interpola(#REF!,CURVA!$B$6:$B$20,CURVA!$G$6:$G$20)</f>
        <v>#VALUE!</v>
      </c>
      <c r="C843" s="29" t="e">
        <f t="shared" si="13"/>
        <v>#VALUE!</v>
      </c>
      <c r="E843" t="e">
        <f>cubic_spline(CURVA!$B$6:$B$20,CURVA!$G$6:$G$20,#REF!)</f>
        <v>#VALUE!</v>
      </c>
    </row>
    <row r="844" spans="1:5" x14ac:dyDescent="0.2">
      <c r="A844" s="28">
        <v>843</v>
      </c>
      <c r="B844" s="28" t="e">
        <f>interpola(#REF!,CURVA!$B$6:$B$20,CURVA!$G$6:$G$20)</f>
        <v>#VALUE!</v>
      </c>
      <c r="C844" s="29" t="e">
        <f t="shared" si="13"/>
        <v>#VALUE!</v>
      </c>
      <c r="E844" t="e">
        <f>cubic_spline(CURVA!$B$6:$B$20,CURVA!$G$6:$G$20,#REF!)</f>
        <v>#VALUE!</v>
      </c>
    </row>
    <row r="845" spans="1:5" x14ac:dyDescent="0.2">
      <c r="A845" s="28">
        <v>844</v>
      </c>
      <c r="B845" s="28" t="e">
        <f>interpola(#REF!,CURVA!$B$6:$B$20,CURVA!$G$6:$G$20)</f>
        <v>#VALUE!</v>
      </c>
      <c r="C845" s="29" t="e">
        <f t="shared" si="13"/>
        <v>#VALUE!</v>
      </c>
      <c r="E845" t="e">
        <f>cubic_spline(CURVA!$B$6:$B$20,CURVA!$G$6:$G$20,#REF!)</f>
        <v>#VALUE!</v>
      </c>
    </row>
    <row r="846" spans="1:5" x14ac:dyDescent="0.2">
      <c r="A846" s="28">
        <v>845</v>
      </c>
      <c r="B846" s="28" t="e">
        <f>interpola(#REF!,CURVA!$B$6:$B$20,CURVA!$G$6:$G$20)</f>
        <v>#VALUE!</v>
      </c>
      <c r="C846" s="29" t="e">
        <f t="shared" si="13"/>
        <v>#VALUE!</v>
      </c>
      <c r="E846" t="e">
        <f>cubic_spline(CURVA!$B$6:$B$20,CURVA!$G$6:$G$20,#REF!)</f>
        <v>#VALUE!</v>
      </c>
    </row>
    <row r="847" spans="1:5" x14ac:dyDescent="0.2">
      <c r="A847" s="28">
        <v>846</v>
      </c>
      <c r="B847" s="28" t="e">
        <f>interpola(#REF!,CURVA!$B$6:$B$20,CURVA!$G$6:$G$20)</f>
        <v>#VALUE!</v>
      </c>
      <c r="C847" s="29" t="e">
        <f t="shared" si="13"/>
        <v>#VALUE!</v>
      </c>
      <c r="E847" t="e">
        <f>cubic_spline(CURVA!$B$6:$B$20,CURVA!$G$6:$G$20,#REF!)</f>
        <v>#VALUE!</v>
      </c>
    </row>
    <row r="848" spans="1:5" x14ac:dyDescent="0.2">
      <c r="A848" s="28">
        <v>847</v>
      </c>
      <c r="B848" s="28" t="e">
        <f>interpola(#REF!,CURVA!$B$6:$B$20,CURVA!$G$6:$G$20)</f>
        <v>#VALUE!</v>
      </c>
      <c r="C848" s="29" t="e">
        <f t="shared" si="13"/>
        <v>#VALUE!</v>
      </c>
      <c r="E848" t="e">
        <f>cubic_spline(CURVA!$B$6:$B$20,CURVA!$G$6:$G$20,#REF!)</f>
        <v>#VALUE!</v>
      </c>
    </row>
    <row r="849" spans="1:5" x14ac:dyDescent="0.2">
      <c r="A849" s="28">
        <v>848</v>
      </c>
      <c r="B849" s="28" t="e">
        <f>interpola(#REF!,CURVA!$B$6:$B$20,CURVA!$G$6:$G$20)</f>
        <v>#VALUE!</v>
      </c>
      <c r="C849" s="29" t="e">
        <f t="shared" si="13"/>
        <v>#VALUE!</v>
      </c>
      <c r="E849" t="e">
        <f>cubic_spline(CURVA!$B$6:$B$20,CURVA!$G$6:$G$20,#REF!)</f>
        <v>#VALUE!</v>
      </c>
    </row>
    <row r="850" spans="1:5" x14ac:dyDescent="0.2">
      <c r="A850" s="28">
        <v>849</v>
      </c>
      <c r="B850" s="28" t="e">
        <f>interpola(#REF!,CURVA!$B$6:$B$20,CURVA!$G$6:$G$20)</f>
        <v>#VALUE!</v>
      </c>
      <c r="C850" s="29" t="e">
        <f t="shared" si="13"/>
        <v>#VALUE!</v>
      </c>
      <c r="E850" t="e">
        <f>cubic_spline(CURVA!$B$6:$B$20,CURVA!$G$6:$G$20,#REF!)</f>
        <v>#VALUE!</v>
      </c>
    </row>
    <row r="851" spans="1:5" x14ac:dyDescent="0.2">
      <c r="A851" s="28">
        <v>850</v>
      </c>
      <c r="B851" s="28" t="e">
        <f>interpola(#REF!,CURVA!$B$6:$B$20,CURVA!$G$6:$G$20)</f>
        <v>#VALUE!</v>
      </c>
      <c r="C851" s="29" t="e">
        <f t="shared" si="13"/>
        <v>#VALUE!</v>
      </c>
      <c r="E851" t="e">
        <f>cubic_spline(CURVA!$B$6:$B$20,CURVA!$G$6:$G$20,#REF!)</f>
        <v>#VALUE!</v>
      </c>
    </row>
    <row r="852" spans="1:5" x14ac:dyDescent="0.2">
      <c r="A852" s="28">
        <v>851</v>
      </c>
      <c r="B852" s="28" t="e">
        <f>interpola(#REF!,CURVA!$B$6:$B$20,CURVA!$G$6:$G$20)</f>
        <v>#VALUE!</v>
      </c>
      <c r="C852" s="29" t="e">
        <f t="shared" si="13"/>
        <v>#VALUE!</v>
      </c>
      <c r="E852" t="e">
        <f>cubic_spline(CURVA!$B$6:$B$20,CURVA!$G$6:$G$20,#REF!)</f>
        <v>#VALUE!</v>
      </c>
    </row>
    <row r="853" spans="1:5" x14ac:dyDescent="0.2">
      <c r="A853" s="28">
        <v>852</v>
      </c>
      <c r="B853" s="28" t="e">
        <f>interpola(#REF!,CURVA!$B$6:$B$20,CURVA!$G$6:$G$20)</f>
        <v>#VALUE!</v>
      </c>
      <c r="C853" s="29" t="e">
        <f t="shared" si="13"/>
        <v>#VALUE!</v>
      </c>
      <c r="E853" t="e">
        <f>cubic_spline(CURVA!$B$6:$B$20,CURVA!$G$6:$G$20,#REF!)</f>
        <v>#VALUE!</v>
      </c>
    </row>
    <row r="854" spans="1:5" x14ac:dyDescent="0.2">
      <c r="A854" s="28">
        <v>853</v>
      </c>
      <c r="B854" s="28" t="e">
        <f>interpola(#REF!,CURVA!$B$6:$B$20,CURVA!$G$6:$G$20)</f>
        <v>#VALUE!</v>
      </c>
      <c r="C854" s="29" t="e">
        <f t="shared" si="13"/>
        <v>#VALUE!</v>
      </c>
      <c r="E854" t="e">
        <f>cubic_spline(CURVA!$B$6:$B$20,CURVA!$G$6:$G$20,#REF!)</f>
        <v>#VALUE!</v>
      </c>
    </row>
    <row r="855" spans="1:5" x14ac:dyDescent="0.2">
      <c r="A855" s="28">
        <v>854</v>
      </c>
      <c r="B855" s="28" t="e">
        <f>interpola(#REF!,CURVA!$B$6:$B$20,CURVA!$G$6:$G$20)</f>
        <v>#VALUE!</v>
      </c>
      <c r="C855" s="29" t="e">
        <f t="shared" si="13"/>
        <v>#VALUE!</v>
      </c>
      <c r="E855" t="e">
        <f>cubic_spline(CURVA!$B$6:$B$20,CURVA!$G$6:$G$20,#REF!)</f>
        <v>#VALUE!</v>
      </c>
    </row>
    <row r="856" spans="1:5" x14ac:dyDescent="0.2">
      <c r="A856" s="28">
        <v>855</v>
      </c>
      <c r="B856" s="28" t="e">
        <f>interpola(#REF!,CURVA!$B$6:$B$20,CURVA!$G$6:$G$20)</f>
        <v>#VALUE!</v>
      </c>
      <c r="C856" s="29" t="e">
        <f t="shared" si="13"/>
        <v>#VALUE!</v>
      </c>
      <c r="E856" t="e">
        <f>cubic_spline(CURVA!$B$6:$B$20,CURVA!$G$6:$G$20,#REF!)</f>
        <v>#VALUE!</v>
      </c>
    </row>
    <row r="857" spans="1:5" x14ac:dyDescent="0.2">
      <c r="A857" s="28">
        <v>856</v>
      </c>
      <c r="B857" s="28" t="e">
        <f>interpola(#REF!,CURVA!$B$6:$B$20,CURVA!$G$6:$G$20)</f>
        <v>#VALUE!</v>
      </c>
      <c r="C857" s="29" t="e">
        <f t="shared" si="13"/>
        <v>#VALUE!</v>
      </c>
      <c r="E857" t="e">
        <f>cubic_spline(CURVA!$B$6:$B$20,CURVA!$G$6:$G$20,#REF!)</f>
        <v>#VALUE!</v>
      </c>
    </row>
    <row r="858" spans="1:5" x14ac:dyDescent="0.2">
      <c r="A858" s="28">
        <v>857</v>
      </c>
      <c r="B858" s="28" t="e">
        <f>interpola(#REF!,CURVA!$B$6:$B$20,CURVA!$G$6:$G$20)</f>
        <v>#VALUE!</v>
      </c>
      <c r="C858" s="29" t="e">
        <f t="shared" si="13"/>
        <v>#VALUE!</v>
      </c>
      <c r="E858" t="e">
        <f>cubic_spline(CURVA!$B$6:$B$20,CURVA!$G$6:$G$20,#REF!)</f>
        <v>#VALUE!</v>
      </c>
    </row>
    <row r="859" spans="1:5" x14ac:dyDescent="0.2">
      <c r="A859" s="28">
        <v>858</v>
      </c>
      <c r="B859" s="28" t="e">
        <f>interpola(#REF!,CURVA!$B$6:$B$20,CURVA!$G$6:$G$20)</f>
        <v>#VALUE!</v>
      </c>
      <c r="C859" s="29" t="e">
        <f t="shared" si="13"/>
        <v>#VALUE!</v>
      </c>
      <c r="E859" t="e">
        <f>cubic_spline(CURVA!$B$6:$B$20,CURVA!$G$6:$G$20,#REF!)</f>
        <v>#VALUE!</v>
      </c>
    </row>
    <row r="860" spans="1:5" x14ac:dyDescent="0.2">
      <c r="A860" s="28">
        <v>859</v>
      </c>
      <c r="B860" s="28" t="e">
        <f>interpola(#REF!,CURVA!$B$6:$B$20,CURVA!$G$6:$G$20)</f>
        <v>#VALUE!</v>
      </c>
      <c r="C860" s="29" t="e">
        <f t="shared" si="13"/>
        <v>#VALUE!</v>
      </c>
      <c r="E860" t="e">
        <f>cubic_spline(CURVA!$B$6:$B$20,CURVA!$G$6:$G$20,#REF!)</f>
        <v>#VALUE!</v>
      </c>
    </row>
    <row r="861" spans="1:5" x14ac:dyDescent="0.2">
      <c r="A861" s="28">
        <v>860</v>
      </c>
      <c r="B861" s="28" t="e">
        <f>interpola(#REF!,CURVA!$B$6:$B$20,CURVA!$G$6:$G$20)</f>
        <v>#VALUE!</v>
      </c>
      <c r="C861" s="29" t="e">
        <f t="shared" si="13"/>
        <v>#VALUE!</v>
      </c>
      <c r="E861" t="e">
        <f>cubic_spline(CURVA!$B$6:$B$20,CURVA!$G$6:$G$20,#REF!)</f>
        <v>#VALUE!</v>
      </c>
    </row>
    <row r="862" spans="1:5" x14ac:dyDescent="0.2">
      <c r="A862" s="28">
        <v>861</v>
      </c>
      <c r="B862" s="28" t="e">
        <f>interpola(#REF!,CURVA!$B$6:$B$20,CURVA!$G$6:$G$20)</f>
        <v>#VALUE!</v>
      </c>
      <c r="C862" s="29" t="e">
        <f t="shared" si="13"/>
        <v>#VALUE!</v>
      </c>
      <c r="E862" t="e">
        <f>cubic_spline(CURVA!$B$6:$B$20,CURVA!$G$6:$G$20,#REF!)</f>
        <v>#VALUE!</v>
      </c>
    </row>
    <row r="863" spans="1:5" x14ac:dyDescent="0.2">
      <c r="A863" s="28">
        <v>862</v>
      </c>
      <c r="B863" s="28" t="e">
        <f>interpola(#REF!,CURVA!$B$6:$B$20,CURVA!$G$6:$G$20)</f>
        <v>#VALUE!</v>
      </c>
      <c r="C863" s="29" t="e">
        <f t="shared" si="13"/>
        <v>#VALUE!</v>
      </c>
      <c r="E863" t="e">
        <f>cubic_spline(CURVA!$B$6:$B$20,CURVA!$G$6:$G$20,#REF!)</f>
        <v>#VALUE!</v>
      </c>
    </row>
    <row r="864" spans="1:5" x14ac:dyDescent="0.2">
      <c r="A864" s="28">
        <v>863</v>
      </c>
      <c r="B864" s="28" t="e">
        <f>interpola(#REF!,CURVA!$B$6:$B$20,CURVA!$G$6:$G$20)</f>
        <v>#VALUE!</v>
      </c>
      <c r="C864" s="29" t="e">
        <f t="shared" si="13"/>
        <v>#VALUE!</v>
      </c>
      <c r="E864" t="e">
        <f>cubic_spline(CURVA!$B$6:$B$20,CURVA!$G$6:$G$20,#REF!)</f>
        <v>#VALUE!</v>
      </c>
    </row>
    <row r="865" spans="1:5" x14ac:dyDescent="0.2">
      <c r="A865" s="28">
        <v>864</v>
      </c>
      <c r="B865" s="28" t="e">
        <f>interpola(#REF!,CURVA!$B$6:$B$20,CURVA!$G$6:$G$20)</f>
        <v>#VALUE!</v>
      </c>
      <c r="C865" s="29" t="e">
        <f t="shared" si="13"/>
        <v>#VALUE!</v>
      </c>
      <c r="E865" t="e">
        <f>cubic_spline(CURVA!$B$6:$B$20,CURVA!$G$6:$G$20,#REF!)</f>
        <v>#VALUE!</v>
      </c>
    </row>
    <row r="866" spans="1:5" x14ac:dyDescent="0.2">
      <c r="A866" s="28">
        <v>865</v>
      </c>
      <c r="B866" s="28" t="e">
        <f>interpola(#REF!,CURVA!$B$6:$B$20,CURVA!$G$6:$G$20)</f>
        <v>#VALUE!</v>
      </c>
      <c r="C866" s="29" t="e">
        <f t="shared" si="13"/>
        <v>#VALUE!</v>
      </c>
      <c r="E866" t="e">
        <f>cubic_spline(CURVA!$B$6:$B$20,CURVA!$G$6:$G$20,#REF!)</f>
        <v>#VALUE!</v>
      </c>
    </row>
    <row r="867" spans="1:5" x14ac:dyDescent="0.2">
      <c r="A867" s="28">
        <v>866</v>
      </c>
      <c r="B867" s="28" t="e">
        <f>interpola(#REF!,CURVA!$B$6:$B$20,CURVA!$G$6:$G$20)</f>
        <v>#VALUE!</v>
      </c>
      <c r="C867" s="29" t="e">
        <f t="shared" si="13"/>
        <v>#VALUE!</v>
      </c>
      <c r="E867" t="e">
        <f>cubic_spline(CURVA!$B$6:$B$20,CURVA!$G$6:$G$20,#REF!)</f>
        <v>#VALUE!</v>
      </c>
    </row>
    <row r="868" spans="1:5" x14ac:dyDescent="0.2">
      <c r="A868" s="28">
        <v>867</v>
      </c>
      <c r="B868" s="28" t="e">
        <f>interpola(#REF!,CURVA!$B$6:$B$20,CURVA!$G$6:$G$20)</f>
        <v>#VALUE!</v>
      </c>
      <c r="C868" s="29" t="e">
        <f t="shared" si="13"/>
        <v>#VALUE!</v>
      </c>
      <c r="E868" t="e">
        <f>cubic_spline(CURVA!$B$6:$B$20,CURVA!$G$6:$G$20,#REF!)</f>
        <v>#VALUE!</v>
      </c>
    </row>
    <row r="869" spans="1:5" x14ac:dyDescent="0.2">
      <c r="A869" s="28">
        <v>868</v>
      </c>
      <c r="B869" s="28" t="e">
        <f>interpola(#REF!,CURVA!$B$6:$B$20,CURVA!$G$6:$G$20)</f>
        <v>#VALUE!</v>
      </c>
      <c r="C869" s="29" t="e">
        <f t="shared" si="13"/>
        <v>#VALUE!</v>
      </c>
      <c r="E869" t="e">
        <f>cubic_spline(CURVA!$B$6:$B$20,CURVA!$G$6:$G$20,#REF!)</f>
        <v>#VALUE!</v>
      </c>
    </row>
    <row r="870" spans="1:5" x14ac:dyDescent="0.2">
      <c r="A870" s="28">
        <v>869</v>
      </c>
      <c r="B870" s="28" t="e">
        <f>interpola(#REF!,CURVA!$B$6:$B$20,CURVA!$G$6:$G$20)</f>
        <v>#VALUE!</v>
      </c>
      <c r="C870" s="29" t="e">
        <f t="shared" si="13"/>
        <v>#VALUE!</v>
      </c>
      <c r="E870" t="e">
        <f>cubic_spline(CURVA!$B$6:$B$20,CURVA!$G$6:$G$20,#REF!)</f>
        <v>#VALUE!</v>
      </c>
    </row>
    <row r="871" spans="1:5" x14ac:dyDescent="0.2">
      <c r="A871" s="28">
        <v>870</v>
      </c>
      <c r="B871" s="28" t="e">
        <f>interpola(#REF!,CURVA!$B$6:$B$20,CURVA!$G$6:$G$20)</f>
        <v>#VALUE!</v>
      </c>
      <c r="C871" s="29" t="e">
        <f t="shared" si="13"/>
        <v>#VALUE!</v>
      </c>
      <c r="E871" t="e">
        <f>cubic_spline(CURVA!$B$6:$B$20,CURVA!$G$6:$G$20,#REF!)</f>
        <v>#VALUE!</v>
      </c>
    </row>
    <row r="872" spans="1:5" x14ac:dyDescent="0.2">
      <c r="A872" s="28">
        <v>871</v>
      </c>
      <c r="B872" s="28" t="e">
        <f>interpola(#REF!,CURVA!$B$6:$B$20,CURVA!$G$6:$G$20)</f>
        <v>#VALUE!</v>
      </c>
      <c r="C872" s="29" t="e">
        <f t="shared" si="13"/>
        <v>#VALUE!</v>
      </c>
      <c r="E872" t="e">
        <f>cubic_spline(CURVA!$B$6:$B$20,CURVA!$G$6:$G$20,#REF!)</f>
        <v>#VALUE!</v>
      </c>
    </row>
    <row r="873" spans="1:5" x14ac:dyDescent="0.2">
      <c r="A873" s="28">
        <v>872</v>
      </c>
      <c r="B873" s="28" t="e">
        <f>interpola(#REF!,CURVA!$B$6:$B$20,CURVA!$G$6:$G$20)</f>
        <v>#VALUE!</v>
      </c>
      <c r="C873" s="29" t="e">
        <f t="shared" si="13"/>
        <v>#VALUE!</v>
      </c>
      <c r="E873" t="e">
        <f>cubic_spline(CURVA!$B$6:$B$20,CURVA!$G$6:$G$20,#REF!)</f>
        <v>#VALUE!</v>
      </c>
    </row>
    <row r="874" spans="1:5" x14ac:dyDescent="0.2">
      <c r="A874" s="28">
        <v>873</v>
      </c>
      <c r="B874" s="28" t="e">
        <f>interpola(#REF!,CURVA!$B$6:$B$20,CURVA!$G$6:$G$20)</f>
        <v>#VALUE!</v>
      </c>
      <c r="C874" s="29" t="e">
        <f t="shared" si="13"/>
        <v>#VALUE!</v>
      </c>
      <c r="E874" t="e">
        <f>cubic_spline(CURVA!$B$6:$B$20,CURVA!$G$6:$G$20,#REF!)</f>
        <v>#VALUE!</v>
      </c>
    </row>
    <row r="875" spans="1:5" x14ac:dyDescent="0.2">
      <c r="A875" s="28">
        <v>874</v>
      </c>
      <c r="B875" s="28" t="e">
        <f>interpola(#REF!,CURVA!$B$6:$B$20,CURVA!$G$6:$G$20)</f>
        <v>#VALUE!</v>
      </c>
      <c r="C875" s="29" t="e">
        <f t="shared" si="13"/>
        <v>#VALUE!</v>
      </c>
      <c r="E875" t="e">
        <f>cubic_spline(CURVA!$B$6:$B$20,CURVA!$G$6:$G$20,#REF!)</f>
        <v>#VALUE!</v>
      </c>
    </row>
    <row r="876" spans="1:5" x14ac:dyDescent="0.2">
      <c r="A876" s="28">
        <v>875</v>
      </c>
      <c r="B876" s="28" t="e">
        <f>interpola(#REF!,CURVA!$B$6:$B$20,CURVA!$G$6:$G$20)</f>
        <v>#VALUE!</v>
      </c>
      <c r="C876" s="29" t="e">
        <f t="shared" si="13"/>
        <v>#VALUE!</v>
      </c>
      <c r="E876" t="e">
        <f>cubic_spline(CURVA!$B$6:$B$20,CURVA!$G$6:$G$20,#REF!)</f>
        <v>#VALUE!</v>
      </c>
    </row>
    <row r="877" spans="1:5" x14ac:dyDescent="0.2">
      <c r="A877" s="28">
        <v>876</v>
      </c>
      <c r="B877" s="28" t="e">
        <f>interpola(#REF!,CURVA!$B$6:$B$20,CURVA!$G$6:$G$20)</f>
        <v>#VALUE!</v>
      </c>
      <c r="C877" s="29" t="e">
        <f t="shared" si="13"/>
        <v>#VALUE!</v>
      </c>
      <c r="E877" t="e">
        <f>cubic_spline(CURVA!$B$6:$B$20,CURVA!$G$6:$G$20,#REF!)</f>
        <v>#VALUE!</v>
      </c>
    </row>
    <row r="878" spans="1:5" x14ac:dyDescent="0.2">
      <c r="A878" s="28">
        <v>877</v>
      </c>
      <c r="B878" s="28" t="e">
        <f>interpola(#REF!,CURVA!$B$6:$B$20,CURVA!$G$6:$G$20)</f>
        <v>#VALUE!</v>
      </c>
      <c r="C878" s="29" t="e">
        <f t="shared" si="13"/>
        <v>#VALUE!</v>
      </c>
      <c r="E878" t="e">
        <f>cubic_spline(CURVA!$B$6:$B$20,CURVA!$G$6:$G$20,#REF!)</f>
        <v>#VALUE!</v>
      </c>
    </row>
    <row r="879" spans="1:5" x14ac:dyDescent="0.2">
      <c r="A879" s="28">
        <v>878</v>
      </c>
      <c r="B879" s="28" t="e">
        <f>interpola(#REF!,CURVA!$B$6:$B$20,CURVA!$G$6:$G$20)</f>
        <v>#VALUE!</v>
      </c>
      <c r="C879" s="29" t="e">
        <f t="shared" si="13"/>
        <v>#VALUE!</v>
      </c>
      <c r="E879" t="e">
        <f>cubic_spline(CURVA!$B$6:$B$20,CURVA!$G$6:$G$20,#REF!)</f>
        <v>#VALUE!</v>
      </c>
    </row>
    <row r="880" spans="1:5" x14ac:dyDescent="0.2">
      <c r="A880" s="28">
        <v>879</v>
      </c>
      <c r="B880" s="28" t="e">
        <f>interpola(#REF!,CURVA!$B$6:$B$20,CURVA!$G$6:$G$20)</f>
        <v>#VALUE!</v>
      </c>
      <c r="C880" s="29" t="e">
        <f t="shared" si="13"/>
        <v>#VALUE!</v>
      </c>
      <c r="E880" t="e">
        <f>cubic_spline(CURVA!$B$6:$B$20,CURVA!$G$6:$G$20,#REF!)</f>
        <v>#VALUE!</v>
      </c>
    </row>
    <row r="881" spans="1:5" x14ac:dyDescent="0.2">
      <c r="A881" s="28">
        <v>880</v>
      </c>
      <c r="B881" s="28" t="e">
        <f>interpola(#REF!,CURVA!$B$6:$B$20,CURVA!$G$6:$G$20)</f>
        <v>#VALUE!</v>
      </c>
      <c r="C881" s="29" t="e">
        <f t="shared" si="13"/>
        <v>#VALUE!</v>
      </c>
      <c r="E881" t="e">
        <f>cubic_spline(CURVA!$B$6:$B$20,CURVA!$G$6:$G$20,#REF!)</f>
        <v>#VALUE!</v>
      </c>
    </row>
    <row r="882" spans="1:5" x14ac:dyDescent="0.2">
      <c r="A882" s="28">
        <v>881</v>
      </c>
      <c r="B882" s="28" t="e">
        <f>interpola(#REF!,CURVA!$B$6:$B$20,CURVA!$G$6:$G$20)</f>
        <v>#VALUE!</v>
      </c>
      <c r="C882" s="29" t="e">
        <f t="shared" si="13"/>
        <v>#VALUE!</v>
      </c>
      <c r="E882" t="e">
        <f>cubic_spline(CURVA!$B$6:$B$20,CURVA!$G$6:$G$20,#REF!)</f>
        <v>#VALUE!</v>
      </c>
    </row>
    <row r="883" spans="1:5" x14ac:dyDescent="0.2">
      <c r="A883" s="28">
        <v>882</v>
      </c>
      <c r="B883" s="28" t="e">
        <f>interpola(#REF!,CURVA!$B$6:$B$20,CURVA!$G$6:$G$20)</f>
        <v>#VALUE!</v>
      </c>
      <c r="C883" s="29" t="e">
        <f t="shared" si="13"/>
        <v>#VALUE!</v>
      </c>
      <c r="E883" t="e">
        <f>cubic_spline(CURVA!$B$6:$B$20,CURVA!$G$6:$G$20,#REF!)</f>
        <v>#VALUE!</v>
      </c>
    </row>
    <row r="884" spans="1:5" x14ac:dyDescent="0.2">
      <c r="A884" s="28">
        <v>883</v>
      </c>
      <c r="B884" s="28" t="e">
        <f>interpola(#REF!,CURVA!$B$6:$B$20,CURVA!$G$6:$G$20)</f>
        <v>#VALUE!</v>
      </c>
      <c r="C884" s="29" t="e">
        <f t="shared" si="13"/>
        <v>#VALUE!</v>
      </c>
      <c r="E884" t="e">
        <f>cubic_spline(CURVA!$B$6:$B$20,CURVA!$G$6:$G$20,#REF!)</f>
        <v>#VALUE!</v>
      </c>
    </row>
    <row r="885" spans="1:5" x14ac:dyDescent="0.2">
      <c r="A885" s="28">
        <v>884</v>
      </c>
      <c r="B885" s="28" t="e">
        <f>interpola(#REF!,CURVA!$B$6:$B$20,CURVA!$G$6:$G$20)</f>
        <v>#VALUE!</v>
      </c>
      <c r="C885" s="29" t="e">
        <f t="shared" si="13"/>
        <v>#VALUE!</v>
      </c>
      <c r="E885" t="e">
        <f>cubic_spline(CURVA!$B$6:$B$20,CURVA!$G$6:$G$20,#REF!)</f>
        <v>#VALUE!</v>
      </c>
    </row>
    <row r="886" spans="1:5" x14ac:dyDescent="0.2">
      <c r="A886" s="28">
        <v>885</v>
      </c>
      <c r="B886" s="28" t="e">
        <f>interpola(#REF!,CURVA!$B$6:$B$20,CURVA!$G$6:$G$20)</f>
        <v>#VALUE!</v>
      </c>
      <c r="C886" s="29" t="e">
        <f t="shared" si="13"/>
        <v>#VALUE!</v>
      </c>
      <c r="E886" t="e">
        <f>cubic_spline(CURVA!$B$6:$B$20,CURVA!$G$6:$G$20,#REF!)</f>
        <v>#VALUE!</v>
      </c>
    </row>
    <row r="887" spans="1:5" x14ac:dyDescent="0.2">
      <c r="A887" s="28">
        <v>886</v>
      </c>
      <c r="B887" s="28" t="e">
        <f>interpola(#REF!,CURVA!$B$6:$B$20,CURVA!$G$6:$G$20)</f>
        <v>#VALUE!</v>
      </c>
      <c r="C887" s="29" t="e">
        <f t="shared" si="13"/>
        <v>#VALUE!</v>
      </c>
      <c r="E887" t="e">
        <f>cubic_spline(CURVA!$B$6:$B$20,CURVA!$G$6:$G$20,#REF!)</f>
        <v>#VALUE!</v>
      </c>
    </row>
    <row r="888" spans="1:5" x14ac:dyDescent="0.2">
      <c r="A888" s="28">
        <v>887</v>
      </c>
      <c r="B888" s="28" t="e">
        <f>interpola(#REF!,CURVA!$B$6:$B$20,CURVA!$G$6:$G$20)</f>
        <v>#VALUE!</v>
      </c>
      <c r="C888" s="29" t="e">
        <f t="shared" si="13"/>
        <v>#VALUE!</v>
      </c>
      <c r="E888" t="e">
        <f>cubic_spline(CURVA!$B$6:$B$20,CURVA!$G$6:$G$20,#REF!)</f>
        <v>#VALUE!</v>
      </c>
    </row>
    <row r="889" spans="1:5" x14ac:dyDescent="0.2">
      <c r="A889" s="28">
        <v>888</v>
      </c>
      <c r="B889" s="28" t="e">
        <f>interpola(#REF!,CURVA!$B$6:$B$20,CURVA!$G$6:$G$20)</f>
        <v>#VALUE!</v>
      </c>
      <c r="C889" s="29" t="e">
        <f t="shared" si="13"/>
        <v>#VALUE!</v>
      </c>
      <c r="E889" t="e">
        <f>cubic_spline(CURVA!$B$6:$B$20,CURVA!$G$6:$G$20,#REF!)</f>
        <v>#VALUE!</v>
      </c>
    </row>
    <row r="890" spans="1:5" x14ac:dyDescent="0.2">
      <c r="A890" s="28">
        <v>889</v>
      </c>
      <c r="B890" s="28" t="e">
        <f>interpola(#REF!,CURVA!$B$6:$B$20,CURVA!$G$6:$G$20)</f>
        <v>#VALUE!</v>
      </c>
      <c r="C890" s="29" t="e">
        <f t="shared" si="13"/>
        <v>#VALUE!</v>
      </c>
      <c r="E890" t="e">
        <f>cubic_spline(CURVA!$B$6:$B$20,CURVA!$G$6:$G$20,#REF!)</f>
        <v>#VALUE!</v>
      </c>
    </row>
    <row r="891" spans="1:5" x14ac:dyDescent="0.2">
      <c r="A891" s="28">
        <v>890</v>
      </c>
      <c r="B891" s="28" t="e">
        <f>interpola(#REF!,CURVA!$B$6:$B$20,CURVA!$G$6:$G$20)</f>
        <v>#VALUE!</v>
      </c>
      <c r="C891" s="29" t="e">
        <f t="shared" si="13"/>
        <v>#VALUE!</v>
      </c>
      <c r="E891" t="e">
        <f>cubic_spline(CURVA!$B$6:$B$20,CURVA!$G$6:$G$20,#REF!)</f>
        <v>#VALUE!</v>
      </c>
    </row>
    <row r="892" spans="1:5" x14ac:dyDescent="0.2">
      <c r="A892" s="28">
        <v>891</v>
      </c>
      <c r="B892" s="28" t="e">
        <f>interpola(#REF!,CURVA!$B$6:$B$20,CURVA!$G$6:$G$20)</f>
        <v>#VALUE!</v>
      </c>
      <c r="C892" s="29" t="e">
        <f t="shared" si="13"/>
        <v>#VALUE!</v>
      </c>
      <c r="E892" t="e">
        <f>cubic_spline(CURVA!$B$6:$B$20,CURVA!$G$6:$G$20,#REF!)</f>
        <v>#VALUE!</v>
      </c>
    </row>
    <row r="893" spans="1:5" x14ac:dyDescent="0.2">
      <c r="A893" s="28">
        <v>892</v>
      </c>
      <c r="B893" s="28" t="e">
        <f>interpola(#REF!,CURVA!$B$6:$B$20,CURVA!$G$6:$G$20)</f>
        <v>#VALUE!</v>
      </c>
      <c r="C893" s="29" t="e">
        <f t="shared" si="13"/>
        <v>#VALUE!</v>
      </c>
      <c r="E893" t="e">
        <f>cubic_spline(CURVA!$B$6:$B$20,CURVA!$G$6:$G$20,#REF!)</f>
        <v>#VALUE!</v>
      </c>
    </row>
    <row r="894" spans="1:5" x14ac:dyDescent="0.2">
      <c r="A894" s="28">
        <v>893</v>
      </c>
      <c r="B894" s="28" t="e">
        <f>interpola(#REF!,CURVA!$B$6:$B$20,CURVA!$G$6:$G$20)</f>
        <v>#VALUE!</v>
      </c>
      <c r="C894" s="29" t="e">
        <f t="shared" si="13"/>
        <v>#VALUE!</v>
      </c>
      <c r="E894" t="e">
        <f>cubic_spline(CURVA!$B$6:$B$20,CURVA!$G$6:$G$20,#REF!)</f>
        <v>#VALUE!</v>
      </c>
    </row>
    <row r="895" spans="1:5" x14ac:dyDescent="0.2">
      <c r="A895" s="28">
        <v>894</v>
      </c>
      <c r="B895" s="28" t="e">
        <f>interpola(#REF!,CURVA!$B$6:$B$20,CURVA!$G$6:$G$20)</f>
        <v>#VALUE!</v>
      </c>
      <c r="C895" s="29" t="e">
        <f t="shared" si="13"/>
        <v>#VALUE!</v>
      </c>
      <c r="E895" t="e">
        <f>cubic_spline(CURVA!$B$6:$B$20,CURVA!$G$6:$G$20,#REF!)</f>
        <v>#VALUE!</v>
      </c>
    </row>
    <row r="896" spans="1:5" x14ac:dyDescent="0.2">
      <c r="A896" s="28">
        <v>895</v>
      </c>
      <c r="B896" s="28" t="e">
        <f>interpola(#REF!,CURVA!$B$6:$B$20,CURVA!$G$6:$G$20)</f>
        <v>#VALUE!</v>
      </c>
      <c r="C896" s="29" t="e">
        <f t="shared" si="13"/>
        <v>#VALUE!</v>
      </c>
      <c r="E896" t="e">
        <f>cubic_spline(CURVA!$B$6:$B$20,CURVA!$G$6:$G$20,#REF!)</f>
        <v>#VALUE!</v>
      </c>
    </row>
    <row r="897" spans="1:5" x14ac:dyDescent="0.2">
      <c r="A897" s="28">
        <v>896</v>
      </c>
      <c r="B897" s="28" t="e">
        <f>interpola(#REF!,CURVA!$B$6:$B$20,CURVA!$G$6:$G$20)</f>
        <v>#VALUE!</v>
      </c>
      <c r="C897" s="29" t="e">
        <f t="shared" si="13"/>
        <v>#VALUE!</v>
      </c>
      <c r="E897" t="e">
        <f>cubic_spline(CURVA!$B$6:$B$20,CURVA!$G$6:$G$20,#REF!)</f>
        <v>#VALUE!</v>
      </c>
    </row>
    <row r="898" spans="1:5" x14ac:dyDescent="0.2">
      <c r="A898" s="28">
        <v>897</v>
      </c>
      <c r="B898" s="28" t="e">
        <f>interpola(#REF!,CURVA!$B$6:$B$20,CURVA!$G$6:$G$20)</f>
        <v>#VALUE!</v>
      </c>
      <c r="C898" s="29" t="e">
        <f t="shared" ref="C898:C961" si="14">(EXP(B898*A898/360)-1)*360/A898</f>
        <v>#VALUE!</v>
      </c>
      <c r="E898" t="e">
        <f>cubic_spline(CURVA!$B$6:$B$20,CURVA!$G$6:$G$20,#REF!)</f>
        <v>#VALUE!</v>
      </c>
    </row>
    <row r="899" spans="1:5" x14ac:dyDescent="0.2">
      <c r="A899" s="28">
        <v>898</v>
      </c>
      <c r="B899" s="28" t="e">
        <f>interpola(#REF!,CURVA!$B$6:$B$20,CURVA!$G$6:$G$20)</f>
        <v>#VALUE!</v>
      </c>
      <c r="C899" s="29" t="e">
        <f t="shared" si="14"/>
        <v>#VALUE!</v>
      </c>
      <c r="E899" t="e">
        <f>cubic_spline(CURVA!$B$6:$B$20,CURVA!$G$6:$G$20,#REF!)</f>
        <v>#VALUE!</v>
      </c>
    </row>
    <row r="900" spans="1:5" x14ac:dyDescent="0.2">
      <c r="A900" s="28">
        <v>899</v>
      </c>
      <c r="B900" s="28" t="e">
        <f>interpola(#REF!,CURVA!$B$6:$B$20,CURVA!$G$6:$G$20)</f>
        <v>#VALUE!</v>
      </c>
      <c r="C900" s="29" t="e">
        <f t="shared" si="14"/>
        <v>#VALUE!</v>
      </c>
      <c r="E900" t="e">
        <f>cubic_spline(CURVA!$B$6:$B$20,CURVA!$G$6:$G$20,#REF!)</f>
        <v>#VALUE!</v>
      </c>
    </row>
    <row r="901" spans="1:5" x14ac:dyDescent="0.2">
      <c r="A901" s="28">
        <v>900</v>
      </c>
      <c r="B901" s="28" t="e">
        <f>interpola(#REF!,CURVA!$B$6:$B$20,CURVA!$G$6:$G$20)</f>
        <v>#VALUE!</v>
      </c>
      <c r="C901" s="29" t="e">
        <f t="shared" si="14"/>
        <v>#VALUE!</v>
      </c>
      <c r="E901" t="e">
        <f>cubic_spline(CURVA!$B$6:$B$20,CURVA!$G$6:$G$20,#REF!)</f>
        <v>#VALUE!</v>
      </c>
    </row>
    <row r="902" spans="1:5" x14ac:dyDescent="0.2">
      <c r="A902" s="28">
        <v>901</v>
      </c>
      <c r="B902" s="28" t="e">
        <f>interpola(#REF!,CURVA!$B$6:$B$20,CURVA!$G$6:$G$20)</f>
        <v>#VALUE!</v>
      </c>
      <c r="C902" s="29" t="e">
        <f t="shared" si="14"/>
        <v>#VALUE!</v>
      </c>
      <c r="E902" t="e">
        <f>cubic_spline(CURVA!$B$6:$B$20,CURVA!$G$6:$G$20,#REF!)</f>
        <v>#VALUE!</v>
      </c>
    </row>
    <row r="903" spans="1:5" x14ac:dyDescent="0.2">
      <c r="A903" s="28">
        <v>902</v>
      </c>
      <c r="B903" s="28" t="e">
        <f>interpola(#REF!,CURVA!$B$6:$B$20,CURVA!$G$6:$G$20)</f>
        <v>#VALUE!</v>
      </c>
      <c r="C903" s="29" t="e">
        <f t="shared" si="14"/>
        <v>#VALUE!</v>
      </c>
      <c r="E903" t="e">
        <f>cubic_spline(CURVA!$B$6:$B$20,CURVA!$G$6:$G$20,#REF!)</f>
        <v>#VALUE!</v>
      </c>
    </row>
    <row r="904" spans="1:5" x14ac:dyDescent="0.2">
      <c r="A904" s="28">
        <v>903</v>
      </c>
      <c r="B904" s="28" t="e">
        <f>interpola(#REF!,CURVA!$B$6:$B$20,CURVA!$G$6:$G$20)</f>
        <v>#VALUE!</v>
      </c>
      <c r="C904" s="29" t="e">
        <f t="shared" si="14"/>
        <v>#VALUE!</v>
      </c>
      <c r="E904" t="e">
        <f>cubic_spline(CURVA!$B$6:$B$20,CURVA!$G$6:$G$20,#REF!)</f>
        <v>#VALUE!</v>
      </c>
    </row>
    <row r="905" spans="1:5" x14ac:dyDescent="0.2">
      <c r="A905" s="28">
        <v>904</v>
      </c>
      <c r="B905" s="28" t="e">
        <f>interpola(#REF!,CURVA!$B$6:$B$20,CURVA!$G$6:$G$20)</f>
        <v>#VALUE!</v>
      </c>
      <c r="C905" s="29" t="e">
        <f t="shared" si="14"/>
        <v>#VALUE!</v>
      </c>
      <c r="E905" t="e">
        <f>cubic_spline(CURVA!$B$6:$B$20,CURVA!$G$6:$G$20,#REF!)</f>
        <v>#VALUE!</v>
      </c>
    </row>
    <row r="906" spans="1:5" x14ac:dyDescent="0.2">
      <c r="A906" s="28">
        <v>905</v>
      </c>
      <c r="B906" s="28" t="e">
        <f>interpola(#REF!,CURVA!$B$6:$B$20,CURVA!$G$6:$G$20)</f>
        <v>#VALUE!</v>
      </c>
      <c r="C906" s="29" t="e">
        <f t="shared" si="14"/>
        <v>#VALUE!</v>
      </c>
      <c r="E906" t="e">
        <f>cubic_spline(CURVA!$B$6:$B$20,CURVA!$G$6:$G$20,#REF!)</f>
        <v>#VALUE!</v>
      </c>
    </row>
    <row r="907" spans="1:5" x14ac:dyDescent="0.2">
      <c r="A907" s="28">
        <v>906</v>
      </c>
      <c r="B907" s="28" t="e">
        <f>interpola(#REF!,CURVA!$B$6:$B$20,CURVA!$G$6:$G$20)</f>
        <v>#VALUE!</v>
      </c>
      <c r="C907" s="29" t="e">
        <f t="shared" si="14"/>
        <v>#VALUE!</v>
      </c>
      <c r="E907" t="e">
        <f>cubic_spline(CURVA!$B$6:$B$20,CURVA!$G$6:$G$20,#REF!)</f>
        <v>#VALUE!</v>
      </c>
    </row>
    <row r="908" spans="1:5" x14ac:dyDescent="0.2">
      <c r="A908" s="28">
        <v>907</v>
      </c>
      <c r="B908" s="28" t="e">
        <f>interpola(#REF!,CURVA!$B$6:$B$20,CURVA!$G$6:$G$20)</f>
        <v>#VALUE!</v>
      </c>
      <c r="C908" s="29" t="e">
        <f t="shared" si="14"/>
        <v>#VALUE!</v>
      </c>
      <c r="E908" t="e">
        <f>cubic_spline(CURVA!$B$6:$B$20,CURVA!$G$6:$G$20,#REF!)</f>
        <v>#VALUE!</v>
      </c>
    </row>
    <row r="909" spans="1:5" x14ac:dyDescent="0.2">
      <c r="A909" s="28">
        <v>908</v>
      </c>
      <c r="B909" s="28" t="e">
        <f>interpola(#REF!,CURVA!$B$6:$B$20,CURVA!$G$6:$G$20)</f>
        <v>#VALUE!</v>
      </c>
      <c r="C909" s="29" t="e">
        <f t="shared" si="14"/>
        <v>#VALUE!</v>
      </c>
      <c r="E909" t="e">
        <f>cubic_spline(CURVA!$B$6:$B$20,CURVA!$G$6:$G$20,#REF!)</f>
        <v>#VALUE!</v>
      </c>
    </row>
    <row r="910" spans="1:5" x14ac:dyDescent="0.2">
      <c r="A910" s="28">
        <v>909</v>
      </c>
      <c r="B910" s="28" t="e">
        <f>interpola(#REF!,CURVA!$B$6:$B$20,CURVA!$G$6:$G$20)</f>
        <v>#VALUE!</v>
      </c>
      <c r="C910" s="29" t="e">
        <f t="shared" si="14"/>
        <v>#VALUE!</v>
      </c>
      <c r="E910" t="e">
        <f>cubic_spline(CURVA!$B$6:$B$20,CURVA!$G$6:$G$20,#REF!)</f>
        <v>#VALUE!</v>
      </c>
    </row>
    <row r="911" spans="1:5" x14ac:dyDescent="0.2">
      <c r="A911" s="28">
        <v>910</v>
      </c>
      <c r="B911" s="28" t="e">
        <f>interpola(#REF!,CURVA!$B$6:$B$20,CURVA!$G$6:$G$20)</f>
        <v>#VALUE!</v>
      </c>
      <c r="C911" s="29" t="e">
        <f t="shared" si="14"/>
        <v>#VALUE!</v>
      </c>
      <c r="E911" t="e">
        <f>cubic_spline(CURVA!$B$6:$B$20,CURVA!$G$6:$G$20,#REF!)</f>
        <v>#VALUE!</v>
      </c>
    </row>
    <row r="912" spans="1:5" x14ac:dyDescent="0.2">
      <c r="A912" s="28">
        <v>911</v>
      </c>
      <c r="B912" s="28" t="e">
        <f>interpola(#REF!,CURVA!$B$6:$B$20,CURVA!$G$6:$G$20)</f>
        <v>#VALUE!</v>
      </c>
      <c r="C912" s="29" t="e">
        <f t="shared" si="14"/>
        <v>#VALUE!</v>
      </c>
      <c r="E912" t="e">
        <f>cubic_spline(CURVA!$B$6:$B$20,CURVA!$G$6:$G$20,#REF!)</f>
        <v>#VALUE!</v>
      </c>
    </row>
    <row r="913" spans="1:5" x14ac:dyDescent="0.2">
      <c r="A913" s="28">
        <v>912</v>
      </c>
      <c r="B913" s="28" t="e">
        <f>interpola(#REF!,CURVA!$B$6:$B$20,CURVA!$G$6:$G$20)</f>
        <v>#VALUE!</v>
      </c>
      <c r="C913" s="29" t="e">
        <f t="shared" si="14"/>
        <v>#VALUE!</v>
      </c>
      <c r="E913" t="e">
        <f>cubic_spline(CURVA!$B$6:$B$20,CURVA!$G$6:$G$20,#REF!)</f>
        <v>#VALUE!</v>
      </c>
    </row>
    <row r="914" spans="1:5" x14ac:dyDescent="0.2">
      <c r="A914" s="28">
        <v>913</v>
      </c>
      <c r="B914" s="28" t="e">
        <f>interpola(#REF!,CURVA!$B$6:$B$20,CURVA!$G$6:$G$20)</f>
        <v>#VALUE!</v>
      </c>
      <c r="C914" s="29" t="e">
        <f t="shared" si="14"/>
        <v>#VALUE!</v>
      </c>
      <c r="E914" t="e">
        <f>cubic_spline(CURVA!$B$6:$B$20,CURVA!$G$6:$G$20,#REF!)</f>
        <v>#VALUE!</v>
      </c>
    </row>
    <row r="915" spans="1:5" x14ac:dyDescent="0.2">
      <c r="A915" s="28">
        <v>914</v>
      </c>
      <c r="B915" s="28" t="e">
        <f>interpola(#REF!,CURVA!$B$6:$B$20,CURVA!$G$6:$G$20)</f>
        <v>#VALUE!</v>
      </c>
      <c r="C915" s="29" t="e">
        <f t="shared" si="14"/>
        <v>#VALUE!</v>
      </c>
      <c r="E915" t="e">
        <f>cubic_spline(CURVA!$B$6:$B$20,CURVA!$G$6:$G$20,#REF!)</f>
        <v>#VALUE!</v>
      </c>
    </row>
    <row r="916" spans="1:5" x14ac:dyDescent="0.2">
      <c r="A916" s="28">
        <v>915</v>
      </c>
      <c r="B916" s="28" t="e">
        <f>interpola(#REF!,CURVA!$B$6:$B$20,CURVA!$G$6:$G$20)</f>
        <v>#VALUE!</v>
      </c>
      <c r="C916" s="29" t="e">
        <f t="shared" si="14"/>
        <v>#VALUE!</v>
      </c>
      <c r="E916" t="e">
        <f>cubic_spline(CURVA!$B$6:$B$20,CURVA!$G$6:$G$20,#REF!)</f>
        <v>#VALUE!</v>
      </c>
    </row>
    <row r="917" spans="1:5" x14ac:dyDescent="0.2">
      <c r="A917" s="28">
        <v>916</v>
      </c>
      <c r="B917" s="28" t="e">
        <f>interpola(#REF!,CURVA!$B$6:$B$20,CURVA!$G$6:$G$20)</f>
        <v>#VALUE!</v>
      </c>
      <c r="C917" s="29" t="e">
        <f t="shared" si="14"/>
        <v>#VALUE!</v>
      </c>
      <c r="E917" t="e">
        <f>cubic_spline(CURVA!$B$6:$B$20,CURVA!$G$6:$G$20,#REF!)</f>
        <v>#VALUE!</v>
      </c>
    </row>
    <row r="918" spans="1:5" x14ac:dyDescent="0.2">
      <c r="A918" s="28">
        <v>917</v>
      </c>
      <c r="B918" s="28" t="e">
        <f>interpola(#REF!,CURVA!$B$6:$B$20,CURVA!$G$6:$G$20)</f>
        <v>#VALUE!</v>
      </c>
      <c r="C918" s="29" t="e">
        <f t="shared" si="14"/>
        <v>#VALUE!</v>
      </c>
      <c r="E918" t="e">
        <f>cubic_spline(CURVA!$B$6:$B$20,CURVA!$G$6:$G$20,#REF!)</f>
        <v>#VALUE!</v>
      </c>
    </row>
    <row r="919" spans="1:5" x14ac:dyDescent="0.2">
      <c r="A919" s="28">
        <v>918</v>
      </c>
      <c r="B919" s="28" t="e">
        <f>interpola(#REF!,CURVA!$B$6:$B$20,CURVA!$G$6:$G$20)</f>
        <v>#VALUE!</v>
      </c>
      <c r="C919" s="29" t="e">
        <f t="shared" si="14"/>
        <v>#VALUE!</v>
      </c>
      <c r="E919" t="e">
        <f>cubic_spline(CURVA!$B$6:$B$20,CURVA!$G$6:$G$20,#REF!)</f>
        <v>#VALUE!</v>
      </c>
    </row>
    <row r="920" spans="1:5" x14ac:dyDescent="0.2">
      <c r="A920" s="28">
        <v>919</v>
      </c>
      <c r="B920" s="28" t="e">
        <f>interpola(#REF!,CURVA!$B$6:$B$20,CURVA!$G$6:$G$20)</f>
        <v>#VALUE!</v>
      </c>
      <c r="C920" s="29" t="e">
        <f t="shared" si="14"/>
        <v>#VALUE!</v>
      </c>
      <c r="E920" t="e">
        <f>cubic_spline(CURVA!$B$6:$B$20,CURVA!$G$6:$G$20,#REF!)</f>
        <v>#VALUE!</v>
      </c>
    </row>
    <row r="921" spans="1:5" x14ac:dyDescent="0.2">
      <c r="A921" s="28">
        <v>920</v>
      </c>
      <c r="B921" s="28" t="e">
        <f>interpola(#REF!,CURVA!$B$6:$B$20,CURVA!$G$6:$G$20)</f>
        <v>#VALUE!</v>
      </c>
      <c r="C921" s="29" t="e">
        <f t="shared" si="14"/>
        <v>#VALUE!</v>
      </c>
      <c r="E921" t="e">
        <f>cubic_spline(CURVA!$B$6:$B$20,CURVA!$G$6:$G$20,#REF!)</f>
        <v>#VALUE!</v>
      </c>
    </row>
    <row r="922" spans="1:5" x14ac:dyDescent="0.2">
      <c r="A922" s="28">
        <v>921</v>
      </c>
      <c r="B922" s="28" t="e">
        <f>interpola(#REF!,CURVA!$B$6:$B$20,CURVA!$G$6:$G$20)</f>
        <v>#VALUE!</v>
      </c>
      <c r="C922" s="29" t="e">
        <f t="shared" si="14"/>
        <v>#VALUE!</v>
      </c>
      <c r="E922" t="e">
        <f>cubic_spline(CURVA!$B$6:$B$20,CURVA!$G$6:$G$20,#REF!)</f>
        <v>#VALUE!</v>
      </c>
    </row>
    <row r="923" spans="1:5" x14ac:dyDescent="0.2">
      <c r="A923" s="28">
        <v>922</v>
      </c>
      <c r="B923" s="28" t="e">
        <f>interpola(#REF!,CURVA!$B$6:$B$20,CURVA!$G$6:$G$20)</f>
        <v>#VALUE!</v>
      </c>
      <c r="C923" s="29" t="e">
        <f t="shared" si="14"/>
        <v>#VALUE!</v>
      </c>
      <c r="E923" t="e">
        <f>cubic_spline(CURVA!$B$6:$B$20,CURVA!$G$6:$G$20,#REF!)</f>
        <v>#VALUE!</v>
      </c>
    </row>
    <row r="924" spans="1:5" x14ac:dyDescent="0.2">
      <c r="A924" s="28">
        <v>923</v>
      </c>
      <c r="B924" s="28" t="e">
        <f>interpola(#REF!,CURVA!$B$6:$B$20,CURVA!$G$6:$G$20)</f>
        <v>#VALUE!</v>
      </c>
      <c r="C924" s="29" t="e">
        <f t="shared" si="14"/>
        <v>#VALUE!</v>
      </c>
      <c r="E924" t="e">
        <f>cubic_spline(CURVA!$B$6:$B$20,CURVA!$G$6:$G$20,#REF!)</f>
        <v>#VALUE!</v>
      </c>
    </row>
    <row r="925" spans="1:5" x14ac:dyDescent="0.2">
      <c r="A925" s="28">
        <v>924</v>
      </c>
      <c r="B925" s="28" t="e">
        <f>interpola(#REF!,CURVA!$B$6:$B$20,CURVA!$G$6:$G$20)</f>
        <v>#VALUE!</v>
      </c>
      <c r="C925" s="29" t="e">
        <f t="shared" si="14"/>
        <v>#VALUE!</v>
      </c>
      <c r="E925" t="e">
        <f>cubic_spline(CURVA!$B$6:$B$20,CURVA!$G$6:$G$20,#REF!)</f>
        <v>#VALUE!</v>
      </c>
    </row>
    <row r="926" spans="1:5" x14ac:dyDescent="0.2">
      <c r="A926" s="28">
        <v>925</v>
      </c>
      <c r="B926" s="28" t="e">
        <f>interpola(#REF!,CURVA!$B$6:$B$20,CURVA!$G$6:$G$20)</f>
        <v>#VALUE!</v>
      </c>
      <c r="C926" s="29" t="e">
        <f t="shared" si="14"/>
        <v>#VALUE!</v>
      </c>
      <c r="E926" t="e">
        <f>cubic_spline(CURVA!$B$6:$B$20,CURVA!$G$6:$G$20,#REF!)</f>
        <v>#VALUE!</v>
      </c>
    </row>
    <row r="927" spans="1:5" x14ac:dyDescent="0.2">
      <c r="A927" s="28">
        <v>926</v>
      </c>
      <c r="B927" s="28" t="e">
        <f>interpola(#REF!,CURVA!$B$6:$B$20,CURVA!$G$6:$G$20)</f>
        <v>#VALUE!</v>
      </c>
      <c r="C927" s="29" t="e">
        <f t="shared" si="14"/>
        <v>#VALUE!</v>
      </c>
      <c r="E927" t="e">
        <f>cubic_spline(CURVA!$B$6:$B$20,CURVA!$G$6:$G$20,#REF!)</f>
        <v>#VALUE!</v>
      </c>
    </row>
    <row r="928" spans="1:5" x14ac:dyDescent="0.2">
      <c r="A928" s="28">
        <v>927</v>
      </c>
      <c r="B928" s="28" t="e">
        <f>interpola(#REF!,CURVA!$B$6:$B$20,CURVA!$G$6:$G$20)</f>
        <v>#VALUE!</v>
      </c>
      <c r="C928" s="29" t="e">
        <f t="shared" si="14"/>
        <v>#VALUE!</v>
      </c>
      <c r="E928" t="e">
        <f>cubic_spline(CURVA!$B$6:$B$20,CURVA!$G$6:$G$20,#REF!)</f>
        <v>#VALUE!</v>
      </c>
    </row>
    <row r="929" spans="1:5" x14ac:dyDescent="0.2">
      <c r="A929" s="28">
        <v>928</v>
      </c>
      <c r="B929" s="28" t="e">
        <f>interpola(#REF!,CURVA!$B$6:$B$20,CURVA!$G$6:$G$20)</f>
        <v>#VALUE!</v>
      </c>
      <c r="C929" s="29" t="e">
        <f t="shared" si="14"/>
        <v>#VALUE!</v>
      </c>
      <c r="E929" t="e">
        <f>cubic_spline(CURVA!$B$6:$B$20,CURVA!$G$6:$G$20,#REF!)</f>
        <v>#VALUE!</v>
      </c>
    </row>
    <row r="930" spans="1:5" x14ac:dyDescent="0.2">
      <c r="A930" s="28">
        <v>929</v>
      </c>
      <c r="B930" s="28" t="e">
        <f>interpola(#REF!,CURVA!$B$6:$B$20,CURVA!$G$6:$G$20)</f>
        <v>#VALUE!</v>
      </c>
      <c r="C930" s="29" t="e">
        <f t="shared" si="14"/>
        <v>#VALUE!</v>
      </c>
      <c r="E930" t="e">
        <f>cubic_spline(CURVA!$B$6:$B$20,CURVA!$G$6:$G$20,#REF!)</f>
        <v>#VALUE!</v>
      </c>
    </row>
    <row r="931" spans="1:5" x14ac:dyDescent="0.2">
      <c r="A931" s="28">
        <v>930</v>
      </c>
      <c r="B931" s="28" t="e">
        <f>interpola(#REF!,CURVA!$B$6:$B$20,CURVA!$G$6:$G$20)</f>
        <v>#VALUE!</v>
      </c>
      <c r="C931" s="29" t="e">
        <f t="shared" si="14"/>
        <v>#VALUE!</v>
      </c>
      <c r="E931" t="e">
        <f>cubic_spline(CURVA!$B$6:$B$20,CURVA!$G$6:$G$20,#REF!)</f>
        <v>#VALUE!</v>
      </c>
    </row>
    <row r="932" spans="1:5" x14ac:dyDescent="0.2">
      <c r="A932" s="28">
        <v>931</v>
      </c>
      <c r="B932" s="28" t="e">
        <f>interpola(#REF!,CURVA!$B$6:$B$20,CURVA!$G$6:$G$20)</f>
        <v>#VALUE!</v>
      </c>
      <c r="C932" s="29" t="e">
        <f t="shared" si="14"/>
        <v>#VALUE!</v>
      </c>
      <c r="E932" t="e">
        <f>cubic_spline(CURVA!$B$6:$B$20,CURVA!$G$6:$G$20,#REF!)</f>
        <v>#VALUE!</v>
      </c>
    </row>
    <row r="933" spans="1:5" x14ac:dyDescent="0.2">
      <c r="A933" s="28">
        <v>932</v>
      </c>
      <c r="B933" s="28" t="e">
        <f>interpola(#REF!,CURVA!$B$6:$B$20,CURVA!$G$6:$G$20)</f>
        <v>#VALUE!</v>
      </c>
      <c r="C933" s="29" t="e">
        <f t="shared" si="14"/>
        <v>#VALUE!</v>
      </c>
      <c r="E933" t="e">
        <f>cubic_spline(CURVA!$B$6:$B$20,CURVA!$G$6:$G$20,#REF!)</f>
        <v>#VALUE!</v>
      </c>
    </row>
    <row r="934" spans="1:5" x14ac:dyDescent="0.2">
      <c r="A934" s="28">
        <v>933</v>
      </c>
      <c r="B934" s="28" t="e">
        <f>interpola(#REF!,CURVA!$B$6:$B$20,CURVA!$G$6:$G$20)</f>
        <v>#VALUE!</v>
      </c>
      <c r="C934" s="29" t="e">
        <f t="shared" si="14"/>
        <v>#VALUE!</v>
      </c>
      <c r="E934" t="e">
        <f>cubic_spline(CURVA!$B$6:$B$20,CURVA!$G$6:$G$20,#REF!)</f>
        <v>#VALUE!</v>
      </c>
    </row>
    <row r="935" spans="1:5" x14ac:dyDescent="0.2">
      <c r="A935" s="28">
        <v>934</v>
      </c>
      <c r="B935" s="28" t="e">
        <f>interpola(#REF!,CURVA!$B$6:$B$20,CURVA!$G$6:$G$20)</f>
        <v>#VALUE!</v>
      </c>
      <c r="C935" s="29" t="e">
        <f t="shared" si="14"/>
        <v>#VALUE!</v>
      </c>
      <c r="E935" t="e">
        <f>cubic_spline(CURVA!$B$6:$B$20,CURVA!$G$6:$G$20,#REF!)</f>
        <v>#VALUE!</v>
      </c>
    </row>
    <row r="936" spans="1:5" x14ac:dyDescent="0.2">
      <c r="A936" s="28">
        <v>935</v>
      </c>
      <c r="B936" s="28" t="e">
        <f>interpola(#REF!,CURVA!$B$6:$B$20,CURVA!$G$6:$G$20)</f>
        <v>#VALUE!</v>
      </c>
      <c r="C936" s="29" t="e">
        <f t="shared" si="14"/>
        <v>#VALUE!</v>
      </c>
      <c r="E936" t="e">
        <f>cubic_spline(CURVA!$B$6:$B$20,CURVA!$G$6:$G$20,#REF!)</f>
        <v>#VALUE!</v>
      </c>
    </row>
    <row r="937" spans="1:5" x14ac:dyDescent="0.2">
      <c r="A937" s="28">
        <v>936</v>
      </c>
      <c r="B937" s="28" t="e">
        <f>interpola(#REF!,CURVA!$B$6:$B$20,CURVA!$G$6:$G$20)</f>
        <v>#VALUE!</v>
      </c>
      <c r="C937" s="29" t="e">
        <f t="shared" si="14"/>
        <v>#VALUE!</v>
      </c>
      <c r="E937" t="e">
        <f>cubic_spline(CURVA!$B$6:$B$20,CURVA!$G$6:$G$20,#REF!)</f>
        <v>#VALUE!</v>
      </c>
    </row>
    <row r="938" spans="1:5" x14ac:dyDescent="0.2">
      <c r="A938" s="28">
        <v>937</v>
      </c>
      <c r="B938" s="28" t="e">
        <f>interpola(#REF!,CURVA!$B$6:$B$20,CURVA!$G$6:$G$20)</f>
        <v>#VALUE!</v>
      </c>
      <c r="C938" s="29" t="e">
        <f t="shared" si="14"/>
        <v>#VALUE!</v>
      </c>
      <c r="E938" t="e">
        <f>cubic_spline(CURVA!$B$6:$B$20,CURVA!$G$6:$G$20,#REF!)</f>
        <v>#VALUE!</v>
      </c>
    </row>
    <row r="939" spans="1:5" x14ac:dyDescent="0.2">
      <c r="A939" s="28">
        <v>938</v>
      </c>
      <c r="B939" s="28" t="e">
        <f>interpola(#REF!,CURVA!$B$6:$B$20,CURVA!$G$6:$G$20)</f>
        <v>#VALUE!</v>
      </c>
      <c r="C939" s="29" t="e">
        <f t="shared" si="14"/>
        <v>#VALUE!</v>
      </c>
      <c r="E939" t="e">
        <f>cubic_spline(CURVA!$B$6:$B$20,CURVA!$G$6:$G$20,#REF!)</f>
        <v>#VALUE!</v>
      </c>
    </row>
    <row r="940" spans="1:5" x14ac:dyDescent="0.2">
      <c r="A940" s="28">
        <v>939</v>
      </c>
      <c r="B940" s="28" t="e">
        <f>interpola(#REF!,CURVA!$B$6:$B$20,CURVA!$G$6:$G$20)</f>
        <v>#VALUE!</v>
      </c>
      <c r="C940" s="29" t="e">
        <f t="shared" si="14"/>
        <v>#VALUE!</v>
      </c>
      <c r="E940" t="e">
        <f>cubic_spline(CURVA!$B$6:$B$20,CURVA!$G$6:$G$20,#REF!)</f>
        <v>#VALUE!</v>
      </c>
    </row>
    <row r="941" spans="1:5" x14ac:dyDescent="0.2">
      <c r="A941" s="28">
        <v>940</v>
      </c>
      <c r="B941" s="28" t="e">
        <f>interpola(#REF!,CURVA!$B$6:$B$20,CURVA!$G$6:$G$20)</f>
        <v>#VALUE!</v>
      </c>
      <c r="C941" s="29" t="e">
        <f t="shared" si="14"/>
        <v>#VALUE!</v>
      </c>
      <c r="E941" t="e">
        <f>cubic_spline(CURVA!$B$6:$B$20,CURVA!$G$6:$G$20,#REF!)</f>
        <v>#VALUE!</v>
      </c>
    </row>
    <row r="942" spans="1:5" x14ac:dyDescent="0.2">
      <c r="A942" s="28">
        <v>941</v>
      </c>
      <c r="B942" s="28" t="e">
        <f>interpola(#REF!,CURVA!$B$6:$B$20,CURVA!$G$6:$G$20)</f>
        <v>#VALUE!</v>
      </c>
      <c r="C942" s="29" t="e">
        <f t="shared" si="14"/>
        <v>#VALUE!</v>
      </c>
      <c r="E942" t="e">
        <f>cubic_spline(CURVA!$B$6:$B$20,CURVA!$G$6:$G$20,#REF!)</f>
        <v>#VALUE!</v>
      </c>
    </row>
    <row r="943" spans="1:5" x14ac:dyDescent="0.2">
      <c r="A943" s="28">
        <v>942</v>
      </c>
      <c r="B943" s="28" t="e">
        <f>interpola(#REF!,CURVA!$B$6:$B$20,CURVA!$G$6:$G$20)</f>
        <v>#VALUE!</v>
      </c>
      <c r="C943" s="29" t="e">
        <f t="shared" si="14"/>
        <v>#VALUE!</v>
      </c>
      <c r="E943" t="e">
        <f>cubic_spline(CURVA!$B$6:$B$20,CURVA!$G$6:$G$20,#REF!)</f>
        <v>#VALUE!</v>
      </c>
    </row>
    <row r="944" spans="1:5" x14ac:dyDescent="0.2">
      <c r="A944" s="28">
        <v>943</v>
      </c>
      <c r="B944" s="28" t="e">
        <f>interpola(#REF!,CURVA!$B$6:$B$20,CURVA!$G$6:$G$20)</f>
        <v>#VALUE!</v>
      </c>
      <c r="C944" s="29" t="e">
        <f t="shared" si="14"/>
        <v>#VALUE!</v>
      </c>
      <c r="E944" t="e">
        <f>cubic_spline(CURVA!$B$6:$B$20,CURVA!$G$6:$G$20,#REF!)</f>
        <v>#VALUE!</v>
      </c>
    </row>
    <row r="945" spans="1:5" x14ac:dyDescent="0.2">
      <c r="A945" s="28">
        <v>944</v>
      </c>
      <c r="B945" s="28" t="e">
        <f>interpola(#REF!,CURVA!$B$6:$B$20,CURVA!$G$6:$G$20)</f>
        <v>#VALUE!</v>
      </c>
      <c r="C945" s="29" t="e">
        <f t="shared" si="14"/>
        <v>#VALUE!</v>
      </c>
      <c r="E945" t="e">
        <f>cubic_spline(CURVA!$B$6:$B$20,CURVA!$G$6:$G$20,#REF!)</f>
        <v>#VALUE!</v>
      </c>
    </row>
    <row r="946" spans="1:5" x14ac:dyDescent="0.2">
      <c r="A946" s="28">
        <v>945</v>
      </c>
      <c r="B946" s="28" t="e">
        <f>interpola(#REF!,CURVA!$B$6:$B$20,CURVA!$G$6:$G$20)</f>
        <v>#VALUE!</v>
      </c>
      <c r="C946" s="29" t="e">
        <f t="shared" si="14"/>
        <v>#VALUE!</v>
      </c>
      <c r="E946" t="e">
        <f>cubic_spline(CURVA!$B$6:$B$20,CURVA!$G$6:$G$20,#REF!)</f>
        <v>#VALUE!</v>
      </c>
    </row>
    <row r="947" spans="1:5" x14ac:dyDescent="0.2">
      <c r="A947" s="28">
        <v>946</v>
      </c>
      <c r="B947" s="28" t="e">
        <f>interpola(#REF!,CURVA!$B$6:$B$20,CURVA!$G$6:$G$20)</f>
        <v>#VALUE!</v>
      </c>
      <c r="C947" s="29" t="e">
        <f t="shared" si="14"/>
        <v>#VALUE!</v>
      </c>
      <c r="E947" t="e">
        <f>cubic_spline(CURVA!$B$6:$B$20,CURVA!$G$6:$G$20,#REF!)</f>
        <v>#VALUE!</v>
      </c>
    </row>
    <row r="948" spans="1:5" x14ac:dyDescent="0.2">
      <c r="A948" s="28">
        <v>947</v>
      </c>
      <c r="B948" s="28" t="e">
        <f>interpola(#REF!,CURVA!$B$6:$B$20,CURVA!$G$6:$G$20)</f>
        <v>#VALUE!</v>
      </c>
      <c r="C948" s="29" t="e">
        <f t="shared" si="14"/>
        <v>#VALUE!</v>
      </c>
      <c r="E948" t="e">
        <f>cubic_spline(CURVA!$B$6:$B$20,CURVA!$G$6:$G$20,#REF!)</f>
        <v>#VALUE!</v>
      </c>
    </row>
    <row r="949" spans="1:5" x14ac:dyDescent="0.2">
      <c r="A949" s="28">
        <v>948</v>
      </c>
      <c r="B949" s="28" t="e">
        <f>interpola(#REF!,CURVA!$B$6:$B$20,CURVA!$G$6:$G$20)</f>
        <v>#VALUE!</v>
      </c>
      <c r="C949" s="29" t="e">
        <f t="shared" si="14"/>
        <v>#VALUE!</v>
      </c>
      <c r="E949" t="e">
        <f>cubic_spline(CURVA!$B$6:$B$20,CURVA!$G$6:$G$20,#REF!)</f>
        <v>#VALUE!</v>
      </c>
    </row>
    <row r="950" spans="1:5" x14ac:dyDescent="0.2">
      <c r="A950" s="28">
        <v>949</v>
      </c>
      <c r="B950" s="28" t="e">
        <f>interpola(#REF!,CURVA!$B$6:$B$20,CURVA!$G$6:$G$20)</f>
        <v>#VALUE!</v>
      </c>
      <c r="C950" s="29" t="e">
        <f t="shared" si="14"/>
        <v>#VALUE!</v>
      </c>
      <c r="E950" t="e">
        <f>cubic_spline(CURVA!$B$6:$B$20,CURVA!$G$6:$G$20,#REF!)</f>
        <v>#VALUE!</v>
      </c>
    </row>
    <row r="951" spans="1:5" x14ac:dyDescent="0.2">
      <c r="A951" s="28">
        <v>950</v>
      </c>
      <c r="B951" s="28" t="e">
        <f>interpola(#REF!,CURVA!$B$6:$B$20,CURVA!$G$6:$G$20)</f>
        <v>#VALUE!</v>
      </c>
      <c r="C951" s="29" t="e">
        <f t="shared" si="14"/>
        <v>#VALUE!</v>
      </c>
      <c r="E951" t="e">
        <f>cubic_spline(CURVA!$B$6:$B$20,CURVA!$G$6:$G$20,#REF!)</f>
        <v>#VALUE!</v>
      </c>
    </row>
    <row r="952" spans="1:5" x14ac:dyDescent="0.2">
      <c r="A952" s="28">
        <v>951</v>
      </c>
      <c r="B952" s="28" t="e">
        <f>interpola(#REF!,CURVA!$B$6:$B$20,CURVA!$G$6:$G$20)</f>
        <v>#VALUE!</v>
      </c>
      <c r="C952" s="29" t="e">
        <f t="shared" si="14"/>
        <v>#VALUE!</v>
      </c>
      <c r="E952" t="e">
        <f>cubic_spline(CURVA!$B$6:$B$20,CURVA!$G$6:$G$20,#REF!)</f>
        <v>#VALUE!</v>
      </c>
    </row>
    <row r="953" spans="1:5" x14ac:dyDescent="0.2">
      <c r="A953" s="28">
        <v>952</v>
      </c>
      <c r="B953" s="28" t="e">
        <f>interpola(#REF!,CURVA!$B$6:$B$20,CURVA!$G$6:$G$20)</f>
        <v>#VALUE!</v>
      </c>
      <c r="C953" s="29" t="e">
        <f t="shared" si="14"/>
        <v>#VALUE!</v>
      </c>
      <c r="E953" t="e">
        <f>cubic_spline(CURVA!$B$6:$B$20,CURVA!$G$6:$G$20,#REF!)</f>
        <v>#VALUE!</v>
      </c>
    </row>
    <row r="954" spans="1:5" x14ac:dyDescent="0.2">
      <c r="A954" s="28">
        <v>953</v>
      </c>
      <c r="B954" s="28" t="e">
        <f>interpola(#REF!,CURVA!$B$6:$B$20,CURVA!$G$6:$G$20)</f>
        <v>#VALUE!</v>
      </c>
      <c r="C954" s="29" t="e">
        <f t="shared" si="14"/>
        <v>#VALUE!</v>
      </c>
      <c r="E954" t="e">
        <f>cubic_spline(CURVA!$B$6:$B$20,CURVA!$G$6:$G$20,#REF!)</f>
        <v>#VALUE!</v>
      </c>
    </row>
    <row r="955" spans="1:5" x14ac:dyDescent="0.2">
      <c r="A955" s="28">
        <v>954</v>
      </c>
      <c r="B955" s="28" t="e">
        <f>interpola(#REF!,CURVA!$B$6:$B$20,CURVA!$G$6:$G$20)</f>
        <v>#VALUE!</v>
      </c>
      <c r="C955" s="29" t="e">
        <f t="shared" si="14"/>
        <v>#VALUE!</v>
      </c>
      <c r="E955" t="e">
        <f>cubic_spline(CURVA!$B$6:$B$20,CURVA!$G$6:$G$20,#REF!)</f>
        <v>#VALUE!</v>
      </c>
    </row>
    <row r="956" spans="1:5" x14ac:dyDescent="0.2">
      <c r="A956" s="28">
        <v>955</v>
      </c>
      <c r="B956" s="28" t="e">
        <f>interpola(#REF!,CURVA!$B$6:$B$20,CURVA!$G$6:$G$20)</f>
        <v>#VALUE!</v>
      </c>
      <c r="C956" s="29" t="e">
        <f t="shared" si="14"/>
        <v>#VALUE!</v>
      </c>
      <c r="E956" t="e">
        <f>cubic_spline(CURVA!$B$6:$B$20,CURVA!$G$6:$G$20,#REF!)</f>
        <v>#VALUE!</v>
      </c>
    </row>
    <row r="957" spans="1:5" x14ac:dyDescent="0.2">
      <c r="A957" s="28">
        <v>956</v>
      </c>
      <c r="B957" s="28" t="e">
        <f>interpola(#REF!,CURVA!$B$6:$B$20,CURVA!$G$6:$G$20)</f>
        <v>#VALUE!</v>
      </c>
      <c r="C957" s="29" t="e">
        <f t="shared" si="14"/>
        <v>#VALUE!</v>
      </c>
      <c r="E957" t="e">
        <f>cubic_spline(CURVA!$B$6:$B$20,CURVA!$G$6:$G$20,#REF!)</f>
        <v>#VALUE!</v>
      </c>
    </row>
    <row r="958" spans="1:5" x14ac:dyDescent="0.2">
      <c r="A958" s="28">
        <v>957</v>
      </c>
      <c r="B958" s="28" t="e">
        <f>interpola(#REF!,CURVA!$B$6:$B$20,CURVA!$G$6:$G$20)</f>
        <v>#VALUE!</v>
      </c>
      <c r="C958" s="29" t="e">
        <f t="shared" si="14"/>
        <v>#VALUE!</v>
      </c>
      <c r="E958" t="e">
        <f>cubic_spline(CURVA!$B$6:$B$20,CURVA!$G$6:$G$20,#REF!)</f>
        <v>#VALUE!</v>
      </c>
    </row>
    <row r="959" spans="1:5" x14ac:dyDescent="0.2">
      <c r="A959" s="28">
        <v>958</v>
      </c>
      <c r="B959" s="28" t="e">
        <f>interpola(#REF!,CURVA!$B$6:$B$20,CURVA!$G$6:$G$20)</f>
        <v>#VALUE!</v>
      </c>
      <c r="C959" s="29" t="e">
        <f t="shared" si="14"/>
        <v>#VALUE!</v>
      </c>
      <c r="E959" t="e">
        <f>cubic_spline(CURVA!$B$6:$B$20,CURVA!$G$6:$G$20,#REF!)</f>
        <v>#VALUE!</v>
      </c>
    </row>
    <row r="960" spans="1:5" x14ac:dyDescent="0.2">
      <c r="A960" s="28">
        <v>959</v>
      </c>
      <c r="B960" s="28" t="e">
        <f>interpola(#REF!,CURVA!$B$6:$B$20,CURVA!$G$6:$G$20)</f>
        <v>#VALUE!</v>
      </c>
      <c r="C960" s="29" t="e">
        <f t="shared" si="14"/>
        <v>#VALUE!</v>
      </c>
      <c r="E960" t="e">
        <f>cubic_spline(CURVA!$B$6:$B$20,CURVA!$G$6:$G$20,#REF!)</f>
        <v>#VALUE!</v>
      </c>
    </row>
    <row r="961" spans="1:5" x14ac:dyDescent="0.2">
      <c r="A961" s="28">
        <v>960</v>
      </c>
      <c r="B961" s="28" t="e">
        <f>interpola(#REF!,CURVA!$B$6:$B$20,CURVA!$G$6:$G$20)</f>
        <v>#VALUE!</v>
      </c>
      <c r="C961" s="29" t="e">
        <f t="shared" si="14"/>
        <v>#VALUE!</v>
      </c>
      <c r="E961" t="e">
        <f>cubic_spline(CURVA!$B$6:$B$20,CURVA!$G$6:$G$20,#REF!)</f>
        <v>#VALUE!</v>
      </c>
    </row>
    <row r="962" spans="1:5" x14ac:dyDescent="0.2">
      <c r="A962" s="28">
        <v>961</v>
      </c>
      <c r="B962" s="28" t="e">
        <f>interpola(#REF!,CURVA!$B$6:$B$20,CURVA!$G$6:$G$20)</f>
        <v>#VALUE!</v>
      </c>
      <c r="C962" s="29" t="e">
        <f t="shared" ref="C962:C1025" si="15">(EXP(B962*A962/360)-1)*360/A962</f>
        <v>#VALUE!</v>
      </c>
      <c r="E962" t="e">
        <f>cubic_spline(CURVA!$B$6:$B$20,CURVA!$G$6:$G$20,#REF!)</f>
        <v>#VALUE!</v>
      </c>
    </row>
    <row r="963" spans="1:5" x14ac:dyDescent="0.2">
      <c r="A963" s="28">
        <v>962</v>
      </c>
      <c r="B963" s="28" t="e">
        <f>interpola(#REF!,CURVA!$B$6:$B$20,CURVA!$G$6:$G$20)</f>
        <v>#VALUE!</v>
      </c>
      <c r="C963" s="29" t="e">
        <f t="shared" si="15"/>
        <v>#VALUE!</v>
      </c>
      <c r="E963" t="e">
        <f>cubic_spline(CURVA!$B$6:$B$20,CURVA!$G$6:$G$20,#REF!)</f>
        <v>#VALUE!</v>
      </c>
    </row>
    <row r="964" spans="1:5" x14ac:dyDescent="0.2">
      <c r="A964" s="28">
        <v>963</v>
      </c>
      <c r="B964" s="28" t="e">
        <f>interpola(#REF!,CURVA!$B$6:$B$20,CURVA!$G$6:$G$20)</f>
        <v>#VALUE!</v>
      </c>
      <c r="C964" s="29" t="e">
        <f t="shared" si="15"/>
        <v>#VALUE!</v>
      </c>
      <c r="E964" t="e">
        <f>cubic_spline(CURVA!$B$6:$B$20,CURVA!$G$6:$G$20,#REF!)</f>
        <v>#VALUE!</v>
      </c>
    </row>
    <row r="965" spans="1:5" x14ac:dyDescent="0.2">
      <c r="A965" s="28">
        <v>964</v>
      </c>
      <c r="B965" s="28" t="e">
        <f>interpola(#REF!,CURVA!$B$6:$B$20,CURVA!$G$6:$G$20)</f>
        <v>#VALUE!</v>
      </c>
      <c r="C965" s="29" t="e">
        <f t="shared" si="15"/>
        <v>#VALUE!</v>
      </c>
      <c r="E965" t="e">
        <f>cubic_spline(CURVA!$B$6:$B$20,CURVA!$G$6:$G$20,#REF!)</f>
        <v>#VALUE!</v>
      </c>
    </row>
    <row r="966" spans="1:5" x14ac:dyDescent="0.2">
      <c r="A966" s="28">
        <v>965</v>
      </c>
      <c r="B966" s="28" t="e">
        <f>interpola(#REF!,CURVA!$B$6:$B$20,CURVA!$G$6:$G$20)</f>
        <v>#VALUE!</v>
      </c>
      <c r="C966" s="29" t="e">
        <f t="shared" si="15"/>
        <v>#VALUE!</v>
      </c>
      <c r="E966" t="e">
        <f>cubic_spline(CURVA!$B$6:$B$20,CURVA!$G$6:$G$20,#REF!)</f>
        <v>#VALUE!</v>
      </c>
    </row>
    <row r="967" spans="1:5" x14ac:dyDescent="0.2">
      <c r="A967" s="28">
        <v>966</v>
      </c>
      <c r="B967" s="28" t="e">
        <f>interpola(#REF!,CURVA!$B$6:$B$20,CURVA!$G$6:$G$20)</f>
        <v>#VALUE!</v>
      </c>
      <c r="C967" s="29" t="e">
        <f t="shared" si="15"/>
        <v>#VALUE!</v>
      </c>
      <c r="E967" t="e">
        <f>cubic_spline(CURVA!$B$6:$B$20,CURVA!$G$6:$G$20,#REF!)</f>
        <v>#VALUE!</v>
      </c>
    </row>
    <row r="968" spans="1:5" x14ac:dyDescent="0.2">
      <c r="A968" s="28">
        <v>967</v>
      </c>
      <c r="B968" s="28" t="e">
        <f>interpola(#REF!,CURVA!$B$6:$B$20,CURVA!$G$6:$G$20)</f>
        <v>#VALUE!</v>
      </c>
      <c r="C968" s="29" t="e">
        <f t="shared" si="15"/>
        <v>#VALUE!</v>
      </c>
      <c r="E968" t="e">
        <f>cubic_spline(CURVA!$B$6:$B$20,CURVA!$G$6:$G$20,#REF!)</f>
        <v>#VALUE!</v>
      </c>
    </row>
    <row r="969" spans="1:5" x14ac:dyDescent="0.2">
      <c r="A969" s="28">
        <v>968</v>
      </c>
      <c r="B969" s="28" t="e">
        <f>interpola(#REF!,CURVA!$B$6:$B$20,CURVA!$G$6:$G$20)</f>
        <v>#VALUE!</v>
      </c>
      <c r="C969" s="29" t="e">
        <f t="shared" si="15"/>
        <v>#VALUE!</v>
      </c>
      <c r="E969" t="e">
        <f>cubic_spline(CURVA!$B$6:$B$20,CURVA!$G$6:$G$20,#REF!)</f>
        <v>#VALUE!</v>
      </c>
    </row>
    <row r="970" spans="1:5" x14ac:dyDescent="0.2">
      <c r="A970" s="28">
        <v>969</v>
      </c>
      <c r="B970" s="28" t="e">
        <f>interpola(#REF!,CURVA!$B$6:$B$20,CURVA!$G$6:$G$20)</f>
        <v>#VALUE!</v>
      </c>
      <c r="C970" s="29" t="e">
        <f t="shared" si="15"/>
        <v>#VALUE!</v>
      </c>
      <c r="E970" t="e">
        <f>cubic_spline(CURVA!$B$6:$B$20,CURVA!$G$6:$G$20,#REF!)</f>
        <v>#VALUE!</v>
      </c>
    </row>
    <row r="971" spans="1:5" x14ac:dyDescent="0.2">
      <c r="A971" s="28">
        <v>970</v>
      </c>
      <c r="B971" s="28" t="e">
        <f>interpola(#REF!,CURVA!$B$6:$B$20,CURVA!$G$6:$G$20)</f>
        <v>#VALUE!</v>
      </c>
      <c r="C971" s="29" t="e">
        <f t="shared" si="15"/>
        <v>#VALUE!</v>
      </c>
      <c r="E971" t="e">
        <f>cubic_spline(CURVA!$B$6:$B$20,CURVA!$G$6:$G$20,#REF!)</f>
        <v>#VALUE!</v>
      </c>
    </row>
    <row r="972" spans="1:5" x14ac:dyDescent="0.2">
      <c r="A972" s="28">
        <v>971</v>
      </c>
      <c r="B972" s="28" t="e">
        <f>interpola(#REF!,CURVA!$B$6:$B$20,CURVA!$G$6:$G$20)</f>
        <v>#VALUE!</v>
      </c>
      <c r="C972" s="29" t="e">
        <f t="shared" si="15"/>
        <v>#VALUE!</v>
      </c>
      <c r="E972" t="e">
        <f>cubic_spline(CURVA!$B$6:$B$20,CURVA!$G$6:$G$20,#REF!)</f>
        <v>#VALUE!</v>
      </c>
    </row>
    <row r="973" spans="1:5" x14ac:dyDescent="0.2">
      <c r="A973" s="28">
        <v>972</v>
      </c>
      <c r="B973" s="28" t="e">
        <f>interpola(#REF!,CURVA!$B$6:$B$20,CURVA!$G$6:$G$20)</f>
        <v>#VALUE!</v>
      </c>
      <c r="C973" s="29" t="e">
        <f t="shared" si="15"/>
        <v>#VALUE!</v>
      </c>
      <c r="E973" t="e">
        <f>cubic_spline(CURVA!$B$6:$B$20,CURVA!$G$6:$G$20,#REF!)</f>
        <v>#VALUE!</v>
      </c>
    </row>
    <row r="974" spans="1:5" x14ac:dyDescent="0.2">
      <c r="A974" s="28">
        <v>973</v>
      </c>
      <c r="B974" s="28" t="e">
        <f>interpola(#REF!,CURVA!$B$6:$B$20,CURVA!$G$6:$G$20)</f>
        <v>#VALUE!</v>
      </c>
      <c r="C974" s="29" t="e">
        <f t="shared" si="15"/>
        <v>#VALUE!</v>
      </c>
      <c r="E974" t="e">
        <f>cubic_spline(CURVA!$B$6:$B$20,CURVA!$G$6:$G$20,#REF!)</f>
        <v>#VALUE!</v>
      </c>
    </row>
    <row r="975" spans="1:5" x14ac:dyDescent="0.2">
      <c r="A975" s="28">
        <v>974</v>
      </c>
      <c r="B975" s="28" t="e">
        <f>interpola(#REF!,CURVA!$B$6:$B$20,CURVA!$G$6:$G$20)</f>
        <v>#VALUE!</v>
      </c>
      <c r="C975" s="29" t="e">
        <f t="shared" si="15"/>
        <v>#VALUE!</v>
      </c>
      <c r="E975" t="e">
        <f>cubic_spline(CURVA!$B$6:$B$20,CURVA!$G$6:$G$20,#REF!)</f>
        <v>#VALUE!</v>
      </c>
    </row>
    <row r="976" spans="1:5" x14ac:dyDescent="0.2">
      <c r="A976" s="28">
        <v>975</v>
      </c>
      <c r="B976" s="28" t="e">
        <f>interpola(#REF!,CURVA!$B$6:$B$20,CURVA!$G$6:$G$20)</f>
        <v>#VALUE!</v>
      </c>
      <c r="C976" s="29" t="e">
        <f t="shared" si="15"/>
        <v>#VALUE!</v>
      </c>
      <c r="E976" t="e">
        <f>cubic_spline(CURVA!$B$6:$B$20,CURVA!$G$6:$G$20,#REF!)</f>
        <v>#VALUE!</v>
      </c>
    </row>
    <row r="977" spans="1:5" x14ac:dyDescent="0.2">
      <c r="A977" s="28">
        <v>976</v>
      </c>
      <c r="B977" s="28" t="e">
        <f>interpola(#REF!,CURVA!$B$6:$B$20,CURVA!$G$6:$G$20)</f>
        <v>#VALUE!</v>
      </c>
      <c r="C977" s="29" t="e">
        <f t="shared" si="15"/>
        <v>#VALUE!</v>
      </c>
      <c r="E977" t="e">
        <f>cubic_spline(CURVA!$B$6:$B$20,CURVA!$G$6:$G$20,#REF!)</f>
        <v>#VALUE!</v>
      </c>
    </row>
    <row r="978" spans="1:5" x14ac:dyDescent="0.2">
      <c r="A978" s="28">
        <v>977</v>
      </c>
      <c r="B978" s="28" t="e">
        <f>interpola(#REF!,CURVA!$B$6:$B$20,CURVA!$G$6:$G$20)</f>
        <v>#VALUE!</v>
      </c>
      <c r="C978" s="29" t="e">
        <f t="shared" si="15"/>
        <v>#VALUE!</v>
      </c>
      <c r="E978" t="e">
        <f>cubic_spline(CURVA!$B$6:$B$20,CURVA!$G$6:$G$20,#REF!)</f>
        <v>#VALUE!</v>
      </c>
    </row>
    <row r="979" spans="1:5" x14ac:dyDescent="0.2">
      <c r="A979" s="28">
        <v>978</v>
      </c>
      <c r="B979" s="28" t="e">
        <f>interpola(#REF!,CURVA!$B$6:$B$20,CURVA!$G$6:$G$20)</f>
        <v>#VALUE!</v>
      </c>
      <c r="C979" s="29" t="e">
        <f t="shared" si="15"/>
        <v>#VALUE!</v>
      </c>
      <c r="E979" t="e">
        <f>cubic_spline(CURVA!$B$6:$B$20,CURVA!$G$6:$G$20,#REF!)</f>
        <v>#VALUE!</v>
      </c>
    </row>
    <row r="980" spans="1:5" x14ac:dyDescent="0.2">
      <c r="A980" s="28">
        <v>979</v>
      </c>
      <c r="B980" s="28" t="e">
        <f>interpola(#REF!,CURVA!$B$6:$B$20,CURVA!$G$6:$G$20)</f>
        <v>#VALUE!</v>
      </c>
      <c r="C980" s="29" t="e">
        <f t="shared" si="15"/>
        <v>#VALUE!</v>
      </c>
      <c r="E980" t="e">
        <f>cubic_spline(CURVA!$B$6:$B$20,CURVA!$G$6:$G$20,#REF!)</f>
        <v>#VALUE!</v>
      </c>
    </row>
    <row r="981" spans="1:5" x14ac:dyDescent="0.2">
      <c r="A981" s="28">
        <v>980</v>
      </c>
      <c r="B981" s="28" t="e">
        <f>interpola(#REF!,CURVA!$B$6:$B$20,CURVA!$G$6:$G$20)</f>
        <v>#VALUE!</v>
      </c>
      <c r="C981" s="29" t="e">
        <f t="shared" si="15"/>
        <v>#VALUE!</v>
      </c>
      <c r="E981" t="e">
        <f>cubic_spline(CURVA!$B$6:$B$20,CURVA!$G$6:$G$20,#REF!)</f>
        <v>#VALUE!</v>
      </c>
    </row>
    <row r="982" spans="1:5" x14ac:dyDescent="0.2">
      <c r="A982" s="28">
        <v>981</v>
      </c>
      <c r="B982" s="28" t="e">
        <f>interpola(#REF!,CURVA!$B$6:$B$20,CURVA!$G$6:$G$20)</f>
        <v>#VALUE!</v>
      </c>
      <c r="C982" s="29" t="e">
        <f t="shared" si="15"/>
        <v>#VALUE!</v>
      </c>
      <c r="E982" t="e">
        <f>cubic_spline(CURVA!$B$6:$B$20,CURVA!$G$6:$G$20,#REF!)</f>
        <v>#VALUE!</v>
      </c>
    </row>
    <row r="983" spans="1:5" x14ac:dyDescent="0.2">
      <c r="A983" s="28">
        <v>982</v>
      </c>
      <c r="B983" s="28" t="e">
        <f>interpola(#REF!,CURVA!$B$6:$B$20,CURVA!$G$6:$G$20)</f>
        <v>#VALUE!</v>
      </c>
      <c r="C983" s="29" t="e">
        <f t="shared" si="15"/>
        <v>#VALUE!</v>
      </c>
      <c r="E983" t="e">
        <f>cubic_spline(CURVA!$B$6:$B$20,CURVA!$G$6:$G$20,#REF!)</f>
        <v>#VALUE!</v>
      </c>
    </row>
    <row r="984" spans="1:5" x14ac:dyDescent="0.2">
      <c r="A984" s="28">
        <v>983</v>
      </c>
      <c r="B984" s="28" t="e">
        <f>interpola(#REF!,CURVA!$B$6:$B$20,CURVA!$G$6:$G$20)</f>
        <v>#VALUE!</v>
      </c>
      <c r="C984" s="29" t="e">
        <f t="shared" si="15"/>
        <v>#VALUE!</v>
      </c>
      <c r="E984" t="e">
        <f>cubic_spline(CURVA!$B$6:$B$20,CURVA!$G$6:$G$20,#REF!)</f>
        <v>#VALUE!</v>
      </c>
    </row>
    <row r="985" spans="1:5" x14ac:dyDescent="0.2">
      <c r="A985" s="28">
        <v>984</v>
      </c>
      <c r="B985" s="28" t="e">
        <f>interpola(#REF!,CURVA!$B$6:$B$20,CURVA!$G$6:$G$20)</f>
        <v>#VALUE!</v>
      </c>
      <c r="C985" s="29" t="e">
        <f t="shared" si="15"/>
        <v>#VALUE!</v>
      </c>
      <c r="E985" t="e">
        <f>cubic_spline(CURVA!$B$6:$B$20,CURVA!$G$6:$G$20,#REF!)</f>
        <v>#VALUE!</v>
      </c>
    </row>
    <row r="986" spans="1:5" x14ac:dyDescent="0.2">
      <c r="A986" s="28">
        <v>985</v>
      </c>
      <c r="B986" s="28" t="e">
        <f>interpola(#REF!,CURVA!$B$6:$B$20,CURVA!$G$6:$G$20)</f>
        <v>#VALUE!</v>
      </c>
      <c r="C986" s="29" t="e">
        <f t="shared" si="15"/>
        <v>#VALUE!</v>
      </c>
      <c r="E986" t="e">
        <f>cubic_spline(CURVA!$B$6:$B$20,CURVA!$G$6:$G$20,#REF!)</f>
        <v>#VALUE!</v>
      </c>
    </row>
    <row r="987" spans="1:5" x14ac:dyDescent="0.2">
      <c r="A987" s="28">
        <v>986</v>
      </c>
      <c r="B987" s="28" t="e">
        <f>interpola(#REF!,CURVA!$B$6:$B$20,CURVA!$G$6:$G$20)</f>
        <v>#VALUE!</v>
      </c>
      <c r="C987" s="29" t="e">
        <f t="shared" si="15"/>
        <v>#VALUE!</v>
      </c>
      <c r="E987" t="e">
        <f>cubic_spline(CURVA!$B$6:$B$20,CURVA!$G$6:$G$20,#REF!)</f>
        <v>#VALUE!</v>
      </c>
    </row>
    <row r="988" spans="1:5" x14ac:dyDescent="0.2">
      <c r="A988" s="28">
        <v>987</v>
      </c>
      <c r="B988" s="28" t="e">
        <f>interpola(#REF!,CURVA!$B$6:$B$20,CURVA!$G$6:$G$20)</f>
        <v>#VALUE!</v>
      </c>
      <c r="C988" s="29" t="e">
        <f t="shared" si="15"/>
        <v>#VALUE!</v>
      </c>
      <c r="E988" t="e">
        <f>cubic_spline(CURVA!$B$6:$B$20,CURVA!$G$6:$G$20,#REF!)</f>
        <v>#VALUE!</v>
      </c>
    </row>
    <row r="989" spans="1:5" x14ac:dyDescent="0.2">
      <c r="A989" s="28">
        <v>988</v>
      </c>
      <c r="B989" s="28" t="e">
        <f>interpola(#REF!,CURVA!$B$6:$B$20,CURVA!$G$6:$G$20)</f>
        <v>#VALUE!</v>
      </c>
      <c r="C989" s="29" t="e">
        <f t="shared" si="15"/>
        <v>#VALUE!</v>
      </c>
      <c r="E989" t="e">
        <f>cubic_spline(CURVA!$B$6:$B$20,CURVA!$G$6:$G$20,#REF!)</f>
        <v>#VALUE!</v>
      </c>
    </row>
    <row r="990" spans="1:5" x14ac:dyDescent="0.2">
      <c r="A990" s="28">
        <v>989</v>
      </c>
      <c r="B990" s="28" t="e">
        <f>interpola(#REF!,CURVA!$B$6:$B$20,CURVA!$G$6:$G$20)</f>
        <v>#VALUE!</v>
      </c>
      <c r="C990" s="29" t="e">
        <f t="shared" si="15"/>
        <v>#VALUE!</v>
      </c>
      <c r="E990" t="e">
        <f>cubic_spline(CURVA!$B$6:$B$20,CURVA!$G$6:$G$20,#REF!)</f>
        <v>#VALUE!</v>
      </c>
    </row>
    <row r="991" spans="1:5" x14ac:dyDescent="0.2">
      <c r="A991" s="28">
        <v>990</v>
      </c>
      <c r="B991" s="28" t="e">
        <f>interpola(#REF!,CURVA!$B$6:$B$20,CURVA!$G$6:$G$20)</f>
        <v>#VALUE!</v>
      </c>
      <c r="C991" s="29" t="e">
        <f t="shared" si="15"/>
        <v>#VALUE!</v>
      </c>
      <c r="E991" t="e">
        <f>cubic_spline(CURVA!$B$6:$B$20,CURVA!$G$6:$G$20,#REF!)</f>
        <v>#VALUE!</v>
      </c>
    </row>
    <row r="992" spans="1:5" x14ac:dyDescent="0.2">
      <c r="A992" s="28">
        <v>991</v>
      </c>
      <c r="B992" s="28" t="e">
        <f>interpola(#REF!,CURVA!$B$6:$B$20,CURVA!$G$6:$G$20)</f>
        <v>#VALUE!</v>
      </c>
      <c r="C992" s="29" t="e">
        <f t="shared" si="15"/>
        <v>#VALUE!</v>
      </c>
      <c r="E992" t="e">
        <f>cubic_spline(CURVA!$B$6:$B$20,CURVA!$G$6:$G$20,#REF!)</f>
        <v>#VALUE!</v>
      </c>
    </row>
    <row r="993" spans="1:5" x14ac:dyDescent="0.2">
      <c r="A993" s="28">
        <v>992</v>
      </c>
      <c r="B993" s="28" t="e">
        <f>interpola(#REF!,CURVA!$B$6:$B$20,CURVA!$G$6:$G$20)</f>
        <v>#VALUE!</v>
      </c>
      <c r="C993" s="29" t="e">
        <f t="shared" si="15"/>
        <v>#VALUE!</v>
      </c>
      <c r="E993" t="e">
        <f>cubic_spline(CURVA!$B$6:$B$20,CURVA!$G$6:$G$20,#REF!)</f>
        <v>#VALUE!</v>
      </c>
    </row>
    <row r="994" spans="1:5" x14ac:dyDescent="0.2">
      <c r="A994" s="28">
        <v>993</v>
      </c>
      <c r="B994" s="28" t="e">
        <f>interpola(#REF!,CURVA!$B$6:$B$20,CURVA!$G$6:$G$20)</f>
        <v>#VALUE!</v>
      </c>
      <c r="C994" s="29" t="e">
        <f t="shared" si="15"/>
        <v>#VALUE!</v>
      </c>
      <c r="E994" t="e">
        <f>cubic_spline(CURVA!$B$6:$B$20,CURVA!$G$6:$G$20,#REF!)</f>
        <v>#VALUE!</v>
      </c>
    </row>
    <row r="995" spans="1:5" x14ac:dyDescent="0.2">
      <c r="A995" s="28">
        <v>994</v>
      </c>
      <c r="B995" s="28" t="e">
        <f>interpola(#REF!,CURVA!$B$6:$B$20,CURVA!$G$6:$G$20)</f>
        <v>#VALUE!</v>
      </c>
      <c r="C995" s="29" t="e">
        <f t="shared" si="15"/>
        <v>#VALUE!</v>
      </c>
      <c r="E995" t="e">
        <f>cubic_spline(CURVA!$B$6:$B$20,CURVA!$G$6:$G$20,#REF!)</f>
        <v>#VALUE!</v>
      </c>
    </row>
    <row r="996" spans="1:5" x14ac:dyDescent="0.2">
      <c r="A996" s="28">
        <v>995</v>
      </c>
      <c r="B996" s="28" t="e">
        <f>interpola(#REF!,CURVA!$B$6:$B$20,CURVA!$G$6:$G$20)</f>
        <v>#VALUE!</v>
      </c>
      <c r="C996" s="29" t="e">
        <f t="shared" si="15"/>
        <v>#VALUE!</v>
      </c>
      <c r="E996" t="e">
        <f>cubic_spline(CURVA!$B$6:$B$20,CURVA!$G$6:$G$20,#REF!)</f>
        <v>#VALUE!</v>
      </c>
    </row>
    <row r="997" spans="1:5" x14ac:dyDescent="0.2">
      <c r="A997" s="28">
        <v>996</v>
      </c>
      <c r="B997" s="28" t="e">
        <f>interpola(#REF!,CURVA!$B$6:$B$20,CURVA!$G$6:$G$20)</f>
        <v>#VALUE!</v>
      </c>
      <c r="C997" s="29" t="e">
        <f t="shared" si="15"/>
        <v>#VALUE!</v>
      </c>
      <c r="E997" t="e">
        <f>cubic_spline(CURVA!$B$6:$B$20,CURVA!$G$6:$G$20,#REF!)</f>
        <v>#VALUE!</v>
      </c>
    </row>
    <row r="998" spans="1:5" x14ac:dyDescent="0.2">
      <c r="A998" s="28">
        <v>997</v>
      </c>
      <c r="B998" s="28" t="e">
        <f>interpola(#REF!,CURVA!$B$6:$B$20,CURVA!$G$6:$G$20)</f>
        <v>#VALUE!</v>
      </c>
      <c r="C998" s="29" t="e">
        <f t="shared" si="15"/>
        <v>#VALUE!</v>
      </c>
      <c r="E998" t="e">
        <f>cubic_spline(CURVA!$B$6:$B$20,CURVA!$G$6:$G$20,#REF!)</f>
        <v>#VALUE!</v>
      </c>
    </row>
    <row r="999" spans="1:5" x14ac:dyDescent="0.2">
      <c r="A999" s="28">
        <v>998</v>
      </c>
      <c r="B999" s="28" t="e">
        <f>interpola(#REF!,CURVA!$B$6:$B$20,CURVA!$G$6:$G$20)</f>
        <v>#VALUE!</v>
      </c>
      <c r="C999" s="29" t="e">
        <f t="shared" si="15"/>
        <v>#VALUE!</v>
      </c>
      <c r="E999" t="e">
        <f>cubic_spline(CURVA!$B$6:$B$20,CURVA!$G$6:$G$20,#REF!)</f>
        <v>#VALUE!</v>
      </c>
    </row>
    <row r="1000" spans="1:5" x14ac:dyDescent="0.2">
      <c r="A1000" s="28">
        <v>999</v>
      </c>
      <c r="B1000" s="28" t="e">
        <f>interpola(#REF!,CURVA!$B$6:$B$20,CURVA!$G$6:$G$20)</f>
        <v>#VALUE!</v>
      </c>
      <c r="C1000" s="29" t="e">
        <f t="shared" si="15"/>
        <v>#VALUE!</v>
      </c>
      <c r="E1000" t="e">
        <f>cubic_spline(CURVA!$B$6:$B$20,CURVA!$G$6:$G$20,#REF!)</f>
        <v>#VALUE!</v>
      </c>
    </row>
    <row r="1001" spans="1:5" x14ac:dyDescent="0.2">
      <c r="A1001" s="28">
        <v>1000</v>
      </c>
      <c r="B1001" s="28" t="e">
        <f>interpola(#REF!,CURVA!$B$6:$B$20,CURVA!$G$6:$G$20)</f>
        <v>#VALUE!</v>
      </c>
      <c r="C1001" s="29" t="e">
        <f t="shared" si="15"/>
        <v>#VALUE!</v>
      </c>
      <c r="E1001" t="e">
        <f>cubic_spline(CURVA!$B$6:$B$20,CURVA!$G$6:$G$20,#REF!)</f>
        <v>#VALUE!</v>
      </c>
    </row>
    <row r="1002" spans="1:5" x14ac:dyDescent="0.2">
      <c r="A1002" s="28">
        <v>1001</v>
      </c>
      <c r="B1002" s="28" t="e">
        <f>interpola(#REF!,CURVA!$B$6:$B$20,CURVA!$G$6:$G$20)</f>
        <v>#VALUE!</v>
      </c>
      <c r="C1002" s="29" t="e">
        <f t="shared" si="15"/>
        <v>#VALUE!</v>
      </c>
      <c r="E1002" t="e">
        <f>cubic_spline(CURVA!$B$6:$B$20,CURVA!$G$6:$G$20,#REF!)</f>
        <v>#VALUE!</v>
      </c>
    </row>
    <row r="1003" spans="1:5" x14ac:dyDescent="0.2">
      <c r="A1003" s="28">
        <v>1002</v>
      </c>
      <c r="B1003" s="28" t="e">
        <f>interpola(#REF!,CURVA!$B$6:$B$20,CURVA!$G$6:$G$20)</f>
        <v>#VALUE!</v>
      </c>
      <c r="C1003" s="29" t="e">
        <f t="shared" si="15"/>
        <v>#VALUE!</v>
      </c>
      <c r="E1003" t="e">
        <f>cubic_spline(CURVA!$B$6:$B$20,CURVA!$G$6:$G$20,#REF!)</f>
        <v>#VALUE!</v>
      </c>
    </row>
    <row r="1004" spans="1:5" x14ac:dyDescent="0.2">
      <c r="A1004" s="28">
        <v>1003</v>
      </c>
      <c r="B1004" s="28" t="e">
        <f>interpola(#REF!,CURVA!$B$6:$B$20,CURVA!$G$6:$G$20)</f>
        <v>#VALUE!</v>
      </c>
      <c r="C1004" s="29" t="e">
        <f t="shared" si="15"/>
        <v>#VALUE!</v>
      </c>
      <c r="E1004" t="e">
        <f>cubic_spline(CURVA!$B$6:$B$20,CURVA!$G$6:$G$20,#REF!)</f>
        <v>#VALUE!</v>
      </c>
    </row>
    <row r="1005" spans="1:5" x14ac:dyDescent="0.2">
      <c r="A1005" s="28">
        <v>1004</v>
      </c>
      <c r="B1005" s="28" t="e">
        <f>interpola(#REF!,CURVA!$B$6:$B$20,CURVA!$G$6:$G$20)</f>
        <v>#VALUE!</v>
      </c>
      <c r="C1005" s="29" t="e">
        <f t="shared" si="15"/>
        <v>#VALUE!</v>
      </c>
      <c r="E1005" t="e">
        <f>cubic_spline(CURVA!$B$6:$B$20,CURVA!$G$6:$G$20,#REF!)</f>
        <v>#VALUE!</v>
      </c>
    </row>
    <row r="1006" spans="1:5" x14ac:dyDescent="0.2">
      <c r="A1006" s="28">
        <v>1005</v>
      </c>
      <c r="B1006" s="28" t="e">
        <f>interpola(#REF!,CURVA!$B$6:$B$20,CURVA!$G$6:$G$20)</f>
        <v>#VALUE!</v>
      </c>
      <c r="C1006" s="29" t="e">
        <f t="shared" si="15"/>
        <v>#VALUE!</v>
      </c>
      <c r="E1006" t="e">
        <f>cubic_spline(CURVA!$B$6:$B$20,CURVA!$G$6:$G$20,#REF!)</f>
        <v>#VALUE!</v>
      </c>
    </row>
    <row r="1007" spans="1:5" x14ac:dyDescent="0.2">
      <c r="A1007" s="28">
        <v>1006</v>
      </c>
      <c r="B1007" s="28" t="e">
        <f>interpola(#REF!,CURVA!$B$6:$B$20,CURVA!$G$6:$G$20)</f>
        <v>#VALUE!</v>
      </c>
      <c r="C1007" s="29" t="e">
        <f t="shared" si="15"/>
        <v>#VALUE!</v>
      </c>
      <c r="E1007" t="e">
        <f>cubic_spline(CURVA!$B$6:$B$20,CURVA!$G$6:$G$20,#REF!)</f>
        <v>#VALUE!</v>
      </c>
    </row>
    <row r="1008" spans="1:5" x14ac:dyDescent="0.2">
      <c r="A1008" s="28">
        <v>1007</v>
      </c>
      <c r="B1008" s="28" t="e">
        <f>interpola(#REF!,CURVA!$B$6:$B$20,CURVA!$G$6:$G$20)</f>
        <v>#VALUE!</v>
      </c>
      <c r="C1008" s="29" t="e">
        <f t="shared" si="15"/>
        <v>#VALUE!</v>
      </c>
      <c r="E1008" t="e">
        <f>cubic_spline(CURVA!$B$6:$B$20,CURVA!$G$6:$G$20,#REF!)</f>
        <v>#VALUE!</v>
      </c>
    </row>
    <row r="1009" spans="1:5" x14ac:dyDescent="0.2">
      <c r="A1009" s="28">
        <v>1008</v>
      </c>
      <c r="B1009" s="28" t="e">
        <f>interpola(#REF!,CURVA!$B$6:$B$20,CURVA!$G$6:$G$20)</f>
        <v>#VALUE!</v>
      </c>
      <c r="C1009" s="29" t="e">
        <f t="shared" si="15"/>
        <v>#VALUE!</v>
      </c>
      <c r="E1009" t="e">
        <f>cubic_spline(CURVA!$B$6:$B$20,CURVA!$G$6:$G$20,#REF!)</f>
        <v>#VALUE!</v>
      </c>
    </row>
    <row r="1010" spans="1:5" x14ac:dyDescent="0.2">
      <c r="A1010" s="28">
        <v>1009</v>
      </c>
      <c r="B1010" s="28" t="e">
        <f>interpola(#REF!,CURVA!$B$6:$B$20,CURVA!$G$6:$G$20)</f>
        <v>#VALUE!</v>
      </c>
      <c r="C1010" s="29" t="e">
        <f t="shared" si="15"/>
        <v>#VALUE!</v>
      </c>
      <c r="E1010" t="e">
        <f>cubic_spline(CURVA!$B$6:$B$20,CURVA!$G$6:$G$20,#REF!)</f>
        <v>#VALUE!</v>
      </c>
    </row>
    <row r="1011" spans="1:5" x14ac:dyDescent="0.2">
      <c r="A1011" s="28">
        <v>1010</v>
      </c>
      <c r="B1011" s="28" t="e">
        <f>interpola(#REF!,CURVA!$B$6:$B$20,CURVA!$G$6:$G$20)</f>
        <v>#VALUE!</v>
      </c>
      <c r="C1011" s="29" t="e">
        <f t="shared" si="15"/>
        <v>#VALUE!</v>
      </c>
      <c r="E1011" t="e">
        <f>cubic_spline(CURVA!$B$6:$B$20,CURVA!$G$6:$G$20,#REF!)</f>
        <v>#VALUE!</v>
      </c>
    </row>
    <row r="1012" spans="1:5" x14ac:dyDescent="0.2">
      <c r="A1012" s="28">
        <v>1011</v>
      </c>
      <c r="B1012" s="28" t="e">
        <f>interpola(#REF!,CURVA!$B$6:$B$20,CURVA!$G$6:$G$20)</f>
        <v>#VALUE!</v>
      </c>
      <c r="C1012" s="29" t="e">
        <f t="shared" si="15"/>
        <v>#VALUE!</v>
      </c>
      <c r="E1012" t="e">
        <f>cubic_spline(CURVA!$B$6:$B$20,CURVA!$G$6:$G$20,#REF!)</f>
        <v>#VALUE!</v>
      </c>
    </row>
    <row r="1013" spans="1:5" x14ac:dyDescent="0.2">
      <c r="A1013" s="28">
        <v>1012</v>
      </c>
      <c r="B1013" s="28" t="e">
        <f>interpola(#REF!,CURVA!$B$6:$B$20,CURVA!$G$6:$G$20)</f>
        <v>#VALUE!</v>
      </c>
      <c r="C1013" s="29" t="e">
        <f t="shared" si="15"/>
        <v>#VALUE!</v>
      </c>
      <c r="E1013" t="e">
        <f>cubic_spline(CURVA!$B$6:$B$20,CURVA!$G$6:$G$20,#REF!)</f>
        <v>#VALUE!</v>
      </c>
    </row>
    <row r="1014" spans="1:5" x14ac:dyDescent="0.2">
      <c r="A1014" s="28">
        <v>1013</v>
      </c>
      <c r="B1014" s="28" t="e">
        <f>interpola(#REF!,CURVA!$B$6:$B$20,CURVA!$G$6:$G$20)</f>
        <v>#VALUE!</v>
      </c>
      <c r="C1014" s="29" t="e">
        <f t="shared" si="15"/>
        <v>#VALUE!</v>
      </c>
      <c r="E1014" t="e">
        <f>cubic_spline(CURVA!$B$6:$B$20,CURVA!$G$6:$G$20,#REF!)</f>
        <v>#VALUE!</v>
      </c>
    </row>
    <row r="1015" spans="1:5" x14ac:dyDescent="0.2">
      <c r="A1015" s="28">
        <v>1014</v>
      </c>
      <c r="B1015" s="28" t="e">
        <f>interpola(#REF!,CURVA!$B$6:$B$20,CURVA!$G$6:$G$20)</f>
        <v>#VALUE!</v>
      </c>
      <c r="C1015" s="29" t="e">
        <f t="shared" si="15"/>
        <v>#VALUE!</v>
      </c>
      <c r="E1015" t="e">
        <f>cubic_spline(CURVA!$B$6:$B$20,CURVA!$G$6:$G$20,#REF!)</f>
        <v>#VALUE!</v>
      </c>
    </row>
    <row r="1016" spans="1:5" x14ac:dyDescent="0.2">
      <c r="A1016" s="28">
        <v>1015</v>
      </c>
      <c r="B1016" s="28" t="e">
        <f>interpola(#REF!,CURVA!$B$6:$B$20,CURVA!$G$6:$G$20)</f>
        <v>#VALUE!</v>
      </c>
      <c r="C1016" s="29" t="e">
        <f t="shared" si="15"/>
        <v>#VALUE!</v>
      </c>
      <c r="E1016" t="e">
        <f>cubic_spline(CURVA!$B$6:$B$20,CURVA!$G$6:$G$20,#REF!)</f>
        <v>#VALUE!</v>
      </c>
    </row>
    <row r="1017" spans="1:5" x14ac:dyDescent="0.2">
      <c r="A1017" s="28">
        <v>1016</v>
      </c>
      <c r="B1017" s="28" t="e">
        <f>interpola(#REF!,CURVA!$B$6:$B$20,CURVA!$G$6:$G$20)</f>
        <v>#VALUE!</v>
      </c>
      <c r="C1017" s="29" t="e">
        <f t="shared" si="15"/>
        <v>#VALUE!</v>
      </c>
      <c r="E1017" t="e">
        <f>cubic_spline(CURVA!$B$6:$B$20,CURVA!$G$6:$G$20,#REF!)</f>
        <v>#VALUE!</v>
      </c>
    </row>
    <row r="1018" spans="1:5" x14ac:dyDescent="0.2">
      <c r="A1018" s="28">
        <v>1017</v>
      </c>
      <c r="B1018" s="28" t="e">
        <f>interpola(#REF!,CURVA!$B$6:$B$20,CURVA!$G$6:$G$20)</f>
        <v>#VALUE!</v>
      </c>
      <c r="C1018" s="29" t="e">
        <f t="shared" si="15"/>
        <v>#VALUE!</v>
      </c>
      <c r="E1018" t="e">
        <f>cubic_spline(CURVA!$B$6:$B$20,CURVA!$G$6:$G$20,#REF!)</f>
        <v>#VALUE!</v>
      </c>
    </row>
    <row r="1019" spans="1:5" x14ac:dyDescent="0.2">
      <c r="A1019" s="28">
        <v>1018</v>
      </c>
      <c r="B1019" s="28" t="e">
        <f>interpola(#REF!,CURVA!$B$6:$B$20,CURVA!$G$6:$G$20)</f>
        <v>#VALUE!</v>
      </c>
      <c r="C1019" s="29" t="e">
        <f t="shared" si="15"/>
        <v>#VALUE!</v>
      </c>
      <c r="E1019" t="e">
        <f>cubic_spline(CURVA!$B$6:$B$20,CURVA!$G$6:$G$20,#REF!)</f>
        <v>#VALUE!</v>
      </c>
    </row>
    <row r="1020" spans="1:5" x14ac:dyDescent="0.2">
      <c r="A1020" s="28">
        <v>1019</v>
      </c>
      <c r="B1020" s="28" t="e">
        <f>interpola(#REF!,CURVA!$B$6:$B$20,CURVA!$G$6:$G$20)</f>
        <v>#VALUE!</v>
      </c>
      <c r="C1020" s="29" t="e">
        <f t="shared" si="15"/>
        <v>#VALUE!</v>
      </c>
      <c r="E1020" t="e">
        <f>cubic_spline(CURVA!$B$6:$B$20,CURVA!$G$6:$G$20,#REF!)</f>
        <v>#VALUE!</v>
      </c>
    </row>
    <row r="1021" spans="1:5" x14ac:dyDescent="0.2">
      <c r="A1021" s="28">
        <v>1020</v>
      </c>
      <c r="B1021" s="28" t="e">
        <f>interpola(#REF!,CURVA!$B$6:$B$20,CURVA!$G$6:$G$20)</f>
        <v>#VALUE!</v>
      </c>
      <c r="C1021" s="29" t="e">
        <f t="shared" si="15"/>
        <v>#VALUE!</v>
      </c>
      <c r="E1021" t="e">
        <f>cubic_spline(CURVA!$B$6:$B$20,CURVA!$G$6:$G$20,#REF!)</f>
        <v>#VALUE!</v>
      </c>
    </row>
    <row r="1022" spans="1:5" x14ac:dyDescent="0.2">
      <c r="A1022" s="28">
        <v>1021</v>
      </c>
      <c r="B1022" s="28" t="e">
        <f>interpola(#REF!,CURVA!$B$6:$B$20,CURVA!$G$6:$G$20)</f>
        <v>#VALUE!</v>
      </c>
      <c r="C1022" s="29" t="e">
        <f t="shared" si="15"/>
        <v>#VALUE!</v>
      </c>
      <c r="E1022" t="e">
        <f>cubic_spline(CURVA!$B$6:$B$20,CURVA!$G$6:$G$20,#REF!)</f>
        <v>#VALUE!</v>
      </c>
    </row>
    <row r="1023" spans="1:5" x14ac:dyDescent="0.2">
      <c r="A1023" s="28">
        <v>1022</v>
      </c>
      <c r="B1023" s="28" t="e">
        <f>interpola(#REF!,CURVA!$B$6:$B$20,CURVA!$G$6:$G$20)</f>
        <v>#VALUE!</v>
      </c>
      <c r="C1023" s="29" t="e">
        <f t="shared" si="15"/>
        <v>#VALUE!</v>
      </c>
      <c r="E1023" t="e">
        <f>cubic_spline(CURVA!$B$6:$B$20,CURVA!$G$6:$G$20,#REF!)</f>
        <v>#VALUE!</v>
      </c>
    </row>
    <row r="1024" spans="1:5" x14ac:dyDescent="0.2">
      <c r="A1024" s="28">
        <v>1023</v>
      </c>
      <c r="B1024" s="28" t="e">
        <f>interpola(#REF!,CURVA!$B$6:$B$20,CURVA!$G$6:$G$20)</f>
        <v>#VALUE!</v>
      </c>
      <c r="C1024" s="29" t="e">
        <f t="shared" si="15"/>
        <v>#VALUE!</v>
      </c>
      <c r="E1024" t="e">
        <f>cubic_spline(CURVA!$B$6:$B$20,CURVA!$G$6:$G$20,#REF!)</f>
        <v>#VALUE!</v>
      </c>
    </row>
    <row r="1025" spans="1:5" x14ac:dyDescent="0.2">
      <c r="A1025" s="28">
        <v>1024</v>
      </c>
      <c r="B1025" s="28" t="e">
        <f>interpola(#REF!,CURVA!$B$6:$B$20,CURVA!$G$6:$G$20)</f>
        <v>#VALUE!</v>
      </c>
      <c r="C1025" s="29" t="e">
        <f t="shared" si="15"/>
        <v>#VALUE!</v>
      </c>
      <c r="E1025" t="e">
        <f>cubic_spline(CURVA!$B$6:$B$20,CURVA!$G$6:$G$20,#REF!)</f>
        <v>#VALUE!</v>
      </c>
    </row>
    <row r="1026" spans="1:5" x14ac:dyDescent="0.2">
      <c r="A1026" s="28">
        <v>1025</v>
      </c>
      <c r="B1026" s="28" t="e">
        <f>interpola(#REF!,CURVA!$B$6:$B$20,CURVA!$G$6:$G$20)</f>
        <v>#VALUE!</v>
      </c>
      <c r="C1026" s="29" t="e">
        <f t="shared" ref="C1026:C1089" si="16">(EXP(B1026*A1026/360)-1)*360/A1026</f>
        <v>#VALUE!</v>
      </c>
      <c r="E1026" t="e">
        <f>cubic_spline(CURVA!$B$6:$B$20,CURVA!$G$6:$G$20,#REF!)</f>
        <v>#VALUE!</v>
      </c>
    </row>
    <row r="1027" spans="1:5" x14ac:dyDescent="0.2">
      <c r="A1027" s="28">
        <v>1026</v>
      </c>
      <c r="B1027" s="28" t="e">
        <f>interpola(#REF!,CURVA!$B$6:$B$20,CURVA!$G$6:$G$20)</f>
        <v>#VALUE!</v>
      </c>
      <c r="C1027" s="29" t="e">
        <f t="shared" si="16"/>
        <v>#VALUE!</v>
      </c>
      <c r="E1027" t="e">
        <f>cubic_spline(CURVA!$B$6:$B$20,CURVA!$G$6:$G$20,#REF!)</f>
        <v>#VALUE!</v>
      </c>
    </row>
    <row r="1028" spans="1:5" x14ac:dyDescent="0.2">
      <c r="A1028" s="28">
        <v>1027</v>
      </c>
      <c r="B1028" s="28" t="e">
        <f>interpola(#REF!,CURVA!$B$6:$B$20,CURVA!$G$6:$G$20)</f>
        <v>#VALUE!</v>
      </c>
      <c r="C1028" s="29" t="e">
        <f t="shared" si="16"/>
        <v>#VALUE!</v>
      </c>
      <c r="E1028" t="e">
        <f>cubic_spline(CURVA!$B$6:$B$20,CURVA!$G$6:$G$20,#REF!)</f>
        <v>#VALUE!</v>
      </c>
    </row>
    <row r="1029" spans="1:5" x14ac:dyDescent="0.2">
      <c r="A1029" s="28">
        <v>1028</v>
      </c>
      <c r="B1029" s="28" t="e">
        <f>interpola(#REF!,CURVA!$B$6:$B$20,CURVA!$G$6:$G$20)</f>
        <v>#VALUE!</v>
      </c>
      <c r="C1029" s="29" t="e">
        <f t="shared" si="16"/>
        <v>#VALUE!</v>
      </c>
      <c r="E1029" t="e">
        <f>cubic_spline(CURVA!$B$6:$B$20,CURVA!$G$6:$G$20,#REF!)</f>
        <v>#VALUE!</v>
      </c>
    </row>
    <row r="1030" spans="1:5" x14ac:dyDescent="0.2">
      <c r="A1030" s="28">
        <v>1029</v>
      </c>
      <c r="B1030" s="28" t="e">
        <f>interpola(#REF!,CURVA!$B$6:$B$20,CURVA!$G$6:$G$20)</f>
        <v>#VALUE!</v>
      </c>
      <c r="C1030" s="29" t="e">
        <f t="shared" si="16"/>
        <v>#VALUE!</v>
      </c>
      <c r="E1030" t="e">
        <f>cubic_spline(CURVA!$B$6:$B$20,CURVA!$G$6:$G$20,#REF!)</f>
        <v>#VALUE!</v>
      </c>
    </row>
    <row r="1031" spans="1:5" x14ac:dyDescent="0.2">
      <c r="A1031" s="28">
        <v>1030</v>
      </c>
      <c r="B1031" s="28" t="e">
        <f>interpola(#REF!,CURVA!$B$6:$B$20,CURVA!$G$6:$G$20)</f>
        <v>#VALUE!</v>
      </c>
      <c r="C1031" s="29" t="e">
        <f t="shared" si="16"/>
        <v>#VALUE!</v>
      </c>
      <c r="E1031" t="e">
        <f>cubic_spline(CURVA!$B$6:$B$20,CURVA!$G$6:$G$20,#REF!)</f>
        <v>#VALUE!</v>
      </c>
    </row>
    <row r="1032" spans="1:5" x14ac:dyDescent="0.2">
      <c r="A1032" s="28">
        <v>1031</v>
      </c>
      <c r="B1032" s="28" t="e">
        <f>interpola(#REF!,CURVA!$B$6:$B$20,CURVA!$G$6:$G$20)</f>
        <v>#VALUE!</v>
      </c>
      <c r="C1032" s="29" t="e">
        <f t="shared" si="16"/>
        <v>#VALUE!</v>
      </c>
      <c r="E1032" t="e">
        <f>cubic_spline(CURVA!$B$6:$B$20,CURVA!$G$6:$G$20,#REF!)</f>
        <v>#VALUE!</v>
      </c>
    </row>
    <row r="1033" spans="1:5" x14ac:dyDescent="0.2">
      <c r="A1033" s="28">
        <v>1032</v>
      </c>
      <c r="B1033" s="28" t="e">
        <f>interpola(#REF!,CURVA!$B$6:$B$20,CURVA!$G$6:$G$20)</f>
        <v>#VALUE!</v>
      </c>
      <c r="C1033" s="29" t="e">
        <f t="shared" si="16"/>
        <v>#VALUE!</v>
      </c>
      <c r="E1033" t="e">
        <f>cubic_spline(CURVA!$B$6:$B$20,CURVA!$G$6:$G$20,#REF!)</f>
        <v>#VALUE!</v>
      </c>
    </row>
    <row r="1034" spans="1:5" x14ac:dyDescent="0.2">
      <c r="A1034" s="28">
        <v>1033</v>
      </c>
      <c r="B1034" s="28" t="e">
        <f>interpola(#REF!,CURVA!$B$6:$B$20,CURVA!$G$6:$G$20)</f>
        <v>#VALUE!</v>
      </c>
      <c r="C1034" s="29" t="e">
        <f t="shared" si="16"/>
        <v>#VALUE!</v>
      </c>
      <c r="E1034" t="e">
        <f>cubic_spline(CURVA!$B$6:$B$20,CURVA!$G$6:$G$20,#REF!)</f>
        <v>#VALUE!</v>
      </c>
    </row>
    <row r="1035" spans="1:5" x14ac:dyDescent="0.2">
      <c r="A1035" s="28">
        <v>1034</v>
      </c>
      <c r="B1035" s="28" t="e">
        <f>interpola(#REF!,CURVA!$B$6:$B$20,CURVA!$G$6:$G$20)</f>
        <v>#VALUE!</v>
      </c>
      <c r="C1035" s="29" t="e">
        <f t="shared" si="16"/>
        <v>#VALUE!</v>
      </c>
      <c r="E1035" t="e">
        <f>cubic_spline(CURVA!$B$6:$B$20,CURVA!$G$6:$G$20,#REF!)</f>
        <v>#VALUE!</v>
      </c>
    </row>
    <row r="1036" spans="1:5" x14ac:dyDescent="0.2">
      <c r="A1036" s="28">
        <v>1035</v>
      </c>
      <c r="B1036" s="28" t="e">
        <f>interpola(#REF!,CURVA!$B$6:$B$20,CURVA!$G$6:$G$20)</f>
        <v>#VALUE!</v>
      </c>
      <c r="C1036" s="29" t="e">
        <f t="shared" si="16"/>
        <v>#VALUE!</v>
      </c>
      <c r="E1036" t="e">
        <f>cubic_spline(CURVA!$B$6:$B$20,CURVA!$G$6:$G$20,#REF!)</f>
        <v>#VALUE!</v>
      </c>
    </row>
    <row r="1037" spans="1:5" x14ac:dyDescent="0.2">
      <c r="A1037" s="28">
        <v>1036</v>
      </c>
      <c r="B1037" s="28" t="e">
        <f>interpola(#REF!,CURVA!$B$6:$B$20,CURVA!$G$6:$G$20)</f>
        <v>#VALUE!</v>
      </c>
      <c r="C1037" s="29" t="e">
        <f t="shared" si="16"/>
        <v>#VALUE!</v>
      </c>
      <c r="E1037" t="e">
        <f>cubic_spline(CURVA!$B$6:$B$20,CURVA!$G$6:$G$20,#REF!)</f>
        <v>#VALUE!</v>
      </c>
    </row>
    <row r="1038" spans="1:5" x14ac:dyDescent="0.2">
      <c r="A1038" s="28">
        <v>1037</v>
      </c>
      <c r="B1038" s="28" t="e">
        <f>interpola(#REF!,CURVA!$B$6:$B$20,CURVA!$G$6:$G$20)</f>
        <v>#VALUE!</v>
      </c>
      <c r="C1038" s="29" t="e">
        <f t="shared" si="16"/>
        <v>#VALUE!</v>
      </c>
      <c r="E1038" t="e">
        <f>cubic_spline(CURVA!$B$6:$B$20,CURVA!$G$6:$G$20,#REF!)</f>
        <v>#VALUE!</v>
      </c>
    </row>
    <row r="1039" spans="1:5" x14ac:dyDescent="0.2">
      <c r="A1039" s="28">
        <v>1038</v>
      </c>
      <c r="B1039" s="28" t="e">
        <f>interpola(#REF!,CURVA!$B$6:$B$20,CURVA!$G$6:$G$20)</f>
        <v>#VALUE!</v>
      </c>
      <c r="C1039" s="29" t="e">
        <f t="shared" si="16"/>
        <v>#VALUE!</v>
      </c>
      <c r="E1039" t="e">
        <f>cubic_spline(CURVA!$B$6:$B$20,CURVA!$G$6:$G$20,#REF!)</f>
        <v>#VALUE!</v>
      </c>
    </row>
    <row r="1040" spans="1:5" x14ac:dyDescent="0.2">
      <c r="A1040" s="28">
        <v>1039</v>
      </c>
      <c r="B1040" s="28" t="e">
        <f>interpola(#REF!,CURVA!$B$6:$B$20,CURVA!$G$6:$G$20)</f>
        <v>#VALUE!</v>
      </c>
      <c r="C1040" s="29" t="e">
        <f t="shared" si="16"/>
        <v>#VALUE!</v>
      </c>
      <c r="E1040" t="e">
        <f>cubic_spline(CURVA!$B$6:$B$20,CURVA!$G$6:$G$20,#REF!)</f>
        <v>#VALUE!</v>
      </c>
    </row>
    <row r="1041" spans="1:5" x14ac:dyDescent="0.2">
      <c r="A1041" s="28">
        <v>1040</v>
      </c>
      <c r="B1041" s="28" t="e">
        <f>interpola(#REF!,CURVA!$B$6:$B$20,CURVA!$G$6:$G$20)</f>
        <v>#VALUE!</v>
      </c>
      <c r="C1041" s="29" t="e">
        <f t="shared" si="16"/>
        <v>#VALUE!</v>
      </c>
      <c r="E1041" t="e">
        <f>cubic_spline(CURVA!$B$6:$B$20,CURVA!$G$6:$G$20,#REF!)</f>
        <v>#VALUE!</v>
      </c>
    </row>
    <row r="1042" spans="1:5" x14ac:dyDescent="0.2">
      <c r="A1042" s="28">
        <v>1041</v>
      </c>
      <c r="B1042" s="28" t="e">
        <f>interpola(#REF!,CURVA!$B$6:$B$20,CURVA!$G$6:$G$20)</f>
        <v>#VALUE!</v>
      </c>
      <c r="C1042" s="29" t="e">
        <f t="shared" si="16"/>
        <v>#VALUE!</v>
      </c>
      <c r="E1042" t="e">
        <f>cubic_spline(CURVA!$B$6:$B$20,CURVA!$G$6:$G$20,#REF!)</f>
        <v>#VALUE!</v>
      </c>
    </row>
    <row r="1043" spans="1:5" x14ac:dyDescent="0.2">
      <c r="A1043" s="28">
        <v>1042</v>
      </c>
      <c r="B1043" s="28" t="e">
        <f>interpola(#REF!,CURVA!$B$6:$B$20,CURVA!$G$6:$G$20)</f>
        <v>#VALUE!</v>
      </c>
      <c r="C1043" s="29" t="e">
        <f t="shared" si="16"/>
        <v>#VALUE!</v>
      </c>
      <c r="E1043" t="e">
        <f>cubic_spline(CURVA!$B$6:$B$20,CURVA!$G$6:$G$20,#REF!)</f>
        <v>#VALUE!</v>
      </c>
    </row>
    <row r="1044" spans="1:5" x14ac:dyDescent="0.2">
      <c r="A1044" s="28">
        <v>1043</v>
      </c>
      <c r="B1044" s="28" t="e">
        <f>interpola(#REF!,CURVA!$B$6:$B$20,CURVA!$G$6:$G$20)</f>
        <v>#VALUE!</v>
      </c>
      <c r="C1044" s="29" t="e">
        <f t="shared" si="16"/>
        <v>#VALUE!</v>
      </c>
      <c r="E1044" t="e">
        <f>cubic_spline(CURVA!$B$6:$B$20,CURVA!$G$6:$G$20,#REF!)</f>
        <v>#VALUE!</v>
      </c>
    </row>
    <row r="1045" spans="1:5" x14ac:dyDescent="0.2">
      <c r="A1045" s="28">
        <v>1044</v>
      </c>
      <c r="B1045" s="28" t="e">
        <f>interpola(#REF!,CURVA!$B$6:$B$20,CURVA!$G$6:$G$20)</f>
        <v>#VALUE!</v>
      </c>
      <c r="C1045" s="29" t="e">
        <f t="shared" si="16"/>
        <v>#VALUE!</v>
      </c>
      <c r="E1045" t="e">
        <f>cubic_spline(CURVA!$B$6:$B$20,CURVA!$G$6:$G$20,#REF!)</f>
        <v>#VALUE!</v>
      </c>
    </row>
    <row r="1046" spans="1:5" x14ac:dyDescent="0.2">
      <c r="A1046" s="28">
        <v>1045</v>
      </c>
      <c r="B1046" s="28" t="e">
        <f>interpola(#REF!,CURVA!$B$6:$B$20,CURVA!$G$6:$G$20)</f>
        <v>#VALUE!</v>
      </c>
      <c r="C1046" s="29" t="e">
        <f t="shared" si="16"/>
        <v>#VALUE!</v>
      </c>
      <c r="E1046" t="e">
        <f>cubic_spline(CURVA!$B$6:$B$20,CURVA!$G$6:$G$20,#REF!)</f>
        <v>#VALUE!</v>
      </c>
    </row>
    <row r="1047" spans="1:5" x14ac:dyDescent="0.2">
      <c r="A1047" s="28">
        <v>1046</v>
      </c>
      <c r="B1047" s="28" t="e">
        <f>interpola(#REF!,CURVA!$B$6:$B$20,CURVA!$G$6:$G$20)</f>
        <v>#VALUE!</v>
      </c>
      <c r="C1047" s="29" t="e">
        <f t="shared" si="16"/>
        <v>#VALUE!</v>
      </c>
      <c r="E1047" t="e">
        <f>cubic_spline(CURVA!$B$6:$B$20,CURVA!$G$6:$G$20,#REF!)</f>
        <v>#VALUE!</v>
      </c>
    </row>
    <row r="1048" spans="1:5" x14ac:dyDescent="0.2">
      <c r="A1048" s="28">
        <v>1047</v>
      </c>
      <c r="B1048" s="28" t="e">
        <f>interpola(#REF!,CURVA!$B$6:$B$20,CURVA!$G$6:$G$20)</f>
        <v>#VALUE!</v>
      </c>
      <c r="C1048" s="29" t="e">
        <f t="shared" si="16"/>
        <v>#VALUE!</v>
      </c>
      <c r="E1048" t="e">
        <f>cubic_spline(CURVA!$B$6:$B$20,CURVA!$G$6:$G$20,#REF!)</f>
        <v>#VALUE!</v>
      </c>
    </row>
    <row r="1049" spans="1:5" x14ac:dyDescent="0.2">
      <c r="A1049" s="28">
        <v>1048</v>
      </c>
      <c r="B1049" s="28" t="e">
        <f>interpola(#REF!,CURVA!$B$6:$B$20,CURVA!$G$6:$G$20)</f>
        <v>#VALUE!</v>
      </c>
      <c r="C1049" s="29" t="e">
        <f t="shared" si="16"/>
        <v>#VALUE!</v>
      </c>
      <c r="E1049" t="e">
        <f>cubic_spline(CURVA!$B$6:$B$20,CURVA!$G$6:$G$20,#REF!)</f>
        <v>#VALUE!</v>
      </c>
    </row>
    <row r="1050" spans="1:5" x14ac:dyDescent="0.2">
      <c r="A1050" s="28">
        <v>1049</v>
      </c>
      <c r="B1050" s="28" t="e">
        <f>interpola(#REF!,CURVA!$B$6:$B$20,CURVA!$G$6:$G$20)</f>
        <v>#VALUE!</v>
      </c>
      <c r="C1050" s="29" t="e">
        <f t="shared" si="16"/>
        <v>#VALUE!</v>
      </c>
      <c r="E1050" t="e">
        <f>cubic_spline(CURVA!$B$6:$B$20,CURVA!$G$6:$G$20,#REF!)</f>
        <v>#VALUE!</v>
      </c>
    </row>
    <row r="1051" spans="1:5" x14ac:dyDescent="0.2">
      <c r="A1051" s="28">
        <v>1050</v>
      </c>
      <c r="B1051" s="28" t="e">
        <f>interpola(#REF!,CURVA!$B$6:$B$20,CURVA!$G$6:$G$20)</f>
        <v>#VALUE!</v>
      </c>
      <c r="C1051" s="29" t="e">
        <f t="shared" si="16"/>
        <v>#VALUE!</v>
      </c>
      <c r="E1051" t="e">
        <f>cubic_spline(CURVA!$B$6:$B$20,CURVA!$G$6:$G$20,#REF!)</f>
        <v>#VALUE!</v>
      </c>
    </row>
    <row r="1052" spans="1:5" x14ac:dyDescent="0.2">
      <c r="A1052" s="28">
        <v>1051</v>
      </c>
      <c r="B1052" s="28" t="e">
        <f>interpola(#REF!,CURVA!$B$6:$B$20,CURVA!$G$6:$G$20)</f>
        <v>#VALUE!</v>
      </c>
      <c r="C1052" s="29" t="e">
        <f t="shared" si="16"/>
        <v>#VALUE!</v>
      </c>
      <c r="E1052" t="e">
        <f>cubic_spline(CURVA!$B$6:$B$20,CURVA!$G$6:$G$20,#REF!)</f>
        <v>#VALUE!</v>
      </c>
    </row>
    <row r="1053" spans="1:5" x14ac:dyDescent="0.2">
      <c r="A1053" s="28">
        <v>1052</v>
      </c>
      <c r="B1053" s="28" t="e">
        <f>interpola(#REF!,CURVA!$B$6:$B$20,CURVA!$G$6:$G$20)</f>
        <v>#VALUE!</v>
      </c>
      <c r="C1053" s="29" t="e">
        <f t="shared" si="16"/>
        <v>#VALUE!</v>
      </c>
      <c r="E1053" t="e">
        <f>cubic_spline(CURVA!$B$6:$B$20,CURVA!$G$6:$G$20,#REF!)</f>
        <v>#VALUE!</v>
      </c>
    </row>
    <row r="1054" spans="1:5" x14ac:dyDescent="0.2">
      <c r="A1054" s="28">
        <v>1053</v>
      </c>
      <c r="B1054" s="28" t="e">
        <f>interpola(#REF!,CURVA!$B$6:$B$20,CURVA!$G$6:$G$20)</f>
        <v>#VALUE!</v>
      </c>
      <c r="C1054" s="29" t="e">
        <f t="shared" si="16"/>
        <v>#VALUE!</v>
      </c>
      <c r="E1054" t="e">
        <f>cubic_spline(CURVA!$B$6:$B$20,CURVA!$G$6:$G$20,#REF!)</f>
        <v>#VALUE!</v>
      </c>
    </row>
    <row r="1055" spans="1:5" x14ac:dyDescent="0.2">
      <c r="A1055" s="28">
        <v>1054</v>
      </c>
      <c r="B1055" s="28" t="e">
        <f>interpola(#REF!,CURVA!$B$6:$B$20,CURVA!$G$6:$G$20)</f>
        <v>#VALUE!</v>
      </c>
      <c r="C1055" s="29" t="e">
        <f t="shared" si="16"/>
        <v>#VALUE!</v>
      </c>
      <c r="E1055" t="e">
        <f>cubic_spline(CURVA!$B$6:$B$20,CURVA!$G$6:$G$20,#REF!)</f>
        <v>#VALUE!</v>
      </c>
    </row>
    <row r="1056" spans="1:5" x14ac:dyDescent="0.2">
      <c r="A1056" s="28">
        <v>1055</v>
      </c>
      <c r="B1056" s="28" t="e">
        <f>interpola(#REF!,CURVA!$B$6:$B$20,CURVA!$G$6:$G$20)</f>
        <v>#VALUE!</v>
      </c>
      <c r="C1056" s="29" t="e">
        <f t="shared" si="16"/>
        <v>#VALUE!</v>
      </c>
      <c r="E1056" t="e">
        <f>cubic_spline(CURVA!$B$6:$B$20,CURVA!$G$6:$G$20,#REF!)</f>
        <v>#VALUE!</v>
      </c>
    </row>
    <row r="1057" spans="1:5" x14ac:dyDescent="0.2">
      <c r="A1057" s="28">
        <v>1056</v>
      </c>
      <c r="B1057" s="28" t="e">
        <f>interpola(#REF!,CURVA!$B$6:$B$20,CURVA!$G$6:$G$20)</f>
        <v>#VALUE!</v>
      </c>
      <c r="C1057" s="29" t="e">
        <f t="shared" si="16"/>
        <v>#VALUE!</v>
      </c>
      <c r="E1057" t="e">
        <f>cubic_spline(CURVA!$B$6:$B$20,CURVA!$G$6:$G$20,#REF!)</f>
        <v>#VALUE!</v>
      </c>
    </row>
    <row r="1058" spans="1:5" x14ac:dyDescent="0.2">
      <c r="A1058" s="28">
        <v>1057</v>
      </c>
      <c r="B1058" s="28" t="e">
        <f>interpola(#REF!,CURVA!$B$6:$B$20,CURVA!$G$6:$G$20)</f>
        <v>#VALUE!</v>
      </c>
      <c r="C1058" s="29" t="e">
        <f t="shared" si="16"/>
        <v>#VALUE!</v>
      </c>
      <c r="E1058" t="e">
        <f>cubic_spline(CURVA!$B$6:$B$20,CURVA!$G$6:$G$20,#REF!)</f>
        <v>#VALUE!</v>
      </c>
    </row>
    <row r="1059" spans="1:5" x14ac:dyDescent="0.2">
      <c r="A1059" s="28">
        <v>1058</v>
      </c>
      <c r="B1059" s="28" t="e">
        <f>interpola(#REF!,CURVA!$B$6:$B$20,CURVA!$G$6:$G$20)</f>
        <v>#VALUE!</v>
      </c>
      <c r="C1059" s="29" t="e">
        <f t="shared" si="16"/>
        <v>#VALUE!</v>
      </c>
      <c r="E1059" t="e">
        <f>cubic_spline(CURVA!$B$6:$B$20,CURVA!$G$6:$G$20,#REF!)</f>
        <v>#VALUE!</v>
      </c>
    </row>
    <row r="1060" spans="1:5" x14ac:dyDescent="0.2">
      <c r="A1060" s="28">
        <v>1059</v>
      </c>
      <c r="B1060" s="28" t="e">
        <f>interpola(#REF!,CURVA!$B$6:$B$20,CURVA!$G$6:$G$20)</f>
        <v>#VALUE!</v>
      </c>
      <c r="C1060" s="29" t="e">
        <f t="shared" si="16"/>
        <v>#VALUE!</v>
      </c>
      <c r="E1060" t="e">
        <f>cubic_spline(CURVA!$B$6:$B$20,CURVA!$G$6:$G$20,#REF!)</f>
        <v>#VALUE!</v>
      </c>
    </row>
    <row r="1061" spans="1:5" x14ac:dyDescent="0.2">
      <c r="A1061" s="28">
        <v>1060</v>
      </c>
      <c r="B1061" s="28" t="e">
        <f>interpola(#REF!,CURVA!$B$6:$B$20,CURVA!$G$6:$G$20)</f>
        <v>#VALUE!</v>
      </c>
      <c r="C1061" s="29" t="e">
        <f t="shared" si="16"/>
        <v>#VALUE!</v>
      </c>
      <c r="E1061" t="e">
        <f>cubic_spline(CURVA!$B$6:$B$20,CURVA!$G$6:$G$20,#REF!)</f>
        <v>#VALUE!</v>
      </c>
    </row>
    <row r="1062" spans="1:5" x14ac:dyDescent="0.2">
      <c r="A1062" s="28">
        <v>1061</v>
      </c>
      <c r="B1062" s="28" t="e">
        <f>interpola(#REF!,CURVA!$B$6:$B$20,CURVA!$G$6:$G$20)</f>
        <v>#VALUE!</v>
      </c>
      <c r="C1062" s="29" t="e">
        <f t="shared" si="16"/>
        <v>#VALUE!</v>
      </c>
      <c r="E1062" t="e">
        <f>cubic_spline(CURVA!$B$6:$B$20,CURVA!$G$6:$G$20,#REF!)</f>
        <v>#VALUE!</v>
      </c>
    </row>
    <row r="1063" spans="1:5" x14ac:dyDescent="0.2">
      <c r="A1063" s="28">
        <v>1062</v>
      </c>
      <c r="B1063" s="28" t="e">
        <f>interpola(#REF!,CURVA!$B$6:$B$20,CURVA!$G$6:$G$20)</f>
        <v>#VALUE!</v>
      </c>
      <c r="C1063" s="29" t="e">
        <f t="shared" si="16"/>
        <v>#VALUE!</v>
      </c>
      <c r="E1063" t="e">
        <f>cubic_spline(CURVA!$B$6:$B$20,CURVA!$G$6:$G$20,#REF!)</f>
        <v>#VALUE!</v>
      </c>
    </row>
    <row r="1064" spans="1:5" x14ac:dyDescent="0.2">
      <c r="A1064" s="28">
        <v>1063</v>
      </c>
      <c r="B1064" s="28" t="e">
        <f>interpola(#REF!,CURVA!$B$6:$B$20,CURVA!$G$6:$G$20)</f>
        <v>#VALUE!</v>
      </c>
      <c r="C1064" s="29" t="e">
        <f t="shared" si="16"/>
        <v>#VALUE!</v>
      </c>
      <c r="E1064" t="e">
        <f>cubic_spline(CURVA!$B$6:$B$20,CURVA!$G$6:$G$20,#REF!)</f>
        <v>#VALUE!</v>
      </c>
    </row>
    <row r="1065" spans="1:5" x14ac:dyDescent="0.2">
      <c r="A1065" s="28">
        <v>1064</v>
      </c>
      <c r="B1065" s="28" t="e">
        <f>interpola(#REF!,CURVA!$B$6:$B$20,CURVA!$G$6:$G$20)</f>
        <v>#VALUE!</v>
      </c>
      <c r="C1065" s="29" t="e">
        <f t="shared" si="16"/>
        <v>#VALUE!</v>
      </c>
      <c r="E1065" t="e">
        <f>cubic_spline(CURVA!$B$6:$B$20,CURVA!$G$6:$G$20,#REF!)</f>
        <v>#VALUE!</v>
      </c>
    </row>
    <row r="1066" spans="1:5" x14ac:dyDescent="0.2">
      <c r="A1066" s="28">
        <v>1065</v>
      </c>
      <c r="B1066" s="28" t="e">
        <f>interpola(#REF!,CURVA!$B$6:$B$20,CURVA!$G$6:$G$20)</f>
        <v>#VALUE!</v>
      </c>
      <c r="C1066" s="29" t="e">
        <f t="shared" si="16"/>
        <v>#VALUE!</v>
      </c>
      <c r="E1066" t="e">
        <f>cubic_spline(CURVA!$B$6:$B$20,CURVA!$G$6:$G$20,#REF!)</f>
        <v>#VALUE!</v>
      </c>
    </row>
    <row r="1067" spans="1:5" x14ac:dyDescent="0.2">
      <c r="A1067" s="28">
        <v>1066</v>
      </c>
      <c r="B1067" s="28" t="e">
        <f>interpola(#REF!,CURVA!$B$6:$B$20,CURVA!$G$6:$G$20)</f>
        <v>#VALUE!</v>
      </c>
      <c r="C1067" s="29" t="e">
        <f t="shared" si="16"/>
        <v>#VALUE!</v>
      </c>
      <c r="E1067" t="e">
        <f>cubic_spline(CURVA!$B$6:$B$20,CURVA!$G$6:$G$20,#REF!)</f>
        <v>#VALUE!</v>
      </c>
    </row>
    <row r="1068" spans="1:5" x14ac:dyDescent="0.2">
      <c r="A1068" s="28">
        <v>1067</v>
      </c>
      <c r="B1068" s="28" t="e">
        <f>interpola(#REF!,CURVA!$B$6:$B$20,CURVA!$G$6:$G$20)</f>
        <v>#VALUE!</v>
      </c>
      <c r="C1068" s="29" t="e">
        <f t="shared" si="16"/>
        <v>#VALUE!</v>
      </c>
      <c r="E1068" t="e">
        <f>cubic_spline(CURVA!$B$6:$B$20,CURVA!$G$6:$G$20,#REF!)</f>
        <v>#VALUE!</v>
      </c>
    </row>
    <row r="1069" spans="1:5" x14ac:dyDescent="0.2">
      <c r="A1069" s="28">
        <v>1068</v>
      </c>
      <c r="B1069" s="28" t="e">
        <f>interpola(#REF!,CURVA!$B$6:$B$20,CURVA!$G$6:$G$20)</f>
        <v>#VALUE!</v>
      </c>
      <c r="C1069" s="29" t="e">
        <f t="shared" si="16"/>
        <v>#VALUE!</v>
      </c>
      <c r="E1069" t="e">
        <f>cubic_spline(CURVA!$B$6:$B$20,CURVA!$G$6:$G$20,#REF!)</f>
        <v>#VALUE!</v>
      </c>
    </row>
    <row r="1070" spans="1:5" x14ac:dyDescent="0.2">
      <c r="A1070" s="28">
        <v>1069</v>
      </c>
      <c r="B1070" s="28" t="e">
        <f>interpola(#REF!,CURVA!$B$6:$B$20,CURVA!$G$6:$G$20)</f>
        <v>#VALUE!</v>
      </c>
      <c r="C1070" s="29" t="e">
        <f t="shared" si="16"/>
        <v>#VALUE!</v>
      </c>
      <c r="E1070" t="e">
        <f>cubic_spline(CURVA!$B$6:$B$20,CURVA!$G$6:$G$20,#REF!)</f>
        <v>#VALUE!</v>
      </c>
    </row>
    <row r="1071" spans="1:5" x14ac:dyDescent="0.2">
      <c r="A1071" s="28">
        <v>1070</v>
      </c>
      <c r="B1071" s="28" t="e">
        <f>interpola(#REF!,CURVA!$B$6:$B$20,CURVA!$G$6:$G$20)</f>
        <v>#VALUE!</v>
      </c>
      <c r="C1071" s="29" t="e">
        <f t="shared" si="16"/>
        <v>#VALUE!</v>
      </c>
      <c r="E1071" t="e">
        <f>cubic_spline(CURVA!$B$6:$B$20,CURVA!$G$6:$G$20,#REF!)</f>
        <v>#VALUE!</v>
      </c>
    </row>
    <row r="1072" spans="1:5" x14ac:dyDescent="0.2">
      <c r="A1072" s="28">
        <v>1071</v>
      </c>
      <c r="B1072" s="28" t="e">
        <f>interpola(#REF!,CURVA!$B$6:$B$20,CURVA!$G$6:$G$20)</f>
        <v>#VALUE!</v>
      </c>
      <c r="C1072" s="29" t="e">
        <f t="shared" si="16"/>
        <v>#VALUE!</v>
      </c>
      <c r="E1072" t="e">
        <f>cubic_spline(CURVA!$B$6:$B$20,CURVA!$G$6:$G$20,#REF!)</f>
        <v>#VALUE!</v>
      </c>
    </row>
    <row r="1073" spans="1:5" x14ac:dyDescent="0.2">
      <c r="A1073" s="28">
        <v>1072</v>
      </c>
      <c r="B1073" s="28" t="e">
        <f>interpola(#REF!,CURVA!$B$6:$B$20,CURVA!$G$6:$G$20)</f>
        <v>#VALUE!</v>
      </c>
      <c r="C1073" s="29" t="e">
        <f t="shared" si="16"/>
        <v>#VALUE!</v>
      </c>
      <c r="E1073" t="e">
        <f>cubic_spline(CURVA!$B$6:$B$20,CURVA!$G$6:$G$20,#REF!)</f>
        <v>#VALUE!</v>
      </c>
    </row>
    <row r="1074" spans="1:5" x14ac:dyDescent="0.2">
      <c r="A1074" s="28">
        <v>1073</v>
      </c>
      <c r="B1074" s="28" t="e">
        <f>interpola(#REF!,CURVA!$B$6:$B$20,CURVA!$G$6:$G$20)</f>
        <v>#VALUE!</v>
      </c>
      <c r="C1074" s="29" t="e">
        <f t="shared" si="16"/>
        <v>#VALUE!</v>
      </c>
      <c r="E1074" t="e">
        <f>cubic_spline(CURVA!$B$6:$B$20,CURVA!$G$6:$G$20,#REF!)</f>
        <v>#VALUE!</v>
      </c>
    </row>
    <row r="1075" spans="1:5" x14ac:dyDescent="0.2">
      <c r="A1075" s="28">
        <v>1074</v>
      </c>
      <c r="B1075" s="28" t="e">
        <f>interpola(#REF!,CURVA!$B$6:$B$20,CURVA!$G$6:$G$20)</f>
        <v>#VALUE!</v>
      </c>
      <c r="C1075" s="29" t="e">
        <f t="shared" si="16"/>
        <v>#VALUE!</v>
      </c>
      <c r="E1075" t="e">
        <f>cubic_spline(CURVA!$B$6:$B$20,CURVA!$G$6:$G$20,#REF!)</f>
        <v>#VALUE!</v>
      </c>
    </row>
    <row r="1076" spans="1:5" x14ac:dyDescent="0.2">
      <c r="A1076" s="28">
        <v>1075</v>
      </c>
      <c r="B1076" s="28" t="e">
        <f>interpola(#REF!,CURVA!$B$6:$B$20,CURVA!$G$6:$G$20)</f>
        <v>#VALUE!</v>
      </c>
      <c r="C1076" s="29" t="e">
        <f t="shared" si="16"/>
        <v>#VALUE!</v>
      </c>
      <c r="E1076" t="e">
        <f>cubic_spline(CURVA!$B$6:$B$20,CURVA!$G$6:$G$20,#REF!)</f>
        <v>#VALUE!</v>
      </c>
    </row>
    <row r="1077" spans="1:5" x14ac:dyDescent="0.2">
      <c r="A1077" s="28">
        <v>1076</v>
      </c>
      <c r="B1077" s="28" t="e">
        <f>interpola(#REF!,CURVA!$B$6:$B$20,CURVA!$G$6:$G$20)</f>
        <v>#VALUE!</v>
      </c>
      <c r="C1077" s="29" t="e">
        <f t="shared" si="16"/>
        <v>#VALUE!</v>
      </c>
      <c r="E1077" t="e">
        <f>cubic_spline(CURVA!$B$6:$B$20,CURVA!$G$6:$G$20,#REF!)</f>
        <v>#VALUE!</v>
      </c>
    </row>
    <row r="1078" spans="1:5" x14ac:dyDescent="0.2">
      <c r="A1078" s="28">
        <v>1077</v>
      </c>
      <c r="B1078" s="28" t="e">
        <f>interpola(#REF!,CURVA!$B$6:$B$20,CURVA!$G$6:$G$20)</f>
        <v>#VALUE!</v>
      </c>
      <c r="C1078" s="29" t="e">
        <f t="shared" si="16"/>
        <v>#VALUE!</v>
      </c>
      <c r="E1078" t="e">
        <f>cubic_spline(CURVA!$B$6:$B$20,CURVA!$G$6:$G$20,#REF!)</f>
        <v>#VALUE!</v>
      </c>
    </row>
    <row r="1079" spans="1:5" x14ac:dyDescent="0.2">
      <c r="A1079" s="28">
        <v>1078</v>
      </c>
      <c r="B1079" s="28" t="e">
        <f>interpola(#REF!,CURVA!$B$6:$B$20,CURVA!$G$6:$G$20)</f>
        <v>#VALUE!</v>
      </c>
      <c r="C1079" s="29" t="e">
        <f t="shared" si="16"/>
        <v>#VALUE!</v>
      </c>
      <c r="E1079" t="e">
        <f>cubic_spline(CURVA!$B$6:$B$20,CURVA!$G$6:$G$20,#REF!)</f>
        <v>#VALUE!</v>
      </c>
    </row>
    <row r="1080" spans="1:5" x14ac:dyDescent="0.2">
      <c r="A1080" s="28">
        <v>1079</v>
      </c>
      <c r="B1080" s="28" t="e">
        <f>interpola(#REF!,CURVA!$B$6:$B$20,CURVA!$G$6:$G$20)</f>
        <v>#VALUE!</v>
      </c>
      <c r="C1080" s="29" t="e">
        <f t="shared" si="16"/>
        <v>#VALUE!</v>
      </c>
      <c r="E1080" t="e">
        <f>cubic_spline(CURVA!$B$6:$B$20,CURVA!$G$6:$G$20,#REF!)</f>
        <v>#VALUE!</v>
      </c>
    </row>
    <row r="1081" spans="1:5" x14ac:dyDescent="0.2">
      <c r="A1081" s="28">
        <v>1080</v>
      </c>
      <c r="B1081" s="28" t="e">
        <f>interpola(#REF!,CURVA!$B$6:$B$20,CURVA!$G$6:$G$20)</f>
        <v>#VALUE!</v>
      </c>
      <c r="C1081" s="29" t="e">
        <f t="shared" si="16"/>
        <v>#VALUE!</v>
      </c>
      <c r="E1081" t="e">
        <f>cubic_spline(CURVA!$B$6:$B$20,CURVA!$G$6:$G$20,#REF!)</f>
        <v>#VALUE!</v>
      </c>
    </row>
    <row r="1082" spans="1:5" x14ac:dyDescent="0.2">
      <c r="A1082" s="28">
        <v>1081</v>
      </c>
      <c r="B1082" s="28" t="e">
        <f>interpola(#REF!,CURVA!$B$6:$B$20,CURVA!$G$6:$G$20)</f>
        <v>#VALUE!</v>
      </c>
      <c r="C1082" s="29" t="e">
        <f t="shared" si="16"/>
        <v>#VALUE!</v>
      </c>
      <c r="E1082" t="e">
        <f>cubic_spline(CURVA!$B$6:$B$20,CURVA!$G$6:$G$20,#REF!)</f>
        <v>#VALUE!</v>
      </c>
    </row>
    <row r="1083" spans="1:5" x14ac:dyDescent="0.2">
      <c r="A1083" s="28">
        <v>1082</v>
      </c>
      <c r="B1083" s="28" t="e">
        <f>interpola(#REF!,CURVA!$B$6:$B$20,CURVA!$G$6:$G$20)</f>
        <v>#VALUE!</v>
      </c>
      <c r="C1083" s="29" t="e">
        <f t="shared" si="16"/>
        <v>#VALUE!</v>
      </c>
      <c r="E1083" t="e">
        <f>cubic_spline(CURVA!$B$6:$B$20,CURVA!$G$6:$G$20,#REF!)</f>
        <v>#VALUE!</v>
      </c>
    </row>
    <row r="1084" spans="1:5" x14ac:dyDescent="0.2">
      <c r="A1084" s="28">
        <v>1083</v>
      </c>
      <c r="B1084" s="28" t="e">
        <f>interpola(#REF!,CURVA!$B$6:$B$20,CURVA!$G$6:$G$20)</f>
        <v>#VALUE!</v>
      </c>
      <c r="C1084" s="29" t="e">
        <f t="shared" si="16"/>
        <v>#VALUE!</v>
      </c>
      <c r="E1084" t="e">
        <f>cubic_spline(CURVA!$B$6:$B$20,CURVA!$G$6:$G$20,#REF!)</f>
        <v>#VALUE!</v>
      </c>
    </row>
    <row r="1085" spans="1:5" x14ac:dyDescent="0.2">
      <c r="A1085" s="28">
        <v>1084</v>
      </c>
      <c r="B1085" s="28" t="e">
        <f>interpola(#REF!,CURVA!$B$6:$B$20,CURVA!$G$6:$G$20)</f>
        <v>#VALUE!</v>
      </c>
      <c r="C1085" s="29" t="e">
        <f t="shared" si="16"/>
        <v>#VALUE!</v>
      </c>
      <c r="E1085" t="e">
        <f>cubic_spline(CURVA!$B$6:$B$20,CURVA!$G$6:$G$20,#REF!)</f>
        <v>#VALUE!</v>
      </c>
    </row>
    <row r="1086" spans="1:5" x14ac:dyDescent="0.2">
      <c r="A1086" s="28">
        <v>1085</v>
      </c>
      <c r="B1086" s="28" t="e">
        <f>interpola(#REF!,CURVA!$B$6:$B$20,CURVA!$G$6:$G$20)</f>
        <v>#VALUE!</v>
      </c>
      <c r="C1086" s="29" t="e">
        <f t="shared" si="16"/>
        <v>#VALUE!</v>
      </c>
      <c r="E1086" t="e">
        <f>cubic_spline(CURVA!$B$6:$B$20,CURVA!$G$6:$G$20,#REF!)</f>
        <v>#VALUE!</v>
      </c>
    </row>
    <row r="1087" spans="1:5" x14ac:dyDescent="0.2">
      <c r="A1087" s="28">
        <v>1086</v>
      </c>
      <c r="B1087" s="28" t="e">
        <f>interpola(#REF!,CURVA!$B$6:$B$20,CURVA!$G$6:$G$20)</f>
        <v>#VALUE!</v>
      </c>
      <c r="C1087" s="29" t="e">
        <f t="shared" si="16"/>
        <v>#VALUE!</v>
      </c>
      <c r="E1087" t="e">
        <f>cubic_spline(CURVA!$B$6:$B$20,CURVA!$G$6:$G$20,#REF!)</f>
        <v>#VALUE!</v>
      </c>
    </row>
    <row r="1088" spans="1:5" x14ac:dyDescent="0.2">
      <c r="A1088" s="28">
        <v>1087</v>
      </c>
      <c r="B1088" s="28" t="e">
        <f>interpola(#REF!,CURVA!$B$6:$B$20,CURVA!$G$6:$G$20)</f>
        <v>#VALUE!</v>
      </c>
      <c r="C1088" s="29" t="e">
        <f t="shared" si="16"/>
        <v>#VALUE!</v>
      </c>
      <c r="E1088" t="e">
        <f>cubic_spline(CURVA!$B$6:$B$20,CURVA!$G$6:$G$20,#REF!)</f>
        <v>#VALUE!</v>
      </c>
    </row>
    <row r="1089" spans="1:5" x14ac:dyDescent="0.2">
      <c r="A1089" s="28">
        <v>1088</v>
      </c>
      <c r="B1089" s="28" t="e">
        <f>interpola(#REF!,CURVA!$B$6:$B$20,CURVA!$G$6:$G$20)</f>
        <v>#VALUE!</v>
      </c>
      <c r="C1089" s="29" t="e">
        <f t="shared" si="16"/>
        <v>#VALUE!</v>
      </c>
      <c r="E1089" t="e">
        <f>cubic_spline(CURVA!$B$6:$B$20,CURVA!$G$6:$G$20,#REF!)</f>
        <v>#VALUE!</v>
      </c>
    </row>
    <row r="1090" spans="1:5" x14ac:dyDescent="0.2">
      <c r="A1090" s="28">
        <v>1089</v>
      </c>
      <c r="B1090" s="28" t="e">
        <f>interpola(#REF!,CURVA!$B$6:$B$20,CURVA!$G$6:$G$20)</f>
        <v>#VALUE!</v>
      </c>
      <c r="C1090" s="29" t="e">
        <f t="shared" ref="C1090:C1153" si="17">(EXP(B1090*A1090/360)-1)*360/A1090</f>
        <v>#VALUE!</v>
      </c>
      <c r="E1090" t="e">
        <f>cubic_spline(CURVA!$B$6:$B$20,CURVA!$G$6:$G$20,#REF!)</f>
        <v>#VALUE!</v>
      </c>
    </row>
    <row r="1091" spans="1:5" x14ac:dyDescent="0.2">
      <c r="A1091" s="28">
        <v>1090</v>
      </c>
      <c r="B1091" s="28" t="e">
        <f>interpola(#REF!,CURVA!$B$6:$B$20,CURVA!$G$6:$G$20)</f>
        <v>#VALUE!</v>
      </c>
      <c r="C1091" s="29" t="e">
        <f t="shared" si="17"/>
        <v>#VALUE!</v>
      </c>
      <c r="E1091" t="e">
        <f>cubic_spline(CURVA!$B$6:$B$20,CURVA!$G$6:$G$20,#REF!)</f>
        <v>#VALUE!</v>
      </c>
    </row>
    <row r="1092" spans="1:5" x14ac:dyDescent="0.2">
      <c r="A1092" s="28">
        <v>1091</v>
      </c>
      <c r="B1092" s="28" t="e">
        <f>interpola(#REF!,CURVA!$B$6:$B$20,CURVA!$G$6:$G$20)</f>
        <v>#VALUE!</v>
      </c>
      <c r="C1092" s="29" t="e">
        <f t="shared" si="17"/>
        <v>#VALUE!</v>
      </c>
      <c r="E1092" t="e">
        <f>cubic_spline(CURVA!$B$6:$B$20,CURVA!$G$6:$G$20,#REF!)</f>
        <v>#VALUE!</v>
      </c>
    </row>
    <row r="1093" spans="1:5" x14ac:dyDescent="0.2">
      <c r="A1093" s="28">
        <v>1092</v>
      </c>
      <c r="B1093" s="28" t="e">
        <f>interpola(#REF!,CURVA!$B$6:$B$20,CURVA!$G$6:$G$20)</f>
        <v>#VALUE!</v>
      </c>
      <c r="C1093" s="29" t="e">
        <f t="shared" si="17"/>
        <v>#VALUE!</v>
      </c>
      <c r="E1093" t="e">
        <f>cubic_spline(CURVA!$B$6:$B$20,CURVA!$G$6:$G$20,#REF!)</f>
        <v>#VALUE!</v>
      </c>
    </row>
    <row r="1094" spans="1:5" x14ac:dyDescent="0.2">
      <c r="A1094" s="28">
        <v>1093</v>
      </c>
      <c r="B1094" s="28" t="e">
        <f>interpola(#REF!,CURVA!$B$6:$B$20,CURVA!$G$6:$G$20)</f>
        <v>#VALUE!</v>
      </c>
      <c r="C1094" s="29" t="e">
        <f t="shared" si="17"/>
        <v>#VALUE!</v>
      </c>
      <c r="E1094" t="e">
        <f>cubic_spline(CURVA!$B$6:$B$20,CURVA!$G$6:$G$20,#REF!)</f>
        <v>#VALUE!</v>
      </c>
    </row>
    <row r="1095" spans="1:5" x14ac:dyDescent="0.2">
      <c r="A1095" s="28">
        <v>1094</v>
      </c>
      <c r="B1095" s="28" t="e">
        <f>interpola(#REF!,CURVA!$B$6:$B$20,CURVA!$G$6:$G$20)</f>
        <v>#VALUE!</v>
      </c>
      <c r="C1095" s="29" t="e">
        <f t="shared" si="17"/>
        <v>#VALUE!</v>
      </c>
      <c r="E1095" t="e">
        <f>cubic_spline(CURVA!$B$6:$B$20,CURVA!$G$6:$G$20,#REF!)</f>
        <v>#VALUE!</v>
      </c>
    </row>
    <row r="1096" spans="1:5" x14ac:dyDescent="0.2">
      <c r="A1096" s="28">
        <v>1095</v>
      </c>
      <c r="B1096" s="28" t="e">
        <f>interpola(#REF!,CURVA!$B$6:$B$20,CURVA!$G$6:$G$20)</f>
        <v>#VALUE!</v>
      </c>
      <c r="C1096" s="29" t="e">
        <f t="shared" si="17"/>
        <v>#VALUE!</v>
      </c>
      <c r="E1096" t="e">
        <f>cubic_spline(CURVA!$B$6:$B$20,CURVA!$G$6:$G$20,#REF!)</f>
        <v>#VALUE!</v>
      </c>
    </row>
    <row r="1097" spans="1:5" x14ac:dyDescent="0.2">
      <c r="A1097" s="28">
        <v>1096</v>
      </c>
      <c r="B1097" s="28" t="e">
        <f>interpola(#REF!,CURVA!$B$6:$B$20,CURVA!$G$6:$G$20)</f>
        <v>#VALUE!</v>
      </c>
      <c r="C1097" s="29" t="e">
        <f t="shared" si="17"/>
        <v>#VALUE!</v>
      </c>
      <c r="E1097" t="e">
        <f>cubic_spline(CURVA!$B$6:$B$20,CURVA!$G$6:$G$20,#REF!)</f>
        <v>#VALUE!</v>
      </c>
    </row>
    <row r="1098" spans="1:5" x14ac:dyDescent="0.2">
      <c r="A1098" s="28">
        <v>1097</v>
      </c>
      <c r="B1098" s="28" t="e">
        <f>interpola(#REF!,CURVA!$B$6:$B$20,CURVA!$G$6:$G$20)</f>
        <v>#VALUE!</v>
      </c>
      <c r="C1098" s="29" t="e">
        <f t="shared" si="17"/>
        <v>#VALUE!</v>
      </c>
      <c r="E1098" t="e">
        <f>cubic_spline(CURVA!$B$6:$B$20,CURVA!$G$6:$G$20,#REF!)</f>
        <v>#VALUE!</v>
      </c>
    </row>
    <row r="1099" spans="1:5" x14ac:dyDescent="0.2">
      <c r="A1099" s="28">
        <v>1098</v>
      </c>
      <c r="B1099" s="28" t="e">
        <f>interpola(#REF!,CURVA!$B$6:$B$20,CURVA!$G$6:$G$20)</f>
        <v>#VALUE!</v>
      </c>
      <c r="C1099" s="29" t="e">
        <f t="shared" si="17"/>
        <v>#VALUE!</v>
      </c>
      <c r="E1099" t="e">
        <f>cubic_spline(CURVA!$B$6:$B$20,CURVA!$G$6:$G$20,#REF!)</f>
        <v>#VALUE!</v>
      </c>
    </row>
    <row r="1100" spans="1:5" x14ac:dyDescent="0.2">
      <c r="A1100" s="28">
        <v>1099</v>
      </c>
      <c r="B1100" s="28" t="e">
        <f>interpola(#REF!,CURVA!$B$6:$B$20,CURVA!$G$6:$G$20)</f>
        <v>#VALUE!</v>
      </c>
      <c r="C1100" s="29" t="e">
        <f t="shared" si="17"/>
        <v>#VALUE!</v>
      </c>
      <c r="E1100" t="e">
        <f>cubic_spline(CURVA!$B$6:$B$20,CURVA!$G$6:$G$20,#REF!)</f>
        <v>#VALUE!</v>
      </c>
    </row>
    <row r="1101" spans="1:5" x14ac:dyDescent="0.2">
      <c r="A1101" s="28">
        <v>1100</v>
      </c>
      <c r="B1101" s="28" t="e">
        <f>interpola(#REF!,CURVA!$B$6:$B$20,CURVA!$G$6:$G$20)</f>
        <v>#VALUE!</v>
      </c>
      <c r="C1101" s="29" t="e">
        <f t="shared" si="17"/>
        <v>#VALUE!</v>
      </c>
      <c r="E1101" t="e">
        <f>cubic_spline(CURVA!$B$6:$B$20,CURVA!$G$6:$G$20,#REF!)</f>
        <v>#VALUE!</v>
      </c>
    </row>
    <row r="1102" spans="1:5" x14ac:dyDescent="0.2">
      <c r="A1102" s="28">
        <v>1101</v>
      </c>
      <c r="B1102" s="28" t="e">
        <f>interpola(#REF!,CURVA!$B$6:$B$20,CURVA!$G$6:$G$20)</f>
        <v>#VALUE!</v>
      </c>
      <c r="C1102" s="29" t="e">
        <f t="shared" si="17"/>
        <v>#VALUE!</v>
      </c>
      <c r="E1102" t="e">
        <f>cubic_spline(CURVA!$B$6:$B$20,CURVA!$G$6:$G$20,#REF!)</f>
        <v>#VALUE!</v>
      </c>
    </row>
    <row r="1103" spans="1:5" x14ac:dyDescent="0.2">
      <c r="A1103" s="28">
        <v>1102</v>
      </c>
      <c r="B1103" s="28" t="e">
        <f>interpola(#REF!,CURVA!$B$6:$B$20,CURVA!$G$6:$G$20)</f>
        <v>#VALUE!</v>
      </c>
      <c r="C1103" s="29" t="e">
        <f t="shared" si="17"/>
        <v>#VALUE!</v>
      </c>
      <c r="E1103" t="e">
        <f>cubic_spline(CURVA!$B$6:$B$20,CURVA!$G$6:$G$20,#REF!)</f>
        <v>#VALUE!</v>
      </c>
    </row>
    <row r="1104" spans="1:5" x14ac:dyDescent="0.2">
      <c r="A1104" s="28">
        <v>1103</v>
      </c>
      <c r="B1104" s="28" t="e">
        <f>interpola(#REF!,CURVA!$B$6:$B$20,CURVA!$G$6:$G$20)</f>
        <v>#VALUE!</v>
      </c>
      <c r="C1104" s="29" t="e">
        <f t="shared" si="17"/>
        <v>#VALUE!</v>
      </c>
      <c r="E1104" t="e">
        <f>cubic_spline(CURVA!$B$6:$B$20,CURVA!$G$6:$G$20,#REF!)</f>
        <v>#VALUE!</v>
      </c>
    </row>
    <row r="1105" spans="1:5" x14ac:dyDescent="0.2">
      <c r="A1105" s="28">
        <v>1104</v>
      </c>
      <c r="B1105" s="28" t="e">
        <f>interpola(#REF!,CURVA!$B$6:$B$20,CURVA!$G$6:$G$20)</f>
        <v>#VALUE!</v>
      </c>
      <c r="C1105" s="29" t="e">
        <f t="shared" si="17"/>
        <v>#VALUE!</v>
      </c>
      <c r="E1105" t="e">
        <f>cubic_spline(CURVA!$B$6:$B$20,CURVA!$G$6:$G$20,#REF!)</f>
        <v>#VALUE!</v>
      </c>
    </row>
    <row r="1106" spans="1:5" x14ac:dyDescent="0.2">
      <c r="A1106" s="28">
        <v>1105</v>
      </c>
      <c r="B1106" s="28" t="e">
        <f>interpola(#REF!,CURVA!$B$6:$B$20,CURVA!$G$6:$G$20)</f>
        <v>#VALUE!</v>
      </c>
      <c r="C1106" s="29" t="e">
        <f t="shared" si="17"/>
        <v>#VALUE!</v>
      </c>
      <c r="E1106" t="e">
        <f>cubic_spline(CURVA!$B$6:$B$20,CURVA!$G$6:$G$20,#REF!)</f>
        <v>#VALUE!</v>
      </c>
    </row>
    <row r="1107" spans="1:5" x14ac:dyDescent="0.2">
      <c r="A1107" s="28">
        <v>1106</v>
      </c>
      <c r="B1107" s="28" t="e">
        <f>interpola(#REF!,CURVA!$B$6:$B$20,CURVA!$G$6:$G$20)</f>
        <v>#VALUE!</v>
      </c>
      <c r="C1107" s="29" t="e">
        <f t="shared" si="17"/>
        <v>#VALUE!</v>
      </c>
      <c r="E1107" t="e">
        <f>cubic_spline(CURVA!$B$6:$B$20,CURVA!$G$6:$G$20,#REF!)</f>
        <v>#VALUE!</v>
      </c>
    </row>
    <row r="1108" spans="1:5" x14ac:dyDescent="0.2">
      <c r="A1108" s="28">
        <v>1107</v>
      </c>
      <c r="B1108" s="28" t="e">
        <f>interpola(#REF!,CURVA!$B$6:$B$20,CURVA!$G$6:$G$20)</f>
        <v>#VALUE!</v>
      </c>
      <c r="C1108" s="29" t="e">
        <f t="shared" si="17"/>
        <v>#VALUE!</v>
      </c>
      <c r="E1108" t="e">
        <f>cubic_spline(CURVA!$B$6:$B$20,CURVA!$G$6:$G$20,#REF!)</f>
        <v>#VALUE!</v>
      </c>
    </row>
    <row r="1109" spans="1:5" x14ac:dyDescent="0.2">
      <c r="A1109" s="28">
        <v>1108</v>
      </c>
      <c r="B1109" s="28" t="e">
        <f>interpola(#REF!,CURVA!$B$6:$B$20,CURVA!$G$6:$G$20)</f>
        <v>#VALUE!</v>
      </c>
      <c r="C1109" s="29" t="e">
        <f t="shared" si="17"/>
        <v>#VALUE!</v>
      </c>
      <c r="E1109" t="e">
        <f>cubic_spline(CURVA!$B$6:$B$20,CURVA!$G$6:$G$20,#REF!)</f>
        <v>#VALUE!</v>
      </c>
    </row>
    <row r="1110" spans="1:5" x14ac:dyDescent="0.2">
      <c r="A1110" s="28">
        <v>1109</v>
      </c>
      <c r="B1110" s="28" t="e">
        <f>interpola(#REF!,CURVA!$B$6:$B$20,CURVA!$G$6:$G$20)</f>
        <v>#VALUE!</v>
      </c>
      <c r="C1110" s="29" t="e">
        <f t="shared" si="17"/>
        <v>#VALUE!</v>
      </c>
      <c r="E1110" t="e">
        <f>cubic_spline(CURVA!$B$6:$B$20,CURVA!$G$6:$G$20,#REF!)</f>
        <v>#VALUE!</v>
      </c>
    </row>
    <row r="1111" spans="1:5" x14ac:dyDescent="0.2">
      <c r="A1111" s="28">
        <v>1110</v>
      </c>
      <c r="B1111" s="28" t="e">
        <f>interpola(#REF!,CURVA!$B$6:$B$20,CURVA!$G$6:$G$20)</f>
        <v>#VALUE!</v>
      </c>
      <c r="C1111" s="29" t="e">
        <f t="shared" si="17"/>
        <v>#VALUE!</v>
      </c>
      <c r="E1111" t="e">
        <f>cubic_spline(CURVA!$B$6:$B$20,CURVA!$G$6:$G$20,#REF!)</f>
        <v>#VALUE!</v>
      </c>
    </row>
    <row r="1112" spans="1:5" x14ac:dyDescent="0.2">
      <c r="A1112" s="28">
        <v>1111</v>
      </c>
      <c r="B1112" s="28" t="e">
        <f>interpola(#REF!,CURVA!$B$6:$B$20,CURVA!$G$6:$G$20)</f>
        <v>#VALUE!</v>
      </c>
      <c r="C1112" s="29" t="e">
        <f t="shared" si="17"/>
        <v>#VALUE!</v>
      </c>
      <c r="E1112" t="e">
        <f>cubic_spline(CURVA!$B$6:$B$20,CURVA!$G$6:$G$20,#REF!)</f>
        <v>#VALUE!</v>
      </c>
    </row>
    <row r="1113" spans="1:5" x14ac:dyDescent="0.2">
      <c r="A1113" s="28">
        <v>1112</v>
      </c>
      <c r="B1113" s="28" t="e">
        <f>interpola(#REF!,CURVA!$B$6:$B$20,CURVA!$G$6:$G$20)</f>
        <v>#VALUE!</v>
      </c>
      <c r="C1113" s="29" t="e">
        <f t="shared" si="17"/>
        <v>#VALUE!</v>
      </c>
      <c r="E1113" t="e">
        <f>cubic_spline(CURVA!$B$6:$B$20,CURVA!$G$6:$G$20,#REF!)</f>
        <v>#VALUE!</v>
      </c>
    </row>
    <row r="1114" spans="1:5" x14ac:dyDescent="0.2">
      <c r="A1114" s="28">
        <v>1113</v>
      </c>
      <c r="B1114" s="28" t="e">
        <f>interpola(#REF!,CURVA!$B$6:$B$20,CURVA!$G$6:$G$20)</f>
        <v>#VALUE!</v>
      </c>
      <c r="C1114" s="29" t="e">
        <f t="shared" si="17"/>
        <v>#VALUE!</v>
      </c>
      <c r="E1114" t="e">
        <f>cubic_spline(CURVA!$B$6:$B$20,CURVA!$G$6:$G$20,#REF!)</f>
        <v>#VALUE!</v>
      </c>
    </row>
    <row r="1115" spans="1:5" x14ac:dyDescent="0.2">
      <c r="A1115" s="28">
        <v>1114</v>
      </c>
      <c r="B1115" s="28" t="e">
        <f>interpola(#REF!,CURVA!$B$6:$B$20,CURVA!$G$6:$G$20)</f>
        <v>#VALUE!</v>
      </c>
      <c r="C1115" s="29" t="e">
        <f t="shared" si="17"/>
        <v>#VALUE!</v>
      </c>
      <c r="E1115" t="e">
        <f>cubic_spline(CURVA!$B$6:$B$20,CURVA!$G$6:$G$20,#REF!)</f>
        <v>#VALUE!</v>
      </c>
    </row>
    <row r="1116" spans="1:5" x14ac:dyDescent="0.2">
      <c r="A1116" s="28">
        <v>1115</v>
      </c>
      <c r="B1116" s="28" t="e">
        <f>interpola(#REF!,CURVA!$B$6:$B$20,CURVA!$G$6:$G$20)</f>
        <v>#VALUE!</v>
      </c>
      <c r="C1116" s="29" t="e">
        <f t="shared" si="17"/>
        <v>#VALUE!</v>
      </c>
      <c r="E1116" t="e">
        <f>cubic_spline(CURVA!$B$6:$B$20,CURVA!$G$6:$G$20,#REF!)</f>
        <v>#VALUE!</v>
      </c>
    </row>
    <row r="1117" spans="1:5" x14ac:dyDescent="0.2">
      <c r="A1117" s="28">
        <v>1116</v>
      </c>
      <c r="B1117" s="28" t="e">
        <f>interpola(#REF!,CURVA!$B$6:$B$20,CURVA!$G$6:$G$20)</f>
        <v>#VALUE!</v>
      </c>
      <c r="C1117" s="29" t="e">
        <f t="shared" si="17"/>
        <v>#VALUE!</v>
      </c>
      <c r="E1117" t="e">
        <f>cubic_spline(CURVA!$B$6:$B$20,CURVA!$G$6:$G$20,#REF!)</f>
        <v>#VALUE!</v>
      </c>
    </row>
    <row r="1118" spans="1:5" x14ac:dyDescent="0.2">
      <c r="A1118" s="28">
        <v>1117</v>
      </c>
      <c r="B1118" s="28" t="e">
        <f>interpola(#REF!,CURVA!$B$6:$B$20,CURVA!$G$6:$G$20)</f>
        <v>#VALUE!</v>
      </c>
      <c r="C1118" s="29" t="e">
        <f t="shared" si="17"/>
        <v>#VALUE!</v>
      </c>
      <c r="E1118" t="e">
        <f>cubic_spline(CURVA!$B$6:$B$20,CURVA!$G$6:$G$20,#REF!)</f>
        <v>#VALUE!</v>
      </c>
    </row>
    <row r="1119" spans="1:5" x14ac:dyDescent="0.2">
      <c r="A1119" s="28">
        <v>1118</v>
      </c>
      <c r="B1119" s="28" t="e">
        <f>interpola(#REF!,CURVA!$B$6:$B$20,CURVA!$G$6:$G$20)</f>
        <v>#VALUE!</v>
      </c>
      <c r="C1119" s="29" t="e">
        <f t="shared" si="17"/>
        <v>#VALUE!</v>
      </c>
      <c r="E1119" t="e">
        <f>cubic_spline(CURVA!$B$6:$B$20,CURVA!$G$6:$G$20,#REF!)</f>
        <v>#VALUE!</v>
      </c>
    </row>
    <row r="1120" spans="1:5" x14ac:dyDescent="0.2">
      <c r="A1120" s="28">
        <v>1119</v>
      </c>
      <c r="B1120" s="28" t="e">
        <f>interpola(#REF!,CURVA!$B$6:$B$20,CURVA!$G$6:$G$20)</f>
        <v>#VALUE!</v>
      </c>
      <c r="C1120" s="29" t="e">
        <f t="shared" si="17"/>
        <v>#VALUE!</v>
      </c>
      <c r="E1120" t="e">
        <f>cubic_spline(CURVA!$B$6:$B$20,CURVA!$G$6:$G$20,#REF!)</f>
        <v>#VALUE!</v>
      </c>
    </row>
    <row r="1121" spans="1:5" x14ac:dyDescent="0.2">
      <c r="A1121" s="28">
        <v>1120</v>
      </c>
      <c r="B1121" s="28" t="e">
        <f>interpola(#REF!,CURVA!$B$6:$B$20,CURVA!$G$6:$G$20)</f>
        <v>#VALUE!</v>
      </c>
      <c r="C1121" s="29" t="e">
        <f t="shared" si="17"/>
        <v>#VALUE!</v>
      </c>
      <c r="E1121" t="e">
        <f>cubic_spline(CURVA!$B$6:$B$20,CURVA!$G$6:$G$20,#REF!)</f>
        <v>#VALUE!</v>
      </c>
    </row>
    <row r="1122" spans="1:5" x14ac:dyDescent="0.2">
      <c r="A1122" s="28">
        <v>1121</v>
      </c>
      <c r="B1122" s="28" t="e">
        <f>interpola(#REF!,CURVA!$B$6:$B$20,CURVA!$G$6:$G$20)</f>
        <v>#VALUE!</v>
      </c>
      <c r="C1122" s="29" t="e">
        <f t="shared" si="17"/>
        <v>#VALUE!</v>
      </c>
      <c r="E1122" t="e">
        <f>cubic_spline(CURVA!$B$6:$B$20,CURVA!$G$6:$G$20,#REF!)</f>
        <v>#VALUE!</v>
      </c>
    </row>
    <row r="1123" spans="1:5" x14ac:dyDescent="0.2">
      <c r="A1123" s="28">
        <v>1122</v>
      </c>
      <c r="B1123" s="28" t="e">
        <f>interpola(#REF!,CURVA!$B$6:$B$20,CURVA!$G$6:$G$20)</f>
        <v>#VALUE!</v>
      </c>
      <c r="C1123" s="29" t="e">
        <f t="shared" si="17"/>
        <v>#VALUE!</v>
      </c>
      <c r="E1123" t="e">
        <f>cubic_spline(CURVA!$B$6:$B$20,CURVA!$G$6:$G$20,#REF!)</f>
        <v>#VALUE!</v>
      </c>
    </row>
    <row r="1124" spans="1:5" x14ac:dyDescent="0.2">
      <c r="A1124" s="28">
        <v>1123</v>
      </c>
      <c r="B1124" s="28" t="e">
        <f>interpola(#REF!,CURVA!$B$6:$B$20,CURVA!$G$6:$G$20)</f>
        <v>#VALUE!</v>
      </c>
      <c r="C1124" s="29" t="e">
        <f t="shared" si="17"/>
        <v>#VALUE!</v>
      </c>
      <c r="E1124" t="e">
        <f>cubic_spline(CURVA!$B$6:$B$20,CURVA!$G$6:$G$20,#REF!)</f>
        <v>#VALUE!</v>
      </c>
    </row>
    <row r="1125" spans="1:5" x14ac:dyDescent="0.2">
      <c r="A1125" s="28">
        <v>1124</v>
      </c>
      <c r="B1125" s="28" t="e">
        <f>interpola(#REF!,CURVA!$B$6:$B$20,CURVA!$G$6:$G$20)</f>
        <v>#VALUE!</v>
      </c>
      <c r="C1125" s="29" t="e">
        <f t="shared" si="17"/>
        <v>#VALUE!</v>
      </c>
      <c r="E1125" t="e">
        <f>cubic_spline(CURVA!$B$6:$B$20,CURVA!$G$6:$G$20,#REF!)</f>
        <v>#VALUE!</v>
      </c>
    </row>
    <row r="1126" spans="1:5" x14ac:dyDescent="0.2">
      <c r="A1126" s="28">
        <v>1125</v>
      </c>
      <c r="B1126" s="28" t="e">
        <f>interpola(#REF!,CURVA!$B$6:$B$20,CURVA!$G$6:$G$20)</f>
        <v>#VALUE!</v>
      </c>
      <c r="C1126" s="29" t="e">
        <f t="shared" si="17"/>
        <v>#VALUE!</v>
      </c>
      <c r="E1126" t="e">
        <f>cubic_spline(CURVA!$B$6:$B$20,CURVA!$G$6:$G$20,#REF!)</f>
        <v>#VALUE!</v>
      </c>
    </row>
    <row r="1127" spans="1:5" x14ac:dyDescent="0.2">
      <c r="A1127" s="28">
        <v>1126</v>
      </c>
      <c r="B1127" s="28" t="e">
        <f>interpola(#REF!,CURVA!$B$6:$B$20,CURVA!$G$6:$G$20)</f>
        <v>#VALUE!</v>
      </c>
      <c r="C1127" s="29" t="e">
        <f t="shared" si="17"/>
        <v>#VALUE!</v>
      </c>
      <c r="E1127" t="e">
        <f>cubic_spline(CURVA!$B$6:$B$20,CURVA!$G$6:$G$20,#REF!)</f>
        <v>#VALUE!</v>
      </c>
    </row>
    <row r="1128" spans="1:5" x14ac:dyDescent="0.2">
      <c r="A1128" s="28">
        <v>1127</v>
      </c>
      <c r="B1128" s="28" t="e">
        <f>interpola(#REF!,CURVA!$B$6:$B$20,CURVA!$G$6:$G$20)</f>
        <v>#VALUE!</v>
      </c>
      <c r="C1128" s="29" t="e">
        <f t="shared" si="17"/>
        <v>#VALUE!</v>
      </c>
      <c r="E1128" t="e">
        <f>cubic_spline(CURVA!$B$6:$B$20,CURVA!$G$6:$G$20,#REF!)</f>
        <v>#VALUE!</v>
      </c>
    </row>
    <row r="1129" spans="1:5" x14ac:dyDescent="0.2">
      <c r="A1129" s="28">
        <v>1128</v>
      </c>
      <c r="B1129" s="28" t="e">
        <f>interpola(#REF!,CURVA!$B$6:$B$20,CURVA!$G$6:$G$20)</f>
        <v>#VALUE!</v>
      </c>
      <c r="C1129" s="29" t="e">
        <f t="shared" si="17"/>
        <v>#VALUE!</v>
      </c>
      <c r="E1129" t="e">
        <f>cubic_spline(CURVA!$B$6:$B$20,CURVA!$G$6:$G$20,#REF!)</f>
        <v>#VALUE!</v>
      </c>
    </row>
    <row r="1130" spans="1:5" x14ac:dyDescent="0.2">
      <c r="A1130" s="28">
        <v>1129</v>
      </c>
      <c r="B1130" s="28" t="e">
        <f>interpola(#REF!,CURVA!$B$6:$B$20,CURVA!$G$6:$G$20)</f>
        <v>#VALUE!</v>
      </c>
      <c r="C1130" s="29" t="e">
        <f t="shared" si="17"/>
        <v>#VALUE!</v>
      </c>
      <c r="E1130" t="e">
        <f>cubic_spline(CURVA!$B$6:$B$20,CURVA!$G$6:$G$20,#REF!)</f>
        <v>#VALUE!</v>
      </c>
    </row>
    <row r="1131" spans="1:5" x14ac:dyDescent="0.2">
      <c r="A1131" s="28">
        <v>1130</v>
      </c>
      <c r="B1131" s="28" t="e">
        <f>interpola(#REF!,CURVA!$B$6:$B$20,CURVA!$G$6:$G$20)</f>
        <v>#VALUE!</v>
      </c>
      <c r="C1131" s="29" t="e">
        <f t="shared" si="17"/>
        <v>#VALUE!</v>
      </c>
      <c r="E1131" t="e">
        <f>cubic_spline(CURVA!$B$6:$B$20,CURVA!$G$6:$G$20,#REF!)</f>
        <v>#VALUE!</v>
      </c>
    </row>
    <row r="1132" spans="1:5" x14ac:dyDescent="0.2">
      <c r="A1132" s="28">
        <v>1131</v>
      </c>
      <c r="B1132" s="28" t="e">
        <f>interpola(#REF!,CURVA!$B$6:$B$20,CURVA!$G$6:$G$20)</f>
        <v>#VALUE!</v>
      </c>
      <c r="C1132" s="29" t="e">
        <f t="shared" si="17"/>
        <v>#VALUE!</v>
      </c>
      <c r="E1132" t="e">
        <f>cubic_spline(CURVA!$B$6:$B$20,CURVA!$G$6:$G$20,#REF!)</f>
        <v>#VALUE!</v>
      </c>
    </row>
    <row r="1133" spans="1:5" x14ac:dyDescent="0.2">
      <c r="A1133" s="28">
        <v>1132</v>
      </c>
      <c r="B1133" s="28" t="e">
        <f>interpola(#REF!,CURVA!$B$6:$B$20,CURVA!$G$6:$G$20)</f>
        <v>#VALUE!</v>
      </c>
      <c r="C1133" s="29" t="e">
        <f t="shared" si="17"/>
        <v>#VALUE!</v>
      </c>
      <c r="E1133" t="e">
        <f>cubic_spline(CURVA!$B$6:$B$20,CURVA!$G$6:$G$20,#REF!)</f>
        <v>#VALUE!</v>
      </c>
    </row>
    <row r="1134" spans="1:5" x14ac:dyDescent="0.2">
      <c r="A1134" s="28">
        <v>1133</v>
      </c>
      <c r="B1134" s="28" t="e">
        <f>interpola(#REF!,CURVA!$B$6:$B$20,CURVA!$G$6:$G$20)</f>
        <v>#VALUE!</v>
      </c>
      <c r="C1134" s="29" t="e">
        <f t="shared" si="17"/>
        <v>#VALUE!</v>
      </c>
      <c r="E1134" t="e">
        <f>cubic_spline(CURVA!$B$6:$B$20,CURVA!$G$6:$G$20,#REF!)</f>
        <v>#VALUE!</v>
      </c>
    </row>
    <row r="1135" spans="1:5" x14ac:dyDescent="0.2">
      <c r="A1135" s="28">
        <v>1134</v>
      </c>
      <c r="B1135" s="28" t="e">
        <f>interpola(#REF!,CURVA!$B$6:$B$20,CURVA!$G$6:$G$20)</f>
        <v>#VALUE!</v>
      </c>
      <c r="C1135" s="29" t="e">
        <f t="shared" si="17"/>
        <v>#VALUE!</v>
      </c>
      <c r="E1135" t="e">
        <f>cubic_spline(CURVA!$B$6:$B$20,CURVA!$G$6:$G$20,#REF!)</f>
        <v>#VALUE!</v>
      </c>
    </row>
    <row r="1136" spans="1:5" x14ac:dyDescent="0.2">
      <c r="A1136" s="28">
        <v>1135</v>
      </c>
      <c r="B1136" s="28" t="e">
        <f>interpola(#REF!,CURVA!$B$6:$B$20,CURVA!$G$6:$G$20)</f>
        <v>#VALUE!</v>
      </c>
      <c r="C1136" s="29" t="e">
        <f t="shared" si="17"/>
        <v>#VALUE!</v>
      </c>
      <c r="E1136" t="e">
        <f>cubic_spline(CURVA!$B$6:$B$20,CURVA!$G$6:$G$20,#REF!)</f>
        <v>#VALUE!</v>
      </c>
    </row>
    <row r="1137" spans="1:5" x14ac:dyDescent="0.2">
      <c r="A1137" s="28">
        <v>1136</v>
      </c>
      <c r="B1137" s="28" t="e">
        <f>interpola(#REF!,CURVA!$B$6:$B$20,CURVA!$G$6:$G$20)</f>
        <v>#VALUE!</v>
      </c>
      <c r="C1137" s="29" t="e">
        <f t="shared" si="17"/>
        <v>#VALUE!</v>
      </c>
      <c r="E1137" t="e">
        <f>cubic_spline(CURVA!$B$6:$B$20,CURVA!$G$6:$G$20,#REF!)</f>
        <v>#VALUE!</v>
      </c>
    </row>
    <row r="1138" spans="1:5" x14ac:dyDescent="0.2">
      <c r="A1138" s="28">
        <v>1137</v>
      </c>
      <c r="B1138" s="28" t="e">
        <f>interpola(#REF!,CURVA!$B$6:$B$20,CURVA!$G$6:$G$20)</f>
        <v>#VALUE!</v>
      </c>
      <c r="C1138" s="29" t="e">
        <f t="shared" si="17"/>
        <v>#VALUE!</v>
      </c>
      <c r="E1138" t="e">
        <f>cubic_spline(CURVA!$B$6:$B$20,CURVA!$G$6:$G$20,#REF!)</f>
        <v>#VALUE!</v>
      </c>
    </row>
    <row r="1139" spans="1:5" x14ac:dyDescent="0.2">
      <c r="A1139" s="28">
        <v>1138</v>
      </c>
      <c r="B1139" s="28" t="e">
        <f>interpola(#REF!,CURVA!$B$6:$B$20,CURVA!$G$6:$G$20)</f>
        <v>#VALUE!</v>
      </c>
      <c r="C1139" s="29" t="e">
        <f t="shared" si="17"/>
        <v>#VALUE!</v>
      </c>
      <c r="E1139" t="e">
        <f>cubic_spline(CURVA!$B$6:$B$20,CURVA!$G$6:$G$20,#REF!)</f>
        <v>#VALUE!</v>
      </c>
    </row>
    <row r="1140" spans="1:5" x14ac:dyDescent="0.2">
      <c r="A1140" s="28">
        <v>1139</v>
      </c>
      <c r="B1140" s="28" t="e">
        <f>interpola(#REF!,CURVA!$B$6:$B$20,CURVA!$G$6:$G$20)</f>
        <v>#VALUE!</v>
      </c>
      <c r="C1140" s="29" t="e">
        <f t="shared" si="17"/>
        <v>#VALUE!</v>
      </c>
      <c r="E1140" t="e">
        <f>cubic_spline(CURVA!$B$6:$B$20,CURVA!$G$6:$G$20,#REF!)</f>
        <v>#VALUE!</v>
      </c>
    </row>
    <row r="1141" spans="1:5" x14ac:dyDescent="0.2">
      <c r="A1141" s="28">
        <v>1140</v>
      </c>
      <c r="B1141" s="28" t="e">
        <f>interpola(#REF!,CURVA!$B$6:$B$20,CURVA!$G$6:$G$20)</f>
        <v>#VALUE!</v>
      </c>
      <c r="C1141" s="29" t="e">
        <f t="shared" si="17"/>
        <v>#VALUE!</v>
      </c>
      <c r="E1141" t="e">
        <f>cubic_spline(CURVA!$B$6:$B$20,CURVA!$G$6:$G$20,#REF!)</f>
        <v>#VALUE!</v>
      </c>
    </row>
    <row r="1142" spans="1:5" x14ac:dyDescent="0.2">
      <c r="A1142" s="28">
        <v>1141</v>
      </c>
      <c r="B1142" s="28" t="e">
        <f>interpola(#REF!,CURVA!$B$6:$B$20,CURVA!$G$6:$G$20)</f>
        <v>#VALUE!</v>
      </c>
      <c r="C1142" s="29" t="e">
        <f t="shared" si="17"/>
        <v>#VALUE!</v>
      </c>
      <c r="E1142" t="e">
        <f>cubic_spline(CURVA!$B$6:$B$20,CURVA!$G$6:$G$20,#REF!)</f>
        <v>#VALUE!</v>
      </c>
    </row>
    <row r="1143" spans="1:5" x14ac:dyDescent="0.2">
      <c r="A1143" s="28">
        <v>1142</v>
      </c>
      <c r="B1143" s="28" t="e">
        <f>interpola(#REF!,CURVA!$B$6:$B$20,CURVA!$G$6:$G$20)</f>
        <v>#VALUE!</v>
      </c>
      <c r="C1143" s="29" t="e">
        <f t="shared" si="17"/>
        <v>#VALUE!</v>
      </c>
      <c r="E1143" t="e">
        <f>cubic_spline(CURVA!$B$6:$B$20,CURVA!$G$6:$G$20,#REF!)</f>
        <v>#VALUE!</v>
      </c>
    </row>
    <row r="1144" spans="1:5" x14ac:dyDescent="0.2">
      <c r="A1144" s="28">
        <v>1143</v>
      </c>
      <c r="B1144" s="28" t="e">
        <f>interpola(#REF!,CURVA!$B$6:$B$20,CURVA!$G$6:$G$20)</f>
        <v>#VALUE!</v>
      </c>
      <c r="C1144" s="29" t="e">
        <f t="shared" si="17"/>
        <v>#VALUE!</v>
      </c>
      <c r="E1144" t="e">
        <f>cubic_spline(CURVA!$B$6:$B$20,CURVA!$G$6:$G$20,#REF!)</f>
        <v>#VALUE!</v>
      </c>
    </row>
    <row r="1145" spans="1:5" x14ac:dyDescent="0.2">
      <c r="A1145" s="28">
        <v>1144</v>
      </c>
      <c r="B1145" s="28" t="e">
        <f>interpola(#REF!,CURVA!$B$6:$B$20,CURVA!$G$6:$G$20)</f>
        <v>#VALUE!</v>
      </c>
      <c r="C1145" s="29" t="e">
        <f t="shared" si="17"/>
        <v>#VALUE!</v>
      </c>
      <c r="E1145" t="e">
        <f>cubic_spline(CURVA!$B$6:$B$20,CURVA!$G$6:$G$20,#REF!)</f>
        <v>#VALUE!</v>
      </c>
    </row>
    <row r="1146" spans="1:5" x14ac:dyDescent="0.2">
      <c r="A1146" s="28">
        <v>1145</v>
      </c>
      <c r="B1146" s="28" t="e">
        <f>interpola(#REF!,CURVA!$B$6:$B$20,CURVA!$G$6:$G$20)</f>
        <v>#VALUE!</v>
      </c>
      <c r="C1146" s="29" t="e">
        <f t="shared" si="17"/>
        <v>#VALUE!</v>
      </c>
      <c r="E1146" t="e">
        <f>cubic_spline(CURVA!$B$6:$B$20,CURVA!$G$6:$G$20,#REF!)</f>
        <v>#VALUE!</v>
      </c>
    </row>
    <row r="1147" spans="1:5" x14ac:dyDescent="0.2">
      <c r="A1147" s="28">
        <v>1146</v>
      </c>
      <c r="B1147" s="28" t="e">
        <f>interpola(#REF!,CURVA!$B$6:$B$20,CURVA!$G$6:$G$20)</f>
        <v>#VALUE!</v>
      </c>
      <c r="C1147" s="29" t="e">
        <f t="shared" si="17"/>
        <v>#VALUE!</v>
      </c>
      <c r="E1147" t="e">
        <f>cubic_spline(CURVA!$B$6:$B$20,CURVA!$G$6:$G$20,#REF!)</f>
        <v>#VALUE!</v>
      </c>
    </row>
    <row r="1148" spans="1:5" x14ac:dyDescent="0.2">
      <c r="A1148" s="28">
        <v>1147</v>
      </c>
      <c r="B1148" s="28" t="e">
        <f>interpola(#REF!,CURVA!$B$6:$B$20,CURVA!$G$6:$G$20)</f>
        <v>#VALUE!</v>
      </c>
      <c r="C1148" s="29" t="e">
        <f t="shared" si="17"/>
        <v>#VALUE!</v>
      </c>
      <c r="E1148" t="e">
        <f>cubic_spline(CURVA!$B$6:$B$20,CURVA!$G$6:$G$20,#REF!)</f>
        <v>#VALUE!</v>
      </c>
    </row>
    <row r="1149" spans="1:5" x14ac:dyDescent="0.2">
      <c r="A1149" s="28">
        <v>1148</v>
      </c>
      <c r="B1149" s="28" t="e">
        <f>interpola(#REF!,CURVA!$B$6:$B$20,CURVA!$G$6:$G$20)</f>
        <v>#VALUE!</v>
      </c>
      <c r="C1149" s="29" t="e">
        <f t="shared" si="17"/>
        <v>#VALUE!</v>
      </c>
      <c r="E1149" t="e">
        <f>cubic_spline(CURVA!$B$6:$B$20,CURVA!$G$6:$G$20,#REF!)</f>
        <v>#VALUE!</v>
      </c>
    </row>
    <row r="1150" spans="1:5" x14ac:dyDescent="0.2">
      <c r="A1150" s="28">
        <v>1149</v>
      </c>
      <c r="B1150" s="28" t="e">
        <f>interpola(#REF!,CURVA!$B$6:$B$20,CURVA!$G$6:$G$20)</f>
        <v>#VALUE!</v>
      </c>
      <c r="C1150" s="29" t="e">
        <f t="shared" si="17"/>
        <v>#VALUE!</v>
      </c>
      <c r="E1150" t="e">
        <f>cubic_spline(CURVA!$B$6:$B$20,CURVA!$G$6:$G$20,#REF!)</f>
        <v>#VALUE!</v>
      </c>
    </row>
    <row r="1151" spans="1:5" x14ac:dyDescent="0.2">
      <c r="A1151" s="28">
        <v>1150</v>
      </c>
      <c r="B1151" s="28" t="e">
        <f>interpola(#REF!,CURVA!$B$6:$B$20,CURVA!$G$6:$G$20)</f>
        <v>#VALUE!</v>
      </c>
      <c r="C1151" s="29" t="e">
        <f t="shared" si="17"/>
        <v>#VALUE!</v>
      </c>
      <c r="E1151" t="e">
        <f>cubic_spline(CURVA!$B$6:$B$20,CURVA!$G$6:$G$20,#REF!)</f>
        <v>#VALUE!</v>
      </c>
    </row>
    <row r="1152" spans="1:5" x14ac:dyDescent="0.2">
      <c r="A1152" s="28">
        <v>1151</v>
      </c>
      <c r="B1152" s="28" t="e">
        <f>interpola(#REF!,CURVA!$B$6:$B$20,CURVA!$G$6:$G$20)</f>
        <v>#VALUE!</v>
      </c>
      <c r="C1152" s="29" t="e">
        <f t="shared" si="17"/>
        <v>#VALUE!</v>
      </c>
      <c r="E1152" t="e">
        <f>cubic_spline(CURVA!$B$6:$B$20,CURVA!$G$6:$G$20,#REF!)</f>
        <v>#VALUE!</v>
      </c>
    </row>
    <row r="1153" spans="1:5" x14ac:dyDescent="0.2">
      <c r="A1153" s="28">
        <v>1152</v>
      </c>
      <c r="B1153" s="28" t="e">
        <f>interpola(#REF!,CURVA!$B$6:$B$20,CURVA!$G$6:$G$20)</f>
        <v>#VALUE!</v>
      </c>
      <c r="C1153" s="29" t="e">
        <f t="shared" si="17"/>
        <v>#VALUE!</v>
      </c>
      <c r="E1153" t="e">
        <f>cubic_spline(CURVA!$B$6:$B$20,CURVA!$G$6:$G$20,#REF!)</f>
        <v>#VALUE!</v>
      </c>
    </row>
    <row r="1154" spans="1:5" x14ac:dyDescent="0.2">
      <c r="A1154" s="28">
        <v>1153</v>
      </c>
      <c r="B1154" s="28" t="e">
        <f>interpola(#REF!,CURVA!$B$6:$B$20,CURVA!$G$6:$G$20)</f>
        <v>#VALUE!</v>
      </c>
      <c r="C1154" s="29" t="e">
        <f t="shared" ref="C1154:C1217" si="18">(EXP(B1154*A1154/360)-1)*360/A1154</f>
        <v>#VALUE!</v>
      </c>
      <c r="E1154" t="e">
        <f>cubic_spline(CURVA!$B$6:$B$20,CURVA!$G$6:$G$20,#REF!)</f>
        <v>#VALUE!</v>
      </c>
    </row>
    <row r="1155" spans="1:5" x14ac:dyDescent="0.2">
      <c r="A1155" s="28">
        <v>1154</v>
      </c>
      <c r="B1155" s="28" t="e">
        <f>interpola(#REF!,CURVA!$B$6:$B$20,CURVA!$G$6:$G$20)</f>
        <v>#VALUE!</v>
      </c>
      <c r="C1155" s="29" t="e">
        <f t="shared" si="18"/>
        <v>#VALUE!</v>
      </c>
      <c r="E1155" t="e">
        <f>cubic_spline(CURVA!$B$6:$B$20,CURVA!$G$6:$G$20,#REF!)</f>
        <v>#VALUE!</v>
      </c>
    </row>
    <row r="1156" spans="1:5" x14ac:dyDescent="0.2">
      <c r="A1156" s="28">
        <v>1155</v>
      </c>
      <c r="B1156" s="28" t="e">
        <f>interpola(#REF!,CURVA!$B$6:$B$20,CURVA!$G$6:$G$20)</f>
        <v>#VALUE!</v>
      </c>
      <c r="C1156" s="29" t="e">
        <f t="shared" si="18"/>
        <v>#VALUE!</v>
      </c>
      <c r="E1156" t="e">
        <f>cubic_spline(CURVA!$B$6:$B$20,CURVA!$G$6:$G$20,#REF!)</f>
        <v>#VALUE!</v>
      </c>
    </row>
    <row r="1157" spans="1:5" x14ac:dyDescent="0.2">
      <c r="A1157" s="28">
        <v>1156</v>
      </c>
      <c r="B1157" s="28" t="e">
        <f>interpola(#REF!,CURVA!$B$6:$B$20,CURVA!$G$6:$G$20)</f>
        <v>#VALUE!</v>
      </c>
      <c r="C1157" s="29" t="e">
        <f t="shared" si="18"/>
        <v>#VALUE!</v>
      </c>
      <c r="E1157" t="e">
        <f>cubic_spline(CURVA!$B$6:$B$20,CURVA!$G$6:$G$20,#REF!)</f>
        <v>#VALUE!</v>
      </c>
    </row>
    <row r="1158" spans="1:5" x14ac:dyDescent="0.2">
      <c r="A1158" s="28">
        <v>1157</v>
      </c>
      <c r="B1158" s="28" t="e">
        <f>interpola(#REF!,CURVA!$B$6:$B$20,CURVA!$G$6:$G$20)</f>
        <v>#VALUE!</v>
      </c>
      <c r="C1158" s="29" t="e">
        <f t="shared" si="18"/>
        <v>#VALUE!</v>
      </c>
      <c r="E1158" t="e">
        <f>cubic_spline(CURVA!$B$6:$B$20,CURVA!$G$6:$G$20,#REF!)</f>
        <v>#VALUE!</v>
      </c>
    </row>
    <row r="1159" spans="1:5" x14ac:dyDescent="0.2">
      <c r="A1159" s="28">
        <v>1158</v>
      </c>
      <c r="B1159" s="28" t="e">
        <f>interpola(#REF!,CURVA!$B$6:$B$20,CURVA!$G$6:$G$20)</f>
        <v>#VALUE!</v>
      </c>
      <c r="C1159" s="29" t="e">
        <f t="shared" si="18"/>
        <v>#VALUE!</v>
      </c>
      <c r="E1159" t="e">
        <f>cubic_spline(CURVA!$B$6:$B$20,CURVA!$G$6:$G$20,#REF!)</f>
        <v>#VALUE!</v>
      </c>
    </row>
    <row r="1160" spans="1:5" x14ac:dyDescent="0.2">
      <c r="A1160" s="28">
        <v>1159</v>
      </c>
      <c r="B1160" s="28" t="e">
        <f>interpola(#REF!,CURVA!$B$6:$B$20,CURVA!$G$6:$G$20)</f>
        <v>#VALUE!</v>
      </c>
      <c r="C1160" s="29" t="e">
        <f t="shared" si="18"/>
        <v>#VALUE!</v>
      </c>
      <c r="E1160" t="e">
        <f>cubic_spline(CURVA!$B$6:$B$20,CURVA!$G$6:$G$20,#REF!)</f>
        <v>#VALUE!</v>
      </c>
    </row>
    <row r="1161" spans="1:5" x14ac:dyDescent="0.2">
      <c r="A1161" s="28">
        <v>1160</v>
      </c>
      <c r="B1161" s="28" t="e">
        <f>interpola(#REF!,CURVA!$B$6:$B$20,CURVA!$G$6:$G$20)</f>
        <v>#VALUE!</v>
      </c>
      <c r="C1161" s="29" t="e">
        <f t="shared" si="18"/>
        <v>#VALUE!</v>
      </c>
      <c r="E1161" t="e">
        <f>cubic_spline(CURVA!$B$6:$B$20,CURVA!$G$6:$G$20,#REF!)</f>
        <v>#VALUE!</v>
      </c>
    </row>
    <row r="1162" spans="1:5" x14ac:dyDescent="0.2">
      <c r="A1162" s="28">
        <v>1161</v>
      </c>
      <c r="B1162" s="28" t="e">
        <f>interpola(#REF!,CURVA!$B$6:$B$20,CURVA!$G$6:$G$20)</f>
        <v>#VALUE!</v>
      </c>
      <c r="C1162" s="29" t="e">
        <f t="shared" si="18"/>
        <v>#VALUE!</v>
      </c>
      <c r="E1162" t="e">
        <f>cubic_spline(CURVA!$B$6:$B$20,CURVA!$G$6:$G$20,#REF!)</f>
        <v>#VALUE!</v>
      </c>
    </row>
    <row r="1163" spans="1:5" x14ac:dyDescent="0.2">
      <c r="A1163" s="28">
        <v>1162</v>
      </c>
      <c r="B1163" s="28" t="e">
        <f>interpola(#REF!,CURVA!$B$6:$B$20,CURVA!$G$6:$G$20)</f>
        <v>#VALUE!</v>
      </c>
      <c r="C1163" s="29" t="e">
        <f t="shared" si="18"/>
        <v>#VALUE!</v>
      </c>
      <c r="E1163" t="e">
        <f>cubic_spline(CURVA!$B$6:$B$20,CURVA!$G$6:$G$20,#REF!)</f>
        <v>#VALUE!</v>
      </c>
    </row>
    <row r="1164" spans="1:5" x14ac:dyDescent="0.2">
      <c r="A1164" s="28">
        <v>1163</v>
      </c>
      <c r="B1164" s="28" t="e">
        <f>interpola(#REF!,CURVA!$B$6:$B$20,CURVA!$G$6:$G$20)</f>
        <v>#VALUE!</v>
      </c>
      <c r="C1164" s="29" t="e">
        <f t="shared" si="18"/>
        <v>#VALUE!</v>
      </c>
      <c r="E1164" t="e">
        <f>cubic_spline(CURVA!$B$6:$B$20,CURVA!$G$6:$G$20,#REF!)</f>
        <v>#VALUE!</v>
      </c>
    </row>
    <row r="1165" spans="1:5" x14ac:dyDescent="0.2">
      <c r="A1165" s="28">
        <v>1164</v>
      </c>
      <c r="B1165" s="28" t="e">
        <f>interpola(#REF!,CURVA!$B$6:$B$20,CURVA!$G$6:$G$20)</f>
        <v>#VALUE!</v>
      </c>
      <c r="C1165" s="29" t="e">
        <f t="shared" si="18"/>
        <v>#VALUE!</v>
      </c>
      <c r="E1165" t="e">
        <f>cubic_spline(CURVA!$B$6:$B$20,CURVA!$G$6:$G$20,#REF!)</f>
        <v>#VALUE!</v>
      </c>
    </row>
    <row r="1166" spans="1:5" x14ac:dyDescent="0.2">
      <c r="A1166" s="28">
        <v>1165</v>
      </c>
      <c r="B1166" s="28" t="e">
        <f>interpola(#REF!,CURVA!$B$6:$B$20,CURVA!$G$6:$G$20)</f>
        <v>#VALUE!</v>
      </c>
      <c r="C1166" s="29" t="e">
        <f t="shared" si="18"/>
        <v>#VALUE!</v>
      </c>
      <c r="E1166" t="e">
        <f>cubic_spline(CURVA!$B$6:$B$20,CURVA!$G$6:$G$20,#REF!)</f>
        <v>#VALUE!</v>
      </c>
    </row>
    <row r="1167" spans="1:5" x14ac:dyDescent="0.2">
      <c r="A1167" s="28">
        <v>1166</v>
      </c>
      <c r="B1167" s="28" t="e">
        <f>interpola(#REF!,CURVA!$B$6:$B$20,CURVA!$G$6:$G$20)</f>
        <v>#VALUE!</v>
      </c>
      <c r="C1167" s="29" t="e">
        <f t="shared" si="18"/>
        <v>#VALUE!</v>
      </c>
      <c r="E1167" t="e">
        <f>cubic_spline(CURVA!$B$6:$B$20,CURVA!$G$6:$G$20,#REF!)</f>
        <v>#VALUE!</v>
      </c>
    </row>
    <row r="1168" spans="1:5" x14ac:dyDescent="0.2">
      <c r="A1168" s="28">
        <v>1167</v>
      </c>
      <c r="B1168" s="28" t="e">
        <f>interpola(#REF!,CURVA!$B$6:$B$20,CURVA!$G$6:$G$20)</f>
        <v>#VALUE!</v>
      </c>
      <c r="C1168" s="29" t="e">
        <f t="shared" si="18"/>
        <v>#VALUE!</v>
      </c>
      <c r="E1168" t="e">
        <f>cubic_spline(CURVA!$B$6:$B$20,CURVA!$G$6:$G$20,#REF!)</f>
        <v>#VALUE!</v>
      </c>
    </row>
    <row r="1169" spans="1:5" x14ac:dyDescent="0.2">
      <c r="A1169" s="28">
        <v>1168</v>
      </c>
      <c r="B1169" s="28" t="e">
        <f>interpola(#REF!,CURVA!$B$6:$B$20,CURVA!$G$6:$G$20)</f>
        <v>#VALUE!</v>
      </c>
      <c r="C1169" s="29" t="e">
        <f t="shared" si="18"/>
        <v>#VALUE!</v>
      </c>
      <c r="E1169" t="e">
        <f>cubic_spline(CURVA!$B$6:$B$20,CURVA!$G$6:$G$20,#REF!)</f>
        <v>#VALUE!</v>
      </c>
    </row>
    <row r="1170" spans="1:5" x14ac:dyDescent="0.2">
      <c r="A1170" s="28">
        <v>1169</v>
      </c>
      <c r="B1170" s="28" t="e">
        <f>interpola(#REF!,CURVA!$B$6:$B$20,CURVA!$G$6:$G$20)</f>
        <v>#VALUE!</v>
      </c>
      <c r="C1170" s="29" t="e">
        <f t="shared" si="18"/>
        <v>#VALUE!</v>
      </c>
      <c r="E1170" t="e">
        <f>cubic_spline(CURVA!$B$6:$B$20,CURVA!$G$6:$G$20,#REF!)</f>
        <v>#VALUE!</v>
      </c>
    </row>
    <row r="1171" spans="1:5" x14ac:dyDescent="0.2">
      <c r="A1171" s="28">
        <v>1170</v>
      </c>
      <c r="B1171" s="28" t="e">
        <f>interpola(#REF!,CURVA!$B$6:$B$20,CURVA!$G$6:$G$20)</f>
        <v>#VALUE!</v>
      </c>
      <c r="C1171" s="29" t="e">
        <f t="shared" si="18"/>
        <v>#VALUE!</v>
      </c>
      <c r="E1171" t="e">
        <f>cubic_spline(CURVA!$B$6:$B$20,CURVA!$G$6:$G$20,#REF!)</f>
        <v>#VALUE!</v>
      </c>
    </row>
    <row r="1172" spans="1:5" x14ac:dyDescent="0.2">
      <c r="A1172" s="28">
        <v>1171</v>
      </c>
      <c r="B1172" s="28" t="e">
        <f>interpola(#REF!,CURVA!$B$6:$B$20,CURVA!$G$6:$G$20)</f>
        <v>#VALUE!</v>
      </c>
      <c r="C1172" s="29" t="e">
        <f t="shared" si="18"/>
        <v>#VALUE!</v>
      </c>
      <c r="E1172" t="e">
        <f>cubic_spline(CURVA!$B$6:$B$20,CURVA!$G$6:$G$20,#REF!)</f>
        <v>#VALUE!</v>
      </c>
    </row>
    <row r="1173" spans="1:5" x14ac:dyDescent="0.2">
      <c r="A1173" s="28">
        <v>1172</v>
      </c>
      <c r="B1173" s="28" t="e">
        <f>interpola(#REF!,CURVA!$B$6:$B$20,CURVA!$G$6:$G$20)</f>
        <v>#VALUE!</v>
      </c>
      <c r="C1173" s="29" t="e">
        <f t="shared" si="18"/>
        <v>#VALUE!</v>
      </c>
      <c r="E1173" t="e">
        <f>cubic_spline(CURVA!$B$6:$B$20,CURVA!$G$6:$G$20,#REF!)</f>
        <v>#VALUE!</v>
      </c>
    </row>
    <row r="1174" spans="1:5" x14ac:dyDescent="0.2">
      <c r="A1174" s="28">
        <v>1173</v>
      </c>
      <c r="B1174" s="28" t="e">
        <f>interpola(#REF!,CURVA!$B$6:$B$20,CURVA!$G$6:$G$20)</f>
        <v>#VALUE!</v>
      </c>
      <c r="C1174" s="29" t="e">
        <f t="shared" si="18"/>
        <v>#VALUE!</v>
      </c>
      <c r="E1174" t="e">
        <f>cubic_spline(CURVA!$B$6:$B$20,CURVA!$G$6:$G$20,#REF!)</f>
        <v>#VALUE!</v>
      </c>
    </row>
    <row r="1175" spans="1:5" x14ac:dyDescent="0.2">
      <c r="A1175" s="28">
        <v>1174</v>
      </c>
      <c r="B1175" s="28" t="e">
        <f>interpola(#REF!,CURVA!$B$6:$B$20,CURVA!$G$6:$G$20)</f>
        <v>#VALUE!</v>
      </c>
      <c r="C1175" s="29" t="e">
        <f t="shared" si="18"/>
        <v>#VALUE!</v>
      </c>
      <c r="E1175" t="e">
        <f>cubic_spline(CURVA!$B$6:$B$20,CURVA!$G$6:$G$20,#REF!)</f>
        <v>#VALUE!</v>
      </c>
    </row>
    <row r="1176" spans="1:5" x14ac:dyDescent="0.2">
      <c r="A1176" s="28">
        <v>1175</v>
      </c>
      <c r="B1176" s="28" t="e">
        <f>interpola(#REF!,CURVA!$B$6:$B$20,CURVA!$G$6:$G$20)</f>
        <v>#VALUE!</v>
      </c>
      <c r="C1176" s="29" t="e">
        <f t="shared" si="18"/>
        <v>#VALUE!</v>
      </c>
      <c r="E1176" t="e">
        <f>cubic_spline(CURVA!$B$6:$B$20,CURVA!$G$6:$G$20,#REF!)</f>
        <v>#VALUE!</v>
      </c>
    </row>
    <row r="1177" spans="1:5" x14ac:dyDescent="0.2">
      <c r="A1177" s="28">
        <v>1176</v>
      </c>
      <c r="B1177" s="28" t="e">
        <f>interpola(#REF!,CURVA!$B$6:$B$20,CURVA!$G$6:$G$20)</f>
        <v>#VALUE!</v>
      </c>
      <c r="C1177" s="29" t="e">
        <f t="shared" si="18"/>
        <v>#VALUE!</v>
      </c>
      <c r="E1177" t="e">
        <f>cubic_spline(CURVA!$B$6:$B$20,CURVA!$G$6:$G$20,#REF!)</f>
        <v>#VALUE!</v>
      </c>
    </row>
    <row r="1178" spans="1:5" x14ac:dyDescent="0.2">
      <c r="A1178" s="28">
        <v>1177</v>
      </c>
      <c r="B1178" s="28" t="e">
        <f>interpola(#REF!,CURVA!$B$6:$B$20,CURVA!$G$6:$G$20)</f>
        <v>#VALUE!</v>
      </c>
      <c r="C1178" s="29" t="e">
        <f t="shared" si="18"/>
        <v>#VALUE!</v>
      </c>
      <c r="E1178" t="e">
        <f>cubic_spline(CURVA!$B$6:$B$20,CURVA!$G$6:$G$20,#REF!)</f>
        <v>#VALUE!</v>
      </c>
    </row>
    <row r="1179" spans="1:5" x14ac:dyDescent="0.2">
      <c r="A1179" s="28">
        <v>1178</v>
      </c>
      <c r="B1179" s="28" t="e">
        <f>interpola(#REF!,CURVA!$B$6:$B$20,CURVA!$G$6:$G$20)</f>
        <v>#VALUE!</v>
      </c>
      <c r="C1179" s="29" t="e">
        <f t="shared" si="18"/>
        <v>#VALUE!</v>
      </c>
      <c r="E1179" t="e">
        <f>cubic_spline(CURVA!$B$6:$B$20,CURVA!$G$6:$G$20,#REF!)</f>
        <v>#VALUE!</v>
      </c>
    </row>
    <row r="1180" spans="1:5" x14ac:dyDescent="0.2">
      <c r="A1180" s="28">
        <v>1179</v>
      </c>
      <c r="B1180" s="28" t="e">
        <f>interpola(#REF!,CURVA!$B$6:$B$20,CURVA!$G$6:$G$20)</f>
        <v>#VALUE!</v>
      </c>
      <c r="C1180" s="29" t="e">
        <f t="shared" si="18"/>
        <v>#VALUE!</v>
      </c>
      <c r="E1180" t="e">
        <f>cubic_spline(CURVA!$B$6:$B$20,CURVA!$G$6:$G$20,#REF!)</f>
        <v>#VALUE!</v>
      </c>
    </row>
    <row r="1181" spans="1:5" x14ac:dyDescent="0.2">
      <c r="A1181" s="28">
        <v>1180</v>
      </c>
      <c r="B1181" s="28" t="e">
        <f>interpola(#REF!,CURVA!$B$6:$B$20,CURVA!$G$6:$G$20)</f>
        <v>#VALUE!</v>
      </c>
      <c r="C1181" s="29" t="e">
        <f t="shared" si="18"/>
        <v>#VALUE!</v>
      </c>
      <c r="E1181" t="e">
        <f>cubic_spline(CURVA!$B$6:$B$20,CURVA!$G$6:$G$20,#REF!)</f>
        <v>#VALUE!</v>
      </c>
    </row>
    <row r="1182" spans="1:5" x14ac:dyDescent="0.2">
      <c r="A1182" s="28">
        <v>1181</v>
      </c>
      <c r="B1182" s="28" t="e">
        <f>interpola(#REF!,CURVA!$B$6:$B$20,CURVA!$G$6:$G$20)</f>
        <v>#VALUE!</v>
      </c>
      <c r="C1182" s="29" t="e">
        <f t="shared" si="18"/>
        <v>#VALUE!</v>
      </c>
      <c r="E1182" t="e">
        <f>cubic_spline(CURVA!$B$6:$B$20,CURVA!$G$6:$G$20,#REF!)</f>
        <v>#VALUE!</v>
      </c>
    </row>
    <row r="1183" spans="1:5" x14ac:dyDescent="0.2">
      <c r="A1183" s="28">
        <v>1182</v>
      </c>
      <c r="B1183" s="28" t="e">
        <f>interpola(#REF!,CURVA!$B$6:$B$20,CURVA!$G$6:$G$20)</f>
        <v>#VALUE!</v>
      </c>
      <c r="C1183" s="29" t="e">
        <f t="shared" si="18"/>
        <v>#VALUE!</v>
      </c>
      <c r="E1183" t="e">
        <f>cubic_spline(CURVA!$B$6:$B$20,CURVA!$G$6:$G$20,#REF!)</f>
        <v>#VALUE!</v>
      </c>
    </row>
    <row r="1184" spans="1:5" x14ac:dyDescent="0.2">
      <c r="A1184" s="28">
        <v>1183</v>
      </c>
      <c r="B1184" s="28" t="e">
        <f>interpola(#REF!,CURVA!$B$6:$B$20,CURVA!$G$6:$G$20)</f>
        <v>#VALUE!</v>
      </c>
      <c r="C1184" s="29" t="e">
        <f t="shared" si="18"/>
        <v>#VALUE!</v>
      </c>
      <c r="E1184" t="e">
        <f>cubic_spline(CURVA!$B$6:$B$20,CURVA!$G$6:$G$20,#REF!)</f>
        <v>#VALUE!</v>
      </c>
    </row>
    <row r="1185" spans="1:5" x14ac:dyDescent="0.2">
      <c r="A1185" s="28">
        <v>1184</v>
      </c>
      <c r="B1185" s="28" t="e">
        <f>interpola(#REF!,CURVA!$B$6:$B$20,CURVA!$G$6:$G$20)</f>
        <v>#VALUE!</v>
      </c>
      <c r="C1185" s="29" t="e">
        <f t="shared" si="18"/>
        <v>#VALUE!</v>
      </c>
      <c r="E1185" t="e">
        <f>cubic_spline(CURVA!$B$6:$B$20,CURVA!$G$6:$G$20,#REF!)</f>
        <v>#VALUE!</v>
      </c>
    </row>
    <row r="1186" spans="1:5" x14ac:dyDescent="0.2">
      <c r="A1186" s="28">
        <v>1185</v>
      </c>
      <c r="B1186" s="28" t="e">
        <f>interpola(#REF!,CURVA!$B$6:$B$20,CURVA!$G$6:$G$20)</f>
        <v>#VALUE!</v>
      </c>
      <c r="C1186" s="29" t="e">
        <f t="shared" si="18"/>
        <v>#VALUE!</v>
      </c>
      <c r="E1186" t="e">
        <f>cubic_spline(CURVA!$B$6:$B$20,CURVA!$G$6:$G$20,#REF!)</f>
        <v>#VALUE!</v>
      </c>
    </row>
    <row r="1187" spans="1:5" x14ac:dyDescent="0.2">
      <c r="A1187" s="28">
        <v>1186</v>
      </c>
      <c r="B1187" s="28" t="e">
        <f>interpola(#REF!,CURVA!$B$6:$B$20,CURVA!$G$6:$G$20)</f>
        <v>#VALUE!</v>
      </c>
      <c r="C1187" s="29" t="e">
        <f t="shared" si="18"/>
        <v>#VALUE!</v>
      </c>
      <c r="E1187" t="e">
        <f>cubic_spline(CURVA!$B$6:$B$20,CURVA!$G$6:$G$20,#REF!)</f>
        <v>#VALUE!</v>
      </c>
    </row>
    <row r="1188" spans="1:5" x14ac:dyDescent="0.2">
      <c r="A1188" s="28">
        <v>1187</v>
      </c>
      <c r="B1188" s="28" t="e">
        <f>interpola(#REF!,CURVA!$B$6:$B$20,CURVA!$G$6:$G$20)</f>
        <v>#VALUE!</v>
      </c>
      <c r="C1188" s="29" t="e">
        <f t="shared" si="18"/>
        <v>#VALUE!</v>
      </c>
      <c r="E1188" t="e">
        <f>cubic_spline(CURVA!$B$6:$B$20,CURVA!$G$6:$G$20,#REF!)</f>
        <v>#VALUE!</v>
      </c>
    </row>
    <row r="1189" spans="1:5" x14ac:dyDescent="0.2">
      <c r="A1189" s="28">
        <v>1188</v>
      </c>
      <c r="B1189" s="28" t="e">
        <f>interpola(#REF!,CURVA!$B$6:$B$20,CURVA!$G$6:$G$20)</f>
        <v>#VALUE!</v>
      </c>
      <c r="C1189" s="29" t="e">
        <f t="shared" si="18"/>
        <v>#VALUE!</v>
      </c>
      <c r="E1189" t="e">
        <f>cubic_spline(CURVA!$B$6:$B$20,CURVA!$G$6:$G$20,#REF!)</f>
        <v>#VALUE!</v>
      </c>
    </row>
    <row r="1190" spans="1:5" x14ac:dyDescent="0.2">
      <c r="A1190" s="28">
        <v>1189</v>
      </c>
      <c r="B1190" s="28" t="e">
        <f>interpola(#REF!,CURVA!$B$6:$B$20,CURVA!$G$6:$G$20)</f>
        <v>#VALUE!</v>
      </c>
      <c r="C1190" s="29" t="e">
        <f t="shared" si="18"/>
        <v>#VALUE!</v>
      </c>
      <c r="E1190" t="e">
        <f>cubic_spline(CURVA!$B$6:$B$20,CURVA!$G$6:$G$20,#REF!)</f>
        <v>#VALUE!</v>
      </c>
    </row>
    <row r="1191" spans="1:5" x14ac:dyDescent="0.2">
      <c r="A1191" s="28">
        <v>1190</v>
      </c>
      <c r="B1191" s="28" t="e">
        <f>interpola(#REF!,CURVA!$B$6:$B$20,CURVA!$G$6:$G$20)</f>
        <v>#VALUE!</v>
      </c>
      <c r="C1191" s="29" t="e">
        <f t="shared" si="18"/>
        <v>#VALUE!</v>
      </c>
      <c r="E1191" t="e">
        <f>cubic_spline(CURVA!$B$6:$B$20,CURVA!$G$6:$G$20,#REF!)</f>
        <v>#VALUE!</v>
      </c>
    </row>
    <row r="1192" spans="1:5" x14ac:dyDescent="0.2">
      <c r="A1192" s="28">
        <v>1191</v>
      </c>
      <c r="B1192" s="28" t="e">
        <f>interpola(#REF!,CURVA!$B$6:$B$20,CURVA!$G$6:$G$20)</f>
        <v>#VALUE!</v>
      </c>
      <c r="C1192" s="29" t="e">
        <f t="shared" si="18"/>
        <v>#VALUE!</v>
      </c>
      <c r="E1192" t="e">
        <f>cubic_spline(CURVA!$B$6:$B$20,CURVA!$G$6:$G$20,#REF!)</f>
        <v>#VALUE!</v>
      </c>
    </row>
    <row r="1193" spans="1:5" x14ac:dyDescent="0.2">
      <c r="A1193" s="28">
        <v>1192</v>
      </c>
      <c r="B1193" s="28" t="e">
        <f>interpola(#REF!,CURVA!$B$6:$B$20,CURVA!$G$6:$G$20)</f>
        <v>#VALUE!</v>
      </c>
      <c r="C1193" s="29" t="e">
        <f t="shared" si="18"/>
        <v>#VALUE!</v>
      </c>
      <c r="E1193" t="e">
        <f>cubic_spline(CURVA!$B$6:$B$20,CURVA!$G$6:$G$20,#REF!)</f>
        <v>#VALUE!</v>
      </c>
    </row>
    <row r="1194" spans="1:5" x14ac:dyDescent="0.2">
      <c r="A1194" s="28">
        <v>1193</v>
      </c>
      <c r="B1194" s="28" t="e">
        <f>interpola(#REF!,CURVA!$B$6:$B$20,CURVA!$G$6:$G$20)</f>
        <v>#VALUE!</v>
      </c>
      <c r="C1194" s="29" t="e">
        <f t="shared" si="18"/>
        <v>#VALUE!</v>
      </c>
      <c r="E1194" t="e">
        <f>cubic_spline(CURVA!$B$6:$B$20,CURVA!$G$6:$G$20,#REF!)</f>
        <v>#VALUE!</v>
      </c>
    </row>
    <row r="1195" spans="1:5" x14ac:dyDescent="0.2">
      <c r="A1195" s="28">
        <v>1194</v>
      </c>
      <c r="B1195" s="28" t="e">
        <f>interpola(#REF!,CURVA!$B$6:$B$20,CURVA!$G$6:$G$20)</f>
        <v>#VALUE!</v>
      </c>
      <c r="C1195" s="29" t="e">
        <f t="shared" si="18"/>
        <v>#VALUE!</v>
      </c>
      <c r="E1195" t="e">
        <f>cubic_spline(CURVA!$B$6:$B$20,CURVA!$G$6:$G$20,#REF!)</f>
        <v>#VALUE!</v>
      </c>
    </row>
    <row r="1196" spans="1:5" x14ac:dyDescent="0.2">
      <c r="A1196" s="28">
        <v>1195</v>
      </c>
      <c r="B1196" s="28" t="e">
        <f>interpola(#REF!,CURVA!$B$6:$B$20,CURVA!$G$6:$G$20)</f>
        <v>#VALUE!</v>
      </c>
      <c r="C1196" s="29" t="e">
        <f t="shared" si="18"/>
        <v>#VALUE!</v>
      </c>
      <c r="E1196" t="e">
        <f>cubic_spline(CURVA!$B$6:$B$20,CURVA!$G$6:$G$20,#REF!)</f>
        <v>#VALUE!</v>
      </c>
    </row>
    <row r="1197" spans="1:5" x14ac:dyDescent="0.2">
      <c r="A1197" s="28">
        <v>1196</v>
      </c>
      <c r="B1197" s="28" t="e">
        <f>interpola(#REF!,CURVA!$B$6:$B$20,CURVA!$G$6:$G$20)</f>
        <v>#VALUE!</v>
      </c>
      <c r="C1197" s="29" t="e">
        <f t="shared" si="18"/>
        <v>#VALUE!</v>
      </c>
      <c r="E1197" t="e">
        <f>cubic_spline(CURVA!$B$6:$B$20,CURVA!$G$6:$G$20,#REF!)</f>
        <v>#VALUE!</v>
      </c>
    </row>
    <row r="1198" spans="1:5" x14ac:dyDescent="0.2">
      <c r="A1198" s="28">
        <v>1197</v>
      </c>
      <c r="B1198" s="28" t="e">
        <f>interpola(#REF!,CURVA!$B$6:$B$20,CURVA!$G$6:$G$20)</f>
        <v>#VALUE!</v>
      </c>
      <c r="C1198" s="29" t="e">
        <f t="shared" si="18"/>
        <v>#VALUE!</v>
      </c>
      <c r="E1198" t="e">
        <f>cubic_spline(CURVA!$B$6:$B$20,CURVA!$G$6:$G$20,#REF!)</f>
        <v>#VALUE!</v>
      </c>
    </row>
    <row r="1199" spans="1:5" x14ac:dyDescent="0.2">
      <c r="A1199" s="28">
        <v>1198</v>
      </c>
      <c r="B1199" s="28" t="e">
        <f>interpola(#REF!,CURVA!$B$6:$B$20,CURVA!$G$6:$G$20)</f>
        <v>#VALUE!</v>
      </c>
      <c r="C1199" s="29" t="e">
        <f t="shared" si="18"/>
        <v>#VALUE!</v>
      </c>
      <c r="E1199" t="e">
        <f>cubic_spline(CURVA!$B$6:$B$20,CURVA!$G$6:$G$20,#REF!)</f>
        <v>#VALUE!</v>
      </c>
    </row>
    <row r="1200" spans="1:5" x14ac:dyDescent="0.2">
      <c r="A1200" s="28">
        <v>1199</v>
      </c>
      <c r="B1200" s="28" t="e">
        <f>interpola(#REF!,CURVA!$B$6:$B$20,CURVA!$G$6:$G$20)</f>
        <v>#VALUE!</v>
      </c>
      <c r="C1200" s="29" t="e">
        <f t="shared" si="18"/>
        <v>#VALUE!</v>
      </c>
      <c r="E1200" t="e">
        <f>cubic_spline(CURVA!$B$6:$B$20,CURVA!$G$6:$G$20,#REF!)</f>
        <v>#VALUE!</v>
      </c>
    </row>
    <row r="1201" spans="1:5" x14ac:dyDescent="0.2">
      <c r="A1201" s="28">
        <v>1200</v>
      </c>
      <c r="B1201" s="28" t="e">
        <f>interpola(#REF!,CURVA!$B$6:$B$20,CURVA!$G$6:$G$20)</f>
        <v>#VALUE!</v>
      </c>
      <c r="C1201" s="29" t="e">
        <f t="shared" si="18"/>
        <v>#VALUE!</v>
      </c>
      <c r="E1201" t="e">
        <f>cubic_spline(CURVA!$B$6:$B$20,CURVA!$G$6:$G$20,#REF!)</f>
        <v>#VALUE!</v>
      </c>
    </row>
    <row r="1202" spans="1:5" x14ac:dyDescent="0.2">
      <c r="A1202" s="28">
        <v>1201</v>
      </c>
      <c r="B1202" s="28" t="e">
        <f>interpola(#REF!,CURVA!$B$6:$B$20,CURVA!$G$6:$G$20)</f>
        <v>#VALUE!</v>
      </c>
      <c r="C1202" s="29" t="e">
        <f t="shared" si="18"/>
        <v>#VALUE!</v>
      </c>
      <c r="E1202" t="e">
        <f>cubic_spline(CURVA!$B$6:$B$20,CURVA!$G$6:$G$20,#REF!)</f>
        <v>#VALUE!</v>
      </c>
    </row>
    <row r="1203" spans="1:5" x14ac:dyDescent="0.2">
      <c r="A1203" s="28">
        <v>1202</v>
      </c>
      <c r="B1203" s="28" t="e">
        <f>interpola(#REF!,CURVA!$B$6:$B$20,CURVA!$G$6:$G$20)</f>
        <v>#VALUE!</v>
      </c>
      <c r="C1203" s="29" t="e">
        <f t="shared" si="18"/>
        <v>#VALUE!</v>
      </c>
      <c r="E1203" t="e">
        <f>cubic_spline(CURVA!$B$6:$B$20,CURVA!$G$6:$G$20,#REF!)</f>
        <v>#VALUE!</v>
      </c>
    </row>
    <row r="1204" spans="1:5" x14ac:dyDescent="0.2">
      <c r="A1204" s="28">
        <v>1203</v>
      </c>
      <c r="B1204" s="28" t="e">
        <f>interpola(#REF!,CURVA!$B$6:$B$20,CURVA!$G$6:$G$20)</f>
        <v>#VALUE!</v>
      </c>
      <c r="C1204" s="29" t="e">
        <f t="shared" si="18"/>
        <v>#VALUE!</v>
      </c>
      <c r="E1204" t="e">
        <f>cubic_spline(CURVA!$B$6:$B$20,CURVA!$G$6:$G$20,#REF!)</f>
        <v>#VALUE!</v>
      </c>
    </row>
    <row r="1205" spans="1:5" x14ac:dyDescent="0.2">
      <c r="A1205" s="28">
        <v>1204</v>
      </c>
      <c r="B1205" s="28" t="e">
        <f>interpola(#REF!,CURVA!$B$6:$B$20,CURVA!$G$6:$G$20)</f>
        <v>#VALUE!</v>
      </c>
      <c r="C1205" s="29" t="e">
        <f t="shared" si="18"/>
        <v>#VALUE!</v>
      </c>
      <c r="E1205" t="e">
        <f>cubic_spline(CURVA!$B$6:$B$20,CURVA!$G$6:$G$20,#REF!)</f>
        <v>#VALUE!</v>
      </c>
    </row>
    <row r="1206" spans="1:5" x14ac:dyDescent="0.2">
      <c r="A1206" s="28">
        <v>1205</v>
      </c>
      <c r="B1206" s="28" t="e">
        <f>interpola(#REF!,CURVA!$B$6:$B$20,CURVA!$G$6:$G$20)</f>
        <v>#VALUE!</v>
      </c>
      <c r="C1206" s="29" t="e">
        <f t="shared" si="18"/>
        <v>#VALUE!</v>
      </c>
      <c r="E1206" t="e">
        <f>cubic_spline(CURVA!$B$6:$B$20,CURVA!$G$6:$G$20,#REF!)</f>
        <v>#VALUE!</v>
      </c>
    </row>
    <row r="1207" spans="1:5" x14ac:dyDescent="0.2">
      <c r="A1207" s="28">
        <v>1206</v>
      </c>
      <c r="B1207" s="28" t="e">
        <f>interpola(#REF!,CURVA!$B$6:$B$20,CURVA!$G$6:$G$20)</f>
        <v>#VALUE!</v>
      </c>
      <c r="C1207" s="29" t="e">
        <f t="shared" si="18"/>
        <v>#VALUE!</v>
      </c>
      <c r="E1207" t="e">
        <f>cubic_spline(CURVA!$B$6:$B$20,CURVA!$G$6:$G$20,#REF!)</f>
        <v>#VALUE!</v>
      </c>
    </row>
    <row r="1208" spans="1:5" x14ac:dyDescent="0.2">
      <c r="A1208" s="28">
        <v>1207</v>
      </c>
      <c r="B1208" s="28" t="e">
        <f>interpola(#REF!,CURVA!$B$6:$B$20,CURVA!$G$6:$G$20)</f>
        <v>#VALUE!</v>
      </c>
      <c r="C1208" s="29" t="e">
        <f t="shared" si="18"/>
        <v>#VALUE!</v>
      </c>
      <c r="E1208" t="e">
        <f>cubic_spline(CURVA!$B$6:$B$20,CURVA!$G$6:$G$20,#REF!)</f>
        <v>#VALUE!</v>
      </c>
    </row>
    <row r="1209" spans="1:5" x14ac:dyDescent="0.2">
      <c r="A1209" s="28">
        <v>1208</v>
      </c>
      <c r="B1209" s="28" t="e">
        <f>interpola(#REF!,CURVA!$B$6:$B$20,CURVA!$G$6:$G$20)</f>
        <v>#VALUE!</v>
      </c>
      <c r="C1209" s="29" t="e">
        <f t="shared" si="18"/>
        <v>#VALUE!</v>
      </c>
      <c r="E1209" t="e">
        <f>cubic_spline(CURVA!$B$6:$B$20,CURVA!$G$6:$G$20,#REF!)</f>
        <v>#VALUE!</v>
      </c>
    </row>
    <row r="1210" spans="1:5" x14ac:dyDescent="0.2">
      <c r="A1210" s="28">
        <v>1209</v>
      </c>
      <c r="B1210" s="28" t="e">
        <f>interpola(#REF!,CURVA!$B$6:$B$20,CURVA!$G$6:$G$20)</f>
        <v>#VALUE!</v>
      </c>
      <c r="C1210" s="29" t="e">
        <f t="shared" si="18"/>
        <v>#VALUE!</v>
      </c>
      <c r="E1210" t="e">
        <f>cubic_spline(CURVA!$B$6:$B$20,CURVA!$G$6:$G$20,#REF!)</f>
        <v>#VALUE!</v>
      </c>
    </row>
    <row r="1211" spans="1:5" x14ac:dyDescent="0.2">
      <c r="A1211" s="28">
        <v>1210</v>
      </c>
      <c r="B1211" s="28" t="e">
        <f>interpola(#REF!,CURVA!$B$6:$B$20,CURVA!$G$6:$G$20)</f>
        <v>#VALUE!</v>
      </c>
      <c r="C1211" s="29" t="e">
        <f t="shared" si="18"/>
        <v>#VALUE!</v>
      </c>
      <c r="E1211" t="e">
        <f>cubic_spline(CURVA!$B$6:$B$20,CURVA!$G$6:$G$20,#REF!)</f>
        <v>#VALUE!</v>
      </c>
    </row>
    <row r="1212" spans="1:5" x14ac:dyDescent="0.2">
      <c r="A1212" s="28">
        <v>1211</v>
      </c>
      <c r="B1212" s="28" t="e">
        <f>interpola(#REF!,CURVA!$B$6:$B$20,CURVA!$G$6:$G$20)</f>
        <v>#VALUE!</v>
      </c>
      <c r="C1212" s="29" t="e">
        <f t="shared" si="18"/>
        <v>#VALUE!</v>
      </c>
      <c r="E1212" t="e">
        <f>cubic_spline(CURVA!$B$6:$B$20,CURVA!$G$6:$G$20,#REF!)</f>
        <v>#VALUE!</v>
      </c>
    </row>
    <row r="1213" spans="1:5" x14ac:dyDescent="0.2">
      <c r="A1213" s="28">
        <v>1212</v>
      </c>
      <c r="B1213" s="28" t="e">
        <f>interpola(#REF!,CURVA!$B$6:$B$20,CURVA!$G$6:$G$20)</f>
        <v>#VALUE!</v>
      </c>
      <c r="C1213" s="29" t="e">
        <f t="shared" si="18"/>
        <v>#VALUE!</v>
      </c>
      <c r="E1213" t="e">
        <f>cubic_spline(CURVA!$B$6:$B$20,CURVA!$G$6:$G$20,#REF!)</f>
        <v>#VALUE!</v>
      </c>
    </row>
    <row r="1214" spans="1:5" x14ac:dyDescent="0.2">
      <c r="A1214" s="28">
        <v>1213</v>
      </c>
      <c r="B1214" s="28" t="e">
        <f>interpola(#REF!,CURVA!$B$6:$B$20,CURVA!$G$6:$G$20)</f>
        <v>#VALUE!</v>
      </c>
      <c r="C1214" s="29" t="e">
        <f t="shared" si="18"/>
        <v>#VALUE!</v>
      </c>
      <c r="E1214" t="e">
        <f>cubic_spline(CURVA!$B$6:$B$20,CURVA!$G$6:$G$20,#REF!)</f>
        <v>#VALUE!</v>
      </c>
    </row>
    <row r="1215" spans="1:5" x14ac:dyDescent="0.2">
      <c r="A1215" s="28">
        <v>1214</v>
      </c>
      <c r="B1215" s="28" t="e">
        <f>interpola(#REF!,CURVA!$B$6:$B$20,CURVA!$G$6:$G$20)</f>
        <v>#VALUE!</v>
      </c>
      <c r="C1215" s="29" t="e">
        <f t="shared" si="18"/>
        <v>#VALUE!</v>
      </c>
      <c r="E1215" t="e">
        <f>cubic_spline(CURVA!$B$6:$B$20,CURVA!$G$6:$G$20,#REF!)</f>
        <v>#VALUE!</v>
      </c>
    </row>
    <row r="1216" spans="1:5" x14ac:dyDescent="0.2">
      <c r="A1216" s="28">
        <v>1215</v>
      </c>
      <c r="B1216" s="28" t="e">
        <f>interpola(#REF!,CURVA!$B$6:$B$20,CURVA!$G$6:$G$20)</f>
        <v>#VALUE!</v>
      </c>
      <c r="C1216" s="29" t="e">
        <f t="shared" si="18"/>
        <v>#VALUE!</v>
      </c>
      <c r="E1216" t="e">
        <f>cubic_spline(CURVA!$B$6:$B$20,CURVA!$G$6:$G$20,#REF!)</f>
        <v>#VALUE!</v>
      </c>
    </row>
    <row r="1217" spans="1:5" x14ac:dyDescent="0.2">
      <c r="A1217" s="28">
        <v>1216</v>
      </c>
      <c r="B1217" s="28" t="e">
        <f>interpola(#REF!,CURVA!$B$6:$B$20,CURVA!$G$6:$G$20)</f>
        <v>#VALUE!</v>
      </c>
      <c r="C1217" s="29" t="e">
        <f t="shared" si="18"/>
        <v>#VALUE!</v>
      </c>
      <c r="E1217" t="e">
        <f>cubic_spline(CURVA!$B$6:$B$20,CURVA!$G$6:$G$20,#REF!)</f>
        <v>#VALUE!</v>
      </c>
    </row>
    <row r="1218" spans="1:5" x14ac:dyDescent="0.2">
      <c r="A1218" s="28">
        <v>1217</v>
      </c>
      <c r="B1218" s="28" t="e">
        <f>interpola(#REF!,CURVA!$B$6:$B$20,CURVA!$G$6:$G$20)</f>
        <v>#VALUE!</v>
      </c>
      <c r="C1218" s="29" t="e">
        <f t="shared" ref="C1218:C1281" si="19">(EXP(B1218*A1218/360)-1)*360/A1218</f>
        <v>#VALUE!</v>
      </c>
      <c r="E1218" t="e">
        <f>cubic_spline(CURVA!$B$6:$B$20,CURVA!$G$6:$G$20,#REF!)</f>
        <v>#VALUE!</v>
      </c>
    </row>
    <row r="1219" spans="1:5" x14ac:dyDescent="0.2">
      <c r="A1219" s="28">
        <v>1218</v>
      </c>
      <c r="B1219" s="28" t="e">
        <f>interpola(#REF!,CURVA!$B$6:$B$20,CURVA!$G$6:$G$20)</f>
        <v>#VALUE!</v>
      </c>
      <c r="C1219" s="29" t="e">
        <f t="shared" si="19"/>
        <v>#VALUE!</v>
      </c>
      <c r="E1219" t="e">
        <f>cubic_spline(CURVA!$B$6:$B$20,CURVA!$G$6:$G$20,#REF!)</f>
        <v>#VALUE!</v>
      </c>
    </row>
    <row r="1220" spans="1:5" x14ac:dyDescent="0.2">
      <c r="A1220" s="28">
        <v>1219</v>
      </c>
      <c r="B1220" s="28" t="e">
        <f>interpola(#REF!,CURVA!$B$6:$B$20,CURVA!$G$6:$G$20)</f>
        <v>#VALUE!</v>
      </c>
      <c r="C1220" s="29" t="e">
        <f t="shared" si="19"/>
        <v>#VALUE!</v>
      </c>
      <c r="E1220" t="e">
        <f>cubic_spline(CURVA!$B$6:$B$20,CURVA!$G$6:$G$20,#REF!)</f>
        <v>#VALUE!</v>
      </c>
    </row>
    <row r="1221" spans="1:5" x14ac:dyDescent="0.2">
      <c r="A1221" s="28">
        <v>1220</v>
      </c>
      <c r="B1221" s="28" t="e">
        <f>interpola(#REF!,CURVA!$B$6:$B$20,CURVA!$G$6:$G$20)</f>
        <v>#VALUE!</v>
      </c>
      <c r="C1221" s="29" t="e">
        <f t="shared" si="19"/>
        <v>#VALUE!</v>
      </c>
      <c r="E1221" t="e">
        <f>cubic_spline(CURVA!$B$6:$B$20,CURVA!$G$6:$G$20,#REF!)</f>
        <v>#VALUE!</v>
      </c>
    </row>
    <row r="1222" spans="1:5" x14ac:dyDescent="0.2">
      <c r="A1222" s="28">
        <v>1221</v>
      </c>
      <c r="B1222" s="28" t="e">
        <f>interpola(#REF!,CURVA!$B$6:$B$20,CURVA!$G$6:$G$20)</f>
        <v>#VALUE!</v>
      </c>
      <c r="C1222" s="29" t="e">
        <f t="shared" si="19"/>
        <v>#VALUE!</v>
      </c>
      <c r="E1222" t="e">
        <f>cubic_spline(CURVA!$B$6:$B$20,CURVA!$G$6:$G$20,#REF!)</f>
        <v>#VALUE!</v>
      </c>
    </row>
    <row r="1223" spans="1:5" x14ac:dyDescent="0.2">
      <c r="A1223" s="28">
        <v>1222</v>
      </c>
      <c r="B1223" s="28" t="e">
        <f>interpola(#REF!,CURVA!$B$6:$B$20,CURVA!$G$6:$G$20)</f>
        <v>#VALUE!</v>
      </c>
      <c r="C1223" s="29" t="e">
        <f t="shared" si="19"/>
        <v>#VALUE!</v>
      </c>
      <c r="E1223" t="e">
        <f>cubic_spline(CURVA!$B$6:$B$20,CURVA!$G$6:$G$20,#REF!)</f>
        <v>#VALUE!</v>
      </c>
    </row>
    <row r="1224" spans="1:5" x14ac:dyDescent="0.2">
      <c r="A1224" s="28">
        <v>1223</v>
      </c>
      <c r="B1224" s="28" t="e">
        <f>interpola(#REF!,CURVA!$B$6:$B$20,CURVA!$G$6:$G$20)</f>
        <v>#VALUE!</v>
      </c>
      <c r="C1224" s="29" t="e">
        <f t="shared" si="19"/>
        <v>#VALUE!</v>
      </c>
      <c r="E1224" t="e">
        <f>cubic_spline(CURVA!$B$6:$B$20,CURVA!$G$6:$G$20,#REF!)</f>
        <v>#VALUE!</v>
      </c>
    </row>
    <row r="1225" spans="1:5" x14ac:dyDescent="0.2">
      <c r="A1225" s="28">
        <v>1224</v>
      </c>
      <c r="B1225" s="28" t="e">
        <f>interpola(#REF!,CURVA!$B$6:$B$20,CURVA!$G$6:$G$20)</f>
        <v>#VALUE!</v>
      </c>
      <c r="C1225" s="29" t="e">
        <f t="shared" si="19"/>
        <v>#VALUE!</v>
      </c>
      <c r="E1225" t="e">
        <f>cubic_spline(CURVA!$B$6:$B$20,CURVA!$G$6:$G$20,#REF!)</f>
        <v>#VALUE!</v>
      </c>
    </row>
    <row r="1226" spans="1:5" x14ac:dyDescent="0.2">
      <c r="A1226" s="28">
        <v>1225</v>
      </c>
      <c r="B1226" s="28" t="e">
        <f>interpola(#REF!,CURVA!$B$6:$B$20,CURVA!$G$6:$G$20)</f>
        <v>#VALUE!</v>
      </c>
      <c r="C1226" s="29" t="e">
        <f t="shared" si="19"/>
        <v>#VALUE!</v>
      </c>
      <c r="E1226" t="e">
        <f>cubic_spline(CURVA!$B$6:$B$20,CURVA!$G$6:$G$20,#REF!)</f>
        <v>#VALUE!</v>
      </c>
    </row>
    <row r="1227" spans="1:5" x14ac:dyDescent="0.2">
      <c r="A1227" s="28">
        <v>1226</v>
      </c>
      <c r="B1227" s="28" t="e">
        <f>interpola(#REF!,CURVA!$B$6:$B$20,CURVA!$G$6:$G$20)</f>
        <v>#VALUE!</v>
      </c>
      <c r="C1227" s="29" t="e">
        <f t="shared" si="19"/>
        <v>#VALUE!</v>
      </c>
      <c r="E1227" t="e">
        <f>cubic_spline(CURVA!$B$6:$B$20,CURVA!$G$6:$G$20,#REF!)</f>
        <v>#VALUE!</v>
      </c>
    </row>
    <row r="1228" spans="1:5" x14ac:dyDescent="0.2">
      <c r="A1228" s="28">
        <v>1227</v>
      </c>
      <c r="B1228" s="28" t="e">
        <f>interpola(#REF!,CURVA!$B$6:$B$20,CURVA!$G$6:$G$20)</f>
        <v>#VALUE!</v>
      </c>
      <c r="C1228" s="29" t="e">
        <f t="shared" si="19"/>
        <v>#VALUE!</v>
      </c>
      <c r="E1228" t="e">
        <f>cubic_spline(CURVA!$B$6:$B$20,CURVA!$G$6:$G$20,#REF!)</f>
        <v>#VALUE!</v>
      </c>
    </row>
    <row r="1229" spans="1:5" x14ac:dyDescent="0.2">
      <c r="A1229" s="28">
        <v>1228</v>
      </c>
      <c r="B1229" s="28" t="e">
        <f>interpola(#REF!,CURVA!$B$6:$B$20,CURVA!$G$6:$G$20)</f>
        <v>#VALUE!</v>
      </c>
      <c r="C1229" s="29" t="e">
        <f t="shared" si="19"/>
        <v>#VALUE!</v>
      </c>
      <c r="E1229" t="e">
        <f>cubic_spline(CURVA!$B$6:$B$20,CURVA!$G$6:$G$20,#REF!)</f>
        <v>#VALUE!</v>
      </c>
    </row>
    <row r="1230" spans="1:5" x14ac:dyDescent="0.2">
      <c r="A1230" s="28">
        <v>1229</v>
      </c>
      <c r="B1230" s="28" t="e">
        <f>interpola(#REF!,CURVA!$B$6:$B$20,CURVA!$G$6:$G$20)</f>
        <v>#VALUE!</v>
      </c>
      <c r="C1230" s="29" t="e">
        <f t="shared" si="19"/>
        <v>#VALUE!</v>
      </c>
      <c r="E1230" t="e">
        <f>cubic_spline(CURVA!$B$6:$B$20,CURVA!$G$6:$G$20,#REF!)</f>
        <v>#VALUE!</v>
      </c>
    </row>
    <row r="1231" spans="1:5" x14ac:dyDescent="0.2">
      <c r="A1231" s="28">
        <v>1230</v>
      </c>
      <c r="B1231" s="28" t="e">
        <f>interpola(#REF!,CURVA!$B$6:$B$20,CURVA!$G$6:$G$20)</f>
        <v>#VALUE!</v>
      </c>
      <c r="C1231" s="29" t="e">
        <f t="shared" si="19"/>
        <v>#VALUE!</v>
      </c>
      <c r="E1231" t="e">
        <f>cubic_spline(CURVA!$B$6:$B$20,CURVA!$G$6:$G$20,#REF!)</f>
        <v>#VALUE!</v>
      </c>
    </row>
    <row r="1232" spans="1:5" x14ac:dyDescent="0.2">
      <c r="A1232" s="28">
        <v>1231</v>
      </c>
      <c r="B1232" s="28" t="e">
        <f>interpola(#REF!,CURVA!$B$6:$B$20,CURVA!$G$6:$G$20)</f>
        <v>#VALUE!</v>
      </c>
      <c r="C1232" s="29" t="e">
        <f t="shared" si="19"/>
        <v>#VALUE!</v>
      </c>
      <c r="E1232" t="e">
        <f>cubic_spline(CURVA!$B$6:$B$20,CURVA!$G$6:$G$20,#REF!)</f>
        <v>#VALUE!</v>
      </c>
    </row>
    <row r="1233" spans="1:5" x14ac:dyDescent="0.2">
      <c r="A1233" s="28">
        <v>1232</v>
      </c>
      <c r="B1233" s="28" t="e">
        <f>interpola(#REF!,CURVA!$B$6:$B$20,CURVA!$G$6:$G$20)</f>
        <v>#VALUE!</v>
      </c>
      <c r="C1233" s="29" t="e">
        <f t="shared" si="19"/>
        <v>#VALUE!</v>
      </c>
      <c r="E1233" t="e">
        <f>cubic_spline(CURVA!$B$6:$B$20,CURVA!$G$6:$G$20,#REF!)</f>
        <v>#VALUE!</v>
      </c>
    </row>
    <row r="1234" spans="1:5" x14ac:dyDescent="0.2">
      <c r="A1234" s="28">
        <v>1233</v>
      </c>
      <c r="B1234" s="28" t="e">
        <f>interpola(#REF!,CURVA!$B$6:$B$20,CURVA!$G$6:$G$20)</f>
        <v>#VALUE!</v>
      </c>
      <c r="C1234" s="29" t="e">
        <f t="shared" si="19"/>
        <v>#VALUE!</v>
      </c>
      <c r="E1234" t="e">
        <f>cubic_spline(CURVA!$B$6:$B$20,CURVA!$G$6:$G$20,#REF!)</f>
        <v>#VALUE!</v>
      </c>
    </row>
    <row r="1235" spans="1:5" x14ac:dyDescent="0.2">
      <c r="A1235" s="28">
        <v>1234</v>
      </c>
      <c r="B1235" s="28" t="e">
        <f>interpola(#REF!,CURVA!$B$6:$B$20,CURVA!$G$6:$G$20)</f>
        <v>#VALUE!</v>
      </c>
      <c r="C1235" s="29" t="e">
        <f t="shared" si="19"/>
        <v>#VALUE!</v>
      </c>
      <c r="E1235" t="e">
        <f>cubic_spline(CURVA!$B$6:$B$20,CURVA!$G$6:$G$20,#REF!)</f>
        <v>#VALUE!</v>
      </c>
    </row>
    <row r="1236" spans="1:5" x14ac:dyDescent="0.2">
      <c r="A1236" s="28">
        <v>1235</v>
      </c>
      <c r="B1236" s="28" t="e">
        <f>interpola(#REF!,CURVA!$B$6:$B$20,CURVA!$G$6:$G$20)</f>
        <v>#VALUE!</v>
      </c>
      <c r="C1236" s="29" t="e">
        <f t="shared" si="19"/>
        <v>#VALUE!</v>
      </c>
      <c r="E1236" t="e">
        <f>cubic_spline(CURVA!$B$6:$B$20,CURVA!$G$6:$G$20,#REF!)</f>
        <v>#VALUE!</v>
      </c>
    </row>
    <row r="1237" spans="1:5" x14ac:dyDescent="0.2">
      <c r="A1237" s="28">
        <v>1236</v>
      </c>
      <c r="B1237" s="28" t="e">
        <f>interpola(#REF!,CURVA!$B$6:$B$20,CURVA!$G$6:$G$20)</f>
        <v>#VALUE!</v>
      </c>
      <c r="C1237" s="29" t="e">
        <f t="shared" si="19"/>
        <v>#VALUE!</v>
      </c>
      <c r="E1237" t="e">
        <f>cubic_spline(CURVA!$B$6:$B$20,CURVA!$G$6:$G$20,#REF!)</f>
        <v>#VALUE!</v>
      </c>
    </row>
    <row r="1238" spans="1:5" x14ac:dyDescent="0.2">
      <c r="A1238" s="28">
        <v>1237</v>
      </c>
      <c r="B1238" s="28" t="e">
        <f>interpola(#REF!,CURVA!$B$6:$B$20,CURVA!$G$6:$G$20)</f>
        <v>#VALUE!</v>
      </c>
      <c r="C1238" s="29" t="e">
        <f t="shared" si="19"/>
        <v>#VALUE!</v>
      </c>
      <c r="E1238" t="e">
        <f>cubic_spline(CURVA!$B$6:$B$20,CURVA!$G$6:$G$20,#REF!)</f>
        <v>#VALUE!</v>
      </c>
    </row>
    <row r="1239" spans="1:5" x14ac:dyDescent="0.2">
      <c r="A1239" s="28">
        <v>1238</v>
      </c>
      <c r="B1239" s="28" t="e">
        <f>interpola(#REF!,CURVA!$B$6:$B$20,CURVA!$G$6:$G$20)</f>
        <v>#VALUE!</v>
      </c>
      <c r="C1239" s="29" t="e">
        <f t="shared" si="19"/>
        <v>#VALUE!</v>
      </c>
      <c r="E1239" t="e">
        <f>cubic_spline(CURVA!$B$6:$B$20,CURVA!$G$6:$G$20,#REF!)</f>
        <v>#VALUE!</v>
      </c>
    </row>
    <row r="1240" spans="1:5" x14ac:dyDescent="0.2">
      <c r="A1240" s="28">
        <v>1239</v>
      </c>
      <c r="B1240" s="28" t="e">
        <f>interpola(#REF!,CURVA!$B$6:$B$20,CURVA!$G$6:$G$20)</f>
        <v>#VALUE!</v>
      </c>
      <c r="C1240" s="29" t="e">
        <f t="shared" si="19"/>
        <v>#VALUE!</v>
      </c>
      <c r="E1240" t="e">
        <f>cubic_spline(CURVA!$B$6:$B$20,CURVA!$G$6:$G$20,#REF!)</f>
        <v>#VALUE!</v>
      </c>
    </row>
    <row r="1241" spans="1:5" x14ac:dyDescent="0.2">
      <c r="A1241" s="28">
        <v>1240</v>
      </c>
      <c r="B1241" s="28" t="e">
        <f>interpola(#REF!,CURVA!$B$6:$B$20,CURVA!$G$6:$G$20)</f>
        <v>#VALUE!</v>
      </c>
      <c r="C1241" s="29" t="e">
        <f t="shared" si="19"/>
        <v>#VALUE!</v>
      </c>
      <c r="E1241" t="e">
        <f>cubic_spline(CURVA!$B$6:$B$20,CURVA!$G$6:$G$20,#REF!)</f>
        <v>#VALUE!</v>
      </c>
    </row>
    <row r="1242" spans="1:5" x14ac:dyDescent="0.2">
      <c r="A1242" s="28">
        <v>1241</v>
      </c>
      <c r="B1242" s="28" t="e">
        <f>interpola(#REF!,CURVA!$B$6:$B$20,CURVA!$G$6:$G$20)</f>
        <v>#VALUE!</v>
      </c>
      <c r="C1242" s="29" t="e">
        <f t="shared" si="19"/>
        <v>#VALUE!</v>
      </c>
      <c r="E1242" t="e">
        <f>cubic_spline(CURVA!$B$6:$B$20,CURVA!$G$6:$G$20,#REF!)</f>
        <v>#VALUE!</v>
      </c>
    </row>
    <row r="1243" spans="1:5" x14ac:dyDescent="0.2">
      <c r="A1243" s="28">
        <v>1242</v>
      </c>
      <c r="B1243" s="28" t="e">
        <f>interpola(#REF!,CURVA!$B$6:$B$20,CURVA!$G$6:$G$20)</f>
        <v>#VALUE!</v>
      </c>
      <c r="C1243" s="29" t="e">
        <f t="shared" si="19"/>
        <v>#VALUE!</v>
      </c>
      <c r="E1243" t="e">
        <f>cubic_spline(CURVA!$B$6:$B$20,CURVA!$G$6:$G$20,#REF!)</f>
        <v>#VALUE!</v>
      </c>
    </row>
    <row r="1244" spans="1:5" x14ac:dyDescent="0.2">
      <c r="A1244" s="28">
        <v>1243</v>
      </c>
      <c r="B1244" s="28" t="e">
        <f>interpola(#REF!,CURVA!$B$6:$B$20,CURVA!$G$6:$G$20)</f>
        <v>#VALUE!</v>
      </c>
      <c r="C1244" s="29" t="e">
        <f t="shared" si="19"/>
        <v>#VALUE!</v>
      </c>
      <c r="E1244" t="e">
        <f>cubic_spline(CURVA!$B$6:$B$20,CURVA!$G$6:$G$20,#REF!)</f>
        <v>#VALUE!</v>
      </c>
    </row>
    <row r="1245" spans="1:5" x14ac:dyDescent="0.2">
      <c r="A1245" s="28">
        <v>1244</v>
      </c>
      <c r="B1245" s="28" t="e">
        <f>interpola(#REF!,CURVA!$B$6:$B$20,CURVA!$G$6:$G$20)</f>
        <v>#VALUE!</v>
      </c>
      <c r="C1245" s="29" t="e">
        <f t="shared" si="19"/>
        <v>#VALUE!</v>
      </c>
      <c r="E1245" t="e">
        <f>cubic_spline(CURVA!$B$6:$B$20,CURVA!$G$6:$G$20,#REF!)</f>
        <v>#VALUE!</v>
      </c>
    </row>
    <row r="1246" spans="1:5" x14ac:dyDescent="0.2">
      <c r="A1246" s="28">
        <v>1245</v>
      </c>
      <c r="B1246" s="28" t="e">
        <f>interpola(#REF!,CURVA!$B$6:$B$20,CURVA!$G$6:$G$20)</f>
        <v>#VALUE!</v>
      </c>
      <c r="C1246" s="29" t="e">
        <f t="shared" si="19"/>
        <v>#VALUE!</v>
      </c>
      <c r="E1246" t="e">
        <f>cubic_spline(CURVA!$B$6:$B$20,CURVA!$G$6:$G$20,#REF!)</f>
        <v>#VALUE!</v>
      </c>
    </row>
    <row r="1247" spans="1:5" x14ac:dyDescent="0.2">
      <c r="A1247" s="28">
        <v>1246</v>
      </c>
      <c r="B1247" s="28" t="e">
        <f>interpola(#REF!,CURVA!$B$6:$B$20,CURVA!$G$6:$G$20)</f>
        <v>#VALUE!</v>
      </c>
      <c r="C1247" s="29" t="e">
        <f t="shared" si="19"/>
        <v>#VALUE!</v>
      </c>
      <c r="E1247" t="e">
        <f>cubic_spline(CURVA!$B$6:$B$20,CURVA!$G$6:$G$20,#REF!)</f>
        <v>#VALUE!</v>
      </c>
    </row>
    <row r="1248" spans="1:5" x14ac:dyDescent="0.2">
      <c r="A1248" s="28">
        <v>1247</v>
      </c>
      <c r="B1248" s="28" t="e">
        <f>interpola(#REF!,CURVA!$B$6:$B$20,CURVA!$G$6:$G$20)</f>
        <v>#VALUE!</v>
      </c>
      <c r="C1248" s="29" t="e">
        <f t="shared" si="19"/>
        <v>#VALUE!</v>
      </c>
      <c r="E1248" t="e">
        <f>cubic_spline(CURVA!$B$6:$B$20,CURVA!$G$6:$G$20,#REF!)</f>
        <v>#VALUE!</v>
      </c>
    </row>
    <row r="1249" spans="1:5" x14ac:dyDescent="0.2">
      <c r="A1249" s="28">
        <v>1248</v>
      </c>
      <c r="B1249" s="28" t="e">
        <f>interpola(#REF!,CURVA!$B$6:$B$20,CURVA!$G$6:$G$20)</f>
        <v>#VALUE!</v>
      </c>
      <c r="C1249" s="29" t="e">
        <f t="shared" si="19"/>
        <v>#VALUE!</v>
      </c>
      <c r="E1249" t="e">
        <f>cubic_spline(CURVA!$B$6:$B$20,CURVA!$G$6:$G$20,#REF!)</f>
        <v>#VALUE!</v>
      </c>
    </row>
    <row r="1250" spans="1:5" x14ac:dyDescent="0.2">
      <c r="A1250" s="28">
        <v>1249</v>
      </c>
      <c r="B1250" s="28" t="e">
        <f>interpola(#REF!,CURVA!$B$6:$B$20,CURVA!$G$6:$G$20)</f>
        <v>#VALUE!</v>
      </c>
      <c r="C1250" s="29" t="e">
        <f t="shared" si="19"/>
        <v>#VALUE!</v>
      </c>
      <c r="E1250" t="e">
        <f>cubic_spline(CURVA!$B$6:$B$20,CURVA!$G$6:$G$20,#REF!)</f>
        <v>#VALUE!</v>
      </c>
    </row>
    <row r="1251" spans="1:5" x14ac:dyDescent="0.2">
      <c r="A1251" s="28">
        <v>1250</v>
      </c>
      <c r="B1251" s="28" t="e">
        <f>interpola(#REF!,CURVA!$B$6:$B$20,CURVA!$G$6:$G$20)</f>
        <v>#VALUE!</v>
      </c>
      <c r="C1251" s="29" t="e">
        <f t="shared" si="19"/>
        <v>#VALUE!</v>
      </c>
      <c r="E1251" t="e">
        <f>cubic_spline(CURVA!$B$6:$B$20,CURVA!$G$6:$G$20,#REF!)</f>
        <v>#VALUE!</v>
      </c>
    </row>
    <row r="1252" spans="1:5" x14ac:dyDescent="0.2">
      <c r="A1252" s="28">
        <v>1251</v>
      </c>
      <c r="B1252" s="28" t="e">
        <f>interpola(#REF!,CURVA!$B$6:$B$20,CURVA!$G$6:$G$20)</f>
        <v>#VALUE!</v>
      </c>
      <c r="C1252" s="29" t="e">
        <f t="shared" si="19"/>
        <v>#VALUE!</v>
      </c>
      <c r="E1252" t="e">
        <f>cubic_spline(CURVA!$B$6:$B$20,CURVA!$G$6:$G$20,#REF!)</f>
        <v>#VALUE!</v>
      </c>
    </row>
    <row r="1253" spans="1:5" x14ac:dyDescent="0.2">
      <c r="A1253" s="28">
        <v>1252</v>
      </c>
      <c r="B1253" s="28" t="e">
        <f>interpola(#REF!,CURVA!$B$6:$B$20,CURVA!$G$6:$G$20)</f>
        <v>#VALUE!</v>
      </c>
      <c r="C1253" s="29" t="e">
        <f t="shared" si="19"/>
        <v>#VALUE!</v>
      </c>
      <c r="E1253" t="e">
        <f>cubic_spline(CURVA!$B$6:$B$20,CURVA!$G$6:$G$20,#REF!)</f>
        <v>#VALUE!</v>
      </c>
    </row>
    <row r="1254" spans="1:5" x14ac:dyDescent="0.2">
      <c r="A1254" s="28">
        <v>1253</v>
      </c>
      <c r="B1254" s="28" t="e">
        <f>interpola(#REF!,CURVA!$B$6:$B$20,CURVA!$G$6:$G$20)</f>
        <v>#VALUE!</v>
      </c>
      <c r="C1254" s="29" t="e">
        <f t="shared" si="19"/>
        <v>#VALUE!</v>
      </c>
      <c r="E1254" t="e">
        <f>cubic_spline(CURVA!$B$6:$B$20,CURVA!$G$6:$G$20,#REF!)</f>
        <v>#VALUE!</v>
      </c>
    </row>
    <row r="1255" spans="1:5" x14ac:dyDescent="0.2">
      <c r="A1255" s="28">
        <v>1254</v>
      </c>
      <c r="B1255" s="28" t="e">
        <f>interpola(#REF!,CURVA!$B$6:$B$20,CURVA!$G$6:$G$20)</f>
        <v>#VALUE!</v>
      </c>
      <c r="C1255" s="29" t="e">
        <f t="shared" si="19"/>
        <v>#VALUE!</v>
      </c>
      <c r="E1255" t="e">
        <f>cubic_spline(CURVA!$B$6:$B$20,CURVA!$G$6:$G$20,#REF!)</f>
        <v>#VALUE!</v>
      </c>
    </row>
    <row r="1256" spans="1:5" x14ac:dyDescent="0.2">
      <c r="A1256" s="28">
        <v>1255</v>
      </c>
      <c r="B1256" s="28" t="e">
        <f>interpola(#REF!,CURVA!$B$6:$B$20,CURVA!$G$6:$G$20)</f>
        <v>#VALUE!</v>
      </c>
      <c r="C1256" s="29" t="e">
        <f t="shared" si="19"/>
        <v>#VALUE!</v>
      </c>
      <c r="E1256" t="e">
        <f>cubic_spline(CURVA!$B$6:$B$20,CURVA!$G$6:$G$20,#REF!)</f>
        <v>#VALUE!</v>
      </c>
    </row>
    <row r="1257" spans="1:5" x14ac:dyDescent="0.2">
      <c r="A1257" s="28">
        <v>1256</v>
      </c>
      <c r="B1257" s="28" t="e">
        <f>interpola(#REF!,CURVA!$B$6:$B$20,CURVA!$G$6:$G$20)</f>
        <v>#VALUE!</v>
      </c>
      <c r="C1257" s="29" t="e">
        <f t="shared" si="19"/>
        <v>#VALUE!</v>
      </c>
      <c r="E1257" t="e">
        <f>cubic_spline(CURVA!$B$6:$B$20,CURVA!$G$6:$G$20,#REF!)</f>
        <v>#VALUE!</v>
      </c>
    </row>
    <row r="1258" spans="1:5" x14ac:dyDescent="0.2">
      <c r="A1258" s="28">
        <v>1257</v>
      </c>
      <c r="B1258" s="28" t="e">
        <f>interpola(#REF!,CURVA!$B$6:$B$20,CURVA!$G$6:$G$20)</f>
        <v>#VALUE!</v>
      </c>
      <c r="C1258" s="29" t="e">
        <f t="shared" si="19"/>
        <v>#VALUE!</v>
      </c>
      <c r="E1258" t="e">
        <f>cubic_spline(CURVA!$B$6:$B$20,CURVA!$G$6:$G$20,#REF!)</f>
        <v>#VALUE!</v>
      </c>
    </row>
    <row r="1259" spans="1:5" x14ac:dyDescent="0.2">
      <c r="A1259" s="28">
        <v>1258</v>
      </c>
      <c r="B1259" s="28" t="e">
        <f>interpola(#REF!,CURVA!$B$6:$B$20,CURVA!$G$6:$G$20)</f>
        <v>#VALUE!</v>
      </c>
      <c r="C1259" s="29" t="e">
        <f t="shared" si="19"/>
        <v>#VALUE!</v>
      </c>
      <c r="E1259" t="e">
        <f>cubic_spline(CURVA!$B$6:$B$20,CURVA!$G$6:$G$20,#REF!)</f>
        <v>#VALUE!</v>
      </c>
    </row>
    <row r="1260" spans="1:5" x14ac:dyDescent="0.2">
      <c r="A1260" s="28">
        <v>1259</v>
      </c>
      <c r="B1260" s="28" t="e">
        <f>interpola(#REF!,CURVA!$B$6:$B$20,CURVA!$G$6:$G$20)</f>
        <v>#VALUE!</v>
      </c>
      <c r="C1260" s="29" t="e">
        <f t="shared" si="19"/>
        <v>#VALUE!</v>
      </c>
      <c r="E1260" t="e">
        <f>cubic_spline(CURVA!$B$6:$B$20,CURVA!$G$6:$G$20,#REF!)</f>
        <v>#VALUE!</v>
      </c>
    </row>
    <row r="1261" spans="1:5" x14ac:dyDescent="0.2">
      <c r="A1261" s="28">
        <v>1260</v>
      </c>
      <c r="B1261" s="28" t="e">
        <f>interpola(#REF!,CURVA!$B$6:$B$20,CURVA!$G$6:$G$20)</f>
        <v>#VALUE!</v>
      </c>
      <c r="C1261" s="29" t="e">
        <f t="shared" si="19"/>
        <v>#VALUE!</v>
      </c>
      <c r="E1261" t="e">
        <f>cubic_spline(CURVA!$B$6:$B$20,CURVA!$G$6:$G$20,#REF!)</f>
        <v>#VALUE!</v>
      </c>
    </row>
    <row r="1262" spans="1:5" x14ac:dyDescent="0.2">
      <c r="A1262" s="28">
        <v>1261</v>
      </c>
      <c r="B1262" s="28" t="e">
        <f>interpola(#REF!,CURVA!$B$6:$B$20,CURVA!$G$6:$G$20)</f>
        <v>#VALUE!</v>
      </c>
      <c r="C1262" s="29" t="e">
        <f t="shared" si="19"/>
        <v>#VALUE!</v>
      </c>
      <c r="E1262" t="e">
        <f>cubic_spline(CURVA!$B$6:$B$20,CURVA!$G$6:$G$20,#REF!)</f>
        <v>#VALUE!</v>
      </c>
    </row>
    <row r="1263" spans="1:5" x14ac:dyDescent="0.2">
      <c r="A1263" s="28">
        <v>1262</v>
      </c>
      <c r="B1263" s="28" t="e">
        <f>interpola(#REF!,CURVA!$B$6:$B$20,CURVA!$G$6:$G$20)</f>
        <v>#VALUE!</v>
      </c>
      <c r="C1263" s="29" t="e">
        <f t="shared" si="19"/>
        <v>#VALUE!</v>
      </c>
      <c r="E1263" t="e">
        <f>cubic_spline(CURVA!$B$6:$B$20,CURVA!$G$6:$G$20,#REF!)</f>
        <v>#VALUE!</v>
      </c>
    </row>
    <row r="1264" spans="1:5" x14ac:dyDescent="0.2">
      <c r="A1264" s="28">
        <v>1263</v>
      </c>
      <c r="B1264" s="28" t="e">
        <f>interpola(#REF!,CURVA!$B$6:$B$20,CURVA!$G$6:$G$20)</f>
        <v>#VALUE!</v>
      </c>
      <c r="C1264" s="29" t="e">
        <f t="shared" si="19"/>
        <v>#VALUE!</v>
      </c>
      <c r="E1264" t="e">
        <f>cubic_spline(CURVA!$B$6:$B$20,CURVA!$G$6:$G$20,#REF!)</f>
        <v>#VALUE!</v>
      </c>
    </row>
    <row r="1265" spans="1:5" x14ac:dyDescent="0.2">
      <c r="A1265" s="28">
        <v>1264</v>
      </c>
      <c r="B1265" s="28" t="e">
        <f>interpola(#REF!,CURVA!$B$6:$B$20,CURVA!$G$6:$G$20)</f>
        <v>#VALUE!</v>
      </c>
      <c r="C1265" s="29" t="e">
        <f t="shared" si="19"/>
        <v>#VALUE!</v>
      </c>
      <c r="E1265" t="e">
        <f>cubic_spline(CURVA!$B$6:$B$20,CURVA!$G$6:$G$20,#REF!)</f>
        <v>#VALUE!</v>
      </c>
    </row>
    <row r="1266" spans="1:5" x14ac:dyDescent="0.2">
      <c r="A1266" s="28">
        <v>1265</v>
      </c>
      <c r="B1266" s="28" t="e">
        <f>interpola(#REF!,CURVA!$B$6:$B$20,CURVA!$G$6:$G$20)</f>
        <v>#VALUE!</v>
      </c>
      <c r="C1266" s="29" t="e">
        <f t="shared" si="19"/>
        <v>#VALUE!</v>
      </c>
      <c r="E1266" t="e">
        <f>cubic_spline(CURVA!$B$6:$B$20,CURVA!$G$6:$G$20,#REF!)</f>
        <v>#VALUE!</v>
      </c>
    </row>
    <row r="1267" spans="1:5" x14ac:dyDescent="0.2">
      <c r="A1267" s="28">
        <v>1266</v>
      </c>
      <c r="B1267" s="28" t="e">
        <f>interpola(#REF!,CURVA!$B$6:$B$20,CURVA!$G$6:$G$20)</f>
        <v>#VALUE!</v>
      </c>
      <c r="C1267" s="29" t="e">
        <f t="shared" si="19"/>
        <v>#VALUE!</v>
      </c>
      <c r="E1267" t="e">
        <f>cubic_spline(CURVA!$B$6:$B$20,CURVA!$G$6:$G$20,#REF!)</f>
        <v>#VALUE!</v>
      </c>
    </row>
    <row r="1268" spans="1:5" x14ac:dyDescent="0.2">
      <c r="A1268" s="28">
        <v>1267</v>
      </c>
      <c r="B1268" s="28" t="e">
        <f>interpola(#REF!,CURVA!$B$6:$B$20,CURVA!$G$6:$G$20)</f>
        <v>#VALUE!</v>
      </c>
      <c r="C1268" s="29" t="e">
        <f t="shared" si="19"/>
        <v>#VALUE!</v>
      </c>
      <c r="E1268" t="e">
        <f>cubic_spline(CURVA!$B$6:$B$20,CURVA!$G$6:$G$20,#REF!)</f>
        <v>#VALUE!</v>
      </c>
    </row>
    <row r="1269" spans="1:5" x14ac:dyDescent="0.2">
      <c r="A1269" s="28">
        <v>1268</v>
      </c>
      <c r="B1269" s="28" t="e">
        <f>interpola(#REF!,CURVA!$B$6:$B$20,CURVA!$G$6:$G$20)</f>
        <v>#VALUE!</v>
      </c>
      <c r="C1269" s="29" t="e">
        <f t="shared" si="19"/>
        <v>#VALUE!</v>
      </c>
      <c r="E1269" t="e">
        <f>cubic_spline(CURVA!$B$6:$B$20,CURVA!$G$6:$G$20,#REF!)</f>
        <v>#VALUE!</v>
      </c>
    </row>
    <row r="1270" spans="1:5" x14ac:dyDescent="0.2">
      <c r="A1270" s="28">
        <v>1269</v>
      </c>
      <c r="B1270" s="28" t="e">
        <f>interpola(#REF!,CURVA!$B$6:$B$20,CURVA!$G$6:$G$20)</f>
        <v>#VALUE!</v>
      </c>
      <c r="C1270" s="29" t="e">
        <f t="shared" si="19"/>
        <v>#VALUE!</v>
      </c>
      <c r="E1270" t="e">
        <f>cubic_spline(CURVA!$B$6:$B$20,CURVA!$G$6:$G$20,#REF!)</f>
        <v>#VALUE!</v>
      </c>
    </row>
    <row r="1271" spans="1:5" x14ac:dyDescent="0.2">
      <c r="A1271" s="28">
        <v>1270</v>
      </c>
      <c r="B1271" s="28" t="e">
        <f>interpola(#REF!,CURVA!$B$6:$B$20,CURVA!$G$6:$G$20)</f>
        <v>#VALUE!</v>
      </c>
      <c r="C1271" s="29" t="e">
        <f t="shared" si="19"/>
        <v>#VALUE!</v>
      </c>
      <c r="E1271" t="e">
        <f>cubic_spline(CURVA!$B$6:$B$20,CURVA!$G$6:$G$20,#REF!)</f>
        <v>#VALUE!</v>
      </c>
    </row>
    <row r="1272" spans="1:5" x14ac:dyDescent="0.2">
      <c r="A1272" s="28">
        <v>1271</v>
      </c>
      <c r="B1272" s="28" t="e">
        <f>interpola(#REF!,CURVA!$B$6:$B$20,CURVA!$G$6:$G$20)</f>
        <v>#VALUE!</v>
      </c>
      <c r="C1272" s="29" t="e">
        <f t="shared" si="19"/>
        <v>#VALUE!</v>
      </c>
      <c r="E1272" t="e">
        <f>cubic_spline(CURVA!$B$6:$B$20,CURVA!$G$6:$G$20,#REF!)</f>
        <v>#VALUE!</v>
      </c>
    </row>
    <row r="1273" spans="1:5" x14ac:dyDescent="0.2">
      <c r="A1273" s="28">
        <v>1272</v>
      </c>
      <c r="B1273" s="28" t="e">
        <f>interpola(#REF!,CURVA!$B$6:$B$20,CURVA!$G$6:$G$20)</f>
        <v>#VALUE!</v>
      </c>
      <c r="C1273" s="29" t="e">
        <f t="shared" si="19"/>
        <v>#VALUE!</v>
      </c>
      <c r="E1273" t="e">
        <f>cubic_spline(CURVA!$B$6:$B$20,CURVA!$G$6:$G$20,#REF!)</f>
        <v>#VALUE!</v>
      </c>
    </row>
    <row r="1274" spans="1:5" x14ac:dyDescent="0.2">
      <c r="A1274" s="28">
        <v>1273</v>
      </c>
      <c r="B1274" s="28" t="e">
        <f>interpola(#REF!,CURVA!$B$6:$B$20,CURVA!$G$6:$G$20)</f>
        <v>#VALUE!</v>
      </c>
      <c r="C1274" s="29" t="e">
        <f t="shared" si="19"/>
        <v>#VALUE!</v>
      </c>
      <c r="E1274" t="e">
        <f>cubic_spline(CURVA!$B$6:$B$20,CURVA!$G$6:$G$20,#REF!)</f>
        <v>#VALUE!</v>
      </c>
    </row>
    <row r="1275" spans="1:5" x14ac:dyDescent="0.2">
      <c r="A1275" s="28">
        <v>1274</v>
      </c>
      <c r="B1275" s="28" t="e">
        <f>interpola(#REF!,CURVA!$B$6:$B$20,CURVA!$G$6:$G$20)</f>
        <v>#VALUE!</v>
      </c>
      <c r="C1275" s="29" t="e">
        <f t="shared" si="19"/>
        <v>#VALUE!</v>
      </c>
      <c r="E1275" t="e">
        <f>cubic_spline(CURVA!$B$6:$B$20,CURVA!$G$6:$G$20,#REF!)</f>
        <v>#VALUE!</v>
      </c>
    </row>
    <row r="1276" spans="1:5" x14ac:dyDescent="0.2">
      <c r="A1276" s="28">
        <v>1275</v>
      </c>
      <c r="B1276" s="28" t="e">
        <f>interpola(#REF!,CURVA!$B$6:$B$20,CURVA!$G$6:$G$20)</f>
        <v>#VALUE!</v>
      </c>
      <c r="C1276" s="29" t="e">
        <f t="shared" si="19"/>
        <v>#VALUE!</v>
      </c>
      <c r="E1276" t="e">
        <f>cubic_spline(CURVA!$B$6:$B$20,CURVA!$G$6:$G$20,#REF!)</f>
        <v>#VALUE!</v>
      </c>
    </row>
    <row r="1277" spans="1:5" x14ac:dyDescent="0.2">
      <c r="A1277" s="28">
        <v>1276</v>
      </c>
      <c r="B1277" s="28" t="e">
        <f>interpola(#REF!,CURVA!$B$6:$B$20,CURVA!$G$6:$G$20)</f>
        <v>#VALUE!</v>
      </c>
      <c r="C1277" s="29" t="e">
        <f t="shared" si="19"/>
        <v>#VALUE!</v>
      </c>
      <c r="E1277" t="e">
        <f>cubic_spline(CURVA!$B$6:$B$20,CURVA!$G$6:$G$20,#REF!)</f>
        <v>#VALUE!</v>
      </c>
    </row>
    <row r="1278" spans="1:5" x14ac:dyDescent="0.2">
      <c r="A1278" s="28">
        <v>1277</v>
      </c>
      <c r="B1278" s="28" t="e">
        <f>interpola(#REF!,CURVA!$B$6:$B$20,CURVA!$G$6:$G$20)</f>
        <v>#VALUE!</v>
      </c>
      <c r="C1278" s="29" t="e">
        <f t="shared" si="19"/>
        <v>#VALUE!</v>
      </c>
      <c r="E1278" t="e">
        <f>cubic_spline(CURVA!$B$6:$B$20,CURVA!$G$6:$G$20,#REF!)</f>
        <v>#VALUE!</v>
      </c>
    </row>
    <row r="1279" spans="1:5" x14ac:dyDescent="0.2">
      <c r="A1279" s="28">
        <v>1278</v>
      </c>
      <c r="B1279" s="28" t="e">
        <f>interpola(#REF!,CURVA!$B$6:$B$20,CURVA!$G$6:$G$20)</f>
        <v>#VALUE!</v>
      </c>
      <c r="C1279" s="29" t="e">
        <f t="shared" si="19"/>
        <v>#VALUE!</v>
      </c>
      <c r="E1279" t="e">
        <f>cubic_spline(CURVA!$B$6:$B$20,CURVA!$G$6:$G$20,#REF!)</f>
        <v>#VALUE!</v>
      </c>
    </row>
    <row r="1280" spans="1:5" x14ac:dyDescent="0.2">
      <c r="A1280" s="28">
        <v>1279</v>
      </c>
      <c r="B1280" s="28" t="e">
        <f>interpola(#REF!,CURVA!$B$6:$B$20,CURVA!$G$6:$G$20)</f>
        <v>#VALUE!</v>
      </c>
      <c r="C1280" s="29" t="e">
        <f t="shared" si="19"/>
        <v>#VALUE!</v>
      </c>
      <c r="E1280" t="e">
        <f>cubic_spline(CURVA!$B$6:$B$20,CURVA!$G$6:$G$20,#REF!)</f>
        <v>#VALUE!</v>
      </c>
    </row>
    <row r="1281" spans="1:5" x14ac:dyDescent="0.2">
      <c r="A1281" s="28">
        <v>1280</v>
      </c>
      <c r="B1281" s="28" t="e">
        <f>interpola(#REF!,CURVA!$B$6:$B$20,CURVA!$G$6:$G$20)</f>
        <v>#VALUE!</v>
      </c>
      <c r="C1281" s="29" t="e">
        <f t="shared" si="19"/>
        <v>#VALUE!</v>
      </c>
      <c r="E1281" t="e">
        <f>cubic_spline(CURVA!$B$6:$B$20,CURVA!$G$6:$G$20,#REF!)</f>
        <v>#VALUE!</v>
      </c>
    </row>
    <row r="1282" spans="1:5" x14ac:dyDescent="0.2">
      <c r="A1282" s="28">
        <v>1281</v>
      </c>
      <c r="B1282" s="28" t="e">
        <f>interpola(#REF!,CURVA!$B$6:$B$20,CURVA!$G$6:$G$20)</f>
        <v>#VALUE!</v>
      </c>
      <c r="C1282" s="29" t="e">
        <f t="shared" ref="C1282:C1345" si="20">(EXP(B1282*A1282/360)-1)*360/A1282</f>
        <v>#VALUE!</v>
      </c>
      <c r="E1282" t="e">
        <f>cubic_spline(CURVA!$B$6:$B$20,CURVA!$G$6:$G$20,#REF!)</f>
        <v>#VALUE!</v>
      </c>
    </row>
    <row r="1283" spans="1:5" x14ac:dyDescent="0.2">
      <c r="A1283" s="28">
        <v>1282</v>
      </c>
      <c r="B1283" s="28" t="e">
        <f>interpola(#REF!,CURVA!$B$6:$B$20,CURVA!$G$6:$G$20)</f>
        <v>#VALUE!</v>
      </c>
      <c r="C1283" s="29" t="e">
        <f t="shared" si="20"/>
        <v>#VALUE!</v>
      </c>
      <c r="E1283" t="e">
        <f>cubic_spline(CURVA!$B$6:$B$20,CURVA!$G$6:$G$20,#REF!)</f>
        <v>#VALUE!</v>
      </c>
    </row>
    <row r="1284" spans="1:5" x14ac:dyDescent="0.2">
      <c r="A1284" s="28">
        <v>1283</v>
      </c>
      <c r="B1284" s="28" t="e">
        <f>interpola(#REF!,CURVA!$B$6:$B$20,CURVA!$G$6:$G$20)</f>
        <v>#VALUE!</v>
      </c>
      <c r="C1284" s="29" t="e">
        <f t="shared" si="20"/>
        <v>#VALUE!</v>
      </c>
      <c r="E1284" t="e">
        <f>cubic_spline(CURVA!$B$6:$B$20,CURVA!$G$6:$G$20,#REF!)</f>
        <v>#VALUE!</v>
      </c>
    </row>
    <row r="1285" spans="1:5" x14ac:dyDescent="0.2">
      <c r="A1285" s="28">
        <v>1284</v>
      </c>
      <c r="B1285" s="28" t="e">
        <f>interpola(#REF!,CURVA!$B$6:$B$20,CURVA!$G$6:$G$20)</f>
        <v>#VALUE!</v>
      </c>
      <c r="C1285" s="29" t="e">
        <f t="shared" si="20"/>
        <v>#VALUE!</v>
      </c>
      <c r="E1285" t="e">
        <f>cubic_spline(CURVA!$B$6:$B$20,CURVA!$G$6:$G$20,#REF!)</f>
        <v>#VALUE!</v>
      </c>
    </row>
    <row r="1286" spans="1:5" x14ac:dyDescent="0.2">
      <c r="A1286" s="28">
        <v>1285</v>
      </c>
      <c r="B1286" s="28" t="e">
        <f>interpola(#REF!,CURVA!$B$6:$B$20,CURVA!$G$6:$G$20)</f>
        <v>#VALUE!</v>
      </c>
      <c r="C1286" s="29" t="e">
        <f t="shared" si="20"/>
        <v>#VALUE!</v>
      </c>
      <c r="E1286" t="e">
        <f>cubic_spline(CURVA!$B$6:$B$20,CURVA!$G$6:$G$20,#REF!)</f>
        <v>#VALUE!</v>
      </c>
    </row>
    <row r="1287" spans="1:5" x14ac:dyDescent="0.2">
      <c r="A1287" s="28">
        <v>1286</v>
      </c>
      <c r="B1287" s="28" t="e">
        <f>interpola(#REF!,CURVA!$B$6:$B$20,CURVA!$G$6:$G$20)</f>
        <v>#VALUE!</v>
      </c>
      <c r="C1287" s="29" t="e">
        <f t="shared" si="20"/>
        <v>#VALUE!</v>
      </c>
      <c r="E1287" t="e">
        <f>cubic_spline(CURVA!$B$6:$B$20,CURVA!$G$6:$G$20,#REF!)</f>
        <v>#VALUE!</v>
      </c>
    </row>
    <row r="1288" spans="1:5" x14ac:dyDescent="0.2">
      <c r="A1288" s="28">
        <v>1287</v>
      </c>
      <c r="B1288" s="28" t="e">
        <f>interpola(#REF!,CURVA!$B$6:$B$20,CURVA!$G$6:$G$20)</f>
        <v>#VALUE!</v>
      </c>
      <c r="C1288" s="29" t="e">
        <f t="shared" si="20"/>
        <v>#VALUE!</v>
      </c>
      <c r="E1288" t="e">
        <f>cubic_spline(CURVA!$B$6:$B$20,CURVA!$G$6:$G$20,#REF!)</f>
        <v>#VALUE!</v>
      </c>
    </row>
    <row r="1289" spans="1:5" x14ac:dyDescent="0.2">
      <c r="A1289" s="28">
        <v>1288</v>
      </c>
      <c r="B1289" s="28" t="e">
        <f>interpola(#REF!,CURVA!$B$6:$B$20,CURVA!$G$6:$G$20)</f>
        <v>#VALUE!</v>
      </c>
      <c r="C1289" s="29" t="e">
        <f t="shared" si="20"/>
        <v>#VALUE!</v>
      </c>
      <c r="E1289" t="e">
        <f>cubic_spline(CURVA!$B$6:$B$20,CURVA!$G$6:$G$20,#REF!)</f>
        <v>#VALUE!</v>
      </c>
    </row>
    <row r="1290" spans="1:5" x14ac:dyDescent="0.2">
      <c r="A1290" s="28">
        <v>1289</v>
      </c>
      <c r="B1290" s="28" t="e">
        <f>interpola(#REF!,CURVA!$B$6:$B$20,CURVA!$G$6:$G$20)</f>
        <v>#VALUE!</v>
      </c>
      <c r="C1290" s="29" t="e">
        <f t="shared" si="20"/>
        <v>#VALUE!</v>
      </c>
      <c r="E1290" t="e">
        <f>cubic_spline(CURVA!$B$6:$B$20,CURVA!$G$6:$G$20,#REF!)</f>
        <v>#VALUE!</v>
      </c>
    </row>
    <row r="1291" spans="1:5" x14ac:dyDescent="0.2">
      <c r="A1291" s="28">
        <v>1290</v>
      </c>
      <c r="B1291" s="28" t="e">
        <f>interpola(#REF!,CURVA!$B$6:$B$20,CURVA!$G$6:$G$20)</f>
        <v>#VALUE!</v>
      </c>
      <c r="C1291" s="29" t="e">
        <f t="shared" si="20"/>
        <v>#VALUE!</v>
      </c>
      <c r="E1291" t="e">
        <f>cubic_spline(CURVA!$B$6:$B$20,CURVA!$G$6:$G$20,#REF!)</f>
        <v>#VALUE!</v>
      </c>
    </row>
    <row r="1292" spans="1:5" x14ac:dyDescent="0.2">
      <c r="A1292" s="28">
        <v>1291</v>
      </c>
      <c r="B1292" s="28" t="e">
        <f>interpola(#REF!,CURVA!$B$6:$B$20,CURVA!$G$6:$G$20)</f>
        <v>#VALUE!</v>
      </c>
      <c r="C1292" s="29" t="e">
        <f t="shared" si="20"/>
        <v>#VALUE!</v>
      </c>
      <c r="E1292" t="e">
        <f>cubic_spline(CURVA!$B$6:$B$20,CURVA!$G$6:$G$20,#REF!)</f>
        <v>#VALUE!</v>
      </c>
    </row>
    <row r="1293" spans="1:5" x14ac:dyDescent="0.2">
      <c r="A1293" s="28">
        <v>1292</v>
      </c>
      <c r="B1293" s="28" t="e">
        <f>interpola(#REF!,CURVA!$B$6:$B$20,CURVA!$G$6:$G$20)</f>
        <v>#VALUE!</v>
      </c>
      <c r="C1293" s="29" t="e">
        <f t="shared" si="20"/>
        <v>#VALUE!</v>
      </c>
      <c r="E1293" t="e">
        <f>cubic_spline(CURVA!$B$6:$B$20,CURVA!$G$6:$G$20,#REF!)</f>
        <v>#VALUE!</v>
      </c>
    </row>
    <row r="1294" spans="1:5" x14ac:dyDescent="0.2">
      <c r="A1294" s="28">
        <v>1293</v>
      </c>
      <c r="B1294" s="28" t="e">
        <f>interpola(#REF!,CURVA!$B$6:$B$20,CURVA!$G$6:$G$20)</f>
        <v>#VALUE!</v>
      </c>
      <c r="C1294" s="29" t="e">
        <f t="shared" si="20"/>
        <v>#VALUE!</v>
      </c>
      <c r="E1294" t="e">
        <f>cubic_spline(CURVA!$B$6:$B$20,CURVA!$G$6:$G$20,#REF!)</f>
        <v>#VALUE!</v>
      </c>
    </row>
    <row r="1295" spans="1:5" x14ac:dyDescent="0.2">
      <c r="A1295" s="28">
        <v>1294</v>
      </c>
      <c r="B1295" s="28" t="e">
        <f>interpola(#REF!,CURVA!$B$6:$B$20,CURVA!$G$6:$G$20)</f>
        <v>#VALUE!</v>
      </c>
      <c r="C1295" s="29" t="e">
        <f t="shared" si="20"/>
        <v>#VALUE!</v>
      </c>
      <c r="E1295" t="e">
        <f>cubic_spline(CURVA!$B$6:$B$20,CURVA!$G$6:$G$20,#REF!)</f>
        <v>#VALUE!</v>
      </c>
    </row>
    <row r="1296" spans="1:5" x14ac:dyDescent="0.2">
      <c r="A1296" s="28">
        <v>1295</v>
      </c>
      <c r="B1296" s="28" t="e">
        <f>interpola(#REF!,CURVA!$B$6:$B$20,CURVA!$G$6:$G$20)</f>
        <v>#VALUE!</v>
      </c>
      <c r="C1296" s="29" t="e">
        <f t="shared" si="20"/>
        <v>#VALUE!</v>
      </c>
      <c r="E1296" t="e">
        <f>cubic_spline(CURVA!$B$6:$B$20,CURVA!$G$6:$G$20,#REF!)</f>
        <v>#VALUE!</v>
      </c>
    </row>
    <row r="1297" spans="1:5" x14ac:dyDescent="0.2">
      <c r="A1297" s="28">
        <v>1296</v>
      </c>
      <c r="B1297" s="28" t="e">
        <f>interpola(#REF!,CURVA!$B$6:$B$20,CURVA!$G$6:$G$20)</f>
        <v>#VALUE!</v>
      </c>
      <c r="C1297" s="29" t="e">
        <f t="shared" si="20"/>
        <v>#VALUE!</v>
      </c>
      <c r="E1297" t="e">
        <f>cubic_spline(CURVA!$B$6:$B$20,CURVA!$G$6:$G$20,#REF!)</f>
        <v>#VALUE!</v>
      </c>
    </row>
    <row r="1298" spans="1:5" x14ac:dyDescent="0.2">
      <c r="A1298" s="28">
        <v>1297</v>
      </c>
      <c r="B1298" s="28" t="e">
        <f>interpola(#REF!,CURVA!$B$6:$B$20,CURVA!$G$6:$G$20)</f>
        <v>#VALUE!</v>
      </c>
      <c r="C1298" s="29" t="e">
        <f t="shared" si="20"/>
        <v>#VALUE!</v>
      </c>
      <c r="E1298" t="e">
        <f>cubic_spline(CURVA!$B$6:$B$20,CURVA!$G$6:$G$20,#REF!)</f>
        <v>#VALUE!</v>
      </c>
    </row>
    <row r="1299" spans="1:5" x14ac:dyDescent="0.2">
      <c r="A1299" s="28">
        <v>1298</v>
      </c>
      <c r="B1299" s="28" t="e">
        <f>interpola(#REF!,CURVA!$B$6:$B$20,CURVA!$G$6:$G$20)</f>
        <v>#VALUE!</v>
      </c>
      <c r="C1299" s="29" t="e">
        <f t="shared" si="20"/>
        <v>#VALUE!</v>
      </c>
      <c r="E1299" t="e">
        <f>cubic_spline(CURVA!$B$6:$B$20,CURVA!$G$6:$G$20,#REF!)</f>
        <v>#VALUE!</v>
      </c>
    </row>
    <row r="1300" spans="1:5" x14ac:dyDescent="0.2">
      <c r="A1300" s="28">
        <v>1299</v>
      </c>
      <c r="B1300" s="28" t="e">
        <f>interpola(#REF!,CURVA!$B$6:$B$20,CURVA!$G$6:$G$20)</f>
        <v>#VALUE!</v>
      </c>
      <c r="C1300" s="29" t="e">
        <f t="shared" si="20"/>
        <v>#VALUE!</v>
      </c>
      <c r="E1300" t="e">
        <f>cubic_spline(CURVA!$B$6:$B$20,CURVA!$G$6:$G$20,#REF!)</f>
        <v>#VALUE!</v>
      </c>
    </row>
    <row r="1301" spans="1:5" x14ac:dyDescent="0.2">
      <c r="A1301" s="28">
        <v>1300</v>
      </c>
      <c r="B1301" s="28" t="e">
        <f>interpola(#REF!,CURVA!$B$6:$B$20,CURVA!$G$6:$G$20)</f>
        <v>#VALUE!</v>
      </c>
      <c r="C1301" s="29" t="e">
        <f t="shared" si="20"/>
        <v>#VALUE!</v>
      </c>
      <c r="E1301" t="e">
        <f>cubic_spline(CURVA!$B$6:$B$20,CURVA!$G$6:$G$20,#REF!)</f>
        <v>#VALUE!</v>
      </c>
    </row>
    <row r="1302" spans="1:5" x14ac:dyDescent="0.2">
      <c r="A1302" s="28">
        <v>1301</v>
      </c>
      <c r="B1302" s="28" t="e">
        <f>interpola(#REF!,CURVA!$B$6:$B$20,CURVA!$G$6:$G$20)</f>
        <v>#VALUE!</v>
      </c>
      <c r="C1302" s="29" t="e">
        <f t="shared" si="20"/>
        <v>#VALUE!</v>
      </c>
      <c r="E1302" t="e">
        <f>cubic_spline(CURVA!$B$6:$B$20,CURVA!$G$6:$G$20,#REF!)</f>
        <v>#VALUE!</v>
      </c>
    </row>
    <row r="1303" spans="1:5" x14ac:dyDescent="0.2">
      <c r="A1303" s="28">
        <v>1302</v>
      </c>
      <c r="B1303" s="28" t="e">
        <f>interpola(#REF!,CURVA!$B$6:$B$20,CURVA!$G$6:$G$20)</f>
        <v>#VALUE!</v>
      </c>
      <c r="C1303" s="29" t="e">
        <f t="shared" si="20"/>
        <v>#VALUE!</v>
      </c>
      <c r="E1303" t="e">
        <f>cubic_spline(CURVA!$B$6:$B$20,CURVA!$G$6:$G$20,#REF!)</f>
        <v>#VALUE!</v>
      </c>
    </row>
    <row r="1304" spans="1:5" x14ac:dyDescent="0.2">
      <c r="A1304" s="28">
        <v>1303</v>
      </c>
      <c r="B1304" s="28" t="e">
        <f>interpola(#REF!,CURVA!$B$6:$B$20,CURVA!$G$6:$G$20)</f>
        <v>#VALUE!</v>
      </c>
      <c r="C1304" s="29" t="e">
        <f t="shared" si="20"/>
        <v>#VALUE!</v>
      </c>
      <c r="E1304" t="e">
        <f>cubic_spline(CURVA!$B$6:$B$20,CURVA!$G$6:$G$20,#REF!)</f>
        <v>#VALUE!</v>
      </c>
    </row>
    <row r="1305" spans="1:5" x14ac:dyDescent="0.2">
      <c r="A1305" s="28">
        <v>1304</v>
      </c>
      <c r="B1305" s="28" t="e">
        <f>interpola(#REF!,CURVA!$B$6:$B$20,CURVA!$G$6:$G$20)</f>
        <v>#VALUE!</v>
      </c>
      <c r="C1305" s="29" t="e">
        <f t="shared" si="20"/>
        <v>#VALUE!</v>
      </c>
      <c r="E1305" t="e">
        <f>cubic_spline(CURVA!$B$6:$B$20,CURVA!$G$6:$G$20,#REF!)</f>
        <v>#VALUE!</v>
      </c>
    </row>
    <row r="1306" spans="1:5" x14ac:dyDescent="0.2">
      <c r="A1306" s="28">
        <v>1305</v>
      </c>
      <c r="B1306" s="28" t="e">
        <f>interpola(#REF!,CURVA!$B$6:$B$20,CURVA!$G$6:$G$20)</f>
        <v>#VALUE!</v>
      </c>
      <c r="C1306" s="29" t="e">
        <f t="shared" si="20"/>
        <v>#VALUE!</v>
      </c>
      <c r="E1306" t="e">
        <f>cubic_spline(CURVA!$B$6:$B$20,CURVA!$G$6:$G$20,#REF!)</f>
        <v>#VALUE!</v>
      </c>
    </row>
    <row r="1307" spans="1:5" x14ac:dyDescent="0.2">
      <c r="A1307" s="28">
        <v>1306</v>
      </c>
      <c r="B1307" s="28" t="e">
        <f>interpola(#REF!,CURVA!$B$6:$B$20,CURVA!$G$6:$G$20)</f>
        <v>#VALUE!</v>
      </c>
      <c r="C1307" s="29" t="e">
        <f t="shared" si="20"/>
        <v>#VALUE!</v>
      </c>
      <c r="E1307" t="e">
        <f>cubic_spline(CURVA!$B$6:$B$20,CURVA!$G$6:$G$20,#REF!)</f>
        <v>#VALUE!</v>
      </c>
    </row>
    <row r="1308" spans="1:5" x14ac:dyDescent="0.2">
      <c r="A1308" s="28">
        <v>1307</v>
      </c>
      <c r="B1308" s="28" t="e">
        <f>interpola(#REF!,CURVA!$B$6:$B$20,CURVA!$G$6:$G$20)</f>
        <v>#VALUE!</v>
      </c>
      <c r="C1308" s="29" t="e">
        <f t="shared" si="20"/>
        <v>#VALUE!</v>
      </c>
      <c r="E1308" t="e">
        <f>cubic_spline(CURVA!$B$6:$B$20,CURVA!$G$6:$G$20,#REF!)</f>
        <v>#VALUE!</v>
      </c>
    </row>
    <row r="1309" spans="1:5" x14ac:dyDescent="0.2">
      <c r="A1309" s="28">
        <v>1308</v>
      </c>
      <c r="B1309" s="28" t="e">
        <f>interpola(#REF!,CURVA!$B$6:$B$20,CURVA!$G$6:$G$20)</f>
        <v>#VALUE!</v>
      </c>
      <c r="C1309" s="29" t="e">
        <f t="shared" si="20"/>
        <v>#VALUE!</v>
      </c>
      <c r="E1309" t="e">
        <f>cubic_spline(CURVA!$B$6:$B$20,CURVA!$G$6:$G$20,#REF!)</f>
        <v>#VALUE!</v>
      </c>
    </row>
    <row r="1310" spans="1:5" x14ac:dyDescent="0.2">
      <c r="A1310" s="28">
        <v>1309</v>
      </c>
      <c r="B1310" s="28" t="e">
        <f>interpola(#REF!,CURVA!$B$6:$B$20,CURVA!$G$6:$G$20)</f>
        <v>#VALUE!</v>
      </c>
      <c r="C1310" s="29" t="e">
        <f t="shared" si="20"/>
        <v>#VALUE!</v>
      </c>
      <c r="E1310" t="e">
        <f>cubic_spline(CURVA!$B$6:$B$20,CURVA!$G$6:$G$20,#REF!)</f>
        <v>#VALUE!</v>
      </c>
    </row>
    <row r="1311" spans="1:5" x14ac:dyDescent="0.2">
      <c r="A1311" s="28">
        <v>1310</v>
      </c>
      <c r="B1311" s="28" t="e">
        <f>interpola(#REF!,CURVA!$B$6:$B$20,CURVA!$G$6:$G$20)</f>
        <v>#VALUE!</v>
      </c>
      <c r="C1311" s="29" t="e">
        <f t="shared" si="20"/>
        <v>#VALUE!</v>
      </c>
      <c r="E1311" t="e">
        <f>cubic_spline(CURVA!$B$6:$B$20,CURVA!$G$6:$G$20,#REF!)</f>
        <v>#VALUE!</v>
      </c>
    </row>
    <row r="1312" spans="1:5" x14ac:dyDescent="0.2">
      <c r="A1312" s="28">
        <v>1311</v>
      </c>
      <c r="B1312" s="28" t="e">
        <f>interpola(#REF!,CURVA!$B$6:$B$20,CURVA!$G$6:$G$20)</f>
        <v>#VALUE!</v>
      </c>
      <c r="C1312" s="29" t="e">
        <f t="shared" si="20"/>
        <v>#VALUE!</v>
      </c>
      <c r="E1312" t="e">
        <f>cubic_spline(CURVA!$B$6:$B$20,CURVA!$G$6:$G$20,#REF!)</f>
        <v>#VALUE!</v>
      </c>
    </row>
    <row r="1313" spans="1:5" x14ac:dyDescent="0.2">
      <c r="A1313" s="28">
        <v>1312</v>
      </c>
      <c r="B1313" s="28" t="e">
        <f>interpola(#REF!,CURVA!$B$6:$B$20,CURVA!$G$6:$G$20)</f>
        <v>#VALUE!</v>
      </c>
      <c r="C1313" s="29" t="e">
        <f t="shared" si="20"/>
        <v>#VALUE!</v>
      </c>
      <c r="E1313" t="e">
        <f>cubic_spline(CURVA!$B$6:$B$20,CURVA!$G$6:$G$20,#REF!)</f>
        <v>#VALUE!</v>
      </c>
    </row>
    <row r="1314" spans="1:5" x14ac:dyDescent="0.2">
      <c r="A1314" s="28">
        <v>1313</v>
      </c>
      <c r="B1314" s="28" t="e">
        <f>interpola(#REF!,CURVA!$B$6:$B$20,CURVA!$G$6:$G$20)</f>
        <v>#VALUE!</v>
      </c>
      <c r="C1314" s="29" t="e">
        <f t="shared" si="20"/>
        <v>#VALUE!</v>
      </c>
      <c r="E1314" t="e">
        <f>cubic_spline(CURVA!$B$6:$B$20,CURVA!$G$6:$G$20,#REF!)</f>
        <v>#VALUE!</v>
      </c>
    </row>
    <row r="1315" spans="1:5" x14ac:dyDescent="0.2">
      <c r="A1315" s="28">
        <v>1314</v>
      </c>
      <c r="B1315" s="28" t="e">
        <f>interpola(#REF!,CURVA!$B$6:$B$20,CURVA!$G$6:$G$20)</f>
        <v>#VALUE!</v>
      </c>
      <c r="C1315" s="29" t="e">
        <f t="shared" si="20"/>
        <v>#VALUE!</v>
      </c>
      <c r="E1315" t="e">
        <f>cubic_spline(CURVA!$B$6:$B$20,CURVA!$G$6:$G$20,#REF!)</f>
        <v>#VALUE!</v>
      </c>
    </row>
    <row r="1316" spans="1:5" x14ac:dyDescent="0.2">
      <c r="A1316" s="28">
        <v>1315</v>
      </c>
      <c r="B1316" s="28" t="e">
        <f>interpola(#REF!,CURVA!$B$6:$B$20,CURVA!$G$6:$G$20)</f>
        <v>#VALUE!</v>
      </c>
      <c r="C1316" s="29" t="e">
        <f t="shared" si="20"/>
        <v>#VALUE!</v>
      </c>
      <c r="E1316" t="e">
        <f>cubic_spline(CURVA!$B$6:$B$20,CURVA!$G$6:$G$20,#REF!)</f>
        <v>#VALUE!</v>
      </c>
    </row>
    <row r="1317" spans="1:5" x14ac:dyDescent="0.2">
      <c r="A1317" s="28">
        <v>1316</v>
      </c>
      <c r="B1317" s="28" t="e">
        <f>interpola(#REF!,CURVA!$B$6:$B$20,CURVA!$G$6:$G$20)</f>
        <v>#VALUE!</v>
      </c>
      <c r="C1317" s="29" t="e">
        <f t="shared" si="20"/>
        <v>#VALUE!</v>
      </c>
      <c r="E1317" t="e">
        <f>cubic_spline(CURVA!$B$6:$B$20,CURVA!$G$6:$G$20,#REF!)</f>
        <v>#VALUE!</v>
      </c>
    </row>
    <row r="1318" spans="1:5" x14ac:dyDescent="0.2">
      <c r="A1318" s="28">
        <v>1317</v>
      </c>
      <c r="B1318" s="28" t="e">
        <f>interpola(#REF!,CURVA!$B$6:$B$20,CURVA!$G$6:$G$20)</f>
        <v>#VALUE!</v>
      </c>
      <c r="C1318" s="29" t="e">
        <f t="shared" si="20"/>
        <v>#VALUE!</v>
      </c>
      <c r="E1318" t="e">
        <f>cubic_spline(CURVA!$B$6:$B$20,CURVA!$G$6:$G$20,#REF!)</f>
        <v>#VALUE!</v>
      </c>
    </row>
    <row r="1319" spans="1:5" x14ac:dyDescent="0.2">
      <c r="A1319" s="28">
        <v>1318</v>
      </c>
      <c r="B1319" s="28" t="e">
        <f>interpola(#REF!,CURVA!$B$6:$B$20,CURVA!$G$6:$G$20)</f>
        <v>#VALUE!</v>
      </c>
      <c r="C1319" s="29" t="e">
        <f t="shared" si="20"/>
        <v>#VALUE!</v>
      </c>
      <c r="E1319" t="e">
        <f>cubic_spline(CURVA!$B$6:$B$20,CURVA!$G$6:$G$20,#REF!)</f>
        <v>#VALUE!</v>
      </c>
    </row>
    <row r="1320" spans="1:5" x14ac:dyDescent="0.2">
      <c r="A1320" s="28">
        <v>1319</v>
      </c>
      <c r="B1320" s="28" t="e">
        <f>interpola(#REF!,CURVA!$B$6:$B$20,CURVA!$G$6:$G$20)</f>
        <v>#VALUE!</v>
      </c>
      <c r="C1320" s="29" t="e">
        <f t="shared" si="20"/>
        <v>#VALUE!</v>
      </c>
      <c r="E1320" t="e">
        <f>cubic_spline(CURVA!$B$6:$B$20,CURVA!$G$6:$G$20,#REF!)</f>
        <v>#VALUE!</v>
      </c>
    </row>
    <row r="1321" spans="1:5" x14ac:dyDescent="0.2">
      <c r="A1321" s="28">
        <v>1320</v>
      </c>
      <c r="B1321" s="28" t="e">
        <f>interpola(#REF!,CURVA!$B$6:$B$20,CURVA!$G$6:$G$20)</f>
        <v>#VALUE!</v>
      </c>
      <c r="C1321" s="29" t="e">
        <f t="shared" si="20"/>
        <v>#VALUE!</v>
      </c>
      <c r="E1321" t="e">
        <f>cubic_spline(CURVA!$B$6:$B$20,CURVA!$G$6:$G$20,#REF!)</f>
        <v>#VALUE!</v>
      </c>
    </row>
    <row r="1322" spans="1:5" x14ac:dyDescent="0.2">
      <c r="A1322" s="28">
        <v>1321</v>
      </c>
      <c r="B1322" s="28" t="e">
        <f>interpola(#REF!,CURVA!$B$6:$B$20,CURVA!$G$6:$G$20)</f>
        <v>#VALUE!</v>
      </c>
      <c r="C1322" s="29" t="e">
        <f t="shared" si="20"/>
        <v>#VALUE!</v>
      </c>
      <c r="E1322" t="e">
        <f>cubic_spline(CURVA!$B$6:$B$20,CURVA!$G$6:$G$20,#REF!)</f>
        <v>#VALUE!</v>
      </c>
    </row>
    <row r="1323" spans="1:5" x14ac:dyDescent="0.2">
      <c r="A1323" s="28">
        <v>1322</v>
      </c>
      <c r="B1323" s="28" t="e">
        <f>interpola(#REF!,CURVA!$B$6:$B$20,CURVA!$G$6:$G$20)</f>
        <v>#VALUE!</v>
      </c>
      <c r="C1323" s="29" t="e">
        <f t="shared" si="20"/>
        <v>#VALUE!</v>
      </c>
      <c r="E1323" t="e">
        <f>cubic_spline(CURVA!$B$6:$B$20,CURVA!$G$6:$G$20,#REF!)</f>
        <v>#VALUE!</v>
      </c>
    </row>
    <row r="1324" spans="1:5" x14ac:dyDescent="0.2">
      <c r="A1324" s="28">
        <v>1323</v>
      </c>
      <c r="B1324" s="28" t="e">
        <f>interpola(#REF!,CURVA!$B$6:$B$20,CURVA!$G$6:$G$20)</f>
        <v>#VALUE!</v>
      </c>
      <c r="C1324" s="29" t="e">
        <f t="shared" si="20"/>
        <v>#VALUE!</v>
      </c>
      <c r="E1324" t="e">
        <f>cubic_spline(CURVA!$B$6:$B$20,CURVA!$G$6:$G$20,#REF!)</f>
        <v>#VALUE!</v>
      </c>
    </row>
    <row r="1325" spans="1:5" x14ac:dyDescent="0.2">
      <c r="A1325" s="28">
        <v>1324</v>
      </c>
      <c r="B1325" s="28" t="e">
        <f>interpola(#REF!,CURVA!$B$6:$B$20,CURVA!$G$6:$G$20)</f>
        <v>#VALUE!</v>
      </c>
      <c r="C1325" s="29" t="e">
        <f t="shared" si="20"/>
        <v>#VALUE!</v>
      </c>
      <c r="E1325" t="e">
        <f>cubic_spline(CURVA!$B$6:$B$20,CURVA!$G$6:$G$20,#REF!)</f>
        <v>#VALUE!</v>
      </c>
    </row>
    <row r="1326" spans="1:5" x14ac:dyDescent="0.2">
      <c r="A1326" s="28">
        <v>1325</v>
      </c>
      <c r="B1326" s="28" t="e">
        <f>interpola(#REF!,CURVA!$B$6:$B$20,CURVA!$G$6:$G$20)</f>
        <v>#VALUE!</v>
      </c>
      <c r="C1326" s="29" t="e">
        <f t="shared" si="20"/>
        <v>#VALUE!</v>
      </c>
      <c r="E1326" t="e">
        <f>cubic_spline(CURVA!$B$6:$B$20,CURVA!$G$6:$G$20,#REF!)</f>
        <v>#VALUE!</v>
      </c>
    </row>
    <row r="1327" spans="1:5" x14ac:dyDescent="0.2">
      <c r="A1327" s="28">
        <v>1326</v>
      </c>
      <c r="B1327" s="28" t="e">
        <f>interpola(#REF!,CURVA!$B$6:$B$20,CURVA!$G$6:$G$20)</f>
        <v>#VALUE!</v>
      </c>
      <c r="C1327" s="29" t="e">
        <f t="shared" si="20"/>
        <v>#VALUE!</v>
      </c>
      <c r="E1327" t="e">
        <f>cubic_spline(CURVA!$B$6:$B$20,CURVA!$G$6:$G$20,#REF!)</f>
        <v>#VALUE!</v>
      </c>
    </row>
    <row r="1328" spans="1:5" x14ac:dyDescent="0.2">
      <c r="A1328" s="28">
        <v>1327</v>
      </c>
      <c r="B1328" s="28" t="e">
        <f>interpola(#REF!,CURVA!$B$6:$B$20,CURVA!$G$6:$G$20)</f>
        <v>#VALUE!</v>
      </c>
      <c r="C1328" s="29" t="e">
        <f t="shared" si="20"/>
        <v>#VALUE!</v>
      </c>
      <c r="E1328" t="e">
        <f>cubic_spline(CURVA!$B$6:$B$20,CURVA!$G$6:$G$20,#REF!)</f>
        <v>#VALUE!</v>
      </c>
    </row>
    <row r="1329" spans="1:5" x14ac:dyDescent="0.2">
      <c r="A1329" s="28">
        <v>1328</v>
      </c>
      <c r="B1329" s="28" t="e">
        <f>interpola(#REF!,CURVA!$B$6:$B$20,CURVA!$G$6:$G$20)</f>
        <v>#VALUE!</v>
      </c>
      <c r="C1329" s="29" t="e">
        <f t="shared" si="20"/>
        <v>#VALUE!</v>
      </c>
      <c r="E1329" t="e">
        <f>cubic_spline(CURVA!$B$6:$B$20,CURVA!$G$6:$G$20,#REF!)</f>
        <v>#VALUE!</v>
      </c>
    </row>
    <row r="1330" spans="1:5" x14ac:dyDescent="0.2">
      <c r="A1330" s="28">
        <v>1329</v>
      </c>
      <c r="B1330" s="28" t="e">
        <f>interpola(#REF!,CURVA!$B$6:$B$20,CURVA!$G$6:$G$20)</f>
        <v>#VALUE!</v>
      </c>
      <c r="C1330" s="29" t="e">
        <f t="shared" si="20"/>
        <v>#VALUE!</v>
      </c>
      <c r="E1330" t="e">
        <f>cubic_spline(CURVA!$B$6:$B$20,CURVA!$G$6:$G$20,#REF!)</f>
        <v>#VALUE!</v>
      </c>
    </row>
    <row r="1331" spans="1:5" x14ac:dyDescent="0.2">
      <c r="A1331" s="28">
        <v>1330</v>
      </c>
      <c r="B1331" s="28" t="e">
        <f>interpola(#REF!,CURVA!$B$6:$B$20,CURVA!$G$6:$G$20)</f>
        <v>#VALUE!</v>
      </c>
      <c r="C1331" s="29" t="e">
        <f t="shared" si="20"/>
        <v>#VALUE!</v>
      </c>
      <c r="E1331" t="e">
        <f>cubic_spline(CURVA!$B$6:$B$20,CURVA!$G$6:$G$20,#REF!)</f>
        <v>#VALUE!</v>
      </c>
    </row>
    <row r="1332" spans="1:5" x14ac:dyDescent="0.2">
      <c r="A1332" s="28">
        <v>1331</v>
      </c>
      <c r="B1332" s="28" t="e">
        <f>interpola(#REF!,CURVA!$B$6:$B$20,CURVA!$G$6:$G$20)</f>
        <v>#VALUE!</v>
      </c>
      <c r="C1332" s="29" t="e">
        <f t="shared" si="20"/>
        <v>#VALUE!</v>
      </c>
      <c r="E1332" t="e">
        <f>cubic_spline(CURVA!$B$6:$B$20,CURVA!$G$6:$G$20,#REF!)</f>
        <v>#VALUE!</v>
      </c>
    </row>
    <row r="1333" spans="1:5" x14ac:dyDescent="0.2">
      <c r="A1333" s="28">
        <v>1332</v>
      </c>
      <c r="B1333" s="28" t="e">
        <f>interpola(#REF!,CURVA!$B$6:$B$20,CURVA!$G$6:$G$20)</f>
        <v>#VALUE!</v>
      </c>
      <c r="C1333" s="29" t="e">
        <f t="shared" si="20"/>
        <v>#VALUE!</v>
      </c>
      <c r="E1333" t="e">
        <f>cubic_spline(CURVA!$B$6:$B$20,CURVA!$G$6:$G$20,#REF!)</f>
        <v>#VALUE!</v>
      </c>
    </row>
    <row r="1334" spans="1:5" x14ac:dyDescent="0.2">
      <c r="A1334" s="28">
        <v>1333</v>
      </c>
      <c r="B1334" s="28" t="e">
        <f>interpola(#REF!,CURVA!$B$6:$B$20,CURVA!$G$6:$G$20)</f>
        <v>#VALUE!</v>
      </c>
      <c r="C1334" s="29" t="e">
        <f t="shared" si="20"/>
        <v>#VALUE!</v>
      </c>
      <c r="E1334" t="e">
        <f>cubic_spline(CURVA!$B$6:$B$20,CURVA!$G$6:$G$20,#REF!)</f>
        <v>#VALUE!</v>
      </c>
    </row>
    <row r="1335" spans="1:5" x14ac:dyDescent="0.2">
      <c r="A1335" s="28">
        <v>1334</v>
      </c>
      <c r="B1335" s="28" t="e">
        <f>interpola(#REF!,CURVA!$B$6:$B$20,CURVA!$G$6:$G$20)</f>
        <v>#VALUE!</v>
      </c>
      <c r="C1335" s="29" t="e">
        <f t="shared" si="20"/>
        <v>#VALUE!</v>
      </c>
      <c r="E1335" t="e">
        <f>cubic_spline(CURVA!$B$6:$B$20,CURVA!$G$6:$G$20,#REF!)</f>
        <v>#VALUE!</v>
      </c>
    </row>
    <row r="1336" spans="1:5" x14ac:dyDescent="0.2">
      <c r="A1336" s="28">
        <v>1335</v>
      </c>
      <c r="B1336" s="28" t="e">
        <f>interpola(#REF!,CURVA!$B$6:$B$20,CURVA!$G$6:$G$20)</f>
        <v>#VALUE!</v>
      </c>
      <c r="C1336" s="29" t="e">
        <f t="shared" si="20"/>
        <v>#VALUE!</v>
      </c>
      <c r="E1336" t="e">
        <f>cubic_spline(CURVA!$B$6:$B$20,CURVA!$G$6:$G$20,#REF!)</f>
        <v>#VALUE!</v>
      </c>
    </row>
    <row r="1337" spans="1:5" x14ac:dyDescent="0.2">
      <c r="A1337" s="28">
        <v>1336</v>
      </c>
      <c r="B1337" s="28" t="e">
        <f>interpola(#REF!,CURVA!$B$6:$B$20,CURVA!$G$6:$G$20)</f>
        <v>#VALUE!</v>
      </c>
      <c r="C1337" s="29" t="e">
        <f t="shared" si="20"/>
        <v>#VALUE!</v>
      </c>
      <c r="E1337" t="e">
        <f>cubic_spline(CURVA!$B$6:$B$20,CURVA!$G$6:$G$20,#REF!)</f>
        <v>#VALUE!</v>
      </c>
    </row>
    <row r="1338" spans="1:5" x14ac:dyDescent="0.2">
      <c r="A1338" s="28">
        <v>1337</v>
      </c>
      <c r="B1338" s="28" t="e">
        <f>interpola(#REF!,CURVA!$B$6:$B$20,CURVA!$G$6:$G$20)</f>
        <v>#VALUE!</v>
      </c>
      <c r="C1338" s="29" t="e">
        <f t="shared" si="20"/>
        <v>#VALUE!</v>
      </c>
      <c r="E1338" t="e">
        <f>cubic_spline(CURVA!$B$6:$B$20,CURVA!$G$6:$G$20,#REF!)</f>
        <v>#VALUE!</v>
      </c>
    </row>
    <row r="1339" spans="1:5" x14ac:dyDescent="0.2">
      <c r="A1339" s="28">
        <v>1338</v>
      </c>
      <c r="B1339" s="28" t="e">
        <f>interpola(#REF!,CURVA!$B$6:$B$20,CURVA!$G$6:$G$20)</f>
        <v>#VALUE!</v>
      </c>
      <c r="C1339" s="29" t="e">
        <f t="shared" si="20"/>
        <v>#VALUE!</v>
      </c>
      <c r="E1339" t="e">
        <f>cubic_spline(CURVA!$B$6:$B$20,CURVA!$G$6:$G$20,#REF!)</f>
        <v>#VALUE!</v>
      </c>
    </row>
    <row r="1340" spans="1:5" x14ac:dyDescent="0.2">
      <c r="A1340" s="28">
        <v>1339</v>
      </c>
      <c r="B1340" s="28" t="e">
        <f>interpola(#REF!,CURVA!$B$6:$B$20,CURVA!$G$6:$G$20)</f>
        <v>#VALUE!</v>
      </c>
      <c r="C1340" s="29" t="e">
        <f t="shared" si="20"/>
        <v>#VALUE!</v>
      </c>
      <c r="E1340" t="e">
        <f>cubic_spline(CURVA!$B$6:$B$20,CURVA!$G$6:$G$20,#REF!)</f>
        <v>#VALUE!</v>
      </c>
    </row>
    <row r="1341" spans="1:5" x14ac:dyDescent="0.2">
      <c r="A1341" s="28">
        <v>1340</v>
      </c>
      <c r="B1341" s="28" t="e">
        <f>interpola(#REF!,CURVA!$B$6:$B$20,CURVA!$G$6:$G$20)</f>
        <v>#VALUE!</v>
      </c>
      <c r="C1341" s="29" t="e">
        <f t="shared" si="20"/>
        <v>#VALUE!</v>
      </c>
      <c r="E1341" t="e">
        <f>cubic_spline(CURVA!$B$6:$B$20,CURVA!$G$6:$G$20,#REF!)</f>
        <v>#VALUE!</v>
      </c>
    </row>
    <row r="1342" spans="1:5" x14ac:dyDescent="0.2">
      <c r="A1342" s="28">
        <v>1341</v>
      </c>
      <c r="B1342" s="28" t="e">
        <f>interpola(#REF!,CURVA!$B$6:$B$20,CURVA!$G$6:$G$20)</f>
        <v>#VALUE!</v>
      </c>
      <c r="C1342" s="29" t="e">
        <f t="shared" si="20"/>
        <v>#VALUE!</v>
      </c>
      <c r="E1342" t="e">
        <f>cubic_spline(CURVA!$B$6:$B$20,CURVA!$G$6:$G$20,#REF!)</f>
        <v>#VALUE!</v>
      </c>
    </row>
    <row r="1343" spans="1:5" x14ac:dyDescent="0.2">
      <c r="A1343" s="28">
        <v>1342</v>
      </c>
      <c r="B1343" s="28" t="e">
        <f>interpola(#REF!,CURVA!$B$6:$B$20,CURVA!$G$6:$G$20)</f>
        <v>#VALUE!</v>
      </c>
      <c r="C1343" s="29" t="e">
        <f t="shared" si="20"/>
        <v>#VALUE!</v>
      </c>
      <c r="E1343" t="e">
        <f>cubic_spline(CURVA!$B$6:$B$20,CURVA!$G$6:$G$20,#REF!)</f>
        <v>#VALUE!</v>
      </c>
    </row>
    <row r="1344" spans="1:5" x14ac:dyDescent="0.2">
      <c r="A1344" s="28">
        <v>1343</v>
      </c>
      <c r="B1344" s="28" t="e">
        <f>interpola(#REF!,CURVA!$B$6:$B$20,CURVA!$G$6:$G$20)</f>
        <v>#VALUE!</v>
      </c>
      <c r="C1344" s="29" t="e">
        <f t="shared" si="20"/>
        <v>#VALUE!</v>
      </c>
      <c r="E1344" t="e">
        <f>cubic_spline(CURVA!$B$6:$B$20,CURVA!$G$6:$G$20,#REF!)</f>
        <v>#VALUE!</v>
      </c>
    </row>
    <row r="1345" spans="1:5" x14ac:dyDescent="0.2">
      <c r="A1345" s="28">
        <v>1344</v>
      </c>
      <c r="B1345" s="28" t="e">
        <f>interpola(#REF!,CURVA!$B$6:$B$20,CURVA!$G$6:$G$20)</f>
        <v>#VALUE!</v>
      </c>
      <c r="C1345" s="29" t="e">
        <f t="shared" si="20"/>
        <v>#VALUE!</v>
      </c>
      <c r="E1345" t="e">
        <f>cubic_spline(CURVA!$B$6:$B$20,CURVA!$G$6:$G$20,#REF!)</f>
        <v>#VALUE!</v>
      </c>
    </row>
    <row r="1346" spans="1:5" x14ac:dyDescent="0.2">
      <c r="A1346" s="28">
        <v>1345</v>
      </c>
      <c r="B1346" s="28" t="e">
        <f>interpola(#REF!,CURVA!$B$6:$B$20,CURVA!$G$6:$G$20)</f>
        <v>#VALUE!</v>
      </c>
      <c r="C1346" s="29" t="e">
        <f t="shared" ref="C1346:C1409" si="21">(EXP(B1346*A1346/360)-1)*360/A1346</f>
        <v>#VALUE!</v>
      </c>
      <c r="E1346" t="e">
        <f>cubic_spline(CURVA!$B$6:$B$20,CURVA!$G$6:$G$20,#REF!)</f>
        <v>#VALUE!</v>
      </c>
    </row>
    <row r="1347" spans="1:5" x14ac:dyDescent="0.2">
      <c r="A1347" s="28">
        <v>1346</v>
      </c>
      <c r="B1347" s="28" t="e">
        <f>interpola(#REF!,CURVA!$B$6:$B$20,CURVA!$G$6:$G$20)</f>
        <v>#VALUE!</v>
      </c>
      <c r="C1347" s="29" t="e">
        <f t="shared" si="21"/>
        <v>#VALUE!</v>
      </c>
      <c r="E1347" t="e">
        <f>cubic_spline(CURVA!$B$6:$B$20,CURVA!$G$6:$G$20,#REF!)</f>
        <v>#VALUE!</v>
      </c>
    </row>
    <row r="1348" spans="1:5" x14ac:dyDescent="0.2">
      <c r="A1348" s="28">
        <v>1347</v>
      </c>
      <c r="B1348" s="28" t="e">
        <f>interpola(#REF!,CURVA!$B$6:$B$20,CURVA!$G$6:$G$20)</f>
        <v>#VALUE!</v>
      </c>
      <c r="C1348" s="29" t="e">
        <f t="shared" si="21"/>
        <v>#VALUE!</v>
      </c>
      <c r="E1348" t="e">
        <f>cubic_spline(CURVA!$B$6:$B$20,CURVA!$G$6:$G$20,#REF!)</f>
        <v>#VALUE!</v>
      </c>
    </row>
    <row r="1349" spans="1:5" x14ac:dyDescent="0.2">
      <c r="A1349" s="28">
        <v>1348</v>
      </c>
      <c r="B1349" s="28" t="e">
        <f>interpola(#REF!,CURVA!$B$6:$B$20,CURVA!$G$6:$G$20)</f>
        <v>#VALUE!</v>
      </c>
      <c r="C1349" s="29" t="e">
        <f t="shared" si="21"/>
        <v>#VALUE!</v>
      </c>
      <c r="E1349" t="e">
        <f>cubic_spline(CURVA!$B$6:$B$20,CURVA!$G$6:$G$20,#REF!)</f>
        <v>#VALUE!</v>
      </c>
    </row>
    <row r="1350" spans="1:5" x14ac:dyDescent="0.2">
      <c r="A1350" s="28">
        <v>1349</v>
      </c>
      <c r="B1350" s="28" t="e">
        <f>interpola(#REF!,CURVA!$B$6:$B$20,CURVA!$G$6:$G$20)</f>
        <v>#VALUE!</v>
      </c>
      <c r="C1350" s="29" t="e">
        <f t="shared" si="21"/>
        <v>#VALUE!</v>
      </c>
      <c r="E1350" t="e">
        <f>cubic_spline(CURVA!$B$6:$B$20,CURVA!$G$6:$G$20,#REF!)</f>
        <v>#VALUE!</v>
      </c>
    </row>
    <row r="1351" spans="1:5" x14ac:dyDescent="0.2">
      <c r="A1351" s="28">
        <v>1350</v>
      </c>
      <c r="B1351" s="28" t="e">
        <f>interpola(#REF!,CURVA!$B$6:$B$20,CURVA!$G$6:$G$20)</f>
        <v>#VALUE!</v>
      </c>
      <c r="C1351" s="29" t="e">
        <f t="shared" si="21"/>
        <v>#VALUE!</v>
      </c>
      <c r="E1351" t="e">
        <f>cubic_spline(CURVA!$B$6:$B$20,CURVA!$G$6:$G$20,#REF!)</f>
        <v>#VALUE!</v>
      </c>
    </row>
    <row r="1352" spans="1:5" x14ac:dyDescent="0.2">
      <c r="A1352" s="28">
        <v>1351</v>
      </c>
      <c r="B1352" s="28" t="e">
        <f>interpola(#REF!,CURVA!$B$6:$B$20,CURVA!$G$6:$G$20)</f>
        <v>#VALUE!</v>
      </c>
      <c r="C1352" s="29" t="e">
        <f t="shared" si="21"/>
        <v>#VALUE!</v>
      </c>
      <c r="E1352" t="e">
        <f>cubic_spline(CURVA!$B$6:$B$20,CURVA!$G$6:$G$20,#REF!)</f>
        <v>#VALUE!</v>
      </c>
    </row>
    <row r="1353" spans="1:5" x14ac:dyDescent="0.2">
      <c r="A1353" s="28">
        <v>1352</v>
      </c>
      <c r="B1353" s="28" t="e">
        <f>interpola(#REF!,CURVA!$B$6:$B$20,CURVA!$G$6:$G$20)</f>
        <v>#VALUE!</v>
      </c>
      <c r="C1353" s="29" t="e">
        <f t="shared" si="21"/>
        <v>#VALUE!</v>
      </c>
      <c r="E1353" t="e">
        <f>cubic_spline(CURVA!$B$6:$B$20,CURVA!$G$6:$G$20,#REF!)</f>
        <v>#VALUE!</v>
      </c>
    </row>
    <row r="1354" spans="1:5" x14ac:dyDescent="0.2">
      <c r="A1354" s="28">
        <v>1353</v>
      </c>
      <c r="B1354" s="28" t="e">
        <f>interpola(#REF!,CURVA!$B$6:$B$20,CURVA!$G$6:$G$20)</f>
        <v>#VALUE!</v>
      </c>
      <c r="C1354" s="29" t="e">
        <f t="shared" si="21"/>
        <v>#VALUE!</v>
      </c>
      <c r="E1354" t="e">
        <f>cubic_spline(CURVA!$B$6:$B$20,CURVA!$G$6:$G$20,#REF!)</f>
        <v>#VALUE!</v>
      </c>
    </row>
    <row r="1355" spans="1:5" x14ac:dyDescent="0.2">
      <c r="A1355" s="28">
        <v>1354</v>
      </c>
      <c r="B1355" s="28" t="e">
        <f>interpola(#REF!,CURVA!$B$6:$B$20,CURVA!$G$6:$G$20)</f>
        <v>#VALUE!</v>
      </c>
      <c r="C1355" s="29" t="e">
        <f t="shared" si="21"/>
        <v>#VALUE!</v>
      </c>
      <c r="E1355" t="e">
        <f>cubic_spline(CURVA!$B$6:$B$20,CURVA!$G$6:$G$20,#REF!)</f>
        <v>#VALUE!</v>
      </c>
    </row>
    <row r="1356" spans="1:5" x14ac:dyDescent="0.2">
      <c r="A1356" s="28">
        <v>1355</v>
      </c>
      <c r="B1356" s="28" t="e">
        <f>interpola(#REF!,CURVA!$B$6:$B$20,CURVA!$G$6:$G$20)</f>
        <v>#VALUE!</v>
      </c>
      <c r="C1356" s="29" t="e">
        <f t="shared" si="21"/>
        <v>#VALUE!</v>
      </c>
      <c r="E1356" t="e">
        <f>cubic_spline(CURVA!$B$6:$B$20,CURVA!$G$6:$G$20,#REF!)</f>
        <v>#VALUE!</v>
      </c>
    </row>
    <row r="1357" spans="1:5" x14ac:dyDescent="0.2">
      <c r="A1357" s="28">
        <v>1356</v>
      </c>
      <c r="B1357" s="28" t="e">
        <f>interpola(#REF!,CURVA!$B$6:$B$20,CURVA!$G$6:$G$20)</f>
        <v>#VALUE!</v>
      </c>
      <c r="C1357" s="29" t="e">
        <f t="shared" si="21"/>
        <v>#VALUE!</v>
      </c>
      <c r="E1357" t="e">
        <f>cubic_spline(CURVA!$B$6:$B$20,CURVA!$G$6:$G$20,#REF!)</f>
        <v>#VALUE!</v>
      </c>
    </row>
    <row r="1358" spans="1:5" x14ac:dyDescent="0.2">
      <c r="A1358" s="28">
        <v>1357</v>
      </c>
      <c r="B1358" s="28" t="e">
        <f>interpola(#REF!,CURVA!$B$6:$B$20,CURVA!$G$6:$G$20)</f>
        <v>#VALUE!</v>
      </c>
      <c r="C1358" s="29" t="e">
        <f t="shared" si="21"/>
        <v>#VALUE!</v>
      </c>
      <c r="E1358" t="e">
        <f>cubic_spline(CURVA!$B$6:$B$20,CURVA!$G$6:$G$20,#REF!)</f>
        <v>#VALUE!</v>
      </c>
    </row>
    <row r="1359" spans="1:5" x14ac:dyDescent="0.2">
      <c r="A1359" s="28">
        <v>1358</v>
      </c>
      <c r="B1359" s="28" t="e">
        <f>interpola(#REF!,CURVA!$B$6:$B$20,CURVA!$G$6:$G$20)</f>
        <v>#VALUE!</v>
      </c>
      <c r="C1359" s="29" t="e">
        <f t="shared" si="21"/>
        <v>#VALUE!</v>
      </c>
      <c r="E1359" t="e">
        <f>cubic_spline(CURVA!$B$6:$B$20,CURVA!$G$6:$G$20,#REF!)</f>
        <v>#VALUE!</v>
      </c>
    </row>
    <row r="1360" spans="1:5" x14ac:dyDescent="0.2">
      <c r="A1360" s="28">
        <v>1359</v>
      </c>
      <c r="B1360" s="28" t="e">
        <f>interpola(#REF!,CURVA!$B$6:$B$20,CURVA!$G$6:$G$20)</f>
        <v>#VALUE!</v>
      </c>
      <c r="C1360" s="29" t="e">
        <f t="shared" si="21"/>
        <v>#VALUE!</v>
      </c>
      <c r="E1360" t="e">
        <f>cubic_spline(CURVA!$B$6:$B$20,CURVA!$G$6:$G$20,#REF!)</f>
        <v>#VALUE!</v>
      </c>
    </row>
    <row r="1361" spans="1:5" x14ac:dyDescent="0.2">
      <c r="A1361" s="28">
        <v>1360</v>
      </c>
      <c r="B1361" s="28" t="e">
        <f>interpola(#REF!,CURVA!$B$6:$B$20,CURVA!$G$6:$G$20)</f>
        <v>#VALUE!</v>
      </c>
      <c r="C1361" s="29" t="e">
        <f t="shared" si="21"/>
        <v>#VALUE!</v>
      </c>
      <c r="E1361" t="e">
        <f>cubic_spline(CURVA!$B$6:$B$20,CURVA!$G$6:$G$20,#REF!)</f>
        <v>#VALUE!</v>
      </c>
    </row>
    <row r="1362" spans="1:5" x14ac:dyDescent="0.2">
      <c r="A1362" s="28">
        <v>1361</v>
      </c>
      <c r="B1362" s="28" t="e">
        <f>interpola(#REF!,CURVA!$B$6:$B$20,CURVA!$G$6:$G$20)</f>
        <v>#VALUE!</v>
      </c>
      <c r="C1362" s="29" t="e">
        <f t="shared" si="21"/>
        <v>#VALUE!</v>
      </c>
      <c r="E1362" t="e">
        <f>cubic_spline(CURVA!$B$6:$B$20,CURVA!$G$6:$G$20,#REF!)</f>
        <v>#VALUE!</v>
      </c>
    </row>
    <row r="1363" spans="1:5" x14ac:dyDescent="0.2">
      <c r="A1363" s="28">
        <v>1362</v>
      </c>
      <c r="B1363" s="28" t="e">
        <f>interpola(#REF!,CURVA!$B$6:$B$20,CURVA!$G$6:$G$20)</f>
        <v>#VALUE!</v>
      </c>
      <c r="C1363" s="29" t="e">
        <f t="shared" si="21"/>
        <v>#VALUE!</v>
      </c>
      <c r="E1363" t="e">
        <f>cubic_spline(CURVA!$B$6:$B$20,CURVA!$G$6:$G$20,#REF!)</f>
        <v>#VALUE!</v>
      </c>
    </row>
    <row r="1364" spans="1:5" x14ac:dyDescent="0.2">
      <c r="A1364" s="28">
        <v>1363</v>
      </c>
      <c r="B1364" s="28" t="e">
        <f>interpola(#REF!,CURVA!$B$6:$B$20,CURVA!$G$6:$G$20)</f>
        <v>#VALUE!</v>
      </c>
      <c r="C1364" s="29" t="e">
        <f t="shared" si="21"/>
        <v>#VALUE!</v>
      </c>
      <c r="E1364" t="e">
        <f>cubic_spline(CURVA!$B$6:$B$20,CURVA!$G$6:$G$20,#REF!)</f>
        <v>#VALUE!</v>
      </c>
    </row>
    <row r="1365" spans="1:5" x14ac:dyDescent="0.2">
      <c r="A1365" s="28">
        <v>1364</v>
      </c>
      <c r="B1365" s="28" t="e">
        <f>interpola(#REF!,CURVA!$B$6:$B$20,CURVA!$G$6:$G$20)</f>
        <v>#VALUE!</v>
      </c>
      <c r="C1365" s="29" t="e">
        <f t="shared" si="21"/>
        <v>#VALUE!</v>
      </c>
      <c r="E1365" t="e">
        <f>cubic_spline(CURVA!$B$6:$B$20,CURVA!$G$6:$G$20,#REF!)</f>
        <v>#VALUE!</v>
      </c>
    </row>
    <row r="1366" spans="1:5" x14ac:dyDescent="0.2">
      <c r="A1366" s="28">
        <v>1365</v>
      </c>
      <c r="B1366" s="28" t="e">
        <f>interpola(#REF!,CURVA!$B$6:$B$20,CURVA!$G$6:$G$20)</f>
        <v>#VALUE!</v>
      </c>
      <c r="C1366" s="29" t="e">
        <f t="shared" si="21"/>
        <v>#VALUE!</v>
      </c>
      <c r="E1366" t="e">
        <f>cubic_spline(CURVA!$B$6:$B$20,CURVA!$G$6:$G$20,#REF!)</f>
        <v>#VALUE!</v>
      </c>
    </row>
    <row r="1367" spans="1:5" x14ac:dyDescent="0.2">
      <c r="A1367" s="28">
        <v>1366</v>
      </c>
      <c r="B1367" s="28" t="e">
        <f>interpola(#REF!,CURVA!$B$6:$B$20,CURVA!$G$6:$G$20)</f>
        <v>#VALUE!</v>
      </c>
      <c r="C1367" s="29" t="e">
        <f t="shared" si="21"/>
        <v>#VALUE!</v>
      </c>
      <c r="E1367" t="e">
        <f>cubic_spline(CURVA!$B$6:$B$20,CURVA!$G$6:$G$20,#REF!)</f>
        <v>#VALUE!</v>
      </c>
    </row>
    <row r="1368" spans="1:5" x14ac:dyDescent="0.2">
      <c r="A1368" s="28">
        <v>1367</v>
      </c>
      <c r="B1368" s="28" t="e">
        <f>interpola(#REF!,CURVA!$B$6:$B$20,CURVA!$G$6:$G$20)</f>
        <v>#VALUE!</v>
      </c>
      <c r="C1368" s="29" t="e">
        <f t="shared" si="21"/>
        <v>#VALUE!</v>
      </c>
      <c r="E1368" t="e">
        <f>cubic_spline(CURVA!$B$6:$B$20,CURVA!$G$6:$G$20,#REF!)</f>
        <v>#VALUE!</v>
      </c>
    </row>
    <row r="1369" spans="1:5" x14ac:dyDescent="0.2">
      <c r="A1369" s="28">
        <v>1368</v>
      </c>
      <c r="B1369" s="28" t="e">
        <f>interpola(#REF!,CURVA!$B$6:$B$20,CURVA!$G$6:$G$20)</f>
        <v>#VALUE!</v>
      </c>
      <c r="C1369" s="29" t="e">
        <f t="shared" si="21"/>
        <v>#VALUE!</v>
      </c>
      <c r="E1369" t="e">
        <f>cubic_spline(CURVA!$B$6:$B$20,CURVA!$G$6:$G$20,#REF!)</f>
        <v>#VALUE!</v>
      </c>
    </row>
    <row r="1370" spans="1:5" x14ac:dyDescent="0.2">
      <c r="A1370" s="28">
        <v>1369</v>
      </c>
      <c r="B1370" s="28" t="e">
        <f>interpola(#REF!,CURVA!$B$6:$B$20,CURVA!$G$6:$G$20)</f>
        <v>#VALUE!</v>
      </c>
      <c r="C1370" s="29" t="e">
        <f t="shared" si="21"/>
        <v>#VALUE!</v>
      </c>
      <c r="E1370" t="e">
        <f>cubic_spline(CURVA!$B$6:$B$20,CURVA!$G$6:$G$20,#REF!)</f>
        <v>#VALUE!</v>
      </c>
    </row>
    <row r="1371" spans="1:5" x14ac:dyDescent="0.2">
      <c r="A1371" s="28">
        <v>1370</v>
      </c>
      <c r="B1371" s="28" t="e">
        <f>interpola(#REF!,CURVA!$B$6:$B$20,CURVA!$G$6:$G$20)</f>
        <v>#VALUE!</v>
      </c>
      <c r="C1371" s="29" t="e">
        <f t="shared" si="21"/>
        <v>#VALUE!</v>
      </c>
      <c r="E1371" t="e">
        <f>cubic_spline(CURVA!$B$6:$B$20,CURVA!$G$6:$G$20,#REF!)</f>
        <v>#VALUE!</v>
      </c>
    </row>
    <row r="1372" spans="1:5" x14ac:dyDescent="0.2">
      <c r="A1372" s="28">
        <v>1371</v>
      </c>
      <c r="B1372" s="28" t="e">
        <f>interpola(#REF!,CURVA!$B$6:$B$20,CURVA!$G$6:$G$20)</f>
        <v>#VALUE!</v>
      </c>
      <c r="C1372" s="29" t="e">
        <f t="shared" si="21"/>
        <v>#VALUE!</v>
      </c>
      <c r="E1372" t="e">
        <f>cubic_spline(CURVA!$B$6:$B$20,CURVA!$G$6:$G$20,#REF!)</f>
        <v>#VALUE!</v>
      </c>
    </row>
    <row r="1373" spans="1:5" x14ac:dyDescent="0.2">
      <c r="A1373" s="28">
        <v>1372</v>
      </c>
      <c r="B1373" s="28" t="e">
        <f>interpola(#REF!,CURVA!$B$6:$B$20,CURVA!$G$6:$G$20)</f>
        <v>#VALUE!</v>
      </c>
      <c r="C1373" s="29" t="e">
        <f t="shared" si="21"/>
        <v>#VALUE!</v>
      </c>
      <c r="E1373" t="e">
        <f>cubic_spline(CURVA!$B$6:$B$20,CURVA!$G$6:$G$20,#REF!)</f>
        <v>#VALUE!</v>
      </c>
    </row>
    <row r="1374" spans="1:5" x14ac:dyDescent="0.2">
      <c r="A1374" s="28">
        <v>1373</v>
      </c>
      <c r="B1374" s="28" t="e">
        <f>interpola(#REF!,CURVA!$B$6:$B$20,CURVA!$G$6:$G$20)</f>
        <v>#VALUE!</v>
      </c>
      <c r="C1374" s="29" t="e">
        <f t="shared" si="21"/>
        <v>#VALUE!</v>
      </c>
      <c r="E1374" t="e">
        <f>cubic_spline(CURVA!$B$6:$B$20,CURVA!$G$6:$G$20,#REF!)</f>
        <v>#VALUE!</v>
      </c>
    </row>
    <row r="1375" spans="1:5" x14ac:dyDescent="0.2">
      <c r="A1375" s="28">
        <v>1374</v>
      </c>
      <c r="B1375" s="28" t="e">
        <f>interpola(#REF!,CURVA!$B$6:$B$20,CURVA!$G$6:$G$20)</f>
        <v>#VALUE!</v>
      </c>
      <c r="C1375" s="29" t="e">
        <f t="shared" si="21"/>
        <v>#VALUE!</v>
      </c>
      <c r="E1375" t="e">
        <f>cubic_spline(CURVA!$B$6:$B$20,CURVA!$G$6:$G$20,#REF!)</f>
        <v>#VALUE!</v>
      </c>
    </row>
    <row r="1376" spans="1:5" x14ac:dyDescent="0.2">
      <c r="A1376" s="28">
        <v>1375</v>
      </c>
      <c r="B1376" s="28" t="e">
        <f>interpola(#REF!,CURVA!$B$6:$B$20,CURVA!$G$6:$G$20)</f>
        <v>#VALUE!</v>
      </c>
      <c r="C1376" s="29" t="e">
        <f t="shared" si="21"/>
        <v>#VALUE!</v>
      </c>
      <c r="E1376" t="e">
        <f>cubic_spline(CURVA!$B$6:$B$20,CURVA!$G$6:$G$20,#REF!)</f>
        <v>#VALUE!</v>
      </c>
    </row>
    <row r="1377" spans="1:5" x14ac:dyDescent="0.2">
      <c r="A1377" s="28">
        <v>1376</v>
      </c>
      <c r="B1377" s="28" t="e">
        <f>interpola(#REF!,CURVA!$B$6:$B$20,CURVA!$G$6:$G$20)</f>
        <v>#VALUE!</v>
      </c>
      <c r="C1377" s="29" t="e">
        <f t="shared" si="21"/>
        <v>#VALUE!</v>
      </c>
      <c r="E1377" t="e">
        <f>cubic_spline(CURVA!$B$6:$B$20,CURVA!$G$6:$G$20,#REF!)</f>
        <v>#VALUE!</v>
      </c>
    </row>
    <row r="1378" spans="1:5" x14ac:dyDescent="0.2">
      <c r="A1378" s="28">
        <v>1377</v>
      </c>
      <c r="B1378" s="28" t="e">
        <f>interpola(#REF!,CURVA!$B$6:$B$20,CURVA!$G$6:$G$20)</f>
        <v>#VALUE!</v>
      </c>
      <c r="C1378" s="29" t="e">
        <f t="shared" si="21"/>
        <v>#VALUE!</v>
      </c>
      <c r="E1378" t="e">
        <f>cubic_spline(CURVA!$B$6:$B$20,CURVA!$G$6:$G$20,#REF!)</f>
        <v>#VALUE!</v>
      </c>
    </row>
    <row r="1379" spans="1:5" x14ac:dyDescent="0.2">
      <c r="A1379" s="28">
        <v>1378</v>
      </c>
      <c r="B1379" s="28" t="e">
        <f>interpola(#REF!,CURVA!$B$6:$B$20,CURVA!$G$6:$G$20)</f>
        <v>#VALUE!</v>
      </c>
      <c r="C1379" s="29" t="e">
        <f t="shared" si="21"/>
        <v>#VALUE!</v>
      </c>
      <c r="E1379" t="e">
        <f>cubic_spline(CURVA!$B$6:$B$20,CURVA!$G$6:$G$20,#REF!)</f>
        <v>#VALUE!</v>
      </c>
    </row>
    <row r="1380" spans="1:5" x14ac:dyDescent="0.2">
      <c r="A1380" s="28">
        <v>1379</v>
      </c>
      <c r="B1380" s="28" t="e">
        <f>interpola(#REF!,CURVA!$B$6:$B$20,CURVA!$G$6:$G$20)</f>
        <v>#VALUE!</v>
      </c>
      <c r="C1380" s="29" t="e">
        <f t="shared" si="21"/>
        <v>#VALUE!</v>
      </c>
      <c r="E1380" t="e">
        <f>cubic_spline(CURVA!$B$6:$B$20,CURVA!$G$6:$G$20,#REF!)</f>
        <v>#VALUE!</v>
      </c>
    </row>
    <row r="1381" spans="1:5" x14ac:dyDescent="0.2">
      <c r="A1381" s="28">
        <v>1380</v>
      </c>
      <c r="B1381" s="28" t="e">
        <f>interpola(#REF!,CURVA!$B$6:$B$20,CURVA!$G$6:$G$20)</f>
        <v>#VALUE!</v>
      </c>
      <c r="C1381" s="29" t="e">
        <f t="shared" si="21"/>
        <v>#VALUE!</v>
      </c>
      <c r="E1381" t="e">
        <f>cubic_spline(CURVA!$B$6:$B$20,CURVA!$G$6:$G$20,#REF!)</f>
        <v>#VALUE!</v>
      </c>
    </row>
    <row r="1382" spans="1:5" x14ac:dyDescent="0.2">
      <c r="A1382" s="28">
        <v>1381</v>
      </c>
      <c r="B1382" s="28" t="e">
        <f>interpola(#REF!,CURVA!$B$6:$B$20,CURVA!$G$6:$G$20)</f>
        <v>#VALUE!</v>
      </c>
      <c r="C1382" s="29" t="e">
        <f t="shared" si="21"/>
        <v>#VALUE!</v>
      </c>
      <c r="E1382" t="e">
        <f>cubic_spline(CURVA!$B$6:$B$20,CURVA!$G$6:$G$20,#REF!)</f>
        <v>#VALUE!</v>
      </c>
    </row>
    <row r="1383" spans="1:5" x14ac:dyDescent="0.2">
      <c r="A1383" s="28">
        <v>1382</v>
      </c>
      <c r="B1383" s="28" t="e">
        <f>interpola(#REF!,CURVA!$B$6:$B$20,CURVA!$G$6:$G$20)</f>
        <v>#VALUE!</v>
      </c>
      <c r="C1383" s="29" t="e">
        <f t="shared" si="21"/>
        <v>#VALUE!</v>
      </c>
      <c r="E1383" t="e">
        <f>cubic_spline(CURVA!$B$6:$B$20,CURVA!$G$6:$G$20,#REF!)</f>
        <v>#VALUE!</v>
      </c>
    </row>
    <row r="1384" spans="1:5" x14ac:dyDescent="0.2">
      <c r="A1384" s="28">
        <v>1383</v>
      </c>
      <c r="B1384" s="28" t="e">
        <f>interpola(#REF!,CURVA!$B$6:$B$20,CURVA!$G$6:$G$20)</f>
        <v>#VALUE!</v>
      </c>
      <c r="C1384" s="29" t="e">
        <f t="shared" si="21"/>
        <v>#VALUE!</v>
      </c>
      <c r="E1384" t="e">
        <f>cubic_spline(CURVA!$B$6:$B$20,CURVA!$G$6:$G$20,#REF!)</f>
        <v>#VALUE!</v>
      </c>
    </row>
    <row r="1385" spans="1:5" x14ac:dyDescent="0.2">
      <c r="A1385" s="28">
        <v>1384</v>
      </c>
      <c r="B1385" s="28" t="e">
        <f>interpola(#REF!,CURVA!$B$6:$B$20,CURVA!$G$6:$G$20)</f>
        <v>#VALUE!</v>
      </c>
      <c r="C1385" s="29" t="e">
        <f t="shared" si="21"/>
        <v>#VALUE!</v>
      </c>
      <c r="E1385" t="e">
        <f>cubic_spline(CURVA!$B$6:$B$20,CURVA!$G$6:$G$20,#REF!)</f>
        <v>#VALUE!</v>
      </c>
    </row>
    <row r="1386" spans="1:5" x14ac:dyDescent="0.2">
      <c r="A1386" s="28">
        <v>1385</v>
      </c>
      <c r="B1386" s="28" t="e">
        <f>interpola(#REF!,CURVA!$B$6:$B$20,CURVA!$G$6:$G$20)</f>
        <v>#VALUE!</v>
      </c>
      <c r="C1386" s="29" t="e">
        <f t="shared" si="21"/>
        <v>#VALUE!</v>
      </c>
      <c r="E1386" t="e">
        <f>cubic_spline(CURVA!$B$6:$B$20,CURVA!$G$6:$G$20,#REF!)</f>
        <v>#VALUE!</v>
      </c>
    </row>
    <row r="1387" spans="1:5" x14ac:dyDescent="0.2">
      <c r="A1387" s="28">
        <v>1386</v>
      </c>
      <c r="B1387" s="28" t="e">
        <f>interpola(#REF!,CURVA!$B$6:$B$20,CURVA!$G$6:$G$20)</f>
        <v>#VALUE!</v>
      </c>
      <c r="C1387" s="29" t="e">
        <f t="shared" si="21"/>
        <v>#VALUE!</v>
      </c>
      <c r="E1387" t="e">
        <f>cubic_spline(CURVA!$B$6:$B$20,CURVA!$G$6:$G$20,#REF!)</f>
        <v>#VALUE!</v>
      </c>
    </row>
    <row r="1388" spans="1:5" x14ac:dyDescent="0.2">
      <c r="A1388" s="28">
        <v>1387</v>
      </c>
      <c r="B1388" s="28" t="e">
        <f>interpola(#REF!,CURVA!$B$6:$B$20,CURVA!$G$6:$G$20)</f>
        <v>#VALUE!</v>
      </c>
      <c r="C1388" s="29" t="e">
        <f t="shared" si="21"/>
        <v>#VALUE!</v>
      </c>
      <c r="E1388" t="e">
        <f>cubic_spline(CURVA!$B$6:$B$20,CURVA!$G$6:$G$20,#REF!)</f>
        <v>#VALUE!</v>
      </c>
    </row>
    <row r="1389" spans="1:5" x14ac:dyDescent="0.2">
      <c r="A1389" s="28">
        <v>1388</v>
      </c>
      <c r="B1389" s="28" t="e">
        <f>interpola(#REF!,CURVA!$B$6:$B$20,CURVA!$G$6:$G$20)</f>
        <v>#VALUE!</v>
      </c>
      <c r="C1389" s="29" t="e">
        <f t="shared" si="21"/>
        <v>#VALUE!</v>
      </c>
      <c r="E1389" t="e">
        <f>cubic_spline(CURVA!$B$6:$B$20,CURVA!$G$6:$G$20,#REF!)</f>
        <v>#VALUE!</v>
      </c>
    </row>
    <row r="1390" spans="1:5" x14ac:dyDescent="0.2">
      <c r="A1390" s="28">
        <v>1389</v>
      </c>
      <c r="B1390" s="28" t="e">
        <f>interpola(#REF!,CURVA!$B$6:$B$20,CURVA!$G$6:$G$20)</f>
        <v>#VALUE!</v>
      </c>
      <c r="C1390" s="29" t="e">
        <f t="shared" si="21"/>
        <v>#VALUE!</v>
      </c>
      <c r="E1390" t="e">
        <f>cubic_spline(CURVA!$B$6:$B$20,CURVA!$G$6:$G$20,#REF!)</f>
        <v>#VALUE!</v>
      </c>
    </row>
    <row r="1391" spans="1:5" x14ac:dyDescent="0.2">
      <c r="A1391" s="28">
        <v>1390</v>
      </c>
      <c r="B1391" s="28" t="e">
        <f>interpola(#REF!,CURVA!$B$6:$B$20,CURVA!$G$6:$G$20)</f>
        <v>#VALUE!</v>
      </c>
      <c r="C1391" s="29" t="e">
        <f t="shared" si="21"/>
        <v>#VALUE!</v>
      </c>
      <c r="E1391" t="e">
        <f>cubic_spline(CURVA!$B$6:$B$20,CURVA!$G$6:$G$20,#REF!)</f>
        <v>#VALUE!</v>
      </c>
    </row>
    <row r="1392" spans="1:5" x14ac:dyDescent="0.2">
      <c r="A1392" s="28">
        <v>1391</v>
      </c>
      <c r="B1392" s="28" t="e">
        <f>interpola(#REF!,CURVA!$B$6:$B$20,CURVA!$G$6:$G$20)</f>
        <v>#VALUE!</v>
      </c>
      <c r="C1392" s="29" t="e">
        <f t="shared" si="21"/>
        <v>#VALUE!</v>
      </c>
      <c r="E1392" t="e">
        <f>cubic_spline(CURVA!$B$6:$B$20,CURVA!$G$6:$G$20,#REF!)</f>
        <v>#VALUE!</v>
      </c>
    </row>
    <row r="1393" spans="1:5" x14ac:dyDescent="0.2">
      <c r="A1393" s="28">
        <v>1392</v>
      </c>
      <c r="B1393" s="28" t="e">
        <f>interpola(#REF!,CURVA!$B$6:$B$20,CURVA!$G$6:$G$20)</f>
        <v>#VALUE!</v>
      </c>
      <c r="C1393" s="29" t="e">
        <f t="shared" si="21"/>
        <v>#VALUE!</v>
      </c>
      <c r="E1393" t="e">
        <f>cubic_spline(CURVA!$B$6:$B$20,CURVA!$G$6:$G$20,#REF!)</f>
        <v>#VALUE!</v>
      </c>
    </row>
    <row r="1394" spans="1:5" x14ac:dyDescent="0.2">
      <c r="A1394" s="28">
        <v>1393</v>
      </c>
      <c r="B1394" s="28" t="e">
        <f>interpola(#REF!,CURVA!$B$6:$B$20,CURVA!$G$6:$G$20)</f>
        <v>#VALUE!</v>
      </c>
      <c r="C1394" s="29" t="e">
        <f t="shared" si="21"/>
        <v>#VALUE!</v>
      </c>
      <c r="E1394" t="e">
        <f>cubic_spline(CURVA!$B$6:$B$20,CURVA!$G$6:$G$20,#REF!)</f>
        <v>#VALUE!</v>
      </c>
    </row>
    <row r="1395" spans="1:5" x14ac:dyDescent="0.2">
      <c r="A1395" s="28">
        <v>1394</v>
      </c>
      <c r="B1395" s="28" t="e">
        <f>interpola(#REF!,CURVA!$B$6:$B$20,CURVA!$G$6:$G$20)</f>
        <v>#VALUE!</v>
      </c>
      <c r="C1395" s="29" t="e">
        <f t="shared" si="21"/>
        <v>#VALUE!</v>
      </c>
      <c r="E1395" t="e">
        <f>cubic_spline(CURVA!$B$6:$B$20,CURVA!$G$6:$G$20,#REF!)</f>
        <v>#VALUE!</v>
      </c>
    </row>
    <row r="1396" spans="1:5" x14ac:dyDescent="0.2">
      <c r="A1396" s="28">
        <v>1395</v>
      </c>
      <c r="B1396" s="28" t="e">
        <f>interpola(#REF!,CURVA!$B$6:$B$20,CURVA!$G$6:$G$20)</f>
        <v>#VALUE!</v>
      </c>
      <c r="C1396" s="29" t="e">
        <f t="shared" si="21"/>
        <v>#VALUE!</v>
      </c>
      <c r="E1396" t="e">
        <f>cubic_spline(CURVA!$B$6:$B$20,CURVA!$G$6:$G$20,#REF!)</f>
        <v>#VALUE!</v>
      </c>
    </row>
    <row r="1397" spans="1:5" x14ac:dyDescent="0.2">
      <c r="A1397" s="28">
        <v>1396</v>
      </c>
      <c r="B1397" s="28" t="e">
        <f>interpola(#REF!,CURVA!$B$6:$B$20,CURVA!$G$6:$G$20)</f>
        <v>#VALUE!</v>
      </c>
      <c r="C1397" s="29" t="e">
        <f t="shared" si="21"/>
        <v>#VALUE!</v>
      </c>
      <c r="E1397" t="e">
        <f>cubic_spline(CURVA!$B$6:$B$20,CURVA!$G$6:$G$20,#REF!)</f>
        <v>#VALUE!</v>
      </c>
    </row>
    <row r="1398" spans="1:5" x14ac:dyDescent="0.2">
      <c r="A1398" s="28">
        <v>1397</v>
      </c>
      <c r="B1398" s="28" t="e">
        <f>interpola(#REF!,CURVA!$B$6:$B$20,CURVA!$G$6:$G$20)</f>
        <v>#VALUE!</v>
      </c>
      <c r="C1398" s="29" t="e">
        <f t="shared" si="21"/>
        <v>#VALUE!</v>
      </c>
      <c r="E1398" t="e">
        <f>cubic_spline(CURVA!$B$6:$B$20,CURVA!$G$6:$G$20,#REF!)</f>
        <v>#VALUE!</v>
      </c>
    </row>
    <row r="1399" spans="1:5" x14ac:dyDescent="0.2">
      <c r="A1399" s="28">
        <v>1398</v>
      </c>
      <c r="B1399" s="28" t="e">
        <f>interpola(#REF!,CURVA!$B$6:$B$20,CURVA!$G$6:$G$20)</f>
        <v>#VALUE!</v>
      </c>
      <c r="C1399" s="29" t="e">
        <f t="shared" si="21"/>
        <v>#VALUE!</v>
      </c>
      <c r="E1399" t="e">
        <f>cubic_spline(CURVA!$B$6:$B$20,CURVA!$G$6:$G$20,#REF!)</f>
        <v>#VALUE!</v>
      </c>
    </row>
    <row r="1400" spans="1:5" x14ac:dyDescent="0.2">
      <c r="A1400" s="28">
        <v>1399</v>
      </c>
      <c r="B1400" s="28" t="e">
        <f>interpola(#REF!,CURVA!$B$6:$B$20,CURVA!$G$6:$G$20)</f>
        <v>#VALUE!</v>
      </c>
      <c r="C1400" s="29" t="e">
        <f t="shared" si="21"/>
        <v>#VALUE!</v>
      </c>
      <c r="E1400" t="e">
        <f>cubic_spline(CURVA!$B$6:$B$20,CURVA!$G$6:$G$20,#REF!)</f>
        <v>#VALUE!</v>
      </c>
    </row>
    <row r="1401" spans="1:5" x14ac:dyDescent="0.2">
      <c r="A1401" s="28">
        <v>1400</v>
      </c>
      <c r="B1401" s="28" t="e">
        <f>interpola(#REF!,CURVA!$B$6:$B$20,CURVA!$G$6:$G$20)</f>
        <v>#VALUE!</v>
      </c>
      <c r="C1401" s="29" t="e">
        <f t="shared" si="21"/>
        <v>#VALUE!</v>
      </c>
      <c r="E1401" t="e">
        <f>cubic_spline(CURVA!$B$6:$B$20,CURVA!$G$6:$G$20,#REF!)</f>
        <v>#VALUE!</v>
      </c>
    </row>
    <row r="1402" spans="1:5" x14ac:dyDescent="0.2">
      <c r="A1402" s="28">
        <v>1401</v>
      </c>
      <c r="B1402" s="28" t="e">
        <f>interpola(#REF!,CURVA!$B$6:$B$20,CURVA!$G$6:$G$20)</f>
        <v>#VALUE!</v>
      </c>
      <c r="C1402" s="29" t="e">
        <f t="shared" si="21"/>
        <v>#VALUE!</v>
      </c>
      <c r="E1402" t="e">
        <f>cubic_spline(CURVA!$B$6:$B$20,CURVA!$G$6:$G$20,#REF!)</f>
        <v>#VALUE!</v>
      </c>
    </row>
    <row r="1403" spans="1:5" x14ac:dyDescent="0.2">
      <c r="A1403" s="28">
        <v>1402</v>
      </c>
      <c r="B1403" s="28" t="e">
        <f>interpola(#REF!,CURVA!$B$6:$B$20,CURVA!$G$6:$G$20)</f>
        <v>#VALUE!</v>
      </c>
      <c r="C1403" s="29" t="e">
        <f t="shared" si="21"/>
        <v>#VALUE!</v>
      </c>
      <c r="E1403" t="e">
        <f>cubic_spline(CURVA!$B$6:$B$20,CURVA!$G$6:$G$20,#REF!)</f>
        <v>#VALUE!</v>
      </c>
    </row>
    <row r="1404" spans="1:5" x14ac:dyDescent="0.2">
      <c r="A1404" s="28">
        <v>1403</v>
      </c>
      <c r="B1404" s="28" t="e">
        <f>interpola(#REF!,CURVA!$B$6:$B$20,CURVA!$G$6:$G$20)</f>
        <v>#VALUE!</v>
      </c>
      <c r="C1404" s="29" t="e">
        <f t="shared" si="21"/>
        <v>#VALUE!</v>
      </c>
      <c r="E1404" t="e">
        <f>cubic_spline(CURVA!$B$6:$B$20,CURVA!$G$6:$G$20,#REF!)</f>
        <v>#VALUE!</v>
      </c>
    </row>
    <row r="1405" spans="1:5" x14ac:dyDescent="0.2">
      <c r="A1405" s="28">
        <v>1404</v>
      </c>
      <c r="B1405" s="28" t="e">
        <f>interpola(#REF!,CURVA!$B$6:$B$20,CURVA!$G$6:$G$20)</f>
        <v>#VALUE!</v>
      </c>
      <c r="C1405" s="29" t="e">
        <f t="shared" si="21"/>
        <v>#VALUE!</v>
      </c>
      <c r="E1405" t="e">
        <f>cubic_spline(CURVA!$B$6:$B$20,CURVA!$G$6:$G$20,#REF!)</f>
        <v>#VALUE!</v>
      </c>
    </row>
    <row r="1406" spans="1:5" x14ac:dyDescent="0.2">
      <c r="A1406" s="28">
        <v>1405</v>
      </c>
      <c r="B1406" s="28" t="e">
        <f>interpola(#REF!,CURVA!$B$6:$B$20,CURVA!$G$6:$G$20)</f>
        <v>#VALUE!</v>
      </c>
      <c r="C1406" s="29" t="e">
        <f t="shared" si="21"/>
        <v>#VALUE!</v>
      </c>
      <c r="E1406" t="e">
        <f>cubic_spline(CURVA!$B$6:$B$20,CURVA!$G$6:$G$20,#REF!)</f>
        <v>#VALUE!</v>
      </c>
    </row>
    <row r="1407" spans="1:5" x14ac:dyDescent="0.2">
      <c r="A1407" s="28">
        <v>1406</v>
      </c>
      <c r="B1407" s="28" t="e">
        <f>interpola(#REF!,CURVA!$B$6:$B$20,CURVA!$G$6:$G$20)</f>
        <v>#VALUE!</v>
      </c>
      <c r="C1407" s="29" t="e">
        <f t="shared" si="21"/>
        <v>#VALUE!</v>
      </c>
      <c r="E1407" t="e">
        <f>cubic_spline(CURVA!$B$6:$B$20,CURVA!$G$6:$G$20,#REF!)</f>
        <v>#VALUE!</v>
      </c>
    </row>
    <row r="1408" spans="1:5" x14ac:dyDescent="0.2">
      <c r="A1408" s="28">
        <v>1407</v>
      </c>
      <c r="B1408" s="28" t="e">
        <f>interpola(#REF!,CURVA!$B$6:$B$20,CURVA!$G$6:$G$20)</f>
        <v>#VALUE!</v>
      </c>
      <c r="C1408" s="29" t="e">
        <f t="shared" si="21"/>
        <v>#VALUE!</v>
      </c>
      <c r="E1408" t="e">
        <f>cubic_spline(CURVA!$B$6:$B$20,CURVA!$G$6:$G$20,#REF!)</f>
        <v>#VALUE!</v>
      </c>
    </row>
    <row r="1409" spans="1:5" x14ac:dyDescent="0.2">
      <c r="A1409" s="28">
        <v>1408</v>
      </c>
      <c r="B1409" s="28" t="e">
        <f>interpola(#REF!,CURVA!$B$6:$B$20,CURVA!$G$6:$G$20)</f>
        <v>#VALUE!</v>
      </c>
      <c r="C1409" s="29" t="e">
        <f t="shared" si="21"/>
        <v>#VALUE!</v>
      </c>
      <c r="E1409" t="e">
        <f>cubic_spline(CURVA!$B$6:$B$20,CURVA!$G$6:$G$20,#REF!)</f>
        <v>#VALUE!</v>
      </c>
    </row>
    <row r="1410" spans="1:5" x14ac:dyDescent="0.2">
      <c r="A1410" s="28">
        <v>1409</v>
      </c>
      <c r="B1410" s="28" t="e">
        <f>interpola(#REF!,CURVA!$B$6:$B$20,CURVA!$G$6:$G$20)</f>
        <v>#VALUE!</v>
      </c>
      <c r="C1410" s="29" t="e">
        <f t="shared" ref="C1410:C1473" si="22">(EXP(B1410*A1410/360)-1)*360/A1410</f>
        <v>#VALUE!</v>
      </c>
      <c r="E1410" t="e">
        <f>cubic_spline(CURVA!$B$6:$B$20,CURVA!$G$6:$G$20,#REF!)</f>
        <v>#VALUE!</v>
      </c>
    </row>
    <row r="1411" spans="1:5" x14ac:dyDescent="0.2">
      <c r="A1411" s="28">
        <v>1410</v>
      </c>
      <c r="B1411" s="28" t="e">
        <f>interpola(#REF!,CURVA!$B$6:$B$20,CURVA!$G$6:$G$20)</f>
        <v>#VALUE!</v>
      </c>
      <c r="C1411" s="29" t="e">
        <f t="shared" si="22"/>
        <v>#VALUE!</v>
      </c>
      <c r="E1411" t="e">
        <f>cubic_spline(CURVA!$B$6:$B$20,CURVA!$G$6:$G$20,#REF!)</f>
        <v>#VALUE!</v>
      </c>
    </row>
    <row r="1412" spans="1:5" x14ac:dyDescent="0.2">
      <c r="A1412" s="28">
        <v>1411</v>
      </c>
      <c r="B1412" s="28" t="e">
        <f>interpola(#REF!,CURVA!$B$6:$B$20,CURVA!$G$6:$G$20)</f>
        <v>#VALUE!</v>
      </c>
      <c r="C1412" s="29" t="e">
        <f t="shared" si="22"/>
        <v>#VALUE!</v>
      </c>
      <c r="E1412" t="e">
        <f>cubic_spline(CURVA!$B$6:$B$20,CURVA!$G$6:$G$20,#REF!)</f>
        <v>#VALUE!</v>
      </c>
    </row>
    <row r="1413" spans="1:5" x14ac:dyDescent="0.2">
      <c r="A1413" s="28">
        <v>1412</v>
      </c>
      <c r="B1413" s="28" t="e">
        <f>interpola(#REF!,CURVA!$B$6:$B$20,CURVA!$G$6:$G$20)</f>
        <v>#VALUE!</v>
      </c>
      <c r="C1413" s="29" t="e">
        <f t="shared" si="22"/>
        <v>#VALUE!</v>
      </c>
      <c r="E1413" t="e">
        <f>cubic_spline(CURVA!$B$6:$B$20,CURVA!$G$6:$G$20,#REF!)</f>
        <v>#VALUE!</v>
      </c>
    </row>
    <row r="1414" spans="1:5" x14ac:dyDescent="0.2">
      <c r="A1414" s="28">
        <v>1413</v>
      </c>
      <c r="B1414" s="28" t="e">
        <f>interpola(#REF!,CURVA!$B$6:$B$20,CURVA!$G$6:$G$20)</f>
        <v>#VALUE!</v>
      </c>
      <c r="C1414" s="29" t="e">
        <f t="shared" si="22"/>
        <v>#VALUE!</v>
      </c>
      <c r="E1414" t="e">
        <f>cubic_spline(CURVA!$B$6:$B$20,CURVA!$G$6:$G$20,#REF!)</f>
        <v>#VALUE!</v>
      </c>
    </row>
    <row r="1415" spans="1:5" x14ac:dyDescent="0.2">
      <c r="A1415" s="28">
        <v>1414</v>
      </c>
      <c r="B1415" s="28" t="e">
        <f>interpola(#REF!,CURVA!$B$6:$B$20,CURVA!$G$6:$G$20)</f>
        <v>#VALUE!</v>
      </c>
      <c r="C1415" s="29" t="e">
        <f t="shared" si="22"/>
        <v>#VALUE!</v>
      </c>
      <c r="E1415" t="e">
        <f>cubic_spline(CURVA!$B$6:$B$20,CURVA!$G$6:$G$20,#REF!)</f>
        <v>#VALUE!</v>
      </c>
    </row>
    <row r="1416" spans="1:5" x14ac:dyDescent="0.2">
      <c r="A1416" s="28">
        <v>1415</v>
      </c>
      <c r="B1416" s="28" t="e">
        <f>interpola(#REF!,CURVA!$B$6:$B$20,CURVA!$G$6:$G$20)</f>
        <v>#VALUE!</v>
      </c>
      <c r="C1416" s="29" t="e">
        <f t="shared" si="22"/>
        <v>#VALUE!</v>
      </c>
      <c r="E1416" t="e">
        <f>cubic_spline(CURVA!$B$6:$B$20,CURVA!$G$6:$G$20,#REF!)</f>
        <v>#VALUE!</v>
      </c>
    </row>
    <row r="1417" spans="1:5" x14ac:dyDescent="0.2">
      <c r="A1417" s="28">
        <v>1416</v>
      </c>
      <c r="B1417" s="28" t="e">
        <f>interpola(#REF!,CURVA!$B$6:$B$20,CURVA!$G$6:$G$20)</f>
        <v>#VALUE!</v>
      </c>
      <c r="C1417" s="29" t="e">
        <f t="shared" si="22"/>
        <v>#VALUE!</v>
      </c>
      <c r="E1417" t="e">
        <f>cubic_spline(CURVA!$B$6:$B$20,CURVA!$G$6:$G$20,#REF!)</f>
        <v>#VALUE!</v>
      </c>
    </row>
    <row r="1418" spans="1:5" x14ac:dyDescent="0.2">
      <c r="A1418" s="28">
        <v>1417</v>
      </c>
      <c r="B1418" s="28" t="e">
        <f>interpola(#REF!,CURVA!$B$6:$B$20,CURVA!$G$6:$G$20)</f>
        <v>#VALUE!</v>
      </c>
      <c r="C1418" s="29" t="e">
        <f t="shared" si="22"/>
        <v>#VALUE!</v>
      </c>
      <c r="E1418" t="e">
        <f>cubic_spline(CURVA!$B$6:$B$20,CURVA!$G$6:$G$20,#REF!)</f>
        <v>#VALUE!</v>
      </c>
    </row>
    <row r="1419" spans="1:5" x14ac:dyDescent="0.2">
      <c r="A1419" s="28">
        <v>1418</v>
      </c>
      <c r="B1419" s="28" t="e">
        <f>interpola(#REF!,CURVA!$B$6:$B$20,CURVA!$G$6:$G$20)</f>
        <v>#VALUE!</v>
      </c>
      <c r="C1419" s="29" t="e">
        <f t="shared" si="22"/>
        <v>#VALUE!</v>
      </c>
      <c r="E1419" t="e">
        <f>cubic_spline(CURVA!$B$6:$B$20,CURVA!$G$6:$G$20,#REF!)</f>
        <v>#VALUE!</v>
      </c>
    </row>
    <row r="1420" spans="1:5" x14ac:dyDescent="0.2">
      <c r="A1420" s="28">
        <v>1419</v>
      </c>
      <c r="B1420" s="28" t="e">
        <f>interpola(#REF!,CURVA!$B$6:$B$20,CURVA!$G$6:$G$20)</f>
        <v>#VALUE!</v>
      </c>
      <c r="C1420" s="29" t="e">
        <f t="shared" si="22"/>
        <v>#VALUE!</v>
      </c>
      <c r="E1420" t="e">
        <f>cubic_spline(CURVA!$B$6:$B$20,CURVA!$G$6:$G$20,#REF!)</f>
        <v>#VALUE!</v>
      </c>
    </row>
    <row r="1421" spans="1:5" x14ac:dyDescent="0.2">
      <c r="A1421" s="28">
        <v>1420</v>
      </c>
      <c r="B1421" s="28" t="e">
        <f>interpola(#REF!,CURVA!$B$6:$B$20,CURVA!$G$6:$G$20)</f>
        <v>#VALUE!</v>
      </c>
      <c r="C1421" s="29" t="e">
        <f t="shared" si="22"/>
        <v>#VALUE!</v>
      </c>
      <c r="E1421" t="e">
        <f>cubic_spline(CURVA!$B$6:$B$20,CURVA!$G$6:$G$20,#REF!)</f>
        <v>#VALUE!</v>
      </c>
    </row>
    <row r="1422" spans="1:5" x14ac:dyDescent="0.2">
      <c r="A1422" s="28">
        <v>1421</v>
      </c>
      <c r="B1422" s="28" t="e">
        <f>interpola(#REF!,CURVA!$B$6:$B$20,CURVA!$G$6:$G$20)</f>
        <v>#VALUE!</v>
      </c>
      <c r="C1422" s="29" t="e">
        <f t="shared" si="22"/>
        <v>#VALUE!</v>
      </c>
      <c r="E1422" t="e">
        <f>cubic_spline(CURVA!$B$6:$B$20,CURVA!$G$6:$G$20,#REF!)</f>
        <v>#VALUE!</v>
      </c>
    </row>
    <row r="1423" spans="1:5" x14ac:dyDescent="0.2">
      <c r="A1423" s="28">
        <v>1422</v>
      </c>
      <c r="B1423" s="28" t="e">
        <f>interpola(#REF!,CURVA!$B$6:$B$20,CURVA!$G$6:$G$20)</f>
        <v>#VALUE!</v>
      </c>
      <c r="C1423" s="29" t="e">
        <f t="shared" si="22"/>
        <v>#VALUE!</v>
      </c>
      <c r="E1423" t="e">
        <f>cubic_spline(CURVA!$B$6:$B$20,CURVA!$G$6:$G$20,#REF!)</f>
        <v>#VALUE!</v>
      </c>
    </row>
    <row r="1424" spans="1:5" x14ac:dyDescent="0.2">
      <c r="A1424" s="28">
        <v>1423</v>
      </c>
      <c r="B1424" s="28" t="e">
        <f>interpola(#REF!,CURVA!$B$6:$B$20,CURVA!$G$6:$G$20)</f>
        <v>#VALUE!</v>
      </c>
      <c r="C1424" s="29" t="e">
        <f t="shared" si="22"/>
        <v>#VALUE!</v>
      </c>
      <c r="E1424" t="e">
        <f>cubic_spline(CURVA!$B$6:$B$20,CURVA!$G$6:$G$20,#REF!)</f>
        <v>#VALUE!</v>
      </c>
    </row>
    <row r="1425" spans="1:5" x14ac:dyDescent="0.2">
      <c r="A1425" s="28">
        <v>1424</v>
      </c>
      <c r="B1425" s="28" t="e">
        <f>interpola(#REF!,CURVA!$B$6:$B$20,CURVA!$G$6:$G$20)</f>
        <v>#VALUE!</v>
      </c>
      <c r="C1425" s="29" t="e">
        <f t="shared" si="22"/>
        <v>#VALUE!</v>
      </c>
      <c r="E1425" t="e">
        <f>cubic_spline(CURVA!$B$6:$B$20,CURVA!$G$6:$G$20,#REF!)</f>
        <v>#VALUE!</v>
      </c>
    </row>
    <row r="1426" spans="1:5" x14ac:dyDescent="0.2">
      <c r="A1426" s="28">
        <v>1425</v>
      </c>
      <c r="B1426" s="28" t="e">
        <f>interpola(#REF!,CURVA!$B$6:$B$20,CURVA!$G$6:$G$20)</f>
        <v>#VALUE!</v>
      </c>
      <c r="C1426" s="29" t="e">
        <f t="shared" si="22"/>
        <v>#VALUE!</v>
      </c>
      <c r="E1426" t="e">
        <f>cubic_spline(CURVA!$B$6:$B$20,CURVA!$G$6:$G$20,#REF!)</f>
        <v>#VALUE!</v>
      </c>
    </row>
    <row r="1427" spans="1:5" x14ac:dyDescent="0.2">
      <c r="A1427" s="28">
        <v>1426</v>
      </c>
      <c r="B1427" s="28" t="e">
        <f>interpola(#REF!,CURVA!$B$6:$B$20,CURVA!$G$6:$G$20)</f>
        <v>#VALUE!</v>
      </c>
      <c r="C1427" s="29" t="e">
        <f t="shared" si="22"/>
        <v>#VALUE!</v>
      </c>
      <c r="E1427" t="e">
        <f>cubic_spline(CURVA!$B$6:$B$20,CURVA!$G$6:$G$20,#REF!)</f>
        <v>#VALUE!</v>
      </c>
    </row>
    <row r="1428" spans="1:5" x14ac:dyDescent="0.2">
      <c r="A1428" s="28">
        <v>1427</v>
      </c>
      <c r="B1428" s="28" t="e">
        <f>interpola(#REF!,CURVA!$B$6:$B$20,CURVA!$G$6:$G$20)</f>
        <v>#VALUE!</v>
      </c>
      <c r="C1428" s="29" t="e">
        <f t="shared" si="22"/>
        <v>#VALUE!</v>
      </c>
      <c r="E1428" t="e">
        <f>cubic_spline(CURVA!$B$6:$B$20,CURVA!$G$6:$G$20,#REF!)</f>
        <v>#VALUE!</v>
      </c>
    </row>
    <row r="1429" spans="1:5" x14ac:dyDescent="0.2">
      <c r="A1429" s="28">
        <v>1428</v>
      </c>
      <c r="B1429" s="28" t="e">
        <f>interpola(#REF!,CURVA!$B$6:$B$20,CURVA!$G$6:$G$20)</f>
        <v>#VALUE!</v>
      </c>
      <c r="C1429" s="29" t="e">
        <f t="shared" si="22"/>
        <v>#VALUE!</v>
      </c>
      <c r="E1429" t="e">
        <f>cubic_spline(CURVA!$B$6:$B$20,CURVA!$G$6:$G$20,#REF!)</f>
        <v>#VALUE!</v>
      </c>
    </row>
    <row r="1430" spans="1:5" x14ac:dyDescent="0.2">
      <c r="A1430" s="28">
        <v>1429</v>
      </c>
      <c r="B1430" s="28" t="e">
        <f>interpola(#REF!,CURVA!$B$6:$B$20,CURVA!$G$6:$G$20)</f>
        <v>#VALUE!</v>
      </c>
      <c r="C1430" s="29" t="e">
        <f t="shared" si="22"/>
        <v>#VALUE!</v>
      </c>
      <c r="E1430" t="e">
        <f>cubic_spline(CURVA!$B$6:$B$20,CURVA!$G$6:$G$20,#REF!)</f>
        <v>#VALUE!</v>
      </c>
    </row>
    <row r="1431" spans="1:5" x14ac:dyDescent="0.2">
      <c r="A1431" s="28">
        <v>1430</v>
      </c>
      <c r="B1431" s="28" t="e">
        <f>interpola(#REF!,CURVA!$B$6:$B$20,CURVA!$G$6:$G$20)</f>
        <v>#VALUE!</v>
      </c>
      <c r="C1431" s="29" t="e">
        <f t="shared" si="22"/>
        <v>#VALUE!</v>
      </c>
      <c r="E1431" t="e">
        <f>cubic_spline(CURVA!$B$6:$B$20,CURVA!$G$6:$G$20,#REF!)</f>
        <v>#VALUE!</v>
      </c>
    </row>
    <row r="1432" spans="1:5" x14ac:dyDescent="0.2">
      <c r="A1432" s="28">
        <v>1431</v>
      </c>
      <c r="B1432" s="28" t="e">
        <f>interpola(#REF!,CURVA!$B$6:$B$20,CURVA!$G$6:$G$20)</f>
        <v>#VALUE!</v>
      </c>
      <c r="C1432" s="29" t="e">
        <f t="shared" si="22"/>
        <v>#VALUE!</v>
      </c>
      <c r="E1432" t="e">
        <f>cubic_spline(CURVA!$B$6:$B$20,CURVA!$G$6:$G$20,#REF!)</f>
        <v>#VALUE!</v>
      </c>
    </row>
    <row r="1433" spans="1:5" x14ac:dyDescent="0.2">
      <c r="A1433" s="28">
        <v>1432</v>
      </c>
      <c r="B1433" s="28" t="e">
        <f>interpola(#REF!,CURVA!$B$6:$B$20,CURVA!$G$6:$G$20)</f>
        <v>#VALUE!</v>
      </c>
      <c r="C1433" s="29" t="e">
        <f t="shared" si="22"/>
        <v>#VALUE!</v>
      </c>
      <c r="E1433" t="e">
        <f>cubic_spline(CURVA!$B$6:$B$20,CURVA!$G$6:$G$20,#REF!)</f>
        <v>#VALUE!</v>
      </c>
    </row>
    <row r="1434" spans="1:5" x14ac:dyDescent="0.2">
      <c r="A1434" s="28">
        <v>1433</v>
      </c>
      <c r="B1434" s="28" t="e">
        <f>interpola(#REF!,CURVA!$B$6:$B$20,CURVA!$G$6:$G$20)</f>
        <v>#VALUE!</v>
      </c>
      <c r="C1434" s="29" t="e">
        <f t="shared" si="22"/>
        <v>#VALUE!</v>
      </c>
      <c r="E1434" t="e">
        <f>cubic_spline(CURVA!$B$6:$B$20,CURVA!$G$6:$G$20,#REF!)</f>
        <v>#VALUE!</v>
      </c>
    </row>
    <row r="1435" spans="1:5" x14ac:dyDescent="0.2">
      <c r="A1435" s="28">
        <v>1434</v>
      </c>
      <c r="B1435" s="28" t="e">
        <f>interpola(#REF!,CURVA!$B$6:$B$20,CURVA!$G$6:$G$20)</f>
        <v>#VALUE!</v>
      </c>
      <c r="C1435" s="29" t="e">
        <f t="shared" si="22"/>
        <v>#VALUE!</v>
      </c>
      <c r="E1435" t="e">
        <f>cubic_spline(CURVA!$B$6:$B$20,CURVA!$G$6:$G$20,#REF!)</f>
        <v>#VALUE!</v>
      </c>
    </row>
    <row r="1436" spans="1:5" x14ac:dyDescent="0.2">
      <c r="A1436" s="28">
        <v>1435</v>
      </c>
      <c r="B1436" s="28" t="e">
        <f>interpola(#REF!,CURVA!$B$6:$B$20,CURVA!$G$6:$G$20)</f>
        <v>#VALUE!</v>
      </c>
      <c r="C1436" s="29" t="e">
        <f t="shared" si="22"/>
        <v>#VALUE!</v>
      </c>
      <c r="E1436" t="e">
        <f>cubic_spline(CURVA!$B$6:$B$20,CURVA!$G$6:$G$20,#REF!)</f>
        <v>#VALUE!</v>
      </c>
    </row>
    <row r="1437" spans="1:5" x14ac:dyDescent="0.2">
      <c r="A1437" s="28">
        <v>1436</v>
      </c>
      <c r="B1437" s="28" t="e">
        <f>interpola(#REF!,CURVA!$B$6:$B$20,CURVA!$G$6:$G$20)</f>
        <v>#VALUE!</v>
      </c>
      <c r="C1437" s="29" t="e">
        <f t="shared" si="22"/>
        <v>#VALUE!</v>
      </c>
      <c r="E1437" t="e">
        <f>cubic_spline(CURVA!$B$6:$B$20,CURVA!$G$6:$G$20,#REF!)</f>
        <v>#VALUE!</v>
      </c>
    </row>
    <row r="1438" spans="1:5" x14ac:dyDescent="0.2">
      <c r="A1438" s="28">
        <v>1437</v>
      </c>
      <c r="B1438" s="28" t="e">
        <f>interpola(#REF!,CURVA!$B$6:$B$20,CURVA!$G$6:$G$20)</f>
        <v>#VALUE!</v>
      </c>
      <c r="C1438" s="29" t="e">
        <f t="shared" si="22"/>
        <v>#VALUE!</v>
      </c>
      <c r="E1438" t="e">
        <f>cubic_spline(CURVA!$B$6:$B$20,CURVA!$G$6:$G$20,#REF!)</f>
        <v>#VALUE!</v>
      </c>
    </row>
    <row r="1439" spans="1:5" x14ac:dyDescent="0.2">
      <c r="A1439" s="28">
        <v>1438</v>
      </c>
      <c r="B1439" s="28" t="e">
        <f>interpola(#REF!,CURVA!$B$6:$B$20,CURVA!$G$6:$G$20)</f>
        <v>#VALUE!</v>
      </c>
      <c r="C1439" s="29" t="e">
        <f t="shared" si="22"/>
        <v>#VALUE!</v>
      </c>
      <c r="E1439" t="e">
        <f>cubic_spline(CURVA!$B$6:$B$20,CURVA!$G$6:$G$20,#REF!)</f>
        <v>#VALUE!</v>
      </c>
    </row>
    <row r="1440" spans="1:5" x14ac:dyDescent="0.2">
      <c r="A1440" s="28">
        <v>1439</v>
      </c>
      <c r="B1440" s="28" t="e">
        <f>interpola(#REF!,CURVA!$B$6:$B$20,CURVA!$G$6:$G$20)</f>
        <v>#VALUE!</v>
      </c>
      <c r="C1440" s="29" t="e">
        <f t="shared" si="22"/>
        <v>#VALUE!</v>
      </c>
      <c r="E1440" t="e">
        <f>cubic_spline(CURVA!$B$6:$B$20,CURVA!$G$6:$G$20,#REF!)</f>
        <v>#VALUE!</v>
      </c>
    </row>
    <row r="1441" spans="1:5" x14ac:dyDescent="0.2">
      <c r="A1441" s="28">
        <v>1440</v>
      </c>
      <c r="B1441" s="28" t="e">
        <f>interpola(#REF!,CURVA!$B$6:$B$20,CURVA!$G$6:$G$20)</f>
        <v>#VALUE!</v>
      </c>
      <c r="C1441" s="29" t="e">
        <f t="shared" si="22"/>
        <v>#VALUE!</v>
      </c>
      <c r="E1441" t="e">
        <f>cubic_spline(CURVA!$B$6:$B$20,CURVA!$G$6:$G$20,#REF!)</f>
        <v>#VALUE!</v>
      </c>
    </row>
    <row r="1442" spans="1:5" x14ac:dyDescent="0.2">
      <c r="A1442" s="28">
        <v>1441</v>
      </c>
      <c r="B1442" s="28" t="e">
        <f>interpola(#REF!,CURVA!$B$6:$B$20,CURVA!$G$6:$G$20)</f>
        <v>#VALUE!</v>
      </c>
      <c r="C1442" s="29" t="e">
        <f t="shared" si="22"/>
        <v>#VALUE!</v>
      </c>
      <c r="E1442" t="e">
        <f>cubic_spline(CURVA!$B$6:$B$20,CURVA!$G$6:$G$20,#REF!)</f>
        <v>#VALUE!</v>
      </c>
    </row>
    <row r="1443" spans="1:5" x14ac:dyDescent="0.2">
      <c r="A1443" s="28">
        <v>1442</v>
      </c>
      <c r="B1443" s="28" t="e">
        <f>interpola(#REF!,CURVA!$B$6:$B$20,CURVA!$G$6:$G$20)</f>
        <v>#VALUE!</v>
      </c>
      <c r="C1443" s="29" t="e">
        <f t="shared" si="22"/>
        <v>#VALUE!</v>
      </c>
      <c r="E1443" t="e">
        <f>cubic_spline(CURVA!$B$6:$B$20,CURVA!$G$6:$G$20,#REF!)</f>
        <v>#VALUE!</v>
      </c>
    </row>
    <row r="1444" spans="1:5" x14ac:dyDescent="0.2">
      <c r="A1444" s="28">
        <v>1443</v>
      </c>
      <c r="B1444" s="28" t="e">
        <f>interpola(#REF!,CURVA!$B$6:$B$20,CURVA!$G$6:$G$20)</f>
        <v>#VALUE!</v>
      </c>
      <c r="C1444" s="29" t="e">
        <f t="shared" si="22"/>
        <v>#VALUE!</v>
      </c>
      <c r="E1444" t="e">
        <f>cubic_spline(CURVA!$B$6:$B$20,CURVA!$G$6:$G$20,#REF!)</f>
        <v>#VALUE!</v>
      </c>
    </row>
    <row r="1445" spans="1:5" x14ac:dyDescent="0.2">
      <c r="A1445" s="28">
        <v>1444</v>
      </c>
      <c r="B1445" s="28" t="e">
        <f>interpola(#REF!,CURVA!$B$6:$B$20,CURVA!$G$6:$G$20)</f>
        <v>#VALUE!</v>
      </c>
      <c r="C1445" s="29" t="e">
        <f t="shared" si="22"/>
        <v>#VALUE!</v>
      </c>
      <c r="E1445" t="e">
        <f>cubic_spline(CURVA!$B$6:$B$20,CURVA!$G$6:$G$20,#REF!)</f>
        <v>#VALUE!</v>
      </c>
    </row>
    <row r="1446" spans="1:5" x14ac:dyDescent="0.2">
      <c r="A1446" s="28">
        <v>1445</v>
      </c>
      <c r="B1446" s="28" t="e">
        <f>interpola(#REF!,CURVA!$B$6:$B$20,CURVA!$G$6:$G$20)</f>
        <v>#VALUE!</v>
      </c>
      <c r="C1446" s="29" t="e">
        <f t="shared" si="22"/>
        <v>#VALUE!</v>
      </c>
      <c r="E1446" t="e">
        <f>cubic_spline(CURVA!$B$6:$B$20,CURVA!$G$6:$G$20,#REF!)</f>
        <v>#VALUE!</v>
      </c>
    </row>
    <row r="1447" spans="1:5" x14ac:dyDescent="0.2">
      <c r="A1447" s="28">
        <v>1446</v>
      </c>
      <c r="B1447" s="28" t="e">
        <f>interpola(#REF!,CURVA!$B$6:$B$20,CURVA!$G$6:$G$20)</f>
        <v>#VALUE!</v>
      </c>
      <c r="C1447" s="29" t="e">
        <f t="shared" si="22"/>
        <v>#VALUE!</v>
      </c>
      <c r="E1447" t="e">
        <f>cubic_spline(CURVA!$B$6:$B$20,CURVA!$G$6:$G$20,#REF!)</f>
        <v>#VALUE!</v>
      </c>
    </row>
    <row r="1448" spans="1:5" x14ac:dyDescent="0.2">
      <c r="A1448" s="28">
        <v>1447</v>
      </c>
      <c r="B1448" s="28" t="e">
        <f>interpola(#REF!,CURVA!$B$6:$B$20,CURVA!$G$6:$G$20)</f>
        <v>#VALUE!</v>
      </c>
      <c r="C1448" s="29" t="e">
        <f t="shared" si="22"/>
        <v>#VALUE!</v>
      </c>
      <c r="E1448" t="e">
        <f>cubic_spline(CURVA!$B$6:$B$20,CURVA!$G$6:$G$20,#REF!)</f>
        <v>#VALUE!</v>
      </c>
    </row>
    <row r="1449" spans="1:5" x14ac:dyDescent="0.2">
      <c r="A1449" s="28">
        <v>1448</v>
      </c>
      <c r="B1449" s="28" t="e">
        <f>interpola(#REF!,CURVA!$B$6:$B$20,CURVA!$G$6:$G$20)</f>
        <v>#VALUE!</v>
      </c>
      <c r="C1449" s="29" t="e">
        <f t="shared" si="22"/>
        <v>#VALUE!</v>
      </c>
      <c r="E1449" t="e">
        <f>cubic_spline(CURVA!$B$6:$B$20,CURVA!$G$6:$G$20,#REF!)</f>
        <v>#VALUE!</v>
      </c>
    </row>
    <row r="1450" spans="1:5" x14ac:dyDescent="0.2">
      <c r="A1450" s="28">
        <v>1449</v>
      </c>
      <c r="B1450" s="28" t="e">
        <f>interpola(#REF!,CURVA!$B$6:$B$20,CURVA!$G$6:$G$20)</f>
        <v>#VALUE!</v>
      </c>
      <c r="C1450" s="29" t="e">
        <f t="shared" si="22"/>
        <v>#VALUE!</v>
      </c>
      <c r="E1450" t="e">
        <f>cubic_spline(CURVA!$B$6:$B$20,CURVA!$G$6:$G$20,#REF!)</f>
        <v>#VALUE!</v>
      </c>
    </row>
    <row r="1451" spans="1:5" x14ac:dyDescent="0.2">
      <c r="A1451" s="28">
        <v>1450</v>
      </c>
      <c r="B1451" s="28" t="e">
        <f>interpola(#REF!,CURVA!$B$6:$B$20,CURVA!$G$6:$G$20)</f>
        <v>#VALUE!</v>
      </c>
      <c r="C1451" s="29" t="e">
        <f t="shared" si="22"/>
        <v>#VALUE!</v>
      </c>
      <c r="E1451" t="e">
        <f>cubic_spline(CURVA!$B$6:$B$20,CURVA!$G$6:$G$20,#REF!)</f>
        <v>#VALUE!</v>
      </c>
    </row>
    <row r="1452" spans="1:5" x14ac:dyDescent="0.2">
      <c r="A1452" s="28">
        <v>1451</v>
      </c>
      <c r="B1452" s="28" t="e">
        <f>interpola(#REF!,CURVA!$B$6:$B$20,CURVA!$G$6:$G$20)</f>
        <v>#VALUE!</v>
      </c>
      <c r="C1452" s="29" t="e">
        <f t="shared" si="22"/>
        <v>#VALUE!</v>
      </c>
      <c r="E1452" t="e">
        <f>cubic_spline(CURVA!$B$6:$B$20,CURVA!$G$6:$G$20,#REF!)</f>
        <v>#VALUE!</v>
      </c>
    </row>
    <row r="1453" spans="1:5" x14ac:dyDescent="0.2">
      <c r="A1453" s="28">
        <v>1452</v>
      </c>
      <c r="B1453" s="28" t="e">
        <f>interpola(#REF!,CURVA!$B$6:$B$20,CURVA!$G$6:$G$20)</f>
        <v>#VALUE!</v>
      </c>
      <c r="C1453" s="29" t="e">
        <f t="shared" si="22"/>
        <v>#VALUE!</v>
      </c>
      <c r="E1453" t="e">
        <f>cubic_spline(CURVA!$B$6:$B$20,CURVA!$G$6:$G$20,#REF!)</f>
        <v>#VALUE!</v>
      </c>
    </row>
    <row r="1454" spans="1:5" x14ac:dyDescent="0.2">
      <c r="A1454" s="28">
        <v>1453</v>
      </c>
      <c r="B1454" s="28" t="e">
        <f>interpola(#REF!,CURVA!$B$6:$B$20,CURVA!$G$6:$G$20)</f>
        <v>#VALUE!</v>
      </c>
      <c r="C1454" s="29" t="e">
        <f t="shared" si="22"/>
        <v>#VALUE!</v>
      </c>
      <c r="E1454" t="e">
        <f>cubic_spline(CURVA!$B$6:$B$20,CURVA!$G$6:$G$20,#REF!)</f>
        <v>#VALUE!</v>
      </c>
    </row>
    <row r="1455" spans="1:5" x14ac:dyDescent="0.2">
      <c r="A1455" s="28">
        <v>1454</v>
      </c>
      <c r="B1455" s="28" t="e">
        <f>interpola(#REF!,CURVA!$B$6:$B$20,CURVA!$G$6:$G$20)</f>
        <v>#VALUE!</v>
      </c>
      <c r="C1455" s="29" t="e">
        <f t="shared" si="22"/>
        <v>#VALUE!</v>
      </c>
      <c r="E1455" t="e">
        <f>cubic_spline(CURVA!$B$6:$B$20,CURVA!$G$6:$G$20,#REF!)</f>
        <v>#VALUE!</v>
      </c>
    </row>
    <row r="1456" spans="1:5" x14ac:dyDescent="0.2">
      <c r="A1456" s="28">
        <v>1455</v>
      </c>
      <c r="B1456" s="28" t="e">
        <f>interpola(#REF!,CURVA!$B$6:$B$20,CURVA!$G$6:$G$20)</f>
        <v>#VALUE!</v>
      </c>
      <c r="C1456" s="29" t="e">
        <f t="shared" si="22"/>
        <v>#VALUE!</v>
      </c>
      <c r="E1456" t="e">
        <f>cubic_spline(CURVA!$B$6:$B$20,CURVA!$G$6:$G$20,#REF!)</f>
        <v>#VALUE!</v>
      </c>
    </row>
    <row r="1457" spans="1:5" x14ac:dyDescent="0.2">
      <c r="A1457" s="28">
        <v>1456</v>
      </c>
      <c r="B1457" s="28" t="e">
        <f>interpola(#REF!,CURVA!$B$6:$B$20,CURVA!$G$6:$G$20)</f>
        <v>#VALUE!</v>
      </c>
      <c r="C1457" s="29" t="e">
        <f t="shared" si="22"/>
        <v>#VALUE!</v>
      </c>
      <c r="E1457" t="e">
        <f>cubic_spline(CURVA!$B$6:$B$20,CURVA!$G$6:$G$20,#REF!)</f>
        <v>#VALUE!</v>
      </c>
    </row>
    <row r="1458" spans="1:5" x14ac:dyDescent="0.2">
      <c r="A1458" s="28">
        <v>1457</v>
      </c>
      <c r="B1458" s="28" t="e">
        <f>interpola(#REF!,CURVA!$B$6:$B$20,CURVA!$G$6:$G$20)</f>
        <v>#VALUE!</v>
      </c>
      <c r="C1458" s="29" t="e">
        <f t="shared" si="22"/>
        <v>#VALUE!</v>
      </c>
      <c r="E1458" t="e">
        <f>cubic_spline(CURVA!$B$6:$B$20,CURVA!$G$6:$G$20,#REF!)</f>
        <v>#VALUE!</v>
      </c>
    </row>
    <row r="1459" spans="1:5" x14ac:dyDescent="0.2">
      <c r="A1459" s="28">
        <v>1458</v>
      </c>
      <c r="B1459" s="28" t="e">
        <f>interpola(#REF!,CURVA!$B$6:$B$20,CURVA!$G$6:$G$20)</f>
        <v>#VALUE!</v>
      </c>
      <c r="C1459" s="29" t="e">
        <f t="shared" si="22"/>
        <v>#VALUE!</v>
      </c>
      <c r="E1459" t="e">
        <f>cubic_spline(CURVA!$B$6:$B$20,CURVA!$G$6:$G$20,#REF!)</f>
        <v>#VALUE!</v>
      </c>
    </row>
    <row r="1460" spans="1:5" x14ac:dyDescent="0.2">
      <c r="A1460" s="28">
        <v>1459</v>
      </c>
      <c r="B1460" s="28" t="e">
        <f>interpola(#REF!,CURVA!$B$6:$B$20,CURVA!$G$6:$G$20)</f>
        <v>#VALUE!</v>
      </c>
      <c r="C1460" s="29" t="e">
        <f t="shared" si="22"/>
        <v>#VALUE!</v>
      </c>
      <c r="E1460" t="e">
        <f>cubic_spline(CURVA!$B$6:$B$20,CURVA!$G$6:$G$20,#REF!)</f>
        <v>#VALUE!</v>
      </c>
    </row>
    <row r="1461" spans="1:5" x14ac:dyDescent="0.2">
      <c r="A1461" s="28">
        <v>1460</v>
      </c>
      <c r="B1461" s="28" t="e">
        <f>interpola(#REF!,CURVA!$B$6:$B$20,CURVA!$G$6:$G$20)</f>
        <v>#VALUE!</v>
      </c>
      <c r="C1461" s="29" t="e">
        <f t="shared" si="22"/>
        <v>#VALUE!</v>
      </c>
      <c r="E1461" t="e">
        <f>cubic_spline(CURVA!$B$6:$B$20,CURVA!$G$6:$G$20,#REF!)</f>
        <v>#VALUE!</v>
      </c>
    </row>
    <row r="1462" spans="1:5" x14ac:dyDescent="0.2">
      <c r="A1462" s="28">
        <v>1461</v>
      </c>
      <c r="B1462" s="28" t="e">
        <f>interpola(#REF!,CURVA!$B$6:$B$20,CURVA!$G$6:$G$20)</f>
        <v>#VALUE!</v>
      </c>
      <c r="C1462" s="29" t="e">
        <f t="shared" si="22"/>
        <v>#VALUE!</v>
      </c>
      <c r="E1462" t="e">
        <f>cubic_spline(CURVA!$B$6:$B$20,CURVA!$G$6:$G$20,#REF!)</f>
        <v>#VALUE!</v>
      </c>
    </row>
    <row r="1463" spans="1:5" x14ac:dyDescent="0.2">
      <c r="A1463" s="28">
        <v>1462</v>
      </c>
      <c r="B1463" s="28" t="e">
        <f>interpola(#REF!,CURVA!$B$6:$B$20,CURVA!$G$6:$G$20)</f>
        <v>#VALUE!</v>
      </c>
      <c r="C1463" s="29" t="e">
        <f t="shared" si="22"/>
        <v>#VALUE!</v>
      </c>
      <c r="E1463" t="e">
        <f>cubic_spline(CURVA!$B$6:$B$20,CURVA!$G$6:$G$20,#REF!)</f>
        <v>#VALUE!</v>
      </c>
    </row>
    <row r="1464" spans="1:5" x14ac:dyDescent="0.2">
      <c r="A1464" s="28">
        <v>1463</v>
      </c>
      <c r="B1464" s="28" t="e">
        <f>interpola(#REF!,CURVA!$B$6:$B$20,CURVA!$G$6:$G$20)</f>
        <v>#VALUE!</v>
      </c>
      <c r="C1464" s="29" t="e">
        <f t="shared" si="22"/>
        <v>#VALUE!</v>
      </c>
      <c r="E1464" t="e">
        <f>cubic_spline(CURVA!$B$6:$B$20,CURVA!$G$6:$G$20,#REF!)</f>
        <v>#VALUE!</v>
      </c>
    </row>
    <row r="1465" spans="1:5" x14ac:dyDescent="0.2">
      <c r="A1465" s="28">
        <v>1464</v>
      </c>
      <c r="B1465" s="28" t="e">
        <f>interpola(#REF!,CURVA!$B$6:$B$20,CURVA!$G$6:$G$20)</f>
        <v>#VALUE!</v>
      </c>
      <c r="C1465" s="29" t="e">
        <f t="shared" si="22"/>
        <v>#VALUE!</v>
      </c>
      <c r="E1465" t="e">
        <f>cubic_spline(CURVA!$B$6:$B$20,CURVA!$G$6:$G$20,#REF!)</f>
        <v>#VALUE!</v>
      </c>
    </row>
    <row r="1466" spans="1:5" x14ac:dyDescent="0.2">
      <c r="A1466" s="28">
        <v>1465</v>
      </c>
      <c r="B1466" s="28" t="e">
        <f>interpola(#REF!,CURVA!$B$6:$B$20,CURVA!$G$6:$G$20)</f>
        <v>#VALUE!</v>
      </c>
      <c r="C1466" s="29" t="e">
        <f t="shared" si="22"/>
        <v>#VALUE!</v>
      </c>
      <c r="E1466" t="e">
        <f>cubic_spline(CURVA!$B$6:$B$20,CURVA!$G$6:$G$20,#REF!)</f>
        <v>#VALUE!</v>
      </c>
    </row>
    <row r="1467" spans="1:5" x14ac:dyDescent="0.2">
      <c r="A1467" s="28">
        <v>1466</v>
      </c>
      <c r="B1467" s="28" t="e">
        <f>interpola(#REF!,CURVA!$B$6:$B$20,CURVA!$G$6:$G$20)</f>
        <v>#VALUE!</v>
      </c>
      <c r="C1467" s="29" t="e">
        <f t="shared" si="22"/>
        <v>#VALUE!</v>
      </c>
      <c r="E1467" t="e">
        <f>cubic_spline(CURVA!$B$6:$B$20,CURVA!$G$6:$G$20,#REF!)</f>
        <v>#VALUE!</v>
      </c>
    </row>
    <row r="1468" spans="1:5" x14ac:dyDescent="0.2">
      <c r="A1468" s="28">
        <v>1467</v>
      </c>
      <c r="B1468" s="28" t="e">
        <f>interpola(#REF!,CURVA!$B$6:$B$20,CURVA!$G$6:$G$20)</f>
        <v>#VALUE!</v>
      </c>
      <c r="C1468" s="29" t="e">
        <f t="shared" si="22"/>
        <v>#VALUE!</v>
      </c>
      <c r="E1468" t="e">
        <f>cubic_spline(CURVA!$B$6:$B$20,CURVA!$G$6:$G$20,#REF!)</f>
        <v>#VALUE!</v>
      </c>
    </row>
    <row r="1469" spans="1:5" x14ac:dyDescent="0.2">
      <c r="A1469" s="28">
        <v>1468</v>
      </c>
      <c r="B1469" s="28" t="e">
        <f>interpola(#REF!,CURVA!$B$6:$B$20,CURVA!$G$6:$G$20)</f>
        <v>#VALUE!</v>
      </c>
      <c r="C1469" s="29" t="e">
        <f t="shared" si="22"/>
        <v>#VALUE!</v>
      </c>
      <c r="E1469" t="e">
        <f>cubic_spline(CURVA!$B$6:$B$20,CURVA!$G$6:$G$20,#REF!)</f>
        <v>#VALUE!</v>
      </c>
    </row>
    <row r="1470" spans="1:5" x14ac:dyDescent="0.2">
      <c r="A1470" s="28">
        <v>1469</v>
      </c>
      <c r="B1470" s="28" t="e">
        <f>interpola(#REF!,CURVA!$B$6:$B$20,CURVA!$G$6:$G$20)</f>
        <v>#VALUE!</v>
      </c>
      <c r="C1470" s="29" t="e">
        <f t="shared" si="22"/>
        <v>#VALUE!</v>
      </c>
      <c r="E1470" t="e">
        <f>cubic_spline(CURVA!$B$6:$B$20,CURVA!$G$6:$G$20,#REF!)</f>
        <v>#VALUE!</v>
      </c>
    </row>
    <row r="1471" spans="1:5" x14ac:dyDescent="0.2">
      <c r="A1471" s="28">
        <v>1470</v>
      </c>
      <c r="B1471" s="28" t="e">
        <f>interpola(#REF!,CURVA!$B$6:$B$20,CURVA!$G$6:$G$20)</f>
        <v>#VALUE!</v>
      </c>
      <c r="C1471" s="29" t="e">
        <f t="shared" si="22"/>
        <v>#VALUE!</v>
      </c>
      <c r="E1471" t="e">
        <f>cubic_spline(CURVA!$B$6:$B$20,CURVA!$G$6:$G$20,#REF!)</f>
        <v>#VALUE!</v>
      </c>
    </row>
    <row r="1472" spans="1:5" x14ac:dyDescent="0.2">
      <c r="A1472" s="28">
        <v>1471</v>
      </c>
      <c r="B1472" s="28" t="e">
        <f>interpola(#REF!,CURVA!$B$6:$B$20,CURVA!$G$6:$G$20)</f>
        <v>#VALUE!</v>
      </c>
      <c r="C1472" s="29" t="e">
        <f t="shared" si="22"/>
        <v>#VALUE!</v>
      </c>
      <c r="E1472" t="e">
        <f>cubic_spline(CURVA!$B$6:$B$20,CURVA!$G$6:$G$20,#REF!)</f>
        <v>#VALUE!</v>
      </c>
    </row>
    <row r="1473" spans="1:5" x14ac:dyDescent="0.2">
      <c r="A1473" s="28">
        <v>1472</v>
      </c>
      <c r="B1473" s="28" t="e">
        <f>interpola(#REF!,CURVA!$B$6:$B$20,CURVA!$G$6:$G$20)</f>
        <v>#VALUE!</v>
      </c>
      <c r="C1473" s="29" t="e">
        <f t="shared" si="22"/>
        <v>#VALUE!</v>
      </c>
      <c r="E1473" t="e">
        <f>cubic_spline(CURVA!$B$6:$B$20,CURVA!$G$6:$G$20,#REF!)</f>
        <v>#VALUE!</v>
      </c>
    </row>
    <row r="1474" spans="1:5" x14ac:dyDescent="0.2">
      <c r="A1474" s="28">
        <v>1473</v>
      </c>
      <c r="B1474" s="28" t="e">
        <f>interpola(#REF!,CURVA!$B$6:$B$20,CURVA!$G$6:$G$20)</f>
        <v>#VALUE!</v>
      </c>
      <c r="C1474" s="29" t="e">
        <f t="shared" ref="C1474:C1537" si="23">(EXP(B1474*A1474/360)-1)*360/A1474</f>
        <v>#VALUE!</v>
      </c>
      <c r="E1474" t="e">
        <f>cubic_spline(CURVA!$B$6:$B$20,CURVA!$G$6:$G$20,#REF!)</f>
        <v>#VALUE!</v>
      </c>
    </row>
    <row r="1475" spans="1:5" x14ac:dyDescent="0.2">
      <c r="A1475" s="28">
        <v>1474</v>
      </c>
      <c r="B1475" s="28" t="e">
        <f>interpola(#REF!,CURVA!$B$6:$B$20,CURVA!$G$6:$G$20)</f>
        <v>#VALUE!</v>
      </c>
      <c r="C1475" s="29" t="e">
        <f t="shared" si="23"/>
        <v>#VALUE!</v>
      </c>
      <c r="E1475" t="e">
        <f>cubic_spline(CURVA!$B$6:$B$20,CURVA!$G$6:$G$20,#REF!)</f>
        <v>#VALUE!</v>
      </c>
    </row>
    <row r="1476" spans="1:5" x14ac:dyDescent="0.2">
      <c r="A1476" s="28">
        <v>1475</v>
      </c>
      <c r="B1476" s="28" t="e">
        <f>interpola(#REF!,CURVA!$B$6:$B$20,CURVA!$G$6:$G$20)</f>
        <v>#VALUE!</v>
      </c>
      <c r="C1476" s="29" t="e">
        <f t="shared" si="23"/>
        <v>#VALUE!</v>
      </c>
      <c r="E1476" t="e">
        <f>cubic_spline(CURVA!$B$6:$B$20,CURVA!$G$6:$G$20,#REF!)</f>
        <v>#VALUE!</v>
      </c>
    </row>
    <row r="1477" spans="1:5" x14ac:dyDescent="0.2">
      <c r="A1477" s="28">
        <v>1476</v>
      </c>
      <c r="B1477" s="28" t="e">
        <f>interpola(#REF!,CURVA!$B$6:$B$20,CURVA!$G$6:$G$20)</f>
        <v>#VALUE!</v>
      </c>
      <c r="C1477" s="29" t="e">
        <f t="shared" si="23"/>
        <v>#VALUE!</v>
      </c>
      <c r="E1477" t="e">
        <f>cubic_spline(CURVA!$B$6:$B$20,CURVA!$G$6:$G$20,#REF!)</f>
        <v>#VALUE!</v>
      </c>
    </row>
    <row r="1478" spans="1:5" x14ac:dyDescent="0.2">
      <c r="A1478" s="28">
        <v>1477</v>
      </c>
      <c r="B1478" s="28" t="e">
        <f>interpola(#REF!,CURVA!$B$6:$B$20,CURVA!$G$6:$G$20)</f>
        <v>#VALUE!</v>
      </c>
      <c r="C1478" s="29" t="e">
        <f t="shared" si="23"/>
        <v>#VALUE!</v>
      </c>
      <c r="E1478" t="e">
        <f>cubic_spline(CURVA!$B$6:$B$20,CURVA!$G$6:$G$20,#REF!)</f>
        <v>#VALUE!</v>
      </c>
    </row>
    <row r="1479" spans="1:5" x14ac:dyDescent="0.2">
      <c r="A1479" s="28">
        <v>1478</v>
      </c>
      <c r="B1479" s="28" t="e">
        <f>interpola(#REF!,CURVA!$B$6:$B$20,CURVA!$G$6:$G$20)</f>
        <v>#VALUE!</v>
      </c>
      <c r="C1479" s="29" t="e">
        <f t="shared" si="23"/>
        <v>#VALUE!</v>
      </c>
      <c r="E1479" t="e">
        <f>cubic_spline(CURVA!$B$6:$B$20,CURVA!$G$6:$G$20,#REF!)</f>
        <v>#VALUE!</v>
      </c>
    </row>
    <row r="1480" spans="1:5" x14ac:dyDescent="0.2">
      <c r="A1480" s="28">
        <v>1479</v>
      </c>
      <c r="B1480" s="28" t="e">
        <f>interpola(#REF!,CURVA!$B$6:$B$20,CURVA!$G$6:$G$20)</f>
        <v>#VALUE!</v>
      </c>
      <c r="C1480" s="29" t="e">
        <f t="shared" si="23"/>
        <v>#VALUE!</v>
      </c>
      <c r="E1480" t="e">
        <f>cubic_spline(CURVA!$B$6:$B$20,CURVA!$G$6:$G$20,#REF!)</f>
        <v>#VALUE!</v>
      </c>
    </row>
    <row r="1481" spans="1:5" x14ac:dyDescent="0.2">
      <c r="A1481" s="28">
        <v>1480</v>
      </c>
      <c r="B1481" s="28" t="e">
        <f>interpola(#REF!,CURVA!$B$6:$B$20,CURVA!$G$6:$G$20)</f>
        <v>#VALUE!</v>
      </c>
      <c r="C1481" s="29" t="e">
        <f t="shared" si="23"/>
        <v>#VALUE!</v>
      </c>
      <c r="E1481" t="e">
        <f>cubic_spline(CURVA!$B$6:$B$20,CURVA!$G$6:$G$20,#REF!)</f>
        <v>#VALUE!</v>
      </c>
    </row>
    <row r="1482" spans="1:5" x14ac:dyDescent="0.2">
      <c r="A1482" s="28">
        <v>1481</v>
      </c>
      <c r="B1482" s="28" t="e">
        <f>interpola(#REF!,CURVA!$B$6:$B$20,CURVA!$G$6:$G$20)</f>
        <v>#VALUE!</v>
      </c>
      <c r="C1482" s="29" t="e">
        <f t="shared" si="23"/>
        <v>#VALUE!</v>
      </c>
      <c r="E1482" t="e">
        <f>cubic_spline(CURVA!$B$6:$B$20,CURVA!$G$6:$G$20,#REF!)</f>
        <v>#VALUE!</v>
      </c>
    </row>
    <row r="1483" spans="1:5" x14ac:dyDescent="0.2">
      <c r="A1483" s="28">
        <v>1482</v>
      </c>
      <c r="B1483" s="28" t="e">
        <f>interpola(#REF!,CURVA!$B$6:$B$20,CURVA!$G$6:$G$20)</f>
        <v>#VALUE!</v>
      </c>
      <c r="C1483" s="29" t="e">
        <f t="shared" si="23"/>
        <v>#VALUE!</v>
      </c>
      <c r="E1483" t="e">
        <f>cubic_spline(CURVA!$B$6:$B$20,CURVA!$G$6:$G$20,#REF!)</f>
        <v>#VALUE!</v>
      </c>
    </row>
    <row r="1484" spans="1:5" x14ac:dyDescent="0.2">
      <c r="A1484" s="28">
        <v>1483</v>
      </c>
      <c r="B1484" s="28" t="e">
        <f>interpola(#REF!,CURVA!$B$6:$B$20,CURVA!$G$6:$G$20)</f>
        <v>#VALUE!</v>
      </c>
      <c r="C1484" s="29" t="e">
        <f t="shared" si="23"/>
        <v>#VALUE!</v>
      </c>
      <c r="E1484" t="e">
        <f>cubic_spline(CURVA!$B$6:$B$20,CURVA!$G$6:$G$20,#REF!)</f>
        <v>#VALUE!</v>
      </c>
    </row>
    <row r="1485" spans="1:5" x14ac:dyDescent="0.2">
      <c r="A1485" s="28">
        <v>1484</v>
      </c>
      <c r="B1485" s="28" t="e">
        <f>interpola(#REF!,CURVA!$B$6:$B$20,CURVA!$G$6:$G$20)</f>
        <v>#VALUE!</v>
      </c>
      <c r="C1485" s="29" t="e">
        <f t="shared" si="23"/>
        <v>#VALUE!</v>
      </c>
      <c r="E1485" t="e">
        <f>cubic_spline(CURVA!$B$6:$B$20,CURVA!$G$6:$G$20,#REF!)</f>
        <v>#VALUE!</v>
      </c>
    </row>
    <row r="1486" spans="1:5" x14ac:dyDescent="0.2">
      <c r="A1486" s="28">
        <v>1485</v>
      </c>
      <c r="B1486" s="28" t="e">
        <f>interpola(#REF!,CURVA!$B$6:$B$20,CURVA!$G$6:$G$20)</f>
        <v>#VALUE!</v>
      </c>
      <c r="C1486" s="29" t="e">
        <f t="shared" si="23"/>
        <v>#VALUE!</v>
      </c>
      <c r="E1486" t="e">
        <f>cubic_spline(CURVA!$B$6:$B$20,CURVA!$G$6:$G$20,#REF!)</f>
        <v>#VALUE!</v>
      </c>
    </row>
    <row r="1487" spans="1:5" x14ac:dyDescent="0.2">
      <c r="A1487" s="28">
        <v>1486</v>
      </c>
      <c r="B1487" s="28" t="e">
        <f>interpola(#REF!,CURVA!$B$6:$B$20,CURVA!$G$6:$G$20)</f>
        <v>#VALUE!</v>
      </c>
      <c r="C1487" s="29" t="e">
        <f t="shared" si="23"/>
        <v>#VALUE!</v>
      </c>
      <c r="E1487" t="e">
        <f>cubic_spline(CURVA!$B$6:$B$20,CURVA!$G$6:$G$20,#REF!)</f>
        <v>#VALUE!</v>
      </c>
    </row>
    <row r="1488" spans="1:5" x14ac:dyDescent="0.2">
      <c r="A1488" s="28">
        <v>1487</v>
      </c>
      <c r="B1488" s="28" t="e">
        <f>interpola(#REF!,CURVA!$B$6:$B$20,CURVA!$G$6:$G$20)</f>
        <v>#VALUE!</v>
      </c>
      <c r="C1488" s="29" t="e">
        <f t="shared" si="23"/>
        <v>#VALUE!</v>
      </c>
      <c r="E1488" t="e">
        <f>cubic_spline(CURVA!$B$6:$B$20,CURVA!$G$6:$G$20,#REF!)</f>
        <v>#VALUE!</v>
      </c>
    </row>
    <row r="1489" spans="1:5" x14ac:dyDescent="0.2">
      <c r="A1489" s="28">
        <v>1488</v>
      </c>
      <c r="B1489" s="28" t="e">
        <f>interpola(#REF!,CURVA!$B$6:$B$20,CURVA!$G$6:$G$20)</f>
        <v>#VALUE!</v>
      </c>
      <c r="C1489" s="29" t="e">
        <f t="shared" si="23"/>
        <v>#VALUE!</v>
      </c>
      <c r="E1489" t="e">
        <f>cubic_spline(CURVA!$B$6:$B$20,CURVA!$G$6:$G$20,#REF!)</f>
        <v>#VALUE!</v>
      </c>
    </row>
    <row r="1490" spans="1:5" x14ac:dyDescent="0.2">
      <c r="A1490" s="28">
        <v>1489</v>
      </c>
      <c r="B1490" s="28" t="e">
        <f>interpola(#REF!,CURVA!$B$6:$B$20,CURVA!$G$6:$G$20)</f>
        <v>#VALUE!</v>
      </c>
      <c r="C1490" s="29" t="e">
        <f t="shared" si="23"/>
        <v>#VALUE!</v>
      </c>
      <c r="E1490" t="e">
        <f>cubic_spline(CURVA!$B$6:$B$20,CURVA!$G$6:$G$20,#REF!)</f>
        <v>#VALUE!</v>
      </c>
    </row>
    <row r="1491" spans="1:5" x14ac:dyDescent="0.2">
      <c r="A1491" s="28">
        <v>1490</v>
      </c>
      <c r="B1491" s="28" t="e">
        <f>interpola(#REF!,CURVA!$B$6:$B$20,CURVA!$G$6:$G$20)</f>
        <v>#VALUE!</v>
      </c>
      <c r="C1491" s="29" t="e">
        <f t="shared" si="23"/>
        <v>#VALUE!</v>
      </c>
      <c r="E1491" t="e">
        <f>cubic_spline(CURVA!$B$6:$B$20,CURVA!$G$6:$G$20,#REF!)</f>
        <v>#VALUE!</v>
      </c>
    </row>
    <row r="1492" spans="1:5" x14ac:dyDescent="0.2">
      <c r="A1492" s="28">
        <v>1491</v>
      </c>
      <c r="B1492" s="28" t="e">
        <f>interpola(#REF!,CURVA!$B$6:$B$20,CURVA!$G$6:$G$20)</f>
        <v>#VALUE!</v>
      </c>
      <c r="C1492" s="29" t="e">
        <f t="shared" si="23"/>
        <v>#VALUE!</v>
      </c>
      <c r="E1492" t="e">
        <f>cubic_spline(CURVA!$B$6:$B$20,CURVA!$G$6:$G$20,#REF!)</f>
        <v>#VALUE!</v>
      </c>
    </row>
    <row r="1493" spans="1:5" x14ac:dyDescent="0.2">
      <c r="A1493" s="28">
        <v>1492</v>
      </c>
      <c r="B1493" s="28" t="e">
        <f>interpola(#REF!,CURVA!$B$6:$B$20,CURVA!$G$6:$G$20)</f>
        <v>#VALUE!</v>
      </c>
      <c r="C1493" s="29" t="e">
        <f t="shared" si="23"/>
        <v>#VALUE!</v>
      </c>
      <c r="E1493" t="e">
        <f>cubic_spline(CURVA!$B$6:$B$20,CURVA!$G$6:$G$20,#REF!)</f>
        <v>#VALUE!</v>
      </c>
    </row>
    <row r="1494" spans="1:5" x14ac:dyDescent="0.2">
      <c r="A1494" s="28">
        <v>1493</v>
      </c>
      <c r="B1494" s="28" t="e">
        <f>interpola(#REF!,CURVA!$B$6:$B$20,CURVA!$G$6:$G$20)</f>
        <v>#VALUE!</v>
      </c>
      <c r="C1494" s="29" t="e">
        <f t="shared" si="23"/>
        <v>#VALUE!</v>
      </c>
      <c r="E1494" t="e">
        <f>cubic_spline(CURVA!$B$6:$B$20,CURVA!$G$6:$G$20,#REF!)</f>
        <v>#VALUE!</v>
      </c>
    </row>
    <row r="1495" spans="1:5" x14ac:dyDescent="0.2">
      <c r="A1495" s="28">
        <v>1494</v>
      </c>
      <c r="B1495" s="28" t="e">
        <f>interpola(#REF!,CURVA!$B$6:$B$20,CURVA!$G$6:$G$20)</f>
        <v>#VALUE!</v>
      </c>
      <c r="C1495" s="29" t="e">
        <f t="shared" si="23"/>
        <v>#VALUE!</v>
      </c>
      <c r="E1495" t="e">
        <f>cubic_spline(CURVA!$B$6:$B$20,CURVA!$G$6:$G$20,#REF!)</f>
        <v>#VALUE!</v>
      </c>
    </row>
    <row r="1496" spans="1:5" x14ac:dyDescent="0.2">
      <c r="A1496" s="28">
        <v>1495</v>
      </c>
      <c r="B1496" s="28" t="e">
        <f>interpola(#REF!,CURVA!$B$6:$B$20,CURVA!$G$6:$G$20)</f>
        <v>#VALUE!</v>
      </c>
      <c r="C1496" s="29" t="e">
        <f t="shared" si="23"/>
        <v>#VALUE!</v>
      </c>
      <c r="E1496" t="e">
        <f>cubic_spline(CURVA!$B$6:$B$20,CURVA!$G$6:$G$20,#REF!)</f>
        <v>#VALUE!</v>
      </c>
    </row>
    <row r="1497" spans="1:5" x14ac:dyDescent="0.2">
      <c r="A1497" s="28">
        <v>1496</v>
      </c>
      <c r="B1497" s="28" t="e">
        <f>interpola(#REF!,CURVA!$B$6:$B$20,CURVA!$G$6:$G$20)</f>
        <v>#VALUE!</v>
      </c>
      <c r="C1497" s="29" t="e">
        <f t="shared" si="23"/>
        <v>#VALUE!</v>
      </c>
      <c r="E1497" t="e">
        <f>cubic_spline(CURVA!$B$6:$B$20,CURVA!$G$6:$G$20,#REF!)</f>
        <v>#VALUE!</v>
      </c>
    </row>
    <row r="1498" spans="1:5" x14ac:dyDescent="0.2">
      <c r="A1498" s="28">
        <v>1497</v>
      </c>
      <c r="B1498" s="28" t="e">
        <f>interpola(#REF!,CURVA!$B$6:$B$20,CURVA!$G$6:$G$20)</f>
        <v>#VALUE!</v>
      </c>
      <c r="C1498" s="29" t="e">
        <f t="shared" si="23"/>
        <v>#VALUE!</v>
      </c>
      <c r="E1498" t="e">
        <f>cubic_spline(CURVA!$B$6:$B$20,CURVA!$G$6:$G$20,#REF!)</f>
        <v>#VALUE!</v>
      </c>
    </row>
    <row r="1499" spans="1:5" x14ac:dyDescent="0.2">
      <c r="A1499" s="28">
        <v>1498</v>
      </c>
      <c r="B1499" s="28" t="e">
        <f>interpola(#REF!,CURVA!$B$6:$B$20,CURVA!$G$6:$G$20)</f>
        <v>#VALUE!</v>
      </c>
      <c r="C1499" s="29" t="e">
        <f t="shared" si="23"/>
        <v>#VALUE!</v>
      </c>
      <c r="E1499" t="e">
        <f>cubic_spline(CURVA!$B$6:$B$20,CURVA!$G$6:$G$20,#REF!)</f>
        <v>#VALUE!</v>
      </c>
    </row>
    <row r="1500" spans="1:5" x14ac:dyDescent="0.2">
      <c r="A1500" s="28">
        <v>1499</v>
      </c>
      <c r="B1500" s="28" t="e">
        <f>interpola(#REF!,CURVA!$B$6:$B$20,CURVA!$G$6:$G$20)</f>
        <v>#VALUE!</v>
      </c>
      <c r="C1500" s="29" t="e">
        <f t="shared" si="23"/>
        <v>#VALUE!</v>
      </c>
      <c r="E1500" t="e">
        <f>cubic_spline(CURVA!$B$6:$B$20,CURVA!$G$6:$G$20,#REF!)</f>
        <v>#VALUE!</v>
      </c>
    </row>
    <row r="1501" spans="1:5" x14ac:dyDescent="0.2">
      <c r="A1501" s="28">
        <v>1500</v>
      </c>
      <c r="B1501" s="28" t="e">
        <f>interpola(#REF!,CURVA!$B$6:$B$20,CURVA!$G$6:$G$20)</f>
        <v>#VALUE!</v>
      </c>
      <c r="C1501" s="29" t="e">
        <f t="shared" si="23"/>
        <v>#VALUE!</v>
      </c>
      <c r="E1501" t="e">
        <f>cubic_spline(CURVA!$B$6:$B$20,CURVA!$G$6:$G$20,#REF!)</f>
        <v>#VALUE!</v>
      </c>
    </row>
    <row r="1502" spans="1:5" x14ac:dyDescent="0.2">
      <c r="A1502" s="28">
        <v>1501</v>
      </c>
      <c r="B1502" s="28" t="e">
        <f>interpola(#REF!,CURVA!$B$6:$B$20,CURVA!$G$6:$G$20)</f>
        <v>#VALUE!</v>
      </c>
      <c r="C1502" s="29" t="e">
        <f t="shared" si="23"/>
        <v>#VALUE!</v>
      </c>
      <c r="E1502" t="e">
        <f>cubic_spline(CURVA!$B$6:$B$20,CURVA!$G$6:$G$20,#REF!)</f>
        <v>#VALUE!</v>
      </c>
    </row>
    <row r="1503" spans="1:5" x14ac:dyDescent="0.2">
      <c r="A1503" s="28">
        <v>1502</v>
      </c>
      <c r="B1503" s="28" t="e">
        <f>interpola(#REF!,CURVA!$B$6:$B$20,CURVA!$G$6:$G$20)</f>
        <v>#VALUE!</v>
      </c>
      <c r="C1503" s="29" t="e">
        <f t="shared" si="23"/>
        <v>#VALUE!</v>
      </c>
      <c r="E1503" t="e">
        <f>cubic_spline(CURVA!$B$6:$B$20,CURVA!$G$6:$G$20,#REF!)</f>
        <v>#VALUE!</v>
      </c>
    </row>
    <row r="1504" spans="1:5" x14ac:dyDescent="0.2">
      <c r="A1504" s="28">
        <v>1503</v>
      </c>
      <c r="B1504" s="28" t="e">
        <f>interpola(#REF!,CURVA!$B$6:$B$20,CURVA!$G$6:$G$20)</f>
        <v>#VALUE!</v>
      </c>
      <c r="C1504" s="29" t="e">
        <f t="shared" si="23"/>
        <v>#VALUE!</v>
      </c>
      <c r="E1504" t="e">
        <f>cubic_spline(CURVA!$B$6:$B$20,CURVA!$G$6:$G$20,#REF!)</f>
        <v>#VALUE!</v>
      </c>
    </row>
    <row r="1505" spans="1:5" x14ac:dyDescent="0.2">
      <c r="A1505" s="28">
        <v>1504</v>
      </c>
      <c r="B1505" s="28" t="e">
        <f>interpola(#REF!,CURVA!$B$6:$B$20,CURVA!$G$6:$G$20)</f>
        <v>#VALUE!</v>
      </c>
      <c r="C1505" s="29" t="e">
        <f t="shared" si="23"/>
        <v>#VALUE!</v>
      </c>
      <c r="E1505" t="e">
        <f>cubic_spline(CURVA!$B$6:$B$20,CURVA!$G$6:$G$20,#REF!)</f>
        <v>#VALUE!</v>
      </c>
    </row>
    <row r="1506" spans="1:5" x14ac:dyDescent="0.2">
      <c r="A1506" s="28">
        <v>1505</v>
      </c>
      <c r="B1506" s="28" t="e">
        <f>interpola(#REF!,CURVA!$B$6:$B$20,CURVA!$G$6:$G$20)</f>
        <v>#VALUE!</v>
      </c>
      <c r="C1506" s="29" t="e">
        <f t="shared" si="23"/>
        <v>#VALUE!</v>
      </c>
      <c r="E1506" t="e">
        <f>cubic_spline(CURVA!$B$6:$B$20,CURVA!$G$6:$G$20,#REF!)</f>
        <v>#VALUE!</v>
      </c>
    </row>
    <row r="1507" spans="1:5" x14ac:dyDescent="0.2">
      <c r="A1507" s="28">
        <v>1506</v>
      </c>
      <c r="B1507" s="28" t="e">
        <f>interpola(#REF!,CURVA!$B$6:$B$20,CURVA!$G$6:$G$20)</f>
        <v>#VALUE!</v>
      </c>
      <c r="C1507" s="29" t="e">
        <f t="shared" si="23"/>
        <v>#VALUE!</v>
      </c>
      <c r="E1507" t="e">
        <f>cubic_spline(CURVA!$B$6:$B$20,CURVA!$G$6:$G$20,#REF!)</f>
        <v>#VALUE!</v>
      </c>
    </row>
    <row r="1508" spans="1:5" x14ac:dyDescent="0.2">
      <c r="A1508" s="28">
        <v>1507</v>
      </c>
      <c r="B1508" s="28" t="e">
        <f>interpola(#REF!,CURVA!$B$6:$B$20,CURVA!$G$6:$G$20)</f>
        <v>#VALUE!</v>
      </c>
      <c r="C1508" s="29" t="e">
        <f t="shared" si="23"/>
        <v>#VALUE!</v>
      </c>
      <c r="E1508" t="e">
        <f>cubic_spline(CURVA!$B$6:$B$20,CURVA!$G$6:$G$20,#REF!)</f>
        <v>#VALUE!</v>
      </c>
    </row>
    <row r="1509" spans="1:5" x14ac:dyDescent="0.2">
      <c r="A1509" s="28">
        <v>1508</v>
      </c>
      <c r="B1509" s="28" t="e">
        <f>interpola(#REF!,CURVA!$B$6:$B$20,CURVA!$G$6:$G$20)</f>
        <v>#VALUE!</v>
      </c>
      <c r="C1509" s="29" t="e">
        <f t="shared" si="23"/>
        <v>#VALUE!</v>
      </c>
      <c r="E1509" t="e">
        <f>cubic_spline(CURVA!$B$6:$B$20,CURVA!$G$6:$G$20,#REF!)</f>
        <v>#VALUE!</v>
      </c>
    </row>
    <row r="1510" spans="1:5" x14ac:dyDescent="0.2">
      <c r="A1510" s="28">
        <v>1509</v>
      </c>
      <c r="B1510" s="28" t="e">
        <f>interpola(#REF!,CURVA!$B$6:$B$20,CURVA!$G$6:$G$20)</f>
        <v>#VALUE!</v>
      </c>
      <c r="C1510" s="29" t="e">
        <f t="shared" si="23"/>
        <v>#VALUE!</v>
      </c>
      <c r="E1510" t="e">
        <f>cubic_spline(CURVA!$B$6:$B$20,CURVA!$G$6:$G$20,#REF!)</f>
        <v>#VALUE!</v>
      </c>
    </row>
    <row r="1511" spans="1:5" x14ac:dyDescent="0.2">
      <c r="A1511" s="28">
        <v>1510</v>
      </c>
      <c r="B1511" s="28" t="e">
        <f>interpola(#REF!,CURVA!$B$6:$B$20,CURVA!$G$6:$G$20)</f>
        <v>#VALUE!</v>
      </c>
      <c r="C1511" s="29" t="e">
        <f t="shared" si="23"/>
        <v>#VALUE!</v>
      </c>
      <c r="E1511" t="e">
        <f>cubic_spline(CURVA!$B$6:$B$20,CURVA!$G$6:$G$20,#REF!)</f>
        <v>#VALUE!</v>
      </c>
    </row>
    <row r="1512" spans="1:5" x14ac:dyDescent="0.2">
      <c r="A1512" s="28">
        <v>1511</v>
      </c>
      <c r="B1512" s="28" t="e">
        <f>interpola(#REF!,CURVA!$B$6:$B$20,CURVA!$G$6:$G$20)</f>
        <v>#VALUE!</v>
      </c>
      <c r="C1512" s="29" t="e">
        <f t="shared" si="23"/>
        <v>#VALUE!</v>
      </c>
      <c r="E1512" t="e">
        <f>cubic_spline(CURVA!$B$6:$B$20,CURVA!$G$6:$G$20,#REF!)</f>
        <v>#VALUE!</v>
      </c>
    </row>
    <row r="1513" spans="1:5" x14ac:dyDescent="0.2">
      <c r="A1513" s="28">
        <v>1512</v>
      </c>
      <c r="B1513" s="28" t="e">
        <f>interpola(#REF!,CURVA!$B$6:$B$20,CURVA!$G$6:$G$20)</f>
        <v>#VALUE!</v>
      </c>
      <c r="C1513" s="29" t="e">
        <f t="shared" si="23"/>
        <v>#VALUE!</v>
      </c>
      <c r="E1513" t="e">
        <f>cubic_spline(CURVA!$B$6:$B$20,CURVA!$G$6:$G$20,#REF!)</f>
        <v>#VALUE!</v>
      </c>
    </row>
    <row r="1514" spans="1:5" x14ac:dyDescent="0.2">
      <c r="A1514" s="28">
        <v>1513</v>
      </c>
      <c r="B1514" s="28" t="e">
        <f>interpola(#REF!,CURVA!$B$6:$B$20,CURVA!$G$6:$G$20)</f>
        <v>#VALUE!</v>
      </c>
      <c r="C1514" s="29" t="e">
        <f t="shared" si="23"/>
        <v>#VALUE!</v>
      </c>
      <c r="E1514" t="e">
        <f>cubic_spline(CURVA!$B$6:$B$20,CURVA!$G$6:$G$20,#REF!)</f>
        <v>#VALUE!</v>
      </c>
    </row>
    <row r="1515" spans="1:5" x14ac:dyDescent="0.2">
      <c r="A1515" s="28">
        <v>1514</v>
      </c>
      <c r="B1515" s="28" t="e">
        <f>interpola(#REF!,CURVA!$B$6:$B$20,CURVA!$G$6:$G$20)</f>
        <v>#VALUE!</v>
      </c>
      <c r="C1515" s="29" t="e">
        <f t="shared" si="23"/>
        <v>#VALUE!</v>
      </c>
      <c r="E1515" t="e">
        <f>cubic_spline(CURVA!$B$6:$B$20,CURVA!$G$6:$G$20,#REF!)</f>
        <v>#VALUE!</v>
      </c>
    </row>
    <row r="1516" spans="1:5" x14ac:dyDescent="0.2">
      <c r="A1516" s="28">
        <v>1515</v>
      </c>
      <c r="B1516" s="28" t="e">
        <f>interpola(#REF!,CURVA!$B$6:$B$20,CURVA!$G$6:$G$20)</f>
        <v>#VALUE!</v>
      </c>
      <c r="C1516" s="29" t="e">
        <f t="shared" si="23"/>
        <v>#VALUE!</v>
      </c>
      <c r="E1516" t="e">
        <f>cubic_spline(CURVA!$B$6:$B$20,CURVA!$G$6:$G$20,#REF!)</f>
        <v>#VALUE!</v>
      </c>
    </row>
    <row r="1517" spans="1:5" x14ac:dyDescent="0.2">
      <c r="A1517" s="28">
        <v>1516</v>
      </c>
      <c r="B1517" s="28" t="e">
        <f>interpola(#REF!,CURVA!$B$6:$B$20,CURVA!$G$6:$G$20)</f>
        <v>#VALUE!</v>
      </c>
      <c r="C1517" s="29" t="e">
        <f t="shared" si="23"/>
        <v>#VALUE!</v>
      </c>
      <c r="E1517" t="e">
        <f>cubic_spline(CURVA!$B$6:$B$20,CURVA!$G$6:$G$20,#REF!)</f>
        <v>#VALUE!</v>
      </c>
    </row>
    <row r="1518" spans="1:5" x14ac:dyDescent="0.2">
      <c r="A1518" s="28">
        <v>1517</v>
      </c>
      <c r="B1518" s="28" t="e">
        <f>interpola(#REF!,CURVA!$B$6:$B$20,CURVA!$G$6:$G$20)</f>
        <v>#VALUE!</v>
      </c>
      <c r="C1518" s="29" t="e">
        <f t="shared" si="23"/>
        <v>#VALUE!</v>
      </c>
      <c r="E1518" t="e">
        <f>cubic_spline(CURVA!$B$6:$B$20,CURVA!$G$6:$G$20,#REF!)</f>
        <v>#VALUE!</v>
      </c>
    </row>
    <row r="1519" spans="1:5" x14ac:dyDescent="0.2">
      <c r="A1519" s="28">
        <v>1518</v>
      </c>
      <c r="B1519" s="28" t="e">
        <f>interpola(#REF!,CURVA!$B$6:$B$20,CURVA!$G$6:$G$20)</f>
        <v>#VALUE!</v>
      </c>
      <c r="C1519" s="29" t="e">
        <f t="shared" si="23"/>
        <v>#VALUE!</v>
      </c>
      <c r="E1519" t="e">
        <f>cubic_spline(CURVA!$B$6:$B$20,CURVA!$G$6:$G$20,#REF!)</f>
        <v>#VALUE!</v>
      </c>
    </row>
    <row r="1520" spans="1:5" x14ac:dyDescent="0.2">
      <c r="A1520" s="28">
        <v>1519</v>
      </c>
      <c r="B1520" s="28" t="e">
        <f>interpola(#REF!,CURVA!$B$6:$B$20,CURVA!$G$6:$G$20)</f>
        <v>#VALUE!</v>
      </c>
      <c r="C1520" s="29" t="e">
        <f t="shared" si="23"/>
        <v>#VALUE!</v>
      </c>
      <c r="E1520" t="e">
        <f>cubic_spline(CURVA!$B$6:$B$20,CURVA!$G$6:$G$20,#REF!)</f>
        <v>#VALUE!</v>
      </c>
    </row>
    <row r="1521" spans="1:5" x14ac:dyDescent="0.2">
      <c r="A1521" s="28">
        <v>1520</v>
      </c>
      <c r="B1521" s="28" t="e">
        <f>interpola(#REF!,CURVA!$B$6:$B$20,CURVA!$G$6:$G$20)</f>
        <v>#VALUE!</v>
      </c>
      <c r="C1521" s="29" t="e">
        <f t="shared" si="23"/>
        <v>#VALUE!</v>
      </c>
      <c r="E1521" t="e">
        <f>cubic_spline(CURVA!$B$6:$B$20,CURVA!$G$6:$G$20,#REF!)</f>
        <v>#VALUE!</v>
      </c>
    </row>
    <row r="1522" spans="1:5" x14ac:dyDescent="0.2">
      <c r="A1522" s="28">
        <v>1521</v>
      </c>
      <c r="B1522" s="28" t="e">
        <f>interpola(#REF!,CURVA!$B$6:$B$20,CURVA!$G$6:$G$20)</f>
        <v>#VALUE!</v>
      </c>
      <c r="C1522" s="29" t="e">
        <f t="shared" si="23"/>
        <v>#VALUE!</v>
      </c>
      <c r="E1522" t="e">
        <f>cubic_spline(CURVA!$B$6:$B$20,CURVA!$G$6:$G$20,#REF!)</f>
        <v>#VALUE!</v>
      </c>
    </row>
    <row r="1523" spans="1:5" x14ac:dyDescent="0.2">
      <c r="A1523" s="28">
        <v>1522</v>
      </c>
      <c r="B1523" s="28" t="e">
        <f>interpola(#REF!,CURVA!$B$6:$B$20,CURVA!$G$6:$G$20)</f>
        <v>#VALUE!</v>
      </c>
      <c r="C1523" s="29" t="e">
        <f t="shared" si="23"/>
        <v>#VALUE!</v>
      </c>
      <c r="E1523" t="e">
        <f>cubic_spline(CURVA!$B$6:$B$20,CURVA!$G$6:$G$20,#REF!)</f>
        <v>#VALUE!</v>
      </c>
    </row>
    <row r="1524" spans="1:5" x14ac:dyDescent="0.2">
      <c r="A1524" s="28">
        <v>1523</v>
      </c>
      <c r="B1524" s="28" t="e">
        <f>interpola(#REF!,CURVA!$B$6:$B$20,CURVA!$G$6:$G$20)</f>
        <v>#VALUE!</v>
      </c>
      <c r="C1524" s="29" t="e">
        <f t="shared" si="23"/>
        <v>#VALUE!</v>
      </c>
      <c r="E1524" t="e">
        <f>cubic_spline(CURVA!$B$6:$B$20,CURVA!$G$6:$G$20,#REF!)</f>
        <v>#VALUE!</v>
      </c>
    </row>
    <row r="1525" spans="1:5" x14ac:dyDescent="0.2">
      <c r="A1525" s="28">
        <v>1524</v>
      </c>
      <c r="B1525" s="28" t="e">
        <f>interpola(#REF!,CURVA!$B$6:$B$20,CURVA!$G$6:$G$20)</f>
        <v>#VALUE!</v>
      </c>
      <c r="C1525" s="29" t="e">
        <f t="shared" si="23"/>
        <v>#VALUE!</v>
      </c>
      <c r="E1525" t="e">
        <f>cubic_spline(CURVA!$B$6:$B$20,CURVA!$G$6:$G$20,#REF!)</f>
        <v>#VALUE!</v>
      </c>
    </row>
    <row r="1526" spans="1:5" x14ac:dyDescent="0.2">
      <c r="A1526" s="28">
        <v>1525</v>
      </c>
      <c r="B1526" s="28" t="e">
        <f>interpola(#REF!,CURVA!$B$6:$B$20,CURVA!$G$6:$G$20)</f>
        <v>#VALUE!</v>
      </c>
      <c r="C1526" s="29" t="e">
        <f t="shared" si="23"/>
        <v>#VALUE!</v>
      </c>
      <c r="E1526" t="e">
        <f>cubic_spline(CURVA!$B$6:$B$20,CURVA!$G$6:$G$20,#REF!)</f>
        <v>#VALUE!</v>
      </c>
    </row>
    <row r="1527" spans="1:5" x14ac:dyDescent="0.2">
      <c r="A1527" s="28">
        <v>1526</v>
      </c>
      <c r="B1527" s="28" t="e">
        <f>interpola(#REF!,CURVA!$B$6:$B$20,CURVA!$G$6:$G$20)</f>
        <v>#VALUE!</v>
      </c>
      <c r="C1527" s="29" t="e">
        <f t="shared" si="23"/>
        <v>#VALUE!</v>
      </c>
      <c r="E1527" t="e">
        <f>cubic_spline(CURVA!$B$6:$B$20,CURVA!$G$6:$G$20,#REF!)</f>
        <v>#VALUE!</v>
      </c>
    </row>
    <row r="1528" spans="1:5" x14ac:dyDescent="0.2">
      <c r="A1528" s="28">
        <v>1527</v>
      </c>
      <c r="B1528" s="28" t="e">
        <f>interpola(#REF!,CURVA!$B$6:$B$20,CURVA!$G$6:$G$20)</f>
        <v>#VALUE!</v>
      </c>
      <c r="C1528" s="29" t="e">
        <f t="shared" si="23"/>
        <v>#VALUE!</v>
      </c>
      <c r="E1528" t="e">
        <f>cubic_spline(CURVA!$B$6:$B$20,CURVA!$G$6:$G$20,#REF!)</f>
        <v>#VALUE!</v>
      </c>
    </row>
    <row r="1529" spans="1:5" x14ac:dyDescent="0.2">
      <c r="A1529" s="28">
        <v>1528</v>
      </c>
      <c r="B1529" s="28" t="e">
        <f>interpola(#REF!,CURVA!$B$6:$B$20,CURVA!$G$6:$G$20)</f>
        <v>#VALUE!</v>
      </c>
      <c r="C1529" s="29" t="e">
        <f t="shared" si="23"/>
        <v>#VALUE!</v>
      </c>
      <c r="E1529" t="e">
        <f>cubic_spline(CURVA!$B$6:$B$20,CURVA!$G$6:$G$20,#REF!)</f>
        <v>#VALUE!</v>
      </c>
    </row>
    <row r="1530" spans="1:5" x14ac:dyDescent="0.2">
      <c r="A1530" s="28">
        <v>1529</v>
      </c>
      <c r="B1530" s="28" t="e">
        <f>interpola(#REF!,CURVA!$B$6:$B$20,CURVA!$G$6:$G$20)</f>
        <v>#VALUE!</v>
      </c>
      <c r="C1530" s="29" t="e">
        <f t="shared" si="23"/>
        <v>#VALUE!</v>
      </c>
      <c r="E1530" t="e">
        <f>cubic_spline(CURVA!$B$6:$B$20,CURVA!$G$6:$G$20,#REF!)</f>
        <v>#VALUE!</v>
      </c>
    </row>
    <row r="1531" spans="1:5" x14ac:dyDescent="0.2">
      <c r="A1531" s="28">
        <v>1530</v>
      </c>
      <c r="B1531" s="28" t="e">
        <f>interpola(#REF!,CURVA!$B$6:$B$20,CURVA!$G$6:$G$20)</f>
        <v>#VALUE!</v>
      </c>
      <c r="C1531" s="29" t="e">
        <f t="shared" si="23"/>
        <v>#VALUE!</v>
      </c>
      <c r="E1531" t="e">
        <f>cubic_spline(CURVA!$B$6:$B$20,CURVA!$G$6:$G$20,#REF!)</f>
        <v>#VALUE!</v>
      </c>
    </row>
    <row r="1532" spans="1:5" x14ac:dyDescent="0.2">
      <c r="A1532" s="28">
        <v>1531</v>
      </c>
      <c r="B1532" s="28" t="e">
        <f>interpola(#REF!,CURVA!$B$6:$B$20,CURVA!$G$6:$G$20)</f>
        <v>#VALUE!</v>
      </c>
      <c r="C1532" s="29" t="e">
        <f t="shared" si="23"/>
        <v>#VALUE!</v>
      </c>
      <c r="E1532" t="e">
        <f>cubic_spline(CURVA!$B$6:$B$20,CURVA!$G$6:$G$20,#REF!)</f>
        <v>#VALUE!</v>
      </c>
    </row>
    <row r="1533" spans="1:5" x14ac:dyDescent="0.2">
      <c r="A1533" s="28">
        <v>1532</v>
      </c>
      <c r="B1533" s="28" t="e">
        <f>interpola(#REF!,CURVA!$B$6:$B$20,CURVA!$G$6:$G$20)</f>
        <v>#VALUE!</v>
      </c>
      <c r="C1533" s="29" t="e">
        <f t="shared" si="23"/>
        <v>#VALUE!</v>
      </c>
      <c r="E1533" t="e">
        <f>cubic_spline(CURVA!$B$6:$B$20,CURVA!$G$6:$G$20,#REF!)</f>
        <v>#VALUE!</v>
      </c>
    </row>
    <row r="1534" spans="1:5" x14ac:dyDescent="0.2">
      <c r="A1534" s="28">
        <v>1533</v>
      </c>
      <c r="B1534" s="28" t="e">
        <f>interpola(#REF!,CURVA!$B$6:$B$20,CURVA!$G$6:$G$20)</f>
        <v>#VALUE!</v>
      </c>
      <c r="C1534" s="29" t="e">
        <f t="shared" si="23"/>
        <v>#VALUE!</v>
      </c>
      <c r="E1534" t="e">
        <f>cubic_spline(CURVA!$B$6:$B$20,CURVA!$G$6:$G$20,#REF!)</f>
        <v>#VALUE!</v>
      </c>
    </row>
    <row r="1535" spans="1:5" x14ac:dyDescent="0.2">
      <c r="A1535" s="28">
        <v>1534</v>
      </c>
      <c r="B1535" s="28" t="e">
        <f>interpola(#REF!,CURVA!$B$6:$B$20,CURVA!$G$6:$G$20)</f>
        <v>#VALUE!</v>
      </c>
      <c r="C1535" s="29" t="e">
        <f t="shared" si="23"/>
        <v>#VALUE!</v>
      </c>
      <c r="E1535" t="e">
        <f>cubic_spline(CURVA!$B$6:$B$20,CURVA!$G$6:$G$20,#REF!)</f>
        <v>#VALUE!</v>
      </c>
    </row>
    <row r="1536" spans="1:5" x14ac:dyDescent="0.2">
      <c r="A1536" s="28">
        <v>1535</v>
      </c>
      <c r="B1536" s="28" t="e">
        <f>interpola(#REF!,CURVA!$B$6:$B$20,CURVA!$G$6:$G$20)</f>
        <v>#VALUE!</v>
      </c>
      <c r="C1536" s="29" t="e">
        <f t="shared" si="23"/>
        <v>#VALUE!</v>
      </c>
      <c r="E1536" t="e">
        <f>cubic_spline(CURVA!$B$6:$B$20,CURVA!$G$6:$G$20,#REF!)</f>
        <v>#VALUE!</v>
      </c>
    </row>
    <row r="1537" spans="1:5" x14ac:dyDescent="0.2">
      <c r="A1537" s="28">
        <v>1536</v>
      </c>
      <c r="B1537" s="28" t="e">
        <f>interpola(#REF!,CURVA!$B$6:$B$20,CURVA!$G$6:$G$20)</f>
        <v>#VALUE!</v>
      </c>
      <c r="C1537" s="29" t="e">
        <f t="shared" si="23"/>
        <v>#VALUE!</v>
      </c>
      <c r="E1537" t="e">
        <f>cubic_spline(CURVA!$B$6:$B$20,CURVA!$G$6:$G$20,#REF!)</f>
        <v>#VALUE!</v>
      </c>
    </row>
    <row r="1538" spans="1:5" x14ac:dyDescent="0.2">
      <c r="A1538" s="28">
        <v>1537</v>
      </c>
      <c r="B1538" s="28" t="e">
        <f>interpola(#REF!,CURVA!$B$6:$B$20,CURVA!$G$6:$G$20)</f>
        <v>#VALUE!</v>
      </c>
      <c r="C1538" s="29" t="e">
        <f t="shared" ref="C1538:C1601" si="24">(EXP(B1538*A1538/360)-1)*360/A1538</f>
        <v>#VALUE!</v>
      </c>
      <c r="E1538" t="e">
        <f>cubic_spline(CURVA!$B$6:$B$20,CURVA!$G$6:$G$20,#REF!)</f>
        <v>#VALUE!</v>
      </c>
    </row>
    <row r="1539" spans="1:5" x14ac:dyDescent="0.2">
      <c r="A1539" s="28">
        <v>1538</v>
      </c>
      <c r="B1539" s="28" t="e">
        <f>interpola(#REF!,CURVA!$B$6:$B$20,CURVA!$G$6:$G$20)</f>
        <v>#VALUE!</v>
      </c>
      <c r="C1539" s="29" t="e">
        <f t="shared" si="24"/>
        <v>#VALUE!</v>
      </c>
      <c r="E1539" t="e">
        <f>cubic_spline(CURVA!$B$6:$B$20,CURVA!$G$6:$G$20,#REF!)</f>
        <v>#VALUE!</v>
      </c>
    </row>
    <row r="1540" spans="1:5" x14ac:dyDescent="0.2">
      <c r="A1540" s="28">
        <v>1539</v>
      </c>
      <c r="B1540" s="28" t="e">
        <f>interpola(#REF!,CURVA!$B$6:$B$20,CURVA!$G$6:$G$20)</f>
        <v>#VALUE!</v>
      </c>
      <c r="C1540" s="29" t="e">
        <f t="shared" si="24"/>
        <v>#VALUE!</v>
      </c>
      <c r="E1540" t="e">
        <f>cubic_spline(CURVA!$B$6:$B$20,CURVA!$G$6:$G$20,#REF!)</f>
        <v>#VALUE!</v>
      </c>
    </row>
    <row r="1541" spans="1:5" x14ac:dyDescent="0.2">
      <c r="A1541" s="28">
        <v>1540</v>
      </c>
      <c r="B1541" s="28" t="e">
        <f>interpola(#REF!,CURVA!$B$6:$B$20,CURVA!$G$6:$G$20)</f>
        <v>#VALUE!</v>
      </c>
      <c r="C1541" s="29" t="e">
        <f t="shared" si="24"/>
        <v>#VALUE!</v>
      </c>
      <c r="E1541" t="e">
        <f>cubic_spline(CURVA!$B$6:$B$20,CURVA!$G$6:$G$20,#REF!)</f>
        <v>#VALUE!</v>
      </c>
    </row>
    <row r="1542" spans="1:5" x14ac:dyDescent="0.2">
      <c r="A1542" s="28">
        <v>1541</v>
      </c>
      <c r="B1542" s="28" t="e">
        <f>interpola(#REF!,CURVA!$B$6:$B$20,CURVA!$G$6:$G$20)</f>
        <v>#VALUE!</v>
      </c>
      <c r="C1542" s="29" t="e">
        <f t="shared" si="24"/>
        <v>#VALUE!</v>
      </c>
      <c r="E1542" t="e">
        <f>cubic_spline(CURVA!$B$6:$B$20,CURVA!$G$6:$G$20,#REF!)</f>
        <v>#VALUE!</v>
      </c>
    </row>
    <row r="1543" spans="1:5" x14ac:dyDescent="0.2">
      <c r="A1543" s="28">
        <v>1542</v>
      </c>
      <c r="B1543" s="28" t="e">
        <f>interpola(#REF!,CURVA!$B$6:$B$20,CURVA!$G$6:$G$20)</f>
        <v>#VALUE!</v>
      </c>
      <c r="C1543" s="29" t="e">
        <f t="shared" si="24"/>
        <v>#VALUE!</v>
      </c>
      <c r="E1543" t="e">
        <f>cubic_spline(CURVA!$B$6:$B$20,CURVA!$G$6:$G$20,#REF!)</f>
        <v>#VALUE!</v>
      </c>
    </row>
    <row r="1544" spans="1:5" x14ac:dyDescent="0.2">
      <c r="A1544" s="28">
        <v>1543</v>
      </c>
      <c r="B1544" s="28" t="e">
        <f>interpola(#REF!,CURVA!$B$6:$B$20,CURVA!$G$6:$G$20)</f>
        <v>#VALUE!</v>
      </c>
      <c r="C1544" s="29" t="e">
        <f t="shared" si="24"/>
        <v>#VALUE!</v>
      </c>
      <c r="E1544" t="e">
        <f>cubic_spline(CURVA!$B$6:$B$20,CURVA!$G$6:$G$20,#REF!)</f>
        <v>#VALUE!</v>
      </c>
    </row>
    <row r="1545" spans="1:5" x14ac:dyDescent="0.2">
      <c r="A1545" s="28">
        <v>1544</v>
      </c>
      <c r="B1545" s="28" t="e">
        <f>interpola(#REF!,CURVA!$B$6:$B$20,CURVA!$G$6:$G$20)</f>
        <v>#VALUE!</v>
      </c>
      <c r="C1545" s="29" t="e">
        <f t="shared" si="24"/>
        <v>#VALUE!</v>
      </c>
      <c r="E1545" t="e">
        <f>cubic_spline(CURVA!$B$6:$B$20,CURVA!$G$6:$G$20,#REF!)</f>
        <v>#VALUE!</v>
      </c>
    </row>
    <row r="1546" spans="1:5" x14ac:dyDescent="0.2">
      <c r="A1546" s="28">
        <v>1545</v>
      </c>
      <c r="B1546" s="28" t="e">
        <f>interpola(#REF!,CURVA!$B$6:$B$20,CURVA!$G$6:$G$20)</f>
        <v>#VALUE!</v>
      </c>
      <c r="C1546" s="29" t="e">
        <f t="shared" si="24"/>
        <v>#VALUE!</v>
      </c>
      <c r="E1546" t="e">
        <f>cubic_spline(CURVA!$B$6:$B$20,CURVA!$G$6:$G$20,#REF!)</f>
        <v>#VALUE!</v>
      </c>
    </row>
    <row r="1547" spans="1:5" x14ac:dyDescent="0.2">
      <c r="A1547" s="28">
        <v>1546</v>
      </c>
      <c r="B1547" s="28" t="e">
        <f>interpola(#REF!,CURVA!$B$6:$B$20,CURVA!$G$6:$G$20)</f>
        <v>#VALUE!</v>
      </c>
      <c r="C1547" s="29" t="e">
        <f t="shared" si="24"/>
        <v>#VALUE!</v>
      </c>
      <c r="E1547" t="e">
        <f>cubic_spline(CURVA!$B$6:$B$20,CURVA!$G$6:$G$20,#REF!)</f>
        <v>#VALUE!</v>
      </c>
    </row>
    <row r="1548" spans="1:5" x14ac:dyDescent="0.2">
      <c r="A1548" s="28">
        <v>1547</v>
      </c>
      <c r="B1548" s="28" t="e">
        <f>interpola(#REF!,CURVA!$B$6:$B$20,CURVA!$G$6:$G$20)</f>
        <v>#VALUE!</v>
      </c>
      <c r="C1548" s="29" t="e">
        <f t="shared" si="24"/>
        <v>#VALUE!</v>
      </c>
      <c r="E1548" t="e">
        <f>cubic_spline(CURVA!$B$6:$B$20,CURVA!$G$6:$G$20,#REF!)</f>
        <v>#VALUE!</v>
      </c>
    </row>
    <row r="1549" spans="1:5" x14ac:dyDescent="0.2">
      <c r="A1549" s="28">
        <v>1548</v>
      </c>
      <c r="B1549" s="28" t="e">
        <f>interpola(#REF!,CURVA!$B$6:$B$20,CURVA!$G$6:$G$20)</f>
        <v>#VALUE!</v>
      </c>
      <c r="C1549" s="29" t="e">
        <f t="shared" si="24"/>
        <v>#VALUE!</v>
      </c>
      <c r="E1549" t="e">
        <f>cubic_spline(CURVA!$B$6:$B$20,CURVA!$G$6:$G$20,#REF!)</f>
        <v>#VALUE!</v>
      </c>
    </row>
    <row r="1550" spans="1:5" x14ac:dyDescent="0.2">
      <c r="A1550" s="28">
        <v>1549</v>
      </c>
      <c r="B1550" s="28" t="e">
        <f>interpola(#REF!,CURVA!$B$6:$B$20,CURVA!$G$6:$G$20)</f>
        <v>#VALUE!</v>
      </c>
      <c r="C1550" s="29" t="e">
        <f t="shared" si="24"/>
        <v>#VALUE!</v>
      </c>
      <c r="E1550" t="e">
        <f>cubic_spline(CURVA!$B$6:$B$20,CURVA!$G$6:$G$20,#REF!)</f>
        <v>#VALUE!</v>
      </c>
    </row>
    <row r="1551" spans="1:5" x14ac:dyDescent="0.2">
      <c r="A1551" s="28">
        <v>1550</v>
      </c>
      <c r="B1551" s="28" t="e">
        <f>interpola(#REF!,CURVA!$B$6:$B$20,CURVA!$G$6:$G$20)</f>
        <v>#VALUE!</v>
      </c>
      <c r="C1551" s="29" t="e">
        <f t="shared" si="24"/>
        <v>#VALUE!</v>
      </c>
      <c r="E1551" t="e">
        <f>cubic_spline(CURVA!$B$6:$B$20,CURVA!$G$6:$G$20,#REF!)</f>
        <v>#VALUE!</v>
      </c>
    </row>
    <row r="1552" spans="1:5" x14ac:dyDescent="0.2">
      <c r="A1552" s="28">
        <v>1551</v>
      </c>
      <c r="B1552" s="28" t="e">
        <f>interpola(#REF!,CURVA!$B$6:$B$20,CURVA!$G$6:$G$20)</f>
        <v>#VALUE!</v>
      </c>
      <c r="C1552" s="29" t="e">
        <f t="shared" si="24"/>
        <v>#VALUE!</v>
      </c>
      <c r="E1552" t="e">
        <f>cubic_spline(CURVA!$B$6:$B$20,CURVA!$G$6:$G$20,#REF!)</f>
        <v>#VALUE!</v>
      </c>
    </row>
    <row r="1553" spans="1:5" x14ac:dyDescent="0.2">
      <c r="A1553" s="28">
        <v>1552</v>
      </c>
      <c r="B1553" s="28" t="e">
        <f>interpola(#REF!,CURVA!$B$6:$B$20,CURVA!$G$6:$G$20)</f>
        <v>#VALUE!</v>
      </c>
      <c r="C1553" s="29" t="e">
        <f t="shared" si="24"/>
        <v>#VALUE!</v>
      </c>
      <c r="E1553" t="e">
        <f>cubic_spline(CURVA!$B$6:$B$20,CURVA!$G$6:$G$20,#REF!)</f>
        <v>#VALUE!</v>
      </c>
    </row>
    <row r="1554" spans="1:5" x14ac:dyDescent="0.2">
      <c r="A1554" s="28">
        <v>1553</v>
      </c>
      <c r="B1554" s="28" t="e">
        <f>interpola(#REF!,CURVA!$B$6:$B$20,CURVA!$G$6:$G$20)</f>
        <v>#VALUE!</v>
      </c>
      <c r="C1554" s="29" t="e">
        <f t="shared" si="24"/>
        <v>#VALUE!</v>
      </c>
      <c r="E1554" t="e">
        <f>cubic_spline(CURVA!$B$6:$B$20,CURVA!$G$6:$G$20,#REF!)</f>
        <v>#VALUE!</v>
      </c>
    </row>
    <row r="1555" spans="1:5" x14ac:dyDescent="0.2">
      <c r="A1555" s="28">
        <v>1554</v>
      </c>
      <c r="B1555" s="28" t="e">
        <f>interpola(#REF!,CURVA!$B$6:$B$20,CURVA!$G$6:$G$20)</f>
        <v>#VALUE!</v>
      </c>
      <c r="C1555" s="29" t="e">
        <f t="shared" si="24"/>
        <v>#VALUE!</v>
      </c>
      <c r="E1555" t="e">
        <f>cubic_spline(CURVA!$B$6:$B$20,CURVA!$G$6:$G$20,#REF!)</f>
        <v>#VALUE!</v>
      </c>
    </row>
    <row r="1556" spans="1:5" x14ac:dyDescent="0.2">
      <c r="A1556" s="28">
        <v>1555</v>
      </c>
      <c r="B1556" s="28" t="e">
        <f>interpola(#REF!,CURVA!$B$6:$B$20,CURVA!$G$6:$G$20)</f>
        <v>#VALUE!</v>
      </c>
      <c r="C1556" s="29" t="e">
        <f t="shared" si="24"/>
        <v>#VALUE!</v>
      </c>
      <c r="E1556" t="e">
        <f>cubic_spline(CURVA!$B$6:$B$20,CURVA!$G$6:$G$20,#REF!)</f>
        <v>#VALUE!</v>
      </c>
    </row>
    <row r="1557" spans="1:5" x14ac:dyDescent="0.2">
      <c r="A1557" s="28">
        <v>1556</v>
      </c>
      <c r="B1557" s="28" t="e">
        <f>interpola(#REF!,CURVA!$B$6:$B$20,CURVA!$G$6:$G$20)</f>
        <v>#VALUE!</v>
      </c>
      <c r="C1557" s="29" t="e">
        <f t="shared" si="24"/>
        <v>#VALUE!</v>
      </c>
      <c r="E1557" t="e">
        <f>cubic_spline(CURVA!$B$6:$B$20,CURVA!$G$6:$G$20,#REF!)</f>
        <v>#VALUE!</v>
      </c>
    </row>
    <row r="1558" spans="1:5" x14ac:dyDescent="0.2">
      <c r="A1558" s="28">
        <v>1557</v>
      </c>
      <c r="B1558" s="28" t="e">
        <f>interpola(#REF!,CURVA!$B$6:$B$20,CURVA!$G$6:$G$20)</f>
        <v>#VALUE!</v>
      </c>
      <c r="C1558" s="29" t="e">
        <f t="shared" si="24"/>
        <v>#VALUE!</v>
      </c>
      <c r="E1558" t="e">
        <f>cubic_spline(CURVA!$B$6:$B$20,CURVA!$G$6:$G$20,#REF!)</f>
        <v>#VALUE!</v>
      </c>
    </row>
    <row r="1559" spans="1:5" x14ac:dyDescent="0.2">
      <c r="A1559" s="28">
        <v>1558</v>
      </c>
      <c r="B1559" s="28" t="e">
        <f>interpola(#REF!,CURVA!$B$6:$B$20,CURVA!$G$6:$G$20)</f>
        <v>#VALUE!</v>
      </c>
      <c r="C1559" s="29" t="e">
        <f t="shared" si="24"/>
        <v>#VALUE!</v>
      </c>
      <c r="E1559" t="e">
        <f>cubic_spline(CURVA!$B$6:$B$20,CURVA!$G$6:$G$20,#REF!)</f>
        <v>#VALUE!</v>
      </c>
    </row>
    <row r="1560" spans="1:5" x14ac:dyDescent="0.2">
      <c r="A1560" s="28">
        <v>1559</v>
      </c>
      <c r="B1560" s="28" t="e">
        <f>interpola(#REF!,CURVA!$B$6:$B$20,CURVA!$G$6:$G$20)</f>
        <v>#VALUE!</v>
      </c>
      <c r="C1560" s="29" t="e">
        <f t="shared" si="24"/>
        <v>#VALUE!</v>
      </c>
      <c r="E1560" t="e">
        <f>cubic_spline(CURVA!$B$6:$B$20,CURVA!$G$6:$G$20,#REF!)</f>
        <v>#VALUE!</v>
      </c>
    </row>
    <row r="1561" spans="1:5" x14ac:dyDescent="0.2">
      <c r="A1561" s="28">
        <v>1560</v>
      </c>
      <c r="B1561" s="28" t="e">
        <f>interpola(#REF!,CURVA!$B$6:$B$20,CURVA!$G$6:$G$20)</f>
        <v>#VALUE!</v>
      </c>
      <c r="C1561" s="29" t="e">
        <f t="shared" si="24"/>
        <v>#VALUE!</v>
      </c>
      <c r="E1561" t="e">
        <f>cubic_spline(CURVA!$B$6:$B$20,CURVA!$G$6:$G$20,#REF!)</f>
        <v>#VALUE!</v>
      </c>
    </row>
    <row r="1562" spans="1:5" x14ac:dyDescent="0.2">
      <c r="A1562" s="28">
        <v>1561</v>
      </c>
      <c r="B1562" s="28" t="e">
        <f>interpola(#REF!,CURVA!$B$6:$B$20,CURVA!$G$6:$G$20)</f>
        <v>#VALUE!</v>
      </c>
      <c r="C1562" s="29" t="e">
        <f t="shared" si="24"/>
        <v>#VALUE!</v>
      </c>
      <c r="E1562" t="e">
        <f>cubic_spline(CURVA!$B$6:$B$20,CURVA!$G$6:$G$20,#REF!)</f>
        <v>#VALUE!</v>
      </c>
    </row>
    <row r="1563" spans="1:5" x14ac:dyDescent="0.2">
      <c r="A1563" s="28">
        <v>1562</v>
      </c>
      <c r="B1563" s="28" t="e">
        <f>interpola(#REF!,CURVA!$B$6:$B$20,CURVA!$G$6:$G$20)</f>
        <v>#VALUE!</v>
      </c>
      <c r="C1563" s="29" t="e">
        <f t="shared" si="24"/>
        <v>#VALUE!</v>
      </c>
      <c r="E1563" t="e">
        <f>cubic_spline(CURVA!$B$6:$B$20,CURVA!$G$6:$G$20,#REF!)</f>
        <v>#VALUE!</v>
      </c>
    </row>
    <row r="1564" spans="1:5" x14ac:dyDescent="0.2">
      <c r="A1564" s="28">
        <v>1563</v>
      </c>
      <c r="B1564" s="28" t="e">
        <f>interpola(#REF!,CURVA!$B$6:$B$20,CURVA!$G$6:$G$20)</f>
        <v>#VALUE!</v>
      </c>
      <c r="C1564" s="29" t="e">
        <f t="shared" si="24"/>
        <v>#VALUE!</v>
      </c>
      <c r="E1564" t="e">
        <f>cubic_spline(CURVA!$B$6:$B$20,CURVA!$G$6:$G$20,#REF!)</f>
        <v>#VALUE!</v>
      </c>
    </row>
    <row r="1565" spans="1:5" x14ac:dyDescent="0.2">
      <c r="A1565" s="28">
        <v>1564</v>
      </c>
      <c r="B1565" s="28" t="e">
        <f>interpola(#REF!,CURVA!$B$6:$B$20,CURVA!$G$6:$G$20)</f>
        <v>#VALUE!</v>
      </c>
      <c r="C1565" s="29" t="e">
        <f t="shared" si="24"/>
        <v>#VALUE!</v>
      </c>
      <c r="E1565" t="e">
        <f>cubic_spline(CURVA!$B$6:$B$20,CURVA!$G$6:$G$20,#REF!)</f>
        <v>#VALUE!</v>
      </c>
    </row>
    <row r="1566" spans="1:5" x14ac:dyDescent="0.2">
      <c r="A1566" s="28">
        <v>1565</v>
      </c>
      <c r="B1566" s="28" t="e">
        <f>interpola(#REF!,CURVA!$B$6:$B$20,CURVA!$G$6:$G$20)</f>
        <v>#VALUE!</v>
      </c>
      <c r="C1566" s="29" t="e">
        <f t="shared" si="24"/>
        <v>#VALUE!</v>
      </c>
      <c r="E1566" t="e">
        <f>cubic_spline(CURVA!$B$6:$B$20,CURVA!$G$6:$G$20,#REF!)</f>
        <v>#VALUE!</v>
      </c>
    </row>
    <row r="1567" spans="1:5" x14ac:dyDescent="0.2">
      <c r="A1567" s="28">
        <v>1566</v>
      </c>
      <c r="B1567" s="28" t="e">
        <f>interpola(#REF!,CURVA!$B$6:$B$20,CURVA!$G$6:$G$20)</f>
        <v>#VALUE!</v>
      </c>
      <c r="C1567" s="29" t="e">
        <f t="shared" si="24"/>
        <v>#VALUE!</v>
      </c>
      <c r="E1567" t="e">
        <f>cubic_spline(CURVA!$B$6:$B$20,CURVA!$G$6:$G$20,#REF!)</f>
        <v>#VALUE!</v>
      </c>
    </row>
    <row r="1568" spans="1:5" x14ac:dyDescent="0.2">
      <c r="A1568" s="28">
        <v>1567</v>
      </c>
      <c r="B1568" s="28" t="e">
        <f>interpola(#REF!,CURVA!$B$6:$B$20,CURVA!$G$6:$G$20)</f>
        <v>#VALUE!</v>
      </c>
      <c r="C1568" s="29" t="e">
        <f t="shared" si="24"/>
        <v>#VALUE!</v>
      </c>
      <c r="E1568" t="e">
        <f>cubic_spline(CURVA!$B$6:$B$20,CURVA!$G$6:$G$20,#REF!)</f>
        <v>#VALUE!</v>
      </c>
    </row>
    <row r="1569" spans="1:5" x14ac:dyDescent="0.2">
      <c r="A1569" s="28">
        <v>1568</v>
      </c>
      <c r="B1569" s="28" t="e">
        <f>interpola(#REF!,CURVA!$B$6:$B$20,CURVA!$G$6:$G$20)</f>
        <v>#VALUE!</v>
      </c>
      <c r="C1569" s="29" t="e">
        <f t="shared" si="24"/>
        <v>#VALUE!</v>
      </c>
      <c r="E1569" t="e">
        <f>cubic_spline(CURVA!$B$6:$B$20,CURVA!$G$6:$G$20,#REF!)</f>
        <v>#VALUE!</v>
      </c>
    </row>
    <row r="1570" spans="1:5" x14ac:dyDescent="0.2">
      <c r="A1570" s="28">
        <v>1569</v>
      </c>
      <c r="B1570" s="28" t="e">
        <f>interpola(#REF!,CURVA!$B$6:$B$20,CURVA!$G$6:$G$20)</f>
        <v>#VALUE!</v>
      </c>
      <c r="C1570" s="29" t="e">
        <f t="shared" si="24"/>
        <v>#VALUE!</v>
      </c>
      <c r="E1570" t="e">
        <f>cubic_spline(CURVA!$B$6:$B$20,CURVA!$G$6:$G$20,#REF!)</f>
        <v>#VALUE!</v>
      </c>
    </row>
    <row r="1571" spans="1:5" x14ac:dyDescent="0.2">
      <c r="A1571" s="28">
        <v>1570</v>
      </c>
      <c r="B1571" s="28" t="e">
        <f>interpola(#REF!,CURVA!$B$6:$B$20,CURVA!$G$6:$G$20)</f>
        <v>#VALUE!</v>
      </c>
      <c r="C1571" s="29" t="e">
        <f t="shared" si="24"/>
        <v>#VALUE!</v>
      </c>
      <c r="E1571" t="e">
        <f>cubic_spline(CURVA!$B$6:$B$20,CURVA!$G$6:$G$20,#REF!)</f>
        <v>#VALUE!</v>
      </c>
    </row>
    <row r="1572" spans="1:5" x14ac:dyDescent="0.2">
      <c r="A1572" s="28">
        <v>1571</v>
      </c>
      <c r="B1572" s="28" t="e">
        <f>interpola(#REF!,CURVA!$B$6:$B$20,CURVA!$G$6:$G$20)</f>
        <v>#VALUE!</v>
      </c>
      <c r="C1572" s="29" t="e">
        <f t="shared" si="24"/>
        <v>#VALUE!</v>
      </c>
      <c r="E1572" t="e">
        <f>cubic_spline(CURVA!$B$6:$B$20,CURVA!$G$6:$G$20,#REF!)</f>
        <v>#VALUE!</v>
      </c>
    </row>
    <row r="1573" spans="1:5" x14ac:dyDescent="0.2">
      <c r="A1573" s="28">
        <v>1572</v>
      </c>
      <c r="B1573" s="28" t="e">
        <f>interpola(#REF!,CURVA!$B$6:$B$20,CURVA!$G$6:$G$20)</f>
        <v>#VALUE!</v>
      </c>
      <c r="C1573" s="29" t="e">
        <f t="shared" si="24"/>
        <v>#VALUE!</v>
      </c>
      <c r="E1573" t="e">
        <f>cubic_spline(CURVA!$B$6:$B$20,CURVA!$G$6:$G$20,#REF!)</f>
        <v>#VALUE!</v>
      </c>
    </row>
    <row r="1574" spans="1:5" x14ac:dyDescent="0.2">
      <c r="A1574" s="28">
        <v>1573</v>
      </c>
      <c r="B1574" s="28" t="e">
        <f>interpola(#REF!,CURVA!$B$6:$B$20,CURVA!$G$6:$G$20)</f>
        <v>#VALUE!</v>
      </c>
      <c r="C1574" s="29" t="e">
        <f t="shared" si="24"/>
        <v>#VALUE!</v>
      </c>
      <c r="E1574" t="e">
        <f>cubic_spline(CURVA!$B$6:$B$20,CURVA!$G$6:$G$20,#REF!)</f>
        <v>#VALUE!</v>
      </c>
    </row>
    <row r="1575" spans="1:5" x14ac:dyDescent="0.2">
      <c r="A1575" s="28">
        <v>1574</v>
      </c>
      <c r="B1575" s="28" t="e">
        <f>interpola(#REF!,CURVA!$B$6:$B$20,CURVA!$G$6:$G$20)</f>
        <v>#VALUE!</v>
      </c>
      <c r="C1575" s="29" t="e">
        <f t="shared" si="24"/>
        <v>#VALUE!</v>
      </c>
      <c r="E1575" t="e">
        <f>cubic_spline(CURVA!$B$6:$B$20,CURVA!$G$6:$G$20,#REF!)</f>
        <v>#VALUE!</v>
      </c>
    </row>
    <row r="1576" spans="1:5" x14ac:dyDescent="0.2">
      <c r="A1576" s="28">
        <v>1575</v>
      </c>
      <c r="B1576" s="28" t="e">
        <f>interpola(#REF!,CURVA!$B$6:$B$20,CURVA!$G$6:$G$20)</f>
        <v>#VALUE!</v>
      </c>
      <c r="C1576" s="29" t="e">
        <f t="shared" si="24"/>
        <v>#VALUE!</v>
      </c>
      <c r="E1576" t="e">
        <f>cubic_spline(CURVA!$B$6:$B$20,CURVA!$G$6:$G$20,#REF!)</f>
        <v>#VALUE!</v>
      </c>
    </row>
    <row r="1577" spans="1:5" x14ac:dyDescent="0.2">
      <c r="A1577" s="28">
        <v>1576</v>
      </c>
      <c r="B1577" s="28" t="e">
        <f>interpola(#REF!,CURVA!$B$6:$B$20,CURVA!$G$6:$G$20)</f>
        <v>#VALUE!</v>
      </c>
      <c r="C1577" s="29" t="e">
        <f t="shared" si="24"/>
        <v>#VALUE!</v>
      </c>
      <c r="E1577" t="e">
        <f>cubic_spline(CURVA!$B$6:$B$20,CURVA!$G$6:$G$20,#REF!)</f>
        <v>#VALUE!</v>
      </c>
    </row>
    <row r="1578" spans="1:5" x14ac:dyDescent="0.2">
      <c r="A1578" s="28">
        <v>1577</v>
      </c>
      <c r="B1578" s="28" t="e">
        <f>interpola(#REF!,CURVA!$B$6:$B$20,CURVA!$G$6:$G$20)</f>
        <v>#VALUE!</v>
      </c>
      <c r="C1578" s="29" t="e">
        <f t="shared" si="24"/>
        <v>#VALUE!</v>
      </c>
      <c r="E1578" t="e">
        <f>cubic_spline(CURVA!$B$6:$B$20,CURVA!$G$6:$G$20,#REF!)</f>
        <v>#VALUE!</v>
      </c>
    </row>
    <row r="1579" spans="1:5" x14ac:dyDescent="0.2">
      <c r="A1579" s="28">
        <v>1578</v>
      </c>
      <c r="B1579" s="28" t="e">
        <f>interpola(#REF!,CURVA!$B$6:$B$20,CURVA!$G$6:$G$20)</f>
        <v>#VALUE!</v>
      </c>
      <c r="C1579" s="29" t="e">
        <f t="shared" si="24"/>
        <v>#VALUE!</v>
      </c>
      <c r="E1579" t="e">
        <f>cubic_spline(CURVA!$B$6:$B$20,CURVA!$G$6:$G$20,#REF!)</f>
        <v>#VALUE!</v>
      </c>
    </row>
    <row r="1580" spans="1:5" x14ac:dyDescent="0.2">
      <c r="A1580" s="28">
        <v>1579</v>
      </c>
      <c r="B1580" s="28" t="e">
        <f>interpola(#REF!,CURVA!$B$6:$B$20,CURVA!$G$6:$G$20)</f>
        <v>#VALUE!</v>
      </c>
      <c r="C1580" s="29" t="e">
        <f t="shared" si="24"/>
        <v>#VALUE!</v>
      </c>
      <c r="E1580" t="e">
        <f>cubic_spline(CURVA!$B$6:$B$20,CURVA!$G$6:$G$20,#REF!)</f>
        <v>#VALUE!</v>
      </c>
    </row>
    <row r="1581" spans="1:5" x14ac:dyDescent="0.2">
      <c r="A1581" s="28">
        <v>1580</v>
      </c>
      <c r="B1581" s="28" t="e">
        <f>interpola(#REF!,CURVA!$B$6:$B$20,CURVA!$G$6:$G$20)</f>
        <v>#VALUE!</v>
      </c>
      <c r="C1581" s="29" t="e">
        <f t="shared" si="24"/>
        <v>#VALUE!</v>
      </c>
      <c r="E1581" t="e">
        <f>cubic_spline(CURVA!$B$6:$B$20,CURVA!$G$6:$G$20,#REF!)</f>
        <v>#VALUE!</v>
      </c>
    </row>
    <row r="1582" spans="1:5" x14ac:dyDescent="0.2">
      <c r="A1582" s="28">
        <v>1581</v>
      </c>
      <c r="B1582" s="28" t="e">
        <f>interpola(#REF!,CURVA!$B$6:$B$20,CURVA!$G$6:$G$20)</f>
        <v>#VALUE!</v>
      </c>
      <c r="C1582" s="29" t="e">
        <f t="shared" si="24"/>
        <v>#VALUE!</v>
      </c>
      <c r="E1582" t="e">
        <f>cubic_spline(CURVA!$B$6:$B$20,CURVA!$G$6:$G$20,#REF!)</f>
        <v>#VALUE!</v>
      </c>
    </row>
    <row r="1583" spans="1:5" x14ac:dyDescent="0.2">
      <c r="A1583" s="28">
        <v>1582</v>
      </c>
      <c r="B1583" s="28" t="e">
        <f>interpola(#REF!,CURVA!$B$6:$B$20,CURVA!$G$6:$G$20)</f>
        <v>#VALUE!</v>
      </c>
      <c r="C1583" s="29" t="e">
        <f t="shared" si="24"/>
        <v>#VALUE!</v>
      </c>
      <c r="E1583" t="e">
        <f>cubic_spline(CURVA!$B$6:$B$20,CURVA!$G$6:$G$20,#REF!)</f>
        <v>#VALUE!</v>
      </c>
    </row>
    <row r="1584" spans="1:5" x14ac:dyDescent="0.2">
      <c r="A1584" s="28">
        <v>1583</v>
      </c>
      <c r="B1584" s="28" t="e">
        <f>interpola(#REF!,CURVA!$B$6:$B$20,CURVA!$G$6:$G$20)</f>
        <v>#VALUE!</v>
      </c>
      <c r="C1584" s="29" t="e">
        <f t="shared" si="24"/>
        <v>#VALUE!</v>
      </c>
      <c r="E1584" t="e">
        <f>cubic_spline(CURVA!$B$6:$B$20,CURVA!$G$6:$G$20,#REF!)</f>
        <v>#VALUE!</v>
      </c>
    </row>
    <row r="1585" spans="1:5" x14ac:dyDescent="0.2">
      <c r="A1585" s="28">
        <v>1584</v>
      </c>
      <c r="B1585" s="28" t="e">
        <f>interpola(#REF!,CURVA!$B$6:$B$20,CURVA!$G$6:$G$20)</f>
        <v>#VALUE!</v>
      </c>
      <c r="C1585" s="29" t="e">
        <f t="shared" si="24"/>
        <v>#VALUE!</v>
      </c>
      <c r="E1585" t="e">
        <f>cubic_spline(CURVA!$B$6:$B$20,CURVA!$G$6:$G$20,#REF!)</f>
        <v>#VALUE!</v>
      </c>
    </row>
    <row r="1586" spans="1:5" x14ac:dyDescent="0.2">
      <c r="A1586" s="28">
        <v>1585</v>
      </c>
      <c r="B1586" s="28" t="e">
        <f>interpola(#REF!,CURVA!$B$6:$B$20,CURVA!$G$6:$G$20)</f>
        <v>#VALUE!</v>
      </c>
      <c r="C1586" s="29" t="e">
        <f t="shared" si="24"/>
        <v>#VALUE!</v>
      </c>
      <c r="E1586" t="e">
        <f>cubic_spline(CURVA!$B$6:$B$20,CURVA!$G$6:$G$20,#REF!)</f>
        <v>#VALUE!</v>
      </c>
    </row>
    <row r="1587" spans="1:5" x14ac:dyDescent="0.2">
      <c r="A1587" s="28">
        <v>1586</v>
      </c>
      <c r="B1587" s="28" t="e">
        <f>interpola(#REF!,CURVA!$B$6:$B$20,CURVA!$G$6:$G$20)</f>
        <v>#VALUE!</v>
      </c>
      <c r="C1587" s="29" t="e">
        <f t="shared" si="24"/>
        <v>#VALUE!</v>
      </c>
      <c r="E1587" t="e">
        <f>cubic_spline(CURVA!$B$6:$B$20,CURVA!$G$6:$G$20,#REF!)</f>
        <v>#VALUE!</v>
      </c>
    </row>
    <row r="1588" spans="1:5" x14ac:dyDescent="0.2">
      <c r="A1588" s="28">
        <v>1587</v>
      </c>
      <c r="B1588" s="28" t="e">
        <f>interpola(#REF!,CURVA!$B$6:$B$20,CURVA!$G$6:$G$20)</f>
        <v>#VALUE!</v>
      </c>
      <c r="C1588" s="29" t="e">
        <f t="shared" si="24"/>
        <v>#VALUE!</v>
      </c>
      <c r="E1588" t="e">
        <f>cubic_spline(CURVA!$B$6:$B$20,CURVA!$G$6:$G$20,#REF!)</f>
        <v>#VALUE!</v>
      </c>
    </row>
    <row r="1589" spans="1:5" x14ac:dyDescent="0.2">
      <c r="A1589" s="28">
        <v>1588</v>
      </c>
      <c r="B1589" s="28" t="e">
        <f>interpola(#REF!,CURVA!$B$6:$B$20,CURVA!$G$6:$G$20)</f>
        <v>#VALUE!</v>
      </c>
      <c r="C1589" s="29" t="e">
        <f t="shared" si="24"/>
        <v>#VALUE!</v>
      </c>
      <c r="E1589" t="e">
        <f>cubic_spline(CURVA!$B$6:$B$20,CURVA!$G$6:$G$20,#REF!)</f>
        <v>#VALUE!</v>
      </c>
    </row>
    <row r="1590" spans="1:5" x14ac:dyDescent="0.2">
      <c r="A1590" s="28">
        <v>1589</v>
      </c>
      <c r="B1590" s="28" t="e">
        <f>interpola(#REF!,CURVA!$B$6:$B$20,CURVA!$G$6:$G$20)</f>
        <v>#VALUE!</v>
      </c>
      <c r="C1590" s="29" t="e">
        <f t="shared" si="24"/>
        <v>#VALUE!</v>
      </c>
      <c r="E1590" t="e">
        <f>cubic_spline(CURVA!$B$6:$B$20,CURVA!$G$6:$G$20,#REF!)</f>
        <v>#VALUE!</v>
      </c>
    </row>
    <row r="1591" spans="1:5" x14ac:dyDescent="0.2">
      <c r="A1591" s="28">
        <v>1590</v>
      </c>
      <c r="B1591" s="28" t="e">
        <f>interpola(#REF!,CURVA!$B$6:$B$20,CURVA!$G$6:$G$20)</f>
        <v>#VALUE!</v>
      </c>
      <c r="C1591" s="29" t="e">
        <f t="shared" si="24"/>
        <v>#VALUE!</v>
      </c>
      <c r="E1591" t="e">
        <f>cubic_spline(CURVA!$B$6:$B$20,CURVA!$G$6:$G$20,#REF!)</f>
        <v>#VALUE!</v>
      </c>
    </row>
    <row r="1592" spans="1:5" x14ac:dyDescent="0.2">
      <c r="A1592" s="28">
        <v>1591</v>
      </c>
      <c r="B1592" s="28" t="e">
        <f>interpola(#REF!,CURVA!$B$6:$B$20,CURVA!$G$6:$G$20)</f>
        <v>#VALUE!</v>
      </c>
      <c r="C1592" s="29" t="e">
        <f t="shared" si="24"/>
        <v>#VALUE!</v>
      </c>
      <c r="E1592" t="e">
        <f>cubic_spline(CURVA!$B$6:$B$20,CURVA!$G$6:$G$20,#REF!)</f>
        <v>#VALUE!</v>
      </c>
    </row>
    <row r="1593" spans="1:5" x14ac:dyDescent="0.2">
      <c r="A1593" s="28">
        <v>1592</v>
      </c>
      <c r="B1593" s="28" t="e">
        <f>interpola(#REF!,CURVA!$B$6:$B$20,CURVA!$G$6:$G$20)</f>
        <v>#VALUE!</v>
      </c>
      <c r="C1593" s="29" t="e">
        <f t="shared" si="24"/>
        <v>#VALUE!</v>
      </c>
      <c r="E1593" t="e">
        <f>cubic_spline(CURVA!$B$6:$B$20,CURVA!$G$6:$G$20,#REF!)</f>
        <v>#VALUE!</v>
      </c>
    </row>
    <row r="1594" spans="1:5" x14ac:dyDescent="0.2">
      <c r="A1594" s="28">
        <v>1593</v>
      </c>
      <c r="B1594" s="28" t="e">
        <f>interpola(#REF!,CURVA!$B$6:$B$20,CURVA!$G$6:$G$20)</f>
        <v>#VALUE!</v>
      </c>
      <c r="C1594" s="29" t="e">
        <f t="shared" si="24"/>
        <v>#VALUE!</v>
      </c>
      <c r="E1594" t="e">
        <f>cubic_spline(CURVA!$B$6:$B$20,CURVA!$G$6:$G$20,#REF!)</f>
        <v>#VALUE!</v>
      </c>
    </row>
    <row r="1595" spans="1:5" x14ac:dyDescent="0.2">
      <c r="A1595" s="28">
        <v>1594</v>
      </c>
      <c r="B1595" s="28" t="e">
        <f>interpola(#REF!,CURVA!$B$6:$B$20,CURVA!$G$6:$G$20)</f>
        <v>#VALUE!</v>
      </c>
      <c r="C1595" s="29" t="e">
        <f t="shared" si="24"/>
        <v>#VALUE!</v>
      </c>
      <c r="E1595" t="e">
        <f>cubic_spline(CURVA!$B$6:$B$20,CURVA!$G$6:$G$20,#REF!)</f>
        <v>#VALUE!</v>
      </c>
    </row>
    <row r="1596" spans="1:5" x14ac:dyDescent="0.2">
      <c r="A1596" s="28">
        <v>1595</v>
      </c>
      <c r="B1596" s="28" t="e">
        <f>interpola(#REF!,CURVA!$B$6:$B$20,CURVA!$G$6:$G$20)</f>
        <v>#VALUE!</v>
      </c>
      <c r="C1596" s="29" t="e">
        <f t="shared" si="24"/>
        <v>#VALUE!</v>
      </c>
      <c r="E1596" t="e">
        <f>cubic_spline(CURVA!$B$6:$B$20,CURVA!$G$6:$G$20,#REF!)</f>
        <v>#VALUE!</v>
      </c>
    </row>
    <row r="1597" spans="1:5" x14ac:dyDescent="0.2">
      <c r="A1597" s="28">
        <v>1596</v>
      </c>
      <c r="B1597" s="28" t="e">
        <f>interpola(#REF!,CURVA!$B$6:$B$20,CURVA!$G$6:$G$20)</f>
        <v>#VALUE!</v>
      </c>
      <c r="C1597" s="29" t="e">
        <f t="shared" si="24"/>
        <v>#VALUE!</v>
      </c>
      <c r="E1597" t="e">
        <f>cubic_spline(CURVA!$B$6:$B$20,CURVA!$G$6:$G$20,#REF!)</f>
        <v>#VALUE!</v>
      </c>
    </row>
    <row r="1598" spans="1:5" x14ac:dyDescent="0.2">
      <c r="A1598" s="28">
        <v>1597</v>
      </c>
      <c r="B1598" s="28" t="e">
        <f>interpola(#REF!,CURVA!$B$6:$B$20,CURVA!$G$6:$G$20)</f>
        <v>#VALUE!</v>
      </c>
      <c r="C1598" s="29" t="e">
        <f t="shared" si="24"/>
        <v>#VALUE!</v>
      </c>
      <c r="E1598" t="e">
        <f>cubic_spline(CURVA!$B$6:$B$20,CURVA!$G$6:$G$20,#REF!)</f>
        <v>#VALUE!</v>
      </c>
    </row>
    <row r="1599" spans="1:5" x14ac:dyDescent="0.2">
      <c r="A1599" s="28">
        <v>1598</v>
      </c>
      <c r="B1599" s="28" t="e">
        <f>interpola(#REF!,CURVA!$B$6:$B$20,CURVA!$G$6:$G$20)</f>
        <v>#VALUE!</v>
      </c>
      <c r="C1599" s="29" t="e">
        <f t="shared" si="24"/>
        <v>#VALUE!</v>
      </c>
      <c r="E1599" t="e">
        <f>cubic_spline(CURVA!$B$6:$B$20,CURVA!$G$6:$G$20,#REF!)</f>
        <v>#VALUE!</v>
      </c>
    </row>
    <row r="1600" spans="1:5" x14ac:dyDescent="0.2">
      <c r="A1600" s="28">
        <v>1599</v>
      </c>
      <c r="B1600" s="28" t="e">
        <f>interpola(#REF!,CURVA!$B$6:$B$20,CURVA!$G$6:$G$20)</f>
        <v>#VALUE!</v>
      </c>
      <c r="C1600" s="29" t="e">
        <f t="shared" si="24"/>
        <v>#VALUE!</v>
      </c>
      <c r="E1600" t="e">
        <f>cubic_spline(CURVA!$B$6:$B$20,CURVA!$G$6:$G$20,#REF!)</f>
        <v>#VALUE!</v>
      </c>
    </row>
    <row r="1601" spans="1:5" x14ac:dyDescent="0.2">
      <c r="A1601" s="28">
        <v>1600</v>
      </c>
      <c r="B1601" s="28" t="e">
        <f>interpola(#REF!,CURVA!$B$6:$B$20,CURVA!$G$6:$G$20)</f>
        <v>#VALUE!</v>
      </c>
      <c r="C1601" s="29" t="e">
        <f t="shared" si="24"/>
        <v>#VALUE!</v>
      </c>
      <c r="E1601" t="e">
        <f>cubic_spline(CURVA!$B$6:$B$20,CURVA!$G$6:$G$20,#REF!)</f>
        <v>#VALUE!</v>
      </c>
    </row>
    <row r="1602" spans="1:5" x14ac:dyDescent="0.2">
      <c r="A1602" s="28">
        <v>1601</v>
      </c>
      <c r="B1602" s="28" t="e">
        <f>interpola(#REF!,CURVA!$B$6:$B$20,CURVA!$G$6:$G$20)</f>
        <v>#VALUE!</v>
      </c>
      <c r="C1602" s="29" t="e">
        <f t="shared" ref="C1602:C1665" si="25">(EXP(B1602*A1602/360)-1)*360/A1602</f>
        <v>#VALUE!</v>
      </c>
      <c r="E1602" t="e">
        <f>cubic_spline(CURVA!$B$6:$B$20,CURVA!$G$6:$G$20,#REF!)</f>
        <v>#VALUE!</v>
      </c>
    </row>
    <row r="1603" spans="1:5" x14ac:dyDescent="0.2">
      <c r="A1603" s="28">
        <v>1602</v>
      </c>
      <c r="B1603" s="28" t="e">
        <f>interpola(#REF!,CURVA!$B$6:$B$20,CURVA!$G$6:$G$20)</f>
        <v>#VALUE!</v>
      </c>
      <c r="C1603" s="29" t="e">
        <f t="shared" si="25"/>
        <v>#VALUE!</v>
      </c>
      <c r="E1603" t="e">
        <f>cubic_spline(CURVA!$B$6:$B$20,CURVA!$G$6:$G$20,#REF!)</f>
        <v>#VALUE!</v>
      </c>
    </row>
    <row r="1604" spans="1:5" x14ac:dyDescent="0.2">
      <c r="A1604" s="28">
        <v>1603</v>
      </c>
      <c r="B1604" s="28" t="e">
        <f>interpola(#REF!,CURVA!$B$6:$B$20,CURVA!$G$6:$G$20)</f>
        <v>#VALUE!</v>
      </c>
      <c r="C1604" s="29" t="e">
        <f t="shared" si="25"/>
        <v>#VALUE!</v>
      </c>
      <c r="E1604" t="e">
        <f>cubic_spline(CURVA!$B$6:$B$20,CURVA!$G$6:$G$20,#REF!)</f>
        <v>#VALUE!</v>
      </c>
    </row>
    <row r="1605" spans="1:5" x14ac:dyDescent="0.2">
      <c r="A1605" s="28">
        <v>1604</v>
      </c>
      <c r="B1605" s="28" t="e">
        <f>interpola(#REF!,CURVA!$B$6:$B$20,CURVA!$G$6:$G$20)</f>
        <v>#VALUE!</v>
      </c>
      <c r="C1605" s="29" t="e">
        <f t="shared" si="25"/>
        <v>#VALUE!</v>
      </c>
      <c r="E1605" t="e">
        <f>cubic_spline(CURVA!$B$6:$B$20,CURVA!$G$6:$G$20,#REF!)</f>
        <v>#VALUE!</v>
      </c>
    </row>
    <row r="1606" spans="1:5" x14ac:dyDescent="0.2">
      <c r="A1606" s="28">
        <v>1605</v>
      </c>
      <c r="B1606" s="28" t="e">
        <f>interpola(#REF!,CURVA!$B$6:$B$20,CURVA!$G$6:$G$20)</f>
        <v>#VALUE!</v>
      </c>
      <c r="C1606" s="29" t="e">
        <f t="shared" si="25"/>
        <v>#VALUE!</v>
      </c>
      <c r="E1606" t="e">
        <f>cubic_spline(CURVA!$B$6:$B$20,CURVA!$G$6:$G$20,#REF!)</f>
        <v>#VALUE!</v>
      </c>
    </row>
    <row r="1607" spans="1:5" x14ac:dyDescent="0.2">
      <c r="A1607" s="28">
        <v>1606</v>
      </c>
      <c r="B1607" s="28" t="e">
        <f>interpola(#REF!,CURVA!$B$6:$B$20,CURVA!$G$6:$G$20)</f>
        <v>#VALUE!</v>
      </c>
      <c r="C1607" s="29" t="e">
        <f t="shared" si="25"/>
        <v>#VALUE!</v>
      </c>
      <c r="E1607" t="e">
        <f>cubic_spline(CURVA!$B$6:$B$20,CURVA!$G$6:$G$20,#REF!)</f>
        <v>#VALUE!</v>
      </c>
    </row>
    <row r="1608" spans="1:5" x14ac:dyDescent="0.2">
      <c r="A1608" s="28">
        <v>1607</v>
      </c>
      <c r="B1608" s="28" t="e">
        <f>interpola(#REF!,CURVA!$B$6:$B$20,CURVA!$G$6:$G$20)</f>
        <v>#VALUE!</v>
      </c>
      <c r="C1608" s="29" t="e">
        <f t="shared" si="25"/>
        <v>#VALUE!</v>
      </c>
      <c r="E1608" t="e">
        <f>cubic_spline(CURVA!$B$6:$B$20,CURVA!$G$6:$G$20,#REF!)</f>
        <v>#VALUE!</v>
      </c>
    </row>
    <row r="1609" spans="1:5" x14ac:dyDescent="0.2">
      <c r="A1609" s="28">
        <v>1608</v>
      </c>
      <c r="B1609" s="28" t="e">
        <f>interpola(#REF!,CURVA!$B$6:$B$20,CURVA!$G$6:$G$20)</f>
        <v>#VALUE!</v>
      </c>
      <c r="C1609" s="29" t="e">
        <f t="shared" si="25"/>
        <v>#VALUE!</v>
      </c>
      <c r="E1609" t="e">
        <f>cubic_spline(CURVA!$B$6:$B$20,CURVA!$G$6:$G$20,#REF!)</f>
        <v>#VALUE!</v>
      </c>
    </row>
    <row r="1610" spans="1:5" x14ac:dyDescent="0.2">
      <c r="A1610" s="28">
        <v>1609</v>
      </c>
      <c r="B1610" s="28" t="e">
        <f>interpola(#REF!,CURVA!$B$6:$B$20,CURVA!$G$6:$G$20)</f>
        <v>#VALUE!</v>
      </c>
      <c r="C1610" s="29" t="e">
        <f t="shared" si="25"/>
        <v>#VALUE!</v>
      </c>
      <c r="E1610" t="e">
        <f>cubic_spline(CURVA!$B$6:$B$20,CURVA!$G$6:$G$20,#REF!)</f>
        <v>#VALUE!</v>
      </c>
    </row>
    <row r="1611" spans="1:5" x14ac:dyDescent="0.2">
      <c r="A1611" s="28">
        <v>1610</v>
      </c>
      <c r="B1611" s="28" t="e">
        <f>interpola(#REF!,CURVA!$B$6:$B$20,CURVA!$G$6:$G$20)</f>
        <v>#VALUE!</v>
      </c>
      <c r="C1611" s="29" t="e">
        <f t="shared" si="25"/>
        <v>#VALUE!</v>
      </c>
      <c r="E1611" t="e">
        <f>cubic_spline(CURVA!$B$6:$B$20,CURVA!$G$6:$G$20,#REF!)</f>
        <v>#VALUE!</v>
      </c>
    </row>
    <row r="1612" spans="1:5" x14ac:dyDescent="0.2">
      <c r="A1612" s="28">
        <v>1611</v>
      </c>
      <c r="B1612" s="28" t="e">
        <f>interpola(#REF!,CURVA!$B$6:$B$20,CURVA!$G$6:$G$20)</f>
        <v>#VALUE!</v>
      </c>
      <c r="C1612" s="29" t="e">
        <f t="shared" si="25"/>
        <v>#VALUE!</v>
      </c>
      <c r="E1612" t="e">
        <f>cubic_spline(CURVA!$B$6:$B$20,CURVA!$G$6:$G$20,#REF!)</f>
        <v>#VALUE!</v>
      </c>
    </row>
    <row r="1613" spans="1:5" x14ac:dyDescent="0.2">
      <c r="A1613" s="28">
        <v>1612</v>
      </c>
      <c r="B1613" s="28" t="e">
        <f>interpola(#REF!,CURVA!$B$6:$B$20,CURVA!$G$6:$G$20)</f>
        <v>#VALUE!</v>
      </c>
      <c r="C1613" s="29" t="e">
        <f t="shared" si="25"/>
        <v>#VALUE!</v>
      </c>
      <c r="E1613" t="e">
        <f>cubic_spline(CURVA!$B$6:$B$20,CURVA!$G$6:$G$20,#REF!)</f>
        <v>#VALUE!</v>
      </c>
    </row>
    <row r="1614" spans="1:5" x14ac:dyDescent="0.2">
      <c r="A1614" s="28">
        <v>1613</v>
      </c>
      <c r="B1614" s="28" t="e">
        <f>interpola(#REF!,CURVA!$B$6:$B$20,CURVA!$G$6:$G$20)</f>
        <v>#VALUE!</v>
      </c>
      <c r="C1614" s="29" t="e">
        <f t="shared" si="25"/>
        <v>#VALUE!</v>
      </c>
      <c r="E1614" t="e">
        <f>cubic_spline(CURVA!$B$6:$B$20,CURVA!$G$6:$G$20,#REF!)</f>
        <v>#VALUE!</v>
      </c>
    </row>
    <row r="1615" spans="1:5" x14ac:dyDescent="0.2">
      <c r="A1615" s="28">
        <v>1614</v>
      </c>
      <c r="B1615" s="28" t="e">
        <f>interpola(#REF!,CURVA!$B$6:$B$20,CURVA!$G$6:$G$20)</f>
        <v>#VALUE!</v>
      </c>
      <c r="C1615" s="29" t="e">
        <f t="shared" si="25"/>
        <v>#VALUE!</v>
      </c>
      <c r="E1615" t="e">
        <f>cubic_spline(CURVA!$B$6:$B$20,CURVA!$G$6:$G$20,#REF!)</f>
        <v>#VALUE!</v>
      </c>
    </row>
    <row r="1616" spans="1:5" x14ac:dyDescent="0.2">
      <c r="A1616" s="28">
        <v>1615</v>
      </c>
      <c r="B1616" s="28" t="e">
        <f>interpola(#REF!,CURVA!$B$6:$B$20,CURVA!$G$6:$G$20)</f>
        <v>#VALUE!</v>
      </c>
      <c r="C1616" s="29" t="e">
        <f t="shared" si="25"/>
        <v>#VALUE!</v>
      </c>
      <c r="E1616" t="e">
        <f>cubic_spline(CURVA!$B$6:$B$20,CURVA!$G$6:$G$20,#REF!)</f>
        <v>#VALUE!</v>
      </c>
    </row>
    <row r="1617" spans="1:5" x14ac:dyDescent="0.2">
      <c r="A1617" s="28">
        <v>1616</v>
      </c>
      <c r="B1617" s="28" t="e">
        <f>interpola(#REF!,CURVA!$B$6:$B$20,CURVA!$G$6:$G$20)</f>
        <v>#VALUE!</v>
      </c>
      <c r="C1617" s="29" t="e">
        <f t="shared" si="25"/>
        <v>#VALUE!</v>
      </c>
      <c r="E1617" t="e">
        <f>cubic_spline(CURVA!$B$6:$B$20,CURVA!$G$6:$G$20,#REF!)</f>
        <v>#VALUE!</v>
      </c>
    </row>
    <row r="1618" spans="1:5" x14ac:dyDescent="0.2">
      <c r="A1618" s="28">
        <v>1617</v>
      </c>
      <c r="B1618" s="28" t="e">
        <f>interpola(#REF!,CURVA!$B$6:$B$20,CURVA!$G$6:$G$20)</f>
        <v>#VALUE!</v>
      </c>
      <c r="C1618" s="29" t="e">
        <f t="shared" si="25"/>
        <v>#VALUE!</v>
      </c>
      <c r="E1618" t="e">
        <f>cubic_spline(CURVA!$B$6:$B$20,CURVA!$G$6:$G$20,#REF!)</f>
        <v>#VALUE!</v>
      </c>
    </row>
    <row r="1619" spans="1:5" x14ac:dyDescent="0.2">
      <c r="A1619" s="28">
        <v>1618</v>
      </c>
      <c r="B1619" s="28" t="e">
        <f>interpola(#REF!,CURVA!$B$6:$B$20,CURVA!$G$6:$G$20)</f>
        <v>#VALUE!</v>
      </c>
      <c r="C1619" s="29" t="e">
        <f t="shared" si="25"/>
        <v>#VALUE!</v>
      </c>
      <c r="E1619" t="e">
        <f>cubic_spline(CURVA!$B$6:$B$20,CURVA!$G$6:$G$20,#REF!)</f>
        <v>#VALUE!</v>
      </c>
    </row>
    <row r="1620" spans="1:5" x14ac:dyDescent="0.2">
      <c r="A1620" s="28">
        <v>1619</v>
      </c>
      <c r="B1620" s="28" t="e">
        <f>interpola(#REF!,CURVA!$B$6:$B$20,CURVA!$G$6:$G$20)</f>
        <v>#VALUE!</v>
      </c>
      <c r="C1620" s="29" t="e">
        <f t="shared" si="25"/>
        <v>#VALUE!</v>
      </c>
      <c r="E1620" t="e">
        <f>cubic_spline(CURVA!$B$6:$B$20,CURVA!$G$6:$G$20,#REF!)</f>
        <v>#VALUE!</v>
      </c>
    </row>
    <row r="1621" spans="1:5" x14ac:dyDescent="0.2">
      <c r="A1621" s="28">
        <v>1620</v>
      </c>
      <c r="B1621" s="28" t="e">
        <f>interpola(#REF!,CURVA!$B$6:$B$20,CURVA!$G$6:$G$20)</f>
        <v>#VALUE!</v>
      </c>
      <c r="C1621" s="29" t="e">
        <f t="shared" si="25"/>
        <v>#VALUE!</v>
      </c>
      <c r="E1621" t="e">
        <f>cubic_spline(CURVA!$B$6:$B$20,CURVA!$G$6:$G$20,#REF!)</f>
        <v>#VALUE!</v>
      </c>
    </row>
    <row r="1622" spans="1:5" x14ac:dyDescent="0.2">
      <c r="A1622" s="28">
        <v>1621</v>
      </c>
      <c r="B1622" s="28" t="e">
        <f>interpola(#REF!,CURVA!$B$6:$B$20,CURVA!$G$6:$G$20)</f>
        <v>#VALUE!</v>
      </c>
      <c r="C1622" s="29" t="e">
        <f t="shared" si="25"/>
        <v>#VALUE!</v>
      </c>
      <c r="E1622" t="e">
        <f>cubic_spline(CURVA!$B$6:$B$20,CURVA!$G$6:$G$20,#REF!)</f>
        <v>#VALUE!</v>
      </c>
    </row>
    <row r="1623" spans="1:5" x14ac:dyDescent="0.2">
      <c r="A1623" s="28">
        <v>1622</v>
      </c>
      <c r="B1623" s="28" t="e">
        <f>interpola(#REF!,CURVA!$B$6:$B$20,CURVA!$G$6:$G$20)</f>
        <v>#VALUE!</v>
      </c>
      <c r="C1623" s="29" t="e">
        <f t="shared" si="25"/>
        <v>#VALUE!</v>
      </c>
      <c r="E1623" t="e">
        <f>cubic_spline(CURVA!$B$6:$B$20,CURVA!$G$6:$G$20,#REF!)</f>
        <v>#VALUE!</v>
      </c>
    </row>
    <row r="1624" spans="1:5" x14ac:dyDescent="0.2">
      <c r="A1624" s="28">
        <v>1623</v>
      </c>
      <c r="B1624" s="28" t="e">
        <f>interpola(#REF!,CURVA!$B$6:$B$20,CURVA!$G$6:$G$20)</f>
        <v>#VALUE!</v>
      </c>
      <c r="C1624" s="29" t="e">
        <f t="shared" si="25"/>
        <v>#VALUE!</v>
      </c>
      <c r="E1624" t="e">
        <f>cubic_spline(CURVA!$B$6:$B$20,CURVA!$G$6:$G$20,#REF!)</f>
        <v>#VALUE!</v>
      </c>
    </row>
    <row r="1625" spans="1:5" x14ac:dyDescent="0.2">
      <c r="A1625" s="28">
        <v>1624</v>
      </c>
      <c r="B1625" s="28" t="e">
        <f>interpola(#REF!,CURVA!$B$6:$B$20,CURVA!$G$6:$G$20)</f>
        <v>#VALUE!</v>
      </c>
      <c r="C1625" s="29" t="e">
        <f t="shared" si="25"/>
        <v>#VALUE!</v>
      </c>
      <c r="E1625" t="e">
        <f>cubic_spline(CURVA!$B$6:$B$20,CURVA!$G$6:$G$20,#REF!)</f>
        <v>#VALUE!</v>
      </c>
    </row>
    <row r="1626" spans="1:5" x14ac:dyDescent="0.2">
      <c r="A1626" s="28">
        <v>1625</v>
      </c>
      <c r="B1626" s="28" t="e">
        <f>interpola(#REF!,CURVA!$B$6:$B$20,CURVA!$G$6:$G$20)</f>
        <v>#VALUE!</v>
      </c>
      <c r="C1626" s="29" t="e">
        <f t="shared" si="25"/>
        <v>#VALUE!</v>
      </c>
      <c r="E1626" t="e">
        <f>cubic_spline(CURVA!$B$6:$B$20,CURVA!$G$6:$G$20,#REF!)</f>
        <v>#VALUE!</v>
      </c>
    </row>
    <row r="1627" spans="1:5" x14ac:dyDescent="0.2">
      <c r="A1627" s="28">
        <v>1626</v>
      </c>
      <c r="B1627" s="28" t="e">
        <f>interpola(#REF!,CURVA!$B$6:$B$20,CURVA!$G$6:$G$20)</f>
        <v>#VALUE!</v>
      </c>
      <c r="C1627" s="29" t="e">
        <f t="shared" si="25"/>
        <v>#VALUE!</v>
      </c>
      <c r="E1627" t="e">
        <f>cubic_spline(CURVA!$B$6:$B$20,CURVA!$G$6:$G$20,#REF!)</f>
        <v>#VALUE!</v>
      </c>
    </row>
    <row r="1628" spans="1:5" x14ac:dyDescent="0.2">
      <c r="A1628" s="28">
        <v>1627</v>
      </c>
      <c r="B1628" s="28" t="e">
        <f>interpola(#REF!,CURVA!$B$6:$B$20,CURVA!$G$6:$G$20)</f>
        <v>#VALUE!</v>
      </c>
      <c r="C1628" s="29" t="e">
        <f t="shared" si="25"/>
        <v>#VALUE!</v>
      </c>
      <c r="E1628" t="e">
        <f>cubic_spline(CURVA!$B$6:$B$20,CURVA!$G$6:$G$20,#REF!)</f>
        <v>#VALUE!</v>
      </c>
    </row>
    <row r="1629" spans="1:5" x14ac:dyDescent="0.2">
      <c r="A1629" s="28">
        <v>1628</v>
      </c>
      <c r="B1629" s="28" t="e">
        <f>interpola(#REF!,CURVA!$B$6:$B$20,CURVA!$G$6:$G$20)</f>
        <v>#VALUE!</v>
      </c>
      <c r="C1629" s="29" t="e">
        <f t="shared" si="25"/>
        <v>#VALUE!</v>
      </c>
      <c r="E1629" t="e">
        <f>cubic_spline(CURVA!$B$6:$B$20,CURVA!$G$6:$G$20,#REF!)</f>
        <v>#VALUE!</v>
      </c>
    </row>
    <row r="1630" spans="1:5" x14ac:dyDescent="0.2">
      <c r="A1630" s="28">
        <v>1629</v>
      </c>
      <c r="B1630" s="28" t="e">
        <f>interpola(#REF!,CURVA!$B$6:$B$20,CURVA!$G$6:$G$20)</f>
        <v>#VALUE!</v>
      </c>
      <c r="C1630" s="29" t="e">
        <f t="shared" si="25"/>
        <v>#VALUE!</v>
      </c>
      <c r="E1630" t="e">
        <f>cubic_spline(CURVA!$B$6:$B$20,CURVA!$G$6:$G$20,#REF!)</f>
        <v>#VALUE!</v>
      </c>
    </row>
    <row r="1631" spans="1:5" x14ac:dyDescent="0.2">
      <c r="A1631" s="28">
        <v>1630</v>
      </c>
      <c r="B1631" s="28" t="e">
        <f>interpola(#REF!,CURVA!$B$6:$B$20,CURVA!$G$6:$G$20)</f>
        <v>#VALUE!</v>
      </c>
      <c r="C1631" s="29" t="e">
        <f t="shared" si="25"/>
        <v>#VALUE!</v>
      </c>
      <c r="E1631" t="e">
        <f>cubic_spline(CURVA!$B$6:$B$20,CURVA!$G$6:$G$20,#REF!)</f>
        <v>#VALUE!</v>
      </c>
    </row>
    <row r="1632" spans="1:5" x14ac:dyDescent="0.2">
      <c r="A1632" s="28">
        <v>1631</v>
      </c>
      <c r="B1632" s="28" t="e">
        <f>interpola(#REF!,CURVA!$B$6:$B$20,CURVA!$G$6:$G$20)</f>
        <v>#VALUE!</v>
      </c>
      <c r="C1632" s="29" t="e">
        <f t="shared" si="25"/>
        <v>#VALUE!</v>
      </c>
      <c r="E1632" t="e">
        <f>cubic_spline(CURVA!$B$6:$B$20,CURVA!$G$6:$G$20,#REF!)</f>
        <v>#VALUE!</v>
      </c>
    </row>
    <row r="1633" spans="1:5" x14ac:dyDescent="0.2">
      <c r="A1633" s="28">
        <v>1632</v>
      </c>
      <c r="B1633" s="28" t="e">
        <f>interpola(#REF!,CURVA!$B$6:$B$20,CURVA!$G$6:$G$20)</f>
        <v>#VALUE!</v>
      </c>
      <c r="C1633" s="29" t="e">
        <f t="shared" si="25"/>
        <v>#VALUE!</v>
      </c>
      <c r="E1633" t="e">
        <f>cubic_spline(CURVA!$B$6:$B$20,CURVA!$G$6:$G$20,#REF!)</f>
        <v>#VALUE!</v>
      </c>
    </row>
    <row r="1634" spans="1:5" x14ac:dyDescent="0.2">
      <c r="A1634" s="28">
        <v>1633</v>
      </c>
      <c r="B1634" s="28" t="e">
        <f>interpola(#REF!,CURVA!$B$6:$B$20,CURVA!$G$6:$G$20)</f>
        <v>#VALUE!</v>
      </c>
      <c r="C1634" s="29" t="e">
        <f t="shared" si="25"/>
        <v>#VALUE!</v>
      </c>
      <c r="E1634" t="e">
        <f>cubic_spline(CURVA!$B$6:$B$20,CURVA!$G$6:$G$20,#REF!)</f>
        <v>#VALUE!</v>
      </c>
    </row>
    <row r="1635" spans="1:5" x14ac:dyDescent="0.2">
      <c r="A1635" s="28">
        <v>1634</v>
      </c>
      <c r="B1635" s="28" t="e">
        <f>interpola(#REF!,CURVA!$B$6:$B$20,CURVA!$G$6:$G$20)</f>
        <v>#VALUE!</v>
      </c>
      <c r="C1635" s="29" t="e">
        <f t="shared" si="25"/>
        <v>#VALUE!</v>
      </c>
      <c r="E1635" t="e">
        <f>cubic_spline(CURVA!$B$6:$B$20,CURVA!$G$6:$G$20,#REF!)</f>
        <v>#VALUE!</v>
      </c>
    </row>
    <row r="1636" spans="1:5" x14ac:dyDescent="0.2">
      <c r="A1636" s="28">
        <v>1635</v>
      </c>
      <c r="B1636" s="28" t="e">
        <f>interpola(#REF!,CURVA!$B$6:$B$20,CURVA!$G$6:$G$20)</f>
        <v>#VALUE!</v>
      </c>
      <c r="C1636" s="29" t="e">
        <f t="shared" si="25"/>
        <v>#VALUE!</v>
      </c>
      <c r="E1636" t="e">
        <f>cubic_spline(CURVA!$B$6:$B$20,CURVA!$G$6:$G$20,#REF!)</f>
        <v>#VALUE!</v>
      </c>
    </row>
    <row r="1637" spans="1:5" x14ac:dyDescent="0.2">
      <c r="A1637" s="28">
        <v>1636</v>
      </c>
      <c r="B1637" s="28" t="e">
        <f>interpola(#REF!,CURVA!$B$6:$B$20,CURVA!$G$6:$G$20)</f>
        <v>#VALUE!</v>
      </c>
      <c r="C1637" s="29" t="e">
        <f t="shared" si="25"/>
        <v>#VALUE!</v>
      </c>
      <c r="E1637" t="e">
        <f>cubic_spline(CURVA!$B$6:$B$20,CURVA!$G$6:$G$20,#REF!)</f>
        <v>#VALUE!</v>
      </c>
    </row>
    <row r="1638" spans="1:5" x14ac:dyDescent="0.2">
      <c r="A1638" s="28">
        <v>1637</v>
      </c>
      <c r="B1638" s="28" t="e">
        <f>interpola(#REF!,CURVA!$B$6:$B$20,CURVA!$G$6:$G$20)</f>
        <v>#VALUE!</v>
      </c>
      <c r="C1638" s="29" t="e">
        <f t="shared" si="25"/>
        <v>#VALUE!</v>
      </c>
      <c r="E1638" t="e">
        <f>cubic_spline(CURVA!$B$6:$B$20,CURVA!$G$6:$G$20,#REF!)</f>
        <v>#VALUE!</v>
      </c>
    </row>
    <row r="1639" spans="1:5" x14ac:dyDescent="0.2">
      <c r="A1639" s="28">
        <v>1638</v>
      </c>
      <c r="B1639" s="28" t="e">
        <f>interpola(#REF!,CURVA!$B$6:$B$20,CURVA!$G$6:$G$20)</f>
        <v>#VALUE!</v>
      </c>
      <c r="C1639" s="29" t="e">
        <f t="shared" si="25"/>
        <v>#VALUE!</v>
      </c>
      <c r="E1639" t="e">
        <f>cubic_spline(CURVA!$B$6:$B$20,CURVA!$G$6:$G$20,#REF!)</f>
        <v>#VALUE!</v>
      </c>
    </row>
    <row r="1640" spans="1:5" x14ac:dyDescent="0.2">
      <c r="A1640" s="28">
        <v>1639</v>
      </c>
      <c r="B1640" s="28" t="e">
        <f>interpola(#REF!,CURVA!$B$6:$B$20,CURVA!$G$6:$G$20)</f>
        <v>#VALUE!</v>
      </c>
      <c r="C1640" s="29" t="e">
        <f t="shared" si="25"/>
        <v>#VALUE!</v>
      </c>
      <c r="E1640" t="e">
        <f>cubic_spline(CURVA!$B$6:$B$20,CURVA!$G$6:$G$20,#REF!)</f>
        <v>#VALUE!</v>
      </c>
    </row>
    <row r="1641" spans="1:5" x14ac:dyDescent="0.2">
      <c r="A1641" s="28">
        <v>1640</v>
      </c>
      <c r="B1641" s="28" t="e">
        <f>interpola(#REF!,CURVA!$B$6:$B$20,CURVA!$G$6:$G$20)</f>
        <v>#VALUE!</v>
      </c>
      <c r="C1641" s="29" t="e">
        <f t="shared" si="25"/>
        <v>#VALUE!</v>
      </c>
      <c r="E1641" t="e">
        <f>cubic_spline(CURVA!$B$6:$B$20,CURVA!$G$6:$G$20,#REF!)</f>
        <v>#VALUE!</v>
      </c>
    </row>
    <row r="1642" spans="1:5" x14ac:dyDescent="0.2">
      <c r="A1642" s="28">
        <v>1641</v>
      </c>
      <c r="B1642" s="28" t="e">
        <f>interpola(#REF!,CURVA!$B$6:$B$20,CURVA!$G$6:$G$20)</f>
        <v>#VALUE!</v>
      </c>
      <c r="C1642" s="29" t="e">
        <f t="shared" si="25"/>
        <v>#VALUE!</v>
      </c>
      <c r="E1642" t="e">
        <f>cubic_spline(CURVA!$B$6:$B$20,CURVA!$G$6:$G$20,#REF!)</f>
        <v>#VALUE!</v>
      </c>
    </row>
    <row r="1643" spans="1:5" x14ac:dyDescent="0.2">
      <c r="A1643" s="28">
        <v>1642</v>
      </c>
      <c r="B1643" s="28" t="e">
        <f>interpola(#REF!,CURVA!$B$6:$B$20,CURVA!$G$6:$G$20)</f>
        <v>#VALUE!</v>
      </c>
      <c r="C1643" s="29" t="e">
        <f t="shared" si="25"/>
        <v>#VALUE!</v>
      </c>
      <c r="E1643" t="e">
        <f>cubic_spline(CURVA!$B$6:$B$20,CURVA!$G$6:$G$20,#REF!)</f>
        <v>#VALUE!</v>
      </c>
    </row>
    <row r="1644" spans="1:5" x14ac:dyDescent="0.2">
      <c r="A1644" s="28">
        <v>1643</v>
      </c>
      <c r="B1644" s="28" t="e">
        <f>interpola(#REF!,CURVA!$B$6:$B$20,CURVA!$G$6:$G$20)</f>
        <v>#VALUE!</v>
      </c>
      <c r="C1644" s="29" t="e">
        <f t="shared" si="25"/>
        <v>#VALUE!</v>
      </c>
      <c r="E1644" t="e">
        <f>cubic_spline(CURVA!$B$6:$B$20,CURVA!$G$6:$G$20,#REF!)</f>
        <v>#VALUE!</v>
      </c>
    </row>
    <row r="1645" spans="1:5" x14ac:dyDescent="0.2">
      <c r="A1645" s="28">
        <v>1644</v>
      </c>
      <c r="B1645" s="28" t="e">
        <f>interpola(#REF!,CURVA!$B$6:$B$20,CURVA!$G$6:$G$20)</f>
        <v>#VALUE!</v>
      </c>
      <c r="C1645" s="29" t="e">
        <f t="shared" si="25"/>
        <v>#VALUE!</v>
      </c>
      <c r="E1645" t="e">
        <f>cubic_spline(CURVA!$B$6:$B$20,CURVA!$G$6:$G$20,#REF!)</f>
        <v>#VALUE!</v>
      </c>
    </row>
    <row r="1646" spans="1:5" x14ac:dyDescent="0.2">
      <c r="A1646" s="28">
        <v>1645</v>
      </c>
      <c r="B1646" s="28" t="e">
        <f>interpola(#REF!,CURVA!$B$6:$B$20,CURVA!$G$6:$G$20)</f>
        <v>#VALUE!</v>
      </c>
      <c r="C1646" s="29" t="e">
        <f t="shared" si="25"/>
        <v>#VALUE!</v>
      </c>
      <c r="E1646" t="e">
        <f>cubic_spline(CURVA!$B$6:$B$20,CURVA!$G$6:$G$20,#REF!)</f>
        <v>#VALUE!</v>
      </c>
    </row>
    <row r="1647" spans="1:5" x14ac:dyDescent="0.2">
      <c r="A1647" s="28">
        <v>1646</v>
      </c>
      <c r="B1647" s="28" t="e">
        <f>interpola(#REF!,CURVA!$B$6:$B$20,CURVA!$G$6:$G$20)</f>
        <v>#VALUE!</v>
      </c>
      <c r="C1647" s="29" t="e">
        <f t="shared" si="25"/>
        <v>#VALUE!</v>
      </c>
      <c r="E1647" t="e">
        <f>cubic_spline(CURVA!$B$6:$B$20,CURVA!$G$6:$G$20,#REF!)</f>
        <v>#VALUE!</v>
      </c>
    </row>
    <row r="1648" spans="1:5" x14ac:dyDescent="0.2">
      <c r="A1648" s="28">
        <v>1647</v>
      </c>
      <c r="B1648" s="28" t="e">
        <f>interpola(#REF!,CURVA!$B$6:$B$20,CURVA!$G$6:$G$20)</f>
        <v>#VALUE!</v>
      </c>
      <c r="C1648" s="29" t="e">
        <f t="shared" si="25"/>
        <v>#VALUE!</v>
      </c>
      <c r="E1648" t="e">
        <f>cubic_spline(CURVA!$B$6:$B$20,CURVA!$G$6:$G$20,#REF!)</f>
        <v>#VALUE!</v>
      </c>
    </row>
    <row r="1649" spans="1:5" x14ac:dyDescent="0.2">
      <c r="A1649" s="28">
        <v>1648</v>
      </c>
      <c r="B1649" s="28" t="e">
        <f>interpola(#REF!,CURVA!$B$6:$B$20,CURVA!$G$6:$G$20)</f>
        <v>#VALUE!</v>
      </c>
      <c r="C1649" s="29" t="e">
        <f t="shared" si="25"/>
        <v>#VALUE!</v>
      </c>
      <c r="E1649" t="e">
        <f>cubic_spline(CURVA!$B$6:$B$20,CURVA!$G$6:$G$20,#REF!)</f>
        <v>#VALUE!</v>
      </c>
    </row>
    <row r="1650" spans="1:5" x14ac:dyDescent="0.2">
      <c r="A1650" s="28">
        <v>1649</v>
      </c>
      <c r="B1650" s="28" t="e">
        <f>interpola(#REF!,CURVA!$B$6:$B$20,CURVA!$G$6:$G$20)</f>
        <v>#VALUE!</v>
      </c>
      <c r="C1650" s="29" t="e">
        <f t="shared" si="25"/>
        <v>#VALUE!</v>
      </c>
      <c r="E1650" t="e">
        <f>cubic_spline(CURVA!$B$6:$B$20,CURVA!$G$6:$G$20,#REF!)</f>
        <v>#VALUE!</v>
      </c>
    </row>
    <row r="1651" spans="1:5" x14ac:dyDescent="0.2">
      <c r="A1651" s="28">
        <v>1650</v>
      </c>
      <c r="B1651" s="28" t="e">
        <f>interpola(#REF!,CURVA!$B$6:$B$20,CURVA!$G$6:$G$20)</f>
        <v>#VALUE!</v>
      </c>
      <c r="C1651" s="29" t="e">
        <f t="shared" si="25"/>
        <v>#VALUE!</v>
      </c>
      <c r="E1651" t="e">
        <f>cubic_spline(CURVA!$B$6:$B$20,CURVA!$G$6:$G$20,#REF!)</f>
        <v>#VALUE!</v>
      </c>
    </row>
    <row r="1652" spans="1:5" x14ac:dyDescent="0.2">
      <c r="A1652" s="28">
        <v>1651</v>
      </c>
      <c r="B1652" s="28" t="e">
        <f>interpola(#REF!,CURVA!$B$6:$B$20,CURVA!$G$6:$G$20)</f>
        <v>#VALUE!</v>
      </c>
      <c r="C1652" s="29" t="e">
        <f t="shared" si="25"/>
        <v>#VALUE!</v>
      </c>
      <c r="E1652" t="e">
        <f>cubic_spline(CURVA!$B$6:$B$20,CURVA!$G$6:$G$20,#REF!)</f>
        <v>#VALUE!</v>
      </c>
    </row>
    <row r="1653" spans="1:5" x14ac:dyDescent="0.2">
      <c r="A1653" s="28">
        <v>1652</v>
      </c>
      <c r="B1653" s="28" t="e">
        <f>interpola(#REF!,CURVA!$B$6:$B$20,CURVA!$G$6:$G$20)</f>
        <v>#VALUE!</v>
      </c>
      <c r="C1653" s="29" t="e">
        <f t="shared" si="25"/>
        <v>#VALUE!</v>
      </c>
      <c r="E1653" t="e">
        <f>cubic_spline(CURVA!$B$6:$B$20,CURVA!$G$6:$G$20,#REF!)</f>
        <v>#VALUE!</v>
      </c>
    </row>
    <row r="1654" spans="1:5" x14ac:dyDescent="0.2">
      <c r="A1654" s="28">
        <v>1653</v>
      </c>
      <c r="B1654" s="28" t="e">
        <f>interpola(#REF!,CURVA!$B$6:$B$20,CURVA!$G$6:$G$20)</f>
        <v>#VALUE!</v>
      </c>
      <c r="C1654" s="29" t="e">
        <f t="shared" si="25"/>
        <v>#VALUE!</v>
      </c>
      <c r="E1654" t="e">
        <f>cubic_spline(CURVA!$B$6:$B$20,CURVA!$G$6:$G$20,#REF!)</f>
        <v>#VALUE!</v>
      </c>
    </row>
    <row r="1655" spans="1:5" x14ac:dyDescent="0.2">
      <c r="A1655" s="28">
        <v>1654</v>
      </c>
      <c r="B1655" s="28" t="e">
        <f>interpola(#REF!,CURVA!$B$6:$B$20,CURVA!$G$6:$G$20)</f>
        <v>#VALUE!</v>
      </c>
      <c r="C1655" s="29" t="e">
        <f t="shared" si="25"/>
        <v>#VALUE!</v>
      </c>
      <c r="E1655" t="e">
        <f>cubic_spline(CURVA!$B$6:$B$20,CURVA!$G$6:$G$20,#REF!)</f>
        <v>#VALUE!</v>
      </c>
    </row>
    <row r="1656" spans="1:5" x14ac:dyDescent="0.2">
      <c r="A1656" s="28">
        <v>1655</v>
      </c>
      <c r="B1656" s="28" t="e">
        <f>interpola(#REF!,CURVA!$B$6:$B$20,CURVA!$G$6:$G$20)</f>
        <v>#VALUE!</v>
      </c>
      <c r="C1656" s="29" t="e">
        <f t="shared" si="25"/>
        <v>#VALUE!</v>
      </c>
      <c r="E1656" t="e">
        <f>cubic_spline(CURVA!$B$6:$B$20,CURVA!$G$6:$G$20,#REF!)</f>
        <v>#VALUE!</v>
      </c>
    </row>
    <row r="1657" spans="1:5" x14ac:dyDescent="0.2">
      <c r="A1657" s="28">
        <v>1656</v>
      </c>
      <c r="B1657" s="28" t="e">
        <f>interpola(#REF!,CURVA!$B$6:$B$20,CURVA!$G$6:$G$20)</f>
        <v>#VALUE!</v>
      </c>
      <c r="C1657" s="29" t="e">
        <f t="shared" si="25"/>
        <v>#VALUE!</v>
      </c>
      <c r="E1657" t="e">
        <f>cubic_spline(CURVA!$B$6:$B$20,CURVA!$G$6:$G$20,#REF!)</f>
        <v>#VALUE!</v>
      </c>
    </row>
    <row r="1658" spans="1:5" x14ac:dyDescent="0.2">
      <c r="A1658" s="28">
        <v>1657</v>
      </c>
      <c r="B1658" s="28" t="e">
        <f>interpola(#REF!,CURVA!$B$6:$B$20,CURVA!$G$6:$G$20)</f>
        <v>#VALUE!</v>
      </c>
      <c r="C1658" s="29" t="e">
        <f t="shared" si="25"/>
        <v>#VALUE!</v>
      </c>
      <c r="E1658" t="e">
        <f>cubic_spline(CURVA!$B$6:$B$20,CURVA!$G$6:$G$20,#REF!)</f>
        <v>#VALUE!</v>
      </c>
    </row>
    <row r="1659" spans="1:5" x14ac:dyDescent="0.2">
      <c r="A1659" s="28">
        <v>1658</v>
      </c>
      <c r="B1659" s="28" t="e">
        <f>interpola(#REF!,CURVA!$B$6:$B$20,CURVA!$G$6:$G$20)</f>
        <v>#VALUE!</v>
      </c>
      <c r="C1659" s="29" t="e">
        <f t="shared" si="25"/>
        <v>#VALUE!</v>
      </c>
      <c r="E1659" t="e">
        <f>cubic_spline(CURVA!$B$6:$B$20,CURVA!$G$6:$G$20,#REF!)</f>
        <v>#VALUE!</v>
      </c>
    </row>
    <row r="1660" spans="1:5" x14ac:dyDescent="0.2">
      <c r="A1660" s="28">
        <v>1659</v>
      </c>
      <c r="B1660" s="28" t="e">
        <f>interpola(#REF!,CURVA!$B$6:$B$20,CURVA!$G$6:$G$20)</f>
        <v>#VALUE!</v>
      </c>
      <c r="C1660" s="29" t="e">
        <f t="shared" si="25"/>
        <v>#VALUE!</v>
      </c>
      <c r="E1660" t="e">
        <f>cubic_spline(CURVA!$B$6:$B$20,CURVA!$G$6:$G$20,#REF!)</f>
        <v>#VALUE!</v>
      </c>
    </row>
    <row r="1661" spans="1:5" x14ac:dyDescent="0.2">
      <c r="A1661" s="28">
        <v>1660</v>
      </c>
      <c r="B1661" s="28" t="e">
        <f>interpola(#REF!,CURVA!$B$6:$B$20,CURVA!$G$6:$G$20)</f>
        <v>#VALUE!</v>
      </c>
      <c r="C1661" s="29" t="e">
        <f t="shared" si="25"/>
        <v>#VALUE!</v>
      </c>
      <c r="E1661" t="e">
        <f>cubic_spline(CURVA!$B$6:$B$20,CURVA!$G$6:$G$20,#REF!)</f>
        <v>#VALUE!</v>
      </c>
    </row>
    <row r="1662" spans="1:5" x14ac:dyDescent="0.2">
      <c r="A1662" s="28">
        <v>1661</v>
      </c>
      <c r="B1662" s="28" t="e">
        <f>interpola(#REF!,CURVA!$B$6:$B$20,CURVA!$G$6:$G$20)</f>
        <v>#VALUE!</v>
      </c>
      <c r="C1662" s="29" t="e">
        <f t="shared" si="25"/>
        <v>#VALUE!</v>
      </c>
      <c r="E1662" t="e">
        <f>cubic_spline(CURVA!$B$6:$B$20,CURVA!$G$6:$G$20,#REF!)</f>
        <v>#VALUE!</v>
      </c>
    </row>
    <row r="1663" spans="1:5" x14ac:dyDescent="0.2">
      <c r="A1663" s="28">
        <v>1662</v>
      </c>
      <c r="B1663" s="28" t="e">
        <f>interpola(#REF!,CURVA!$B$6:$B$20,CURVA!$G$6:$G$20)</f>
        <v>#VALUE!</v>
      </c>
      <c r="C1663" s="29" t="e">
        <f t="shared" si="25"/>
        <v>#VALUE!</v>
      </c>
      <c r="E1663" t="e">
        <f>cubic_spline(CURVA!$B$6:$B$20,CURVA!$G$6:$G$20,#REF!)</f>
        <v>#VALUE!</v>
      </c>
    </row>
    <row r="1664" spans="1:5" x14ac:dyDescent="0.2">
      <c r="A1664" s="28">
        <v>1663</v>
      </c>
      <c r="B1664" s="28" t="e">
        <f>interpola(#REF!,CURVA!$B$6:$B$20,CURVA!$G$6:$G$20)</f>
        <v>#VALUE!</v>
      </c>
      <c r="C1664" s="29" t="e">
        <f t="shared" si="25"/>
        <v>#VALUE!</v>
      </c>
      <c r="E1664" t="e">
        <f>cubic_spline(CURVA!$B$6:$B$20,CURVA!$G$6:$G$20,#REF!)</f>
        <v>#VALUE!</v>
      </c>
    </row>
    <row r="1665" spans="1:5" x14ac:dyDescent="0.2">
      <c r="A1665" s="28">
        <v>1664</v>
      </c>
      <c r="B1665" s="28" t="e">
        <f>interpola(#REF!,CURVA!$B$6:$B$20,CURVA!$G$6:$G$20)</f>
        <v>#VALUE!</v>
      </c>
      <c r="C1665" s="29" t="e">
        <f t="shared" si="25"/>
        <v>#VALUE!</v>
      </c>
      <c r="E1665" t="e">
        <f>cubic_spline(CURVA!$B$6:$B$20,CURVA!$G$6:$G$20,#REF!)</f>
        <v>#VALUE!</v>
      </c>
    </row>
    <row r="1666" spans="1:5" x14ac:dyDescent="0.2">
      <c r="A1666" s="28">
        <v>1665</v>
      </c>
      <c r="B1666" s="28" t="e">
        <f>interpola(#REF!,CURVA!$B$6:$B$20,CURVA!$G$6:$G$20)</f>
        <v>#VALUE!</v>
      </c>
      <c r="C1666" s="29" t="e">
        <f t="shared" ref="C1666:C1729" si="26">(EXP(B1666*A1666/360)-1)*360/A1666</f>
        <v>#VALUE!</v>
      </c>
      <c r="E1666" t="e">
        <f>cubic_spline(CURVA!$B$6:$B$20,CURVA!$G$6:$G$20,#REF!)</f>
        <v>#VALUE!</v>
      </c>
    </row>
    <row r="1667" spans="1:5" x14ac:dyDescent="0.2">
      <c r="A1667" s="28">
        <v>1666</v>
      </c>
      <c r="B1667" s="28" t="e">
        <f>interpola(#REF!,CURVA!$B$6:$B$20,CURVA!$G$6:$G$20)</f>
        <v>#VALUE!</v>
      </c>
      <c r="C1667" s="29" t="e">
        <f t="shared" si="26"/>
        <v>#VALUE!</v>
      </c>
      <c r="E1667" t="e">
        <f>cubic_spline(CURVA!$B$6:$B$20,CURVA!$G$6:$G$20,#REF!)</f>
        <v>#VALUE!</v>
      </c>
    </row>
    <row r="1668" spans="1:5" x14ac:dyDescent="0.2">
      <c r="A1668" s="28">
        <v>1667</v>
      </c>
      <c r="B1668" s="28" t="e">
        <f>interpola(#REF!,CURVA!$B$6:$B$20,CURVA!$G$6:$G$20)</f>
        <v>#VALUE!</v>
      </c>
      <c r="C1668" s="29" t="e">
        <f t="shared" si="26"/>
        <v>#VALUE!</v>
      </c>
      <c r="E1668" t="e">
        <f>cubic_spline(CURVA!$B$6:$B$20,CURVA!$G$6:$G$20,#REF!)</f>
        <v>#VALUE!</v>
      </c>
    </row>
    <row r="1669" spans="1:5" x14ac:dyDescent="0.2">
      <c r="A1669" s="28">
        <v>1668</v>
      </c>
      <c r="B1669" s="28" t="e">
        <f>interpola(#REF!,CURVA!$B$6:$B$20,CURVA!$G$6:$G$20)</f>
        <v>#VALUE!</v>
      </c>
      <c r="C1669" s="29" t="e">
        <f t="shared" si="26"/>
        <v>#VALUE!</v>
      </c>
      <c r="E1669" t="e">
        <f>cubic_spline(CURVA!$B$6:$B$20,CURVA!$G$6:$G$20,#REF!)</f>
        <v>#VALUE!</v>
      </c>
    </row>
    <row r="1670" spans="1:5" x14ac:dyDescent="0.2">
      <c r="A1670" s="28">
        <v>1669</v>
      </c>
      <c r="B1670" s="28" t="e">
        <f>interpola(#REF!,CURVA!$B$6:$B$20,CURVA!$G$6:$G$20)</f>
        <v>#VALUE!</v>
      </c>
      <c r="C1670" s="29" t="e">
        <f t="shared" si="26"/>
        <v>#VALUE!</v>
      </c>
      <c r="E1670" t="e">
        <f>cubic_spline(CURVA!$B$6:$B$20,CURVA!$G$6:$G$20,#REF!)</f>
        <v>#VALUE!</v>
      </c>
    </row>
    <row r="1671" spans="1:5" x14ac:dyDescent="0.2">
      <c r="A1671" s="28">
        <v>1670</v>
      </c>
      <c r="B1671" s="28" t="e">
        <f>interpola(#REF!,CURVA!$B$6:$B$20,CURVA!$G$6:$G$20)</f>
        <v>#VALUE!</v>
      </c>
      <c r="C1671" s="29" t="e">
        <f t="shared" si="26"/>
        <v>#VALUE!</v>
      </c>
      <c r="E1671" t="e">
        <f>cubic_spline(CURVA!$B$6:$B$20,CURVA!$G$6:$G$20,#REF!)</f>
        <v>#VALUE!</v>
      </c>
    </row>
    <row r="1672" spans="1:5" x14ac:dyDescent="0.2">
      <c r="A1672" s="28">
        <v>1671</v>
      </c>
      <c r="B1672" s="28" t="e">
        <f>interpola(#REF!,CURVA!$B$6:$B$20,CURVA!$G$6:$G$20)</f>
        <v>#VALUE!</v>
      </c>
      <c r="C1672" s="29" t="e">
        <f t="shared" si="26"/>
        <v>#VALUE!</v>
      </c>
      <c r="E1672" t="e">
        <f>cubic_spline(CURVA!$B$6:$B$20,CURVA!$G$6:$G$20,#REF!)</f>
        <v>#VALUE!</v>
      </c>
    </row>
    <row r="1673" spans="1:5" x14ac:dyDescent="0.2">
      <c r="A1673" s="28">
        <v>1672</v>
      </c>
      <c r="B1673" s="28" t="e">
        <f>interpola(#REF!,CURVA!$B$6:$B$20,CURVA!$G$6:$G$20)</f>
        <v>#VALUE!</v>
      </c>
      <c r="C1673" s="29" t="e">
        <f t="shared" si="26"/>
        <v>#VALUE!</v>
      </c>
      <c r="E1673" t="e">
        <f>cubic_spline(CURVA!$B$6:$B$20,CURVA!$G$6:$G$20,#REF!)</f>
        <v>#VALUE!</v>
      </c>
    </row>
    <row r="1674" spans="1:5" x14ac:dyDescent="0.2">
      <c r="A1674" s="28">
        <v>1673</v>
      </c>
      <c r="B1674" s="28" t="e">
        <f>interpola(#REF!,CURVA!$B$6:$B$20,CURVA!$G$6:$G$20)</f>
        <v>#VALUE!</v>
      </c>
      <c r="C1674" s="29" t="e">
        <f t="shared" si="26"/>
        <v>#VALUE!</v>
      </c>
      <c r="E1674" t="e">
        <f>cubic_spline(CURVA!$B$6:$B$20,CURVA!$G$6:$G$20,#REF!)</f>
        <v>#VALUE!</v>
      </c>
    </row>
    <row r="1675" spans="1:5" x14ac:dyDescent="0.2">
      <c r="A1675" s="28">
        <v>1674</v>
      </c>
      <c r="B1675" s="28" t="e">
        <f>interpola(#REF!,CURVA!$B$6:$B$20,CURVA!$G$6:$G$20)</f>
        <v>#VALUE!</v>
      </c>
      <c r="C1675" s="29" t="e">
        <f t="shared" si="26"/>
        <v>#VALUE!</v>
      </c>
      <c r="E1675" t="e">
        <f>cubic_spline(CURVA!$B$6:$B$20,CURVA!$G$6:$G$20,#REF!)</f>
        <v>#VALUE!</v>
      </c>
    </row>
    <row r="1676" spans="1:5" x14ac:dyDescent="0.2">
      <c r="A1676" s="28">
        <v>1675</v>
      </c>
      <c r="B1676" s="28" t="e">
        <f>interpola(#REF!,CURVA!$B$6:$B$20,CURVA!$G$6:$G$20)</f>
        <v>#VALUE!</v>
      </c>
      <c r="C1676" s="29" t="e">
        <f t="shared" si="26"/>
        <v>#VALUE!</v>
      </c>
      <c r="E1676" t="e">
        <f>cubic_spline(CURVA!$B$6:$B$20,CURVA!$G$6:$G$20,#REF!)</f>
        <v>#VALUE!</v>
      </c>
    </row>
    <row r="1677" spans="1:5" x14ac:dyDescent="0.2">
      <c r="A1677" s="28">
        <v>1676</v>
      </c>
      <c r="B1677" s="28" t="e">
        <f>interpola(#REF!,CURVA!$B$6:$B$20,CURVA!$G$6:$G$20)</f>
        <v>#VALUE!</v>
      </c>
      <c r="C1677" s="29" t="e">
        <f t="shared" si="26"/>
        <v>#VALUE!</v>
      </c>
      <c r="E1677" t="e">
        <f>cubic_spline(CURVA!$B$6:$B$20,CURVA!$G$6:$G$20,#REF!)</f>
        <v>#VALUE!</v>
      </c>
    </row>
    <row r="1678" spans="1:5" x14ac:dyDescent="0.2">
      <c r="A1678" s="28">
        <v>1677</v>
      </c>
      <c r="B1678" s="28" t="e">
        <f>interpola(#REF!,CURVA!$B$6:$B$20,CURVA!$G$6:$G$20)</f>
        <v>#VALUE!</v>
      </c>
      <c r="C1678" s="29" t="e">
        <f t="shared" si="26"/>
        <v>#VALUE!</v>
      </c>
      <c r="E1678" t="e">
        <f>cubic_spline(CURVA!$B$6:$B$20,CURVA!$G$6:$G$20,#REF!)</f>
        <v>#VALUE!</v>
      </c>
    </row>
    <row r="1679" spans="1:5" x14ac:dyDescent="0.2">
      <c r="A1679" s="28">
        <v>1678</v>
      </c>
      <c r="B1679" s="28" t="e">
        <f>interpola(#REF!,CURVA!$B$6:$B$20,CURVA!$G$6:$G$20)</f>
        <v>#VALUE!</v>
      </c>
      <c r="C1679" s="29" t="e">
        <f t="shared" si="26"/>
        <v>#VALUE!</v>
      </c>
      <c r="E1679" t="e">
        <f>cubic_spline(CURVA!$B$6:$B$20,CURVA!$G$6:$G$20,#REF!)</f>
        <v>#VALUE!</v>
      </c>
    </row>
    <row r="1680" spans="1:5" x14ac:dyDescent="0.2">
      <c r="A1680" s="28">
        <v>1679</v>
      </c>
      <c r="B1680" s="28" t="e">
        <f>interpola(#REF!,CURVA!$B$6:$B$20,CURVA!$G$6:$G$20)</f>
        <v>#VALUE!</v>
      </c>
      <c r="C1680" s="29" t="e">
        <f t="shared" si="26"/>
        <v>#VALUE!</v>
      </c>
      <c r="E1680" t="e">
        <f>cubic_spline(CURVA!$B$6:$B$20,CURVA!$G$6:$G$20,#REF!)</f>
        <v>#VALUE!</v>
      </c>
    </row>
    <row r="1681" spans="1:5" x14ac:dyDescent="0.2">
      <c r="A1681" s="28">
        <v>1680</v>
      </c>
      <c r="B1681" s="28" t="e">
        <f>interpola(#REF!,CURVA!$B$6:$B$20,CURVA!$G$6:$G$20)</f>
        <v>#VALUE!</v>
      </c>
      <c r="C1681" s="29" t="e">
        <f t="shared" si="26"/>
        <v>#VALUE!</v>
      </c>
      <c r="E1681" t="e">
        <f>cubic_spline(CURVA!$B$6:$B$20,CURVA!$G$6:$G$20,#REF!)</f>
        <v>#VALUE!</v>
      </c>
    </row>
    <row r="1682" spans="1:5" x14ac:dyDescent="0.2">
      <c r="A1682" s="28">
        <v>1681</v>
      </c>
      <c r="B1682" s="28" t="e">
        <f>interpola(#REF!,CURVA!$B$6:$B$20,CURVA!$G$6:$G$20)</f>
        <v>#VALUE!</v>
      </c>
      <c r="C1682" s="29" t="e">
        <f t="shared" si="26"/>
        <v>#VALUE!</v>
      </c>
      <c r="E1682" t="e">
        <f>cubic_spline(CURVA!$B$6:$B$20,CURVA!$G$6:$G$20,#REF!)</f>
        <v>#VALUE!</v>
      </c>
    </row>
    <row r="1683" spans="1:5" x14ac:dyDescent="0.2">
      <c r="A1683" s="28">
        <v>1682</v>
      </c>
      <c r="B1683" s="28" t="e">
        <f>interpola(#REF!,CURVA!$B$6:$B$20,CURVA!$G$6:$G$20)</f>
        <v>#VALUE!</v>
      </c>
      <c r="C1683" s="29" t="e">
        <f t="shared" si="26"/>
        <v>#VALUE!</v>
      </c>
      <c r="E1683" t="e">
        <f>cubic_spline(CURVA!$B$6:$B$20,CURVA!$G$6:$G$20,#REF!)</f>
        <v>#VALUE!</v>
      </c>
    </row>
    <row r="1684" spans="1:5" x14ac:dyDescent="0.2">
      <c r="A1684" s="28">
        <v>1683</v>
      </c>
      <c r="B1684" s="28" t="e">
        <f>interpola(#REF!,CURVA!$B$6:$B$20,CURVA!$G$6:$G$20)</f>
        <v>#VALUE!</v>
      </c>
      <c r="C1684" s="29" t="e">
        <f t="shared" si="26"/>
        <v>#VALUE!</v>
      </c>
      <c r="E1684" t="e">
        <f>cubic_spline(CURVA!$B$6:$B$20,CURVA!$G$6:$G$20,#REF!)</f>
        <v>#VALUE!</v>
      </c>
    </row>
    <row r="1685" spans="1:5" x14ac:dyDescent="0.2">
      <c r="A1685" s="28">
        <v>1684</v>
      </c>
      <c r="B1685" s="28" t="e">
        <f>interpola(#REF!,CURVA!$B$6:$B$20,CURVA!$G$6:$G$20)</f>
        <v>#VALUE!</v>
      </c>
      <c r="C1685" s="29" t="e">
        <f t="shared" si="26"/>
        <v>#VALUE!</v>
      </c>
      <c r="E1685" t="e">
        <f>cubic_spline(CURVA!$B$6:$B$20,CURVA!$G$6:$G$20,#REF!)</f>
        <v>#VALUE!</v>
      </c>
    </row>
    <row r="1686" spans="1:5" x14ac:dyDescent="0.2">
      <c r="A1686" s="28">
        <v>1685</v>
      </c>
      <c r="B1686" s="28" t="e">
        <f>interpola(#REF!,CURVA!$B$6:$B$20,CURVA!$G$6:$G$20)</f>
        <v>#VALUE!</v>
      </c>
      <c r="C1686" s="29" t="e">
        <f t="shared" si="26"/>
        <v>#VALUE!</v>
      </c>
      <c r="E1686" t="e">
        <f>cubic_spline(CURVA!$B$6:$B$20,CURVA!$G$6:$G$20,#REF!)</f>
        <v>#VALUE!</v>
      </c>
    </row>
    <row r="1687" spans="1:5" x14ac:dyDescent="0.2">
      <c r="A1687" s="28">
        <v>1686</v>
      </c>
      <c r="B1687" s="28" t="e">
        <f>interpola(#REF!,CURVA!$B$6:$B$20,CURVA!$G$6:$G$20)</f>
        <v>#VALUE!</v>
      </c>
      <c r="C1687" s="29" t="e">
        <f t="shared" si="26"/>
        <v>#VALUE!</v>
      </c>
      <c r="E1687" t="e">
        <f>cubic_spline(CURVA!$B$6:$B$20,CURVA!$G$6:$G$20,#REF!)</f>
        <v>#VALUE!</v>
      </c>
    </row>
    <row r="1688" spans="1:5" x14ac:dyDescent="0.2">
      <c r="A1688" s="28">
        <v>1687</v>
      </c>
      <c r="B1688" s="28" t="e">
        <f>interpola(#REF!,CURVA!$B$6:$B$20,CURVA!$G$6:$G$20)</f>
        <v>#VALUE!</v>
      </c>
      <c r="C1688" s="29" t="e">
        <f t="shared" si="26"/>
        <v>#VALUE!</v>
      </c>
      <c r="E1688" t="e">
        <f>cubic_spline(CURVA!$B$6:$B$20,CURVA!$G$6:$G$20,#REF!)</f>
        <v>#VALUE!</v>
      </c>
    </row>
    <row r="1689" spans="1:5" x14ac:dyDescent="0.2">
      <c r="A1689" s="28">
        <v>1688</v>
      </c>
      <c r="B1689" s="28" t="e">
        <f>interpola(#REF!,CURVA!$B$6:$B$20,CURVA!$G$6:$G$20)</f>
        <v>#VALUE!</v>
      </c>
      <c r="C1689" s="29" t="e">
        <f t="shared" si="26"/>
        <v>#VALUE!</v>
      </c>
      <c r="E1689" t="e">
        <f>cubic_spline(CURVA!$B$6:$B$20,CURVA!$G$6:$G$20,#REF!)</f>
        <v>#VALUE!</v>
      </c>
    </row>
    <row r="1690" spans="1:5" x14ac:dyDescent="0.2">
      <c r="A1690" s="28">
        <v>1689</v>
      </c>
      <c r="B1690" s="28" t="e">
        <f>interpola(#REF!,CURVA!$B$6:$B$20,CURVA!$G$6:$G$20)</f>
        <v>#VALUE!</v>
      </c>
      <c r="C1690" s="29" t="e">
        <f t="shared" si="26"/>
        <v>#VALUE!</v>
      </c>
      <c r="E1690" t="e">
        <f>cubic_spline(CURVA!$B$6:$B$20,CURVA!$G$6:$G$20,#REF!)</f>
        <v>#VALUE!</v>
      </c>
    </row>
    <row r="1691" spans="1:5" x14ac:dyDescent="0.2">
      <c r="A1691" s="28">
        <v>1690</v>
      </c>
      <c r="B1691" s="28" t="e">
        <f>interpola(#REF!,CURVA!$B$6:$B$20,CURVA!$G$6:$G$20)</f>
        <v>#VALUE!</v>
      </c>
      <c r="C1691" s="29" t="e">
        <f t="shared" si="26"/>
        <v>#VALUE!</v>
      </c>
      <c r="E1691" t="e">
        <f>cubic_spline(CURVA!$B$6:$B$20,CURVA!$G$6:$G$20,#REF!)</f>
        <v>#VALUE!</v>
      </c>
    </row>
    <row r="1692" spans="1:5" x14ac:dyDescent="0.2">
      <c r="A1692" s="28">
        <v>1691</v>
      </c>
      <c r="B1692" s="28" t="e">
        <f>interpola(#REF!,CURVA!$B$6:$B$20,CURVA!$G$6:$G$20)</f>
        <v>#VALUE!</v>
      </c>
      <c r="C1692" s="29" t="e">
        <f t="shared" si="26"/>
        <v>#VALUE!</v>
      </c>
      <c r="E1692" t="e">
        <f>cubic_spline(CURVA!$B$6:$B$20,CURVA!$G$6:$G$20,#REF!)</f>
        <v>#VALUE!</v>
      </c>
    </row>
    <row r="1693" spans="1:5" x14ac:dyDescent="0.2">
      <c r="A1693" s="28">
        <v>1692</v>
      </c>
      <c r="B1693" s="28" t="e">
        <f>interpola(#REF!,CURVA!$B$6:$B$20,CURVA!$G$6:$G$20)</f>
        <v>#VALUE!</v>
      </c>
      <c r="C1693" s="29" t="e">
        <f t="shared" si="26"/>
        <v>#VALUE!</v>
      </c>
      <c r="E1693" t="e">
        <f>cubic_spline(CURVA!$B$6:$B$20,CURVA!$G$6:$G$20,#REF!)</f>
        <v>#VALUE!</v>
      </c>
    </row>
    <row r="1694" spans="1:5" x14ac:dyDescent="0.2">
      <c r="A1694" s="28">
        <v>1693</v>
      </c>
      <c r="B1694" s="28" t="e">
        <f>interpola(#REF!,CURVA!$B$6:$B$20,CURVA!$G$6:$G$20)</f>
        <v>#VALUE!</v>
      </c>
      <c r="C1694" s="29" t="e">
        <f t="shared" si="26"/>
        <v>#VALUE!</v>
      </c>
      <c r="E1694" t="e">
        <f>cubic_spline(CURVA!$B$6:$B$20,CURVA!$G$6:$G$20,#REF!)</f>
        <v>#VALUE!</v>
      </c>
    </row>
    <row r="1695" spans="1:5" x14ac:dyDescent="0.2">
      <c r="A1695" s="28">
        <v>1694</v>
      </c>
      <c r="B1695" s="28" t="e">
        <f>interpola(#REF!,CURVA!$B$6:$B$20,CURVA!$G$6:$G$20)</f>
        <v>#VALUE!</v>
      </c>
      <c r="C1695" s="29" t="e">
        <f t="shared" si="26"/>
        <v>#VALUE!</v>
      </c>
      <c r="E1695" t="e">
        <f>cubic_spline(CURVA!$B$6:$B$20,CURVA!$G$6:$G$20,#REF!)</f>
        <v>#VALUE!</v>
      </c>
    </row>
    <row r="1696" spans="1:5" x14ac:dyDescent="0.2">
      <c r="A1696" s="28">
        <v>1695</v>
      </c>
      <c r="B1696" s="28" t="e">
        <f>interpola(#REF!,CURVA!$B$6:$B$20,CURVA!$G$6:$G$20)</f>
        <v>#VALUE!</v>
      </c>
      <c r="C1696" s="29" t="e">
        <f t="shared" si="26"/>
        <v>#VALUE!</v>
      </c>
      <c r="E1696" t="e">
        <f>cubic_spline(CURVA!$B$6:$B$20,CURVA!$G$6:$G$20,#REF!)</f>
        <v>#VALUE!</v>
      </c>
    </row>
    <row r="1697" spans="1:5" x14ac:dyDescent="0.2">
      <c r="A1697" s="28">
        <v>1696</v>
      </c>
      <c r="B1697" s="28" t="e">
        <f>interpola(#REF!,CURVA!$B$6:$B$20,CURVA!$G$6:$G$20)</f>
        <v>#VALUE!</v>
      </c>
      <c r="C1697" s="29" t="e">
        <f t="shared" si="26"/>
        <v>#VALUE!</v>
      </c>
      <c r="E1697" t="e">
        <f>cubic_spline(CURVA!$B$6:$B$20,CURVA!$G$6:$G$20,#REF!)</f>
        <v>#VALUE!</v>
      </c>
    </row>
    <row r="1698" spans="1:5" x14ac:dyDescent="0.2">
      <c r="A1698" s="28">
        <v>1697</v>
      </c>
      <c r="B1698" s="28" t="e">
        <f>interpola(#REF!,CURVA!$B$6:$B$20,CURVA!$G$6:$G$20)</f>
        <v>#VALUE!</v>
      </c>
      <c r="C1698" s="29" t="e">
        <f t="shared" si="26"/>
        <v>#VALUE!</v>
      </c>
      <c r="E1698" t="e">
        <f>cubic_spline(CURVA!$B$6:$B$20,CURVA!$G$6:$G$20,#REF!)</f>
        <v>#VALUE!</v>
      </c>
    </row>
    <row r="1699" spans="1:5" x14ac:dyDescent="0.2">
      <c r="A1699" s="28">
        <v>1698</v>
      </c>
      <c r="B1699" s="28" t="e">
        <f>interpola(#REF!,CURVA!$B$6:$B$20,CURVA!$G$6:$G$20)</f>
        <v>#VALUE!</v>
      </c>
      <c r="C1699" s="29" t="e">
        <f t="shared" si="26"/>
        <v>#VALUE!</v>
      </c>
      <c r="E1699" t="e">
        <f>cubic_spline(CURVA!$B$6:$B$20,CURVA!$G$6:$G$20,#REF!)</f>
        <v>#VALUE!</v>
      </c>
    </row>
    <row r="1700" spans="1:5" x14ac:dyDescent="0.2">
      <c r="A1700" s="28">
        <v>1699</v>
      </c>
      <c r="B1700" s="28" t="e">
        <f>interpola(#REF!,CURVA!$B$6:$B$20,CURVA!$G$6:$G$20)</f>
        <v>#VALUE!</v>
      </c>
      <c r="C1700" s="29" t="e">
        <f t="shared" si="26"/>
        <v>#VALUE!</v>
      </c>
      <c r="E1700" t="e">
        <f>cubic_spline(CURVA!$B$6:$B$20,CURVA!$G$6:$G$20,#REF!)</f>
        <v>#VALUE!</v>
      </c>
    </row>
    <row r="1701" spans="1:5" x14ac:dyDescent="0.2">
      <c r="A1701" s="28">
        <v>1700</v>
      </c>
      <c r="B1701" s="28" t="e">
        <f>interpola(#REF!,CURVA!$B$6:$B$20,CURVA!$G$6:$G$20)</f>
        <v>#VALUE!</v>
      </c>
      <c r="C1701" s="29" t="e">
        <f t="shared" si="26"/>
        <v>#VALUE!</v>
      </c>
      <c r="E1701" t="e">
        <f>cubic_spline(CURVA!$B$6:$B$20,CURVA!$G$6:$G$20,#REF!)</f>
        <v>#VALUE!</v>
      </c>
    </row>
    <row r="1702" spans="1:5" x14ac:dyDescent="0.2">
      <c r="A1702" s="28">
        <v>1701</v>
      </c>
      <c r="B1702" s="28" t="e">
        <f>interpola(#REF!,CURVA!$B$6:$B$20,CURVA!$G$6:$G$20)</f>
        <v>#VALUE!</v>
      </c>
      <c r="C1702" s="29" t="e">
        <f t="shared" si="26"/>
        <v>#VALUE!</v>
      </c>
      <c r="E1702" t="e">
        <f>cubic_spline(CURVA!$B$6:$B$20,CURVA!$G$6:$G$20,#REF!)</f>
        <v>#VALUE!</v>
      </c>
    </row>
    <row r="1703" spans="1:5" x14ac:dyDescent="0.2">
      <c r="A1703" s="28">
        <v>1702</v>
      </c>
      <c r="B1703" s="28" t="e">
        <f>interpola(#REF!,CURVA!$B$6:$B$20,CURVA!$G$6:$G$20)</f>
        <v>#VALUE!</v>
      </c>
      <c r="C1703" s="29" t="e">
        <f t="shared" si="26"/>
        <v>#VALUE!</v>
      </c>
      <c r="E1703" t="e">
        <f>cubic_spline(CURVA!$B$6:$B$20,CURVA!$G$6:$G$20,#REF!)</f>
        <v>#VALUE!</v>
      </c>
    </row>
    <row r="1704" spans="1:5" x14ac:dyDescent="0.2">
      <c r="A1704" s="28">
        <v>1703</v>
      </c>
      <c r="B1704" s="28" t="e">
        <f>interpola(#REF!,CURVA!$B$6:$B$20,CURVA!$G$6:$G$20)</f>
        <v>#VALUE!</v>
      </c>
      <c r="C1704" s="29" t="e">
        <f t="shared" si="26"/>
        <v>#VALUE!</v>
      </c>
      <c r="E1704" t="e">
        <f>cubic_spline(CURVA!$B$6:$B$20,CURVA!$G$6:$G$20,#REF!)</f>
        <v>#VALUE!</v>
      </c>
    </row>
    <row r="1705" spans="1:5" x14ac:dyDescent="0.2">
      <c r="A1705" s="28">
        <v>1704</v>
      </c>
      <c r="B1705" s="28" t="e">
        <f>interpola(#REF!,CURVA!$B$6:$B$20,CURVA!$G$6:$G$20)</f>
        <v>#VALUE!</v>
      </c>
      <c r="C1705" s="29" t="e">
        <f t="shared" si="26"/>
        <v>#VALUE!</v>
      </c>
      <c r="E1705" t="e">
        <f>cubic_spline(CURVA!$B$6:$B$20,CURVA!$G$6:$G$20,#REF!)</f>
        <v>#VALUE!</v>
      </c>
    </row>
    <row r="1706" spans="1:5" x14ac:dyDescent="0.2">
      <c r="A1706" s="28">
        <v>1705</v>
      </c>
      <c r="B1706" s="28" t="e">
        <f>interpola(#REF!,CURVA!$B$6:$B$20,CURVA!$G$6:$G$20)</f>
        <v>#VALUE!</v>
      </c>
      <c r="C1706" s="29" t="e">
        <f t="shared" si="26"/>
        <v>#VALUE!</v>
      </c>
      <c r="E1706" t="e">
        <f>cubic_spline(CURVA!$B$6:$B$20,CURVA!$G$6:$G$20,#REF!)</f>
        <v>#VALUE!</v>
      </c>
    </row>
    <row r="1707" spans="1:5" x14ac:dyDescent="0.2">
      <c r="A1707" s="28">
        <v>1706</v>
      </c>
      <c r="B1707" s="28" t="e">
        <f>interpola(#REF!,CURVA!$B$6:$B$20,CURVA!$G$6:$G$20)</f>
        <v>#VALUE!</v>
      </c>
      <c r="C1707" s="29" t="e">
        <f t="shared" si="26"/>
        <v>#VALUE!</v>
      </c>
      <c r="E1707" t="e">
        <f>cubic_spline(CURVA!$B$6:$B$20,CURVA!$G$6:$G$20,#REF!)</f>
        <v>#VALUE!</v>
      </c>
    </row>
    <row r="1708" spans="1:5" x14ac:dyDescent="0.2">
      <c r="A1708" s="28">
        <v>1707</v>
      </c>
      <c r="B1708" s="28" t="e">
        <f>interpola(#REF!,CURVA!$B$6:$B$20,CURVA!$G$6:$G$20)</f>
        <v>#VALUE!</v>
      </c>
      <c r="C1708" s="29" t="e">
        <f t="shared" si="26"/>
        <v>#VALUE!</v>
      </c>
      <c r="E1708" t="e">
        <f>cubic_spline(CURVA!$B$6:$B$20,CURVA!$G$6:$G$20,#REF!)</f>
        <v>#VALUE!</v>
      </c>
    </row>
    <row r="1709" spans="1:5" x14ac:dyDescent="0.2">
      <c r="A1709" s="28">
        <v>1708</v>
      </c>
      <c r="B1709" s="28" t="e">
        <f>interpola(#REF!,CURVA!$B$6:$B$20,CURVA!$G$6:$G$20)</f>
        <v>#VALUE!</v>
      </c>
      <c r="C1709" s="29" t="e">
        <f t="shared" si="26"/>
        <v>#VALUE!</v>
      </c>
      <c r="E1709" t="e">
        <f>cubic_spline(CURVA!$B$6:$B$20,CURVA!$G$6:$G$20,#REF!)</f>
        <v>#VALUE!</v>
      </c>
    </row>
    <row r="1710" spans="1:5" x14ac:dyDescent="0.2">
      <c r="A1710" s="28">
        <v>1709</v>
      </c>
      <c r="B1710" s="28" t="e">
        <f>interpola(#REF!,CURVA!$B$6:$B$20,CURVA!$G$6:$G$20)</f>
        <v>#VALUE!</v>
      </c>
      <c r="C1710" s="29" t="e">
        <f t="shared" si="26"/>
        <v>#VALUE!</v>
      </c>
      <c r="E1710" t="e">
        <f>cubic_spline(CURVA!$B$6:$B$20,CURVA!$G$6:$G$20,#REF!)</f>
        <v>#VALUE!</v>
      </c>
    </row>
    <row r="1711" spans="1:5" x14ac:dyDescent="0.2">
      <c r="A1711" s="28">
        <v>1710</v>
      </c>
      <c r="B1711" s="28" t="e">
        <f>interpola(#REF!,CURVA!$B$6:$B$20,CURVA!$G$6:$G$20)</f>
        <v>#VALUE!</v>
      </c>
      <c r="C1711" s="29" t="e">
        <f t="shared" si="26"/>
        <v>#VALUE!</v>
      </c>
      <c r="E1711" t="e">
        <f>cubic_spline(CURVA!$B$6:$B$20,CURVA!$G$6:$G$20,#REF!)</f>
        <v>#VALUE!</v>
      </c>
    </row>
    <row r="1712" spans="1:5" x14ac:dyDescent="0.2">
      <c r="A1712" s="28">
        <v>1711</v>
      </c>
      <c r="B1712" s="28" t="e">
        <f>interpola(#REF!,CURVA!$B$6:$B$20,CURVA!$G$6:$G$20)</f>
        <v>#VALUE!</v>
      </c>
      <c r="C1712" s="29" t="e">
        <f t="shared" si="26"/>
        <v>#VALUE!</v>
      </c>
      <c r="E1712" t="e">
        <f>cubic_spline(CURVA!$B$6:$B$20,CURVA!$G$6:$G$20,#REF!)</f>
        <v>#VALUE!</v>
      </c>
    </row>
    <row r="1713" spans="1:5" x14ac:dyDescent="0.2">
      <c r="A1713" s="28">
        <v>1712</v>
      </c>
      <c r="B1713" s="28" t="e">
        <f>interpola(#REF!,CURVA!$B$6:$B$20,CURVA!$G$6:$G$20)</f>
        <v>#VALUE!</v>
      </c>
      <c r="C1713" s="29" t="e">
        <f t="shared" si="26"/>
        <v>#VALUE!</v>
      </c>
      <c r="E1713" t="e">
        <f>cubic_spline(CURVA!$B$6:$B$20,CURVA!$G$6:$G$20,#REF!)</f>
        <v>#VALUE!</v>
      </c>
    </row>
    <row r="1714" spans="1:5" x14ac:dyDescent="0.2">
      <c r="A1714" s="28">
        <v>1713</v>
      </c>
      <c r="B1714" s="28" t="e">
        <f>interpola(#REF!,CURVA!$B$6:$B$20,CURVA!$G$6:$G$20)</f>
        <v>#VALUE!</v>
      </c>
      <c r="C1714" s="29" t="e">
        <f t="shared" si="26"/>
        <v>#VALUE!</v>
      </c>
      <c r="E1714" t="e">
        <f>cubic_spline(CURVA!$B$6:$B$20,CURVA!$G$6:$G$20,#REF!)</f>
        <v>#VALUE!</v>
      </c>
    </row>
    <row r="1715" spans="1:5" x14ac:dyDescent="0.2">
      <c r="A1715" s="28">
        <v>1714</v>
      </c>
      <c r="B1715" s="28" t="e">
        <f>interpola(#REF!,CURVA!$B$6:$B$20,CURVA!$G$6:$G$20)</f>
        <v>#VALUE!</v>
      </c>
      <c r="C1715" s="29" t="e">
        <f t="shared" si="26"/>
        <v>#VALUE!</v>
      </c>
      <c r="E1715" t="e">
        <f>cubic_spline(CURVA!$B$6:$B$20,CURVA!$G$6:$G$20,#REF!)</f>
        <v>#VALUE!</v>
      </c>
    </row>
    <row r="1716" spans="1:5" x14ac:dyDescent="0.2">
      <c r="A1716" s="28">
        <v>1715</v>
      </c>
      <c r="B1716" s="28" t="e">
        <f>interpola(#REF!,CURVA!$B$6:$B$20,CURVA!$G$6:$G$20)</f>
        <v>#VALUE!</v>
      </c>
      <c r="C1716" s="29" t="e">
        <f t="shared" si="26"/>
        <v>#VALUE!</v>
      </c>
      <c r="E1716" t="e">
        <f>cubic_spline(CURVA!$B$6:$B$20,CURVA!$G$6:$G$20,#REF!)</f>
        <v>#VALUE!</v>
      </c>
    </row>
    <row r="1717" spans="1:5" x14ac:dyDescent="0.2">
      <c r="A1717" s="28">
        <v>1716</v>
      </c>
      <c r="B1717" s="28" t="e">
        <f>interpola(#REF!,CURVA!$B$6:$B$20,CURVA!$G$6:$G$20)</f>
        <v>#VALUE!</v>
      </c>
      <c r="C1717" s="29" t="e">
        <f t="shared" si="26"/>
        <v>#VALUE!</v>
      </c>
      <c r="E1717" t="e">
        <f>cubic_spline(CURVA!$B$6:$B$20,CURVA!$G$6:$G$20,#REF!)</f>
        <v>#VALUE!</v>
      </c>
    </row>
    <row r="1718" spans="1:5" x14ac:dyDescent="0.2">
      <c r="A1718" s="28">
        <v>1717</v>
      </c>
      <c r="B1718" s="28" t="e">
        <f>interpola(#REF!,CURVA!$B$6:$B$20,CURVA!$G$6:$G$20)</f>
        <v>#VALUE!</v>
      </c>
      <c r="C1718" s="29" t="e">
        <f t="shared" si="26"/>
        <v>#VALUE!</v>
      </c>
      <c r="E1718" t="e">
        <f>cubic_spline(CURVA!$B$6:$B$20,CURVA!$G$6:$G$20,#REF!)</f>
        <v>#VALUE!</v>
      </c>
    </row>
    <row r="1719" spans="1:5" x14ac:dyDescent="0.2">
      <c r="A1719" s="28">
        <v>1718</v>
      </c>
      <c r="B1719" s="28" t="e">
        <f>interpola(#REF!,CURVA!$B$6:$B$20,CURVA!$G$6:$G$20)</f>
        <v>#VALUE!</v>
      </c>
      <c r="C1719" s="29" t="e">
        <f t="shared" si="26"/>
        <v>#VALUE!</v>
      </c>
      <c r="E1719" t="e">
        <f>cubic_spline(CURVA!$B$6:$B$20,CURVA!$G$6:$G$20,#REF!)</f>
        <v>#VALUE!</v>
      </c>
    </row>
    <row r="1720" spans="1:5" x14ac:dyDescent="0.2">
      <c r="A1720" s="28">
        <v>1719</v>
      </c>
      <c r="B1720" s="28" t="e">
        <f>interpola(#REF!,CURVA!$B$6:$B$20,CURVA!$G$6:$G$20)</f>
        <v>#VALUE!</v>
      </c>
      <c r="C1720" s="29" t="e">
        <f t="shared" si="26"/>
        <v>#VALUE!</v>
      </c>
      <c r="E1720" t="e">
        <f>cubic_spline(CURVA!$B$6:$B$20,CURVA!$G$6:$G$20,#REF!)</f>
        <v>#VALUE!</v>
      </c>
    </row>
    <row r="1721" spans="1:5" x14ac:dyDescent="0.2">
      <c r="A1721" s="28">
        <v>1720</v>
      </c>
      <c r="B1721" s="28" t="e">
        <f>interpola(#REF!,CURVA!$B$6:$B$20,CURVA!$G$6:$G$20)</f>
        <v>#VALUE!</v>
      </c>
      <c r="C1721" s="29" t="e">
        <f t="shared" si="26"/>
        <v>#VALUE!</v>
      </c>
      <c r="E1721" t="e">
        <f>cubic_spline(CURVA!$B$6:$B$20,CURVA!$G$6:$G$20,#REF!)</f>
        <v>#VALUE!</v>
      </c>
    </row>
    <row r="1722" spans="1:5" x14ac:dyDescent="0.2">
      <c r="A1722" s="28">
        <v>1721</v>
      </c>
      <c r="B1722" s="28" t="e">
        <f>interpola(#REF!,CURVA!$B$6:$B$20,CURVA!$G$6:$G$20)</f>
        <v>#VALUE!</v>
      </c>
      <c r="C1722" s="29" t="e">
        <f t="shared" si="26"/>
        <v>#VALUE!</v>
      </c>
      <c r="E1722" t="e">
        <f>cubic_spline(CURVA!$B$6:$B$20,CURVA!$G$6:$G$20,#REF!)</f>
        <v>#VALUE!</v>
      </c>
    </row>
    <row r="1723" spans="1:5" x14ac:dyDescent="0.2">
      <c r="A1723" s="28">
        <v>1722</v>
      </c>
      <c r="B1723" s="28" t="e">
        <f>interpola(#REF!,CURVA!$B$6:$B$20,CURVA!$G$6:$G$20)</f>
        <v>#VALUE!</v>
      </c>
      <c r="C1723" s="29" t="e">
        <f t="shared" si="26"/>
        <v>#VALUE!</v>
      </c>
      <c r="E1723" t="e">
        <f>cubic_spline(CURVA!$B$6:$B$20,CURVA!$G$6:$G$20,#REF!)</f>
        <v>#VALUE!</v>
      </c>
    </row>
    <row r="1724" spans="1:5" x14ac:dyDescent="0.2">
      <c r="A1724" s="28">
        <v>1723</v>
      </c>
      <c r="B1724" s="28" t="e">
        <f>interpola(#REF!,CURVA!$B$6:$B$20,CURVA!$G$6:$G$20)</f>
        <v>#VALUE!</v>
      </c>
      <c r="C1724" s="29" t="e">
        <f t="shared" si="26"/>
        <v>#VALUE!</v>
      </c>
      <c r="E1724" t="e">
        <f>cubic_spline(CURVA!$B$6:$B$20,CURVA!$G$6:$G$20,#REF!)</f>
        <v>#VALUE!</v>
      </c>
    </row>
    <row r="1725" spans="1:5" x14ac:dyDescent="0.2">
      <c r="A1725" s="28">
        <v>1724</v>
      </c>
      <c r="B1725" s="28" t="e">
        <f>interpola(#REF!,CURVA!$B$6:$B$20,CURVA!$G$6:$G$20)</f>
        <v>#VALUE!</v>
      </c>
      <c r="C1725" s="29" t="e">
        <f t="shared" si="26"/>
        <v>#VALUE!</v>
      </c>
      <c r="E1725" t="e">
        <f>cubic_spline(CURVA!$B$6:$B$20,CURVA!$G$6:$G$20,#REF!)</f>
        <v>#VALUE!</v>
      </c>
    </row>
    <row r="1726" spans="1:5" x14ac:dyDescent="0.2">
      <c r="A1726" s="28">
        <v>1725</v>
      </c>
      <c r="B1726" s="28" t="e">
        <f>interpola(#REF!,CURVA!$B$6:$B$20,CURVA!$G$6:$G$20)</f>
        <v>#VALUE!</v>
      </c>
      <c r="C1726" s="29" t="e">
        <f t="shared" si="26"/>
        <v>#VALUE!</v>
      </c>
      <c r="E1726" t="e">
        <f>cubic_spline(CURVA!$B$6:$B$20,CURVA!$G$6:$G$20,#REF!)</f>
        <v>#VALUE!</v>
      </c>
    </row>
    <row r="1727" spans="1:5" x14ac:dyDescent="0.2">
      <c r="A1727" s="28">
        <v>1726</v>
      </c>
      <c r="B1727" s="28" t="e">
        <f>interpola(#REF!,CURVA!$B$6:$B$20,CURVA!$G$6:$G$20)</f>
        <v>#VALUE!</v>
      </c>
      <c r="C1727" s="29" t="e">
        <f t="shared" si="26"/>
        <v>#VALUE!</v>
      </c>
      <c r="E1727" t="e">
        <f>cubic_spline(CURVA!$B$6:$B$20,CURVA!$G$6:$G$20,#REF!)</f>
        <v>#VALUE!</v>
      </c>
    </row>
    <row r="1728" spans="1:5" x14ac:dyDescent="0.2">
      <c r="A1728" s="28">
        <v>1727</v>
      </c>
      <c r="B1728" s="28" t="e">
        <f>interpola(#REF!,CURVA!$B$6:$B$20,CURVA!$G$6:$G$20)</f>
        <v>#VALUE!</v>
      </c>
      <c r="C1728" s="29" t="e">
        <f t="shared" si="26"/>
        <v>#VALUE!</v>
      </c>
      <c r="E1728" t="e">
        <f>cubic_spline(CURVA!$B$6:$B$20,CURVA!$G$6:$G$20,#REF!)</f>
        <v>#VALUE!</v>
      </c>
    </row>
    <row r="1729" spans="1:5" x14ac:dyDescent="0.2">
      <c r="A1729" s="28">
        <v>1728</v>
      </c>
      <c r="B1729" s="28" t="e">
        <f>interpola(#REF!,CURVA!$B$6:$B$20,CURVA!$G$6:$G$20)</f>
        <v>#VALUE!</v>
      </c>
      <c r="C1729" s="29" t="e">
        <f t="shared" si="26"/>
        <v>#VALUE!</v>
      </c>
      <c r="E1729" t="e">
        <f>cubic_spline(CURVA!$B$6:$B$20,CURVA!$G$6:$G$20,#REF!)</f>
        <v>#VALUE!</v>
      </c>
    </row>
    <row r="1730" spans="1:5" x14ac:dyDescent="0.2">
      <c r="A1730" s="28">
        <v>1729</v>
      </c>
      <c r="B1730" s="28" t="e">
        <f>interpola(#REF!,CURVA!$B$6:$B$20,CURVA!$G$6:$G$20)</f>
        <v>#VALUE!</v>
      </c>
      <c r="C1730" s="29" t="e">
        <f t="shared" ref="C1730:C1793" si="27">(EXP(B1730*A1730/360)-1)*360/A1730</f>
        <v>#VALUE!</v>
      </c>
      <c r="E1730" t="e">
        <f>cubic_spline(CURVA!$B$6:$B$20,CURVA!$G$6:$G$20,#REF!)</f>
        <v>#VALUE!</v>
      </c>
    </row>
    <row r="1731" spans="1:5" x14ac:dyDescent="0.2">
      <c r="A1731" s="28">
        <v>1730</v>
      </c>
      <c r="B1731" s="28" t="e">
        <f>interpola(#REF!,CURVA!$B$6:$B$20,CURVA!$G$6:$G$20)</f>
        <v>#VALUE!</v>
      </c>
      <c r="C1731" s="29" t="e">
        <f t="shared" si="27"/>
        <v>#VALUE!</v>
      </c>
      <c r="E1731" t="e">
        <f>cubic_spline(CURVA!$B$6:$B$20,CURVA!$G$6:$G$20,#REF!)</f>
        <v>#VALUE!</v>
      </c>
    </row>
    <row r="1732" spans="1:5" x14ac:dyDescent="0.2">
      <c r="A1732" s="28">
        <v>1731</v>
      </c>
      <c r="B1732" s="28" t="e">
        <f>interpola(#REF!,CURVA!$B$6:$B$20,CURVA!$G$6:$G$20)</f>
        <v>#VALUE!</v>
      </c>
      <c r="C1732" s="29" t="e">
        <f t="shared" si="27"/>
        <v>#VALUE!</v>
      </c>
      <c r="E1732" t="e">
        <f>cubic_spline(CURVA!$B$6:$B$20,CURVA!$G$6:$G$20,#REF!)</f>
        <v>#VALUE!</v>
      </c>
    </row>
    <row r="1733" spans="1:5" x14ac:dyDescent="0.2">
      <c r="A1733" s="28">
        <v>1732</v>
      </c>
      <c r="B1733" s="28" t="e">
        <f>interpola(#REF!,CURVA!$B$6:$B$20,CURVA!$G$6:$G$20)</f>
        <v>#VALUE!</v>
      </c>
      <c r="C1733" s="29" t="e">
        <f t="shared" si="27"/>
        <v>#VALUE!</v>
      </c>
      <c r="E1733" t="e">
        <f>cubic_spline(CURVA!$B$6:$B$20,CURVA!$G$6:$G$20,#REF!)</f>
        <v>#VALUE!</v>
      </c>
    </row>
    <row r="1734" spans="1:5" x14ac:dyDescent="0.2">
      <c r="A1734" s="28">
        <v>1733</v>
      </c>
      <c r="B1734" s="28" t="e">
        <f>interpola(#REF!,CURVA!$B$6:$B$20,CURVA!$G$6:$G$20)</f>
        <v>#VALUE!</v>
      </c>
      <c r="C1734" s="29" t="e">
        <f t="shared" si="27"/>
        <v>#VALUE!</v>
      </c>
      <c r="E1734" t="e">
        <f>cubic_spline(CURVA!$B$6:$B$20,CURVA!$G$6:$G$20,#REF!)</f>
        <v>#VALUE!</v>
      </c>
    </row>
    <row r="1735" spans="1:5" x14ac:dyDescent="0.2">
      <c r="A1735" s="28">
        <v>1734</v>
      </c>
      <c r="B1735" s="28" t="e">
        <f>interpola(#REF!,CURVA!$B$6:$B$20,CURVA!$G$6:$G$20)</f>
        <v>#VALUE!</v>
      </c>
      <c r="C1735" s="29" t="e">
        <f t="shared" si="27"/>
        <v>#VALUE!</v>
      </c>
      <c r="E1735" t="e">
        <f>cubic_spline(CURVA!$B$6:$B$20,CURVA!$G$6:$G$20,#REF!)</f>
        <v>#VALUE!</v>
      </c>
    </row>
    <row r="1736" spans="1:5" x14ac:dyDescent="0.2">
      <c r="A1736" s="28">
        <v>1735</v>
      </c>
      <c r="B1736" s="28" t="e">
        <f>interpola(#REF!,CURVA!$B$6:$B$20,CURVA!$G$6:$G$20)</f>
        <v>#VALUE!</v>
      </c>
      <c r="C1736" s="29" t="e">
        <f t="shared" si="27"/>
        <v>#VALUE!</v>
      </c>
      <c r="E1736" t="e">
        <f>cubic_spline(CURVA!$B$6:$B$20,CURVA!$G$6:$G$20,#REF!)</f>
        <v>#VALUE!</v>
      </c>
    </row>
    <row r="1737" spans="1:5" x14ac:dyDescent="0.2">
      <c r="A1737" s="28">
        <v>1736</v>
      </c>
      <c r="B1737" s="28" t="e">
        <f>interpola(#REF!,CURVA!$B$6:$B$20,CURVA!$G$6:$G$20)</f>
        <v>#VALUE!</v>
      </c>
      <c r="C1737" s="29" t="e">
        <f t="shared" si="27"/>
        <v>#VALUE!</v>
      </c>
      <c r="E1737" t="e">
        <f>cubic_spline(CURVA!$B$6:$B$20,CURVA!$G$6:$G$20,#REF!)</f>
        <v>#VALUE!</v>
      </c>
    </row>
    <row r="1738" spans="1:5" x14ac:dyDescent="0.2">
      <c r="A1738" s="28">
        <v>1737</v>
      </c>
      <c r="B1738" s="28" t="e">
        <f>interpola(#REF!,CURVA!$B$6:$B$20,CURVA!$G$6:$G$20)</f>
        <v>#VALUE!</v>
      </c>
      <c r="C1738" s="29" t="e">
        <f t="shared" si="27"/>
        <v>#VALUE!</v>
      </c>
      <c r="E1738" t="e">
        <f>cubic_spline(CURVA!$B$6:$B$20,CURVA!$G$6:$G$20,#REF!)</f>
        <v>#VALUE!</v>
      </c>
    </row>
    <row r="1739" spans="1:5" x14ac:dyDescent="0.2">
      <c r="A1739" s="28">
        <v>1738</v>
      </c>
      <c r="B1739" s="28" t="e">
        <f>interpola(#REF!,CURVA!$B$6:$B$20,CURVA!$G$6:$G$20)</f>
        <v>#VALUE!</v>
      </c>
      <c r="C1739" s="29" t="e">
        <f t="shared" si="27"/>
        <v>#VALUE!</v>
      </c>
      <c r="E1739" t="e">
        <f>cubic_spline(CURVA!$B$6:$B$20,CURVA!$G$6:$G$20,#REF!)</f>
        <v>#VALUE!</v>
      </c>
    </row>
    <row r="1740" spans="1:5" x14ac:dyDescent="0.2">
      <c r="A1740" s="28">
        <v>1739</v>
      </c>
      <c r="B1740" s="28" t="e">
        <f>interpola(#REF!,CURVA!$B$6:$B$20,CURVA!$G$6:$G$20)</f>
        <v>#VALUE!</v>
      </c>
      <c r="C1740" s="29" t="e">
        <f t="shared" si="27"/>
        <v>#VALUE!</v>
      </c>
      <c r="E1740" t="e">
        <f>cubic_spline(CURVA!$B$6:$B$20,CURVA!$G$6:$G$20,#REF!)</f>
        <v>#VALUE!</v>
      </c>
    </row>
    <row r="1741" spans="1:5" x14ac:dyDescent="0.2">
      <c r="A1741" s="28">
        <v>1740</v>
      </c>
      <c r="B1741" s="28" t="e">
        <f>interpola(#REF!,CURVA!$B$6:$B$20,CURVA!$G$6:$G$20)</f>
        <v>#VALUE!</v>
      </c>
      <c r="C1741" s="29" t="e">
        <f t="shared" si="27"/>
        <v>#VALUE!</v>
      </c>
      <c r="E1741" t="e">
        <f>cubic_spline(CURVA!$B$6:$B$20,CURVA!$G$6:$G$20,#REF!)</f>
        <v>#VALUE!</v>
      </c>
    </row>
    <row r="1742" spans="1:5" x14ac:dyDescent="0.2">
      <c r="A1742" s="28">
        <v>1741</v>
      </c>
      <c r="B1742" s="28" t="e">
        <f>interpola(#REF!,CURVA!$B$6:$B$20,CURVA!$G$6:$G$20)</f>
        <v>#VALUE!</v>
      </c>
      <c r="C1742" s="29" t="e">
        <f t="shared" si="27"/>
        <v>#VALUE!</v>
      </c>
      <c r="E1742" t="e">
        <f>cubic_spline(CURVA!$B$6:$B$20,CURVA!$G$6:$G$20,#REF!)</f>
        <v>#VALUE!</v>
      </c>
    </row>
    <row r="1743" spans="1:5" x14ac:dyDescent="0.2">
      <c r="A1743" s="28">
        <v>1742</v>
      </c>
      <c r="B1743" s="28" t="e">
        <f>interpola(#REF!,CURVA!$B$6:$B$20,CURVA!$G$6:$G$20)</f>
        <v>#VALUE!</v>
      </c>
      <c r="C1743" s="29" t="e">
        <f t="shared" si="27"/>
        <v>#VALUE!</v>
      </c>
      <c r="E1743" t="e">
        <f>cubic_spline(CURVA!$B$6:$B$20,CURVA!$G$6:$G$20,#REF!)</f>
        <v>#VALUE!</v>
      </c>
    </row>
    <row r="1744" spans="1:5" x14ac:dyDescent="0.2">
      <c r="A1744" s="28">
        <v>1743</v>
      </c>
      <c r="B1744" s="28" t="e">
        <f>interpola(#REF!,CURVA!$B$6:$B$20,CURVA!$G$6:$G$20)</f>
        <v>#VALUE!</v>
      </c>
      <c r="C1744" s="29" t="e">
        <f t="shared" si="27"/>
        <v>#VALUE!</v>
      </c>
      <c r="E1744" t="e">
        <f>cubic_spline(CURVA!$B$6:$B$20,CURVA!$G$6:$G$20,#REF!)</f>
        <v>#VALUE!</v>
      </c>
    </row>
    <row r="1745" spans="1:5" x14ac:dyDescent="0.2">
      <c r="A1745" s="28">
        <v>1744</v>
      </c>
      <c r="B1745" s="28" t="e">
        <f>interpola(#REF!,CURVA!$B$6:$B$20,CURVA!$G$6:$G$20)</f>
        <v>#VALUE!</v>
      </c>
      <c r="C1745" s="29" t="e">
        <f t="shared" si="27"/>
        <v>#VALUE!</v>
      </c>
      <c r="E1745" t="e">
        <f>cubic_spline(CURVA!$B$6:$B$20,CURVA!$G$6:$G$20,#REF!)</f>
        <v>#VALUE!</v>
      </c>
    </row>
    <row r="1746" spans="1:5" x14ac:dyDescent="0.2">
      <c r="A1746" s="28">
        <v>1745</v>
      </c>
      <c r="B1746" s="28" t="e">
        <f>interpola(#REF!,CURVA!$B$6:$B$20,CURVA!$G$6:$G$20)</f>
        <v>#VALUE!</v>
      </c>
      <c r="C1746" s="29" t="e">
        <f t="shared" si="27"/>
        <v>#VALUE!</v>
      </c>
      <c r="E1746" t="e">
        <f>cubic_spline(CURVA!$B$6:$B$20,CURVA!$G$6:$G$20,#REF!)</f>
        <v>#VALUE!</v>
      </c>
    </row>
    <row r="1747" spans="1:5" x14ac:dyDescent="0.2">
      <c r="A1747" s="28">
        <v>1746</v>
      </c>
      <c r="B1747" s="28" t="e">
        <f>interpola(#REF!,CURVA!$B$6:$B$20,CURVA!$G$6:$G$20)</f>
        <v>#VALUE!</v>
      </c>
      <c r="C1747" s="29" t="e">
        <f t="shared" si="27"/>
        <v>#VALUE!</v>
      </c>
      <c r="E1747" t="e">
        <f>cubic_spline(CURVA!$B$6:$B$20,CURVA!$G$6:$G$20,#REF!)</f>
        <v>#VALUE!</v>
      </c>
    </row>
    <row r="1748" spans="1:5" x14ac:dyDescent="0.2">
      <c r="A1748" s="28">
        <v>1747</v>
      </c>
      <c r="B1748" s="28" t="e">
        <f>interpola(#REF!,CURVA!$B$6:$B$20,CURVA!$G$6:$G$20)</f>
        <v>#VALUE!</v>
      </c>
      <c r="C1748" s="29" t="e">
        <f t="shared" si="27"/>
        <v>#VALUE!</v>
      </c>
      <c r="E1748" t="e">
        <f>cubic_spline(CURVA!$B$6:$B$20,CURVA!$G$6:$G$20,#REF!)</f>
        <v>#VALUE!</v>
      </c>
    </row>
    <row r="1749" spans="1:5" x14ac:dyDescent="0.2">
      <c r="A1749" s="28">
        <v>1748</v>
      </c>
      <c r="B1749" s="28" t="e">
        <f>interpola(#REF!,CURVA!$B$6:$B$20,CURVA!$G$6:$G$20)</f>
        <v>#VALUE!</v>
      </c>
      <c r="C1749" s="29" t="e">
        <f t="shared" si="27"/>
        <v>#VALUE!</v>
      </c>
      <c r="E1749" t="e">
        <f>cubic_spline(CURVA!$B$6:$B$20,CURVA!$G$6:$G$20,#REF!)</f>
        <v>#VALUE!</v>
      </c>
    </row>
    <row r="1750" spans="1:5" x14ac:dyDescent="0.2">
      <c r="A1750" s="28">
        <v>1749</v>
      </c>
      <c r="B1750" s="28" t="e">
        <f>interpola(#REF!,CURVA!$B$6:$B$20,CURVA!$G$6:$G$20)</f>
        <v>#VALUE!</v>
      </c>
      <c r="C1750" s="29" t="e">
        <f t="shared" si="27"/>
        <v>#VALUE!</v>
      </c>
      <c r="E1750" t="e">
        <f>cubic_spline(CURVA!$B$6:$B$20,CURVA!$G$6:$G$20,#REF!)</f>
        <v>#VALUE!</v>
      </c>
    </row>
    <row r="1751" spans="1:5" x14ac:dyDescent="0.2">
      <c r="A1751" s="28">
        <v>1750</v>
      </c>
      <c r="B1751" s="28" t="e">
        <f>interpola(#REF!,CURVA!$B$6:$B$20,CURVA!$G$6:$G$20)</f>
        <v>#VALUE!</v>
      </c>
      <c r="C1751" s="29" t="e">
        <f t="shared" si="27"/>
        <v>#VALUE!</v>
      </c>
      <c r="E1751" t="e">
        <f>cubic_spline(CURVA!$B$6:$B$20,CURVA!$G$6:$G$20,#REF!)</f>
        <v>#VALUE!</v>
      </c>
    </row>
    <row r="1752" spans="1:5" x14ac:dyDescent="0.2">
      <c r="A1752" s="28">
        <v>1751</v>
      </c>
      <c r="B1752" s="28" t="e">
        <f>interpola(#REF!,CURVA!$B$6:$B$20,CURVA!$G$6:$G$20)</f>
        <v>#VALUE!</v>
      </c>
      <c r="C1752" s="29" t="e">
        <f t="shared" si="27"/>
        <v>#VALUE!</v>
      </c>
      <c r="E1752" t="e">
        <f>cubic_spline(CURVA!$B$6:$B$20,CURVA!$G$6:$G$20,#REF!)</f>
        <v>#VALUE!</v>
      </c>
    </row>
    <row r="1753" spans="1:5" x14ac:dyDescent="0.2">
      <c r="A1753" s="28">
        <v>1752</v>
      </c>
      <c r="B1753" s="28" t="e">
        <f>interpola(#REF!,CURVA!$B$6:$B$20,CURVA!$G$6:$G$20)</f>
        <v>#VALUE!</v>
      </c>
      <c r="C1753" s="29" t="e">
        <f t="shared" si="27"/>
        <v>#VALUE!</v>
      </c>
      <c r="E1753" t="e">
        <f>cubic_spline(CURVA!$B$6:$B$20,CURVA!$G$6:$G$20,#REF!)</f>
        <v>#VALUE!</v>
      </c>
    </row>
    <row r="1754" spans="1:5" x14ac:dyDescent="0.2">
      <c r="A1754" s="28">
        <v>1753</v>
      </c>
      <c r="B1754" s="28" t="e">
        <f>interpola(#REF!,CURVA!$B$6:$B$20,CURVA!$G$6:$G$20)</f>
        <v>#VALUE!</v>
      </c>
      <c r="C1754" s="29" t="e">
        <f t="shared" si="27"/>
        <v>#VALUE!</v>
      </c>
      <c r="E1754" t="e">
        <f>cubic_spline(CURVA!$B$6:$B$20,CURVA!$G$6:$G$20,#REF!)</f>
        <v>#VALUE!</v>
      </c>
    </row>
    <row r="1755" spans="1:5" x14ac:dyDescent="0.2">
      <c r="A1755" s="28">
        <v>1754</v>
      </c>
      <c r="B1755" s="28" t="e">
        <f>interpola(#REF!,CURVA!$B$6:$B$20,CURVA!$G$6:$G$20)</f>
        <v>#VALUE!</v>
      </c>
      <c r="C1755" s="29" t="e">
        <f t="shared" si="27"/>
        <v>#VALUE!</v>
      </c>
      <c r="E1755" t="e">
        <f>cubic_spline(CURVA!$B$6:$B$20,CURVA!$G$6:$G$20,#REF!)</f>
        <v>#VALUE!</v>
      </c>
    </row>
    <row r="1756" spans="1:5" x14ac:dyDescent="0.2">
      <c r="A1756" s="28">
        <v>1755</v>
      </c>
      <c r="B1756" s="28" t="e">
        <f>interpola(#REF!,CURVA!$B$6:$B$20,CURVA!$G$6:$G$20)</f>
        <v>#VALUE!</v>
      </c>
      <c r="C1756" s="29" t="e">
        <f t="shared" si="27"/>
        <v>#VALUE!</v>
      </c>
      <c r="E1756" t="e">
        <f>cubic_spline(CURVA!$B$6:$B$20,CURVA!$G$6:$G$20,#REF!)</f>
        <v>#VALUE!</v>
      </c>
    </row>
    <row r="1757" spans="1:5" x14ac:dyDescent="0.2">
      <c r="A1757" s="28">
        <v>1756</v>
      </c>
      <c r="B1757" s="28" t="e">
        <f>interpola(#REF!,CURVA!$B$6:$B$20,CURVA!$G$6:$G$20)</f>
        <v>#VALUE!</v>
      </c>
      <c r="C1757" s="29" t="e">
        <f t="shared" si="27"/>
        <v>#VALUE!</v>
      </c>
      <c r="E1757" t="e">
        <f>cubic_spline(CURVA!$B$6:$B$20,CURVA!$G$6:$G$20,#REF!)</f>
        <v>#VALUE!</v>
      </c>
    </row>
    <row r="1758" spans="1:5" x14ac:dyDescent="0.2">
      <c r="A1758" s="28">
        <v>1757</v>
      </c>
      <c r="B1758" s="28" t="e">
        <f>interpola(#REF!,CURVA!$B$6:$B$20,CURVA!$G$6:$G$20)</f>
        <v>#VALUE!</v>
      </c>
      <c r="C1758" s="29" t="e">
        <f t="shared" si="27"/>
        <v>#VALUE!</v>
      </c>
      <c r="E1758" t="e">
        <f>cubic_spline(CURVA!$B$6:$B$20,CURVA!$G$6:$G$20,#REF!)</f>
        <v>#VALUE!</v>
      </c>
    </row>
    <row r="1759" spans="1:5" x14ac:dyDescent="0.2">
      <c r="A1759" s="28">
        <v>1758</v>
      </c>
      <c r="B1759" s="28" t="e">
        <f>interpola(#REF!,CURVA!$B$6:$B$20,CURVA!$G$6:$G$20)</f>
        <v>#VALUE!</v>
      </c>
      <c r="C1759" s="29" t="e">
        <f t="shared" si="27"/>
        <v>#VALUE!</v>
      </c>
      <c r="E1759" t="e">
        <f>cubic_spline(CURVA!$B$6:$B$20,CURVA!$G$6:$G$20,#REF!)</f>
        <v>#VALUE!</v>
      </c>
    </row>
    <row r="1760" spans="1:5" x14ac:dyDescent="0.2">
      <c r="A1760" s="28">
        <v>1759</v>
      </c>
      <c r="B1760" s="28" t="e">
        <f>interpola(#REF!,CURVA!$B$6:$B$20,CURVA!$G$6:$G$20)</f>
        <v>#VALUE!</v>
      </c>
      <c r="C1760" s="29" t="e">
        <f t="shared" si="27"/>
        <v>#VALUE!</v>
      </c>
      <c r="E1760" t="e">
        <f>cubic_spline(CURVA!$B$6:$B$20,CURVA!$G$6:$G$20,#REF!)</f>
        <v>#VALUE!</v>
      </c>
    </row>
    <row r="1761" spans="1:5" x14ac:dyDescent="0.2">
      <c r="A1761" s="28">
        <v>1760</v>
      </c>
      <c r="B1761" s="28" t="e">
        <f>interpola(#REF!,CURVA!$B$6:$B$20,CURVA!$G$6:$G$20)</f>
        <v>#VALUE!</v>
      </c>
      <c r="C1761" s="29" t="e">
        <f t="shared" si="27"/>
        <v>#VALUE!</v>
      </c>
      <c r="E1761" t="e">
        <f>cubic_spline(CURVA!$B$6:$B$20,CURVA!$G$6:$G$20,#REF!)</f>
        <v>#VALUE!</v>
      </c>
    </row>
    <row r="1762" spans="1:5" x14ac:dyDescent="0.2">
      <c r="A1762" s="28">
        <v>1761</v>
      </c>
      <c r="B1762" s="28" t="e">
        <f>interpola(#REF!,CURVA!$B$6:$B$20,CURVA!$G$6:$G$20)</f>
        <v>#VALUE!</v>
      </c>
      <c r="C1762" s="29" t="e">
        <f t="shared" si="27"/>
        <v>#VALUE!</v>
      </c>
      <c r="E1762" t="e">
        <f>cubic_spline(CURVA!$B$6:$B$20,CURVA!$G$6:$G$20,#REF!)</f>
        <v>#VALUE!</v>
      </c>
    </row>
    <row r="1763" spans="1:5" x14ac:dyDescent="0.2">
      <c r="A1763" s="28">
        <v>1762</v>
      </c>
      <c r="B1763" s="28" t="e">
        <f>interpola(#REF!,CURVA!$B$6:$B$20,CURVA!$G$6:$G$20)</f>
        <v>#VALUE!</v>
      </c>
      <c r="C1763" s="29" t="e">
        <f t="shared" si="27"/>
        <v>#VALUE!</v>
      </c>
      <c r="E1763" t="e">
        <f>cubic_spline(CURVA!$B$6:$B$20,CURVA!$G$6:$G$20,#REF!)</f>
        <v>#VALUE!</v>
      </c>
    </row>
    <row r="1764" spans="1:5" x14ac:dyDescent="0.2">
      <c r="A1764" s="28">
        <v>1763</v>
      </c>
      <c r="B1764" s="28" t="e">
        <f>interpola(#REF!,CURVA!$B$6:$B$20,CURVA!$G$6:$G$20)</f>
        <v>#VALUE!</v>
      </c>
      <c r="C1764" s="29" t="e">
        <f t="shared" si="27"/>
        <v>#VALUE!</v>
      </c>
      <c r="E1764" t="e">
        <f>cubic_spline(CURVA!$B$6:$B$20,CURVA!$G$6:$G$20,#REF!)</f>
        <v>#VALUE!</v>
      </c>
    </row>
    <row r="1765" spans="1:5" x14ac:dyDescent="0.2">
      <c r="A1765" s="28">
        <v>1764</v>
      </c>
      <c r="B1765" s="28" t="e">
        <f>interpola(#REF!,CURVA!$B$6:$B$20,CURVA!$G$6:$G$20)</f>
        <v>#VALUE!</v>
      </c>
      <c r="C1765" s="29" t="e">
        <f t="shared" si="27"/>
        <v>#VALUE!</v>
      </c>
      <c r="E1765" t="e">
        <f>cubic_spline(CURVA!$B$6:$B$20,CURVA!$G$6:$G$20,#REF!)</f>
        <v>#VALUE!</v>
      </c>
    </row>
    <row r="1766" spans="1:5" x14ac:dyDescent="0.2">
      <c r="A1766" s="28">
        <v>1765</v>
      </c>
      <c r="B1766" s="28" t="e">
        <f>interpola(#REF!,CURVA!$B$6:$B$20,CURVA!$G$6:$G$20)</f>
        <v>#VALUE!</v>
      </c>
      <c r="C1766" s="29" t="e">
        <f t="shared" si="27"/>
        <v>#VALUE!</v>
      </c>
      <c r="E1766" t="e">
        <f>cubic_spline(CURVA!$B$6:$B$20,CURVA!$G$6:$G$20,#REF!)</f>
        <v>#VALUE!</v>
      </c>
    </row>
    <row r="1767" spans="1:5" x14ac:dyDescent="0.2">
      <c r="A1767" s="28">
        <v>1766</v>
      </c>
      <c r="B1767" s="28" t="e">
        <f>interpola(#REF!,CURVA!$B$6:$B$20,CURVA!$G$6:$G$20)</f>
        <v>#VALUE!</v>
      </c>
      <c r="C1767" s="29" t="e">
        <f t="shared" si="27"/>
        <v>#VALUE!</v>
      </c>
      <c r="E1767" t="e">
        <f>cubic_spline(CURVA!$B$6:$B$20,CURVA!$G$6:$G$20,#REF!)</f>
        <v>#VALUE!</v>
      </c>
    </row>
    <row r="1768" spans="1:5" x14ac:dyDescent="0.2">
      <c r="A1768" s="28">
        <v>1767</v>
      </c>
      <c r="B1768" s="28" t="e">
        <f>interpola(#REF!,CURVA!$B$6:$B$20,CURVA!$G$6:$G$20)</f>
        <v>#VALUE!</v>
      </c>
      <c r="C1768" s="29" t="e">
        <f t="shared" si="27"/>
        <v>#VALUE!</v>
      </c>
      <c r="E1768" t="e">
        <f>cubic_spline(CURVA!$B$6:$B$20,CURVA!$G$6:$G$20,#REF!)</f>
        <v>#VALUE!</v>
      </c>
    </row>
    <row r="1769" spans="1:5" x14ac:dyDescent="0.2">
      <c r="A1769" s="28">
        <v>1768</v>
      </c>
      <c r="B1769" s="28" t="e">
        <f>interpola(#REF!,CURVA!$B$6:$B$20,CURVA!$G$6:$G$20)</f>
        <v>#VALUE!</v>
      </c>
      <c r="C1769" s="29" t="e">
        <f t="shared" si="27"/>
        <v>#VALUE!</v>
      </c>
      <c r="E1769" t="e">
        <f>cubic_spline(CURVA!$B$6:$B$20,CURVA!$G$6:$G$20,#REF!)</f>
        <v>#VALUE!</v>
      </c>
    </row>
    <row r="1770" spans="1:5" x14ac:dyDescent="0.2">
      <c r="A1770" s="28">
        <v>1769</v>
      </c>
      <c r="B1770" s="28" t="e">
        <f>interpola(#REF!,CURVA!$B$6:$B$20,CURVA!$G$6:$G$20)</f>
        <v>#VALUE!</v>
      </c>
      <c r="C1770" s="29" t="e">
        <f t="shared" si="27"/>
        <v>#VALUE!</v>
      </c>
      <c r="E1770" t="e">
        <f>cubic_spline(CURVA!$B$6:$B$20,CURVA!$G$6:$G$20,#REF!)</f>
        <v>#VALUE!</v>
      </c>
    </row>
    <row r="1771" spans="1:5" x14ac:dyDescent="0.2">
      <c r="A1771" s="28">
        <v>1770</v>
      </c>
      <c r="B1771" s="28" t="e">
        <f>interpola(#REF!,CURVA!$B$6:$B$20,CURVA!$G$6:$G$20)</f>
        <v>#VALUE!</v>
      </c>
      <c r="C1771" s="29" t="e">
        <f t="shared" si="27"/>
        <v>#VALUE!</v>
      </c>
      <c r="E1771" t="e">
        <f>cubic_spline(CURVA!$B$6:$B$20,CURVA!$G$6:$G$20,#REF!)</f>
        <v>#VALUE!</v>
      </c>
    </row>
    <row r="1772" spans="1:5" x14ac:dyDescent="0.2">
      <c r="A1772" s="28">
        <v>1771</v>
      </c>
      <c r="B1772" s="28" t="e">
        <f>interpola(#REF!,CURVA!$B$6:$B$20,CURVA!$G$6:$G$20)</f>
        <v>#VALUE!</v>
      </c>
      <c r="C1772" s="29" t="e">
        <f t="shared" si="27"/>
        <v>#VALUE!</v>
      </c>
      <c r="E1772" t="e">
        <f>cubic_spline(CURVA!$B$6:$B$20,CURVA!$G$6:$G$20,#REF!)</f>
        <v>#VALUE!</v>
      </c>
    </row>
    <row r="1773" spans="1:5" x14ac:dyDescent="0.2">
      <c r="A1773" s="28">
        <v>1772</v>
      </c>
      <c r="B1773" s="28" t="e">
        <f>interpola(#REF!,CURVA!$B$6:$B$20,CURVA!$G$6:$G$20)</f>
        <v>#VALUE!</v>
      </c>
      <c r="C1773" s="29" t="e">
        <f t="shared" si="27"/>
        <v>#VALUE!</v>
      </c>
      <c r="E1773" t="e">
        <f>cubic_spline(CURVA!$B$6:$B$20,CURVA!$G$6:$G$20,#REF!)</f>
        <v>#VALUE!</v>
      </c>
    </row>
    <row r="1774" spans="1:5" x14ac:dyDescent="0.2">
      <c r="A1774" s="28">
        <v>1773</v>
      </c>
      <c r="B1774" s="28" t="e">
        <f>interpola(#REF!,CURVA!$B$6:$B$20,CURVA!$G$6:$G$20)</f>
        <v>#VALUE!</v>
      </c>
      <c r="C1774" s="29" t="e">
        <f t="shared" si="27"/>
        <v>#VALUE!</v>
      </c>
      <c r="E1774" t="e">
        <f>cubic_spline(CURVA!$B$6:$B$20,CURVA!$G$6:$G$20,#REF!)</f>
        <v>#VALUE!</v>
      </c>
    </row>
    <row r="1775" spans="1:5" x14ac:dyDescent="0.2">
      <c r="A1775" s="28">
        <v>1774</v>
      </c>
      <c r="B1775" s="28" t="e">
        <f>interpola(#REF!,CURVA!$B$6:$B$20,CURVA!$G$6:$G$20)</f>
        <v>#VALUE!</v>
      </c>
      <c r="C1775" s="29" t="e">
        <f t="shared" si="27"/>
        <v>#VALUE!</v>
      </c>
      <c r="E1775" t="e">
        <f>cubic_spline(CURVA!$B$6:$B$20,CURVA!$G$6:$G$20,#REF!)</f>
        <v>#VALUE!</v>
      </c>
    </row>
    <row r="1776" spans="1:5" x14ac:dyDescent="0.2">
      <c r="A1776" s="28">
        <v>1775</v>
      </c>
      <c r="B1776" s="28" t="e">
        <f>interpola(#REF!,CURVA!$B$6:$B$20,CURVA!$G$6:$G$20)</f>
        <v>#VALUE!</v>
      </c>
      <c r="C1776" s="29" t="e">
        <f t="shared" si="27"/>
        <v>#VALUE!</v>
      </c>
      <c r="E1776" t="e">
        <f>cubic_spline(CURVA!$B$6:$B$20,CURVA!$G$6:$G$20,#REF!)</f>
        <v>#VALUE!</v>
      </c>
    </row>
    <row r="1777" spans="1:5" x14ac:dyDescent="0.2">
      <c r="A1777" s="28">
        <v>1776</v>
      </c>
      <c r="B1777" s="28" t="e">
        <f>interpola(#REF!,CURVA!$B$6:$B$20,CURVA!$G$6:$G$20)</f>
        <v>#VALUE!</v>
      </c>
      <c r="C1777" s="29" t="e">
        <f t="shared" si="27"/>
        <v>#VALUE!</v>
      </c>
      <c r="E1777" t="e">
        <f>cubic_spline(CURVA!$B$6:$B$20,CURVA!$G$6:$G$20,#REF!)</f>
        <v>#VALUE!</v>
      </c>
    </row>
    <row r="1778" spans="1:5" x14ac:dyDescent="0.2">
      <c r="A1778" s="28">
        <v>1777</v>
      </c>
      <c r="B1778" s="28" t="e">
        <f>interpola(#REF!,CURVA!$B$6:$B$20,CURVA!$G$6:$G$20)</f>
        <v>#VALUE!</v>
      </c>
      <c r="C1778" s="29" t="e">
        <f t="shared" si="27"/>
        <v>#VALUE!</v>
      </c>
      <c r="E1778" t="e">
        <f>cubic_spline(CURVA!$B$6:$B$20,CURVA!$G$6:$G$20,#REF!)</f>
        <v>#VALUE!</v>
      </c>
    </row>
    <row r="1779" spans="1:5" x14ac:dyDescent="0.2">
      <c r="A1779" s="28">
        <v>1778</v>
      </c>
      <c r="B1779" s="28" t="e">
        <f>interpola(#REF!,CURVA!$B$6:$B$20,CURVA!$G$6:$G$20)</f>
        <v>#VALUE!</v>
      </c>
      <c r="C1779" s="29" t="e">
        <f t="shared" si="27"/>
        <v>#VALUE!</v>
      </c>
      <c r="E1779" t="e">
        <f>cubic_spline(CURVA!$B$6:$B$20,CURVA!$G$6:$G$20,#REF!)</f>
        <v>#VALUE!</v>
      </c>
    </row>
    <row r="1780" spans="1:5" x14ac:dyDescent="0.2">
      <c r="A1780" s="28">
        <v>1779</v>
      </c>
      <c r="B1780" s="28" t="e">
        <f>interpola(#REF!,CURVA!$B$6:$B$20,CURVA!$G$6:$G$20)</f>
        <v>#VALUE!</v>
      </c>
      <c r="C1780" s="29" t="e">
        <f t="shared" si="27"/>
        <v>#VALUE!</v>
      </c>
      <c r="E1780" t="e">
        <f>cubic_spline(CURVA!$B$6:$B$20,CURVA!$G$6:$G$20,#REF!)</f>
        <v>#VALUE!</v>
      </c>
    </row>
    <row r="1781" spans="1:5" x14ac:dyDescent="0.2">
      <c r="A1781" s="28">
        <v>1780</v>
      </c>
      <c r="B1781" s="28" t="e">
        <f>interpola(#REF!,CURVA!$B$6:$B$20,CURVA!$G$6:$G$20)</f>
        <v>#VALUE!</v>
      </c>
      <c r="C1781" s="29" t="e">
        <f t="shared" si="27"/>
        <v>#VALUE!</v>
      </c>
      <c r="E1781" t="e">
        <f>cubic_spline(CURVA!$B$6:$B$20,CURVA!$G$6:$G$20,#REF!)</f>
        <v>#VALUE!</v>
      </c>
    </row>
    <row r="1782" spans="1:5" x14ac:dyDescent="0.2">
      <c r="A1782" s="28">
        <v>1781</v>
      </c>
      <c r="B1782" s="28" t="e">
        <f>interpola(#REF!,CURVA!$B$6:$B$20,CURVA!$G$6:$G$20)</f>
        <v>#VALUE!</v>
      </c>
      <c r="C1782" s="29" t="e">
        <f t="shared" si="27"/>
        <v>#VALUE!</v>
      </c>
      <c r="E1782" t="e">
        <f>cubic_spline(CURVA!$B$6:$B$20,CURVA!$G$6:$G$20,#REF!)</f>
        <v>#VALUE!</v>
      </c>
    </row>
    <row r="1783" spans="1:5" x14ac:dyDescent="0.2">
      <c r="A1783" s="28">
        <v>1782</v>
      </c>
      <c r="B1783" s="28" t="e">
        <f>interpola(#REF!,CURVA!$B$6:$B$20,CURVA!$G$6:$G$20)</f>
        <v>#VALUE!</v>
      </c>
      <c r="C1783" s="29" t="e">
        <f t="shared" si="27"/>
        <v>#VALUE!</v>
      </c>
      <c r="E1783" t="e">
        <f>cubic_spline(CURVA!$B$6:$B$20,CURVA!$G$6:$G$20,#REF!)</f>
        <v>#VALUE!</v>
      </c>
    </row>
    <row r="1784" spans="1:5" x14ac:dyDescent="0.2">
      <c r="A1784" s="28">
        <v>1783</v>
      </c>
      <c r="B1784" s="28" t="e">
        <f>interpola(#REF!,CURVA!$B$6:$B$20,CURVA!$G$6:$G$20)</f>
        <v>#VALUE!</v>
      </c>
      <c r="C1784" s="29" t="e">
        <f t="shared" si="27"/>
        <v>#VALUE!</v>
      </c>
      <c r="E1784" t="e">
        <f>cubic_spline(CURVA!$B$6:$B$20,CURVA!$G$6:$G$20,#REF!)</f>
        <v>#VALUE!</v>
      </c>
    </row>
    <row r="1785" spans="1:5" x14ac:dyDescent="0.2">
      <c r="A1785" s="28">
        <v>1784</v>
      </c>
      <c r="B1785" s="28" t="e">
        <f>interpola(#REF!,CURVA!$B$6:$B$20,CURVA!$G$6:$G$20)</f>
        <v>#VALUE!</v>
      </c>
      <c r="C1785" s="29" t="e">
        <f t="shared" si="27"/>
        <v>#VALUE!</v>
      </c>
      <c r="E1785" t="e">
        <f>cubic_spline(CURVA!$B$6:$B$20,CURVA!$G$6:$G$20,#REF!)</f>
        <v>#VALUE!</v>
      </c>
    </row>
    <row r="1786" spans="1:5" x14ac:dyDescent="0.2">
      <c r="A1786" s="28">
        <v>1785</v>
      </c>
      <c r="B1786" s="28" t="e">
        <f>interpola(#REF!,CURVA!$B$6:$B$20,CURVA!$G$6:$G$20)</f>
        <v>#VALUE!</v>
      </c>
      <c r="C1786" s="29" t="e">
        <f t="shared" si="27"/>
        <v>#VALUE!</v>
      </c>
      <c r="E1786" t="e">
        <f>cubic_spline(CURVA!$B$6:$B$20,CURVA!$G$6:$G$20,#REF!)</f>
        <v>#VALUE!</v>
      </c>
    </row>
    <row r="1787" spans="1:5" x14ac:dyDescent="0.2">
      <c r="A1787" s="28">
        <v>1786</v>
      </c>
      <c r="B1787" s="28" t="e">
        <f>interpola(#REF!,CURVA!$B$6:$B$20,CURVA!$G$6:$G$20)</f>
        <v>#VALUE!</v>
      </c>
      <c r="C1787" s="29" t="e">
        <f t="shared" si="27"/>
        <v>#VALUE!</v>
      </c>
      <c r="E1787" t="e">
        <f>cubic_spline(CURVA!$B$6:$B$20,CURVA!$G$6:$G$20,#REF!)</f>
        <v>#VALUE!</v>
      </c>
    </row>
    <row r="1788" spans="1:5" x14ac:dyDescent="0.2">
      <c r="A1788" s="28">
        <v>1787</v>
      </c>
      <c r="B1788" s="28" t="e">
        <f>interpola(#REF!,CURVA!$B$6:$B$20,CURVA!$G$6:$G$20)</f>
        <v>#VALUE!</v>
      </c>
      <c r="C1788" s="29" t="e">
        <f t="shared" si="27"/>
        <v>#VALUE!</v>
      </c>
      <c r="E1788" t="e">
        <f>cubic_spline(CURVA!$B$6:$B$20,CURVA!$G$6:$G$20,#REF!)</f>
        <v>#VALUE!</v>
      </c>
    </row>
    <row r="1789" spans="1:5" x14ac:dyDescent="0.2">
      <c r="A1789" s="28">
        <v>1788</v>
      </c>
      <c r="B1789" s="28" t="e">
        <f>interpola(#REF!,CURVA!$B$6:$B$20,CURVA!$G$6:$G$20)</f>
        <v>#VALUE!</v>
      </c>
      <c r="C1789" s="29" t="e">
        <f t="shared" si="27"/>
        <v>#VALUE!</v>
      </c>
      <c r="E1789" t="e">
        <f>cubic_spline(CURVA!$B$6:$B$20,CURVA!$G$6:$G$20,#REF!)</f>
        <v>#VALUE!</v>
      </c>
    </row>
    <row r="1790" spans="1:5" x14ac:dyDescent="0.2">
      <c r="A1790" s="28">
        <v>1789</v>
      </c>
      <c r="B1790" s="28" t="e">
        <f>interpola(#REF!,CURVA!$B$6:$B$20,CURVA!$G$6:$G$20)</f>
        <v>#VALUE!</v>
      </c>
      <c r="C1790" s="29" t="e">
        <f t="shared" si="27"/>
        <v>#VALUE!</v>
      </c>
      <c r="E1790" t="e">
        <f>cubic_spline(CURVA!$B$6:$B$20,CURVA!$G$6:$G$20,#REF!)</f>
        <v>#VALUE!</v>
      </c>
    </row>
    <row r="1791" spans="1:5" x14ac:dyDescent="0.2">
      <c r="A1791" s="28">
        <v>1790</v>
      </c>
      <c r="B1791" s="28" t="e">
        <f>interpola(#REF!,CURVA!$B$6:$B$20,CURVA!$G$6:$G$20)</f>
        <v>#VALUE!</v>
      </c>
      <c r="C1791" s="29" t="e">
        <f t="shared" si="27"/>
        <v>#VALUE!</v>
      </c>
      <c r="E1791" t="e">
        <f>cubic_spline(CURVA!$B$6:$B$20,CURVA!$G$6:$G$20,#REF!)</f>
        <v>#VALUE!</v>
      </c>
    </row>
    <row r="1792" spans="1:5" x14ac:dyDescent="0.2">
      <c r="A1792" s="28">
        <v>1791</v>
      </c>
      <c r="B1792" s="28" t="e">
        <f>interpola(#REF!,CURVA!$B$6:$B$20,CURVA!$G$6:$G$20)</f>
        <v>#VALUE!</v>
      </c>
      <c r="C1792" s="29" t="e">
        <f t="shared" si="27"/>
        <v>#VALUE!</v>
      </c>
      <c r="E1792" t="e">
        <f>cubic_spline(CURVA!$B$6:$B$20,CURVA!$G$6:$G$20,#REF!)</f>
        <v>#VALUE!</v>
      </c>
    </row>
    <row r="1793" spans="1:5" x14ac:dyDescent="0.2">
      <c r="A1793" s="28">
        <v>1792</v>
      </c>
      <c r="B1793" s="28" t="e">
        <f>interpola(#REF!,CURVA!$B$6:$B$20,CURVA!$G$6:$G$20)</f>
        <v>#VALUE!</v>
      </c>
      <c r="C1793" s="29" t="e">
        <f t="shared" si="27"/>
        <v>#VALUE!</v>
      </c>
      <c r="E1793" t="e">
        <f>cubic_spline(CURVA!$B$6:$B$20,CURVA!$G$6:$G$20,#REF!)</f>
        <v>#VALUE!</v>
      </c>
    </row>
    <row r="1794" spans="1:5" x14ac:dyDescent="0.2">
      <c r="A1794" s="28">
        <v>1793</v>
      </c>
      <c r="B1794" s="28" t="e">
        <f>interpola(#REF!,CURVA!$B$6:$B$20,CURVA!$G$6:$G$20)</f>
        <v>#VALUE!</v>
      </c>
      <c r="C1794" s="29" t="e">
        <f t="shared" ref="C1794:C1857" si="28">(EXP(B1794*A1794/360)-1)*360/A1794</f>
        <v>#VALUE!</v>
      </c>
      <c r="E1794" t="e">
        <f>cubic_spline(CURVA!$B$6:$B$20,CURVA!$G$6:$G$20,#REF!)</f>
        <v>#VALUE!</v>
      </c>
    </row>
    <row r="1795" spans="1:5" x14ac:dyDescent="0.2">
      <c r="A1795" s="28">
        <v>1794</v>
      </c>
      <c r="B1795" s="28" t="e">
        <f>interpola(#REF!,CURVA!$B$6:$B$20,CURVA!$G$6:$G$20)</f>
        <v>#VALUE!</v>
      </c>
      <c r="C1795" s="29" t="e">
        <f t="shared" si="28"/>
        <v>#VALUE!</v>
      </c>
      <c r="E1795" t="e">
        <f>cubic_spline(CURVA!$B$6:$B$20,CURVA!$G$6:$G$20,#REF!)</f>
        <v>#VALUE!</v>
      </c>
    </row>
    <row r="1796" spans="1:5" x14ac:dyDescent="0.2">
      <c r="A1796" s="28">
        <v>1795</v>
      </c>
      <c r="B1796" s="28" t="e">
        <f>interpola(#REF!,CURVA!$B$6:$B$20,CURVA!$G$6:$G$20)</f>
        <v>#VALUE!</v>
      </c>
      <c r="C1796" s="29" t="e">
        <f t="shared" si="28"/>
        <v>#VALUE!</v>
      </c>
      <c r="E1796" t="e">
        <f>cubic_spline(CURVA!$B$6:$B$20,CURVA!$G$6:$G$20,#REF!)</f>
        <v>#VALUE!</v>
      </c>
    </row>
    <row r="1797" spans="1:5" x14ac:dyDescent="0.2">
      <c r="A1797" s="28">
        <v>1796</v>
      </c>
      <c r="B1797" s="28" t="e">
        <f>interpola(#REF!,CURVA!$B$6:$B$20,CURVA!$G$6:$G$20)</f>
        <v>#VALUE!</v>
      </c>
      <c r="C1797" s="29" t="e">
        <f t="shared" si="28"/>
        <v>#VALUE!</v>
      </c>
      <c r="E1797" t="e">
        <f>cubic_spline(CURVA!$B$6:$B$20,CURVA!$G$6:$G$20,#REF!)</f>
        <v>#VALUE!</v>
      </c>
    </row>
    <row r="1798" spans="1:5" x14ac:dyDescent="0.2">
      <c r="A1798" s="28">
        <v>1797</v>
      </c>
      <c r="B1798" s="28" t="e">
        <f>interpola(#REF!,CURVA!$B$6:$B$20,CURVA!$G$6:$G$20)</f>
        <v>#VALUE!</v>
      </c>
      <c r="C1798" s="29" t="e">
        <f t="shared" si="28"/>
        <v>#VALUE!</v>
      </c>
      <c r="E1798" t="e">
        <f>cubic_spline(CURVA!$B$6:$B$20,CURVA!$G$6:$G$20,#REF!)</f>
        <v>#VALUE!</v>
      </c>
    </row>
    <row r="1799" spans="1:5" x14ac:dyDescent="0.2">
      <c r="A1799" s="28">
        <v>1798</v>
      </c>
      <c r="B1799" s="28" t="e">
        <f>interpola(#REF!,CURVA!$B$6:$B$20,CURVA!$G$6:$G$20)</f>
        <v>#VALUE!</v>
      </c>
      <c r="C1799" s="29" t="e">
        <f t="shared" si="28"/>
        <v>#VALUE!</v>
      </c>
      <c r="E1799" t="e">
        <f>cubic_spline(CURVA!$B$6:$B$20,CURVA!$G$6:$G$20,#REF!)</f>
        <v>#VALUE!</v>
      </c>
    </row>
    <row r="1800" spans="1:5" x14ac:dyDescent="0.2">
      <c r="A1800" s="28">
        <v>1799</v>
      </c>
      <c r="B1800" s="28" t="e">
        <f>interpola(#REF!,CURVA!$B$6:$B$20,CURVA!$G$6:$G$20)</f>
        <v>#VALUE!</v>
      </c>
      <c r="C1800" s="29" t="e">
        <f t="shared" si="28"/>
        <v>#VALUE!</v>
      </c>
      <c r="E1800" t="e">
        <f>cubic_spline(CURVA!$B$6:$B$20,CURVA!$G$6:$G$20,#REF!)</f>
        <v>#VALUE!</v>
      </c>
    </row>
    <row r="1801" spans="1:5" x14ac:dyDescent="0.2">
      <c r="A1801" s="28">
        <v>1800</v>
      </c>
      <c r="B1801" s="28" t="e">
        <f>interpola(#REF!,CURVA!$B$6:$B$20,CURVA!$G$6:$G$20)</f>
        <v>#VALUE!</v>
      </c>
      <c r="C1801" s="29" t="e">
        <f t="shared" si="28"/>
        <v>#VALUE!</v>
      </c>
      <c r="E1801" t="e">
        <f>cubic_spline(CURVA!$B$6:$B$20,CURVA!$G$6:$G$20,#REF!)</f>
        <v>#VALUE!</v>
      </c>
    </row>
    <row r="1802" spans="1:5" x14ac:dyDescent="0.2">
      <c r="A1802" s="28">
        <v>1801</v>
      </c>
      <c r="B1802" s="28" t="e">
        <f>interpola(#REF!,CURVA!$B$6:$B$20,CURVA!$G$6:$G$20)</f>
        <v>#VALUE!</v>
      </c>
      <c r="C1802" s="29" t="e">
        <f t="shared" si="28"/>
        <v>#VALUE!</v>
      </c>
      <c r="E1802" t="e">
        <f>cubic_spline(CURVA!$B$6:$B$20,CURVA!$G$6:$G$20,#REF!)</f>
        <v>#VALUE!</v>
      </c>
    </row>
    <row r="1803" spans="1:5" x14ac:dyDescent="0.2">
      <c r="A1803" s="28">
        <v>1802</v>
      </c>
      <c r="B1803" s="28" t="e">
        <f>interpola(#REF!,CURVA!$B$6:$B$20,CURVA!$G$6:$G$20)</f>
        <v>#VALUE!</v>
      </c>
      <c r="C1803" s="29" t="e">
        <f t="shared" si="28"/>
        <v>#VALUE!</v>
      </c>
      <c r="E1803" t="e">
        <f>cubic_spline(CURVA!$B$6:$B$20,CURVA!$G$6:$G$20,#REF!)</f>
        <v>#VALUE!</v>
      </c>
    </row>
    <row r="1804" spans="1:5" x14ac:dyDescent="0.2">
      <c r="A1804" s="28">
        <v>1803</v>
      </c>
      <c r="B1804" s="28" t="e">
        <f>interpola(#REF!,CURVA!$B$6:$B$20,CURVA!$G$6:$G$20)</f>
        <v>#VALUE!</v>
      </c>
      <c r="C1804" s="29" t="e">
        <f t="shared" si="28"/>
        <v>#VALUE!</v>
      </c>
      <c r="E1804" t="e">
        <f>cubic_spline(CURVA!$B$6:$B$20,CURVA!$G$6:$G$20,#REF!)</f>
        <v>#VALUE!</v>
      </c>
    </row>
    <row r="1805" spans="1:5" x14ac:dyDescent="0.2">
      <c r="A1805" s="28">
        <v>1804</v>
      </c>
      <c r="B1805" s="28" t="e">
        <f>interpola(#REF!,CURVA!$B$6:$B$20,CURVA!$G$6:$G$20)</f>
        <v>#VALUE!</v>
      </c>
      <c r="C1805" s="29" t="e">
        <f t="shared" si="28"/>
        <v>#VALUE!</v>
      </c>
      <c r="E1805" t="e">
        <f>cubic_spline(CURVA!$B$6:$B$20,CURVA!$G$6:$G$20,#REF!)</f>
        <v>#VALUE!</v>
      </c>
    </row>
    <row r="1806" spans="1:5" x14ac:dyDescent="0.2">
      <c r="A1806" s="28">
        <v>1805</v>
      </c>
      <c r="B1806" s="28" t="e">
        <f>interpola(#REF!,CURVA!$B$6:$B$20,CURVA!$G$6:$G$20)</f>
        <v>#VALUE!</v>
      </c>
      <c r="C1806" s="29" t="e">
        <f t="shared" si="28"/>
        <v>#VALUE!</v>
      </c>
      <c r="E1806" t="e">
        <f>cubic_spline(CURVA!$B$6:$B$20,CURVA!$G$6:$G$20,#REF!)</f>
        <v>#VALUE!</v>
      </c>
    </row>
    <row r="1807" spans="1:5" x14ac:dyDescent="0.2">
      <c r="A1807" s="28">
        <v>1806</v>
      </c>
      <c r="B1807" s="28" t="e">
        <f>interpola(#REF!,CURVA!$B$6:$B$20,CURVA!$G$6:$G$20)</f>
        <v>#VALUE!</v>
      </c>
      <c r="C1807" s="29" t="e">
        <f t="shared" si="28"/>
        <v>#VALUE!</v>
      </c>
      <c r="E1807" t="e">
        <f>cubic_spline(CURVA!$B$6:$B$20,CURVA!$G$6:$G$20,#REF!)</f>
        <v>#VALUE!</v>
      </c>
    </row>
    <row r="1808" spans="1:5" x14ac:dyDescent="0.2">
      <c r="A1808" s="28">
        <v>1807</v>
      </c>
      <c r="B1808" s="28" t="e">
        <f>interpola(#REF!,CURVA!$B$6:$B$20,CURVA!$G$6:$G$20)</f>
        <v>#VALUE!</v>
      </c>
      <c r="C1808" s="29" t="e">
        <f t="shared" si="28"/>
        <v>#VALUE!</v>
      </c>
      <c r="E1808" t="e">
        <f>cubic_spline(CURVA!$B$6:$B$20,CURVA!$G$6:$G$20,#REF!)</f>
        <v>#VALUE!</v>
      </c>
    </row>
    <row r="1809" spans="1:5" x14ac:dyDescent="0.2">
      <c r="A1809" s="28">
        <v>1808</v>
      </c>
      <c r="B1809" s="28" t="e">
        <f>interpola(#REF!,CURVA!$B$6:$B$20,CURVA!$G$6:$G$20)</f>
        <v>#VALUE!</v>
      </c>
      <c r="C1809" s="29" t="e">
        <f t="shared" si="28"/>
        <v>#VALUE!</v>
      </c>
      <c r="E1809" t="e">
        <f>cubic_spline(CURVA!$B$6:$B$20,CURVA!$G$6:$G$20,#REF!)</f>
        <v>#VALUE!</v>
      </c>
    </row>
    <row r="1810" spans="1:5" x14ac:dyDescent="0.2">
      <c r="A1810" s="28">
        <v>1809</v>
      </c>
      <c r="B1810" s="28" t="e">
        <f>interpola(#REF!,CURVA!$B$6:$B$20,CURVA!$G$6:$G$20)</f>
        <v>#VALUE!</v>
      </c>
      <c r="C1810" s="29" t="e">
        <f t="shared" si="28"/>
        <v>#VALUE!</v>
      </c>
      <c r="E1810" t="e">
        <f>cubic_spline(CURVA!$B$6:$B$20,CURVA!$G$6:$G$20,#REF!)</f>
        <v>#VALUE!</v>
      </c>
    </row>
    <row r="1811" spans="1:5" x14ac:dyDescent="0.2">
      <c r="A1811" s="28">
        <v>1810</v>
      </c>
      <c r="B1811" s="28" t="e">
        <f>interpola(#REF!,CURVA!$B$6:$B$20,CURVA!$G$6:$G$20)</f>
        <v>#VALUE!</v>
      </c>
      <c r="C1811" s="29" t="e">
        <f t="shared" si="28"/>
        <v>#VALUE!</v>
      </c>
      <c r="E1811" t="e">
        <f>cubic_spline(CURVA!$B$6:$B$20,CURVA!$G$6:$G$20,#REF!)</f>
        <v>#VALUE!</v>
      </c>
    </row>
    <row r="1812" spans="1:5" x14ac:dyDescent="0.2">
      <c r="A1812" s="28">
        <v>1811</v>
      </c>
      <c r="B1812" s="28" t="e">
        <f>interpola(#REF!,CURVA!$B$6:$B$20,CURVA!$G$6:$G$20)</f>
        <v>#VALUE!</v>
      </c>
      <c r="C1812" s="29" t="e">
        <f t="shared" si="28"/>
        <v>#VALUE!</v>
      </c>
      <c r="E1812" t="e">
        <f>cubic_spline(CURVA!$B$6:$B$20,CURVA!$G$6:$G$20,#REF!)</f>
        <v>#VALUE!</v>
      </c>
    </row>
    <row r="1813" spans="1:5" x14ac:dyDescent="0.2">
      <c r="A1813" s="28">
        <v>1812</v>
      </c>
      <c r="B1813" s="28" t="e">
        <f>interpola(#REF!,CURVA!$B$6:$B$20,CURVA!$G$6:$G$20)</f>
        <v>#VALUE!</v>
      </c>
      <c r="C1813" s="29" t="e">
        <f t="shared" si="28"/>
        <v>#VALUE!</v>
      </c>
      <c r="E1813" t="e">
        <f>cubic_spline(CURVA!$B$6:$B$20,CURVA!$G$6:$G$20,#REF!)</f>
        <v>#VALUE!</v>
      </c>
    </row>
    <row r="1814" spans="1:5" x14ac:dyDescent="0.2">
      <c r="A1814" s="28">
        <v>1813</v>
      </c>
      <c r="B1814" s="28" t="e">
        <f>interpola(#REF!,CURVA!$B$6:$B$20,CURVA!$G$6:$G$20)</f>
        <v>#VALUE!</v>
      </c>
      <c r="C1814" s="29" t="e">
        <f t="shared" si="28"/>
        <v>#VALUE!</v>
      </c>
      <c r="E1814" t="e">
        <f>cubic_spline(CURVA!$B$6:$B$20,CURVA!$G$6:$G$20,#REF!)</f>
        <v>#VALUE!</v>
      </c>
    </row>
    <row r="1815" spans="1:5" x14ac:dyDescent="0.2">
      <c r="A1815" s="28">
        <v>1814</v>
      </c>
      <c r="B1815" s="28" t="e">
        <f>interpola(#REF!,CURVA!$B$6:$B$20,CURVA!$G$6:$G$20)</f>
        <v>#VALUE!</v>
      </c>
      <c r="C1815" s="29" t="e">
        <f t="shared" si="28"/>
        <v>#VALUE!</v>
      </c>
      <c r="E1815" t="e">
        <f>cubic_spline(CURVA!$B$6:$B$20,CURVA!$G$6:$G$20,#REF!)</f>
        <v>#VALUE!</v>
      </c>
    </row>
    <row r="1816" spans="1:5" x14ac:dyDescent="0.2">
      <c r="A1816" s="28">
        <v>1815</v>
      </c>
      <c r="B1816" s="28" t="e">
        <f>interpola(#REF!,CURVA!$B$6:$B$20,CURVA!$G$6:$G$20)</f>
        <v>#VALUE!</v>
      </c>
      <c r="C1816" s="29" t="e">
        <f t="shared" si="28"/>
        <v>#VALUE!</v>
      </c>
      <c r="E1816" t="e">
        <f>cubic_spline(CURVA!$B$6:$B$20,CURVA!$G$6:$G$20,#REF!)</f>
        <v>#VALUE!</v>
      </c>
    </row>
    <row r="1817" spans="1:5" x14ac:dyDescent="0.2">
      <c r="A1817" s="28">
        <v>1816</v>
      </c>
      <c r="B1817" s="28" t="e">
        <f>interpola(#REF!,CURVA!$B$6:$B$20,CURVA!$G$6:$G$20)</f>
        <v>#VALUE!</v>
      </c>
      <c r="C1817" s="29" t="e">
        <f t="shared" si="28"/>
        <v>#VALUE!</v>
      </c>
      <c r="E1817" t="e">
        <f>cubic_spline(CURVA!$B$6:$B$20,CURVA!$G$6:$G$20,#REF!)</f>
        <v>#VALUE!</v>
      </c>
    </row>
    <row r="1818" spans="1:5" x14ac:dyDescent="0.2">
      <c r="A1818" s="28">
        <v>1817</v>
      </c>
      <c r="B1818" s="28" t="e">
        <f>interpola(#REF!,CURVA!$B$6:$B$20,CURVA!$G$6:$G$20)</f>
        <v>#VALUE!</v>
      </c>
      <c r="C1818" s="29" t="e">
        <f t="shared" si="28"/>
        <v>#VALUE!</v>
      </c>
      <c r="E1818" t="e">
        <f>cubic_spline(CURVA!$B$6:$B$20,CURVA!$G$6:$G$20,#REF!)</f>
        <v>#VALUE!</v>
      </c>
    </row>
    <row r="1819" spans="1:5" x14ac:dyDescent="0.2">
      <c r="A1819" s="28">
        <v>1818</v>
      </c>
      <c r="B1819" s="28" t="e">
        <f>interpola(#REF!,CURVA!$B$6:$B$20,CURVA!$G$6:$G$20)</f>
        <v>#VALUE!</v>
      </c>
      <c r="C1819" s="29" t="e">
        <f t="shared" si="28"/>
        <v>#VALUE!</v>
      </c>
      <c r="E1819" t="e">
        <f>cubic_spline(CURVA!$B$6:$B$20,CURVA!$G$6:$G$20,#REF!)</f>
        <v>#VALUE!</v>
      </c>
    </row>
    <row r="1820" spans="1:5" x14ac:dyDescent="0.2">
      <c r="A1820" s="28">
        <v>1819</v>
      </c>
      <c r="B1820" s="28" t="e">
        <f>interpola(#REF!,CURVA!$B$6:$B$20,CURVA!$G$6:$G$20)</f>
        <v>#VALUE!</v>
      </c>
      <c r="C1820" s="29" t="e">
        <f t="shared" si="28"/>
        <v>#VALUE!</v>
      </c>
      <c r="E1820" t="e">
        <f>cubic_spline(CURVA!$B$6:$B$20,CURVA!$G$6:$G$20,#REF!)</f>
        <v>#VALUE!</v>
      </c>
    </row>
    <row r="1821" spans="1:5" x14ac:dyDescent="0.2">
      <c r="A1821" s="28">
        <v>1820</v>
      </c>
      <c r="B1821" s="28" t="e">
        <f>interpola(#REF!,CURVA!$B$6:$B$20,CURVA!$G$6:$G$20)</f>
        <v>#VALUE!</v>
      </c>
      <c r="C1821" s="29" t="e">
        <f t="shared" si="28"/>
        <v>#VALUE!</v>
      </c>
      <c r="E1821" t="e">
        <f>cubic_spline(CURVA!$B$6:$B$20,CURVA!$G$6:$G$20,#REF!)</f>
        <v>#VALUE!</v>
      </c>
    </row>
    <row r="1822" spans="1:5" x14ac:dyDescent="0.2">
      <c r="A1822" s="28">
        <v>1821</v>
      </c>
      <c r="B1822" s="28" t="e">
        <f>interpola(#REF!,CURVA!$B$6:$B$20,CURVA!$G$6:$G$20)</f>
        <v>#VALUE!</v>
      </c>
      <c r="C1822" s="29" t="e">
        <f t="shared" si="28"/>
        <v>#VALUE!</v>
      </c>
      <c r="E1822" t="e">
        <f>cubic_spline(CURVA!$B$6:$B$20,CURVA!$G$6:$G$20,#REF!)</f>
        <v>#VALUE!</v>
      </c>
    </row>
    <row r="1823" spans="1:5" x14ac:dyDescent="0.2">
      <c r="A1823" s="28">
        <v>1822</v>
      </c>
      <c r="B1823" s="28" t="e">
        <f>interpola(#REF!,CURVA!$B$6:$B$20,CURVA!$G$6:$G$20)</f>
        <v>#VALUE!</v>
      </c>
      <c r="C1823" s="29" t="e">
        <f t="shared" si="28"/>
        <v>#VALUE!</v>
      </c>
      <c r="E1823" t="e">
        <f>cubic_spline(CURVA!$B$6:$B$20,CURVA!$G$6:$G$20,#REF!)</f>
        <v>#VALUE!</v>
      </c>
    </row>
    <row r="1824" spans="1:5" x14ac:dyDescent="0.2">
      <c r="A1824" s="28">
        <v>1823</v>
      </c>
      <c r="B1824" s="28" t="e">
        <f>interpola(#REF!,CURVA!$B$6:$B$20,CURVA!$G$6:$G$20)</f>
        <v>#VALUE!</v>
      </c>
      <c r="C1824" s="29" t="e">
        <f t="shared" si="28"/>
        <v>#VALUE!</v>
      </c>
      <c r="E1824" t="e">
        <f>cubic_spline(CURVA!$B$6:$B$20,CURVA!$G$6:$G$20,#REF!)</f>
        <v>#VALUE!</v>
      </c>
    </row>
    <row r="1825" spans="1:5" x14ac:dyDescent="0.2">
      <c r="A1825" s="28">
        <v>1824</v>
      </c>
      <c r="B1825" s="28" t="e">
        <f>interpola(#REF!,CURVA!$B$6:$B$20,CURVA!$G$6:$G$20)</f>
        <v>#VALUE!</v>
      </c>
      <c r="C1825" s="29" t="e">
        <f t="shared" si="28"/>
        <v>#VALUE!</v>
      </c>
      <c r="E1825" t="e">
        <f>cubic_spline(CURVA!$B$6:$B$20,CURVA!$G$6:$G$20,#REF!)</f>
        <v>#VALUE!</v>
      </c>
    </row>
    <row r="1826" spans="1:5" x14ac:dyDescent="0.2">
      <c r="A1826" s="28">
        <v>1825</v>
      </c>
      <c r="B1826" s="28" t="e">
        <f>interpola(#REF!,CURVA!$B$6:$B$20,CURVA!$G$6:$G$20)</f>
        <v>#VALUE!</v>
      </c>
      <c r="C1826" s="29" t="e">
        <f t="shared" si="28"/>
        <v>#VALUE!</v>
      </c>
      <c r="E1826" t="e">
        <f>cubic_spline(CURVA!$B$6:$B$20,CURVA!$G$6:$G$20,#REF!)</f>
        <v>#VALUE!</v>
      </c>
    </row>
    <row r="1827" spans="1:5" x14ac:dyDescent="0.2">
      <c r="A1827" s="28">
        <v>1826</v>
      </c>
      <c r="B1827" s="28" t="e">
        <f>interpola(#REF!,CURVA!$B$6:$B$20,CURVA!$G$6:$G$20)</f>
        <v>#VALUE!</v>
      </c>
      <c r="C1827" s="29" t="e">
        <f t="shared" si="28"/>
        <v>#VALUE!</v>
      </c>
      <c r="E1827" t="e">
        <f>cubic_spline(CURVA!$B$6:$B$20,CURVA!$G$6:$G$20,#REF!)</f>
        <v>#VALUE!</v>
      </c>
    </row>
    <row r="1828" spans="1:5" x14ac:dyDescent="0.2">
      <c r="A1828" s="28">
        <v>1827</v>
      </c>
      <c r="B1828" s="28" t="e">
        <f>interpola(#REF!,CURVA!$B$6:$B$20,CURVA!$G$6:$G$20)</f>
        <v>#VALUE!</v>
      </c>
      <c r="C1828" s="29" t="e">
        <f t="shared" si="28"/>
        <v>#VALUE!</v>
      </c>
      <c r="E1828" t="e">
        <f>cubic_spline(CURVA!$B$6:$B$20,CURVA!$G$6:$G$20,#REF!)</f>
        <v>#VALUE!</v>
      </c>
    </row>
    <row r="1829" spans="1:5" x14ac:dyDescent="0.2">
      <c r="A1829" s="28">
        <v>1828</v>
      </c>
      <c r="B1829" s="28" t="e">
        <f>interpola(#REF!,CURVA!$B$6:$B$20,CURVA!$G$6:$G$20)</f>
        <v>#VALUE!</v>
      </c>
      <c r="C1829" s="29" t="e">
        <f t="shared" si="28"/>
        <v>#VALUE!</v>
      </c>
      <c r="E1829" t="e">
        <f>cubic_spline(CURVA!$B$6:$B$20,CURVA!$G$6:$G$20,#REF!)</f>
        <v>#VALUE!</v>
      </c>
    </row>
    <row r="1830" spans="1:5" x14ac:dyDescent="0.2">
      <c r="A1830" s="28">
        <v>1829</v>
      </c>
      <c r="B1830" s="28" t="e">
        <f>interpola(#REF!,CURVA!$B$6:$B$20,CURVA!$G$6:$G$20)</f>
        <v>#VALUE!</v>
      </c>
      <c r="C1830" s="29" t="e">
        <f t="shared" si="28"/>
        <v>#VALUE!</v>
      </c>
      <c r="E1830" t="e">
        <f>cubic_spline(CURVA!$B$6:$B$20,CURVA!$G$6:$G$20,#REF!)</f>
        <v>#VALUE!</v>
      </c>
    </row>
    <row r="1831" spans="1:5" x14ac:dyDescent="0.2">
      <c r="A1831" s="28">
        <v>1830</v>
      </c>
      <c r="B1831" s="28" t="e">
        <f>interpola(#REF!,CURVA!$B$6:$B$20,CURVA!$G$6:$G$20)</f>
        <v>#VALUE!</v>
      </c>
      <c r="C1831" s="29" t="e">
        <f t="shared" si="28"/>
        <v>#VALUE!</v>
      </c>
      <c r="E1831" t="e">
        <f>cubic_spline(CURVA!$B$6:$B$20,CURVA!$G$6:$G$20,#REF!)</f>
        <v>#VALUE!</v>
      </c>
    </row>
    <row r="1832" spans="1:5" x14ac:dyDescent="0.2">
      <c r="A1832" s="28">
        <v>1831</v>
      </c>
      <c r="B1832" s="28" t="e">
        <f>interpola(#REF!,CURVA!$B$6:$B$20,CURVA!$G$6:$G$20)</f>
        <v>#VALUE!</v>
      </c>
      <c r="C1832" s="29" t="e">
        <f t="shared" si="28"/>
        <v>#VALUE!</v>
      </c>
      <c r="E1832" t="e">
        <f>cubic_spline(CURVA!$B$6:$B$20,CURVA!$G$6:$G$20,#REF!)</f>
        <v>#VALUE!</v>
      </c>
    </row>
    <row r="1833" spans="1:5" x14ac:dyDescent="0.2">
      <c r="A1833" s="28">
        <v>1832</v>
      </c>
      <c r="B1833" s="28" t="e">
        <f>interpola(#REF!,CURVA!$B$6:$B$20,CURVA!$G$6:$G$20)</f>
        <v>#VALUE!</v>
      </c>
      <c r="C1833" s="29" t="e">
        <f t="shared" si="28"/>
        <v>#VALUE!</v>
      </c>
      <c r="E1833" t="e">
        <f>cubic_spline(CURVA!$B$6:$B$20,CURVA!$G$6:$G$20,#REF!)</f>
        <v>#VALUE!</v>
      </c>
    </row>
    <row r="1834" spans="1:5" x14ac:dyDescent="0.2">
      <c r="A1834" s="28">
        <v>1833</v>
      </c>
      <c r="B1834" s="28" t="e">
        <f>interpola(#REF!,CURVA!$B$6:$B$20,CURVA!$G$6:$G$20)</f>
        <v>#VALUE!</v>
      </c>
      <c r="C1834" s="29" t="e">
        <f t="shared" si="28"/>
        <v>#VALUE!</v>
      </c>
      <c r="E1834" t="e">
        <f>cubic_spline(CURVA!$B$6:$B$20,CURVA!$G$6:$G$20,#REF!)</f>
        <v>#VALUE!</v>
      </c>
    </row>
    <row r="1835" spans="1:5" x14ac:dyDescent="0.2">
      <c r="A1835" s="28">
        <v>1834</v>
      </c>
      <c r="B1835" s="28" t="e">
        <f>interpola(#REF!,CURVA!$B$6:$B$20,CURVA!$G$6:$G$20)</f>
        <v>#VALUE!</v>
      </c>
      <c r="C1835" s="29" t="e">
        <f t="shared" si="28"/>
        <v>#VALUE!</v>
      </c>
      <c r="E1835" t="e">
        <f>cubic_spline(CURVA!$B$6:$B$20,CURVA!$G$6:$G$20,#REF!)</f>
        <v>#VALUE!</v>
      </c>
    </row>
    <row r="1836" spans="1:5" x14ac:dyDescent="0.2">
      <c r="A1836" s="28">
        <v>1835</v>
      </c>
      <c r="B1836" s="28" t="e">
        <f>interpola(#REF!,CURVA!$B$6:$B$20,CURVA!$G$6:$G$20)</f>
        <v>#VALUE!</v>
      </c>
      <c r="C1836" s="29" t="e">
        <f t="shared" si="28"/>
        <v>#VALUE!</v>
      </c>
      <c r="E1836" t="e">
        <f>cubic_spline(CURVA!$B$6:$B$20,CURVA!$G$6:$G$20,#REF!)</f>
        <v>#VALUE!</v>
      </c>
    </row>
    <row r="1837" spans="1:5" x14ac:dyDescent="0.2">
      <c r="A1837" s="28">
        <v>1836</v>
      </c>
      <c r="B1837" s="28" t="e">
        <f>interpola(#REF!,CURVA!$B$6:$B$20,CURVA!$G$6:$G$20)</f>
        <v>#VALUE!</v>
      </c>
      <c r="C1837" s="29" t="e">
        <f t="shared" si="28"/>
        <v>#VALUE!</v>
      </c>
      <c r="E1837" t="e">
        <f>cubic_spline(CURVA!$B$6:$B$20,CURVA!$G$6:$G$20,#REF!)</f>
        <v>#VALUE!</v>
      </c>
    </row>
    <row r="1838" spans="1:5" x14ac:dyDescent="0.2">
      <c r="A1838" s="28">
        <v>1837</v>
      </c>
      <c r="B1838" s="28" t="e">
        <f>interpola(#REF!,CURVA!$B$6:$B$20,CURVA!$G$6:$G$20)</f>
        <v>#VALUE!</v>
      </c>
      <c r="C1838" s="29" t="e">
        <f t="shared" si="28"/>
        <v>#VALUE!</v>
      </c>
      <c r="E1838" t="e">
        <f>cubic_spline(CURVA!$B$6:$B$20,CURVA!$G$6:$G$20,#REF!)</f>
        <v>#VALUE!</v>
      </c>
    </row>
    <row r="1839" spans="1:5" x14ac:dyDescent="0.2">
      <c r="A1839" s="28">
        <v>1838</v>
      </c>
      <c r="B1839" s="28" t="e">
        <f>interpola(#REF!,CURVA!$B$6:$B$20,CURVA!$G$6:$G$20)</f>
        <v>#VALUE!</v>
      </c>
      <c r="C1839" s="29" t="e">
        <f t="shared" si="28"/>
        <v>#VALUE!</v>
      </c>
      <c r="E1839" t="e">
        <f>cubic_spline(CURVA!$B$6:$B$20,CURVA!$G$6:$G$20,#REF!)</f>
        <v>#VALUE!</v>
      </c>
    </row>
    <row r="1840" spans="1:5" x14ac:dyDescent="0.2">
      <c r="A1840" s="28">
        <v>1839</v>
      </c>
      <c r="B1840" s="28" t="e">
        <f>interpola(#REF!,CURVA!$B$6:$B$20,CURVA!$G$6:$G$20)</f>
        <v>#VALUE!</v>
      </c>
      <c r="C1840" s="29" t="e">
        <f t="shared" si="28"/>
        <v>#VALUE!</v>
      </c>
      <c r="E1840" t="e">
        <f>cubic_spline(CURVA!$B$6:$B$20,CURVA!$G$6:$G$20,#REF!)</f>
        <v>#VALUE!</v>
      </c>
    </row>
    <row r="1841" spans="1:5" x14ac:dyDescent="0.2">
      <c r="A1841" s="28">
        <v>1840</v>
      </c>
      <c r="B1841" s="28" t="e">
        <f>interpola(#REF!,CURVA!$B$6:$B$20,CURVA!$G$6:$G$20)</f>
        <v>#VALUE!</v>
      </c>
      <c r="C1841" s="29" t="e">
        <f t="shared" si="28"/>
        <v>#VALUE!</v>
      </c>
      <c r="E1841" t="e">
        <f>cubic_spline(CURVA!$B$6:$B$20,CURVA!$G$6:$G$20,#REF!)</f>
        <v>#VALUE!</v>
      </c>
    </row>
    <row r="1842" spans="1:5" x14ac:dyDescent="0.2">
      <c r="A1842" s="28">
        <v>1841</v>
      </c>
      <c r="B1842" s="28" t="e">
        <f>interpola(#REF!,CURVA!$B$6:$B$20,CURVA!$G$6:$G$20)</f>
        <v>#VALUE!</v>
      </c>
      <c r="C1842" s="29" t="e">
        <f t="shared" si="28"/>
        <v>#VALUE!</v>
      </c>
      <c r="E1842" t="e">
        <f>cubic_spline(CURVA!$B$6:$B$20,CURVA!$G$6:$G$20,#REF!)</f>
        <v>#VALUE!</v>
      </c>
    </row>
    <row r="1843" spans="1:5" x14ac:dyDescent="0.2">
      <c r="A1843" s="28">
        <v>1842</v>
      </c>
      <c r="B1843" s="28" t="e">
        <f>interpola(#REF!,CURVA!$B$6:$B$20,CURVA!$G$6:$G$20)</f>
        <v>#VALUE!</v>
      </c>
      <c r="C1843" s="29" t="e">
        <f t="shared" si="28"/>
        <v>#VALUE!</v>
      </c>
      <c r="E1843" t="e">
        <f>cubic_spline(CURVA!$B$6:$B$20,CURVA!$G$6:$G$20,#REF!)</f>
        <v>#VALUE!</v>
      </c>
    </row>
    <row r="1844" spans="1:5" x14ac:dyDescent="0.2">
      <c r="A1844" s="28">
        <v>1843</v>
      </c>
      <c r="B1844" s="28" t="e">
        <f>interpola(#REF!,CURVA!$B$6:$B$20,CURVA!$G$6:$G$20)</f>
        <v>#VALUE!</v>
      </c>
      <c r="C1844" s="29" t="e">
        <f t="shared" si="28"/>
        <v>#VALUE!</v>
      </c>
      <c r="E1844" t="e">
        <f>cubic_spline(CURVA!$B$6:$B$20,CURVA!$G$6:$G$20,#REF!)</f>
        <v>#VALUE!</v>
      </c>
    </row>
    <row r="1845" spans="1:5" x14ac:dyDescent="0.2">
      <c r="A1845" s="28">
        <v>1844</v>
      </c>
      <c r="B1845" s="28" t="e">
        <f>interpola(#REF!,CURVA!$B$6:$B$20,CURVA!$G$6:$G$20)</f>
        <v>#VALUE!</v>
      </c>
      <c r="C1845" s="29" t="e">
        <f t="shared" si="28"/>
        <v>#VALUE!</v>
      </c>
      <c r="E1845" t="e">
        <f>cubic_spline(CURVA!$B$6:$B$20,CURVA!$G$6:$G$20,#REF!)</f>
        <v>#VALUE!</v>
      </c>
    </row>
    <row r="1846" spans="1:5" x14ac:dyDescent="0.2">
      <c r="A1846" s="28">
        <v>1845</v>
      </c>
      <c r="B1846" s="28" t="e">
        <f>interpola(#REF!,CURVA!$B$6:$B$20,CURVA!$G$6:$G$20)</f>
        <v>#VALUE!</v>
      </c>
      <c r="C1846" s="29" t="e">
        <f t="shared" si="28"/>
        <v>#VALUE!</v>
      </c>
      <c r="E1846" t="e">
        <f>cubic_spline(CURVA!$B$6:$B$20,CURVA!$G$6:$G$20,#REF!)</f>
        <v>#VALUE!</v>
      </c>
    </row>
    <row r="1847" spans="1:5" x14ac:dyDescent="0.2">
      <c r="A1847" s="28">
        <v>1846</v>
      </c>
      <c r="B1847" s="28" t="e">
        <f>interpola(#REF!,CURVA!$B$6:$B$20,CURVA!$G$6:$G$20)</f>
        <v>#VALUE!</v>
      </c>
      <c r="C1847" s="29" t="e">
        <f t="shared" si="28"/>
        <v>#VALUE!</v>
      </c>
      <c r="E1847" t="e">
        <f>cubic_spline(CURVA!$B$6:$B$20,CURVA!$G$6:$G$20,#REF!)</f>
        <v>#VALUE!</v>
      </c>
    </row>
    <row r="1848" spans="1:5" x14ac:dyDescent="0.2">
      <c r="A1848" s="28">
        <v>1847</v>
      </c>
      <c r="B1848" s="28" t="e">
        <f>interpola(#REF!,CURVA!$B$6:$B$20,CURVA!$G$6:$G$20)</f>
        <v>#VALUE!</v>
      </c>
      <c r="C1848" s="29" t="e">
        <f t="shared" si="28"/>
        <v>#VALUE!</v>
      </c>
      <c r="E1848" t="e">
        <f>cubic_spline(CURVA!$B$6:$B$20,CURVA!$G$6:$G$20,#REF!)</f>
        <v>#VALUE!</v>
      </c>
    </row>
    <row r="1849" spans="1:5" x14ac:dyDescent="0.2">
      <c r="A1849" s="28">
        <v>1848</v>
      </c>
      <c r="B1849" s="28" t="e">
        <f>interpola(#REF!,CURVA!$B$6:$B$20,CURVA!$G$6:$G$20)</f>
        <v>#VALUE!</v>
      </c>
      <c r="C1849" s="29" t="e">
        <f t="shared" si="28"/>
        <v>#VALUE!</v>
      </c>
      <c r="E1849" t="e">
        <f>cubic_spline(CURVA!$B$6:$B$20,CURVA!$G$6:$G$20,#REF!)</f>
        <v>#VALUE!</v>
      </c>
    </row>
    <row r="1850" spans="1:5" x14ac:dyDescent="0.2">
      <c r="A1850" s="28">
        <v>1849</v>
      </c>
      <c r="B1850" s="28" t="e">
        <f>interpola(#REF!,CURVA!$B$6:$B$20,CURVA!$G$6:$G$20)</f>
        <v>#VALUE!</v>
      </c>
      <c r="C1850" s="29" t="e">
        <f t="shared" si="28"/>
        <v>#VALUE!</v>
      </c>
      <c r="E1850" t="e">
        <f>cubic_spline(CURVA!$B$6:$B$20,CURVA!$G$6:$G$20,#REF!)</f>
        <v>#VALUE!</v>
      </c>
    </row>
    <row r="1851" spans="1:5" x14ac:dyDescent="0.2">
      <c r="A1851" s="28">
        <v>1850</v>
      </c>
      <c r="B1851" s="28" t="e">
        <f>interpola(#REF!,CURVA!$B$6:$B$20,CURVA!$G$6:$G$20)</f>
        <v>#VALUE!</v>
      </c>
      <c r="C1851" s="29" t="e">
        <f t="shared" si="28"/>
        <v>#VALUE!</v>
      </c>
      <c r="E1851" t="e">
        <f>cubic_spline(CURVA!$B$6:$B$20,CURVA!$G$6:$G$20,#REF!)</f>
        <v>#VALUE!</v>
      </c>
    </row>
    <row r="1852" spans="1:5" x14ac:dyDescent="0.2">
      <c r="A1852" s="28">
        <v>1851</v>
      </c>
      <c r="B1852" s="28" t="e">
        <f>interpola(#REF!,CURVA!$B$6:$B$20,CURVA!$G$6:$G$20)</f>
        <v>#VALUE!</v>
      </c>
      <c r="C1852" s="29" t="e">
        <f t="shared" si="28"/>
        <v>#VALUE!</v>
      </c>
      <c r="E1852" t="e">
        <f>cubic_spline(CURVA!$B$6:$B$20,CURVA!$G$6:$G$20,#REF!)</f>
        <v>#VALUE!</v>
      </c>
    </row>
    <row r="1853" spans="1:5" x14ac:dyDescent="0.2">
      <c r="A1853" s="28">
        <v>1852</v>
      </c>
      <c r="B1853" s="28" t="e">
        <f>interpola(#REF!,CURVA!$B$6:$B$20,CURVA!$G$6:$G$20)</f>
        <v>#VALUE!</v>
      </c>
      <c r="C1853" s="29" t="e">
        <f t="shared" si="28"/>
        <v>#VALUE!</v>
      </c>
      <c r="E1853" t="e">
        <f>cubic_spline(CURVA!$B$6:$B$20,CURVA!$G$6:$G$20,#REF!)</f>
        <v>#VALUE!</v>
      </c>
    </row>
    <row r="1854" spans="1:5" x14ac:dyDescent="0.2">
      <c r="A1854" s="28">
        <v>1853</v>
      </c>
      <c r="B1854" s="28" t="e">
        <f>interpola(#REF!,CURVA!$B$6:$B$20,CURVA!$G$6:$G$20)</f>
        <v>#VALUE!</v>
      </c>
      <c r="C1854" s="29" t="e">
        <f t="shared" si="28"/>
        <v>#VALUE!</v>
      </c>
      <c r="E1854" t="e">
        <f>cubic_spline(CURVA!$B$6:$B$20,CURVA!$G$6:$G$20,#REF!)</f>
        <v>#VALUE!</v>
      </c>
    </row>
    <row r="1855" spans="1:5" x14ac:dyDescent="0.2">
      <c r="A1855" s="28">
        <v>1854</v>
      </c>
      <c r="B1855" s="28" t="e">
        <f>interpola(#REF!,CURVA!$B$6:$B$20,CURVA!$G$6:$G$20)</f>
        <v>#VALUE!</v>
      </c>
      <c r="C1855" s="29" t="e">
        <f t="shared" si="28"/>
        <v>#VALUE!</v>
      </c>
      <c r="E1855" t="e">
        <f>cubic_spline(CURVA!$B$6:$B$20,CURVA!$G$6:$G$20,#REF!)</f>
        <v>#VALUE!</v>
      </c>
    </row>
    <row r="1856" spans="1:5" x14ac:dyDescent="0.2">
      <c r="A1856" s="28">
        <v>1855</v>
      </c>
      <c r="B1856" s="28" t="e">
        <f>interpola(#REF!,CURVA!$B$6:$B$20,CURVA!$G$6:$G$20)</f>
        <v>#VALUE!</v>
      </c>
      <c r="C1856" s="29" t="e">
        <f t="shared" si="28"/>
        <v>#VALUE!</v>
      </c>
      <c r="E1856" t="e">
        <f>cubic_spline(CURVA!$B$6:$B$20,CURVA!$G$6:$G$20,#REF!)</f>
        <v>#VALUE!</v>
      </c>
    </row>
    <row r="1857" spans="1:5" x14ac:dyDescent="0.2">
      <c r="A1857" s="28">
        <v>1856</v>
      </c>
      <c r="B1857" s="28" t="e">
        <f>interpola(#REF!,CURVA!$B$6:$B$20,CURVA!$G$6:$G$20)</f>
        <v>#VALUE!</v>
      </c>
      <c r="C1857" s="29" t="e">
        <f t="shared" si="28"/>
        <v>#VALUE!</v>
      </c>
      <c r="E1857" t="e">
        <f>cubic_spline(CURVA!$B$6:$B$20,CURVA!$G$6:$G$20,#REF!)</f>
        <v>#VALUE!</v>
      </c>
    </row>
    <row r="1858" spans="1:5" x14ac:dyDescent="0.2">
      <c r="A1858" s="28">
        <v>1857</v>
      </c>
      <c r="B1858" s="28" t="e">
        <f>interpola(#REF!,CURVA!$B$6:$B$20,CURVA!$G$6:$G$20)</f>
        <v>#VALUE!</v>
      </c>
      <c r="C1858" s="29" t="e">
        <f t="shared" ref="C1858:C1921" si="29">(EXP(B1858*A1858/360)-1)*360/A1858</f>
        <v>#VALUE!</v>
      </c>
      <c r="E1858" t="e">
        <f>cubic_spline(CURVA!$B$6:$B$20,CURVA!$G$6:$G$20,#REF!)</f>
        <v>#VALUE!</v>
      </c>
    </row>
    <row r="1859" spans="1:5" x14ac:dyDescent="0.2">
      <c r="A1859" s="28">
        <v>1858</v>
      </c>
      <c r="B1859" s="28" t="e">
        <f>interpola(#REF!,CURVA!$B$6:$B$20,CURVA!$G$6:$G$20)</f>
        <v>#VALUE!</v>
      </c>
      <c r="C1859" s="29" t="e">
        <f t="shared" si="29"/>
        <v>#VALUE!</v>
      </c>
      <c r="E1859" t="e">
        <f>cubic_spline(CURVA!$B$6:$B$20,CURVA!$G$6:$G$20,#REF!)</f>
        <v>#VALUE!</v>
      </c>
    </row>
    <row r="1860" spans="1:5" x14ac:dyDescent="0.2">
      <c r="A1860" s="28">
        <v>1859</v>
      </c>
      <c r="B1860" s="28" t="e">
        <f>interpola(#REF!,CURVA!$B$6:$B$20,CURVA!$G$6:$G$20)</f>
        <v>#VALUE!</v>
      </c>
      <c r="C1860" s="29" t="e">
        <f t="shared" si="29"/>
        <v>#VALUE!</v>
      </c>
      <c r="E1860" t="e">
        <f>cubic_spline(CURVA!$B$6:$B$20,CURVA!$G$6:$G$20,#REF!)</f>
        <v>#VALUE!</v>
      </c>
    </row>
    <row r="1861" spans="1:5" x14ac:dyDescent="0.2">
      <c r="A1861" s="28">
        <v>1860</v>
      </c>
      <c r="B1861" s="28" t="e">
        <f>interpola(#REF!,CURVA!$B$6:$B$20,CURVA!$G$6:$G$20)</f>
        <v>#VALUE!</v>
      </c>
      <c r="C1861" s="29" t="e">
        <f t="shared" si="29"/>
        <v>#VALUE!</v>
      </c>
      <c r="E1861" t="e">
        <f>cubic_spline(CURVA!$B$6:$B$20,CURVA!$G$6:$G$20,#REF!)</f>
        <v>#VALUE!</v>
      </c>
    </row>
    <row r="1862" spans="1:5" x14ac:dyDescent="0.2">
      <c r="A1862" s="28">
        <v>1861</v>
      </c>
      <c r="B1862" s="28" t="e">
        <f>interpola(#REF!,CURVA!$B$6:$B$20,CURVA!$G$6:$G$20)</f>
        <v>#VALUE!</v>
      </c>
      <c r="C1862" s="29" t="e">
        <f t="shared" si="29"/>
        <v>#VALUE!</v>
      </c>
      <c r="E1862" t="e">
        <f>cubic_spline(CURVA!$B$6:$B$20,CURVA!$G$6:$G$20,#REF!)</f>
        <v>#VALUE!</v>
      </c>
    </row>
    <row r="1863" spans="1:5" x14ac:dyDescent="0.2">
      <c r="A1863" s="28">
        <v>1862</v>
      </c>
      <c r="B1863" s="28" t="e">
        <f>interpola(#REF!,CURVA!$B$6:$B$20,CURVA!$G$6:$G$20)</f>
        <v>#VALUE!</v>
      </c>
      <c r="C1863" s="29" t="e">
        <f t="shared" si="29"/>
        <v>#VALUE!</v>
      </c>
      <c r="E1863" t="e">
        <f>cubic_spline(CURVA!$B$6:$B$20,CURVA!$G$6:$G$20,#REF!)</f>
        <v>#VALUE!</v>
      </c>
    </row>
    <row r="1864" spans="1:5" x14ac:dyDescent="0.2">
      <c r="A1864" s="28">
        <v>1863</v>
      </c>
      <c r="B1864" s="28" t="e">
        <f>interpola(#REF!,CURVA!$B$6:$B$20,CURVA!$G$6:$G$20)</f>
        <v>#VALUE!</v>
      </c>
      <c r="C1864" s="29" t="e">
        <f t="shared" si="29"/>
        <v>#VALUE!</v>
      </c>
      <c r="E1864" t="e">
        <f>cubic_spline(CURVA!$B$6:$B$20,CURVA!$G$6:$G$20,#REF!)</f>
        <v>#VALUE!</v>
      </c>
    </row>
    <row r="1865" spans="1:5" x14ac:dyDescent="0.2">
      <c r="A1865" s="28">
        <v>1864</v>
      </c>
      <c r="B1865" s="28" t="e">
        <f>interpola(#REF!,CURVA!$B$6:$B$20,CURVA!$G$6:$G$20)</f>
        <v>#VALUE!</v>
      </c>
      <c r="C1865" s="29" t="e">
        <f t="shared" si="29"/>
        <v>#VALUE!</v>
      </c>
      <c r="E1865" t="e">
        <f>cubic_spline(CURVA!$B$6:$B$20,CURVA!$G$6:$G$20,#REF!)</f>
        <v>#VALUE!</v>
      </c>
    </row>
    <row r="1866" spans="1:5" x14ac:dyDescent="0.2">
      <c r="A1866" s="28">
        <v>1865</v>
      </c>
      <c r="B1866" s="28" t="e">
        <f>interpola(#REF!,CURVA!$B$6:$B$20,CURVA!$G$6:$G$20)</f>
        <v>#VALUE!</v>
      </c>
      <c r="C1866" s="29" t="e">
        <f t="shared" si="29"/>
        <v>#VALUE!</v>
      </c>
      <c r="E1866" t="e">
        <f>cubic_spline(CURVA!$B$6:$B$20,CURVA!$G$6:$G$20,#REF!)</f>
        <v>#VALUE!</v>
      </c>
    </row>
    <row r="1867" spans="1:5" x14ac:dyDescent="0.2">
      <c r="A1867" s="28">
        <v>1866</v>
      </c>
      <c r="B1867" s="28" t="e">
        <f>interpola(#REF!,CURVA!$B$6:$B$20,CURVA!$G$6:$G$20)</f>
        <v>#VALUE!</v>
      </c>
      <c r="C1867" s="29" t="e">
        <f t="shared" si="29"/>
        <v>#VALUE!</v>
      </c>
      <c r="E1867" t="e">
        <f>cubic_spline(CURVA!$B$6:$B$20,CURVA!$G$6:$G$20,#REF!)</f>
        <v>#VALUE!</v>
      </c>
    </row>
    <row r="1868" spans="1:5" x14ac:dyDescent="0.2">
      <c r="A1868" s="28">
        <v>1867</v>
      </c>
      <c r="B1868" s="28" t="e">
        <f>interpola(#REF!,CURVA!$B$6:$B$20,CURVA!$G$6:$G$20)</f>
        <v>#VALUE!</v>
      </c>
      <c r="C1868" s="29" t="e">
        <f t="shared" si="29"/>
        <v>#VALUE!</v>
      </c>
      <c r="E1868" t="e">
        <f>cubic_spline(CURVA!$B$6:$B$20,CURVA!$G$6:$G$20,#REF!)</f>
        <v>#VALUE!</v>
      </c>
    </row>
    <row r="1869" spans="1:5" x14ac:dyDescent="0.2">
      <c r="A1869" s="28">
        <v>1868</v>
      </c>
      <c r="B1869" s="28" t="e">
        <f>interpola(#REF!,CURVA!$B$6:$B$20,CURVA!$G$6:$G$20)</f>
        <v>#VALUE!</v>
      </c>
      <c r="C1869" s="29" t="e">
        <f t="shared" si="29"/>
        <v>#VALUE!</v>
      </c>
      <c r="E1869" t="e">
        <f>cubic_spline(CURVA!$B$6:$B$20,CURVA!$G$6:$G$20,#REF!)</f>
        <v>#VALUE!</v>
      </c>
    </row>
    <row r="1870" spans="1:5" x14ac:dyDescent="0.2">
      <c r="A1870" s="28">
        <v>1869</v>
      </c>
      <c r="B1870" s="28" t="e">
        <f>interpola(#REF!,CURVA!$B$6:$B$20,CURVA!$G$6:$G$20)</f>
        <v>#VALUE!</v>
      </c>
      <c r="C1870" s="29" t="e">
        <f t="shared" si="29"/>
        <v>#VALUE!</v>
      </c>
      <c r="E1870" t="e">
        <f>cubic_spline(CURVA!$B$6:$B$20,CURVA!$G$6:$G$20,#REF!)</f>
        <v>#VALUE!</v>
      </c>
    </row>
    <row r="1871" spans="1:5" x14ac:dyDescent="0.2">
      <c r="A1871" s="28">
        <v>1870</v>
      </c>
      <c r="B1871" s="28" t="e">
        <f>interpola(#REF!,CURVA!$B$6:$B$20,CURVA!$G$6:$G$20)</f>
        <v>#VALUE!</v>
      </c>
      <c r="C1871" s="29" t="e">
        <f t="shared" si="29"/>
        <v>#VALUE!</v>
      </c>
      <c r="E1871" t="e">
        <f>cubic_spline(CURVA!$B$6:$B$20,CURVA!$G$6:$G$20,#REF!)</f>
        <v>#VALUE!</v>
      </c>
    </row>
    <row r="1872" spans="1:5" x14ac:dyDescent="0.2">
      <c r="A1872" s="28">
        <v>1871</v>
      </c>
      <c r="B1872" s="28" t="e">
        <f>interpola(#REF!,CURVA!$B$6:$B$20,CURVA!$G$6:$G$20)</f>
        <v>#VALUE!</v>
      </c>
      <c r="C1872" s="29" t="e">
        <f t="shared" si="29"/>
        <v>#VALUE!</v>
      </c>
      <c r="E1872" t="e">
        <f>cubic_spline(CURVA!$B$6:$B$20,CURVA!$G$6:$G$20,#REF!)</f>
        <v>#VALUE!</v>
      </c>
    </row>
    <row r="1873" spans="1:5" x14ac:dyDescent="0.2">
      <c r="A1873" s="28">
        <v>1872</v>
      </c>
      <c r="B1873" s="28" t="e">
        <f>interpola(#REF!,CURVA!$B$6:$B$20,CURVA!$G$6:$G$20)</f>
        <v>#VALUE!</v>
      </c>
      <c r="C1873" s="29" t="e">
        <f t="shared" si="29"/>
        <v>#VALUE!</v>
      </c>
      <c r="E1873" t="e">
        <f>cubic_spline(CURVA!$B$6:$B$20,CURVA!$G$6:$G$20,#REF!)</f>
        <v>#VALUE!</v>
      </c>
    </row>
    <row r="1874" spans="1:5" x14ac:dyDescent="0.2">
      <c r="A1874" s="28">
        <v>1873</v>
      </c>
      <c r="B1874" s="28" t="e">
        <f>interpola(#REF!,CURVA!$B$6:$B$20,CURVA!$G$6:$G$20)</f>
        <v>#VALUE!</v>
      </c>
      <c r="C1874" s="29" t="e">
        <f t="shared" si="29"/>
        <v>#VALUE!</v>
      </c>
      <c r="E1874" t="e">
        <f>cubic_spline(CURVA!$B$6:$B$20,CURVA!$G$6:$G$20,#REF!)</f>
        <v>#VALUE!</v>
      </c>
    </row>
    <row r="1875" spans="1:5" x14ac:dyDescent="0.2">
      <c r="A1875" s="28">
        <v>1874</v>
      </c>
      <c r="B1875" s="28" t="e">
        <f>interpola(#REF!,CURVA!$B$6:$B$20,CURVA!$G$6:$G$20)</f>
        <v>#VALUE!</v>
      </c>
      <c r="C1875" s="29" t="e">
        <f t="shared" si="29"/>
        <v>#VALUE!</v>
      </c>
      <c r="E1875" t="e">
        <f>cubic_spline(CURVA!$B$6:$B$20,CURVA!$G$6:$G$20,#REF!)</f>
        <v>#VALUE!</v>
      </c>
    </row>
    <row r="1876" spans="1:5" x14ac:dyDescent="0.2">
      <c r="A1876" s="28">
        <v>1875</v>
      </c>
      <c r="B1876" s="28" t="e">
        <f>interpola(#REF!,CURVA!$B$6:$B$20,CURVA!$G$6:$G$20)</f>
        <v>#VALUE!</v>
      </c>
      <c r="C1876" s="29" t="e">
        <f t="shared" si="29"/>
        <v>#VALUE!</v>
      </c>
      <c r="E1876" t="e">
        <f>cubic_spline(CURVA!$B$6:$B$20,CURVA!$G$6:$G$20,#REF!)</f>
        <v>#VALUE!</v>
      </c>
    </row>
    <row r="1877" spans="1:5" x14ac:dyDescent="0.2">
      <c r="A1877" s="28">
        <v>1876</v>
      </c>
      <c r="B1877" s="28" t="e">
        <f>interpola(#REF!,CURVA!$B$6:$B$20,CURVA!$G$6:$G$20)</f>
        <v>#VALUE!</v>
      </c>
      <c r="C1877" s="29" t="e">
        <f t="shared" si="29"/>
        <v>#VALUE!</v>
      </c>
      <c r="E1877" t="e">
        <f>cubic_spline(CURVA!$B$6:$B$20,CURVA!$G$6:$G$20,#REF!)</f>
        <v>#VALUE!</v>
      </c>
    </row>
    <row r="1878" spans="1:5" x14ac:dyDescent="0.2">
      <c r="A1878" s="28">
        <v>1877</v>
      </c>
      <c r="B1878" s="28" t="e">
        <f>interpola(#REF!,CURVA!$B$6:$B$20,CURVA!$G$6:$G$20)</f>
        <v>#VALUE!</v>
      </c>
      <c r="C1878" s="29" t="e">
        <f t="shared" si="29"/>
        <v>#VALUE!</v>
      </c>
      <c r="E1878" t="e">
        <f>cubic_spline(CURVA!$B$6:$B$20,CURVA!$G$6:$G$20,#REF!)</f>
        <v>#VALUE!</v>
      </c>
    </row>
    <row r="1879" spans="1:5" x14ac:dyDescent="0.2">
      <c r="A1879" s="28">
        <v>1878</v>
      </c>
      <c r="B1879" s="28" t="e">
        <f>interpola(#REF!,CURVA!$B$6:$B$20,CURVA!$G$6:$G$20)</f>
        <v>#VALUE!</v>
      </c>
      <c r="C1879" s="29" t="e">
        <f t="shared" si="29"/>
        <v>#VALUE!</v>
      </c>
      <c r="E1879" t="e">
        <f>cubic_spline(CURVA!$B$6:$B$20,CURVA!$G$6:$G$20,#REF!)</f>
        <v>#VALUE!</v>
      </c>
    </row>
    <row r="1880" spans="1:5" x14ac:dyDescent="0.2">
      <c r="A1880" s="28">
        <v>1879</v>
      </c>
      <c r="B1880" s="28" t="e">
        <f>interpola(#REF!,CURVA!$B$6:$B$20,CURVA!$G$6:$G$20)</f>
        <v>#VALUE!</v>
      </c>
      <c r="C1880" s="29" t="e">
        <f t="shared" si="29"/>
        <v>#VALUE!</v>
      </c>
      <c r="E1880" t="e">
        <f>cubic_spline(CURVA!$B$6:$B$20,CURVA!$G$6:$G$20,#REF!)</f>
        <v>#VALUE!</v>
      </c>
    </row>
    <row r="1881" spans="1:5" x14ac:dyDescent="0.2">
      <c r="A1881" s="28">
        <v>1880</v>
      </c>
      <c r="B1881" s="28" t="e">
        <f>interpola(#REF!,CURVA!$B$6:$B$20,CURVA!$G$6:$G$20)</f>
        <v>#VALUE!</v>
      </c>
      <c r="C1881" s="29" t="e">
        <f t="shared" si="29"/>
        <v>#VALUE!</v>
      </c>
      <c r="E1881" t="e">
        <f>cubic_spline(CURVA!$B$6:$B$20,CURVA!$G$6:$G$20,#REF!)</f>
        <v>#VALUE!</v>
      </c>
    </row>
    <row r="1882" spans="1:5" x14ac:dyDescent="0.2">
      <c r="A1882" s="28">
        <v>1881</v>
      </c>
      <c r="B1882" s="28" t="e">
        <f>interpola(#REF!,CURVA!$B$6:$B$20,CURVA!$G$6:$G$20)</f>
        <v>#VALUE!</v>
      </c>
      <c r="C1882" s="29" t="e">
        <f t="shared" si="29"/>
        <v>#VALUE!</v>
      </c>
      <c r="E1882" t="e">
        <f>cubic_spline(CURVA!$B$6:$B$20,CURVA!$G$6:$G$20,#REF!)</f>
        <v>#VALUE!</v>
      </c>
    </row>
    <row r="1883" spans="1:5" x14ac:dyDescent="0.2">
      <c r="A1883" s="28">
        <v>1882</v>
      </c>
      <c r="B1883" s="28" t="e">
        <f>interpola(#REF!,CURVA!$B$6:$B$20,CURVA!$G$6:$G$20)</f>
        <v>#VALUE!</v>
      </c>
      <c r="C1883" s="29" t="e">
        <f t="shared" si="29"/>
        <v>#VALUE!</v>
      </c>
      <c r="E1883" t="e">
        <f>cubic_spline(CURVA!$B$6:$B$20,CURVA!$G$6:$G$20,#REF!)</f>
        <v>#VALUE!</v>
      </c>
    </row>
    <row r="1884" spans="1:5" x14ac:dyDescent="0.2">
      <c r="A1884" s="28">
        <v>1883</v>
      </c>
      <c r="B1884" s="28" t="e">
        <f>interpola(#REF!,CURVA!$B$6:$B$20,CURVA!$G$6:$G$20)</f>
        <v>#VALUE!</v>
      </c>
      <c r="C1884" s="29" t="e">
        <f t="shared" si="29"/>
        <v>#VALUE!</v>
      </c>
      <c r="E1884" t="e">
        <f>cubic_spline(CURVA!$B$6:$B$20,CURVA!$G$6:$G$20,#REF!)</f>
        <v>#VALUE!</v>
      </c>
    </row>
    <row r="1885" spans="1:5" x14ac:dyDescent="0.2">
      <c r="A1885" s="28">
        <v>1884</v>
      </c>
      <c r="B1885" s="28" t="e">
        <f>interpola(#REF!,CURVA!$B$6:$B$20,CURVA!$G$6:$G$20)</f>
        <v>#VALUE!</v>
      </c>
      <c r="C1885" s="29" t="e">
        <f t="shared" si="29"/>
        <v>#VALUE!</v>
      </c>
      <c r="E1885" t="e">
        <f>cubic_spline(CURVA!$B$6:$B$20,CURVA!$G$6:$G$20,#REF!)</f>
        <v>#VALUE!</v>
      </c>
    </row>
    <row r="1886" spans="1:5" x14ac:dyDescent="0.2">
      <c r="A1886" s="28">
        <v>1885</v>
      </c>
      <c r="B1886" s="28" t="e">
        <f>interpola(#REF!,CURVA!$B$6:$B$20,CURVA!$G$6:$G$20)</f>
        <v>#VALUE!</v>
      </c>
      <c r="C1886" s="29" t="e">
        <f t="shared" si="29"/>
        <v>#VALUE!</v>
      </c>
      <c r="E1886" t="e">
        <f>cubic_spline(CURVA!$B$6:$B$20,CURVA!$G$6:$G$20,#REF!)</f>
        <v>#VALUE!</v>
      </c>
    </row>
    <row r="1887" spans="1:5" x14ac:dyDescent="0.2">
      <c r="A1887" s="28">
        <v>1886</v>
      </c>
      <c r="B1887" s="28" t="e">
        <f>interpola(#REF!,CURVA!$B$6:$B$20,CURVA!$G$6:$G$20)</f>
        <v>#VALUE!</v>
      </c>
      <c r="C1887" s="29" t="e">
        <f t="shared" si="29"/>
        <v>#VALUE!</v>
      </c>
      <c r="E1887" t="e">
        <f>cubic_spline(CURVA!$B$6:$B$20,CURVA!$G$6:$G$20,#REF!)</f>
        <v>#VALUE!</v>
      </c>
    </row>
    <row r="1888" spans="1:5" x14ac:dyDescent="0.2">
      <c r="A1888" s="28">
        <v>1887</v>
      </c>
      <c r="B1888" s="28" t="e">
        <f>interpola(#REF!,CURVA!$B$6:$B$20,CURVA!$G$6:$G$20)</f>
        <v>#VALUE!</v>
      </c>
      <c r="C1888" s="29" t="e">
        <f t="shared" si="29"/>
        <v>#VALUE!</v>
      </c>
      <c r="E1888" t="e">
        <f>cubic_spline(CURVA!$B$6:$B$20,CURVA!$G$6:$G$20,#REF!)</f>
        <v>#VALUE!</v>
      </c>
    </row>
    <row r="1889" spans="1:5" x14ac:dyDescent="0.2">
      <c r="A1889" s="28">
        <v>1888</v>
      </c>
      <c r="B1889" s="28" t="e">
        <f>interpola(#REF!,CURVA!$B$6:$B$20,CURVA!$G$6:$G$20)</f>
        <v>#VALUE!</v>
      </c>
      <c r="C1889" s="29" t="e">
        <f t="shared" si="29"/>
        <v>#VALUE!</v>
      </c>
      <c r="E1889" t="e">
        <f>cubic_spline(CURVA!$B$6:$B$20,CURVA!$G$6:$G$20,#REF!)</f>
        <v>#VALUE!</v>
      </c>
    </row>
    <row r="1890" spans="1:5" x14ac:dyDescent="0.2">
      <c r="A1890" s="28">
        <v>1889</v>
      </c>
      <c r="B1890" s="28" t="e">
        <f>interpola(#REF!,CURVA!$B$6:$B$20,CURVA!$G$6:$G$20)</f>
        <v>#VALUE!</v>
      </c>
      <c r="C1890" s="29" t="e">
        <f t="shared" si="29"/>
        <v>#VALUE!</v>
      </c>
      <c r="E1890" t="e">
        <f>cubic_spline(CURVA!$B$6:$B$20,CURVA!$G$6:$G$20,#REF!)</f>
        <v>#VALUE!</v>
      </c>
    </row>
    <row r="1891" spans="1:5" x14ac:dyDescent="0.2">
      <c r="A1891" s="28">
        <v>1890</v>
      </c>
      <c r="B1891" s="28" t="e">
        <f>interpola(#REF!,CURVA!$B$6:$B$20,CURVA!$G$6:$G$20)</f>
        <v>#VALUE!</v>
      </c>
      <c r="C1891" s="29" t="e">
        <f t="shared" si="29"/>
        <v>#VALUE!</v>
      </c>
      <c r="E1891" t="e">
        <f>cubic_spline(CURVA!$B$6:$B$20,CURVA!$G$6:$G$20,#REF!)</f>
        <v>#VALUE!</v>
      </c>
    </row>
    <row r="1892" spans="1:5" x14ac:dyDescent="0.2">
      <c r="A1892" s="28">
        <v>1891</v>
      </c>
      <c r="B1892" s="28" t="e">
        <f>interpola(#REF!,CURVA!$B$6:$B$20,CURVA!$G$6:$G$20)</f>
        <v>#VALUE!</v>
      </c>
      <c r="C1892" s="29" t="e">
        <f t="shared" si="29"/>
        <v>#VALUE!</v>
      </c>
      <c r="E1892" t="e">
        <f>cubic_spline(CURVA!$B$6:$B$20,CURVA!$G$6:$G$20,#REF!)</f>
        <v>#VALUE!</v>
      </c>
    </row>
    <row r="1893" spans="1:5" x14ac:dyDescent="0.2">
      <c r="A1893" s="28">
        <v>1892</v>
      </c>
      <c r="B1893" s="28" t="e">
        <f>interpola(#REF!,CURVA!$B$6:$B$20,CURVA!$G$6:$G$20)</f>
        <v>#VALUE!</v>
      </c>
      <c r="C1893" s="29" t="e">
        <f t="shared" si="29"/>
        <v>#VALUE!</v>
      </c>
      <c r="E1893" t="e">
        <f>cubic_spline(CURVA!$B$6:$B$20,CURVA!$G$6:$G$20,#REF!)</f>
        <v>#VALUE!</v>
      </c>
    </row>
    <row r="1894" spans="1:5" x14ac:dyDescent="0.2">
      <c r="A1894" s="28">
        <v>1893</v>
      </c>
      <c r="B1894" s="28" t="e">
        <f>interpola(#REF!,CURVA!$B$6:$B$20,CURVA!$G$6:$G$20)</f>
        <v>#VALUE!</v>
      </c>
      <c r="C1894" s="29" t="e">
        <f t="shared" si="29"/>
        <v>#VALUE!</v>
      </c>
      <c r="E1894" t="e">
        <f>cubic_spline(CURVA!$B$6:$B$20,CURVA!$G$6:$G$20,#REF!)</f>
        <v>#VALUE!</v>
      </c>
    </row>
    <row r="1895" spans="1:5" x14ac:dyDescent="0.2">
      <c r="A1895" s="28">
        <v>1894</v>
      </c>
      <c r="B1895" s="28" t="e">
        <f>interpola(#REF!,CURVA!$B$6:$B$20,CURVA!$G$6:$G$20)</f>
        <v>#VALUE!</v>
      </c>
      <c r="C1895" s="29" t="e">
        <f t="shared" si="29"/>
        <v>#VALUE!</v>
      </c>
      <c r="E1895" t="e">
        <f>cubic_spline(CURVA!$B$6:$B$20,CURVA!$G$6:$G$20,#REF!)</f>
        <v>#VALUE!</v>
      </c>
    </row>
    <row r="1896" spans="1:5" x14ac:dyDescent="0.2">
      <c r="A1896" s="28">
        <v>1895</v>
      </c>
      <c r="B1896" s="28" t="e">
        <f>interpola(#REF!,CURVA!$B$6:$B$20,CURVA!$G$6:$G$20)</f>
        <v>#VALUE!</v>
      </c>
      <c r="C1896" s="29" t="e">
        <f t="shared" si="29"/>
        <v>#VALUE!</v>
      </c>
      <c r="E1896" t="e">
        <f>cubic_spline(CURVA!$B$6:$B$20,CURVA!$G$6:$G$20,#REF!)</f>
        <v>#VALUE!</v>
      </c>
    </row>
    <row r="1897" spans="1:5" x14ac:dyDescent="0.2">
      <c r="A1897" s="28">
        <v>1896</v>
      </c>
      <c r="B1897" s="28" t="e">
        <f>interpola(#REF!,CURVA!$B$6:$B$20,CURVA!$G$6:$G$20)</f>
        <v>#VALUE!</v>
      </c>
      <c r="C1897" s="29" t="e">
        <f t="shared" si="29"/>
        <v>#VALUE!</v>
      </c>
      <c r="E1897" t="e">
        <f>cubic_spline(CURVA!$B$6:$B$20,CURVA!$G$6:$G$20,#REF!)</f>
        <v>#VALUE!</v>
      </c>
    </row>
    <row r="1898" spans="1:5" x14ac:dyDescent="0.2">
      <c r="A1898" s="28">
        <v>1897</v>
      </c>
      <c r="B1898" s="28" t="e">
        <f>interpola(#REF!,CURVA!$B$6:$B$20,CURVA!$G$6:$G$20)</f>
        <v>#VALUE!</v>
      </c>
      <c r="C1898" s="29" t="e">
        <f t="shared" si="29"/>
        <v>#VALUE!</v>
      </c>
      <c r="E1898" t="e">
        <f>cubic_spline(CURVA!$B$6:$B$20,CURVA!$G$6:$G$20,#REF!)</f>
        <v>#VALUE!</v>
      </c>
    </row>
    <row r="1899" spans="1:5" x14ac:dyDescent="0.2">
      <c r="A1899" s="28">
        <v>1898</v>
      </c>
      <c r="B1899" s="28" t="e">
        <f>interpola(#REF!,CURVA!$B$6:$B$20,CURVA!$G$6:$G$20)</f>
        <v>#VALUE!</v>
      </c>
      <c r="C1899" s="29" t="e">
        <f t="shared" si="29"/>
        <v>#VALUE!</v>
      </c>
      <c r="E1899" t="e">
        <f>cubic_spline(CURVA!$B$6:$B$20,CURVA!$G$6:$G$20,#REF!)</f>
        <v>#VALUE!</v>
      </c>
    </row>
    <row r="1900" spans="1:5" x14ac:dyDescent="0.2">
      <c r="A1900" s="28">
        <v>1899</v>
      </c>
      <c r="B1900" s="28" t="e">
        <f>interpola(#REF!,CURVA!$B$6:$B$20,CURVA!$G$6:$G$20)</f>
        <v>#VALUE!</v>
      </c>
      <c r="C1900" s="29" t="e">
        <f t="shared" si="29"/>
        <v>#VALUE!</v>
      </c>
      <c r="E1900" t="e">
        <f>cubic_spline(CURVA!$B$6:$B$20,CURVA!$G$6:$G$20,#REF!)</f>
        <v>#VALUE!</v>
      </c>
    </row>
    <row r="1901" spans="1:5" x14ac:dyDescent="0.2">
      <c r="A1901" s="28">
        <v>1900</v>
      </c>
      <c r="B1901" s="28" t="e">
        <f>interpola(#REF!,CURVA!$B$6:$B$20,CURVA!$G$6:$G$20)</f>
        <v>#VALUE!</v>
      </c>
      <c r="C1901" s="29" t="e">
        <f t="shared" si="29"/>
        <v>#VALUE!</v>
      </c>
      <c r="E1901" t="e">
        <f>cubic_spline(CURVA!$B$6:$B$20,CURVA!$G$6:$G$20,#REF!)</f>
        <v>#VALUE!</v>
      </c>
    </row>
    <row r="1902" spans="1:5" x14ac:dyDescent="0.2">
      <c r="A1902" s="28">
        <v>1901</v>
      </c>
      <c r="B1902" s="28" t="e">
        <f>interpola(#REF!,CURVA!$B$6:$B$20,CURVA!$G$6:$G$20)</f>
        <v>#VALUE!</v>
      </c>
      <c r="C1902" s="29" t="e">
        <f t="shared" si="29"/>
        <v>#VALUE!</v>
      </c>
      <c r="E1902" t="e">
        <f>cubic_spline(CURVA!$B$6:$B$20,CURVA!$G$6:$G$20,#REF!)</f>
        <v>#VALUE!</v>
      </c>
    </row>
    <row r="1903" spans="1:5" x14ac:dyDescent="0.2">
      <c r="A1903" s="28">
        <v>1902</v>
      </c>
      <c r="B1903" s="28" t="e">
        <f>interpola(#REF!,CURVA!$B$6:$B$20,CURVA!$G$6:$G$20)</f>
        <v>#VALUE!</v>
      </c>
      <c r="C1903" s="29" t="e">
        <f t="shared" si="29"/>
        <v>#VALUE!</v>
      </c>
      <c r="E1903" t="e">
        <f>cubic_spline(CURVA!$B$6:$B$20,CURVA!$G$6:$G$20,#REF!)</f>
        <v>#VALUE!</v>
      </c>
    </row>
    <row r="1904" spans="1:5" x14ac:dyDescent="0.2">
      <c r="A1904" s="28">
        <v>1903</v>
      </c>
      <c r="B1904" s="28" t="e">
        <f>interpola(#REF!,CURVA!$B$6:$B$20,CURVA!$G$6:$G$20)</f>
        <v>#VALUE!</v>
      </c>
      <c r="C1904" s="29" t="e">
        <f t="shared" si="29"/>
        <v>#VALUE!</v>
      </c>
      <c r="E1904" t="e">
        <f>cubic_spline(CURVA!$B$6:$B$20,CURVA!$G$6:$G$20,#REF!)</f>
        <v>#VALUE!</v>
      </c>
    </row>
    <row r="1905" spans="1:5" x14ac:dyDescent="0.2">
      <c r="A1905" s="28">
        <v>1904</v>
      </c>
      <c r="B1905" s="28" t="e">
        <f>interpola(#REF!,CURVA!$B$6:$B$20,CURVA!$G$6:$G$20)</f>
        <v>#VALUE!</v>
      </c>
      <c r="C1905" s="29" t="e">
        <f t="shared" si="29"/>
        <v>#VALUE!</v>
      </c>
      <c r="E1905" t="e">
        <f>cubic_spline(CURVA!$B$6:$B$20,CURVA!$G$6:$G$20,#REF!)</f>
        <v>#VALUE!</v>
      </c>
    </row>
    <row r="1906" spans="1:5" x14ac:dyDescent="0.2">
      <c r="A1906" s="28">
        <v>1905</v>
      </c>
      <c r="B1906" s="28" t="e">
        <f>interpola(#REF!,CURVA!$B$6:$B$20,CURVA!$G$6:$G$20)</f>
        <v>#VALUE!</v>
      </c>
      <c r="C1906" s="29" t="e">
        <f t="shared" si="29"/>
        <v>#VALUE!</v>
      </c>
      <c r="E1906" t="e">
        <f>cubic_spline(CURVA!$B$6:$B$20,CURVA!$G$6:$G$20,#REF!)</f>
        <v>#VALUE!</v>
      </c>
    </row>
    <row r="1907" spans="1:5" x14ac:dyDescent="0.2">
      <c r="A1907" s="28">
        <v>1906</v>
      </c>
      <c r="B1907" s="28" t="e">
        <f>interpola(#REF!,CURVA!$B$6:$B$20,CURVA!$G$6:$G$20)</f>
        <v>#VALUE!</v>
      </c>
      <c r="C1907" s="29" t="e">
        <f t="shared" si="29"/>
        <v>#VALUE!</v>
      </c>
      <c r="E1907" t="e">
        <f>cubic_spline(CURVA!$B$6:$B$20,CURVA!$G$6:$G$20,#REF!)</f>
        <v>#VALUE!</v>
      </c>
    </row>
    <row r="1908" spans="1:5" x14ac:dyDescent="0.2">
      <c r="A1908" s="28">
        <v>1907</v>
      </c>
      <c r="B1908" s="28" t="e">
        <f>interpola(#REF!,CURVA!$B$6:$B$20,CURVA!$G$6:$G$20)</f>
        <v>#VALUE!</v>
      </c>
      <c r="C1908" s="29" t="e">
        <f t="shared" si="29"/>
        <v>#VALUE!</v>
      </c>
      <c r="E1908" t="e">
        <f>cubic_spline(CURVA!$B$6:$B$20,CURVA!$G$6:$G$20,#REF!)</f>
        <v>#VALUE!</v>
      </c>
    </row>
    <row r="1909" spans="1:5" x14ac:dyDescent="0.2">
      <c r="A1909" s="28">
        <v>1908</v>
      </c>
      <c r="B1909" s="28" t="e">
        <f>interpola(#REF!,CURVA!$B$6:$B$20,CURVA!$G$6:$G$20)</f>
        <v>#VALUE!</v>
      </c>
      <c r="C1909" s="29" t="e">
        <f t="shared" si="29"/>
        <v>#VALUE!</v>
      </c>
      <c r="E1909" t="e">
        <f>cubic_spline(CURVA!$B$6:$B$20,CURVA!$G$6:$G$20,#REF!)</f>
        <v>#VALUE!</v>
      </c>
    </row>
    <row r="1910" spans="1:5" x14ac:dyDescent="0.2">
      <c r="A1910" s="28">
        <v>1909</v>
      </c>
      <c r="B1910" s="28" t="e">
        <f>interpola(#REF!,CURVA!$B$6:$B$20,CURVA!$G$6:$G$20)</f>
        <v>#VALUE!</v>
      </c>
      <c r="C1910" s="29" t="e">
        <f t="shared" si="29"/>
        <v>#VALUE!</v>
      </c>
      <c r="E1910" t="e">
        <f>cubic_spline(CURVA!$B$6:$B$20,CURVA!$G$6:$G$20,#REF!)</f>
        <v>#VALUE!</v>
      </c>
    </row>
    <row r="1911" spans="1:5" x14ac:dyDescent="0.2">
      <c r="A1911" s="28">
        <v>1910</v>
      </c>
      <c r="B1911" s="28" t="e">
        <f>interpola(#REF!,CURVA!$B$6:$B$20,CURVA!$G$6:$G$20)</f>
        <v>#VALUE!</v>
      </c>
      <c r="C1911" s="29" t="e">
        <f t="shared" si="29"/>
        <v>#VALUE!</v>
      </c>
      <c r="E1911" t="e">
        <f>cubic_spline(CURVA!$B$6:$B$20,CURVA!$G$6:$G$20,#REF!)</f>
        <v>#VALUE!</v>
      </c>
    </row>
    <row r="1912" spans="1:5" x14ac:dyDescent="0.2">
      <c r="A1912" s="28">
        <v>1911</v>
      </c>
      <c r="B1912" s="28" t="e">
        <f>interpola(#REF!,CURVA!$B$6:$B$20,CURVA!$G$6:$G$20)</f>
        <v>#VALUE!</v>
      </c>
      <c r="C1912" s="29" t="e">
        <f t="shared" si="29"/>
        <v>#VALUE!</v>
      </c>
      <c r="E1912" t="e">
        <f>cubic_spline(CURVA!$B$6:$B$20,CURVA!$G$6:$G$20,#REF!)</f>
        <v>#VALUE!</v>
      </c>
    </row>
    <row r="1913" spans="1:5" x14ac:dyDescent="0.2">
      <c r="A1913" s="28">
        <v>1912</v>
      </c>
      <c r="B1913" s="28" t="e">
        <f>interpola(#REF!,CURVA!$B$6:$B$20,CURVA!$G$6:$G$20)</f>
        <v>#VALUE!</v>
      </c>
      <c r="C1913" s="29" t="e">
        <f t="shared" si="29"/>
        <v>#VALUE!</v>
      </c>
      <c r="E1913" t="e">
        <f>cubic_spline(CURVA!$B$6:$B$20,CURVA!$G$6:$G$20,#REF!)</f>
        <v>#VALUE!</v>
      </c>
    </row>
    <row r="1914" spans="1:5" x14ac:dyDescent="0.2">
      <c r="A1914" s="28">
        <v>1913</v>
      </c>
      <c r="B1914" s="28" t="e">
        <f>interpola(#REF!,CURVA!$B$6:$B$20,CURVA!$G$6:$G$20)</f>
        <v>#VALUE!</v>
      </c>
      <c r="C1914" s="29" t="e">
        <f t="shared" si="29"/>
        <v>#VALUE!</v>
      </c>
      <c r="E1914" t="e">
        <f>cubic_spline(CURVA!$B$6:$B$20,CURVA!$G$6:$G$20,#REF!)</f>
        <v>#VALUE!</v>
      </c>
    </row>
    <row r="1915" spans="1:5" x14ac:dyDescent="0.2">
      <c r="A1915" s="28">
        <v>1914</v>
      </c>
      <c r="B1915" s="28" t="e">
        <f>interpola(#REF!,CURVA!$B$6:$B$20,CURVA!$G$6:$G$20)</f>
        <v>#VALUE!</v>
      </c>
      <c r="C1915" s="29" t="e">
        <f t="shared" si="29"/>
        <v>#VALUE!</v>
      </c>
      <c r="E1915" t="e">
        <f>cubic_spline(CURVA!$B$6:$B$20,CURVA!$G$6:$G$20,#REF!)</f>
        <v>#VALUE!</v>
      </c>
    </row>
    <row r="1916" spans="1:5" x14ac:dyDescent="0.2">
      <c r="A1916" s="28">
        <v>1915</v>
      </c>
      <c r="B1916" s="28" t="e">
        <f>interpola(#REF!,CURVA!$B$6:$B$20,CURVA!$G$6:$G$20)</f>
        <v>#VALUE!</v>
      </c>
      <c r="C1916" s="29" t="e">
        <f t="shared" si="29"/>
        <v>#VALUE!</v>
      </c>
      <c r="E1916" t="e">
        <f>cubic_spline(CURVA!$B$6:$B$20,CURVA!$G$6:$G$20,#REF!)</f>
        <v>#VALUE!</v>
      </c>
    </row>
    <row r="1917" spans="1:5" x14ac:dyDescent="0.2">
      <c r="A1917" s="28">
        <v>1916</v>
      </c>
      <c r="B1917" s="28" t="e">
        <f>interpola(#REF!,CURVA!$B$6:$B$20,CURVA!$G$6:$G$20)</f>
        <v>#VALUE!</v>
      </c>
      <c r="C1917" s="29" t="e">
        <f t="shared" si="29"/>
        <v>#VALUE!</v>
      </c>
      <c r="E1917" t="e">
        <f>cubic_spline(CURVA!$B$6:$B$20,CURVA!$G$6:$G$20,#REF!)</f>
        <v>#VALUE!</v>
      </c>
    </row>
    <row r="1918" spans="1:5" x14ac:dyDescent="0.2">
      <c r="A1918" s="28">
        <v>1917</v>
      </c>
      <c r="B1918" s="28" t="e">
        <f>interpola(#REF!,CURVA!$B$6:$B$20,CURVA!$G$6:$G$20)</f>
        <v>#VALUE!</v>
      </c>
      <c r="C1918" s="29" t="e">
        <f t="shared" si="29"/>
        <v>#VALUE!</v>
      </c>
      <c r="E1918" t="e">
        <f>cubic_spline(CURVA!$B$6:$B$20,CURVA!$G$6:$G$20,#REF!)</f>
        <v>#VALUE!</v>
      </c>
    </row>
    <row r="1919" spans="1:5" x14ac:dyDescent="0.2">
      <c r="A1919" s="28">
        <v>1918</v>
      </c>
      <c r="B1919" s="28" t="e">
        <f>interpola(#REF!,CURVA!$B$6:$B$20,CURVA!$G$6:$G$20)</f>
        <v>#VALUE!</v>
      </c>
      <c r="C1919" s="29" t="e">
        <f t="shared" si="29"/>
        <v>#VALUE!</v>
      </c>
      <c r="E1919" t="e">
        <f>cubic_spline(CURVA!$B$6:$B$20,CURVA!$G$6:$G$20,#REF!)</f>
        <v>#VALUE!</v>
      </c>
    </row>
    <row r="1920" spans="1:5" x14ac:dyDescent="0.2">
      <c r="A1920" s="28">
        <v>1919</v>
      </c>
      <c r="B1920" s="28" t="e">
        <f>interpola(#REF!,CURVA!$B$6:$B$20,CURVA!$G$6:$G$20)</f>
        <v>#VALUE!</v>
      </c>
      <c r="C1920" s="29" t="e">
        <f t="shared" si="29"/>
        <v>#VALUE!</v>
      </c>
      <c r="E1920" t="e">
        <f>cubic_spline(CURVA!$B$6:$B$20,CURVA!$G$6:$G$20,#REF!)</f>
        <v>#VALUE!</v>
      </c>
    </row>
    <row r="1921" spans="1:5" x14ac:dyDescent="0.2">
      <c r="A1921" s="28">
        <v>1920</v>
      </c>
      <c r="B1921" s="28" t="e">
        <f>interpola(#REF!,CURVA!$B$6:$B$20,CURVA!$G$6:$G$20)</f>
        <v>#VALUE!</v>
      </c>
      <c r="C1921" s="29" t="e">
        <f t="shared" si="29"/>
        <v>#VALUE!</v>
      </c>
      <c r="E1921" t="e">
        <f>cubic_spline(CURVA!$B$6:$B$20,CURVA!$G$6:$G$20,#REF!)</f>
        <v>#VALUE!</v>
      </c>
    </row>
    <row r="1922" spans="1:5" x14ac:dyDescent="0.2">
      <c r="A1922" s="28">
        <v>1921</v>
      </c>
      <c r="B1922" s="28" t="e">
        <f>interpola(#REF!,CURVA!$B$6:$B$20,CURVA!$G$6:$G$20)</f>
        <v>#VALUE!</v>
      </c>
      <c r="C1922" s="29" t="e">
        <f t="shared" ref="C1922:C1985" si="30">(EXP(B1922*A1922/360)-1)*360/A1922</f>
        <v>#VALUE!</v>
      </c>
      <c r="E1922" t="e">
        <f>cubic_spline(CURVA!$B$6:$B$20,CURVA!$G$6:$G$20,#REF!)</f>
        <v>#VALUE!</v>
      </c>
    </row>
    <row r="1923" spans="1:5" x14ac:dyDescent="0.2">
      <c r="A1923" s="28">
        <v>1922</v>
      </c>
      <c r="B1923" s="28" t="e">
        <f>interpola(#REF!,CURVA!$B$6:$B$20,CURVA!$G$6:$G$20)</f>
        <v>#VALUE!</v>
      </c>
      <c r="C1923" s="29" t="e">
        <f t="shared" si="30"/>
        <v>#VALUE!</v>
      </c>
      <c r="E1923" t="e">
        <f>cubic_spline(CURVA!$B$6:$B$20,CURVA!$G$6:$G$20,#REF!)</f>
        <v>#VALUE!</v>
      </c>
    </row>
    <row r="1924" spans="1:5" x14ac:dyDescent="0.2">
      <c r="A1924" s="28">
        <v>1923</v>
      </c>
      <c r="B1924" s="28" t="e">
        <f>interpola(#REF!,CURVA!$B$6:$B$20,CURVA!$G$6:$G$20)</f>
        <v>#VALUE!</v>
      </c>
      <c r="C1924" s="29" t="e">
        <f t="shared" si="30"/>
        <v>#VALUE!</v>
      </c>
      <c r="E1924" t="e">
        <f>cubic_spline(CURVA!$B$6:$B$20,CURVA!$G$6:$G$20,#REF!)</f>
        <v>#VALUE!</v>
      </c>
    </row>
    <row r="1925" spans="1:5" x14ac:dyDescent="0.2">
      <c r="A1925" s="28">
        <v>1924</v>
      </c>
      <c r="B1925" s="28" t="e">
        <f>interpola(#REF!,CURVA!$B$6:$B$20,CURVA!$G$6:$G$20)</f>
        <v>#VALUE!</v>
      </c>
      <c r="C1925" s="29" t="e">
        <f t="shared" si="30"/>
        <v>#VALUE!</v>
      </c>
      <c r="E1925" t="e">
        <f>cubic_spline(CURVA!$B$6:$B$20,CURVA!$G$6:$G$20,#REF!)</f>
        <v>#VALUE!</v>
      </c>
    </row>
    <row r="1926" spans="1:5" x14ac:dyDescent="0.2">
      <c r="A1926" s="28">
        <v>1925</v>
      </c>
      <c r="B1926" s="28" t="e">
        <f>interpola(#REF!,CURVA!$B$6:$B$20,CURVA!$G$6:$G$20)</f>
        <v>#VALUE!</v>
      </c>
      <c r="C1926" s="29" t="e">
        <f t="shared" si="30"/>
        <v>#VALUE!</v>
      </c>
      <c r="E1926" t="e">
        <f>cubic_spline(CURVA!$B$6:$B$20,CURVA!$G$6:$G$20,#REF!)</f>
        <v>#VALUE!</v>
      </c>
    </row>
    <row r="1927" spans="1:5" x14ac:dyDescent="0.2">
      <c r="A1927" s="28">
        <v>1926</v>
      </c>
      <c r="B1927" s="28" t="e">
        <f>interpola(#REF!,CURVA!$B$6:$B$20,CURVA!$G$6:$G$20)</f>
        <v>#VALUE!</v>
      </c>
      <c r="C1927" s="29" t="e">
        <f t="shared" si="30"/>
        <v>#VALUE!</v>
      </c>
      <c r="E1927" t="e">
        <f>cubic_spline(CURVA!$B$6:$B$20,CURVA!$G$6:$G$20,#REF!)</f>
        <v>#VALUE!</v>
      </c>
    </row>
    <row r="1928" spans="1:5" x14ac:dyDescent="0.2">
      <c r="A1928" s="28">
        <v>1927</v>
      </c>
      <c r="B1928" s="28" t="e">
        <f>interpola(#REF!,CURVA!$B$6:$B$20,CURVA!$G$6:$G$20)</f>
        <v>#VALUE!</v>
      </c>
      <c r="C1928" s="29" t="e">
        <f t="shared" si="30"/>
        <v>#VALUE!</v>
      </c>
      <c r="E1928" t="e">
        <f>cubic_spline(CURVA!$B$6:$B$20,CURVA!$G$6:$G$20,#REF!)</f>
        <v>#VALUE!</v>
      </c>
    </row>
    <row r="1929" spans="1:5" x14ac:dyDescent="0.2">
      <c r="A1929" s="28">
        <v>1928</v>
      </c>
      <c r="B1929" s="28" t="e">
        <f>interpola(#REF!,CURVA!$B$6:$B$20,CURVA!$G$6:$G$20)</f>
        <v>#VALUE!</v>
      </c>
      <c r="C1929" s="29" t="e">
        <f t="shared" si="30"/>
        <v>#VALUE!</v>
      </c>
      <c r="E1929" t="e">
        <f>cubic_spline(CURVA!$B$6:$B$20,CURVA!$G$6:$G$20,#REF!)</f>
        <v>#VALUE!</v>
      </c>
    </row>
    <row r="1930" spans="1:5" x14ac:dyDescent="0.2">
      <c r="A1930" s="28">
        <v>1929</v>
      </c>
      <c r="B1930" s="28" t="e">
        <f>interpola(#REF!,CURVA!$B$6:$B$20,CURVA!$G$6:$G$20)</f>
        <v>#VALUE!</v>
      </c>
      <c r="C1930" s="29" t="e">
        <f t="shared" si="30"/>
        <v>#VALUE!</v>
      </c>
      <c r="E1930" t="e">
        <f>cubic_spline(CURVA!$B$6:$B$20,CURVA!$G$6:$G$20,#REF!)</f>
        <v>#VALUE!</v>
      </c>
    </row>
    <row r="1931" spans="1:5" x14ac:dyDescent="0.2">
      <c r="A1931" s="28">
        <v>1930</v>
      </c>
      <c r="B1931" s="28" t="e">
        <f>interpola(#REF!,CURVA!$B$6:$B$20,CURVA!$G$6:$G$20)</f>
        <v>#VALUE!</v>
      </c>
      <c r="C1931" s="29" t="e">
        <f t="shared" si="30"/>
        <v>#VALUE!</v>
      </c>
      <c r="E1931" t="e">
        <f>cubic_spline(CURVA!$B$6:$B$20,CURVA!$G$6:$G$20,#REF!)</f>
        <v>#VALUE!</v>
      </c>
    </row>
    <row r="1932" spans="1:5" x14ac:dyDescent="0.2">
      <c r="A1932" s="28">
        <v>1931</v>
      </c>
      <c r="B1932" s="28" t="e">
        <f>interpola(#REF!,CURVA!$B$6:$B$20,CURVA!$G$6:$G$20)</f>
        <v>#VALUE!</v>
      </c>
      <c r="C1932" s="29" t="e">
        <f t="shared" si="30"/>
        <v>#VALUE!</v>
      </c>
      <c r="E1932" t="e">
        <f>cubic_spline(CURVA!$B$6:$B$20,CURVA!$G$6:$G$20,#REF!)</f>
        <v>#VALUE!</v>
      </c>
    </row>
    <row r="1933" spans="1:5" x14ac:dyDescent="0.2">
      <c r="A1933" s="28">
        <v>1932</v>
      </c>
      <c r="B1933" s="28" t="e">
        <f>interpola(#REF!,CURVA!$B$6:$B$20,CURVA!$G$6:$G$20)</f>
        <v>#VALUE!</v>
      </c>
      <c r="C1933" s="29" t="e">
        <f t="shared" si="30"/>
        <v>#VALUE!</v>
      </c>
      <c r="E1933" t="e">
        <f>cubic_spline(CURVA!$B$6:$B$20,CURVA!$G$6:$G$20,#REF!)</f>
        <v>#VALUE!</v>
      </c>
    </row>
    <row r="1934" spans="1:5" x14ac:dyDescent="0.2">
      <c r="A1934" s="28">
        <v>1933</v>
      </c>
      <c r="B1934" s="28" t="e">
        <f>interpola(#REF!,CURVA!$B$6:$B$20,CURVA!$G$6:$G$20)</f>
        <v>#VALUE!</v>
      </c>
      <c r="C1934" s="29" t="e">
        <f t="shared" si="30"/>
        <v>#VALUE!</v>
      </c>
      <c r="E1934" t="e">
        <f>cubic_spline(CURVA!$B$6:$B$20,CURVA!$G$6:$G$20,#REF!)</f>
        <v>#VALUE!</v>
      </c>
    </row>
    <row r="1935" spans="1:5" x14ac:dyDescent="0.2">
      <c r="A1935" s="28">
        <v>1934</v>
      </c>
      <c r="B1935" s="28" t="e">
        <f>interpola(#REF!,CURVA!$B$6:$B$20,CURVA!$G$6:$G$20)</f>
        <v>#VALUE!</v>
      </c>
      <c r="C1935" s="29" t="e">
        <f t="shared" si="30"/>
        <v>#VALUE!</v>
      </c>
      <c r="E1935" t="e">
        <f>cubic_spline(CURVA!$B$6:$B$20,CURVA!$G$6:$G$20,#REF!)</f>
        <v>#VALUE!</v>
      </c>
    </row>
    <row r="1936" spans="1:5" x14ac:dyDescent="0.2">
      <c r="A1936" s="28">
        <v>1935</v>
      </c>
      <c r="B1936" s="28" t="e">
        <f>interpola(#REF!,CURVA!$B$6:$B$20,CURVA!$G$6:$G$20)</f>
        <v>#VALUE!</v>
      </c>
      <c r="C1936" s="29" t="e">
        <f t="shared" si="30"/>
        <v>#VALUE!</v>
      </c>
      <c r="E1936" t="e">
        <f>cubic_spline(CURVA!$B$6:$B$20,CURVA!$G$6:$G$20,#REF!)</f>
        <v>#VALUE!</v>
      </c>
    </row>
    <row r="1937" spans="1:5" x14ac:dyDescent="0.2">
      <c r="A1937" s="28">
        <v>1936</v>
      </c>
      <c r="B1937" s="28" t="e">
        <f>interpola(#REF!,CURVA!$B$6:$B$20,CURVA!$G$6:$G$20)</f>
        <v>#VALUE!</v>
      </c>
      <c r="C1937" s="29" t="e">
        <f t="shared" si="30"/>
        <v>#VALUE!</v>
      </c>
      <c r="E1937" t="e">
        <f>cubic_spline(CURVA!$B$6:$B$20,CURVA!$G$6:$G$20,#REF!)</f>
        <v>#VALUE!</v>
      </c>
    </row>
    <row r="1938" spans="1:5" x14ac:dyDescent="0.2">
      <c r="A1938" s="28">
        <v>1937</v>
      </c>
      <c r="B1938" s="28" t="e">
        <f>interpola(#REF!,CURVA!$B$6:$B$20,CURVA!$G$6:$G$20)</f>
        <v>#VALUE!</v>
      </c>
      <c r="C1938" s="29" t="e">
        <f t="shared" si="30"/>
        <v>#VALUE!</v>
      </c>
      <c r="E1938" t="e">
        <f>cubic_spline(CURVA!$B$6:$B$20,CURVA!$G$6:$G$20,#REF!)</f>
        <v>#VALUE!</v>
      </c>
    </row>
    <row r="1939" spans="1:5" x14ac:dyDescent="0.2">
      <c r="A1939" s="28">
        <v>1938</v>
      </c>
      <c r="B1939" s="28" t="e">
        <f>interpola(#REF!,CURVA!$B$6:$B$20,CURVA!$G$6:$G$20)</f>
        <v>#VALUE!</v>
      </c>
      <c r="C1939" s="29" t="e">
        <f t="shared" si="30"/>
        <v>#VALUE!</v>
      </c>
      <c r="E1939" t="e">
        <f>cubic_spline(CURVA!$B$6:$B$20,CURVA!$G$6:$G$20,#REF!)</f>
        <v>#VALUE!</v>
      </c>
    </row>
    <row r="1940" spans="1:5" x14ac:dyDescent="0.2">
      <c r="A1940" s="28">
        <v>1939</v>
      </c>
      <c r="B1940" s="28" t="e">
        <f>interpola(#REF!,CURVA!$B$6:$B$20,CURVA!$G$6:$G$20)</f>
        <v>#VALUE!</v>
      </c>
      <c r="C1940" s="29" t="e">
        <f t="shared" si="30"/>
        <v>#VALUE!</v>
      </c>
      <c r="E1940" t="e">
        <f>cubic_spline(CURVA!$B$6:$B$20,CURVA!$G$6:$G$20,#REF!)</f>
        <v>#VALUE!</v>
      </c>
    </row>
    <row r="1941" spans="1:5" x14ac:dyDescent="0.2">
      <c r="A1941" s="28">
        <v>1940</v>
      </c>
      <c r="B1941" s="28" t="e">
        <f>interpola(#REF!,CURVA!$B$6:$B$20,CURVA!$G$6:$G$20)</f>
        <v>#VALUE!</v>
      </c>
      <c r="C1941" s="29" t="e">
        <f t="shared" si="30"/>
        <v>#VALUE!</v>
      </c>
      <c r="E1941" t="e">
        <f>cubic_spline(CURVA!$B$6:$B$20,CURVA!$G$6:$G$20,#REF!)</f>
        <v>#VALUE!</v>
      </c>
    </row>
    <row r="1942" spans="1:5" x14ac:dyDescent="0.2">
      <c r="A1942" s="28">
        <v>1941</v>
      </c>
      <c r="B1942" s="28" t="e">
        <f>interpola(#REF!,CURVA!$B$6:$B$20,CURVA!$G$6:$G$20)</f>
        <v>#VALUE!</v>
      </c>
      <c r="C1942" s="29" t="e">
        <f t="shared" si="30"/>
        <v>#VALUE!</v>
      </c>
      <c r="E1942" t="e">
        <f>cubic_spline(CURVA!$B$6:$B$20,CURVA!$G$6:$G$20,#REF!)</f>
        <v>#VALUE!</v>
      </c>
    </row>
    <row r="1943" spans="1:5" x14ac:dyDescent="0.2">
      <c r="A1943" s="28">
        <v>1942</v>
      </c>
      <c r="B1943" s="28" t="e">
        <f>interpola(#REF!,CURVA!$B$6:$B$20,CURVA!$G$6:$G$20)</f>
        <v>#VALUE!</v>
      </c>
      <c r="C1943" s="29" t="e">
        <f t="shared" si="30"/>
        <v>#VALUE!</v>
      </c>
      <c r="E1943" t="e">
        <f>cubic_spline(CURVA!$B$6:$B$20,CURVA!$G$6:$G$20,#REF!)</f>
        <v>#VALUE!</v>
      </c>
    </row>
    <row r="1944" spans="1:5" x14ac:dyDescent="0.2">
      <c r="A1944" s="28">
        <v>1943</v>
      </c>
      <c r="B1944" s="28" t="e">
        <f>interpola(#REF!,CURVA!$B$6:$B$20,CURVA!$G$6:$G$20)</f>
        <v>#VALUE!</v>
      </c>
      <c r="C1944" s="29" t="e">
        <f t="shared" si="30"/>
        <v>#VALUE!</v>
      </c>
      <c r="E1944" t="e">
        <f>cubic_spline(CURVA!$B$6:$B$20,CURVA!$G$6:$G$20,#REF!)</f>
        <v>#VALUE!</v>
      </c>
    </row>
    <row r="1945" spans="1:5" x14ac:dyDescent="0.2">
      <c r="A1945" s="28">
        <v>1944</v>
      </c>
      <c r="B1945" s="28" t="e">
        <f>interpola(#REF!,CURVA!$B$6:$B$20,CURVA!$G$6:$G$20)</f>
        <v>#VALUE!</v>
      </c>
      <c r="C1945" s="29" t="e">
        <f t="shared" si="30"/>
        <v>#VALUE!</v>
      </c>
      <c r="E1945" t="e">
        <f>cubic_spline(CURVA!$B$6:$B$20,CURVA!$G$6:$G$20,#REF!)</f>
        <v>#VALUE!</v>
      </c>
    </row>
    <row r="1946" spans="1:5" x14ac:dyDescent="0.2">
      <c r="A1946" s="28">
        <v>1945</v>
      </c>
      <c r="B1946" s="28" t="e">
        <f>interpola(#REF!,CURVA!$B$6:$B$20,CURVA!$G$6:$G$20)</f>
        <v>#VALUE!</v>
      </c>
      <c r="C1946" s="29" t="e">
        <f t="shared" si="30"/>
        <v>#VALUE!</v>
      </c>
      <c r="E1946" t="e">
        <f>cubic_spline(CURVA!$B$6:$B$20,CURVA!$G$6:$G$20,#REF!)</f>
        <v>#VALUE!</v>
      </c>
    </row>
    <row r="1947" spans="1:5" x14ac:dyDescent="0.2">
      <c r="A1947" s="28">
        <v>1946</v>
      </c>
      <c r="B1947" s="28" t="e">
        <f>interpola(#REF!,CURVA!$B$6:$B$20,CURVA!$G$6:$G$20)</f>
        <v>#VALUE!</v>
      </c>
      <c r="C1947" s="29" t="e">
        <f t="shared" si="30"/>
        <v>#VALUE!</v>
      </c>
      <c r="E1947" t="e">
        <f>cubic_spline(CURVA!$B$6:$B$20,CURVA!$G$6:$G$20,#REF!)</f>
        <v>#VALUE!</v>
      </c>
    </row>
    <row r="1948" spans="1:5" x14ac:dyDescent="0.2">
      <c r="A1948" s="28">
        <v>1947</v>
      </c>
      <c r="B1948" s="28" t="e">
        <f>interpola(#REF!,CURVA!$B$6:$B$20,CURVA!$G$6:$G$20)</f>
        <v>#VALUE!</v>
      </c>
      <c r="C1948" s="29" t="e">
        <f t="shared" si="30"/>
        <v>#VALUE!</v>
      </c>
      <c r="E1948" t="e">
        <f>cubic_spline(CURVA!$B$6:$B$20,CURVA!$G$6:$G$20,#REF!)</f>
        <v>#VALUE!</v>
      </c>
    </row>
    <row r="1949" spans="1:5" x14ac:dyDescent="0.2">
      <c r="A1949" s="28">
        <v>1948</v>
      </c>
      <c r="B1949" s="28" t="e">
        <f>interpola(#REF!,CURVA!$B$6:$B$20,CURVA!$G$6:$G$20)</f>
        <v>#VALUE!</v>
      </c>
      <c r="C1949" s="29" t="e">
        <f t="shared" si="30"/>
        <v>#VALUE!</v>
      </c>
      <c r="E1949" t="e">
        <f>cubic_spline(CURVA!$B$6:$B$20,CURVA!$G$6:$G$20,#REF!)</f>
        <v>#VALUE!</v>
      </c>
    </row>
    <row r="1950" spans="1:5" x14ac:dyDescent="0.2">
      <c r="A1950" s="28">
        <v>1949</v>
      </c>
      <c r="B1950" s="28" t="e">
        <f>interpola(#REF!,CURVA!$B$6:$B$20,CURVA!$G$6:$G$20)</f>
        <v>#VALUE!</v>
      </c>
      <c r="C1950" s="29" t="e">
        <f t="shared" si="30"/>
        <v>#VALUE!</v>
      </c>
      <c r="E1950" t="e">
        <f>cubic_spline(CURVA!$B$6:$B$20,CURVA!$G$6:$G$20,#REF!)</f>
        <v>#VALUE!</v>
      </c>
    </row>
    <row r="1951" spans="1:5" x14ac:dyDescent="0.2">
      <c r="A1951" s="28">
        <v>1950</v>
      </c>
      <c r="B1951" s="28" t="e">
        <f>interpola(#REF!,CURVA!$B$6:$B$20,CURVA!$G$6:$G$20)</f>
        <v>#VALUE!</v>
      </c>
      <c r="C1951" s="29" t="e">
        <f t="shared" si="30"/>
        <v>#VALUE!</v>
      </c>
      <c r="E1951" t="e">
        <f>cubic_spline(CURVA!$B$6:$B$20,CURVA!$G$6:$G$20,#REF!)</f>
        <v>#VALUE!</v>
      </c>
    </row>
    <row r="1952" spans="1:5" x14ac:dyDescent="0.2">
      <c r="A1952" s="28">
        <v>1951</v>
      </c>
      <c r="B1952" s="28" t="e">
        <f>interpola(#REF!,CURVA!$B$6:$B$20,CURVA!$G$6:$G$20)</f>
        <v>#VALUE!</v>
      </c>
      <c r="C1952" s="29" t="e">
        <f t="shared" si="30"/>
        <v>#VALUE!</v>
      </c>
      <c r="E1952" t="e">
        <f>cubic_spline(CURVA!$B$6:$B$20,CURVA!$G$6:$G$20,#REF!)</f>
        <v>#VALUE!</v>
      </c>
    </row>
    <row r="1953" spans="1:5" x14ac:dyDescent="0.2">
      <c r="A1953" s="28">
        <v>1952</v>
      </c>
      <c r="B1953" s="28" t="e">
        <f>interpola(#REF!,CURVA!$B$6:$B$20,CURVA!$G$6:$G$20)</f>
        <v>#VALUE!</v>
      </c>
      <c r="C1953" s="29" t="e">
        <f t="shared" si="30"/>
        <v>#VALUE!</v>
      </c>
      <c r="E1953" t="e">
        <f>cubic_spline(CURVA!$B$6:$B$20,CURVA!$G$6:$G$20,#REF!)</f>
        <v>#VALUE!</v>
      </c>
    </row>
    <row r="1954" spans="1:5" x14ac:dyDescent="0.2">
      <c r="A1954" s="28">
        <v>1953</v>
      </c>
      <c r="B1954" s="28" t="e">
        <f>interpola(#REF!,CURVA!$B$6:$B$20,CURVA!$G$6:$G$20)</f>
        <v>#VALUE!</v>
      </c>
      <c r="C1954" s="29" t="e">
        <f t="shared" si="30"/>
        <v>#VALUE!</v>
      </c>
      <c r="E1954" t="e">
        <f>cubic_spline(CURVA!$B$6:$B$20,CURVA!$G$6:$G$20,#REF!)</f>
        <v>#VALUE!</v>
      </c>
    </row>
    <row r="1955" spans="1:5" x14ac:dyDescent="0.2">
      <c r="A1955" s="28">
        <v>1954</v>
      </c>
      <c r="B1955" s="28" t="e">
        <f>interpola(#REF!,CURVA!$B$6:$B$20,CURVA!$G$6:$G$20)</f>
        <v>#VALUE!</v>
      </c>
      <c r="C1955" s="29" t="e">
        <f t="shared" si="30"/>
        <v>#VALUE!</v>
      </c>
      <c r="E1955" t="e">
        <f>cubic_spline(CURVA!$B$6:$B$20,CURVA!$G$6:$G$20,#REF!)</f>
        <v>#VALUE!</v>
      </c>
    </row>
    <row r="1956" spans="1:5" x14ac:dyDescent="0.2">
      <c r="A1956" s="28">
        <v>1955</v>
      </c>
      <c r="B1956" s="28" t="e">
        <f>interpola(#REF!,CURVA!$B$6:$B$20,CURVA!$G$6:$G$20)</f>
        <v>#VALUE!</v>
      </c>
      <c r="C1956" s="29" t="e">
        <f t="shared" si="30"/>
        <v>#VALUE!</v>
      </c>
      <c r="E1956" t="e">
        <f>cubic_spline(CURVA!$B$6:$B$20,CURVA!$G$6:$G$20,#REF!)</f>
        <v>#VALUE!</v>
      </c>
    </row>
    <row r="1957" spans="1:5" x14ac:dyDescent="0.2">
      <c r="A1957" s="28">
        <v>1956</v>
      </c>
      <c r="B1957" s="28" t="e">
        <f>interpola(#REF!,CURVA!$B$6:$B$20,CURVA!$G$6:$G$20)</f>
        <v>#VALUE!</v>
      </c>
      <c r="C1957" s="29" t="e">
        <f t="shared" si="30"/>
        <v>#VALUE!</v>
      </c>
      <c r="E1957" t="e">
        <f>cubic_spline(CURVA!$B$6:$B$20,CURVA!$G$6:$G$20,#REF!)</f>
        <v>#VALUE!</v>
      </c>
    </row>
    <row r="1958" spans="1:5" x14ac:dyDescent="0.2">
      <c r="A1958" s="28">
        <v>1957</v>
      </c>
      <c r="B1958" s="28" t="e">
        <f>interpola(#REF!,CURVA!$B$6:$B$20,CURVA!$G$6:$G$20)</f>
        <v>#VALUE!</v>
      </c>
      <c r="C1958" s="29" t="e">
        <f t="shared" si="30"/>
        <v>#VALUE!</v>
      </c>
      <c r="E1958" t="e">
        <f>cubic_spline(CURVA!$B$6:$B$20,CURVA!$G$6:$G$20,#REF!)</f>
        <v>#VALUE!</v>
      </c>
    </row>
    <row r="1959" spans="1:5" x14ac:dyDescent="0.2">
      <c r="A1959" s="28">
        <v>1958</v>
      </c>
      <c r="B1959" s="28" t="e">
        <f>interpola(#REF!,CURVA!$B$6:$B$20,CURVA!$G$6:$G$20)</f>
        <v>#VALUE!</v>
      </c>
      <c r="C1959" s="29" t="e">
        <f t="shared" si="30"/>
        <v>#VALUE!</v>
      </c>
      <c r="E1959" t="e">
        <f>cubic_spline(CURVA!$B$6:$B$20,CURVA!$G$6:$G$20,#REF!)</f>
        <v>#VALUE!</v>
      </c>
    </row>
    <row r="1960" spans="1:5" x14ac:dyDescent="0.2">
      <c r="A1960" s="28">
        <v>1959</v>
      </c>
      <c r="B1960" s="28" t="e">
        <f>interpola(#REF!,CURVA!$B$6:$B$20,CURVA!$G$6:$G$20)</f>
        <v>#VALUE!</v>
      </c>
      <c r="C1960" s="29" t="e">
        <f t="shared" si="30"/>
        <v>#VALUE!</v>
      </c>
      <c r="E1960" t="e">
        <f>cubic_spline(CURVA!$B$6:$B$20,CURVA!$G$6:$G$20,#REF!)</f>
        <v>#VALUE!</v>
      </c>
    </row>
    <row r="1961" spans="1:5" x14ac:dyDescent="0.2">
      <c r="A1961" s="28">
        <v>1960</v>
      </c>
      <c r="B1961" s="28" t="e">
        <f>interpola(#REF!,CURVA!$B$6:$B$20,CURVA!$G$6:$G$20)</f>
        <v>#VALUE!</v>
      </c>
      <c r="C1961" s="29" t="e">
        <f t="shared" si="30"/>
        <v>#VALUE!</v>
      </c>
      <c r="E1961" t="e">
        <f>cubic_spline(CURVA!$B$6:$B$20,CURVA!$G$6:$G$20,#REF!)</f>
        <v>#VALUE!</v>
      </c>
    </row>
    <row r="1962" spans="1:5" x14ac:dyDescent="0.2">
      <c r="A1962" s="28">
        <v>1961</v>
      </c>
      <c r="B1962" s="28" t="e">
        <f>interpola(#REF!,CURVA!$B$6:$B$20,CURVA!$G$6:$G$20)</f>
        <v>#VALUE!</v>
      </c>
      <c r="C1962" s="29" t="e">
        <f t="shared" si="30"/>
        <v>#VALUE!</v>
      </c>
      <c r="E1962" t="e">
        <f>cubic_spline(CURVA!$B$6:$B$20,CURVA!$G$6:$G$20,#REF!)</f>
        <v>#VALUE!</v>
      </c>
    </row>
    <row r="1963" spans="1:5" x14ac:dyDescent="0.2">
      <c r="A1963" s="28">
        <v>1962</v>
      </c>
      <c r="B1963" s="28" t="e">
        <f>interpola(#REF!,CURVA!$B$6:$B$20,CURVA!$G$6:$G$20)</f>
        <v>#VALUE!</v>
      </c>
      <c r="C1963" s="29" t="e">
        <f t="shared" si="30"/>
        <v>#VALUE!</v>
      </c>
      <c r="E1963" t="e">
        <f>cubic_spline(CURVA!$B$6:$B$20,CURVA!$G$6:$G$20,#REF!)</f>
        <v>#VALUE!</v>
      </c>
    </row>
    <row r="1964" spans="1:5" x14ac:dyDescent="0.2">
      <c r="A1964" s="28">
        <v>1963</v>
      </c>
      <c r="B1964" s="28" t="e">
        <f>interpola(#REF!,CURVA!$B$6:$B$20,CURVA!$G$6:$G$20)</f>
        <v>#VALUE!</v>
      </c>
      <c r="C1964" s="29" t="e">
        <f t="shared" si="30"/>
        <v>#VALUE!</v>
      </c>
      <c r="E1964" t="e">
        <f>cubic_spline(CURVA!$B$6:$B$20,CURVA!$G$6:$G$20,#REF!)</f>
        <v>#VALUE!</v>
      </c>
    </row>
    <row r="1965" spans="1:5" x14ac:dyDescent="0.2">
      <c r="A1965" s="28">
        <v>1964</v>
      </c>
      <c r="B1965" s="28" t="e">
        <f>interpola(#REF!,CURVA!$B$6:$B$20,CURVA!$G$6:$G$20)</f>
        <v>#VALUE!</v>
      </c>
      <c r="C1965" s="29" t="e">
        <f t="shared" si="30"/>
        <v>#VALUE!</v>
      </c>
      <c r="E1965" t="e">
        <f>cubic_spline(CURVA!$B$6:$B$20,CURVA!$G$6:$G$20,#REF!)</f>
        <v>#VALUE!</v>
      </c>
    </row>
    <row r="1966" spans="1:5" x14ac:dyDescent="0.2">
      <c r="A1966" s="28">
        <v>1965</v>
      </c>
      <c r="B1966" s="28" t="e">
        <f>interpola(#REF!,CURVA!$B$6:$B$20,CURVA!$G$6:$G$20)</f>
        <v>#VALUE!</v>
      </c>
      <c r="C1966" s="29" t="e">
        <f t="shared" si="30"/>
        <v>#VALUE!</v>
      </c>
      <c r="E1966" t="e">
        <f>cubic_spline(CURVA!$B$6:$B$20,CURVA!$G$6:$G$20,#REF!)</f>
        <v>#VALUE!</v>
      </c>
    </row>
    <row r="1967" spans="1:5" x14ac:dyDescent="0.2">
      <c r="A1967" s="28">
        <v>1966</v>
      </c>
      <c r="B1967" s="28" t="e">
        <f>interpola(#REF!,CURVA!$B$6:$B$20,CURVA!$G$6:$G$20)</f>
        <v>#VALUE!</v>
      </c>
      <c r="C1967" s="29" t="e">
        <f t="shared" si="30"/>
        <v>#VALUE!</v>
      </c>
      <c r="E1967" t="e">
        <f>cubic_spline(CURVA!$B$6:$B$20,CURVA!$G$6:$G$20,#REF!)</f>
        <v>#VALUE!</v>
      </c>
    </row>
    <row r="1968" spans="1:5" x14ac:dyDescent="0.2">
      <c r="A1968" s="28">
        <v>1967</v>
      </c>
      <c r="B1968" s="28" t="e">
        <f>interpola(#REF!,CURVA!$B$6:$B$20,CURVA!$G$6:$G$20)</f>
        <v>#VALUE!</v>
      </c>
      <c r="C1968" s="29" t="e">
        <f t="shared" si="30"/>
        <v>#VALUE!</v>
      </c>
      <c r="E1968" t="e">
        <f>cubic_spline(CURVA!$B$6:$B$20,CURVA!$G$6:$G$20,#REF!)</f>
        <v>#VALUE!</v>
      </c>
    </row>
    <row r="1969" spans="1:5" x14ac:dyDescent="0.2">
      <c r="A1969" s="28">
        <v>1968</v>
      </c>
      <c r="B1969" s="28" t="e">
        <f>interpola(#REF!,CURVA!$B$6:$B$20,CURVA!$G$6:$G$20)</f>
        <v>#VALUE!</v>
      </c>
      <c r="C1969" s="29" t="e">
        <f t="shared" si="30"/>
        <v>#VALUE!</v>
      </c>
      <c r="E1969" t="e">
        <f>cubic_spline(CURVA!$B$6:$B$20,CURVA!$G$6:$G$20,#REF!)</f>
        <v>#VALUE!</v>
      </c>
    </row>
    <row r="1970" spans="1:5" x14ac:dyDescent="0.2">
      <c r="A1970" s="28">
        <v>1969</v>
      </c>
      <c r="B1970" s="28" t="e">
        <f>interpola(#REF!,CURVA!$B$6:$B$20,CURVA!$G$6:$G$20)</f>
        <v>#VALUE!</v>
      </c>
      <c r="C1970" s="29" t="e">
        <f t="shared" si="30"/>
        <v>#VALUE!</v>
      </c>
      <c r="E1970" t="e">
        <f>cubic_spline(CURVA!$B$6:$B$20,CURVA!$G$6:$G$20,#REF!)</f>
        <v>#VALUE!</v>
      </c>
    </row>
    <row r="1971" spans="1:5" x14ac:dyDescent="0.2">
      <c r="A1971" s="28">
        <v>1970</v>
      </c>
      <c r="B1971" s="28" t="e">
        <f>interpola(#REF!,CURVA!$B$6:$B$20,CURVA!$G$6:$G$20)</f>
        <v>#VALUE!</v>
      </c>
      <c r="C1971" s="29" t="e">
        <f t="shared" si="30"/>
        <v>#VALUE!</v>
      </c>
      <c r="E1971" t="e">
        <f>cubic_spline(CURVA!$B$6:$B$20,CURVA!$G$6:$G$20,#REF!)</f>
        <v>#VALUE!</v>
      </c>
    </row>
    <row r="1972" spans="1:5" x14ac:dyDescent="0.2">
      <c r="A1972" s="28">
        <v>1971</v>
      </c>
      <c r="B1972" s="28" t="e">
        <f>interpola(#REF!,CURVA!$B$6:$B$20,CURVA!$G$6:$G$20)</f>
        <v>#VALUE!</v>
      </c>
      <c r="C1972" s="29" t="e">
        <f t="shared" si="30"/>
        <v>#VALUE!</v>
      </c>
      <c r="E1972" t="e">
        <f>cubic_spline(CURVA!$B$6:$B$20,CURVA!$G$6:$G$20,#REF!)</f>
        <v>#VALUE!</v>
      </c>
    </row>
    <row r="1973" spans="1:5" x14ac:dyDescent="0.2">
      <c r="A1973" s="28">
        <v>1972</v>
      </c>
      <c r="B1973" s="28" t="e">
        <f>interpola(#REF!,CURVA!$B$6:$B$20,CURVA!$G$6:$G$20)</f>
        <v>#VALUE!</v>
      </c>
      <c r="C1973" s="29" t="e">
        <f t="shared" si="30"/>
        <v>#VALUE!</v>
      </c>
      <c r="E1973" t="e">
        <f>cubic_spline(CURVA!$B$6:$B$20,CURVA!$G$6:$G$20,#REF!)</f>
        <v>#VALUE!</v>
      </c>
    </row>
    <row r="1974" spans="1:5" x14ac:dyDescent="0.2">
      <c r="A1974" s="28">
        <v>1973</v>
      </c>
      <c r="B1974" s="28" t="e">
        <f>interpola(#REF!,CURVA!$B$6:$B$20,CURVA!$G$6:$G$20)</f>
        <v>#VALUE!</v>
      </c>
      <c r="C1974" s="29" t="e">
        <f t="shared" si="30"/>
        <v>#VALUE!</v>
      </c>
      <c r="E1974" t="e">
        <f>cubic_spline(CURVA!$B$6:$B$20,CURVA!$G$6:$G$20,#REF!)</f>
        <v>#VALUE!</v>
      </c>
    </row>
    <row r="1975" spans="1:5" x14ac:dyDescent="0.2">
      <c r="A1975" s="28">
        <v>1974</v>
      </c>
      <c r="B1975" s="28" t="e">
        <f>interpola(#REF!,CURVA!$B$6:$B$20,CURVA!$G$6:$G$20)</f>
        <v>#VALUE!</v>
      </c>
      <c r="C1975" s="29" t="e">
        <f t="shared" si="30"/>
        <v>#VALUE!</v>
      </c>
      <c r="E1975" t="e">
        <f>cubic_spline(CURVA!$B$6:$B$20,CURVA!$G$6:$G$20,#REF!)</f>
        <v>#VALUE!</v>
      </c>
    </row>
    <row r="1976" spans="1:5" x14ac:dyDescent="0.2">
      <c r="A1976" s="28">
        <v>1975</v>
      </c>
      <c r="B1976" s="28" t="e">
        <f>interpola(#REF!,CURVA!$B$6:$B$20,CURVA!$G$6:$G$20)</f>
        <v>#VALUE!</v>
      </c>
      <c r="C1976" s="29" t="e">
        <f t="shared" si="30"/>
        <v>#VALUE!</v>
      </c>
      <c r="E1976" t="e">
        <f>cubic_spline(CURVA!$B$6:$B$20,CURVA!$G$6:$G$20,#REF!)</f>
        <v>#VALUE!</v>
      </c>
    </row>
    <row r="1977" spans="1:5" x14ac:dyDescent="0.2">
      <c r="A1977" s="28">
        <v>1976</v>
      </c>
      <c r="B1977" s="28" t="e">
        <f>interpola(#REF!,CURVA!$B$6:$B$20,CURVA!$G$6:$G$20)</f>
        <v>#VALUE!</v>
      </c>
      <c r="C1977" s="29" t="e">
        <f t="shared" si="30"/>
        <v>#VALUE!</v>
      </c>
      <c r="E1977" t="e">
        <f>cubic_spline(CURVA!$B$6:$B$20,CURVA!$G$6:$G$20,#REF!)</f>
        <v>#VALUE!</v>
      </c>
    </row>
    <row r="1978" spans="1:5" x14ac:dyDescent="0.2">
      <c r="A1978" s="28">
        <v>1977</v>
      </c>
      <c r="B1978" s="28" t="e">
        <f>interpola(#REF!,CURVA!$B$6:$B$20,CURVA!$G$6:$G$20)</f>
        <v>#VALUE!</v>
      </c>
      <c r="C1978" s="29" t="e">
        <f t="shared" si="30"/>
        <v>#VALUE!</v>
      </c>
      <c r="E1978" t="e">
        <f>cubic_spline(CURVA!$B$6:$B$20,CURVA!$G$6:$G$20,#REF!)</f>
        <v>#VALUE!</v>
      </c>
    </row>
    <row r="1979" spans="1:5" x14ac:dyDescent="0.2">
      <c r="A1979" s="28">
        <v>1978</v>
      </c>
      <c r="B1979" s="28" t="e">
        <f>interpola(#REF!,CURVA!$B$6:$B$20,CURVA!$G$6:$G$20)</f>
        <v>#VALUE!</v>
      </c>
      <c r="C1979" s="29" t="e">
        <f t="shared" si="30"/>
        <v>#VALUE!</v>
      </c>
      <c r="E1979" t="e">
        <f>cubic_spline(CURVA!$B$6:$B$20,CURVA!$G$6:$G$20,#REF!)</f>
        <v>#VALUE!</v>
      </c>
    </row>
    <row r="1980" spans="1:5" x14ac:dyDescent="0.2">
      <c r="A1980" s="28">
        <v>1979</v>
      </c>
      <c r="B1980" s="28" t="e">
        <f>interpola(#REF!,CURVA!$B$6:$B$20,CURVA!$G$6:$G$20)</f>
        <v>#VALUE!</v>
      </c>
      <c r="C1980" s="29" t="e">
        <f t="shared" si="30"/>
        <v>#VALUE!</v>
      </c>
      <c r="E1980" t="e">
        <f>cubic_spline(CURVA!$B$6:$B$20,CURVA!$G$6:$G$20,#REF!)</f>
        <v>#VALUE!</v>
      </c>
    </row>
    <row r="1981" spans="1:5" x14ac:dyDescent="0.2">
      <c r="A1981" s="28">
        <v>1980</v>
      </c>
      <c r="B1981" s="28" t="e">
        <f>interpola(#REF!,CURVA!$B$6:$B$20,CURVA!$G$6:$G$20)</f>
        <v>#VALUE!</v>
      </c>
      <c r="C1981" s="29" t="e">
        <f t="shared" si="30"/>
        <v>#VALUE!</v>
      </c>
      <c r="E1981" t="e">
        <f>cubic_spline(CURVA!$B$6:$B$20,CURVA!$G$6:$G$20,#REF!)</f>
        <v>#VALUE!</v>
      </c>
    </row>
    <row r="1982" spans="1:5" x14ac:dyDescent="0.2">
      <c r="A1982" s="28">
        <v>1981</v>
      </c>
      <c r="B1982" s="28" t="e">
        <f>interpola(#REF!,CURVA!$B$6:$B$20,CURVA!$G$6:$G$20)</f>
        <v>#VALUE!</v>
      </c>
      <c r="C1982" s="29" t="e">
        <f t="shared" si="30"/>
        <v>#VALUE!</v>
      </c>
      <c r="E1982" t="e">
        <f>cubic_spline(CURVA!$B$6:$B$20,CURVA!$G$6:$G$20,#REF!)</f>
        <v>#VALUE!</v>
      </c>
    </row>
    <row r="1983" spans="1:5" x14ac:dyDescent="0.2">
      <c r="A1983" s="28">
        <v>1982</v>
      </c>
      <c r="B1983" s="28" t="e">
        <f>interpola(#REF!,CURVA!$B$6:$B$20,CURVA!$G$6:$G$20)</f>
        <v>#VALUE!</v>
      </c>
      <c r="C1983" s="29" t="e">
        <f t="shared" si="30"/>
        <v>#VALUE!</v>
      </c>
      <c r="E1983" t="e">
        <f>cubic_spline(CURVA!$B$6:$B$20,CURVA!$G$6:$G$20,#REF!)</f>
        <v>#VALUE!</v>
      </c>
    </row>
    <row r="1984" spans="1:5" x14ac:dyDescent="0.2">
      <c r="A1984" s="28">
        <v>1983</v>
      </c>
      <c r="B1984" s="28" t="e">
        <f>interpola(#REF!,CURVA!$B$6:$B$20,CURVA!$G$6:$G$20)</f>
        <v>#VALUE!</v>
      </c>
      <c r="C1984" s="29" t="e">
        <f t="shared" si="30"/>
        <v>#VALUE!</v>
      </c>
      <c r="E1984" t="e">
        <f>cubic_spline(CURVA!$B$6:$B$20,CURVA!$G$6:$G$20,#REF!)</f>
        <v>#VALUE!</v>
      </c>
    </row>
    <row r="1985" spans="1:5" x14ac:dyDescent="0.2">
      <c r="A1985" s="28">
        <v>1984</v>
      </c>
      <c r="B1985" s="28" t="e">
        <f>interpola(#REF!,CURVA!$B$6:$B$20,CURVA!$G$6:$G$20)</f>
        <v>#VALUE!</v>
      </c>
      <c r="C1985" s="29" t="e">
        <f t="shared" si="30"/>
        <v>#VALUE!</v>
      </c>
      <c r="E1985" t="e">
        <f>cubic_spline(CURVA!$B$6:$B$20,CURVA!$G$6:$G$20,#REF!)</f>
        <v>#VALUE!</v>
      </c>
    </row>
    <row r="1986" spans="1:5" x14ac:dyDescent="0.2">
      <c r="A1986" s="28">
        <v>1985</v>
      </c>
      <c r="B1986" s="28" t="e">
        <f>interpola(#REF!,CURVA!$B$6:$B$20,CURVA!$G$6:$G$20)</f>
        <v>#VALUE!</v>
      </c>
      <c r="C1986" s="29" t="e">
        <f t="shared" ref="C1986:C2049" si="31">(EXP(B1986*A1986/360)-1)*360/A1986</f>
        <v>#VALUE!</v>
      </c>
      <c r="E1986" t="e">
        <f>cubic_spline(CURVA!$B$6:$B$20,CURVA!$G$6:$G$20,#REF!)</f>
        <v>#VALUE!</v>
      </c>
    </row>
    <row r="1987" spans="1:5" x14ac:dyDescent="0.2">
      <c r="A1987" s="28">
        <v>1986</v>
      </c>
      <c r="B1987" s="28" t="e">
        <f>interpola(#REF!,CURVA!$B$6:$B$20,CURVA!$G$6:$G$20)</f>
        <v>#VALUE!</v>
      </c>
      <c r="C1987" s="29" t="e">
        <f t="shared" si="31"/>
        <v>#VALUE!</v>
      </c>
      <c r="E1987" t="e">
        <f>cubic_spline(CURVA!$B$6:$B$20,CURVA!$G$6:$G$20,#REF!)</f>
        <v>#VALUE!</v>
      </c>
    </row>
    <row r="1988" spans="1:5" x14ac:dyDescent="0.2">
      <c r="A1988" s="28">
        <v>1987</v>
      </c>
      <c r="B1988" s="28" t="e">
        <f>interpola(#REF!,CURVA!$B$6:$B$20,CURVA!$G$6:$G$20)</f>
        <v>#VALUE!</v>
      </c>
      <c r="C1988" s="29" t="e">
        <f t="shared" si="31"/>
        <v>#VALUE!</v>
      </c>
      <c r="E1988" t="e">
        <f>cubic_spline(CURVA!$B$6:$B$20,CURVA!$G$6:$G$20,#REF!)</f>
        <v>#VALUE!</v>
      </c>
    </row>
    <row r="1989" spans="1:5" x14ac:dyDescent="0.2">
      <c r="A1989" s="28">
        <v>1988</v>
      </c>
      <c r="B1989" s="28" t="e">
        <f>interpola(#REF!,CURVA!$B$6:$B$20,CURVA!$G$6:$G$20)</f>
        <v>#VALUE!</v>
      </c>
      <c r="C1989" s="29" t="e">
        <f t="shared" si="31"/>
        <v>#VALUE!</v>
      </c>
      <c r="E1989" t="e">
        <f>cubic_spline(CURVA!$B$6:$B$20,CURVA!$G$6:$G$20,#REF!)</f>
        <v>#VALUE!</v>
      </c>
    </row>
    <row r="1990" spans="1:5" x14ac:dyDescent="0.2">
      <c r="A1990" s="28">
        <v>1989</v>
      </c>
      <c r="B1990" s="28" t="e">
        <f>interpola(#REF!,CURVA!$B$6:$B$20,CURVA!$G$6:$G$20)</f>
        <v>#VALUE!</v>
      </c>
      <c r="C1990" s="29" t="e">
        <f t="shared" si="31"/>
        <v>#VALUE!</v>
      </c>
      <c r="E1990" t="e">
        <f>cubic_spline(CURVA!$B$6:$B$20,CURVA!$G$6:$G$20,#REF!)</f>
        <v>#VALUE!</v>
      </c>
    </row>
    <row r="1991" spans="1:5" x14ac:dyDescent="0.2">
      <c r="A1991" s="28">
        <v>1990</v>
      </c>
      <c r="B1991" s="28" t="e">
        <f>interpola(#REF!,CURVA!$B$6:$B$20,CURVA!$G$6:$G$20)</f>
        <v>#VALUE!</v>
      </c>
      <c r="C1991" s="29" t="e">
        <f t="shared" si="31"/>
        <v>#VALUE!</v>
      </c>
      <c r="E1991" t="e">
        <f>cubic_spline(CURVA!$B$6:$B$20,CURVA!$G$6:$G$20,#REF!)</f>
        <v>#VALUE!</v>
      </c>
    </row>
    <row r="1992" spans="1:5" x14ac:dyDescent="0.2">
      <c r="A1992" s="28">
        <v>1991</v>
      </c>
      <c r="B1992" s="28" t="e">
        <f>interpola(#REF!,CURVA!$B$6:$B$20,CURVA!$G$6:$G$20)</f>
        <v>#VALUE!</v>
      </c>
      <c r="C1992" s="29" t="e">
        <f t="shared" si="31"/>
        <v>#VALUE!</v>
      </c>
      <c r="E1992" t="e">
        <f>cubic_spline(CURVA!$B$6:$B$20,CURVA!$G$6:$G$20,#REF!)</f>
        <v>#VALUE!</v>
      </c>
    </row>
    <row r="1993" spans="1:5" x14ac:dyDescent="0.2">
      <c r="A1993" s="28">
        <v>1992</v>
      </c>
      <c r="B1993" s="28" t="e">
        <f>interpola(#REF!,CURVA!$B$6:$B$20,CURVA!$G$6:$G$20)</f>
        <v>#VALUE!</v>
      </c>
      <c r="C1993" s="29" t="e">
        <f t="shared" si="31"/>
        <v>#VALUE!</v>
      </c>
      <c r="E1993" t="e">
        <f>cubic_spline(CURVA!$B$6:$B$20,CURVA!$G$6:$G$20,#REF!)</f>
        <v>#VALUE!</v>
      </c>
    </row>
    <row r="1994" spans="1:5" x14ac:dyDescent="0.2">
      <c r="A1994" s="28">
        <v>1993</v>
      </c>
      <c r="B1994" s="28" t="e">
        <f>interpola(#REF!,CURVA!$B$6:$B$20,CURVA!$G$6:$G$20)</f>
        <v>#VALUE!</v>
      </c>
      <c r="C1994" s="29" t="e">
        <f t="shared" si="31"/>
        <v>#VALUE!</v>
      </c>
      <c r="E1994" t="e">
        <f>cubic_spline(CURVA!$B$6:$B$20,CURVA!$G$6:$G$20,#REF!)</f>
        <v>#VALUE!</v>
      </c>
    </row>
    <row r="1995" spans="1:5" x14ac:dyDescent="0.2">
      <c r="A1995" s="28">
        <v>1994</v>
      </c>
      <c r="B1995" s="28" t="e">
        <f>interpola(#REF!,CURVA!$B$6:$B$20,CURVA!$G$6:$G$20)</f>
        <v>#VALUE!</v>
      </c>
      <c r="C1995" s="29" t="e">
        <f t="shared" si="31"/>
        <v>#VALUE!</v>
      </c>
      <c r="E1995" t="e">
        <f>cubic_spline(CURVA!$B$6:$B$20,CURVA!$G$6:$G$20,#REF!)</f>
        <v>#VALUE!</v>
      </c>
    </row>
    <row r="1996" spans="1:5" x14ac:dyDescent="0.2">
      <c r="A1996" s="28">
        <v>1995</v>
      </c>
      <c r="B1996" s="28" t="e">
        <f>interpola(#REF!,CURVA!$B$6:$B$20,CURVA!$G$6:$G$20)</f>
        <v>#VALUE!</v>
      </c>
      <c r="C1996" s="29" t="e">
        <f t="shared" si="31"/>
        <v>#VALUE!</v>
      </c>
      <c r="E1996" t="e">
        <f>cubic_spline(CURVA!$B$6:$B$20,CURVA!$G$6:$G$20,#REF!)</f>
        <v>#VALUE!</v>
      </c>
    </row>
    <row r="1997" spans="1:5" x14ac:dyDescent="0.2">
      <c r="A1997" s="28">
        <v>1996</v>
      </c>
      <c r="B1997" s="28" t="e">
        <f>interpola(#REF!,CURVA!$B$6:$B$20,CURVA!$G$6:$G$20)</f>
        <v>#VALUE!</v>
      </c>
      <c r="C1997" s="29" t="e">
        <f t="shared" si="31"/>
        <v>#VALUE!</v>
      </c>
      <c r="E1997" t="e">
        <f>cubic_spline(CURVA!$B$6:$B$20,CURVA!$G$6:$G$20,#REF!)</f>
        <v>#VALUE!</v>
      </c>
    </row>
    <row r="1998" spans="1:5" x14ac:dyDescent="0.2">
      <c r="A1998" s="28">
        <v>1997</v>
      </c>
      <c r="B1998" s="28" t="e">
        <f>interpola(#REF!,CURVA!$B$6:$B$20,CURVA!$G$6:$G$20)</f>
        <v>#VALUE!</v>
      </c>
      <c r="C1998" s="29" t="e">
        <f t="shared" si="31"/>
        <v>#VALUE!</v>
      </c>
      <c r="E1998" t="e">
        <f>cubic_spline(CURVA!$B$6:$B$20,CURVA!$G$6:$G$20,#REF!)</f>
        <v>#VALUE!</v>
      </c>
    </row>
    <row r="1999" spans="1:5" x14ac:dyDescent="0.2">
      <c r="A1999" s="28">
        <v>1998</v>
      </c>
      <c r="B1999" s="28" t="e">
        <f>interpola(#REF!,CURVA!$B$6:$B$20,CURVA!$G$6:$G$20)</f>
        <v>#VALUE!</v>
      </c>
      <c r="C1999" s="29" t="e">
        <f t="shared" si="31"/>
        <v>#VALUE!</v>
      </c>
      <c r="E1999" t="e">
        <f>cubic_spline(CURVA!$B$6:$B$20,CURVA!$G$6:$G$20,#REF!)</f>
        <v>#VALUE!</v>
      </c>
    </row>
    <row r="2000" spans="1:5" x14ac:dyDescent="0.2">
      <c r="A2000" s="28">
        <v>1999</v>
      </c>
      <c r="B2000" s="28" t="e">
        <f>interpola(#REF!,CURVA!$B$6:$B$20,CURVA!$G$6:$G$20)</f>
        <v>#VALUE!</v>
      </c>
      <c r="C2000" s="29" t="e">
        <f t="shared" si="31"/>
        <v>#VALUE!</v>
      </c>
      <c r="E2000" t="e">
        <f>cubic_spline(CURVA!$B$6:$B$20,CURVA!$G$6:$G$20,#REF!)</f>
        <v>#VALUE!</v>
      </c>
    </row>
    <row r="2001" spans="1:5" x14ac:dyDescent="0.2">
      <c r="A2001" s="28">
        <v>2000</v>
      </c>
      <c r="B2001" s="28" t="e">
        <f>interpola(#REF!,CURVA!$B$6:$B$20,CURVA!$G$6:$G$20)</f>
        <v>#VALUE!</v>
      </c>
      <c r="C2001" s="29" t="e">
        <f t="shared" si="31"/>
        <v>#VALUE!</v>
      </c>
      <c r="E2001" t="e">
        <f>cubic_spline(CURVA!$B$6:$B$20,CURVA!$G$6:$G$20,#REF!)</f>
        <v>#VALUE!</v>
      </c>
    </row>
    <row r="2002" spans="1:5" x14ac:dyDescent="0.2">
      <c r="A2002" s="28">
        <v>2001</v>
      </c>
      <c r="B2002" s="28" t="e">
        <f>interpola(#REF!,CURVA!$B$6:$B$20,CURVA!$G$6:$G$20)</f>
        <v>#VALUE!</v>
      </c>
      <c r="C2002" s="29" t="e">
        <f t="shared" si="31"/>
        <v>#VALUE!</v>
      </c>
      <c r="E2002" t="e">
        <f>cubic_spline(CURVA!$B$6:$B$20,CURVA!$G$6:$G$20,#REF!)</f>
        <v>#VALUE!</v>
      </c>
    </row>
    <row r="2003" spans="1:5" x14ac:dyDescent="0.2">
      <c r="A2003" s="28">
        <v>2002</v>
      </c>
      <c r="B2003" s="28" t="e">
        <f>interpola(#REF!,CURVA!$B$6:$B$20,CURVA!$G$6:$G$20)</f>
        <v>#VALUE!</v>
      </c>
      <c r="C2003" s="29" t="e">
        <f t="shared" si="31"/>
        <v>#VALUE!</v>
      </c>
      <c r="E2003" t="e">
        <f>cubic_spline(CURVA!$B$6:$B$20,CURVA!$G$6:$G$20,#REF!)</f>
        <v>#VALUE!</v>
      </c>
    </row>
    <row r="2004" spans="1:5" x14ac:dyDescent="0.2">
      <c r="A2004" s="28">
        <v>2003</v>
      </c>
      <c r="B2004" s="28" t="e">
        <f>interpola(#REF!,CURVA!$B$6:$B$20,CURVA!$G$6:$G$20)</f>
        <v>#VALUE!</v>
      </c>
      <c r="C2004" s="29" t="e">
        <f t="shared" si="31"/>
        <v>#VALUE!</v>
      </c>
      <c r="E2004" t="e">
        <f>cubic_spline(CURVA!$B$6:$B$20,CURVA!$G$6:$G$20,#REF!)</f>
        <v>#VALUE!</v>
      </c>
    </row>
    <row r="2005" spans="1:5" x14ac:dyDescent="0.2">
      <c r="A2005" s="28">
        <v>2004</v>
      </c>
      <c r="B2005" s="28" t="e">
        <f>interpola(#REF!,CURVA!$B$6:$B$20,CURVA!$G$6:$G$20)</f>
        <v>#VALUE!</v>
      </c>
      <c r="C2005" s="29" t="e">
        <f t="shared" si="31"/>
        <v>#VALUE!</v>
      </c>
      <c r="E2005" t="e">
        <f>cubic_spline(CURVA!$B$6:$B$20,CURVA!$G$6:$G$20,#REF!)</f>
        <v>#VALUE!</v>
      </c>
    </row>
    <row r="2006" spans="1:5" x14ac:dyDescent="0.2">
      <c r="A2006" s="28">
        <v>2005</v>
      </c>
      <c r="B2006" s="28" t="e">
        <f>interpola(#REF!,CURVA!$B$6:$B$20,CURVA!$G$6:$G$20)</f>
        <v>#VALUE!</v>
      </c>
      <c r="C2006" s="29" t="e">
        <f t="shared" si="31"/>
        <v>#VALUE!</v>
      </c>
      <c r="E2006" t="e">
        <f>cubic_spline(CURVA!$B$6:$B$20,CURVA!$G$6:$G$20,#REF!)</f>
        <v>#VALUE!</v>
      </c>
    </row>
    <row r="2007" spans="1:5" x14ac:dyDescent="0.2">
      <c r="A2007" s="28">
        <v>2006</v>
      </c>
      <c r="B2007" s="28" t="e">
        <f>interpola(#REF!,CURVA!$B$6:$B$20,CURVA!$G$6:$G$20)</f>
        <v>#VALUE!</v>
      </c>
      <c r="C2007" s="29" t="e">
        <f t="shared" si="31"/>
        <v>#VALUE!</v>
      </c>
      <c r="E2007" t="e">
        <f>cubic_spline(CURVA!$B$6:$B$20,CURVA!$G$6:$G$20,#REF!)</f>
        <v>#VALUE!</v>
      </c>
    </row>
    <row r="2008" spans="1:5" x14ac:dyDescent="0.2">
      <c r="A2008" s="28">
        <v>2007</v>
      </c>
      <c r="B2008" s="28" t="e">
        <f>interpola(#REF!,CURVA!$B$6:$B$20,CURVA!$G$6:$G$20)</f>
        <v>#VALUE!</v>
      </c>
      <c r="C2008" s="29" t="e">
        <f t="shared" si="31"/>
        <v>#VALUE!</v>
      </c>
      <c r="E2008" t="e">
        <f>cubic_spline(CURVA!$B$6:$B$20,CURVA!$G$6:$G$20,#REF!)</f>
        <v>#VALUE!</v>
      </c>
    </row>
    <row r="2009" spans="1:5" x14ac:dyDescent="0.2">
      <c r="A2009" s="28">
        <v>2008</v>
      </c>
      <c r="B2009" s="28" t="e">
        <f>interpola(#REF!,CURVA!$B$6:$B$20,CURVA!$G$6:$G$20)</f>
        <v>#VALUE!</v>
      </c>
      <c r="C2009" s="29" t="e">
        <f t="shared" si="31"/>
        <v>#VALUE!</v>
      </c>
      <c r="E2009" t="e">
        <f>cubic_spline(CURVA!$B$6:$B$20,CURVA!$G$6:$G$20,#REF!)</f>
        <v>#VALUE!</v>
      </c>
    </row>
    <row r="2010" spans="1:5" x14ac:dyDescent="0.2">
      <c r="A2010" s="28">
        <v>2009</v>
      </c>
      <c r="B2010" s="28" t="e">
        <f>interpola(#REF!,CURVA!$B$6:$B$20,CURVA!$G$6:$G$20)</f>
        <v>#VALUE!</v>
      </c>
      <c r="C2010" s="29" t="e">
        <f t="shared" si="31"/>
        <v>#VALUE!</v>
      </c>
      <c r="E2010" t="e">
        <f>cubic_spline(CURVA!$B$6:$B$20,CURVA!$G$6:$G$20,#REF!)</f>
        <v>#VALUE!</v>
      </c>
    </row>
    <row r="2011" spans="1:5" x14ac:dyDescent="0.2">
      <c r="A2011" s="28">
        <v>2010</v>
      </c>
      <c r="B2011" s="28" t="e">
        <f>interpola(#REF!,CURVA!$B$6:$B$20,CURVA!$G$6:$G$20)</f>
        <v>#VALUE!</v>
      </c>
      <c r="C2011" s="29" t="e">
        <f t="shared" si="31"/>
        <v>#VALUE!</v>
      </c>
      <c r="E2011" t="e">
        <f>cubic_spline(CURVA!$B$6:$B$20,CURVA!$G$6:$G$20,#REF!)</f>
        <v>#VALUE!</v>
      </c>
    </row>
    <row r="2012" spans="1:5" x14ac:dyDescent="0.2">
      <c r="A2012" s="28">
        <v>2011</v>
      </c>
      <c r="B2012" s="28" t="e">
        <f>interpola(#REF!,CURVA!$B$6:$B$20,CURVA!$G$6:$G$20)</f>
        <v>#VALUE!</v>
      </c>
      <c r="C2012" s="29" t="e">
        <f t="shared" si="31"/>
        <v>#VALUE!</v>
      </c>
      <c r="E2012" t="e">
        <f>cubic_spline(CURVA!$B$6:$B$20,CURVA!$G$6:$G$20,#REF!)</f>
        <v>#VALUE!</v>
      </c>
    </row>
    <row r="2013" spans="1:5" x14ac:dyDescent="0.2">
      <c r="A2013" s="28">
        <v>2012</v>
      </c>
      <c r="B2013" s="28" t="e">
        <f>interpola(#REF!,CURVA!$B$6:$B$20,CURVA!$G$6:$G$20)</f>
        <v>#VALUE!</v>
      </c>
      <c r="C2013" s="29" t="e">
        <f t="shared" si="31"/>
        <v>#VALUE!</v>
      </c>
      <c r="E2013" t="e">
        <f>cubic_spline(CURVA!$B$6:$B$20,CURVA!$G$6:$G$20,#REF!)</f>
        <v>#VALUE!</v>
      </c>
    </row>
    <row r="2014" spans="1:5" x14ac:dyDescent="0.2">
      <c r="A2014" s="28">
        <v>2013</v>
      </c>
      <c r="B2014" s="28" t="e">
        <f>interpola(#REF!,CURVA!$B$6:$B$20,CURVA!$G$6:$G$20)</f>
        <v>#VALUE!</v>
      </c>
      <c r="C2014" s="29" t="e">
        <f t="shared" si="31"/>
        <v>#VALUE!</v>
      </c>
      <c r="E2014" t="e">
        <f>cubic_spline(CURVA!$B$6:$B$20,CURVA!$G$6:$G$20,#REF!)</f>
        <v>#VALUE!</v>
      </c>
    </row>
    <row r="2015" spans="1:5" x14ac:dyDescent="0.2">
      <c r="A2015" s="28">
        <v>2014</v>
      </c>
      <c r="B2015" s="28" t="e">
        <f>interpola(#REF!,CURVA!$B$6:$B$20,CURVA!$G$6:$G$20)</f>
        <v>#VALUE!</v>
      </c>
      <c r="C2015" s="29" t="e">
        <f t="shared" si="31"/>
        <v>#VALUE!</v>
      </c>
      <c r="E2015" t="e">
        <f>cubic_spline(CURVA!$B$6:$B$20,CURVA!$G$6:$G$20,#REF!)</f>
        <v>#VALUE!</v>
      </c>
    </row>
    <row r="2016" spans="1:5" x14ac:dyDescent="0.2">
      <c r="A2016" s="28">
        <v>2015</v>
      </c>
      <c r="B2016" s="28" t="e">
        <f>interpola(#REF!,CURVA!$B$6:$B$20,CURVA!$G$6:$G$20)</f>
        <v>#VALUE!</v>
      </c>
      <c r="C2016" s="29" t="e">
        <f t="shared" si="31"/>
        <v>#VALUE!</v>
      </c>
      <c r="E2016" t="e">
        <f>cubic_spline(CURVA!$B$6:$B$20,CURVA!$G$6:$G$20,#REF!)</f>
        <v>#VALUE!</v>
      </c>
    </row>
    <row r="2017" spans="1:5" x14ac:dyDescent="0.2">
      <c r="A2017" s="28">
        <v>2016</v>
      </c>
      <c r="B2017" s="28" t="e">
        <f>interpola(#REF!,CURVA!$B$6:$B$20,CURVA!$G$6:$G$20)</f>
        <v>#VALUE!</v>
      </c>
      <c r="C2017" s="29" t="e">
        <f t="shared" si="31"/>
        <v>#VALUE!</v>
      </c>
      <c r="E2017" t="e">
        <f>cubic_spline(CURVA!$B$6:$B$20,CURVA!$G$6:$G$20,#REF!)</f>
        <v>#VALUE!</v>
      </c>
    </row>
    <row r="2018" spans="1:5" x14ac:dyDescent="0.2">
      <c r="A2018" s="28">
        <v>2017</v>
      </c>
      <c r="B2018" s="28" t="e">
        <f>interpola(#REF!,CURVA!$B$6:$B$20,CURVA!$G$6:$G$20)</f>
        <v>#VALUE!</v>
      </c>
      <c r="C2018" s="29" t="e">
        <f t="shared" si="31"/>
        <v>#VALUE!</v>
      </c>
      <c r="E2018" t="e">
        <f>cubic_spline(CURVA!$B$6:$B$20,CURVA!$G$6:$G$20,#REF!)</f>
        <v>#VALUE!</v>
      </c>
    </row>
    <row r="2019" spans="1:5" x14ac:dyDescent="0.2">
      <c r="A2019" s="28">
        <v>2018</v>
      </c>
      <c r="B2019" s="28" t="e">
        <f>interpola(#REF!,CURVA!$B$6:$B$20,CURVA!$G$6:$G$20)</f>
        <v>#VALUE!</v>
      </c>
      <c r="C2019" s="29" t="e">
        <f t="shared" si="31"/>
        <v>#VALUE!</v>
      </c>
      <c r="E2019" t="e">
        <f>cubic_spline(CURVA!$B$6:$B$20,CURVA!$G$6:$G$20,#REF!)</f>
        <v>#VALUE!</v>
      </c>
    </row>
    <row r="2020" spans="1:5" x14ac:dyDescent="0.2">
      <c r="A2020" s="28">
        <v>2019</v>
      </c>
      <c r="B2020" s="28" t="e">
        <f>interpola(#REF!,CURVA!$B$6:$B$20,CURVA!$G$6:$G$20)</f>
        <v>#VALUE!</v>
      </c>
      <c r="C2020" s="29" t="e">
        <f t="shared" si="31"/>
        <v>#VALUE!</v>
      </c>
      <c r="E2020" t="e">
        <f>cubic_spline(CURVA!$B$6:$B$20,CURVA!$G$6:$G$20,#REF!)</f>
        <v>#VALUE!</v>
      </c>
    </row>
    <row r="2021" spans="1:5" x14ac:dyDescent="0.2">
      <c r="A2021" s="28">
        <v>2020</v>
      </c>
      <c r="B2021" s="28" t="e">
        <f>interpola(#REF!,CURVA!$B$6:$B$20,CURVA!$G$6:$G$20)</f>
        <v>#VALUE!</v>
      </c>
      <c r="C2021" s="29" t="e">
        <f t="shared" si="31"/>
        <v>#VALUE!</v>
      </c>
      <c r="E2021" t="e">
        <f>cubic_spline(CURVA!$B$6:$B$20,CURVA!$G$6:$G$20,#REF!)</f>
        <v>#VALUE!</v>
      </c>
    </row>
    <row r="2022" spans="1:5" x14ac:dyDescent="0.2">
      <c r="A2022" s="28">
        <v>2021</v>
      </c>
      <c r="B2022" s="28" t="e">
        <f>interpola(#REF!,CURVA!$B$6:$B$20,CURVA!$G$6:$G$20)</f>
        <v>#VALUE!</v>
      </c>
      <c r="C2022" s="29" t="e">
        <f t="shared" si="31"/>
        <v>#VALUE!</v>
      </c>
      <c r="E2022" t="e">
        <f>cubic_spline(CURVA!$B$6:$B$20,CURVA!$G$6:$G$20,#REF!)</f>
        <v>#VALUE!</v>
      </c>
    </row>
    <row r="2023" spans="1:5" x14ac:dyDescent="0.2">
      <c r="A2023" s="28">
        <v>2022</v>
      </c>
      <c r="B2023" s="28" t="e">
        <f>interpola(#REF!,CURVA!$B$6:$B$20,CURVA!$G$6:$G$20)</f>
        <v>#VALUE!</v>
      </c>
      <c r="C2023" s="29" t="e">
        <f t="shared" si="31"/>
        <v>#VALUE!</v>
      </c>
      <c r="E2023" t="e">
        <f>cubic_spline(CURVA!$B$6:$B$20,CURVA!$G$6:$G$20,#REF!)</f>
        <v>#VALUE!</v>
      </c>
    </row>
    <row r="2024" spans="1:5" x14ac:dyDescent="0.2">
      <c r="A2024" s="28">
        <v>2023</v>
      </c>
      <c r="B2024" s="28" t="e">
        <f>interpola(#REF!,CURVA!$B$6:$B$20,CURVA!$G$6:$G$20)</f>
        <v>#VALUE!</v>
      </c>
      <c r="C2024" s="29" t="e">
        <f t="shared" si="31"/>
        <v>#VALUE!</v>
      </c>
      <c r="E2024" t="e">
        <f>cubic_spline(CURVA!$B$6:$B$20,CURVA!$G$6:$G$20,#REF!)</f>
        <v>#VALUE!</v>
      </c>
    </row>
    <row r="2025" spans="1:5" x14ac:dyDescent="0.2">
      <c r="A2025" s="28">
        <v>2024</v>
      </c>
      <c r="B2025" s="28" t="e">
        <f>interpola(#REF!,CURVA!$B$6:$B$20,CURVA!$G$6:$G$20)</f>
        <v>#VALUE!</v>
      </c>
      <c r="C2025" s="29" t="e">
        <f t="shared" si="31"/>
        <v>#VALUE!</v>
      </c>
      <c r="E2025" t="e">
        <f>cubic_spline(CURVA!$B$6:$B$20,CURVA!$G$6:$G$20,#REF!)</f>
        <v>#VALUE!</v>
      </c>
    </row>
    <row r="2026" spans="1:5" x14ac:dyDescent="0.2">
      <c r="A2026" s="28">
        <v>2025</v>
      </c>
      <c r="B2026" s="28" t="e">
        <f>interpola(#REF!,CURVA!$B$6:$B$20,CURVA!$G$6:$G$20)</f>
        <v>#VALUE!</v>
      </c>
      <c r="C2026" s="29" t="e">
        <f t="shared" si="31"/>
        <v>#VALUE!</v>
      </c>
      <c r="E2026" t="e">
        <f>cubic_spline(CURVA!$B$6:$B$20,CURVA!$G$6:$G$20,#REF!)</f>
        <v>#VALUE!</v>
      </c>
    </row>
    <row r="2027" spans="1:5" x14ac:dyDescent="0.2">
      <c r="A2027" s="28">
        <v>2026</v>
      </c>
      <c r="B2027" s="28" t="e">
        <f>interpola(#REF!,CURVA!$B$6:$B$20,CURVA!$G$6:$G$20)</f>
        <v>#VALUE!</v>
      </c>
      <c r="C2027" s="29" t="e">
        <f t="shared" si="31"/>
        <v>#VALUE!</v>
      </c>
      <c r="E2027" t="e">
        <f>cubic_spline(CURVA!$B$6:$B$20,CURVA!$G$6:$G$20,#REF!)</f>
        <v>#VALUE!</v>
      </c>
    </row>
    <row r="2028" spans="1:5" x14ac:dyDescent="0.2">
      <c r="A2028" s="28">
        <v>2027</v>
      </c>
      <c r="B2028" s="28" t="e">
        <f>interpola(#REF!,CURVA!$B$6:$B$20,CURVA!$G$6:$G$20)</f>
        <v>#VALUE!</v>
      </c>
      <c r="C2028" s="29" t="e">
        <f t="shared" si="31"/>
        <v>#VALUE!</v>
      </c>
      <c r="E2028" t="e">
        <f>cubic_spline(CURVA!$B$6:$B$20,CURVA!$G$6:$G$20,#REF!)</f>
        <v>#VALUE!</v>
      </c>
    </row>
    <row r="2029" spans="1:5" x14ac:dyDescent="0.2">
      <c r="A2029" s="28">
        <v>2028</v>
      </c>
      <c r="B2029" s="28" t="e">
        <f>interpola(#REF!,CURVA!$B$6:$B$20,CURVA!$G$6:$G$20)</f>
        <v>#VALUE!</v>
      </c>
      <c r="C2029" s="29" t="e">
        <f t="shared" si="31"/>
        <v>#VALUE!</v>
      </c>
      <c r="E2029" t="e">
        <f>cubic_spline(CURVA!$B$6:$B$20,CURVA!$G$6:$G$20,#REF!)</f>
        <v>#VALUE!</v>
      </c>
    </row>
    <row r="2030" spans="1:5" x14ac:dyDescent="0.2">
      <c r="A2030" s="28">
        <v>2029</v>
      </c>
      <c r="B2030" s="28" t="e">
        <f>interpola(#REF!,CURVA!$B$6:$B$20,CURVA!$G$6:$G$20)</f>
        <v>#VALUE!</v>
      </c>
      <c r="C2030" s="29" t="e">
        <f t="shared" si="31"/>
        <v>#VALUE!</v>
      </c>
      <c r="E2030" t="e">
        <f>cubic_spline(CURVA!$B$6:$B$20,CURVA!$G$6:$G$20,#REF!)</f>
        <v>#VALUE!</v>
      </c>
    </row>
    <row r="2031" spans="1:5" x14ac:dyDescent="0.2">
      <c r="A2031" s="28">
        <v>2030</v>
      </c>
      <c r="B2031" s="28" t="e">
        <f>interpola(#REF!,CURVA!$B$6:$B$20,CURVA!$G$6:$G$20)</f>
        <v>#VALUE!</v>
      </c>
      <c r="C2031" s="29" t="e">
        <f t="shared" si="31"/>
        <v>#VALUE!</v>
      </c>
      <c r="E2031" t="e">
        <f>cubic_spline(CURVA!$B$6:$B$20,CURVA!$G$6:$G$20,#REF!)</f>
        <v>#VALUE!</v>
      </c>
    </row>
    <row r="2032" spans="1:5" x14ac:dyDescent="0.2">
      <c r="A2032" s="28">
        <v>2031</v>
      </c>
      <c r="B2032" s="28" t="e">
        <f>interpola(#REF!,CURVA!$B$6:$B$20,CURVA!$G$6:$G$20)</f>
        <v>#VALUE!</v>
      </c>
      <c r="C2032" s="29" t="e">
        <f t="shared" si="31"/>
        <v>#VALUE!</v>
      </c>
      <c r="E2032" t="e">
        <f>cubic_spline(CURVA!$B$6:$B$20,CURVA!$G$6:$G$20,#REF!)</f>
        <v>#VALUE!</v>
      </c>
    </row>
    <row r="2033" spans="1:5" x14ac:dyDescent="0.2">
      <c r="A2033" s="28">
        <v>2032</v>
      </c>
      <c r="B2033" s="28" t="e">
        <f>interpola(#REF!,CURVA!$B$6:$B$20,CURVA!$G$6:$G$20)</f>
        <v>#VALUE!</v>
      </c>
      <c r="C2033" s="29" t="e">
        <f t="shared" si="31"/>
        <v>#VALUE!</v>
      </c>
      <c r="E2033" t="e">
        <f>cubic_spline(CURVA!$B$6:$B$20,CURVA!$G$6:$G$20,#REF!)</f>
        <v>#VALUE!</v>
      </c>
    </row>
    <row r="2034" spans="1:5" x14ac:dyDescent="0.2">
      <c r="A2034" s="28">
        <v>2033</v>
      </c>
      <c r="B2034" s="28" t="e">
        <f>interpola(#REF!,CURVA!$B$6:$B$20,CURVA!$G$6:$G$20)</f>
        <v>#VALUE!</v>
      </c>
      <c r="C2034" s="29" t="e">
        <f t="shared" si="31"/>
        <v>#VALUE!</v>
      </c>
      <c r="E2034" t="e">
        <f>cubic_spline(CURVA!$B$6:$B$20,CURVA!$G$6:$G$20,#REF!)</f>
        <v>#VALUE!</v>
      </c>
    </row>
    <row r="2035" spans="1:5" x14ac:dyDescent="0.2">
      <c r="A2035" s="28">
        <v>2034</v>
      </c>
      <c r="B2035" s="28" t="e">
        <f>interpola(#REF!,CURVA!$B$6:$B$20,CURVA!$G$6:$G$20)</f>
        <v>#VALUE!</v>
      </c>
      <c r="C2035" s="29" t="e">
        <f t="shared" si="31"/>
        <v>#VALUE!</v>
      </c>
      <c r="E2035" t="e">
        <f>cubic_spline(CURVA!$B$6:$B$20,CURVA!$G$6:$G$20,#REF!)</f>
        <v>#VALUE!</v>
      </c>
    </row>
    <row r="2036" spans="1:5" x14ac:dyDescent="0.2">
      <c r="A2036" s="28">
        <v>2035</v>
      </c>
      <c r="B2036" s="28" t="e">
        <f>interpola(#REF!,CURVA!$B$6:$B$20,CURVA!$G$6:$G$20)</f>
        <v>#VALUE!</v>
      </c>
      <c r="C2036" s="29" t="e">
        <f t="shared" si="31"/>
        <v>#VALUE!</v>
      </c>
      <c r="E2036" t="e">
        <f>cubic_spline(CURVA!$B$6:$B$20,CURVA!$G$6:$G$20,#REF!)</f>
        <v>#VALUE!</v>
      </c>
    </row>
    <row r="2037" spans="1:5" x14ac:dyDescent="0.2">
      <c r="A2037" s="28">
        <v>2036</v>
      </c>
      <c r="B2037" s="28" t="e">
        <f>interpola(#REF!,CURVA!$B$6:$B$20,CURVA!$G$6:$G$20)</f>
        <v>#VALUE!</v>
      </c>
      <c r="C2037" s="29" t="e">
        <f t="shared" si="31"/>
        <v>#VALUE!</v>
      </c>
      <c r="E2037" t="e">
        <f>cubic_spline(CURVA!$B$6:$B$20,CURVA!$G$6:$G$20,#REF!)</f>
        <v>#VALUE!</v>
      </c>
    </row>
    <row r="2038" spans="1:5" x14ac:dyDescent="0.2">
      <c r="A2038" s="28">
        <v>2037</v>
      </c>
      <c r="B2038" s="28" t="e">
        <f>interpola(#REF!,CURVA!$B$6:$B$20,CURVA!$G$6:$G$20)</f>
        <v>#VALUE!</v>
      </c>
      <c r="C2038" s="29" t="e">
        <f t="shared" si="31"/>
        <v>#VALUE!</v>
      </c>
      <c r="E2038" t="e">
        <f>cubic_spline(CURVA!$B$6:$B$20,CURVA!$G$6:$G$20,#REF!)</f>
        <v>#VALUE!</v>
      </c>
    </row>
    <row r="2039" spans="1:5" x14ac:dyDescent="0.2">
      <c r="A2039" s="28">
        <v>2038</v>
      </c>
      <c r="B2039" s="28" t="e">
        <f>interpola(#REF!,CURVA!$B$6:$B$20,CURVA!$G$6:$G$20)</f>
        <v>#VALUE!</v>
      </c>
      <c r="C2039" s="29" t="e">
        <f t="shared" si="31"/>
        <v>#VALUE!</v>
      </c>
      <c r="E2039" t="e">
        <f>cubic_spline(CURVA!$B$6:$B$20,CURVA!$G$6:$G$20,#REF!)</f>
        <v>#VALUE!</v>
      </c>
    </row>
    <row r="2040" spans="1:5" x14ac:dyDescent="0.2">
      <c r="A2040" s="28">
        <v>2039</v>
      </c>
      <c r="B2040" s="28" t="e">
        <f>interpola(#REF!,CURVA!$B$6:$B$20,CURVA!$G$6:$G$20)</f>
        <v>#VALUE!</v>
      </c>
      <c r="C2040" s="29" t="e">
        <f t="shared" si="31"/>
        <v>#VALUE!</v>
      </c>
      <c r="E2040" t="e">
        <f>cubic_spline(CURVA!$B$6:$B$20,CURVA!$G$6:$G$20,#REF!)</f>
        <v>#VALUE!</v>
      </c>
    </row>
    <row r="2041" spans="1:5" x14ac:dyDescent="0.2">
      <c r="A2041" s="28">
        <v>2040</v>
      </c>
      <c r="B2041" s="28" t="e">
        <f>interpola(#REF!,CURVA!$B$6:$B$20,CURVA!$G$6:$G$20)</f>
        <v>#VALUE!</v>
      </c>
      <c r="C2041" s="29" t="e">
        <f t="shared" si="31"/>
        <v>#VALUE!</v>
      </c>
      <c r="E2041" t="e">
        <f>cubic_spline(CURVA!$B$6:$B$20,CURVA!$G$6:$G$20,#REF!)</f>
        <v>#VALUE!</v>
      </c>
    </row>
    <row r="2042" spans="1:5" x14ac:dyDescent="0.2">
      <c r="A2042" s="28">
        <v>2041</v>
      </c>
      <c r="B2042" s="28" t="e">
        <f>interpola(#REF!,CURVA!$B$6:$B$20,CURVA!$G$6:$G$20)</f>
        <v>#VALUE!</v>
      </c>
      <c r="C2042" s="29" t="e">
        <f t="shared" si="31"/>
        <v>#VALUE!</v>
      </c>
      <c r="E2042" t="e">
        <f>cubic_spline(CURVA!$B$6:$B$20,CURVA!$G$6:$G$20,#REF!)</f>
        <v>#VALUE!</v>
      </c>
    </row>
    <row r="2043" spans="1:5" x14ac:dyDescent="0.2">
      <c r="A2043" s="28">
        <v>2042</v>
      </c>
      <c r="B2043" s="28" t="e">
        <f>interpola(#REF!,CURVA!$B$6:$B$20,CURVA!$G$6:$G$20)</f>
        <v>#VALUE!</v>
      </c>
      <c r="C2043" s="29" t="e">
        <f t="shared" si="31"/>
        <v>#VALUE!</v>
      </c>
      <c r="E2043" t="e">
        <f>cubic_spline(CURVA!$B$6:$B$20,CURVA!$G$6:$G$20,#REF!)</f>
        <v>#VALUE!</v>
      </c>
    </row>
    <row r="2044" spans="1:5" x14ac:dyDescent="0.2">
      <c r="A2044" s="28">
        <v>2043</v>
      </c>
      <c r="B2044" s="28" t="e">
        <f>interpola(#REF!,CURVA!$B$6:$B$20,CURVA!$G$6:$G$20)</f>
        <v>#VALUE!</v>
      </c>
      <c r="C2044" s="29" t="e">
        <f t="shared" si="31"/>
        <v>#VALUE!</v>
      </c>
      <c r="E2044" t="e">
        <f>cubic_spline(CURVA!$B$6:$B$20,CURVA!$G$6:$G$20,#REF!)</f>
        <v>#VALUE!</v>
      </c>
    </row>
    <row r="2045" spans="1:5" x14ac:dyDescent="0.2">
      <c r="A2045" s="28">
        <v>2044</v>
      </c>
      <c r="B2045" s="28" t="e">
        <f>interpola(#REF!,CURVA!$B$6:$B$20,CURVA!$G$6:$G$20)</f>
        <v>#VALUE!</v>
      </c>
      <c r="C2045" s="29" t="e">
        <f t="shared" si="31"/>
        <v>#VALUE!</v>
      </c>
      <c r="E2045" t="e">
        <f>cubic_spline(CURVA!$B$6:$B$20,CURVA!$G$6:$G$20,#REF!)</f>
        <v>#VALUE!</v>
      </c>
    </row>
    <row r="2046" spans="1:5" x14ac:dyDescent="0.2">
      <c r="A2046" s="28">
        <v>2045</v>
      </c>
      <c r="B2046" s="28" t="e">
        <f>interpola(#REF!,CURVA!$B$6:$B$20,CURVA!$G$6:$G$20)</f>
        <v>#VALUE!</v>
      </c>
      <c r="C2046" s="29" t="e">
        <f t="shared" si="31"/>
        <v>#VALUE!</v>
      </c>
      <c r="E2046" t="e">
        <f>cubic_spline(CURVA!$B$6:$B$20,CURVA!$G$6:$G$20,#REF!)</f>
        <v>#VALUE!</v>
      </c>
    </row>
    <row r="2047" spans="1:5" x14ac:dyDescent="0.2">
      <c r="A2047" s="28">
        <v>2046</v>
      </c>
      <c r="B2047" s="28" t="e">
        <f>interpola(#REF!,CURVA!$B$6:$B$20,CURVA!$G$6:$G$20)</f>
        <v>#VALUE!</v>
      </c>
      <c r="C2047" s="29" t="e">
        <f t="shared" si="31"/>
        <v>#VALUE!</v>
      </c>
      <c r="E2047" t="e">
        <f>cubic_spline(CURVA!$B$6:$B$20,CURVA!$G$6:$G$20,#REF!)</f>
        <v>#VALUE!</v>
      </c>
    </row>
    <row r="2048" spans="1:5" x14ac:dyDescent="0.2">
      <c r="A2048" s="28">
        <v>2047</v>
      </c>
      <c r="B2048" s="28" t="e">
        <f>interpola(#REF!,CURVA!$B$6:$B$20,CURVA!$G$6:$G$20)</f>
        <v>#VALUE!</v>
      </c>
      <c r="C2048" s="29" t="e">
        <f t="shared" si="31"/>
        <v>#VALUE!</v>
      </c>
      <c r="E2048" t="e">
        <f>cubic_spline(CURVA!$B$6:$B$20,CURVA!$G$6:$G$20,#REF!)</f>
        <v>#VALUE!</v>
      </c>
    </row>
    <row r="2049" spans="1:5" x14ac:dyDescent="0.2">
      <c r="A2049" s="28">
        <v>2048</v>
      </c>
      <c r="B2049" s="28" t="e">
        <f>interpola(#REF!,CURVA!$B$6:$B$20,CURVA!$G$6:$G$20)</f>
        <v>#VALUE!</v>
      </c>
      <c r="C2049" s="29" t="e">
        <f t="shared" si="31"/>
        <v>#VALUE!</v>
      </c>
      <c r="E2049" t="e">
        <f>cubic_spline(CURVA!$B$6:$B$20,CURVA!$G$6:$G$20,#REF!)</f>
        <v>#VALUE!</v>
      </c>
    </row>
    <row r="2050" spans="1:5" x14ac:dyDescent="0.2">
      <c r="A2050" s="28">
        <v>2049</v>
      </c>
      <c r="B2050" s="28" t="e">
        <f>interpola(#REF!,CURVA!$B$6:$B$20,CURVA!$G$6:$G$20)</f>
        <v>#VALUE!</v>
      </c>
      <c r="C2050" s="29" t="e">
        <f t="shared" ref="C2050:C2113" si="32">(EXP(B2050*A2050/360)-1)*360/A2050</f>
        <v>#VALUE!</v>
      </c>
      <c r="E2050" t="e">
        <f>cubic_spline(CURVA!$B$6:$B$20,CURVA!$G$6:$G$20,#REF!)</f>
        <v>#VALUE!</v>
      </c>
    </row>
    <row r="2051" spans="1:5" x14ac:dyDescent="0.2">
      <c r="A2051" s="28">
        <v>2050</v>
      </c>
      <c r="B2051" s="28" t="e">
        <f>interpola(#REF!,CURVA!$B$6:$B$20,CURVA!$G$6:$G$20)</f>
        <v>#VALUE!</v>
      </c>
      <c r="C2051" s="29" t="e">
        <f t="shared" si="32"/>
        <v>#VALUE!</v>
      </c>
      <c r="E2051" t="e">
        <f>cubic_spline(CURVA!$B$6:$B$20,CURVA!$G$6:$G$20,#REF!)</f>
        <v>#VALUE!</v>
      </c>
    </row>
    <row r="2052" spans="1:5" x14ac:dyDescent="0.2">
      <c r="A2052" s="28">
        <v>2051</v>
      </c>
      <c r="B2052" s="28" t="e">
        <f>interpola(#REF!,CURVA!$B$6:$B$20,CURVA!$G$6:$G$20)</f>
        <v>#VALUE!</v>
      </c>
      <c r="C2052" s="29" t="e">
        <f t="shared" si="32"/>
        <v>#VALUE!</v>
      </c>
      <c r="E2052" t="e">
        <f>cubic_spline(CURVA!$B$6:$B$20,CURVA!$G$6:$G$20,#REF!)</f>
        <v>#VALUE!</v>
      </c>
    </row>
    <row r="2053" spans="1:5" x14ac:dyDescent="0.2">
      <c r="A2053" s="28">
        <v>2052</v>
      </c>
      <c r="B2053" s="28" t="e">
        <f>interpola(#REF!,CURVA!$B$6:$B$20,CURVA!$G$6:$G$20)</f>
        <v>#VALUE!</v>
      </c>
      <c r="C2053" s="29" t="e">
        <f t="shared" si="32"/>
        <v>#VALUE!</v>
      </c>
      <c r="E2053" t="e">
        <f>cubic_spline(CURVA!$B$6:$B$20,CURVA!$G$6:$G$20,#REF!)</f>
        <v>#VALUE!</v>
      </c>
    </row>
    <row r="2054" spans="1:5" x14ac:dyDescent="0.2">
      <c r="A2054" s="28">
        <v>2053</v>
      </c>
      <c r="B2054" s="28" t="e">
        <f>interpola(#REF!,CURVA!$B$6:$B$20,CURVA!$G$6:$G$20)</f>
        <v>#VALUE!</v>
      </c>
      <c r="C2054" s="29" t="e">
        <f t="shared" si="32"/>
        <v>#VALUE!</v>
      </c>
      <c r="E2054" t="e">
        <f>cubic_spline(CURVA!$B$6:$B$20,CURVA!$G$6:$G$20,#REF!)</f>
        <v>#VALUE!</v>
      </c>
    </row>
    <row r="2055" spans="1:5" x14ac:dyDescent="0.2">
      <c r="A2055" s="28">
        <v>2054</v>
      </c>
      <c r="B2055" s="28" t="e">
        <f>interpola(#REF!,CURVA!$B$6:$B$20,CURVA!$G$6:$G$20)</f>
        <v>#VALUE!</v>
      </c>
      <c r="C2055" s="29" t="e">
        <f t="shared" si="32"/>
        <v>#VALUE!</v>
      </c>
      <c r="E2055" t="e">
        <f>cubic_spline(CURVA!$B$6:$B$20,CURVA!$G$6:$G$20,#REF!)</f>
        <v>#VALUE!</v>
      </c>
    </row>
    <row r="2056" spans="1:5" x14ac:dyDescent="0.2">
      <c r="A2056" s="28">
        <v>2055</v>
      </c>
      <c r="B2056" s="28" t="e">
        <f>interpola(#REF!,CURVA!$B$6:$B$20,CURVA!$G$6:$G$20)</f>
        <v>#VALUE!</v>
      </c>
      <c r="C2056" s="29" t="e">
        <f t="shared" si="32"/>
        <v>#VALUE!</v>
      </c>
      <c r="E2056" t="e">
        <f>cubic_spline(CURVA!$B$6:$B$20,CURVA!$G$6:$G$20,#REF!)</f>
        <v>#VALUE!</v>
      </c>
    </row>
    <row r="2057" spans="1:5" x14ac:dyDescent="0.2">
      <c r="A2057" s="28">
        <v>2056</v>
      </c>
      <c r="B2057" s="28" t="e">
        <f>interpola(#REF!,CURVA!$B$6:$B$20,CURVA!$G$6:$G$20)</f>
        <v>#VALUE!</v>
      </c>
      <c r="C2057" s="29" t="e">
        <f t="shared" si="32"/>
        <v>#VALUE!</v>
      </c>
      <c r="E2057" t="e">
        <f>cubic_spline(CURVA!$B$6:$B$20,CURVA!$G$6:$G$20,#REF!)</f>
        <v>#VALUE!</v>
      </c>
    </row>
    <row r="2058" spans="1:5" x14ac:dyDescent="0.2">
      <c r="A2058" s="28">
        <v>2057</v>
      </c>
      <c r="B2058" s="28" t="e">
        <f>interpola(#REF!,CURVA!$B$6:$B$20,CURVA!$G$6:$G$20)</f>
        <v>#VALUE!</v>
      </c>
      <c r="C2058" s="29" t="e">
        <f t="shared" si="32"/>
        <v>#VALUE!</v>
      </c>
      <c r="E2058" t="e">
        <f>cubic_spline(CURVA!$B$6:$B$20,CURVA!$G$6:$G$20,#REF!)</f>
        <v>#VALUE!</v>
      </c>
    </row>
    <row r="2059" spans="1:5" x14ac:dyDescent="0.2">
      <c r="A2059" s="28">
        <v>2058</v>
      </c>
      <c r="B2059" s="28" t="e">
        <f>interpola(#REF!,CURVA!$B$6:$B$20,CURVA!$G$6:$G$20)</f>
        <v>#VALUE!</v>
      </c>
      <c r="C2059" s="29" t="e">
        <f t="shared" si="32"/>
        <v>#VALUE!</v>
      </c>
      <c r="E2059" t="e">
        <f>cubic_spline(CURVA!$B$6:$B$20,CURVA!$G$6:$G$20,#REF!)</f>
        <v>#VALUE!</v>
      </c>
    </row>
    <row r="2060" spans="1:5" x14ac:dyDescent="0.2">
      <c r="A2060" s="28">
        <v>2059</v>
      </c>
      <c r="B2060" s="28" t="e">
        <f>interpola(#REF!,CURVA!$B$6:$B$20,CURVA!$G$6:$G$20)</f>
        <v>#VALUE!</v>
      </c>
      <c r="C2060" s="29" t="e">
        <f t="shared" si="32"/>
        <v>#VALUE!</v>
      </c>
      <c r="E2060" t="e">
        <f>cubic_spline(CURVA!$B$6:$B$20,CURVA!$G$6:$G$20,#REF!)</f>
        <v>#VALUE!</v>
      </c>
    </row>
    <row r="2061" spans="1:5" x14ac:dyDescent="0.2">
      <c r="A2061" s="28">
        <v>2060</v>
      </c>
      <c r="B2061" s="28" t="e">
        <f>interpola(#REF!,CURVA!$B$6:$B$20,CURVA!$G$6:$G$20)</f>
        <v>#VALUE!</v>
      </c>
      <c r="C2061" s="29" t="e">
        <f t="shared" si="32"/>
        <v>#VALUE!</v>
      </c>
      <c r="E2061" t="e">
        <f>cubic_spline(CURVA!$B$6:$B$20,CURVA!$G$6:$G$20,#REF!)</f>
        <v>#VALUE!</v>
      </c>
    </row>
    <row r="2062" spans="1:5" x14ac:dyDescent="0.2">
      <c r="A2062" s="28">
        <v>2061</v>
      </c>
      <c r="B2062" s="28" t="e">
        <f>interpola(#REF!,CURVA!$B$6:$B$20,CURVA!$G$6:$G$20)</f>
        <v>#VALUE!</v>
      </c>
      <c r="C2062" s="29" t="e">
        <f t="shared" si="32"/>
        <v>#VALUE!</v>
      </c>
      <c r="E2062" t="e">
        <f>cubic_spline(CURVA!$B$6:$B$20,CURVA!$G$6:$G$20,#REF!)</f>
        <v>#VALUE!</v>
      </c>
    </row>
    <row r="2063" spans="1:5" x14ac:dyDescent="0.2">
      <c r="A2063" s="28">
        <v>2062</v>
      </c>
      <c r="B2063" s="28" t="e">
        <f>interpola(#REF!,CURVA!$B$6:$B$20,CURVA!$G$6:$G$20)</f>
        <v>#VALUE!</v>
      </c>
      <c r="C2063" s="29" t="e">
        <f t="shared" si="32"/>
        <v>#VALUE!</v>
      </c>
      <c r="E2063" t="e">
        <f>cubic_spline(CURVA!$B$6:$B$20,CURVA!$G$6:$G$20,#REF!)</f>
        <v>#VALUE!</v>
      </c>
    </row>
    <row r="2064" spans="1:5" x14ac:dyDescent="0.2">
      <c r="A2064" s="28">
        <v>2063</v>
      </c>
      <c r="B2064" s="28" t="e">
        <f>interpola(#REF!,CURVA!$B$6:$B$20,CURVA!$G$6:$G$20)</f>
        <v>#VALUE!</v>
      </c>
      <c r="C2064" s="29" t="e">
        <f t="shared" si="32"/>
        <v>#VALUE!</v>
      </c>
      <c r="E2064" t="e">
        <f>cubic_spline(CURVA!$B$6:$B$20,CURVA!$G$6:$G$20,#REF!)</f>
        <v>#VALUE!</v>
      </c>
    </row>
    <row r="2065" spans="1:5" x14ac:dyDescent="0.2">
      <c r="A2065" s="28">
        <v>2064</v>
      </c>
      <c r="B2065" s="28" t="e">
        <f>interpola(#REF!,CURVA!$B$6:$B$20,CURVA!$G$6:$G$20)</f>
        <v>#VALUE!</v>
      </c>
      <c r="C2065" s="29" t="e">
        <f t="shared" si="32"/>
        <v>#VALUE!</v>
      </c>
      <c r="E2065" t="e">
        <f>cubic_spline(CURVA!$B$6:$B$20,CURVA!$G$6:$G$20,#REF!)</f>
        <v>#VALUE!</v>
      </c>
    </row>
    <row r="2066" spans="1:5" x14ac:dyDescent="0.2">
      <c r="A2066" s="28">
        <v>2065</v>
      </c>
      <c r="B2066" s="28" t="e">
        <f>interpola(#REF!,CURVA!$B$6:$B$20,CURVA!$G$6:$G$20)</f>
        <v>#VALUE!</v>
      </c>
      <c r="C2066" s="29" t="e">
        <f t="shared" si="32"/>
        <v>#VALUE!</v>
      </c>
      <c r="E2066" t="e">
        <f>cubic_spline(CURVA!$B$6:$B$20,CURVA!$G$6:$G$20,#REF!)</f>
        <v>#VALUE!</v>
      </c>
    </row>
    <row r="2067" spans="1:5" x14ac:dyDescent="0.2">
      <c r="A2067" s="28">
        <v>2066</v>
      </c>
      <c r="B2067" s="28" t="e">
        <f>interpola(#REF!,CURVA!$B$6:$B$20,CURVA!$G$6:$G$20)</f>
        <v>#VALUE!</v>
      </c>
      <c r="C2067" s="29" t="e">
        <f t="shared" si="32"/>
        <v>#VALUE!</v>
      </c>
      <c r="E2067" t="e">
        <f>cubic_spline(CURVA!$B$6:$B$20,CURVA!$G$6:$G$20,#REF!)</f>
        <v>#VALUE!</v>
      </c>
    </row>
    <row r="2068" spans="1:5" x14ac:dyDescent="0.2">
      <c r="A2068" s="28">
        <v>2067</v>
      </c>
      <c r="B2068" s="28" t="e">
        <f>interpola(#REF!,CURVA!$B$6:$B$20,CURVA!$G$6:$G$20)</f>
        <v>#VALUE!</v>
      </c>
      <c r="C2068" s="29" t="e">
        <f t="shared" si="32"/>
        <v>#VALUE!</v>
      </c>
      <c r="E2068" t="e">
        <f>cubic_spline(CURVA!$B$6:$B$20,CURVA!$G$6:$G$20,#REF!)</f>
        <v>#VALUE!</v>
      </c>
    </row>
    <row r="2069" spans="1:5" x14ac:dyDescent="0.2">
      <c r="A2069" s="28">
        <v>2068</v>
      </c>
      <c r="B2069" s="28" t="e">
        <f>interpola(#REF!,CURVA!$B$6:$B$20,CURVA!$G$6:$G$20)</f>
        <v>#VALUE!</v>
      </c>
      <c r="C2069" s="29" t="e">
        <f t="shared" si="32"/>
        <v>#VALUE!</v>
      </c>
      <c r="E2069" t="e">
        <f>cubic_spline(CURVA!$B$6:$B$20,CURVA!$G$6:$G$20,#REF!)</f>
        <v>#VALUE!</v>
      </c>
    </row>
    <row r="2070" spans="1:5" x14ac:dyDescent="0.2">
      <c r="A2070" s="28">
        <v>2069</v>
      </c>
      <c r="B2070" s="28" t="e">
        <f>interpola(#REF!,CURVA!$B$6:$B$20,CURVA!$G$6:$G$20)</f>
        <v>#VALUE!</v>
      </c>
      <c r="C2070" s="29" t="e">
        <f t="shared" si="32"/>
        <v>#VALUE!</v>
      </c>
      <c r="E2070" t="e">
        <f>cubic_spline(CURVA!$B$6:$B$20,CURVA!$G$6:$G$20,#REF!)</f>
        <v>#VALUE!</v>
      </c>
    </row>
    <row r="2071" spans="1:5" x14ac:dyDescent="0.2">
      <c r="A2071" s="28">
        <v>2070</v>
      </c>
      <c r="B2071" s="28" t="e">
        <f>interpola(#REF!,CURVA!$B$6:$B$20,CURVA!$G$6:$G$20)</f>
        <v>#VALUE!</v>
      </c>
      <c r="C2071" s="29" t="e">
        <f t="shared" si="32"/>
        <v>#VALUE!</v>
      </c>
      <c r="E2071" t="e">
        <f>cubic_spline(CURVA!$B$6:$B$20,CURVA!$G$6:$G$20,#REF!)</f>
        <v>#VALUE!</v>
      </c>
    </row>
    <row r="2072" spans="1:5" x14ac:dyDescent="0.2">
      <c r="A2072" s="28">
        <v>2071</v>
      </c>
      <c r="B2072" s="28" t="e">
        <f>interpola(#REF!,CURVA!$B$6:$B$20,CURVA!$G$6:$G$20)</f>
        <v>#VALUE!</v>
      </c>
      <c r="C2072" s="29" t="e">
        <f t="shared" si="32"/>
        <v>#VALUE!</v>
      </c>
      <c r="E2072" t="e">
        <f>cubic_spline(CURVA!$B$6:$B$20,CURVA!$G$6:$G$20,#REF!)</f>
        <v>#VALUE!</v>
      </c>
    </row>
    <row r="2073" spans="1:5" x14ac:dyDescent="0.2">
      <c r="A2073" s="28">
        <v>2072</v>
      </c>
      <c r="B2073" s="28" t="e">
        <f>interpola(#REF!,CURVA!$B$6:$B$20,CURVA!$G$6:$G$20)</f>
        <v>#VALUE!</v>
      </c>
      <c r="C2073" s="29" t="e">
        <f t="shared" si="32"/>
        <v>#VALUE!</v>
      </c>
      <c r="E2073" t="e">
        <f>cubic_spline(CURVA!$B$6:$B$20,CURVA!$G$6:$G$20,#REF!)</f>
        <v>#VALUE!</v>
      </c>
    </row>
    <row r="2074" spans="1:5" x14ac:dyDescent="0.2">
      <c r="A2074" s="28">
        <v>2073</v>
      </c>
      <c r="B2074" s="28" t="e">
        <f>interpola(#REF!,CURVA!$B$6:$B$20,CURVA!$G$6:$G$20)</f>
        <v>#VALUE!</v>
      </c>
      <c r="C2074" s="29" t="e">
        <f t="shared" si="32"/>
        <v>#VALUE!</v>
      </c>
      <c r="E2074" t="e">
        <f>cubic_spline(CURVA!$B$6:$B$20,CURVA!$G$6:$G$20,#REF!)</f>
        <v>#VALUE!</v>
      </c>
    </row>
    <row r="2075" spans="1:5" x14ac:dyDescent="0.2">
      <c r="A2075" s="28">
        <v>2074</v>
      </c>
      <c r="B2075" s="28" t="e">
        <f>interpola(#REF!,CURVA!$B$6:$B$20,CURVA!$G$6:$G$20)</f>
        <v>#VALUE!</v>
      </c>
      <c r="C2075" s="29" t="e">
        <f t="shared" si="32"/>
        <v>#VALUE!</v>
      </c>
      <c r="E2075" t="e">
        <f>cubic_spline(CURVA!$B$6:$B$20,CURVA!$G$6:$G$20,#REF!)</f>
        <v>#VALUE!</v>
      </c>
    </row>
    <row r="2076" spans="1:5" x14ac:dyDescent="0.2">
      <c r="A2076" s="28">
        <v>2075</v>
      </c>
      <c r="B2076" s="28" t="e">
        <f>interpola(#REF!,CURVA!$B$6:$B$20,CURVA!$G$6:$G$20)</f>
        <v>#VALUE!</v>
      </c>
      <c r="C2076" s="29" t="e">
        <f t="shared" si="32"/>
        <v>#VALUE!</v>
      </c>
      <c r="E2076" t="e">
        <f>cubic_spline(CURVA!$B$6:$B$20,CURVA!$G$6:$G$20,#REF!)</f>
        <v>#VALUE!</v>
      </c>
    </row>
    <row r="2077" spans="1:5" x14ac:dyDescent="0.2">
      <c r="A2077" s="28">
        <v>2076</v>
      </c>
      <c r="B2077" s="28" t="e">
        <f>interpola(#REF!,CURVA!$B$6:$B$20,CURVA!$G$6:$G$20)</f>
        <v>#VALUE!</v>
      </c>
      <c r="C2077" s="29" t="e">
        <f t="shared" si="32"/>
        <v>#VALUE!</v>
      </c>
      <c r="E2077" t="e">
        <f>cubic_spline(CURVA!$B$6:$B$20,CURVA!$G$6:$G$20,#REF!)</f>
        <v>#VALUE!</v>
      </c>
    </row>
    <row r="2078" spans="1:5" x14ac:dyDescent="0.2">
      <c r="A2078" s="28">
        <v>2077</v>
      </c>
      <c r="B2078" s="28" t="e">
        <f>interpola(#REF!,CURVA!$B$6:$B$20,CURVA!$G$6:$G$20)</f>
        <v>#VALUE!</v>
      </c>
      <c r="C2078" s="29" t="e">
        <f t="shared" si="32"/>
        <v>#VALUE!</v>
      </c>
      <c r="E2078" t="e">
        <f>cubic_spline(CURVA!$B$6:$B$20,CURVA!$G$6:$G$20,#REF!)</f>
        <v>#VALUE!</v>
      </c>
    </row>
    <row r="2079" spans="1:5" x14ac:dyDescent="0.2">
      <c r="A2079" s="28">
        <v>2078</v>
      </c>
      <c r="B2079" s="28" t="e">
        <f>interpola(#REF!,CURVA!$B$6:$B$20,CURVA!$G$6:$G$20)</f>
        <v>#VALUE!</v>
      </c>
      <c r="C2079" s="29" t="e">
        <f t="shared" si="32"/>
        <v>#VALUE!</v>
      </c>
      <c r="E2079" t="e">
        <f>cubic_spline(CURVA!$B$6:$B$20,CURVA!$G$6:$G$20,#REF!)</f>
        <v>#VALUE!</v>
      </c>
    </row>
    <row r="2080" spans="1:5" x14ac:dyDescent="0.2">
      <c r="A2080" s="28">
        <v>2079</v>
      </c>
      <c r="B2080" s="28" t="e">
        <f>interpola(#REF!,CURVA!$B$6:$B$20,CURVA!$G$6:$G$20)</f>
        <v>#VALUE!</v>
      </c>
      <c r="C2080" s="29" t="e">
        <f t="shared" si="32"/>
        <v>#VALUE!</v>
      </c>
      <c r="E2080" t="e">
        <f>cubic_spline(CURVA!$B$6:$B$20,CURVA!$G$6:$G$20,#REF!)</f>
        <v>#VALUE!</v>
      </c>
    </row>
    <row r="2081" spans="1:5" x14ac:dyDescent="0.2">
      <c r="A2081" s="28">
        <v>2080</v>
      </c>
      <c r="B2081" s="28" t="e">
        <f>interpola(#REF!,CURVA!$B$6:$B$20,CURVA!$G$6:$G$20)</f>
        <v>#VALUE!</v>
      </c>
      <c r="C2081" s="29" t="e">
        <f t="shared" si="32"/>
        <v>#VALUE!</v>
      </c>
      <c r="E2081" t="e">
        <f>cubic_spline(CURVA!$B$6:$B$20,CURVA!$G$6:$G$20,#REF!)</f>
        <v>#VALUE!</v>
      </c>
    </row>
    <row r="2082" spans="1:5" x14ac:dyDescent="0.2">
      <c r="A2082" s="28">
        <v>2081</v>
      </c>
      <c r="B2082" s="28" t="e">
        <f>interpola(#REF!,CURVA!$B$6:$B$20,CURVA!$G$6:$G$20)</f>
        <v>#VALUE!</v>
      </c>
      <c r="C2082" s="29" t="e">
        <f t="shared" si="32"/>
        <v>#VALUE!</v>
      </c>
      <c r="E2082" t="e">
        <f>cubic_spline(CURVA!$B$6:$B$20,CURVA!$G$6:$G$20,#REF!)</f>
        <v>#VALUE!</v>
      </c>
    </row>
    <row r="2083" spans="1:5" x14ac:dyDescent="0.2">
      <c r="A2083" s="28">
        <v>2082</v>
      </c>
      <c r="B2083" s="28" t="e">
        <f>interpola(#REF!,CURVA!$B$6:$B$20,CURVA!$G$6:$G$20)</f>
        <v>#VALUE!</v>
      </c>
      <c r="C2083" s="29" t="e">
        <f t="shared" si="32"/>
        <v>#VALUE!</v>
      </c>
      <c r="E2083" t="e">
        <f>cubic_spline(CURVA!$B$6:$B$20,CURVA!$G$6:$G$20,#REF!)</f>
        <v>#VALUE!</v>
      </c>
    </row>
    <row r="2084" spans="1:5" x14ac:dyDescent="0.2">
      <c r="A2084" s="28">
        <v>2083</v>
      </c>
      <c r="B2084" s="28" t="e">
        <f>interpola(#REF!,CURVA!$B$6:$B$20,CURVA!$G$6:$G$20)</f>
        <v>#VALUE!</v>
      </c>
      <c r="C2084" s="29" t="e">
        <f t="shared" si="32"/>
        <v>#VALUE!</v>
      </c>
      <c r="E2084" t="e">
        <f>cubic_spline(CURVA!$B$6:$B$20,CURVA!$G$6:$G$20,#REF!)</f>
        <v>#VALUE!</v>
      </c>
    </row>
    <row r="2085" spans="1:5" x14ac:dyDescent="0.2">
      <c r="A2085" s="28">
        <v>2084</v>
      </c>
      <c r="B2085" s="28" t="e">
        <f>interpola(#REF!,CURVA!$B$6:$B$20,CURVA!$G$6:$G$20)</f>
        <v>#VALUE!</v>
      </c>
      <c r="C2085" s="29" t="e">
        <f t="shared" si="32"/>
        <v>#VALUE!</v>
      </c>
      <c r="E2085" t="e">
        <f>cubic_spline(CURVA!$B$6:$B$20,CURVA!$G$6:$G$20,#REF!)</f>
        <v>#VALUE!</v>
      </c>
    </row>
    <row r="2086" spans="1:5" x14ac:dyDescent="0.2">
      <c r="A2086" s="28">
        <v>2085</v>
      </c>
      <c r="B2086" s="28" t="e">
        <f>interpola(#REF!,CURVA!$B$6:$B$20,CURVA!$G$6:$G$20)</f>
        <v>#VALUE!</v>
      </c>
      <c r="C2086" s="29" t="e">
        <f t="shared" si="32"/>
        <v>#VALUE!</v>
      </c>
      <c r="E2086" t="e">
        <f>cubic_spline(CURVA!$B$6:$B$20,CURVA!$G$6:$G$20,#REF!)</f>
        <v>#VALUE!</v>
      </c>
    </row>
    <row r="2087" spans="1:5" x14ac:dyDescent="0.2">
      <c r="A2087" s="28">
        <v>2086</v>
      </c>
      <c r="B2087" s="28" t="e">
        <f>interpola(#REF!,CURVA!$B$6:$B$20,CURVA!$G$6:$G$20)</f>
        <v>#VALUE!</v>
      </c>
      <c r="C2087" s="29" t="e">
        <f t="shared" si="32"/>
        <v>#VALUE!</v>
      </c>
      <c r="E2087" t="e">
        <f>cubic_spline(CURVA!$B$6:$B$20,CURVA!$G$6:$G$20,#REF!)</f>
        <v>#VALUE!</v>
      </c>
    </row>
    <row r="2088" spans="1:5" x14ac:dyDescent="0.2">
      <c r="A2088" s="28">
        <v>2087</v>
      </c>
      <c r="B2088" s="28" t="e">
        <f>interpola(#REF!,CURVA!$B$6:$B$20,CURVA!$G$6:$G$20)</f>
        <v>#VALUE!</v>
      </c>
      <c r="C2088" s="29" t="e">
        <f t="shared" si="32"/>
        <v>#VALUE!</v>
      </c>
      <c r="E2088" t="e">
        <f>cubic_spline(CURVA!$B$6:$B$20,CURVA!$G$6:$G$20,#REF!)</f>
        <v>#VALUE!</v>
      </c>
    </row>
    <row r="2089" spans="1:5" x14ac:dyDescent="0.2">
      <c r="A2089" s="28">
        <v>2088</v>
      </c>
      <c r="B2089" s="28" t="e">
        <f>interpola(#REF!,CURVA!$B$6:$B$20,CURVA!$G$6:$G$20)</f>
        <v>#VALUE!</v>
      </c>
      <c r="C2089" s="29" t="e">
        <f t="shared" si="32"/>
        <v>#VALUE!</v>
      </c>
      <c r="E2089" t="e">
        <f>cubic_spline(CURVA!$B$6:$B$20,CURVA!$G$6:$G$20,#REF!)</f>
        <v>#VALUE!</v>
      </c>
    </row>
    <row r="2090" spans="1:5" x14ac:dyDescent="0.2">
      <c r="A2090" s="28">
        <v>2089</v>
      </c>
      <c r="B2090" s="28" t="e">
        <f>interpola(#REF!,CURVA!$B$6:$B$20,CURVA!$G$6:$G$20)</f>
        <v>#VALUE!</v>
      </c>
      <c r="C2090" s="29" t="e">
        <f t="shared" si="32"/>
        <v>#VALUE!</v>
      </c>
      <c r="E2090" t="e">
        <f>cubic_spline(CURVA!$B$6:$B$20,CURVA!$G$6:$G$20,#REF!)</f>
        <v>#VALUE!</v>
      </c>
    </row>
    <row r="2091" spans="1:5" x14ac:dyDescent="0.2">
      <c r="A2091" s="28">
        <v>2090</v>
      </c>
      <c r="B2091" s="28" t="e">
        <f>interpola(#REF!,CURVA!$B$6:$B$20,CURVA!$G$6:$G$20)</f>
        <v>#VALUE!</v>
      </c>
      <c r="C2091" s="29" t="e">
        <f t="shared" si="32"/>
        <v>#VALUE!</v>
      </c>
      <c r="E2091" t="e">
        <f>cubic_spline(CURVA!$B$6:$B$20,CURVA!$G$6:$G$20,#REF!)</f>
        <v>#VALUE!</v>
      </c>
    </row>
    <row r="2092" spans="1:5" x14ac:dyDescent="0.2">
      <c r="A2092" s="28">
        <v>2091</v>
      </c>
      <c r="B2092" s="28" t="e">
        <f>interpola(#REF!,CURVA!$B$6:$B$20,CURVA!$G$6:$G$20)</f>
        <v>#VALUE!</v>
      </c>
      <c r="C2092" s="29" t="e">
        <f t="shared" si="32"/>
        <v>#VALUE!</v>
      </c>
      <c r="E2092" t="e">
        <f>cubic_spline(CURVA!$B$6:$B$20,CURVA!$G$6:$G$20,#REF!)</f>
        <v>#VALUE!</v>
      </c>
    </row>
    <row r="2093" spans="1:5" x14ac:dyDescent="0.2">
      <c r="A2093" s="28">
        <v>2092</v>
      </c>
      <c r="B2093" s="28" t="e">
        <f>interpola(#REF!,CURVA!$B$6:$B$20,CURVA!$G$6:$G$20)</f>
        <v>#VALUE!</v>
      </c>
      <c r="C2093" s="29" t="e">
        <f t="shared" si="32"/>
        <v>#VALUE!</v>
      </c>
      <c r="E2093" t="e">
        <f>cubic_spline(CURVA!$B$6:$B$20,CURVA!$G$6:$G$20,#REF!)</f>
        <v>#VALUE!</v>
      </c>
    </row>
    <row r="2094" spans="1:5" x14ac:dyDescent="0.2">
      <c r="A2094" s="28">
        <v>2093</v>
      </c>
      <c r="B2094" s="28" t="e">
        <f>interpola(#REF!,CURVA!$B$6:$B$20,CURVA!$G$6:$G$20)</f>
        <v>#VALUE!</v>
      </c>
      <c r="C2094" s="29" t="e">
        <f t="shared" si="32"/>
        <v>#VALUE!</v>
      </c>
      <c r="E2094" t="e">
        <f>cubic_spline(CURVA!$B$6:$B$20,CURVA!$G$6:$G$20,#REF!)</f>
        <v>#VALUE!</v>
      </c>
    </row>
    <row r="2095" spans="1:5" x14ac:dyDescent="0.2">
      <c r="A2095" s="28">
        <v>2094</v>
      </c>
      <c r="B2095" s="28" t="e">
        <f>interpola(#REF!,CURVA!$B$6:$B$20,CURVA!$G$6:$G$20)</f>
        <v>#VALUE!</v>
      </c>
      <c r="C2095" s="29" t="e">
        <f t="shared" si="32"/>
        <v>#VALUE!</v>
      </c>
      <c r="E2095" t="e">
        <f>cubic_spline(CURVA!$B$6:$B$20,CURVA!$G$6:$G$20,#REF!)</f>
        <v>#VALUE!</v>
      </c>
    </row>
    <row r="2096" spans="1:5" x14ac:dyDescent="0.2">
      <c r="A2096" s="28">
        <v>2095</v>
      </c>
      <c r="B2096" s="28" t="e">
        <f>interpola(#REF!,CURVA!$B$6:$B$20,CURVA!$G$6:$G$20)</f>
        <v>#VALUE!</v>
      </c>
      <c r="C2096" s="29" t="e">
        <f t="shared" si="32"/>
        <v>#VALUE!</v>
      </c>
      <c r="E2096" t="e">
        <f>cubic_spline(CURVA!$B$6:$B$20,CURVA!$G$6:$G$20,#REF!)</f>
        <v>#VALUE!</v>
      </c>
    </row>
    <row r="2097" spans="1:5" x14ac:dyDescent="0.2">
      <c r="A2097" s="28">
        <v>2096</v>
      </c>
      <c r="B2097" s="28" t="e">
        <f>interpola(#REF!,CURVA!$B$6:$B$20,CURVA!$G$6:$G$20)</f>
        <v>#VALUE!</v>
      </c>
      <c r="C2097" s="29" t="e">
        <f t="shared" si="32"/>
        <v>#VALUE!</v>
      </c>
      <c r="E2097" t="e">
        <f>cubic_spline(CURVA!$B$6:$B$20,CURVA!$G$6:$G$20,#REF!)</f>
        <v>#VALUE!</v>
      </c>
    </row>
    <row r="2098" spans="1:5" x14ac:dyDescent="0.2">
      <c r="A2098" s="28">
        <v>2097</v>
      </c>
      <c r="B2098" s="28" t="e">
        <f>interpola(#REF!,CURVA!$B$6:$B$20,CURVA!$G$6:$G$20)</f>
        <v>#VALUE!</v>
      </c>
      <c r="C2098" s="29" t="e">
        <f t="shared" si="32"/>
        <v>#VALUE!</v>
      </c>
      <c r="E2098" t="e">
        <f>cubic_spline(CURVA!$B$6:$B$20,CURVA!$G$6:$G$20,#REF!)</f>
        <v>#VALUE!</v>
      </c>
    </row>
    <row r="2099" spans="1:5" x14ac:dyDescent="0.2">
      <c r="A2099" s="28">
        <v>2098</v>
      </c>
      <c r="B2099" s="28" t="e">
        <f>interpola(#REF!,CURVA!$B$6:$B$20,CURVA!$G$6:$G$20)</f>
        <v>#VALUE!</v>
      </c>
      <c r="C2099" s="29" t="e">
        <f t="shared" si="32"/>
        <v>#VALUE!</v>
      </c>
      <c r="E2099" t="e">
        <f>cubic_spline(CURVA!$B$6:$B$20,CURVA!$G$6:$G$20,#REF!)</f>
        <v>#VALUE!</v>
      </c>
    </row>
    <row r="2100" spans="1:5" x14ac:dyDescent="0.2">
      <c r="A2100" s="28">
        <v>2099</v>
      </c>
      <c r="B2100" s="28" t="e">
        <f>interpola(#REF!,CURVA!$B$6:$B$20,CURVA!$G$6:$G$20)</f>
        <v>#VALUE!</v>
      </c>
      <c r="C2100" s="29" t="e">
        <f t="shared" si="32"/>
        <v>#VALUE!</v>
      </c>
      <c r="E2100" t="e">
        <f>cubic_spline(CURVA!$B$6:$B$20,CURVA!$G$6:$G$20,#REF!)</f>
        <v>#VALUE!</v>
      </c>
    </row>
    <row r="2101" spans="1:5" x14ac:dyDescent="0.2">
      <c r="A2101" s="28">
        <v>2100</v>
      </c>
      <c r="B2101" s="28" t="e">
        <f>interpola(#REF!,CURVA!$B$6:$B$20,CURVA!$G$6:$G$20)</f>
        <v>#VALUE!</v>
      </c>
      <c r="C2101" s="29" t="e">
        <f t="shared" si="32"/>
        <v>#VALUE!</v>
      </c>
      <c r="E2101" t="e">
        <f>cubic_spline(CURVA!$B$6:$B$20,CURVA!$G$6:$G$20,#REF!)</f>
        <v>#VALUE!</v>
      </c>
    </row>
    <row r="2102" spans="1:5" x14ac:dyDescent="0.2">
      <c r="A2102" s="28">
        <v>2101</v>
      </c>
      <c r="B2102" s="28" t="e">
        <f>interpola(#REF!,CURVA!$B$6:$B$20,CURVA!$G$6:$G$20)</f>
        <v>#VALUE!</v>
      </c>
      <c r="C2102" s="29" t="e">
        <f t="shared" si="32"/>
        <v>#VALUE!</v>
      </c>
      <c r="E2102" t="e">
        <f>cubic_spline(CURVA!$B$6:$B$20,CURVA!$G$6:$G$20,#REF!)</f>
        <v>#VALUE!</v>
      </c>
    </row>
    <row r="2103" spans="1:5" x14ac:dyDescent="0.2">
      <c r="A2103" s="28">
        <v>2102</v>
      </c>
      <c r="B2103" s="28" t="e">
        <f>interpola(#REF!,CURVA!$B$6:$B$20,CURVA!$G$6:$G$20)</f>
        <v>#VALUE!</v>
      </c>
      <c r="C2103" s="29" t="e">
        <f t="shared" si="32"/>
        <v>#VALUE!</v>
      </c>
      <c r="E2103" t="e">
        <f>cubic_spline(CURVA!$B$6:$B$20,CURVA!$G$6:$G$20,#REF!)</f>
        <v>#VALUE!</v>
      </c>
    </row>
    <row r="2104" spans="1:5" x14ac:dyDescent="0.2">
      <c r="A2104" s="28">
        <v>2103</v>
      </c>
      <c r="B2104" s="28" t="e">
        <f>interpola(#REF!,CURVA!$B$6:$B$20,CURVA!$G$6:$G$20)</f>
        <v>#VALUE!</v>
      </c>
      <c r="C2104" s="29" t="e">
        <f t="shared" si="32"/>
        <v>#VALUE!</v>
      </c>
      <c r="E2104" t="e">
        <f>cubic_spline(CURVA!$B$6:$B$20,CURVA!$G$6:$G$20,#REF!)</f>
        <v>#VALUE!</v>
      </c>
    </row>
    <row r="2105" spans="1:5" x14ac:dyDescent="0.2">
      <c r="A2105" s="28">
        <v>2104</v>
      </c>
      <c r="B2105" s="28" t="e">
        <f>interpola(#REF!,CURVA!$B$6:$B$20,CURVA!$G$6:$G$20)</f>
        <v>#VALUE!</v>
      </c>
      <c r="C2105" s="29" t="e">
        <f t="shared" si="32"/>
        <v>#VALUE!</v>
      </c>
      <c r="E2105" t="e">
        <f>cubic_spline(CURVA!$B$6:$B$20,CURVA!$G$6:$G$20,#REF!)</f>
        <v>#VALUE!</v>
      </c>
    </row>
    <row r="2106" spans="1:5" x14ac:dyDescent="0.2">
      <c r="A2106" s="28">
        <v>2105</v>
      </c>
      <c r="B2106" s="28" t="e">
        <f>interpola(#REF!,CURVA!$B$6:$B$20,CURVA!$G$6:$G$20)</f>
        <v>#VALUE!</v>
      </c>
      <c r="C2106" s="29" t="e">
        <f t="shared" si="32"/>
        <v>#VALUE!</v>
      </c>
      <c r="E2106" t="e">
        <f>cubic_spline(CURVA!$B$6:$B$20,CURVA!$G$6:$G$20,#REF!)</f>
        <v>#VALUE!</v>
      </c>
    </row>
    <row r="2107" spans="1:5" x14ac:dyDescent="0.2">
      <c r="A2107" s="28">
        <v>2106</v>
      </c>
      <c r="B2107" s="28" t="e">
        <f>interpola(#REF!,CURVA!$B$6:$B$20,CURVA!$G$6:$G$20)</f>
        <v>#VALUE!</v>
      </c>
      <c r="C2107" s="29" t="e">
        <f t="shared" si="32"/>
        <v>#VALUE!</v>
      </c>
      <c r="E2107" t="e">
        <f>cubic_spline(CURVA!$B$6:$B$20,CURVA!$G$6:$G$20,#REF!)</f>
        <v>#VALUE!</v>
      </c>
    </row>
    <row r="2108" spans="1:5" x14ac:dyDescent="0.2">
      <c r="A2108" s="28">
        <v>2107</v>
      </c>
      <c r="B2108" s="28" t="e">
        <f>interpola(#REF!,CURVA!$B$6:$B$20,CURVA!$G$6:$G$20)</f>
        <v>#VALUE!</v>
      </c>
      <c r="C2108" s="29" t="e">
        <f t="shared" si="32"/>
        <v>#VALUE!</v>
      </c>
      <c r="E2108" t="e">
        <f>cubic_spline(CURVA!$B$6:$B$20,CURVA!$G$6:$G$20,#REF!)</f>
        <v>#VALUE!</v>
      </c>
    </row>
    <row r="2109" spans="1:5" x14ac:dyDescent="0.2">
      <c r="A2109" s="28">
        <v>2108</v>
      </c>
      <c r="B2109" s="28" t="e">
        <f>interpola(#REF!,CURVA!$B$6:$B$20,CURVA!$G$6:$G$20)</f>
        <v>#VALUE!</v>
      </c>
      <c r="C2109" s="29" t="e">
        <f t="shared" si="32"/>
        <v>#VALUE!</v>
      </c>
      <c r="E2109" t="e">
        <f>cubic_spline(CURVA!$B$6:$B$20,CURVA!$G$6:$G$20,#REF!)</f>
        <v>#VALUE!</v>
      </c>
    </row>
    <row r="2110" spans="1:5" x14ac:dyDescent="0.2">
      <c r="A2110" s="28">
        <v>2109</v>
      </c>
      <c r="B2110" s="28" t="e">
        <f>interpola(#REF!,CURVA!$B$6:$B$20,CURVA!$G$6:$G$20)</f>
        <v>#VALUE!</v>
      </c>
      <c r="C2110" s="29" t="e">
        <f t="shared" si="32"/>
        <v>#VALUE!</v>
      </c>
      <c r="E2110" t="e">
        <f>cubic_spline(CURVA!$B$6:$B$20,CURVA!$G$6:$G$20,#REF!)</f>
        <v>#VALUE!</v>
      </c>
    </row>
    <row r="2111" spans="1:5" x14ac:dyDescent="0.2">
      <c r="A2111" s="28">
        <v>2110</v>
      </c>
      <c r="B2111" s="28" t="e">
        <f>interpola(#REF!,CURVA!$B$6:$B$20,CURVA!$G$6:$G$20)</f>
        <v>#VALUE!</v>
      </c>
      <c r="C2111" s="29" t="e">
        <f t="shared" si="32"/>
        <v>#VALUE!</v>
      </c>
      <c r="E2111" t="e">
        <f>cubic_spline(CURVA!$B$6:$B$20,CURVA!$G$6:$G$20,#REF!)</f>
        <v>#VALUE!</v>
      </c>
    </row>
    <row r="2112" spans="1:5" x14ac:dyDescent="0.2">
      <c r="A2112" s="28">
        <v>2111</v>
      </c>
      <c r="B2112" s="28" t="e">
        <f>interpola(#REF!,CURVA!$B$6:$B$20,CURVA!$G$6:$G$20)</f>
        <v>#VALUE!</v>
      </c>
      <c r="C2112" s="29" t="e">
        <f t="shared" si="32"/>
        <v>#VALUE!</v>
      </c>
      <c r="E2112" t="e">
        <f>cubic_spline(CURVA!$B$6:$B$20,CURVA!$G$6:$G$20,#REF!)</f>
        <v>#VALUE!</v>
      </c>
    </row>
    <row r="2113" spans="1:5" x14ac:dyDescent="0.2">
      <c r="A2113" s="28">
        <v>2112</v>
      </c>
      <c r="B2113" s="28" t="e">
        <f>interpola(#REF!,CURVA!$B$6:$B$20,CURVA!$G$6:$G$20)</f>
        <v>#VALUE!</v>
      </c>
      <c r="C2113" s="29" t="e">
        <f t="shared" si="32"/>
        <v>#VALUE!</v>
      </c>
      <c r="E2113" t="e">
        <f>cubic_spline(CURVA!$B$6:$B$20,CURVA!$G$6:$G$20,#REF!)</f>
        <v>#VALUE!</v>
      </c>
    </row>
    <row r="2114" spans="1:5" x14ac:dyDescent="0.2">
      <c r="A2114" s="28">
        <v>2113</v>
      </c>
      <c r="B2114" s="28" t="e">
        <f>interpola(#REF!,CURVA!$B$6:$B$20,CURVA!$G$6:$G$20)</f>
        <v>#VALUE!</v>
      </c>
      <c r="C2114" s="29" t="e">
        <f t="shared" ref="C2114:C2177" si="33">(EXP(B2114*A2114/360)-1)*360/A2114</f>
        <v>#VALUE!</v>
      </c>
      <c r="E2114" t="e">
        <f>cubic_spline(CURVA!$B$6:$B$20,CURVA!$G$6:$G$20,#REF!)</f>
        <v>#VALUE!</v>
      </c>
    </row>
    <row r="2115" spans="1:5" x14ac:dyDescent="0.2">
      <c r="A2115" s="28">
        <v>2114</v>
      </c>
      <c r="B2115" s="28" t="e">
        <f>interpola(#REF!,CURVA!$B$6:$B$20,CURVA!$G$6:$G$20)</f>
        <v>#VALUE!</v>
      </c>
      <c r="C2115" s="29" t="e">
        <f t="shared" si="33"/>
        <v>#VALUE!</v>
      </c>
      <c r="E2115" t="e">
        <f>cubic_spline(CURVA!$B$6:$B$20,CURVA!$G$6:$G$20,#REF!)</f>
        <v>#VALUE!</v>
      </c>
    </row>
    <row r="2116" spans="1:5" x14ac:dyDescent="0.2">
      <c r="A2116" s="28">
        <v>2115</v>
      </c>
      <c r="B2116" s="28" t="e">
        <f>interpola(#REF!,CURVA!$B$6:$B$20,CURVA!$G$6:$G$20)</f>
        <v>#VALUE!</v>
      </c>
      <c r="C2116" s="29" t="e">
        <f t="shared" si="33"/>
        <v>#VALUE!</v>
      </c>
      <c r="E2116" t="e">
        <f>cubic_spline(CURVA!$B$6:$B$20,CURVA!$G$6:$G$20,#REF!)</f>
        <v>#VALUE!</v>
      </c>
    </row>
    <row r="2117" spans="1:5" x14ac:dyDescent="0.2">
      <c r="A2117" s="28">
        <v>2116</v>
      </c>
      <c r="B2117" s="28" t="e">
        <f>interpola(#REF!,CURVA!$B$6:$B$20,CURVA!$G$6:$G$20)</f>
        <v>#VALUE!</v>
      </c>
      <c r="C2117" s="29" t="e">
        <f t="shared" si="33"/>
        <v>#VALUE!</v>
      </c>
      <c r="E2117" t="e">
        <f>cubic_spline(CURVA!$B$6:$B$20,CURVA!$G$6:$G$20,#REF!)</f>
        <v>#VALUE!</v>
      </c>
    </row>
    <row r="2118" spans="1:5" x14ac:dyDescent="0.2">
      <c r="A2118" s="28">
        <v>2117</v>
      </c>
      <c r="B2118" s="28" t="e">
        <f>interpola(#REF!,CURVA!$B$6:$B$20,CURVA!$G$6:$G$20)</f>
        <v>#VALUE!</v>
      </c>
      <c r="C2118" s="29" t="e">
        <f t="shared" si="33"/>
        <v>#VALUE!</v>
      </c>
      <c r="E2118" t="e">
        <f>cubic_spline(CURVA!$B$6:$B$20,CURVA!$G$6:$G$20,#REF!)</f>
        <v>#VALUE!</v>
      </c>
    </row>
    <row r="2119" spans="1:5" x14ac:dyDescent="0.2">
      <c r="A2119" s="28">
        <v>2118</v>
      </c>
      <c r="B2119" s="28" t="e">
        <f>interpola(#REF!,CURVA!$B$6:$B$20,CURVA!$G$6:$G$20)</f>
        <v>#VALUE!</v>
      </c>
      <c r="C2119" s="29" t="e">
        <f t="shared" si="33"/>
        <v>#VALUE!</v>
      </c>
      <c r="E2119" t="e">
        <f>cubic_spline(CURVA!$B$6:$B$20,CURVA!$G$6:$G$20,#REF!)</f>
        <v>#VALUE!</v>
      </c>
    </row>
    <row r="2120" spans="1:5" x14ac:dyDescent="0.2">
      <c r="A2120" s="28">
        <v>2119</v>
      </c>
      <c r="B2120" s="28" t="e">
        <f>interpola(#REF!,CURVA!$B$6:$B$20,CURVA!$G$6:$G$20)</f>
        <v>#VALUE!</v>
      </c>
      <c r="C2120" s="29" t="e">
        <f t="shared" si="33"/>
        <v>#VALUE!</v>
      </c>
      <c r="E2120" t="e">
        <f>cubic_spline(CURVA!$B$6:$B$20,CURVA!$G$6:$G$20,#REF!)</f>
        <v>#VALUE!</v>
      </c>
    </row>
    <row r="2121" spans="1:5" x14ac:dyDescent="0.2">
      <c r="A2121" s="28">
        <v>2120</v>
      </c>
      <c r="B2121" s="28" t="e">
        <f>interpola(#REF!,CURVA!$B$6:$B$20,CURVA!$G$6:$G$20)</f>
        <v>#VALUE!</v>
      </c>
      <c r="C2121" s="29" t="e">
        <f t="shared" si="33"/>
        <v>#VALUE!</v>
      </c>
      <c r="E2121" t="e">
        <f>cubic_spline(CURVA!$B$6:$B$20,CURVA!$G$6:$G$20,#REF!)</f>
        <v>#VALUE!</v>
      </c>
    </row>
    <row r="2122" spans="1:5" x14ac:dyDescent="0.2">
      <c r="A2122" s="28">
        <v>2121</v>
      </c>
      <c r="B2122" s="28" t="e">
        <f>interpola(#REF!,CURVA!$B$6:$B$20,CURVA!$G$6:$G$20)</f>
        <v>#VALUE!</v>
      </c>
      <c r="C2122" s="29" t="e">
        <f t="shared" si="33"/>
        <v>#VALUE!</v>
      </c>
      <c r="E2122" t="e">
        <f>cubic_spline(CURVA!$B$6:$B$20,CURVA!$G$6:$G$20,#REF!)</f>
        <v>#VALUE!</v>
      </c>
    </row>
    <row r="2123" spans="1:5" x14ac:dyDescent="0.2">
      <c r="A2123" s="28">
        <v>2122</v>
      </c>
      <c r="B2123" s="28" t="e">
        <f>interpola(#REF!,CURVA!$B$6:$B$20,CURVA!$G$6:$G$20)</f>
        <v>#VALUE!</v>
      </c>
      <c r="C2123" s="29" t="e">
        <f t="shared" si="33"/>
        <v>#VALUE!</v>
      </c>
      <c r="E2123" t="e">
        <f>cubic_spline(CURVA!$B$6:$B$20,CURVA!$G$6:$G$20,#REF!)</f>
        <v>#VALUE!</v>
      </c>
    </row>
    <row r="2124" spans="1:5" x14ac:dyDescent="0.2">
      <c r="A2124" s="28">
        <v>2123</v>
      </c>
      <c r="B2124" s="28" t="e">
        <f>interpola(#REF!,CURVA!$B$6:$B$20,CURVA!$G$6:$G$20)</f>
        <v>#VALUE!</v>
      </c>
      <c r="C2124" s="29" t="e">
        <f t="shared" si="33"/>
        <v>#VALUE!</v>
      </c>
      <c r="E2124" t="e">
        <f>cubic_spline(CURVA!$B$6:$B$20,CURVA!$G$6:$G$20,#REF!)</f>
        <v>#VALUE!</v>
      </c>
    </row>
    <row r="2125" spans="1:5" x14ac:dyDescent="0.2">
      <c r="A2125" s="28">
        <v>2124</v>
      </c>
      <c r="B2125" s="28" t="e">
        <f>interpola(#REF!,CURVA!$B$6:$B$20,CURVA!$G$6:$G$20)</f>
        <v>#VALUE!</v>
      </c>
      <c r="C2125" s="29" t="e">
        <f t="shared" si="33"/>
        <v>#VALUE!</v>
      </c>
      <c r="E2125" t="e">
        <f>cubic_spline(CURVA!$B$6:$B$20,CURVA!$G$6:$G$20,#REF!)</f>
        <v>#VALUE!</v>
      </c>
    </row>
    <row r="2126" spans="1:5" x14ac:dyDescent="0.2">
      <c r="A2126" s="28">
        <v>2125</v>
      </c>
      <c r="B2126" s="28" t="e">
        <f>interpola(#REF!,CURVA!$B$6:$B$20,CURVA!$G$6:$G$20)</f>
        <v>#VALUE!</v>
      </c>
      <c r="C2126" s="29" t="e">
        <f t="shared" si="33"/>
        <v>#VALUE!</v>
      </c>
      <c r="E2126" t="e">
        <f>cubic_spline(CURVA!$B$6:$B$20,CURVA!$G$6:$G$20,#REF!)</f>
        <v>#VALUE!</v>
      </c>
    </row>
    <row r="2127" spans="1:5" x14ac:dyDescent="0.2">
      <c r="A2127" s="28">
        <v>2126</v>
      </c>
      <c r="B2127" s="28" t="e">
        <f>interpola(#REF!,CURVA!$B$6:$B$20,CURVA!$G$6:$G$20)</f>
        <v>#VALUE!</v>
      </c>
      <c r="C2127" s="29" t="e">
        <f t="shared" si="33"/>
        <v>#VALUE!</v>
      </c>
      <c r="E2127" t="e">
        <f>cubic_spline(CURVA!$B$6:$B$20,CURVA!$G$6:$G$20,#REF!)</f>
        <v>#VALUE!</v>
      </c>
    </row>
    <row r="2128" spans="1:5" x14ac:dyDescent="0.2">
      <c r="A2128" s="28">
        <v>2127</v>
      </c>
      <c r="B2128" s="28" t="e">
        <f>interpola(#REF!,CURVA!$B$6:$B$20,CURVA!$G$6:$G$20)</f>
        <v>#VALUE!</v>
      </c>
      <c r="C2128" s="29" t="e">
        <f t="shared" si="33"/>
        <v>#VALUE!</v>
      </c>
      <c r="E2128" t="e">
        <f>cubic_spline(CURVA!$B$6:$B$20,CURVA!$G$6:$G$20,#REF!)</f>
        <v>#VALUE!</v>
      </c>
    </row>
    <row r="2129" spans="1:5" x14ac:dyDescent="0.2">
      <c r="A2129" s="28">
        <v>2128</v>
      </c>
      <c r="B2129" s="28" t="e">
        <f>interpola(#REF!,CURVA!$B$6:$B$20,CURVA!$G$6:$G$20)</f>
        <v>#VALUE!</v>
      </c>
      <c r="C2129" s="29" t="e">
        <f t="shared" si="33"/>
        <v>#VALUE!</v>
      </c>
      <c r="E2129" t="e">
        <f>cubic_spline(CURVA!$B$6:$B$20,CURVA!$G$6:$G$20,#REF!)</f>
        <v>#VALUE!</v>
      </c>
    </row>
    <row r="2130" spans="1:5" x14ac:dyDescent="0.2">
      <c r="A2130" s="28">
        <v>2129</v>
      </c>
      <c r="B2130" s="28" t="e">
        <f>interpola(#REF!,CURVA!$B$6:$B$20,CURVA!$G$6:$G$20)</f>
        <v>#VALUE!</v>
      </c>
      <c r="C2130" s="29" t="e">
        <f t="shared" si="33"/>
        <v>#VALUE!</v>
      </c>
      <c r="E2130" t="e">
        <f>cubic_spline(CURVA!$B$6:$B$20,CURVA!$G$6:$G$20,#REF!)</f>
        <v>#VALUE!</v>
      </c>
    </row>
    <row r="2131" spans="1:5" x14ac:dyDescent="0.2">
      <c r="A2131" s="28">
        <v>2130</v>
      </c>
      <c r="B2131" s="28" t="e">
        <f>interpola(#REF!,CURVA!$B$6:$B$20,CURVA!$G$6:$G$20)</f>
        <v>#VALUE!</v>
      </c>
      <c r="C2131" s="29" t="e">
        <f t="shared" si="33"/>
        <v>#VALUE!</v>
      </c>
      <c r="E2131" t="e">
        <f>cubic_spline(CURVA!$B$6:$B$20,CURVA!$G$6:$G$20,#REF!)</f>
        <v>#VALUE!</v>
      </c>
    </row>
    <row r="2132" spans="1:5" x14ac:dyDescent="0.2">
      <c r="A2132" s="28">
        <v>2131</v>
      </c>
      <c r="B2132" s="28" t="e">
        <f>interpola(#REF!,CURVA!$B$6:$B$20,CURVA!$G$6:$G$20)</f>
        <v>#VALUE!</v>
      </c>
      <c r="C2132" s="29" t="e">
        <f t="shared" si="33"/>
        <v>#VALUE!</v>
      </c>
      <c r="E2132" t="e">
        <f>cubic_spline(CURVA!$B$6:$B$20,CURVA!$G$6:$G$20,#REF!)</f>
        <v>#VALUE!</v>
      </c>
    </row>
    <row r="2133" spans="1:5" x14ac:dyDescent="0.2">
      <c r="A2133" s="28">
        <v>2132</v>
      </c>
      <c r="B2133" s="28" t="e">
        <f>interpola(#REF!,CURVA!$B$6:$B$20,CURVA!$G$6:$G$20)</f>
        <v>#VALUE!</v>
      </c>
      <c r="C2133" s="29" t="e">
        <f t="shared" si="33"/>
        <v>#VALUE!</v>
      </c>
      <c r="E2133" t="e">
        <f>cubic_spline(CURVA!$B$6:$B$20,CURVA!$G$6:$G$20,#REF!)</f>
        <v>#VALUE!</v>
      </c>
    </row>
    <row r="2134" spans="1:5" x14ac:dyDescent="0.2">
      <c r="A2134" s="28">
        <v>2133</v>
      </c>
      <c r="B2134" s="28" t="e">
        <f>interpola(#REF!,CURVA!$B$6:$B$20,CURVA!$G$6:$G$20)</f>
        <v>#VALUE!</v>
      </c>
      <c r="C2134" s="29" t="e">
        <f t="shared" si="33"/>
        <v>#VALUE!</v>
      </c>
      <c r="E2134" t="e">
        <f>cubic_spline(CURVA!$B$6:$B$20,CURVA!$G$6:$G$20,#REF!)</f>
        <v>#VALUE!</v>
      </c>
    </row>
    <row r="2135" spans="1:5" x14ac:dyDescent="0.2">
      <c r="A2135" s="28">
        <v>2134</v>
      </c>
      <c r="B2135" s="28" t="e">
        <f>interpola(#REF!,CURVA!$B$6:$B$20,CURVA!$G$6:$G$20)</f>
        <v>#VALUE!</v>
      </c>
      <c r="C2135" s="29" t="e">
        <f t="shared" si="33"/>
        <v>#VALUE!</v>
      </c>
      <c r="E2135" t="e">
        <f>cubic_spline(CURVA!$B$6:$B$20,CURVA!$G$6:$G$20,#REF!)</f>
        <v>#VALUE!</v>
      </c>
    </row>
    <row r="2136" spans="1:5" x14ac:dyDescent="0.2">
      <c r="A2136" s="28">
        <v>2135</v>
      </c>
      <c r="B2136" s="28" t="e">
        <f>interpola(#REF!,CURVA!$B$6:$B$20,CURVA!$G$6:$G$20)</f>
        <v>#VALUE!</v>
      </c>
      <c r="C2136" s="29" t="e">
        <f t="shared" si="33"/>
        <v>#VALUE!</v>
      </c>
      <c r="E2136" t="e">
        <f>cubic_spline(CURVA!$B$6:$B$20,CURVA!$G$6:$G$20,#REF!)</f>
        <v>#VALUE!</v>
      </c>
    </row>
    <row r="2137" spans="1:5" x14ac:dyDescent="0.2">
      <c r="A2137" s="28">
        <v>2136</v>
      </c>
      <c r="B2137" s="28" t="e">
        <f>interpola(#REF!,CURVA!$B$6:$B$20,CURVA!$G$6:$G$20)</f>
        <v>#VALUE!</v>
      </c>
      <c r="C2137" s="29" t="e">
        <f t="shared" si="33"/>
        <v>#VALUE!</v>
      </c>
      <c r="E2137" t="e">
        <f>cubic_spline(CURVA!$B$6:$B$20,CURVA!$G$6:$G$20,#REF!)</f>
        <v>#VALUE!</v>
      </c>
    </row>
    <row r="2138" spans="1:5" x14ac:dyDescent="0.2">
      <c r="A2138" s="28">
        <v>2137</v>
      </c>
      <c r="B2138" s="28" t="e">
        <f>interpola(#REF!,CURVA!$B$6:$B$20,CURVA!$G$6:$G$20)</f>
        <v>#VALUE!</v>
      </c>
      <c r="C2138" s="29" t="e">
        <f t="shared" si="33"/>
        <v>#VALUE!</v>
      </c>
      <c r="E2138" t="e">
        <f>cubic_spline(CURVA!$B$6:$B$20,CURVA!$G$6:$G$20,#REF!)</f>
        <v>#VALUE!</v>
      </c>
    </row>
    <row r="2139" spans="1:5" x14ac:dyDescent="0.2">
      <c r="A2139" s="28">
        <v>2138</v>
      </c>
      <c r="B2139" s="28" t="e">
        <f>interpola(#REF!,CURVA!$B$6:$B$20,CURVA!$G$6:$G$20)</f>
        <v>#VALUE!</v>
      </c>
      <c r="C2139" s="29" t="e">
        <f t="shared" si="33"/>
        <v>#VALUE!</v>
      </c>
      <c r="E2139" t="e">
        <f>cubic_spline(CURVA!$B$6:$B$20,CURVA!$G$6:$G$20,#REF!)</f>
        <v>#VALUE!</v>
      </c>
    </row>
    <row r="2140" spans="1:5" x14ac:dyDescent="0.2">
      <c r="A2140" s="28">
        <v>2139</v>
      </c>
      <c r="B2140" s="28" t="e">
        <f>interpola(#REF!,CURVA!$B$6:$B$20,CURVA!$G$6:$G$20)</f>
        <v>#VALUE!</v>
      </c>
      <c r="C2140" s="29" t="e">
        <f t="shared" si="33"/>
        <v>#VALUE!</v>
      </c>
      <c r="E2140" t="e">
        <f>cubic_spline(CURVA!$B$6:$B$20,CURVA!$G$6:$G$20,#REF!)</f>
        <v>#VALUE!</v>
      </c>
    </row>
    <row r="2141" spans="1:5" x14ac:dyDescent="0.2">
      <c r="A2141" s="28">
        <v>2140</v>
      </c>
      <c r="B2141" s="28" t="e">
        <f>interpola(#REF!,CURVA!$B$6:$B$20,CURVA!$G$6:$G$20)</f>
        <v>#VALUE!</v>
      </c>
      <c r="C2141" s="29" t="e">
        <f t="shared" si="33"/>
        <v>#VALUE!</v>
      </c>
      <c r="E2141" t="e">
        <f>cubic_spline(CURVA!$B$6:$B$20,CURVA!$G$6:$G$20,#REF!)</f>
        <v>#VALUE!</v>
      </c>
    </row>
    <row r="2142" spans="1:5" x14ac:dyDescent="0.2">
      <c r="A2142" s="28">
        <v>2141</v>
      </c>
      <c r="B2142" s="28" t="e">
        <f>interpola(#REF!,CURVA!$B$6:$B$20,CURVA!$G$6:$G$20)</f>
        <v>#VALUE!</v>
      </c>
      <c r="C2142" s="29" t="e">
        <f t="shared" si="33"/>
        <v>#VALUE!</v>
      </c>
      <c r="E2142" t="e">
        <f>cubic_spline(CURVA!$B$6:$B$20,CURVA!$G$6:$G$20,#REF!)</f>
        <v>#VALUE!</v>
      </c>
    </row>
    <row r="2143" spans="1:5" x14ac:dyDescent="0.2">
      <c r="A2143" s="28">
        <v>2142</v>
      </c>
      <c r="B2143" s="28" t="e">
        <f>interpola(#REF!,CURVA!$B$6:$B$20,CURVA!$G$6:$G$20)</f>
        <v>#VALUE!</v>
      </c>
      <c r="C2143" s="29" t="e">
        <f t="shared" si="33"/>
        <v>#VALUE!</v>
      </c>
      <c r="E2143" t="e">
        <f>cubic_spline(CURVA!$B$6:$B$20,CURVA!$G$6:$G$20,#REF!)</f>
        <v>#VALUE!</v>
      </c>
    </row>
    <row r="2144" spans="1:5" x14ac:dyDescent="0.2">
      <c r="A2144" s="28">
        <v>2143</v>
      </c>
      <c r="B2144" s="28" t="e">
        <f>interpola(#REF!,CURVA!$B$6:$B$20,CURVA!$G$6:$G$20)</f>
        <v>#VALUE!</v>
      </c>
      <c r="C2144" s="29" t="e">
        <f t="shared" si="33"/>
        <v>#VALUE!</v>
      </c>
      <c r="E2144" t="e">
        <f>cubic_spline(CURVA!$B$6:$B$20,CURVA!$G$6:$G$20,#REF!)</f>
        <v>#VALUE!</v>
      </c>
    </row>
    <row r="2145" spans="1:5" x14ac:dyDescent="0.2">
      <c r="A2145" s="28">
        <v>2144</v>
      </c>
      <c r="B2145" s="28" t="e">
        <f>interpola(#REF!,CURVA!$B$6:$B$20,CURVA!$G$6:$G$20)</f>
        <v>#VALUE!</v>
      </c>
      <c r="C2145" s="29" t="e">
        <f t="shared" si="33"/>
        <v>#VALUE!</v>
      </c>
      <c r="E2145" t="e">
        <f>cubic_spline(CURVA!$B$6:$B$20,CURVA!$G$6:$G$20,#REF!)</f>
        <v>#VALUE!</v>
      </c>
    </row>
    <row r="2146" spans="1:5" x14ac:dyDescent="0.2">
      <c r="A2146" s="28">
        <v>2145</v>
      </c>
      <c r="B2146" s="28" t="e">
        <f>interpola(#REF!,CURVA!$B$6:$B$20,CURVA!$G$6:$G$20)</f>
        <v>#VALUE!</v>
      </c>
      <c r="C2146" s="29" t="e">
        <f t="shared" si="33"/>
        <v>#VALUE!</v>
      </c>
      <c r="E2146" t="e">
        <f>cubic_spline(CURVA!$B$6:$B$20,CURVA!$G$6:$G$20,#REF!)</f>
        <v>#VALUE!</v>
      </c>
    </row>
    <row r="2147" spans="1:5" x14ac:dyDescent="0.2">
      <c r="A2147" s="28">
        <v>2146</v>
      </c>
      <c r="B2147" s="28" t="e">
        <f>interpola(#REF!,CURVA!$B$6:$B$20,CURVA!$G$6:$G$20)</f>
        <v>#VALUE!</v>
      </c>
      <c r="C2147" s="29" t="e">
        <f t="shared" si="33"/>
        <v>#VALUE!</v>
      </c>
      <c r="E2147" t="e">
        <f>cubic_spline(CURVA!$B$6:$B$20,CURVA!$G$6:$G$20,#REF!)</f>
        <v>#VALUE!</v>
      </c>
    </row>
    <row r="2148" spans="1:5" x14ac:dyDescent="0.2">
      <c r="A2148" s="28">
        <v>2147</v>
      </c>
      <c r="B2148" s="28" t="e">
        <f>interpola(#REF!,CURVA!$B$6:$B$20,CURVA!$G$6:$G$20)</f>
        <v>#VALUE!</v>
      </c>
      <c r="C2148" s="29" t="e">
        <f t="shared" si="33"/>
        <v>#VALUE!</v>
      </c>
      <c r="E2148" t="e">
        <f>cubic_spline(CURVA!$B$6:$B$20,CURVA!$G$6:$G$20,#REF!)</f>
        <v>#VALUE!</v>
      </c>
    </row>
    <row r="2149" spans="1:5" x14ac:dyDescent="0.2">
      <c r="A2149" s="28">
        <v>2148</v>
      </c>
      <c r="B2149" s="28" t="e">
        <f>interpola(#REF!,CURVA!$B$6:$B$20,CURVA!$G$6:$G$20)</f>
        <v>#VALUE!</v>
      </c>
      <c r="C2149" s="29" t="e">
        <f t="shared" si="33"/>
        <v>#VALUE!</v>
      </c>
      <c r="E2149" t="e">
        <f>cubic_spline(CURVA!$B$6:$B$20,CURVA!$G$6:$G$20,#REF!)</f>
        <v>#VALUE!</v>
      </c>
    </row>
    <row r="2150" spans="1:5" x14ac:dyDescent="0.2">
      <c r="A2150" s="28">
        <v>2149</v>
      </c>
      <c r="B2150" s="28" t="e">
        <f>interpola(#REF!,CURVA!$B$6:$B$20,CURVA!$G$6:$G$20)</f>
        <v>#VALUE!</v>
      </c>
      <c r="C2150" s="29" t="e">
        <f t="shared" si="33"/>
        <v>#VALUE!</v>
      </c>
      <c r="E2150" t="e">
        <f>cubic_spline(CURVA!$B$6:$B$20,CURVA!$G$6:$G$20,#REF!)</f>
        <v>#VALUE!</v>
      </c>
    </row>
    <row r="2151" spans="1:5" x14ac:dyDescent="0.2">
      <c r="A2151" s="28">
        <v>2150</v>
      </c>
      <c r="B2151" s="28" t="e">
        <f>interpola(#REF!,CURVA!$B$6:$B$20,CURVA!$G$6:$G$20)</f>
        <v>#VALUE!</v>
      </c>
      <c r="C2151" s="29" t="e">
        <f t="shared" si="33"/>
        <v>#VALUE!</v>
      </c>
      <c r="E2151" t="e">
        <f>cubic_spline(CURVA!$B$6:$B$20,CURVA!$G$6:$G$20,#REF!)</f>
        <v>#VALUE!</v>
      </c>
    </row>
    <row r="2152" spans="1:5" x14ac:dyDescent="0.2">
      <c r="A2152" s="28">
        <v>2151</v>
      </c>
      <c r="B2152" s="28" t="e">
        <f>interpola(#REF!,CURVA!$B$6:$B$20,CURVA!$G$6:$G$20)</f>
        <v>#VALUE!</v>
      </c>
      <c r="C2152" s="29" t="e">
        <f t="shared" si="33"/>
        <v>#VALUE!</v>
      </c>
      <c r="E2152" t="e">
        <f>cubic_spline(CURVA!$B$6:$B$20,CURVA!$G$6:$G$20,#REF!)</f>
        <v>#VALUE!</v>
      </c>
    </row>
    <row r="2153" spans="1:5" x14ac:dyDescent="0.2">
      <c r="A2153" s="28">
        <v>2152</v>
      </c>
      <c r="B2153" s="28" t="e">
        <f>interpola(#REF!,CURVA!$B$6:$B$20,CURVA!$G$6:$G$20)</f>
        <v>#VALUE!</v>
      </c>
      <c r="C2153" s="29" t="e">
        <f t="shared" si="33"/>
        <v>#VALUE!</v>
      </c>
      <c r="E2153" t="e">
        <f>cubic_spline(CURVA!$B$6:$B$20,CURVA!$G$6:$G$20,#REF!)</f>
        <v>#VALUE!</v>
      </c>
    </row>
    <row r="2154" spans="1:5" x14ac:dyDescent="0.2">
      <c r="A2154" s="28">
        <v>2153</v>
      </c>
      <c r="B2154" s="28" t="e">
        <f>interpola(#REF!,CURVA!$B$6:$B$20,CURVA!$G$6:$G$20)</f>
        <v>#VALUE!</v>
      </c>
      <c r="C2154" s="29" t="e">
        <f t="shared" si="33"/>
        <v>#VALUE!</v>
      </c>
      <c r="E2154" t="e">
        <f>cubic_spline(CURVA!$B$6:$B$20,CURVA!$G$6:$G$20,#REF!)</f>
        <v>#VALUE!</v>
      </c>
    </row>
    <row r="2155" spans="1:5" x14ac:dyDescent="0.2">
      <c r="A2155" s="28">
        <v>2154</v>
      </c>
      <c r="B2155" s="28" t="e">
        <f>interpola(#REF!,CURVA!$B$6:$B$20,CURVA!$G$6:$G$20)</f>
        <v>#VALUE!</v>
      </c>
      <c r="C2155" s="29" t="e">
        <f t="shared" si="33"/>
        <v>#VALUE!</v>
      </c>
      <c r="E2155" t="e">
        <f>cubic_spline(CURVA!$B$6:$B$20,CURVA!$G$6:$G$20,#REF!)</f>
        <v>#VALUE!</v>
      </c>
    </row>
    <row r="2156" spans="1:5" x14ac:dyDescent="0.2">
      <c r="A2156" s="28">
        <v>2155</v>
      </c>
      <c r="B2156" s="28" t="e">
        <f>interpola(#REF!,CURVA!$B$6:$B$20,CURVA!$G$6:$G$20)</f>
        <v>#VALUE!</v>
      </c>
      <c r="C2156" s="29" t="e">
        <f t="shared" si="33"/>
        <v>#VALUE!</v>
      </c>
      <c r="E2156" t="e">
        <f>cubic_spline(CURVA!$B$6:$B$20,CURVA!$G$6:$G$20,#REF!)</f>
        <v>#VALUE!</v>
      </c>
    </row>
    <row r="2157" spans="1:5" x14ac:dyDescent="0.2">
      <c r="A2157" s="28">
        <v>2156</v>
      </c>
      <c r="B2157" s="28" t="e">
        <f>interpola(#REF!,CURVA!$B$6:$B$20,CURVA!$G$6:$G$20)</f>
        <v>#VALUE!</v>
      </c>
      <c r="C2157" s="29" t="e">
        <f t="shared" si="33"/>
        <v>#VALUE!</v>
      </c>
      <c r="E2157" t="e">
        <f>cubic_spline(CURVA!$B$6:$B$20,CURVA!$G$6:$G$20,#REF!)</f>
        <v>#VALUE!</v>
      </c>
    </row>
    <row r="2158" spans="1:5" x14ac:dyDescent="0.2">
      <c r="A2158" s="28">
        <v>2157</v>
      </c>
      <c r="B2158" s="28" t="e">
        <f>interpola(#REF!,CURVA!$B$6:$B$20,CURVA!$G$6:$G$20)</f>
        <v>#VALUE!</v>
      </c>
      <c r="C2158" s="29" t="e">
        <f t="shared" si="33"/>
        <v>#VALUE!</v>
      </c>
      <c r="E2158" t="e">
        <f>cubic_spline(CURVA!$B$6:$B$20,CURVA!$G$6:$G$20,#REF!)</f>
        <v>#VALUE!</v>
      </c>
    </row>
    <row r="2159" spans="1:5" x14ac:dyDescent="0.2">
      <c r="A2159" s="28">
        <v>2158</v>
      </c>
      <c r="B2159" s="28" t="e">
        <f>interpola(#REF!,CURVA!$B$6:$B$20,CURVA!$G$6:$G$20)</f>
        <v>#VALUE!</v>
      </c>
      <c r="C2159" s="29" t="e">
        <f t="shared" si="33"/>
        <v>#VALUE!</v>
      </c>
      <c r="E2159" t="e">
        <f>cubic_spline(CURVA!$B$6:$B$20,CURVA!$G$6:$G$20,#REF!)</f>
        <v>#VALUE!</v>
      </c>
    </row>
    <row r="2160" spans="1:5" x14ac:dyDescent="0.2">
      <c r="A2160" s="28">
        <v>2159</v>
      </c>
      <c r="B2160" s="28" t="e">
        <f>interpola(#REF!,CURVA!$B$6:$B$20,CURVA!$G$6:$G$20)</f>
        <v>#VALUE!</v>
      </c>
      <c r="C2160" s="29" t="e">
        <f t="shared" si="33"/>
        <v>#VALUE!</v>
      </c>
      <c r="E2160" t="e">
        <f>cubic_spline(CURVA!$B$6:$B$20,CURVA!$G$6:$G$20,#REF!)</f>
        <v>#VALUE!</v>
      </c>
    </row>
    <row r="2161" spans="1:5" x14ac:dyDescent="0.2">
      <c r="A2161" s="28">
        <v>2160</v>
      </c>
      <c r="B2161" s="28" t="e">
        <f>interpola(#REF!,CURVA!$B$6:$B$20,CURVA!$G$6:$G$20)</f>
        <v>#VALUE!</v>
      </c>
      <c r="C2161" s="29" t="e">
        <f t="shared" si="33"/>
        <v>#VALUE!</v>
      </c>
      <c r="E2161" t="e">
        <f>cubic_spline(CURVA!$B$6:$B$20,CURVA!$G$6:$G$20,#REF!)</f>
        <v>#VALUE!</v>
      </c>
    </row>
    <row r="2162" spans="1:5" x14ac:dyDescent="0.2">
      <c r="A2162" s="28">
        <v>2161</v>
      </c>
      <c r="B2162" s="28" t="e">
        <f>interpola(#REF!,CURVA!$B$6:$B$20,CURVA!$G$6:$G$20)</f>
        <v>#VALUE!</v>
      </c>
      <c r="C2162" s="29" t="e">
        <f t="shared" si="33"/>
        <v>#VALUE!</v>
      </c>
      <c r="E2162" t="e">
        <f>cubic_spline(CURVA!$B$6:$B$20,CURVA!$G$6:$G$20,#REF!)</f>
        <v>#VALUE!</v>
      </c>
    </row>
    <row r="2163" spans="1:5" x14ac:dyDescent="0.2">
      <c r="A2163" s="28">
        <v>2162</v>
      </c>
      <c r="B2163" s="28" t="e">
        <f>interpola(#REF!,CURVA!$B$6:$B$20,CURVA!$G$6:$G$20)</f>
        <v>#VALUE!</v>
      </c>
      <c r="C2163" s="29" t="e">
        <f t="shared" si="33"/>
        <v>#VALUE!</v>
      </c>
      <c r="E2163" t="e">
        <f>cubic_spline(CURVA!$B$6:$B$20,CURVA!$G$6:$G$20,#REF!)</f>
        <v>#VALUE!</v>
      </c>
    </row>
    <row r="2164" spans="1:5" x14ac:dyDescent="0.2">
      <c r="A2164" s="28">
        <v>2163</v>
      </c>
      <c r="B2164" s="28" t="e">
        <f>interpola(#REF!,CURVA!$B$6:$B$20,CURVA!$G$6:$G$20)</f>
        <v>#VALUE!</v>
      </c>
      <c r="C2164" s="29" t="e">
        <f t="shared" si="33"/>
        <v>#VALUE!</v>
      </c>
      <c r="E2164" t="e">
        <f>cubic_spline(CURVA!$B$6:$B$20,CURVA!$G$6:$G$20,#REF!)</f>
        <v>#VALUE!</v>
      </c>
    </row>
    <row r="2165" spans="1:5" x14ac:dyDescent="0.2">
      <c r="A2165" s="28">
        <v>2164</v>
      </c>
      <c r="B2165" s="28" t="e">
        <f>interpola(#REF!,CURVA!$B$6:$B$20,CURVA!$G$6:$G$20)</f>
        <v>#VALUE!</v>
      </c>
      <c r="C2165" s="29" t="e">
        <f t="shared" si="33"/>
        <v>#VALUE!</v>
      </c>
      <c r="E2165" t="e">
        <f>cubic_spline(CURVA!$B$6:$B$20,CURVA!$G$6:$G$20,#REF!)</f>
        <v>#VALUE!</v>
      </c>
    </row>
    <row r="2166" spans="1:5" x14ac:dyDescent="0.2">
      <c r="A2166" s="28">
        <v>2165</v>
      </c>
      <c r="B2166" s="28" t="e">
        <f>interpola(#REF!,CURVA!$B$6:$B$20,CURVA!$G$6:$G$20)</f>
        <v>#VALUE!</v>
      </c>
      <c r="C2166" s="29" t="e">
        <f t="shared" si="33"/>
        <v>#VALUE!</v>
      </c>
      <c r="E2166" t="e">
        <f>cubic_spline(CURVA!$B$6:$B$20,CURVA!$G$6:$G$20,#REF!)</f>
        <v>#VALUE!</v>
      </c>
    </row>
    <row r="2167" spans="1:5" x14ac:dyDescent="0.2">
      <c r="A2167" s="28">
        <v>2166</v>
      </c>
      <c r="B2167" s="28" t="e">
        <f>interpola(#REF!,CURVA!$B$6:$B$20,CURVA!$G$6:$G$20)</f>
        <v>#VALUE!</v>
      </c>
      <c r="C2167" s="29" t="e">
        <f t="shared" si="33"/>
        <v>#VALUE!</v>
      </c>
      <c r="E2167" t="e">
        <f>cubic_spline(CURVA!$B$6:$B$20,CURVA!$G$6:$G$20,#REF!)</f>
        <v>#VALUE!</v>
      </c>
    </row>
    <row r="2168" spans="1:5" x14ac:dyDescent="0.2">
      <c r="A2168" s="28">
        <v>2167</v>
      </c>
      <c r="B2168" s="28" t="e">
        <f>interpola(#REF!,CURVA!$B$6:$B$20,CURVA!$G$6:$G$20)</f>
        <v>#VALUE!</v>
      </c>
      <c r="C2168" s="29" t="e">
        <f t="shared" si="33"/>
        <v>#VALUE!</v>
      </c>
      <c r="E2168" t="e">
        <f>cubic_spline(CURVA!$B$6:$B$20,CURVA!$G$6:$G$20,#REF!)</f>
        <v>#VALUE!</v>
      </c>
    </row>
    <row r="2169" spans="1:5" x14ac:dyDescent="0.2">
      <c r="A2169" s="28">
        <v>2168</v>
      </c>
      <c r="B2169" s="28" t="e">
        <f>interpola(#REF!,CURVA!$B$6:$B$20,CURVA!$G$6:$G$20)</f>
        <v>#VALUE!</v>
      </c>
      <c r="C2169" s="29" t="e">
        <f t="shared" si="33"/>
        <v>#VALUE!</v>
      </c>
      <c r="E2169" t="e">
        <f>cubic_spline(CURVA!$B$6:$B$20,CURVA!$G$6:$G$20,#REF!)</f>
        <v>#VALUE!</v>
      </c>
    </row>
    <row r="2170" spans="1:5" x14ac:dyDescent="0.2">
      <c r="A2170" s="28">
        <v>2169</v>
      </c>
      <c r="B2170" s="28" t="e">
        <f>interpola(#REF!,CURVA!$B$6:$B$20,CURVA!$G$6:$G$20)</f>
        <v>#VALUE!</v>
      </c>
      <c r="C2170" s="29" t="e">
        <f t="shared" si="33"/>
        <v>#VALUE!</v>
      </c>
      <c r="E2170" t="e">
        <f>cubic_spline(CURVA!$B$6:$B$20,CURVA!$G$6:$G$20,#REF!)</f>
        <v>#VALUE!</v>
      </c>
    </row>
    <row r="2171" spans="1:5" x14ac:dyDescent="0.2">
      <c r="A2171" s="28">
        <v>2170</v>
      </c>
      <c r="B2171" s="28" t="e">
        <f>interpola(#REF!,CURVA!$B$6:$B$20,CURVA!$G$6:$G$20)</f>
        <v>#VALUE!</v>
      </c>
      <c r="C2171" s="29" t="e">
        <f t="shared" si="33"/>
        <v>#VALUE!</v>
      </c>
      <c r="E2171" t="e">
        <f>cubic_spline(CURVA!$B$6:$B$20,CURVA!$G$6:$G$20,#REF!)</f>
        <v>#VALUE!</v>
      </c>
    </row>
    <row r="2172" spans="1:5" x14ac:dyDescent="0.2">
      <c r="A2172" s="28">
        <v>2171</v>
      </c>
      <c r="B2172" s="28" t="e">
        <f>interpola(#REF!,CURVA!$B$6:$B$20,CURVA!$G$6:$G$20)</f>
        <v>#VALUE!</v>
      </c>
      <c r="C2172" s="29" t="e">
        <f t="shared" si="33"/>
        <v>#VALUE!</v>
      </c>
      <c r="E2172" t="e">
        <f>cubic_spline(CURVA!$B$6:$B$20,CURVA!$G$6:$G$20,#REF!)</f>
        <v>#VALUE!</v>
      </c>
    </row>
    <row r="2173" spans="1:5" x14ac:dyDescent="0.2">
      <c r="A2173" s="28">
        <v>2172</v>
      </c>
      <c r="B2173" s="28" t="e">
        <f>interpola(#REF!,CURVA!$B$6:$B$20,CURVA!$G$6:$G$20)</f>
        <v>#VALUE!</v>
      </c>
      <c r="C2173" s="29" t="e">
        <f t="shared" si="33"/>
        <v>#VALUE!</v>
      </c>
      <c r="E2173" t="e">
        <f>cubic_spline(CURVA!$B$6:$B$20,CURVA!$G$6:$G$20,#REF!)</f>
        <v>#VALUE!</v>
      </c>
    </row>
    <row r="2174" spans="1:5" x14ac:dyDescent="0.2">
      <c r="A2174" s="28">
        <v>2173</v>
      </c>
      <c r="B2174" s="28" t="e">
        <f>interpola(#REF!,CURVA!$B$6:$B$20,CURVA!$G$6:$G$20)</f>
        <v>#VALUE!</v>
      </c>
      <c r="C2174" s="29" t="e">
        <f t="shared" si="33"/>
        <v>#VALUE!</v>
      </c>
      <c r="E2174" t="e">
        <f>cubic_spline(CURVA!$B$6:$B$20,CURVA!$G$6:$G$20,#REF!)</f>
        <v>#VALUE!</v>
      </c>
    </row>
    <row r="2175" spans="1:5" x14ac:dyDescent="0.2">
      <c r="A2175" s="28">
        <v>2174</v>
      </c>
      <c r="B2175" s="28" t="e">
        <f>interpola(#REF!,CURVA!$B$6:$B$20,CURVA!$G$6:$G$20)</f>
        <v>#VALUE!</v>
      </c>
      <c r="C2175" s="29" t="e">
        <f t="shared" si="33"/>
        <v>#VALUE!</v>
      </c>
      <c r="E2175" t="e">
        <f>cubic_spline(CURVA!$B$6:$B$20,CURVA!$G$6:$G$20,#REF!)</f>
        <v>#VALUE!</v>
      </c>
    </row>
    <row r="2176" spans="1:5" x14ac:dyDescent="0.2">
      <c r="A2176" s="28">
        <v>2175</v>
      </c>
      <c r="B2176" s="28" t="e">
        <f>interpola(#REF!,CURVA!$B$6:$B$20,CURVA!$G$6:$G$20)</f>
        <v>#VALUE!</v>
      </c>
      <c r="C2176" s="29" t="e">
        <f t="shared" si="33"/>
        <v>#VALUE!</v>
      </c>
      <c r="E2176" t="e">
        <f>cubic_spline(CURVA!$B$6:$B$20,CURVA!$G$6:$G$20,#REF!)</f>
        <v>#VALUE!</v>
      </c>
    </row>
    <row r="2177" spans="1:5" x14ac:dyDescent="0.2">
      <c r="A2177" s="28">
        <v>2176</v>
      </c>
      <c r="B2177" s="28" t="e">
        <f>interpola(#REF!,CURVA!$B$6:$B$20,CURVA!$G$6:$G$20)</f>
        <v>#VALUE!</v>
      </c>
      <c r="C2177" s="29" t="e">
        <f t="shared" si="33"/>
        <v>#VALUE!</v>
      </c>
      <c r="E2177" t="e">
        <f>cubic_spline(CURVA!$B$6:$B$20,CURVA!$G$6:$G$20,#REF!)</f>
        <v>#VALUE!</v>
      </c>
    </row>
    <row r="2178" spans="1:5" x14ac:dyDescent="0.2">
      <c r="A2178" s="28">
        <v>2177</v>
      </c>
      <c r="B2178" s="28" t="e">
        <f>interpola(#REF!,CURVA!$B$6:$B$20,CURVA!$G$6:$G$20)</f>
        <v>#VALUE!</v>
      </c>
      <c r="C2178" s="29" t="e">
        <f t="shared" ref="C2178:C2241" si="34">(EXP(B2178*A2178/360)-1)*360/A2178</f>
        <v>#VALUE!</v>
      </c>
      <c r="E2178" t="e">
        <f>cubic_spline(CURVA!$B$6:$B$20,CURVA!$G$6:$G$20,#REF!)</f>
        <v>#VALUE!</v>
      </c>
    </row>
    <row r="2179" spans="1:5" x14ac:dyDescent="0.2">
      <c r="A2179" s="28">
        <v>2178</v>
      </c>
      <c r="B2179" s="28" t="e">
        <f>interpola(#REF!,CURVA!$B$6:$B$20,CURVA!$G$6:$G$20)</f>
        <v>#VALUE!</v>
      </c>
      <c r="C2179" s="29" t="e">
        <f t="shared" si="34"/>
        <v>#VALUE!</v>
      </c>
      <c r="E2179" t="e">
        <f>cubic_spline(CURVA!$B$6:$B$20,CURVA!$G$6:$G$20,#REF!)</f>
        <v>#VALUE!</v>
      </c>
    </row>
    <row r="2180" spans="1:5" x14ac:dyDescent="0.2">
      <c r="A2180" s="28">
        <v>2179</v>
      </c>
      <c r="B2180" s="28" t="e">
        <f>interpola(#REF!,CURVA!$B$6:$B$20,CURVA!$G$6:$G$20)</f>
        <v>#VALUE!</v>
      </c>
      <c r="C2180" s="29" t="e">
        <f t="shared" si="34"/>
        <v>#VALUE!</v>
      </c>
      <c r="E2180" t="e">
        <f>cubic_spline(CURVA!$B$6:$B$20,CURVA!$G$6:$G$20,#REF!)</f>
        <v>#VALUE!</v>
      </c>
    </row>
    <row r="2181" spans="1:5" x14ac:dyDescent="0.2">
      <c r="A2181" s="28">
        <v>2180</v>
      </c>
      <c r="B2181" s="28" t="e">
        <f>interpola(#REF!,CURVA!$B$6:$B$20,CURVA!$G$6:$G$20)</f>
        <v>#VALUE!</v>
      </c>
      <c r="C2181" s="29" t="e">
        <f t="shared" si="34"/>
        <v>#VALUE!</v>
      </c>
      <c r="E2181" t="e">
        <f>cubic_spline(CURVA!$B$6:$B$20,CURVA!$G$6:$G$20,#REF!)</f>
        <v>#VALUE!</v>
      </c>
    </row>
    <row r="2182" spans="1:5" x14ac:dyDescent="0.2">
      <c r="A2182" s="28">
        <v>2181</v>
      </c>
      <c r="B2182" s="28" t="e">
        <f>interpola(#REF!,CURVA!$B$6:$B$20,CURVA!$G$6:$G$20)</f>
        <v>#VALUE!</v>
      </c>
      <c r="C2182" s="29" t="e">
        <f t="shared" si="34"/>
        <v>#VALUE!</v>
      </c>
      <c r="E2182" t="e">
        <f>cubic_spline(CURVA!$B$6:$B$20,CURVA!$G$6:$G$20,#REF!)</f>
        <v>#VALUE!</v>
      </c>
    </row>
    <row r="2183" spans="1:5" x14ac:dyDescent="0.2">
      <c r="A2183" s="28">
        <v>2182</v>
      </c>
      <c r="B2183" s="28" t="e">
        <f>interpola(#REF!,CURVA!$B$6:$B$20,CURVA!$G$6:$G$20)</f>
        <v>#VALUE!</v>
      </c>
      <c r="C2183" s="29" t="e">
        <f t="shared" si="34"/>
        <v>#VALUE!</v>
      </c>
      <c r="E2183" t="e">
        <f>cubic_spline(CURVA!$B$6:$B$20,CURVA!$G$6:$G$20,#REF!)</f>
        <v>#VALUE!</v>
      </c>
    </row>
    <row r="2184" spans="1:5" x14ac:dyDescent="0.2">
      <c r="A2184" s="28">
        <v>2183</v>
      </c>
      <c r="B2184" s="28" t="e">
        <f>interpola(#REF!,CURVA!$B$6:$B$20,CURVA!$G$6:$G$20)</f>
        <v>#VALUE!</v>
      </c>
      <c r="C2184" s="29" t="e">
        <f t="shared" si="34"/>
        <v>#VALUE!</v>
      </c>
      <c r="E2184" t="e">
        <f>cubic_spline(CURVA!$B$6:$B$20,CURVA!$G$6:$G$20,#REF!)</f>
        <v>#VALUE!</v>
      </c>
    </row>
    <row r="2185" spans="1:5" x14ac:dyDescent="0.2">
      <c r="A2185" s="28">
        <v>2184</v>
      </c>
      <c r="B2185" s="28" t="e">
        <f>interpola(#REF!,CURVA!$B$6:$B$20,CURVA!$G$6:$G$20)</f>
        <v>#VALUE!</v>
      </c>
      <c r="C2185" s="29" t="e">
        <f t="shared" si="34"/>
        <v>#VALUE!</v>
      </c>
      <c r="E2185" t="e">
        <f>cubic_spline(CURVA!$B$6:$B$20,CURVA!$G$6:$G$20,#REF!)</f>
        <v>#VALUE!</v>
      </c>
    </row>
    <row r="2186" spans="1:5" x14ac:dyDescent="0.2">
      <c r="A2186" s="28">
        <v>2185</v>
      </c>
      <c r="B2186" s="28" t="e">
        <f>interpola(#REF!,CURVA!$B$6:$B$20,CURVA!$G$6:$G$20)</f>
        <v>#VALUE!</v>
      </c>
      <c r="C2186" s="29" t="e">
        <f t="shared" si="34"/>
        <v>#VALUE!</v>
      </c>
      <c r="E2186" t="e">
        <f>cubic_spline(CURVA!$B$6:$B$20,CURVA!$G$6:$G$20,#REF!)</f>
        <v>#VALUE!</v>
      </c>
    </row>
    <row r="2187" spans="1:5" x14ac:dyDescent="0.2">
      <c r="A2187" s="28">
        <v>2186</v>
      </c>
      <c r="B2187" s="28" t="e">
        <f>interpola(#REF!,CURVA!$B$6:$B$20,CURVA!$G$6:$G$20)</f>
        <v>#VALUE!</v>
      </c>
      <c r="C2187" s="29" t="e">
        <f t="shared" si="34"/>
        <v>#VALUE!</v>
      </c>
      <c r="E2187" t="e">
        <f>cubic_spline(CURVA!$B$6:$B$20,CURVA!$G$6:$G$20,#REF!)</f>
        <v>#VALUE!</v>
      </c>
    </row>
    <row r="2188" spans="1:5" x14ac:dyDescent="0.2">
      <c r="A2188" s="28">
        <v>2187</v>
      </c>
      <c r="B2188" s="28" t="e">
        <f>interpola(#REF!,CURVA!$B$6:$B$20,CURVA!$G$6:$G$20)</f>
        <v>#VALUE!</v>
      </c>
      <c r="C2188" s="29" t="e">
        <f t="shared" si="34"/>
        <v>#VALUE!</v>
      </c>
      <c r="E2188" t="e">
        <f>cubic_spline(CURVA!$B$6:$B$20,CURVA!$G$6:$G$20,#REF!)</f>
        <v>#VALUE!</v>
      </c>
    </row>
    <row r="2189" spans="1:5" x14ac:dyDescent="0.2">
      <c r="A2189" s="28">
        <v>2188</v>
      </c>
      <c r="B2189" s="28" t="e">
        <f>interpola(#REF!,CURVA!$B$6:$B$20,CURVA!$G$6:$G$20)</f>
        <v>#VALUE!</v>
      </c>
      <c r="C2189" s="29" t="e">
        <f t="shared" si="34"/>
        <v>#VALUE!</v>
      </c>
      <c r="E2189" t="e">
        <f>cubic_spline(CURVA!$B$6:$B$20,CURVA!$G$6:$G$20,#REF!)</f>
        <v>#VALUE!</v>
      </c>
    </row>
    <row r="2190" spans="1:5" x14ac:dyDescent="0.2">
      <c r="A2190" s="28">
        <v>2189</v>
      </c>
      <c r="B2190" s="28" t="e">
        <f>interpola(#REF!,CURVA!$B$6:$B$20,CURVA!$G$6:$G$20)</f>
        <v>#VALUE!</v>
      </c>
      <c r="C2190" s="29" t="e">
        <f t="shared" si="34"/>
        <v>#VALUE!</v>
      </c>
      <c r="E2190" t="e">
        <f>cubic_spline(CURVA!$B$6:$B$20,CURVA!$G$6:$G$20,#REF!)</f>
        <v>#VALUE!</v>
      </c>
    </row>
    <row r="2191" spans="1:5" x14ac:dyDescent="0.2">
      <c r="A2191" s="28">
        <v>2190</v>
      </c>
      <c r="B2191" s="28" t="e">
        <f>interpola(#REF!,CURVA!$B$6:$B$20,CURVA!$G$6:$G$20)</f>
        <v>#VALUE!</v>
      </c>
      <c r="C2191" s="29" t="e">
        <f t="shared" si="34"/>
        <v>#VALUE!</v>
      </c>
      <c r="E2191" t="e">
        <f>cubic_spline(CURVA!$B$6:$B$20,CURVA!$G$6:$G$20,#REF!)</f>
        <v>#VALUE!</v>
      </c>
    </row>
    <row r="2192" spans="1:5" x14ac:dyDescent="0.2">
      <c r="A2192" s="28">
        <v>2191</v>
      </c>
      <c r="B2192" s="28" t="e">
        <f>interpola(#REF!,CURVA!$B$6:$B$20,CURVA!$G$6:$G$20)</f>
        <v>#VALUE!</v>
      </c>
      <c r="C2192" s="29" t="e">
        <f t="shared" si="34"/>
        <v>#VALUE!</v>
      </c>
      <c r="E2192" t="e">
        <f>cubic_spline(CURVA!$B$6:$B$20,CURVA!$G$6:$G$20,#REF!)</f>
        <v>#VALUE!</v>
      </c>
    </row>
    <row r="2193" spans="1:5" x14ac:dyDescent="0.2">
      <c r="A2193" s="28">
        <v>2192</v>
      </c>
      <c r="B2193" s="28" t="e">
        <f>interpola(#REF!,CURVA!$B$6:$B$20,CURVA!$G$6:$G$20)</f>
        <v>#VALUE!</v>
      </c>
      <c r="C2193" s="29" t="e">
        <f t="shared" si="34"/>
        <v>#VALUE!</v>
      </c>
      <c r="E2193" t="e">
        <f>cubic_spline(CURVA!$B$6:$B$20,CURVA!$G$6:$G$20,#REF!)</f>
        <v>#VALUE!</v>
      </c>
    </row>
    <row r="2194" spans="1:5" x14ac:dyDescent="0.2">
      <c r="A2194" s="28">
        <v>2193</v>
      </c>
      <c r="B2194" s="28" t="e">
        <f>interpola(#REF!,CURVA!$B$6:$B$20,CURVA!$G$6:$G$20)</f>
        <v>#VALUE!</v>
      </c>
      <c r="C2194" s="29" t="e">
        <f t="shared" si="34"/>
        <v>#VALUE!</v>
      </c>
      <c r="E2194" t="e">
        <f>cubic_spline(CURVA!$B$6:$B$20,CURVA!$G$6:$G$20,#REF!)</f>
        <v>#VALUE!</v>
      </c>
    </row>
    <row r="2195" spans="1:5" x14ac:dyDescent="0.2">
      <c r="A2195" s="28">
        <v>2194</v>
      </c>
      <c r="B2195" s="28" t="e">
        <f>interpola(#REF!,CURVA!$B$6:$B$20,CURVA!$G$6:$G$20)</f>
        <v>#VALUE!</v>
      </c>
      <c r="C2195" s="29" t="e">
        <f t="shared" si="34"/>
        <v>#VALUE!</v>
      </c>
      <c r="E2195" t="e">
        <f>cubic_spline(CURVA!$B$6:$B$20,CURVA!$G$6:$G$20,#REF!)</f>
        <v>#VALUE!</v>
      </c>
    </row>
    <row r="2196" spans="1:5" x14ac:dyDescent="0.2">
      <c r="A2196" s="28">
        <v>2195</v>
      </c>
      <c r="B2196" s="28" t="e">
        <f>interpola(#REF!,CURVA!$B$6:$B$20,CURVA!$G$6:$G$20)</f>
        <v>#VALUE!</v>
      </c>
      <c r="C2196" s="29" t="e">
        <f t="shared" si="34"/>
        <v>#VALUE!</v>
      </c>
      <c r="E2196" t="e">
        <f>cubic_spline(CURVA!$B$6:$B$20,CURVA!$G$6:$G$20,#REF!)</f>
        <v>#VALUE!</v>
      </c>
    </row>
    <row r="2197" spans="1:5" x14ac:dyDescent="0.2">
      <c r="A2197" s="28">
        <v>2196</v>
      </c>
      <c r="B2197" s="28" t="e">
        <f>interpola(#REF!,CURVA!$B$6:$B$20,CURVA!$G$6:$G$20)</f>
        <v>#VALUE!</v>
      </c>
      <c r="C2197" s="29" t="e">
        <f t="shared" si="34"/>
        <v>#VALUE!</v>
      </c>
      <c r="E2197" t="e">
        <f>cubic_spline(CURVA!$B$6:$B$20,CURVA!$G$6:$G$20,#REF!)</f>
        <v>#VALUE!</v>
      </c>
    </row>
    <row r="2198" spans="1:5" x14ac:dyDescent="0.2">
      <c r="A2198" s="28">
        <v>2197</v>
      </c>
      <c r="B2198" s="28" t="e">
        <f>interpola(#REF!,CURVA!$B$6:$B$20,CURVA!$G$6:$G$20)</f>
        <v>#VALUE!</v>
      </c>
      <c r="C2198" s="29" t="e">
        <f t="shared" si="34"/>
        <v>#VALUE!</v>
      </c>
      <c r="E2198" t="e">
        <f>cubic_spline(CURVA!$B$6:$B$20,CURVA!$G$6:$G$20,#REF!)</f>
        <v>#VALUE!</v>
      </c>
    </row>
    <row r="2199" spans="1:5" x14ac:dyDescent="0.2">
      <c r="A2199" s="28">
        <v>2198</v>
      </c>
      <c r="B2199" s="28" t="e">
        <f>interpola(#REF!,CURVA!$B$6:$B$20,CURVA!$G$6:$G$20)</f>
        <v>#VALUE!</v>
      </c>
      <c r="C2199" s="29" t="e">
        <f t="shared" si="34"/>
        <v>#VALUE!</v>
      </c>
      <c r="E2199" t="e">
        <f>cubic_spline(CURVA!$B$6:$B$20,CURVA!$G$6:$G$20,#REF!)</f>
        <v>#VALUE!</v>
      </c>
    </row>
    <row r="2200" spans="1:5" x14ac:dyDescent="0.2">
      <c r="A2200" s="28">
        <v>2199</v>
      </c>
      <c r="B2200" s="28" t="e">
        <f>interpola(#REF!,CURVA!$B$6:$B$20,CURVA!$G$6:$G$20)</f>
        <v>#VALUE!</v>
      </c>
      <c r="C2200" s="29" t="e">
        <f t="shared" si="34"/>
        <v>#VALUE!</v>
      </c>
      <c r="E2200" t="e">
        <f>cubic_spline(CURVA!$B$6:$B$20,CURVA!$G$6:$G$20,#REF!)</f>
        <v>#VALUE!</v>
      </c>
    </row>
    <row r="2201" spans="1:5" x14ac:dyDescent="0.2">
      <c r="A2201" s="28">
        <v>2200</v>
      </c>
      <c r="B2201" s="28" t="e">
        <f>interpola(#REF!,CURVA!$B$6:$B$20,CURVA!$G$6:$G$20)</f>
        <v>#VALUE!</v>
      </c>
      <c r="C2201" s="29" t="e">
        <f t="shared" si="34"/>
        <v>#VALUE!</v>
      </c>
      <c r="E2201" t="e">
        <f>cubic_spline(CURVA!$B$6:$B$20,CURVA!$G$6:$G$20,#REF!)</f>
        <v>#VALUE!</v>
      </c>
    </row>
    <row r="2202" spans="1:5" x14ac:dyDescent="0.2">
      <c r="A2202" s="28">
        <v>2201</v>
      </c>
      <c r="B2202" s="28" t="e">
        <f>interpola(#REF!,CURVA!$B$6:$B$20,CURVA!$G$6:$G$20)</f>
        <v>#VALUE!</v>
      </c>
      <c r="C2202" s="29" t="e">
        <f t="shared" si="34"/>
        <v>#VALUE!</v>
      </c>
      <c r="E2202" t="e">
        <f>cubic_spline(CURVA!$B$6:$B$20,CURVA!$G$6:$G$20,#REF!)</f>
        <v>#VALUE!</v>
      </c>
    </row>
    <row r="2203" spans="1:5" x14ac:dyDescent="0.2">
      <c r="A2203" s="28">
        <v>2202</v>
      </c>
      <c r="B2203" s="28" t="e">
        <f>interpola(#REF!,CURVA!$B$6:$B$20,CURVA!$G$6:$G$20)</f>
        <v>#VALUE!</v>
      </c>
      <c r="C2203" s="29" t="e">
        <f t="shared" si="34"/>
        <v>#VALUE!</v>
      </c>
      <c r="E2203" t="e">
        <f>cubic_spline(CURVA!$B$6:$B$20,CURVA!$G$6:$G$20,#REF!)</f>
        <v>#VALUE!</v>
      </c>
    </row>
    <row r="2204" spans="1:5" x14ac:dyDescent="0.2">
      <c r="A2204" s="28">
        <v>2203</v>
      </c>
      <c r="B2204" s="28" t="e">
        <f>interpola(#REF!,CURVA!$B$6:$B$20,CURVA!$G$6:$G$20)</f>
        <v>#VALUE!</v>
      </c>
      <c r="C2204" s="29" t="e">
        <f t="shared" si="34"/>
        <v>#VALUE!</v>
      </c>
      <c r="E2204" t="e">
        <f>cubic_spline(CURVA!$B$6:$B$20,CURVA!$G$6:$G$20,#REF!)</f>
        <v>#VALUE!</v>
      </c>
    </row>
    <row r="2205" spans="1:5" x14ac:dyDescent="0.2">
      <c r="A2205" s="28">
        <v>2204</v>
      </c>
      <c r="B2205" s="28" t="e">
        <f>interpola(#REF!,CURVA!$B$6:$B$20,CURVA!$G$6:$G$20)</f>
        <v>#VALUE!</v>
      </c>
      <c r="C2205" s="29" t="e">
        <f t="shared" si="34"/>
        <v>#VALUE!</v>
      </c>
      <c r="E2205" t="e">
        <f>cubic_spline(CURVA!$B$6:$B$20,CURVA!$G$6:$G$20,#REF!)</f>
        <v>#VALUE!</v>
      </c>
    </row>
    <row r="2206" spans="1:5" x14ac:dyDescent="0.2">
      <c r="A2206" s="28">
        <v>2205</v>
      </c>
      <c r="B2206" s="28" t="e">
        <f>interpola(#REF!,CURVA!$B$6:$B$20,CURVA!$G$6:$G$20)</f>
        <v>#VALUE!</v>
      </c>
      <c r="C2206" s="29" t="e">
        <f t="shared" si="34"/>
        <v>#VALUE!</v>
      </c>
      <c r="E2206" t="e">
        <f>cubic_spline(CURVA!$B$6:$B$20,CURVA!$G$6:$G$20,#REF!)</f>
        <v>#VALUE!</v>
      </c>
    </row>
    <row r="2207" spans="1:5" x14ac:dyDescent="0.2">
      <c r="A2207" s="28">
        <v>2206</v>
      </c>
      <c r="B2207" s="28" t="e">
        <f>interpola(#REF!,CURVA!$B$6:$B$20,CURVA!$G$6:$G$20)</f>
        <v>#VALUE!</v>
      </c>
      <c r="C2207" s="29" t="e">
        <f t="shared" si="34"/>
        <v>#VALUE!</v>
      </c>
      <c r="E2207" t="e">
        <f>cubic_spline(CURVA!$B$6:$B$20,CURVA!$G$6:$G$20,#REF!)</f>
        <v>#VALUE!</v>
      </c>
    </row>
    <row r="2208" spans="1:5" x14ac:dyDescent="0.2">
      <c r="A2208" s="28">
        <v>2207</v>
      </c>
      <c r="B2208" s="28" t="e">
        <f>interpola(#REF!,CURVA!$B$6:$B$20,CURVA!$G$6:$G$20)</f>
        <v>#VALUE!</v>
      </c>
      <c r="C2208" s="29" t="e">
        <f t="shared" si="34"/>
        <v>#VALUE!</v>
      </c>
      <c r="E2208" t="e">
        <f>cubic_spline(CURVA!$B$6:$B$20,CURVA!$G$6:$G$20,#REF!)</f>
        <v>#VALUE!</v>
      </c>
    </row>
    <row r="2209" spans="1:5" x14ac:dyDescent="0.2">
      <c r="A2209" s="28">
        <v>2208</v>
      </c>
      <c r="B2209" s="28" t="e">
        <f>interpola(#REF!,CURVA!$B$6:$B$20,CURVA!$G$6:$G$20)</f>
        <v>#VALUE!</v>
      </c>
      <c r="C2209" s="29" t="e">
        <f t="shared" si="34"/>
        <v>#VALUE!</v>
      </c>
      <c r="E2209" t="e">
        <f>cubic_spline(CURVA!$B$6:$B$20,CURVA!$G$6:$G$20,#REF!)</f>
        <v>#VALUE!</v>
      </c>
    </row>
    <row r="2210" spans="1:5" x14ac:dyDescent="0.2">
      <c r="A2210" s="28">
        <v>2209</v>
      </c>
      <c r="B2210" s="28" t="e">
        <f>interpola(#REF!,CURVA!$B$6:$B$20,CURVA!$G$6:$G$20)</f>
        <v>#VALUE!</v>
      </c>
      <c r="C2210" s="29" t="e">
        <f t="shared" si="34"/>
        <v>#VALUE!</v>
      </c>
      <c r="E2210" t="e">
        <f>cubic_spline(CURVA!$B$6:$B$20,CURVA!$G$6:$G$20,#REF!)</f>
        <v>#VALUE!</v>
      </c>
    </row>
    <row r="2211" spans="1:5" x14ac:dyDescent="0.2">
      <c r="A2211" s="28">
        <v>2210</v>
      </c>
      <c r="B2211" s="28" t="e">
        <f>interpola(#REF!,CURVA!$B$6:$B$20,CURVA!$G$6:$G$20)</f>
        <v>#VALUE!</v>
      </c>
      <c r="C2211" s="29" t="e">
        <f t="shared" si="34"/>
        <v>#VALUE!</v>
      </c>
      <c r="E2211" t="e">
        <f>cubic_spline(CURVA!$B$6:$B$20,CURVA!$G$6:$G$20,#REF!)</f>
        <v>#VALUE!</v>
      </c>
    </row>
    <row r="2212" spans="1:5" x14ac:dyDescent="0.2">
      <c r="A2212" s="28">
        <v>2211</v>
      </c>
      <c r="B2212" s="28" t="e">
        <f>interpola(#REF!,CURVA!$B$6:$B$20,CURVA!$G$6:$G$20)</f>
        <v>#VALUE!</v>
      </c>
      <c r="C2212" s="29" t="e">
        <f t="shared" si="34"/>
        <v>#VALUE!</v>
      </c>
      <c r="E2212" t="e">
        <f>cubic_spline(CURVA!$B$6:$B$20,CURVA!$G$6:$G$20,#REF!)</f>
        <v>#VALUE!</v>
      </c>
    </row>
    <row r="2213" spans="1:5" x14ac:dyDescent="0.2">
      <c r="A2213" s="28">
        <v>2212</v>
      </c>
      <c r="B2213" s="28" t="e">
        <f>interpola(#REF!,CURVA!$B$6:$B$20,CURVA!$G$6:$G$20)</f>
        <v>#VALUE!</v>
      </c>
      <c r="C2213" s="29" t="e">
        <f t="shared" si="34"/>
        <v>#VALUE!</v>
      </c>
      <c r="E2213" t="e">
        <f>cubic_spline(CURVA!$B$6:$B$20,CURVA!$G$6:$G$20,#REF!)</f>
        <v>#VALUE!</v>
      </c>
    </row>
    <row r="2214" spans="1:5" x14ac:dyDescent="0.2">
      <c r="A2214" s="28">
        <v>2213</v>
      </c>
      <c r="B2214" s="28" t="e">
        <f>interpola(#REF!,CURVA!$B$6:$B$20,CURVA!$G$6:$G$20)</f>
        <v>#VALUE!</v>
      </c>
      <c r="C2214" s="29" t="e">
        <f t="shared" si="34"/>
        <v>#VALUE!</v>
      </c>
      <c r="E2214" t="e">
        <f>cubic_spline(CURVA!$B$6:$B$20,CURVA!$G$6:$G$20,#REF!)</f>
        <v>#VALUE!</v>
      </c>
    </row>
    <row r="2215" spans="1:5" x14ac:dyDescent="0.2">
      <c r="A2215" s="28">
        <v>2214</v>
      </c>
      <c r="B2215" s="28" t="e">
        <f>interpola(#REF!,CURVA!$B$6:$B$20,CURVA!$G$6:$G$20)</f>
        <v>#VALUE!</v>
      </c>
      <c r="C2215" s="29" t="e">
        <f t="shared" si="34"/>
        <v>#VALUE!</v>
      </c>
      <c r="E2215" t="e">
        <f>cubic_spline(CURVA!$B$6:$B$20,CURVA!$G$6:$G$20,#REF!)</f>
        <v>#VALUE!</v>
      </c>
    </row>
    <row r="2216" spans="1:5" x14ac:dyDescent="0.2">
      <c r="A2216" s="28">
        <v>2215</v>
      </c>
      <c r="B2216" s="28" t="e">
        <f>interpola(#REF!,CURVA!$B$6:$B$20,CURVA!$G$6:$G$20)</f>
        <v>#VALUE!</v>
      </c>
      <c r="C2216" s="29" t="e">
        <f t="shared" si="34"/>
        <v>#VALUE!</v>
      </c>
      <c r="E2216" t="e">
        <f>cubic_spline(CURVA!$B$6:$B$20,CURVA!$G$6:$G$20,#REF!)</f>
        <v>#VALUE!</v>
      </c>
    </row>
    <row r="2217" spans="1:5" x14ac:dyDescent="0.2">
      <c r="A2217" s="28">
        <v>2216</v>
      </c>
      <c r="B2217" s="28" t="e">
        <f>interpola(#REF!,CURVA!$B$6:$B$20,CURVA!$G$6:$G$20)</f>
        <v>#VALUE!</v>
      </c>
      <c r="C2217" s="29" t="e">
        <f t="shared" si="34"/>
        <v>#VALUE!</v>
      </c>
      <c r="E2217" t="e">
        <f>cubic_spline(CURVA!$B$6:$B$20,CURVA!$G$6:$G$20,#REF!)</f>
        <v>#VALUE!</v>
      </c>
    </row>
    <row r="2218" spans="1:5" x14ac:dyDescent="0.2">
      <c r="A2218" s="28">
        <v>2217</v>
      </c>
      <c r="B2218" s="28" t="e">
        <f>interpola(#REF!,CURVA!$B$6:$B$20,CURVA!$G$6:$G$20)</f>
        <v>#VALUE!</v>
      </c>
      <c r="C2218" s="29" t="e">
        <f t="shared" si="34"/>
        <v>#VALUE!</v>
      </c>
      <c r="E2218" t="e">
        <f>cubic_spline(CURVA!$B$6:$B$20,CURVA!$G$6:$G$20,#REF!)</f>
        <v>#VALUE!</v>
      </c>
    </row>
    <row r="2219" spans="1:5" x14ac:dyDescent="0.2">
      <c r="A2219" s="28">
        <v>2218</v>
      </c>
      <c r="B2219" s="28" t="e">
        <f>interpola(#REF!,CURVA!$B$6:$B$20,CURVA!$G$6:$G$20)</f>
        <v>#VALUE!</v>
      </c>
      <c r="C2219" s="29" t="e">
        <f t="shared" si="34"/>
        <v>#VALUE!</v>
      </c>
      <c r="E2219" t="e">
        <f>cubic_spline(CURVA!$B$6:$B$20,CURVA!$G$6:$G$20,#REF!)</f>
        <v>#VALUE!</v>
      </c>
    </row>
    <row r="2220" spans="1:5" x14ac:dyDescent="0.2">
      <c r="A2220" s="28">
        <v>2219</v>
      </c>
      <c r="B2220" s="28" t="e">
        <f>interpola(#REF!,CURVA!$B$6:$B$20,CURVA!$G$6:$G$20)</f>
        <v>#VALUE!</v>
      </c>
      <c r="C2220" s="29" t="e">
        <f t="shared" si="34"/>
        <v>#VALUE!</v>
      </c>
      <c r="E2220" t="e">
        <f>cubic_spline(CURVA!$B$6:$B$20,CURVA!$G$6:$G$20,#REF!)</f>
        <v>#VALUE!</v>
      </c>
    </row>
    <row r="2221" spans="1:5" x14ac:dyDescent="0.2">
      <c r="A2221" s="28">
        <v>2220</v>
      </c>
      <c r="B2221" s="28" t="e">
        <f>interpola(#REF!,CURVA!$B$6:$B$20,CURVA!$G$6:$G$20)</f>
        <v>#VALUE!</v>
      </c>
      <c r="C2221" s="29" t="e">
        <f t="shared" si="34"/>
        <v>#VALUE!</v>
      </c>
      <c r="E2221" t="e">
        <f>cubic_spline(CURVA!$B$6:$B$20,CURVA!$G$6:$G$20,#REF!)</f>
        <v>#VALUE!</v>
      </c>
    </row>
    <row r="2222" spans="1:5" x14ac:dyDescent="0.2">
      <c r="A2222" s="28">
        <v>2221</v>
      </c>
      <c r="B2222" s="28" t="e">
        <f>interpola(#REF!,CURVA!$B$6:$B$20,CURVA!$G$6:$G$20)</f>
        <v>#VALUE!</v>
      </c>
      <c r="C2222" s="29" t="e">
        <f t="shared" si="34"/>
        <v>#VALUE!</v>
      </c>
      <c r="E2222" t="e">
        <f>cubic_spline(CURVA!$B$6:$B$20,CURVA!$G$6:$G$20,#REF!)</f>
        <v>#VALUE!</v>
      </c>
    </row>
    <row r="2223" spans="1:5" x14ac:dyDescent="0.2">
      <c r="A2223" s="28">
        <v>2222</v>
      </c>
      <c r="B2223" s="28" t="e">
        <f>interpola(#REF!,CURVA!$B$6:$B$20,CURVA!$G$6:$G$20)</f>
        <v>#VALUE!</v>
      </c>
      <c r="C2223" s="29" t="e">
        <f t="shared" si="34"/>
        <v>#VALUE!</v>
      </c>
      <c r="E2223" t="e">
        <f>cubic_spline(CURVA!$B$6:$B$20,CURVA!$G$6:$G$20,#REF!)</f>
        <v>#VALUE!</v>
      </c>
    </row>
    <row r="2224" spans="1:5" x14ac:dyDescent="0.2">
      <c r="A2224" s="28">
        <v>2223</v>
      </c>
      <c r="B2224" s="28" t="e">
        <f>interpola(#REF!,CURVA!$B$6:$B$20,CURVA!$G$6:$G$20)</f>
        <v>#VALUE!</v>
      </c>
      <c r="C2224" s="29" t="e">
        <f t="shared" si="34"/>
        <v>#VALUE!</v>
      </c>
      <c r="E2224" t="e">
        <f>cubic_spline(CURVA!$B$6:$B$20,CURVA!$G$6:$G$20,#REF!)</f>
        <v>#VALUE!</v>
      </c>
    </row>
    <row r="2225" spans="1:5" x14ac:dyDescent="0.2">
      <c r="A2225" s="28">
        <v>2224</v>
      </c>
      <c r="B2225" s="28" t="e">
        <f>interpola(#REF!,CURVA!$B$6:$B$20,CURVA!$G$6:$G$20)</f>
        <v>#VALUE!</v>
      </c>
      <c r="C2225" s="29" t="e">
        <f t="shared" si="34"/>
        <v>#VALUE!</v>
      </c>
      <c r="E2225" t="e">
        <f>cubic_spline(CURVA!$B$6:$B$20,CURVA!$G$6:$G$20,#REF!)</f>
        <v>#VALUE!</v>
      </c>
    </row>
    <row r="2226" spans="1:5" x14ac:dyDescent="0.2">
      <c r="A2226" s="28">
        <v>2225</v>
      </c>
      <c r="B2226" s="28" t="e">
        <f>interpola(#REF!,CURVA!$B$6:$B$20,CURVA!$G$6:$G$20)</f>
        <v>#VALUE!</v>
      </c>
      <c r="C2226" s="29" t="e">
        <f t="shared" si="34"/>
        <v>#VALUE!</v>
      </c>
      <c r="E2226" t="e">
        <f>cubic_spline(CURVA!$B$6:$B$20,CURVA!$G$6:$G$20,#REF!)</f>
        <v>#VALUE!</v>
      </c>
    </row>
    <row r="2227" spans="1:5" x14ac:dyDescent="0.2">
      <c r="A2227" s="28">
        <v>2226</v>
      </c>
      <c r="B2227" s="28" t="e">
        <f>interpola(#REF!,CURVA!$B$6:$B$20,CURVA!$G$6:$G$20)</f>
        <v>#VALUE!</v>
      </c>
      <c r="C2227" s="29" t="e">
        <f t="shared" si="34"/>
        <v>#VALUE!</v>
      </c>
      <c r="E2227" t="e">
        <f>cubic_spline(CURVA!$B$6:$B$20,CURVA!$G$6:$G$20,#REF!)</f>
        <v>#VALUE!</v>
      </c>
    </row>
    <row r="2228" spans="1:5" x14ac:dyDescent="0.2">
      <c r="A2228" s="28">
        <v>2227</v>
      </c>
      <c r="B2228" s="28" t="e">
        <f>interpola(#REF!,CURVA!$B$6:$B$20,CURVA!$G$6:$G$20)</f>
        <v>#VALUE!</v>
      </c>
      <c r="C2228" s="29" t="e">
        <f t="shared" si="34"/>
        <v>#VALUE!</v>
      </c>
      <c r="E2228" t="e">
        <f>cubic_spline(CURVA!$B$6:$B$20,CURVA!$G$6:$G$20,#REF!)</f>
        <v>#VALUE!</v>
      </c>
    </row>
    <row r="2229" spans="1:5" x14ac:dyDescent="0.2">
      <c r="A2229" s="28">
        <v>2228</v>
      </c>
      <c r="B2229" s="28" t="e">
        <f>interpola(#REF!,CURVA!$B$6:$B$20,CURVA!$G$6:$G$20)</f>
        <v>#VALUE!</v>
      </c>
      <c r="C2229" s="29" t="e">
        <f t="shared" si="34"/>
        <v>#VALUE!</v>
      </c>
      <c r="E2229" t="e">
        <f>cubic_spline(CURVA!$B$6:$B$20,CURVA!$G$6:$G$20,#REF!)</f>
        <v>#VALUE!</v>
      </c>
    </row>
    <row r="2230" spans="1:5" x14ac:dyDescent="0.2">
      <c r="A2230" s="28">
        <v>2229</v>
      </c>
      <c r="B2230" s="28" t="e">
        <f>interpola(#REF!,CURVA!$B$6:$B$20,CURVA!$G$6:$G$20)</f>
        <v>#VALUE!</v>
      </c>
      <c r="C2230" s="29" t="e">
        <f t="shared" si="34"/>
        <v>#VALUE!</v>
      </c>
      <c r="E2230" t="e">
        <f>cubic_spline(CURVA!$B$6:$B$20,CURVA!$G$6:$G$20,#REF!)</f>
        <v>#VALUE!</v>
      </c>
    </row>
    <row r="2231" spans="1:5" x14ac:dyDescent="0.2">
      <c r="A2231" s="28">
        <v>2230</v>
      </c>
      <c r="B2231" s="28" t="e">
        <f>interpola(#REF!,CURVA!$B$6:$B$20,CURVA!$G$6:$G$20)</f>
        <v>#VALUE!</v>
      </c>
      <c r="C2231" s="29" t="e">
        <f t="shared" si="34"/>
        <v>#VALUE!</v>
      </c>
      <c r="E2231" t="e">
        <f>cubic_spline(CURVA!$B$6:$B$20,CURVA!$G$6:$G$20,#REF!)</f>
        <v>#VALUE!</v>
      </c>
    </row>
    <row r="2232" spans="1:5" x14ac:dyDescent="0.2">
      <c r="A2232" s="28">
        <v>2231</v>
      </c>
      <c r="B2232" s="28" t="e">
        <f>interpola(#REF!,CURVA!$B$6:$B$20,CURVA!$G$6:$G$20)</f>
        <v>#VALUE!</v>
      </c>
      <c r="C2232" s="29" t="e">
        <f t="shared" si="34"/>
        <v>#VALUE!</v>
      </c>
      <c r="E2232" t="e">
        <f>cubic_spline(CURVA!$B$6:$B$20,CURVA!$G$6:$G$20,#REF!)</f>
        <v>#VALUE!</v>
      </c>
    </row>
    <row r="2233" spans="1:5" x14ac:dyDescent="0.2">
      <c r="A2233" s="28">
        <v>2232</v>
      </c>
      <c r="B2233" s="28" t="e">
        <f>interpola(#REF!,CURVA!$B$6:$B$20,CURVA!$G$6:$G$20)</f>
        <v>#VALUE!</v>
      </c>
      <c r="C2233" s="29" t="e">
        <f t="shared" si="34"/>
        <v>#VALUE!</v>
      </c>
      <c r="E2233" t="e">
        <f>cubic_spline(CURVA!$B$6:$B$20,CURVA!$G$6:$G$20,#REF!)</f>
        <v>#VALUE!</v>
      </c>
    </row>
    <row r="2234" spans="1:5" x14ac:dyDescent="0.2">
      <c r="A2234" s="28">
        <v>2233</v>
      </c>
      <c r="B2234" s="28" t="e">
        <f>interpola(#REF!,CURVA!$B$6:$B$20,CURVA!$G$6:$G$20)</f>
        <v>#VALUE!</v>
      </c>
      <c r="C2234" s="29" t="e">
        <f t="shared" si="34"/>
        <v>#VALUE!</v>
      </c>
      <c r="E2234" t="e">
        <f>cubic_spline(CURVA!$B$6:$B$20,CURVA!$G$6:$G$20,#REF!)</f>
        <v>#VALUE!</v>
      </c>
    </row>
    <row r="2235" spans="1:5" x14ac:dyDescent="0.2">
      <c r="A2235" s="28">
        <v>2234</v>
      </c>
      <c r="B2235" s="28" t="e">
        <f>interpola(#REF!,CURVA!$B$6:$B$20,CURVA!$G$6:$G$20)</f>
        <v>#VALUE!</v>
      </c>
      <c r="C2235" s="29" t="e">
        <f t="shared" si="34"/>
        <v>#VALUE!</v>
      </c>
      <c r="E2235" t="e">
        <f>cubic_spline(CURVA!$B$6:$B$20,CURVA!$G$6:$G$20,#REF!)</f>
        <v>#VALUE!</v>
      </c>
    </row>
    <row r="2236" spans="1:5" x14ac:dyDescent="0.2">
      <c r="A2236" s="28">
        <v>2235</v>
      </c>
      <c r="B2236" s="28" t="e">
        <f>interpola(#REF!,CURVA!$B$6:$B$20,CURVA!$G$6:$G$20)</f>
        <v>#VALUE!</v>
      </c>
      <c r="C2236" s="29" t="e">
        <f t="shared" si="34"/>
        <v>#VALUE!</v>
      </c>
      <c r="E2236" t="e">
        <f>cubic_spline(CURVA!$B$6:$B$20,CURVA!$G$6:$G$20,#REF!)</f>
        <v>#VALUE!</v>
      </c>
    </row>
    <row r="2237" spans="1:5" x14ac:dyDescent="0.2">
      <c r="A2237" s="28">
        <v>2236</v>
      </c>
      <c r="B2237" s="28" t="e">
        <f>interpola(#REF!,CURVA!$B$6:$B$20,CURVA!$G$6:$G$20)</f>
        <v>#VALUE!</v>
      </c>
      <c r="C2237" s="29" t="e">
        <f t="shared" si="34"/>
        <v>#VALUE!</v>
      </c>
      <c r="E2237" t="e">
        <f>cubic_spline(CURVA!$B$6:$B$20,CURVA!$G$6:$G$20,#REF!)</f>
        <v>#VALUE!</v>
      </c>
    </row>
    <row r="2238" spans="1:5" x14ac:dyDescent="0.2">
      <c r="A2238" s="28">
        <v>2237</v>
      </c>
      <c r="B2238" s="28" t="e">
        <f>interpola(#REF!,CURVA!$B$6:$B$20,CURVA!$G$6:$G$20)</f>
        <v>#VALUE!</v>
      </c>
      <c r="C2238" s="29" t="e">
        <f t="shared" si="34"/>
        <v>#VALUE!</v>
      </c>
      <c r="E2238" t="e">
        <f>cubic_spline(CURVA!$B$6:$B$20,CURVA!$G$6:$G$20,#REF!)</f>
        <v>#VALUE!</v>
      </c>
    </row>
    <row r="2239" spans="1:5" x14ac:dyDescent="0.2">
      <c r="A2239" s="28">
        <v>2238</v>
      </c>
      <c r="B2239" s="28" t="e">
        <f>interpola(#REF!,CURVA!$B$6:$B$20,CURVA!$G$6:$G$20)</f>
        <v>#VALUE!</v>
      </c>
      <c r="C2239" s="29" t="e">
        <f t="shared" si="34"/>
        <v>#VALUE!</v>
      </c>
      <c r="E2239" t="e">
        <f>cubic_spline(CURVA!$B$6:$B$20,CURVA!$G$6:$G$20,#REF!)</f>
        <v>#VALUE!</v>
      </c>
    </row>
    <row r="2240" spans="1:5" x14ac:dyDescent="0.2">
      <c r="A2240" s="28">
        <v>2239</v>
      </c>
      <c r="B2240" s="28" t="e">
        <f>interpola(#REF!,CURVA!$B$6:$B$20,CURVA!$G$6:$G$20)</f>
        <v>#VALUE!</v>
      </c>
      <c r="C2240" s="29" t="e">
        <f t="shared" si="34"/>
        <v>#VALUE!</v>
      </c>
      <c r="E2240" t="e">
        <f>cubic_spline(CURVA!$B$6:$B$20,CURVA!$G$6:$G$20,#REF!)</f>
        <v>#VALUE!</v>
      </c>
    </row>
    <row r="2241" spans="1:5" x14ac:dyDescent="0.2">
      <c r="A2241" s="28">
        <v>2240</v>
      </c>
      <c r="B2241" s="28" t="e">
        <f>interpola(#REF!,CURVA!$B$6:$B$20,CURVA!$G$6:$G$20)</f>
        <v>#VALUE!</v>
      </c>
      <c r="C2241" s="29" t="e">
        <f t="shared" si="34"/>
        <v>#VALUE!</v>
      </c>
      <c r="E2241" t="e">
        <f>cubic_spline(CURVA!$B$6:$B$20,CURVA!$G$6:$G$20,#REF!)</f>
        <v>#VALUE!</v>
      </c>
    </row>
    <row r="2242" spans="1:5" x14ac:dyDescent="0.2">
      <c r="A2242" s="28">
        <v>2241</v>
      </c>
      <c r="B2242" s="28" t="e">
        <f>interpola(#REF!,CURVA!$B$6:$B$20,CURVA!$G$6:$G$20)</f>
        <v>#VALUE!</v>
      </c>
      <c r="C2242" s="29" t="e">
        <f t="shared" ref="C2242:C2305" si="35">(EXP(B2242*A2242/360)-1)*360/A2242</f>
        <v>#VALUE!</v>
      </c>
      <c r="E2242" t="e">
        <f>cubic_spline(CURVA!$B$6:$B$20,CURVA!$G$6:$G$20,#REF!)</f>
        <v>#VALUE!</v>
      </c>
    </row>
    <row r="2243" spans="1:5" x14ac:dyDescent="0.2">
      <c r="A2243" s="28">
        <v>2242</v>
      </c>
      <c r="B2243" s="28" t="e">
        <f>interpola(#REF!,CURVA!$B$6:$B$20,CURVA!$G$6:$G$20)</f>
        <v>#VALUE!</v>
      </c>
      <c r="C2243" s="29" t="e">
        <f t="shared" si="35"/>
        <v>#VALUE!</v>
      </c>
      <c r="E2243" t="e">
        <f>cubic_spline(CURVA!$B$6:$B$20,CURVA!$G$6:$G$20,#REF!)</f>
        <v>#VALUE!</v>
      </c>
    </row>
    <row r="2244" spans="1:5" x14ac:dyDescent="0.2">
      <c r="A2244" s="28">
        <v>2243</v>
      </c>
      <c r="B2244" s="28" t="e">
        <f>interpola(#REF!,CURVA!$B$6:$B$20,CURVA!$G$6:$G$20)</f>
        <v>#VALUE!</v>
      </c>
      <c r="C2244" s="29" t="e">
        <f t="shared" si="35"/>
        <v>#VALUE!</v>
      </c>
      <c r="E2244" t="e">
        <f>cubic_spline(CURVA!$B$6:$B$20,CURVA!$G$6:$G$20,#REF!)</f>
        <v>#VALUE!</v>
      </c>
    </row>
    <row r="2245" spans="1:5" x14ac:dyDescent="0.2">
      <c r="A2245" s="28">
        <v>2244</v>
      </c>
      <c r="B2245" s="28" t="e">
        <f>interpola(#REF!,CURVA!$B$6:$B$20,CURVA!$G$6:$G$20)</f>
        <v>#VALUE!</v>
      </c>
      <c r="C2245" s="29" t="e">
        <f t="shared" si="35"/>
        <v>#VALUE!</v>
      </c>
      <c r="E2245" t="e">
        <f>cubic_spline(CURVA!$B$6:$B$20,CURVA!$G$6:$G$20,#REF!)</f>
        <v>#VALUE!</v>
      </c>
    </row>
    <row r="2246" spans="1:5" x14ac:dyDescent="0.2">
      <c r="A2246" s="28">
        <v>2245</v>
      </c>
      <c r="B2246" s="28" t="e">
        <f>interpola(#REF!,CURVA!$B$6:$B$20,CURVA!$G$6:$G$20)</f>
        <v>#VALUE!</v>
      </c>
      <c r="C2246" s="29" t="e">
        <f t="shared" si="35"/>
        <v>#VALUE!</v>
      </c>
      <c r="E2246" t="e">
        <f>cubic_spline(CURVA!$B$6:$B$20,CURVA!$G$6:$G$20,#REF!)</f>
        <v>#VALUE!</v>
      </c>
    </row>
    <row r="2247" spans="1:5" x14ac:dyDescent="0.2">
      <c r="A2247" s="28">
        <v>2246</v>
      </c>
      <c r="B2247" s="28" t="e">
        <f>interpola(#REF!,CURVA!$B$6:$B$20,CURVA!$G$6:$G$20)</f>
        <v>#VALUE!</v>
      </c>
      <c r="C2247" s="29" t="e">
        <f t="shared" si="35"/>
        <v>#VALUE!</v>
      </c>
      <c r="E2247" t="e">
        <f>cubic_spline(CURVA!$B$6:$B$20,CURVA!$G$6:$G$20,#REF!)</f>
        <v>#VALUE!</v>
      </c>
    </row>
    <row r="2248" spans="1:5" x14ac:dyDescent="0.2">
      <c r="A2248" s="28">
        <v>2247</v>
      </c>
      <c r="B2248" s="28" t="e">
        <f>interpola(#REF!,CURVA!$B$6:$B$20,CURVA!$G$6:$G$20)</f>
        <v>#VALUE!</v>
      </c>
      <c r="C2248" s="29" t="e">
        <f t="shared" si="35"/>
        <v>#VALUE!</v>
      </c>
      <c r="E2248" t="e">
        <f>cubic_spline(CURVA!$B$6:$B$20,CURVA!$G$6:$G$20,#REF!)</f>
        <v>#VALUE!</v>
      </c>
    </row>
    <row r="2249" spans="1:5" x14ac:dyDescent="0.2">
      <c r="A2249" s="28">
        <v>2248</v>
      </c>
      <c r="B2249" s="28" t="e">
        <f>interpola(#REF!,CURVA!$B$6:$B$20,CURVA!$G$6:$G$20)</f>
        <v>#VALUE!</v>
      </c>
      <c r="C2249" s="29" t="e">
        <f t="shared" si="35"/>
        <v>#VALUE!</v>
      </c>
      <c r="E2249" t="e">
        <f>cubic_spline(CURVA!$B$6:$B$20,CURVA!$G$6:$G$20,#REF!)</f>
        <v>#VALUE!</v>
      </c>
    </row>
    <row r="2250" spans="1:5" x14ac:dyDescent="0.2">
      <c r="A2250" s="28">
        <v>2249</v>
      </c>
      <c r="B2250" s="28" t="e">
        <f>interpola(#REF!,CURVA!$B$6:$B$20,CURVA!$G$6:$G$20)</f>
        <v>#VALUE!</v>
      </c>
      <c r="C2250" s="29" t="e">
        <f t="shared" si="35"/>
        <v>#VALUE!</v>
      </c>
      <c r="E2250" t="e">
        <f>cubic_spline(CURVA!$B$6:$B$20,CURVA!$G$6:$G$20,#REF!)</f>
        <v>#VALUE!</v>
      </c>
    </row>
    <row r="2251" spans="1:5" x14ac:dyDescent="0.2">
      <c r="A2251" s="28">
        <v>2250</v>
      </c>
      <c r="B2251" s="28" t="e">
        <f>interpola(#REF!,CURVA!$B$6:$B$20,CURVA!$G$6:$G$20)</f>
        <v>#VALUE!</v>
      </c>
      <c r="C2251" s="29" t="e">
        <f t="shared" si="35"/>
        <v>#VALUE!</v>
      </c>
      <c r="E2251" t="e">
        <f>cubic_spline(CURVA!$B$6:$B$20,CURVA!$G$6:$G$20,#REF!)</f>
        <v>#VALUE!</v>
      </c>
    </row>
    <row r="2252" spans="1:5" x14ac:dyDescent="0.2">
      <c r="A2252" s="28">
        <v>2251</v>
      </c>
      <c r="B2252" s="28" t="e">
        <f>interpola(#REF!,CURVA!$B$6:$B$20,CURVA!$G$6:$G$20)</f>
        <v>#VALUE!</v>
      </c>
      <c r="C2252" s="29" t="e">
        <f t="shared" si="35"/>
        <v>#VALUE!</v>
      </c>
      <c r="E2252" t="e">
        <f>cubic_spline(CURVA!$B$6:$B$20,CURVA!$G$6:$G$20,#REF!)</f>
        <v>#VALUE!</v>
      </c>
    </row>
    <row r="2253" spans="1:5" x14ac:dyDescent="0.2">
      <c r="A2253" s="28">
        <v>2252</v>
      </c>
      <c r="B2253" s="28" t="e">
        <f>interpola(#REF!,CURVA!$B$6:$B$20,CURVA!$G$6:$G$20)</f>
        <v>#VALUE!</v>
      </c>
      <c r="C2253" s="29" t="e">
        <f t="shared" si="35"/>
        <v>#VALUE!</v>
      </c>
      <c r="E2253" t="e">
        <f>cubic_spline(CURVA!$B$6:$B$20,CURVA!$G$6:$G$20,#REF!)</f>
        <v>#VALUE!</v>
      </c>
    </row>
    <row r="2254" spans="1:5" x14ac:dyDescent="0.2">
      <c r="A2254" s="28">
        <v>2253</v>
      </c>
      <c r="B2254" s="28" t="e">
        <f>interpola(#REF!,CURVA!$B$6:$B$20,CURVA!$G$6:$G$20)</f>
        <v>#VALUE!</v>
      </c>
      <c r="C2254" s="29" t="e">
        <f t="shared" si="35"/>
        <v>#VALUE!</v>
      </c>
      <c r="E2254" t="e">
        <f>cubic_spline(CURVA!$B$6:$B$20,CURVA!$G$6:$G$20,#REF!)</f>
        <v>#VALUE!</v>
      </c>
    </row>
    <row r="2255" spans="1:5" x14ac:dyDescent="0.2">
      <c r="A2255" s="28">
        <v>2254</v>
      </c>
      <c r="B2255" s="28" t="e">
        <f>interpola(#REF!,CURVA!$B$6:$B$20,CURVA!$G$6:$G$20)</f>
        <v>#VALUE!</v>
      </c>
      <c r="C2255" s="29" t="e">
        <f t="shared" si="35"/>
        <v>#VALUE!</v>
      </c>
      <c r="E2255" t="e">
        <f>cubic_spline(CURVA!$B$6:$B$20,CURVA!$G$6:$G$20,#REF!)</f>
        <v>#VALUE!</v>
      </c>
    </row>
    <row r="2256" spans="1:5" x14ac:dyDescent="0.2">
      <c r="A2256" s="28">
        <v>2255</v>
      </c>
      <c r="B2256" s="28" t="e">
        <f>interpola(#REF!,CURVA!$B$6:$B$20,CURVA!$G$6:$G$20)</f>
        <v>#VALUE!</v>
      </c>
      <c r="C2256" s="29" t="e">
        <f t="shared" si="35"/>
        <v>#VALUE!</v>
      </c>
      <c r="E2256" t="e">
        <f>cubic_spline(CURVA!$B$6:$B$20,CURVA!$G$6:$G$20,#REF!)</f>
        <v>#VALUE!</v>
      </c>
    </row>
    <row r="2257" spans="1:5" x14ac:dyDescent="0.2">
      <c r="A2257" s="28">
        <v>2256</v>
      </c>
      <c r="B2257" s="28" t="e">
        <f>interpola(#REF!,CURVA!$B$6:$B$20,CURVA!$G$6:$G$20)</f>
        <v>#VALUE!</v>
      </c>
      <c r="C2257" s="29" t="e">
        <f t="shared" si="35"/>
        <v>#VALUE!</v>
      </c>
      <c r="E2257" t="e">
        <f>cubic_spline(CURVA!$B$6:$B$20,CURVA!$G$6:$G$20,#REF!)</f>
        <v>#VALUE!</v>
      </c>
    </row>
    <row r="2258" spans="1:5" x14ac:dyDescent="0.2">
      <c r="A2258" s="28">
        <v>2257</v>
      </c>
      <c r="B2258" s="28" t="e">
        <f>interpola(#REF!,CURVA!$B$6:$B$20,CURVA!$G$6:$G$20)</f>
        <v>#VALUE!</v>
      </c>
      <c r="C2258" s="29" t="e">
        <f t="shared" si="35"/>
        <v>#VALUE!</v>
      </c>
      <c r="E2258" t="e">
        <f>cubic_spline(CURVA!$B$6:$B$20,CURVA!$G$6:$G$20,#REF!)</f>
        <v>#VALUE!</v>
      </c>
    </row>
    <row r="2259" spans="1:5" x14ac:dyDescent="0.2">
      <c r="A2259" s="28">
        <v>2258</v>
      </c>
      <c r="B2259" s="28" t="e">
        <f>interpola(#REF!,CURVA!$B$6:$B$20,CURVA!$G$6:$G$20)</f>
        <v>#VALUE!</v>
      </c>
      <c r="C2259" s="29" t="e">
        <f t="shared" si="35"/>
        <v>#VALUE!</v>
      </c>
      <c r="E2259" t="e">
        <f>cubic_spline(CURVA!$B$6:$B$20,CURVA!$G$6:$G$20,#REF!)</f>
        <v>#VALUE!</v>
      </c>
    </row>
    <row r="2260" spans="1:5" x14ac:dyDescent="0.2">
      <c r="A2260" s="28">
        <v>2259</v>
      </c>
      <c r="B2260" s="28" t="e">
        <f>interpola(#REF!,CURVA!$B$6:$B$20,CURVA!$G$6:$G$20)</f>
        <v>#VALUE!</v>
      </c>
      <c r="C2260" s="29" t="e">
        <f t="shared" si="35"/>
        <v>#VALUE!</v>
      </c>
      <c r="E2260" t="e">
        <f>cubic_spline(CURVA!$B$6:$B$20,CURVA!$G$6:$G$20,#REF!)</f>
        <v>#VALUE!</v>
      </c>
    </row>
    <row r="2261" spans="1:5" x14ac:dyDescent="0.2">
      <c r="A2261" s="28">
        <v>2260</v>
      </c>
      <c r="B2261" s="28" t="e">
        <f>interpola(#REF!,CURVA!$B$6:$B$20,CURVA!$G$6:$G$20)</f>
        <v>#VALUE!</v>
      </c>
      <c r="C2261" s="29" t="e">
        <f t="shared" si="35"/>
        <v>#VALUE!</v>
      </c>
      <c r="E2261" t="e">
        <f>cubic_spline(CURVA!$B$6:$B$20,CURVA!$G$6:$G$20,#REF!)</f>
        <v>#VALUE!</v>
      </c>
    </row>
    <row r="2262" spans="1:5" x14ac:dyDescent="0.2">
      <c r="A2262" s="28">
        <v>2261</v>
      </c>
      <c r="B2262" s="28" t="e">
        <f>interpola(#REF!,CURVA!$B$6:$B$20,CURVA!$G$6:$G$20)</f>
        <v>#VALUE!</v>
      </c>
      <c r="C2262" s="29" t="e">
        <f t="shared" si="35"/>
        <v>#VALUE!</v>
      </c>
      <c r="E2262" t="e">
        <f>cubic_spline(CURVA!$B$6:$B$20,CURVA!$G$6:$G$20,#REF!)</f>
        <v>#VALUE!</v>
      </c>
    </row>
    <row r="2263" spans="1:5" x14ac:dyDescent="0.2">
      <c r="A2263" s="28">
        <v>2262</v>
      </c>
      <c r="B2263" s="28" t="e">
        <f>interpola(#REF!,CURVA!$B$6:$B$20,CURVA!$G$6:$G$20)</f>
        <v>#VALUE!</v>
      </c>
      <c r="C2263" s="29" t="e">
        <f t="shared" si="35"/>
        <v>#VALUE!</v>
      </c>
      <c r="E2263" t="e">
        <f>cubic_spline(CURVA!$B$6:$B$20,CURVA!$G$6:$G$20,#REF!)</f>
        <v>#VALUE!</v>
      </c>
    </row>
    <row r="2264" spans="1:5" x14ac:dyDescent="0.2">
      <c r="A2264" s="28">
        <v>2263</v>
      </c>
      <c r="B2264" s="28" t="e">
        <f>interpola(#REF!,CURVA!$B$6:$B$20,CURVA!$G$6:$G$20)</f>
        <v>#VALUE!</v>
      </c>
      <c r="C2264" s="29" t="e">
        <f t="shared" si="35"/>
        <v>#VALUE!</v>
      </c>
      <c r="E2264" t="e">
        <f>cubic_spline(CURVA!$B$6:$B$20,CURVA!$G$6:$G$20,#REF!)</f>
        <v>#VALUE!</v>
      </c>
    </row>
    <row r="2265" spans="1:5" x14ac:dyDescent="0.2">
      <c r="A2265" s="28">
        <v>2264</v>
      </c>
      <c r="B2265" s="28" t="e">
        <f>interpola(#REF!,CURVA!$B$6:$B$20,CURVA!$G$6:$G$20)</f>
        <v>#VALUE!</v>
      </c>
      <c r="C2265" s="29" t="e">
        <f t="shared" si="35"/>
        <v>#VALUE!</v>
      </c>
      <c r="E2265" t="e">
        <f>cubic_spline(CURVA!$B$6:$B$20,CURVA!$G$6:$G$20,#REF!)</f>
        <v>#VALUE!</v>
      </c>
    </row>
    <row r="2266" spans="1:5" x14ac:dyDescent="0.2">
      <c r="A2266" s="28">
        <v>2265</v>
      </c>
      <c r="B2266" s="28" t="e">
        <f>interpola(#REF!,CURVA!$B$6:$B$20,CURVA!$G$6:$G$20)</f>
        <v>#VALUE!</v>
      </c>
      <c r="C2266" s="29" t="e">
        <f t="shared" si="35"/>
        <v>#VALUE!</v>
      </c>
      <c r="E2266" t="e">
        <f>cubic_spline(CURVA!$B$6:$B$20,CURVA!$G$6:$G$20,#REF!)</f>
        <v>#VALUE!</v>
      </c>
    </row>
    <row r="2267" spans="1:5" x14ac:dyDescent="0.2">
      <c r="A2267" s="28">
        <v>2266</v>
      </c>
      <c r="B2267" s="28" t="e">
        <f>interpola(#REF!,CURVA!$B$6:$B$20,CURVA!$G$6:$G$20)</f>
        <v>#VALUE!</v>
      </c>
      <c r="C2267" s="29" t="e">
        <f t="shared" si="35"/>
        <v>#VALUE!</v>
      </c>
      <c r="E2267" t="e">
        <f>cubic_spline(CURVA!$B$6:$B$20,CURVA!$G$6:$G$20,#REF!)</f>
        <v>#VALUE!</v>
      </c>
    </row>
    <row r="2268" spans="1:5" x14ac:dyDescent="0.2">
      <c r="A2268" s="28">
        <v>2267</v>
      </c>
      <c r="B2268" s="28" t="e">
        <f>interpola(#REF!,CURVA!$B$6:$B$20,CURVA!$G$6:$G$20)</f>
        <v>#VALUE!</v>
      </c>
      <c r="C2268" s="29" t="e">
        <f t="shared" si="35"/>
        <v>#VALUE!</v>
      </c>
      <c r="E2268" t="e">
        <f>cubic_spline(CURVA!$B$6:$B$20,CURVA!$G$6:$G$20,#REF!)</f>
        <v>#VALUE!</v>
      </c>
    </row>
    <row r="2269" spans="1:5" x14ac:dyDescent="0.2">
      <c r="A2269" s="28">
        <v>2268</v>
      </c>
      <c r="B2269" s="28" t="e">
        <f>interpola(#REF!,CURVA!$B$6:$B$20,CURVA!$G$6:$G$20)</f>
        <v>#VALUE!</v>
      </c>
      <c r="C2269" s="29" t="e">
        <f t="shared" si="35"/>
        <v>#VALUE!</v>
      </c>
      <c r="E2269" t="e">
        <f>cubic_spline(CURVA!$B$6:$B$20,CURVA!$G$6:$G$20,#REF!)</f>
        <v>#VALUE!</v>
      </c>
    </row>
    <row r="2270" spans="1:5" x14ac:dyDescent="0.2">
      <c r="A2270" s="28">
        <v>2269</v>
      </c>
      <c r="B2270" s="28" t="e">
        <f>interpola(#REF!,CURVA!$B$6:$B$20,CURVA!$G$6:$G$20)</f>
        <v>#VALUE!</v>
      </c>
      <c r="C2270" s="29" t="e">
        <f t="shared" si="35"/>
        <v>#VALUE!</v>
      </c>
      <c r="E2270" t="e">
        <f>cubic_spline(CURVA!$B$6:$B$20,CURVA!$G$6:$G$20,#REF!)</f>
        <v>#VALUE!</v>
      </c>
    </row>
    <row r="2271" spans="1:5" x14ac:dyDescent="0.2">
      <c r="A2271" s="28">
        <v>2270</v>
      </c>
      <c r="B2271" s="28" t="e">
        <f>interpola(#REF!,CURVA!$B$6:$B$20,CURVA!$G$6:$G$20)</f>
        <v>#VALUE!</v>
      </c>
      <c r="C2271" s="29" t="e">
        <f t="shared" si="35"/>
        <v>#VALUE!</v>
      </c>
      <c r="E2271" t="e">
        <f>cubic_spline(CURVA!$B$6:$B$20,CURVA!$G$6:$G$20,#REF!)</f>
        <v>#VALUE!</v>
      </c>
    </row>
    <row r="2272" spans="1:5" x14ac:dyDescent="0.2">
      <c r="A2272" s="28">
        <v>2271</v>
      </c>
      <c r="B2272" s="28" t="e">
        <f>interpola(#REF!,CURVA!$B$6:$B$20,CURVA!$G$6:$G$20)</f>
        <v>#VALUE!</v>
      </c>
      <c r="C2272" s="29" t="e">
        <f t="shared" si="35"/>
        <v>#VALUE!</v>
      </c>
      <c r="E2272" t="e">
        <f>cubic_spline(CURVA!$B$6:$B$20,CURVA!$G$6:$G$20,#REF!)</f>
        <v>#VALUE!</v>
      </c>
    </row>
    <row r="2273" spans="1:5" x14ac:dyDescent="0.2">
      <c r="A2273" s="28">
        <v>2272</v>
      </c>
      <c r="B2273" s="28" t="e">
        <f>interpola(#REF!,CURVA!$B$6:$B$20,CURVA!$G$6:$G$20)</f>
        <v>#VALUE!</v>
      </c>
      <c r="C2273" s="29" t="e">
        <f t="shared" si="35"/>
        <v>#VALUE!</v>
      </c>
      <c r="E2273" t="e">
        <f>cubic_spline(CURVA!$B$6:$B$20,CURVA!$G$6:$G$20,#REF!)</f>
        <v>#VALUE!</v>
      </c>
    </row>
    <row r="2274" spans="1:5" x14ac:dyDescent="0.2">
      <c r="A2274" s="28">
        <v>2273</v>
      </c>
      <c r="B2274" s="28" t="e">
        <f>interpola(#REF!,CURVA!$B$6:$B$20,CURVA!$G$6:$G$20)</f>
        <v>#VALUE!</v>
      </c>
      <c r="C2274" s="29" t="e">
        <f t="shared" si="35"/>
        <v>#VALUE!</v>
      </c>
      <c r="E2274" t="e">
        <f>cubic_spline(CURVA!$B$6:$B$20,CURVA!$G$6:$G$20,#REF!)</f>
        <v>#VALUE!</v>
      </c>
    </row>
    <row r="2275" spans="1:5" x14ac:dyDescent="0.2">
      <c r="A2275" s="28">
        <v>2274</v>
      </c>
      <c r="B2275" s="28" t="e">
        <f>interpola(#REF!,CURVA!$B$6:$B$20,CURVA!$G$6:$G$20)</f>
        <v>#VALUE!</v>
      </c>
      <c r="C2275" s="29" t="e">
        <f t="shared" si="35"/>
        <v>#VALUE!</v>
      </c>
      <c r="E2275" t="e">
        <f>cubic_spline(CURVA!$B$6:$B$20,CURVA!$G$6:$G$20,#REF!)</f>
        <v>#VALUE!</v>
      </c>
    </row>
    <row r="2276" spans="1:5" x14ac:dyDescent="0.2">
      <c r="A2276" s="28">
        <v>2275</v>
      </c>
      <c r="B2276" s="28" t="e">
        <f>interpola(#REF!,CURVA!$B$6:$B$20,CURVA!$G$6:$G$20)</f>
        <v>#VALUE!</v>
      </c>
      <c r="C2276" s="29" t="e">
        <f t="shared" si="35"/>
        <v>#VALUE!</v>
      </c>
      <c r="E2276" t="e">
        <f>cubic_spline(CURVA!$B$6:$B$20,CURVA!$G$6:$G$20,#REF!)</f>
        <v>#VALUE!</v>
      </c>
    </row>
    <row r="2277" spans="1:5" x14ac:dyDescent="0.2">
      <c r="A2277" s="28">
        <v>2276</v>
      </c>
      <c r="B2277" s="28" t="e">
        <f>interpola(#REF!,CURVA!$B$6:$B$20,CURVA!$G$6:$G$20)</f>
        <v>#VALUE!</v>
      </c>
      <c r="C2277" s="29" t="e">
        <f t="shared" si="35"/>
        <v>#VALUE!</v>
      </c>
      <c r="E2277" t="e">
        <f>cubic_spline(CURVA!$B$6:$B$20,CURVA!$G$6:$G$20,#REF!)</f>
        <v>#VALUE!</v>
      </c>
    </row>
    <row r="2278" spans="1:5" x14ac:dyDescent="0.2">
      <c r="A2278" s="28">
        <v>2277</v>
      </c>
      <c r="B2278" s="28" t="e">
        <f>interpola(#REF!,CURVA!$B$6:$B$20,CURVA!$G$6:$G$20)</f>
        <v>#VALUE!</v>
      </c>
      <c r="C2278" s="29" t="e">
        <f t="shared" si="35"/>
        <v>#VALUE!</v>
      </c>
      <c r="E2278" t="e">
        <f>cubic_spline(CURVA!$B$6:$B$20,CURVA!$G$6:$G$20,#REF!)</f>
        <v>#VALUE!</v>
      </c>
    </row>
    <row r="2279" spans="1:5" x14ac:dyDescent="0.2">
      <c r="A2279" s="28">
        <v>2278</v>
      </c>
      <c r="B2279" s="28" t="e">
        <f>interpola(#REF!,CURVA!$B$6:$B$20,CURVA!$G$6:$G$20)</f>
        <v>#VALUE!</v>
      </c>
      <c r="C2279" s="29" t="e">
        <f t="shared" si="35"/>
        <v>#VALUE!</v>
      </c>
      <c r="E2279" t="e">
        <f>cubic_spline(CURVA!$B$6:$B$20,CURVA!$G$6:$G$20,#REF!)</f>
        <v>#VALUE!</v>
      </c>
    </row>
    <row r="2280" spans="1:5" x14ac:dyDescent="0.2">
      <c r="A2280" s="28">
        <v>2279</v>
      </c>
      <c r="B2280" s="28" t="e">
        <f>interpola(#REF!,CURVA!$B$6:$B$20,CURVA!$G$6:$G$20)</f>
        <v>#VALUE!</v>
      </c>
      <c r="C2280" s="29" t="e">
        <f t="shared" si="35"/>
        <v>#VALUE!</v>
      </c>
      <c r="E2280" t="e">
        <f>cubic_spline(CURVA!$B$6:$B$20,CURVA!$G$6:$G$20,#REF!)</f>
        <v>#VALUE!</v>
      </c>
    </row>
    <row r="2281" spans="1:5" x14ac:dyDescent="0.2">
      <c r="A2281" s="28">
        <v>2280</v>
      </c>
      <c r="B2281" s="28" t="e">
        <f>interpola(#REF!,CURVA!$B$6:$B$20,CURVA!$G$6:$G$20)</f>
        <v>#VALUE!</v>
      </c>
      <c r="C2281" s="29" t="e">
        <f t="shared" si="35"/>
        <v>#VALUE!</v>
      </c>
      <c r="E2281" t="e">
        <f>cubic_spline(CURVA!$B$6:$B$20,CURVA!$G$6:$G$20,#REF!)</f>
        <v>#VALUE!</v>
      </c>
    </row>
    <row r="2282" spans="1:5" x14ac:dyDescent="0.2">
      <c r="A2282" s="28">
        <v>2281</v>
      </c>
      <c r="B2282" s="28" t="e">
        <f>interpola(#REF!,CURVA!$B$6:$B$20,CURVA!$G$6:$G$20)</f>
        <v>#VALUE!</v>
      </c>
      <c r="C2282" s="29" t="e">
        <f t="shared" si="35"/>
        <v>#VALUE!</v>
      </c>
      <c r="E2282" t="e">
        <f>cubic_spline(CURVA!$B$6:$B$20,CURVA!$G$6:$G$20,#REF!)</f>
        <v>#VALUE!</v>
      </c>
    </row>
    <row r="2283" spans="1:5" x14ac:dyDescent="0.2">
      <c r="A2283" s="28">
        <v>2282</v>
      </c>
      <c r="B2283" s="28" t="e">
        <f>interpola(#REF!,CURVA!$B$6:$B$20,CURVA!$G$6:$G$20)</f>
        <v>#VALUE!</v>
      </c>
      <c r="C2283" s="29" t="e">
        <f t="shared" si="35"/>
        <v>#VALUE!</v>
      </c>
      <c r="E2283" t="e">
        <f>cubic_spline(CURVA!$B$6:$B$20,CURVA!$G$6:$G$20,#REF!)</f>
        <v>#VALUE!</v>
      </c>
    </row>
    <row r="2284" spans="1:5" x14ac:dyDescent="0.2">
      <c r="A2284" s="28">
        <v>2283</v>
      </c>
      <c r="B2284" s="28" t="e">
        <f>interpola(#REF!,CURVA!$B$6:$B$20,CURVA!$G$6:$G$20)</f>
        <v>#VALUE!</v>
      </c>
      <c r="C2284" s="29" t="e">
        <f t="shared" si="35"/>
        <v>#VALUE!</v>
      </c>
      <c r="E2284" t="e">
        <f>cubic_spline(CURVA!$B$6:$B$20,CURVA!$G$6:$G$20,#REF!)</f>
        <v>#VALUE!</v>
      </c>
    </row>
    <row r="2285" spans="1:5" x14ac:dyDescent="0.2">
      <c r="A2285" s="28">
        <v>2284</v>
      </c>
      <c r="B2285" s="28" t="e">
        <f>interpola(#REF!,CURVA!$B$6:$B$20,CURVA!$G$6:$G$20)</f>
        <v>#VALUE!</v>
      </c>
      <c r="C2285" s="29" t="e">
        <f t="shared" si="35"/>
        <v>#VALUE!</v>
      </c>
      <c r="E2285" t="e">
        <f>cubic_spline(CURVA!$B$6:$B$20,CURVA!$G$6:$G$20,#REF!)</f>
        <v>#VALUE!</v>
      </c>
    </row>
    <row r="2286" spans="1:5" x14ac:dyDescent="0.2">
      <c r="A2286" s="28">
        <v>2285</v>
      </c>
      <c r="B2286" s="28" t="e">
        <f>interpola(#REF!,CURVA!$B$6:$B$20,CURVA!$G$6:$G$20)</f>
        <v>#VALUE!</v>
      </c>
      <c r="C2286" s="29" t="e">
        <f t="shared" si="35"/>
        <v>#VALUE!</v>
      </c>
      <c r="E2286" t="e">
        <f>cubic_spline(CURVA!$B$6:$B$20,CURVA!$G$6:$G$20,#REF!)</f>
        <v>#VALUE!</v>
      </c>
    </row>
    <row r="2287" spans="1:5" x14ac:dyDescent="0.2">
      <c r="A2287" s="28">
        <v>2286</v>
      </c>
      <c r="B2287" s="28" t="e">
        <f>interpola(#REF!,CURVA!$B$6:$B$20,CURVA!$G$6:$G$20)</f>
        <v>#VALUE!</v>
      </c>
      <c r="C2287" s="29" t="e">
        <f t="shared" si="35"/>
        <v>#VALUE!</v>
      </c>
      <c r="E2287" t="e">
        <f>cubic_spline(CURVA!$B$6:$B$20,CURVA!$G$6:$G$20,#REF!)</f>
        <v>#VALUE!</v>
      </c>
    </row>
    <row r="2288" spans="1:5" x14ac:dyDescent="0.2">
      <c r="A2288" s="28">
        <v>2287</v>
      </c>
      <c r="B2288" s="28" t="e">
        <f>interpola(#REF!,CURVA!$B$6:$B$20,CURVA!$G$6:$G$20)</f>
        <v>#VALUE!</v>
      </c>
      <c r="C2288" s="29" t="e">
        <f t="shared" si="35"/>
        <v>#VALUE!</v>
      </c>
      <c r="E2288" t="e">
        <f>cubic_spline(CURVA!$B$6:$B$20,CURVA!$G$6:$G$20,#REF!)</f>
        <v>#VALUE!</v>
      </c>
    </row>
    <row r="2289" spans="1:5" x14ac:dyDescent="0.2">
      <c r="A2289" s="28">
        <v>2288</v>
      </c>
      <c r="B2289" s="28" t="e">
        <f>interpola(#REF!,CURVA!$B$6:$B$20,CURVA!$G$6:$G$20)</f>
        <v>#VALUE!</v>
      </c>
      <c r="C2289" s="29" t="e">
        <f t="shared" si="35"/>
        <v>#VALUE!</v>
      </c>
      <c r="E2289" t="e">
        <f>cubic_spline(CURVA!$B$6:$B$20,CURVA!$G$6:$G$20,#REF!)</f>
        <v>#VALUE!</v>
      </c>
    </row>
    <row r="2290" spans="1:5" x14ac:dyDescent="0.2">
      <c r="A2290" s="28">
        <v>2289</v>
      </c>
      <c r="B2290" s="28" t="e">
        <f>interpola(#REF!,CURVA!$B$6:$B$20,CURVA!$G$6:$G$20)</f>
        <v>#VALUE!</v>
      </c>
      <c r="C2290" s="29" t="e">
        <f t="shared" si="35"/>
        <v>#VALUE!</v>
      </c>
      <c r="E2290" t="e">
        <f>cubic_spline(CURVA!$B$6:$B$20,CURVA!$G$6:$G$20,#REF!)</f>
        <v>#VALUE!</v>
      </c>
    </row>
    <row r="2291" spans="1:5" x14ac:dyDescent="0.2">
      <c r="A2291" s="28">
        <v>2290</v>
      </c>
      <c r="B2291" s="28" t="e">
        <f>interpola(#REF!,CURVA!$B$6:$B$20,CURVA!$G$6:$G$20)</f>
        <v>#VALUE!</v>
      </c>
      <c r="C2291" s="29" t="e">
        <f t="shared" si="35"/>
        <v>#VALUE!</v>
      </c>
      <c r="E2291" t="e">
        <f>cubic_spline(CURVA!$B$6:$B$20,CURVA!$G$6:$G$20,#REF!)</f>
        <v>#VALUE!</v>
      </c>
    </row>
    <row r="2292" spans="1:5" x14ac:dyDescent="0.2">
      <c r="A2292" s="28">
        <v>2291</v>
      </c>
      <c r="B2292" s="28" t="e">
        <f>interpola(#REF!,CURVA!$B$6:$B$20,CURVA!$G$6:$G$20)</f>
        <v>#VALUE!</v>
      </c>
      <c r="C2292" s="29" t="e">
        <f t="shared" si="35"/>
        <v>#VALUE!</v>
      </c>
      <c r="E2292" t="e">
        <f>cubic_spline(CURVA!$B$6:$B$20,CURVA!$G$6:$G$20,#REF!)</f>
        <v>#VALUE!</v>
      </c>
    </row>
    <row r="2293" spans="1:5" x14ac:dyDescent="0.2">
      <c r="A2293" s="28">
        <v>2292</v>
      </c>
      <c r="B2293" s="28" t="e">
        <f>interpola(#REF!,CURVA!$B$6:$B$20,CURVA!$G$6:$G$20)</f>
        <v>#VALUE!</v>
      </c>
      <c r="C2293" s="29" t="e">
        <f t="shared" si="35"/>
        <v>#VALUE!</v>
      </c>
      <c r="E2293" t="e">
        <f>cubic_spline(CURVA!$B$6:$B$20,CURVA!$G$6:$G$20,#REF!)</f>
        <v>#VALUE!</v>
      </c>
    </row>
    <row r="2294" spans="1:5" x14ac:dyDescent="0.2">
      <c r="A2294" s="28">
        <v>2293</v>
      </c>
      <c r="B2294" s="28" t="e">
        <f>interpola(#REF!,CURVA!$B$6:$B$20,CURVA!$G$6:$G$20)</f>
        <v>#VALUE!</v>
      </c>
      <c r="C2294" s="29" t="e">
        <f t="shared" si="35"/>
        <v>#VALUE!</v>
      </c>
      <c r="E2294" t="e">
        <f>cubic_spline(CURVA!$B$6:$B$20,CURVA!$G$6:$G$20,#REF!)</f>
        <v>#VALUE!</v>
      </c>
    </row>
    <row r="2295" spans="1:5" x14ac:dyDescent="0.2">
      <c r="A2295" s="28">
        <v>2294</v>
      </c>
      <c r="B2295" s="28" t="e">
        <f>interpola(#REF!,CURVA!$B$6:$B$20,CURVA!$G$6:$G$20)</f>
        <v>#VALUE!</v>
      </c>
      <c r="C2295" s="29" t="e">
        <f t="shared" si="35"/>
        <v>#VALUE!</v>
      </c>
      <c r="E2295" t="e">
        <f>cubic_spline(CURVA!$B$6:$B$20,CURVA!$G$6:$G$20,#REF!)</f>
        <v>#VALUE!</v>
      </c>
    </row>
    <row r="2296" spans="1:5" x14ac:dyDescent="0.2">
      <c r="A2296" s="28">
        <v>2295</v>
      </c>
      <c r="B2296" s="28" t="e">
        <f>interpola(#REF!,CURVA!$B$6:$B$20,CURVA!$G$6:$G$20)</f>
        <v>#VALUE!</v>
      </c>
      <c r="C2296" s="29" t="e">
        <f t="shared" si="35"/>
        <v>#VALUE!</v>
      </c>
      <c r="E2296" t="e">
        <f>cubic_spline(CURVA!$B$6:$B$20,CURVA!$G$6:$G$20,#REF!)</f>
        <v>#VALUE!</v>
      </c>
    </row>
    <row r="2297" spans="1:5" x14ac:dyDescent="0.2">
      <c r="A2297" s="28">
        <v>2296</v>
      </c>
      <c r="B2297" s="28" t="e">
        <f>interpola(#REF!,CURVA!$B$6:$B$20,CURVA!$G$6:$G$20)</f>
        <v>#VALUE!</v>
      </c>
      <c r="C2297" s="29" t="e">
        <f t="shared" si="35"/>
        <v>#VALUE!</v>
      </c>
      <c r="E2297" t="e">
        <f>cubic_spline(CURVA!$B$6:$B$20,CURVA!$G$6:$G$20,#REF!)</f>
        <v>#VALUE!</v>
      </c>
    </row>
    <row r="2298" spans="1:5" x14ac:dyDescent="0.2">
      <c r="A2298" s="28">
        <v>2297</v>
      </c>
      <c r="B2298" s="28" t="e">
        <f>interpola(#REF!,CURVA!$B$6:$B$20,CURVA!$G$6:$G$20)</f>
        <v>#VALUE!</v>
      </c>
      <c r="C2298" s="29" t="e">
        <f t="shared" si="35"/>
        <v>#VALUE!</v>
      </c>
      <c r="E2298" t="e">
        <f>cubic_spline(CURVA!$B$6:$B$20,CURVA!$G$6:$G$20,#REF!)</f>
        <v>#VALUE!</v>
      </c>
    </row>
    <row r="2299" spans="1:5" x14ac:dyDescent="0.2">
      <c r="A2299" s="28">
        <v>2298</v>
      </c>
      <c r="B2299" s="28" t="e">
        <f>interpola(#REF!,CURVA!$B$6:$B$20,CURVA!$G$6:$G$20)</f>
        <v>#VALUE!</v>
      </c>
      <c r="C2299" s="29" t="e">
        <f t="shared" si="35"/>
        <v>#VALUE!</v>
      </c>
      <c r="E2299" t="e">
        <f>cubic_spline(CURVA!$B$6:$B$20,CURVA!$G$6:$G$20,#REF!)</f>
        <v>#VALUE!</v>
      </c>
    </row>
    <row r="2300" spans="1:5" x14ac:dyDescent="0.2">
      <c r="A2300" s="28">
        <v>2299</v>
      </c>
      <c r="B2300" s="28" t="e">
        <f>interpola(#REF!,CURVA!$B$6:$B$20,CURVA!$G$6:$G$20)</f>
        <v>#VALUE!</v>
      </c>
      <c r="C2300" s="29" t="e">
        <f t="shared" si="35"/>
        <v>#VALUE!</v>
      </c>
      <c r="E2300" t="e">
        <f>cubic_spline(CURVA!$B$6:$B$20,CURVA!$G$6:$G$20,#REF!)</f>
        <v>#VALUE!</v>
      </c>
    </row>
    <row r="2301" spans="1:5" x14ac:dyDescent="0.2">
      <c r="A2301" s="28">
        <v>2300</v>
      </c>
      <c r="B2301" s="28" t="e">
        <f>interpola(#REF!,CURVA!$B$6:$B$20,CURVA!$G$6:$G$20)</f>
        <v>#VALUE!</v>
      </c>
      <c r="C2301" s="29" t="e">
        <f t="shared" si="35"/>
        <v>#VALUE!</v>
      </c>
      <c r="E2301" t="e">
        <f>cubic_spline(CURVA!$B$6:$B$20,CURVA!$G$6:$G$20,#REF!)</f>
        <v>#VALUE!</v>
      </c>
    </row>
    <row r="2302" spans="1:5" x14ac:dyDescent="0.2">
      <c r="A2302" s="28">
        <v>2301</v>
      </c>
      <c r="B2302" s="28" t="e">
        <f>interpola(#REF!,CURVA!$B$6:$B$20,CURVA!$G$6:$G$20)</f>
        <v>#VALUE!</v>
      </c>
      <c r="C2302" s="29" t="e">
        <f t="shared" si="35"/>
        <v>#VALUE!</v>
      </c>
      <c r="E2302" t="e">
        <f>cubic_spline(CURVA!$B$6:$B$20,CURVA!$G$6:$G$20,#REF!)</f>
        <v>#VALUE!</v>
      </c>
    </row>
    <row r="2303" spans="1:5" x14ac:dyDescent="0.2">
      <c r="A2303" s="28">
        <v>2302</v>
      </c>
      <c r="B2303" s="28" t="e">
        <f>interpola(#REF!,CURVA!$B$6:$B$20,CURVA!$G$6:$G$20)</f>
        <v>#VALUE!</v>
      </c>
      <c r="C2303" s="29" t="e">
        <f t="shared" si="35"/>
        <v>#VALUE!</v>
      </c>
      <c r="E2303" t="e">
        <f>cubic_spline(CURVA!$B$6:$B$20,CURVA!$G$6:$G$20,#REF!)</f>
        <v>#VALUE!</v>
      </c>
    </row>
    <row r="2304" spans="1:5" x14ac:dyDescent="0.2">
      <c r="A2304" s="28">
        <v>2303</v>
      </c>
      <c r="B2304" s="28" t="e">
        <f>interpola(#REF!,CURVA!$B$6:$B$20,CURVA!$G$6:$G$20)</f>
        <v>#VALUE!</v>
      </c>
      <c r="C2304" s="29" t="e">
        <f t="shared" si="35"/>
        <v>#VALUE!</v>
      </c>
      <c r="E2304" t="e">
        <f>cubic_spline(CURVA!$B$6:$B$20,CURVA!$G$6:$G$20,#REF!)</f>
        <v>#VALUE!</v>
      </c>
    </row>
    <row r="2305" spans="1:5" x14ac:dyDescent="0.2">
      <c r="A2305" s="28">
        <v>2304</v>
      </c>
      <c r="B2305" s="28" t="e">
        <f>interpola(#REF!,CURVA!$B$6:$B$20,CURVA!$G$6:$G$20)</f>
        <v>#VALUE!</v>
      </c>
      <c r="C2305" s="29" t="e">
        <f t="shared" si="35"/>
        <v>#VALUE!</v>
      </c>
      <c r="E2305" t="e">
        <f>cubic_spline(CURVA!$B$6:$B$20,CURVA!$G$6:$G$20,#REF!)</f>
        <v>#VALUE!</v>
      </c>
    </row>
    <row r="2306" spans="1:5" x14ac:dyDescent="0.2">
      <c r="A2306" s="28">
        <v>2305</v>
      </c>
      <c r="B2306" s="28" t="e">
        <f>interpola(#REF!,CURVA!$B$6:$B$20,CURVA!$G$6:$G$20)</f>
        <v>#VALUE!</v>
      </c>
      <c r="C2306" s="29" t="e">
        <f t="shared" ref="C2306:C2369" si="36">(EXP(B2306*A2306/360)-1)*360/A2306</f>
        <v>#VALUE!</v>
      </c>
      <c r="E2306" t="e">
        <f>cubic_spline(CURVA!$B$6:$B$20,CURVA!$G$6:$G$20,#REF!)</f>
        <v>#VALUE!</v>
      </c>
    </row>
    <row r="2307" spans="1:5" x14ac:dyDescent="0.2">
      <c r="A2307" s="28">
        <v>2306</v>
      </c>
      <c r="B2307" s="28" t="e">
        <f>interpola(#REF!,CURVA!$B$6:$B$20,CURVA!$G$6:$G$20)</f>
        <v>#VALUE!</v>
      </c>
      <c r="C2307" s="29" t="e">
        <f t="shared" si="36"/>
        <v>#VALUE!</v>
      </c>
      <c r="E2307" t="e">
        <f>cubic_spline(CURVA!$B$6:$B$20,CURVA!$G$6:$G$20,#REF!)</f>
        <v>#VALUE!</v>
      </c>
    </row>
    <row r="2308" spans="1:5" x14ac:dyDescent="0.2">
      <c r="A2308" s="28">
        <v>2307</v>
      </c>
      <c r="B2308" s="28" t="e">
        <f>interpola(#REF!,CURVA!$B$6:$B$20,CURVA!$G$6:$G$20)</f>
        <v>#VALUE!</v>
      </c>
      <c r="C2308" s="29" t="e">
        <f t="shared" si="36"/>
        <v>#VALUE!</v>
      </c>
      <c r="E2308" t="e">
        <f>cubic_spline(CURVA!$B$6:$B$20,CURVA!$G$6:$G$20,#REF!)</f>
        <v>#VALUE!</v>
      </c>
    </row>
    <row r="2309" spans="1:5" x14ac:dyDescent="0.2">
      <c r="A2309" s="28">
        <v>2308</v>
      </c>
      <c r="B2309" s="28" t="e">
        <f>interpola(#REF!,CURVA!$B$6:$B$20,CURVA!$G$6:$G$20)</f>
        <v>#VALUE!</v>
      </c>
      <c r="C2309" s="29" t="e">
        <f t="shared" si="36"/>
        <v>#VALUE!</v>
      </c>
      <c r="E2309" t="e">
        <f>cubic_spline(CURVA!$B$6:$B$20,CURVA!$G$6:$G$20,#REF!)</f>
        <v>#VALUE!</v>
      </c>
    </row>
    <row r="2310" spans="1:5" x14ac:dyDescent="0.2">
      <c r="A2310" s="28">
        <v>2309</v>
      </c>
      <c r="B2310" s="28" t="e">
        <f>interpola(#REF!,CURVA!$B$6:$B$20,CURVA!$G$6:$G$20)</f>
        <v>#VALUE!</v>
      </c>
      <c r="C2310" s="29" t="e">
        <f t="shared" si="36"/>
        <v>#VALUE!</v>
      </c>
      <c r="E2310" t="e">
        <f>cubic_spline(CURVA!$B$6:$B$20,CURVA!$G$6:$G$20,#REF!)</f>
        <v>#VALUE!</v>
      </c>
    </row>
    <row r="2311" spans="1:5" x14ac:dyDescent="0.2">
      <c r="A2311" s="28">
        <v>2310</v>
      </c>
      <c r="B2311" s="28" t="e">
        <f>interpola(#REF!,CURVA!$B$6:$B$20,CURVA!$G$6:$G$20)</f>
        <v>#VALUE!</v>
      </c>
      <c r="C2311" s="29" t="e">
        <f t="shared" si="36"/>
        <v>#VALUE!</v>
      </c>
      <c r="E2311" t="e">
        <f>cubic_spline(CURVA!$B$6:$B$20,CURVA!$G$6:$G$20,#REF!)</f>
        <v>#VALUE!</v>
      </c>
    </row>
    <row r="2312" spans="1:5" x14ac:dyDescent="0.2">
      <c r="A2312" s="28">
        <v>2311</v>
      </c>
      <c r="B2312" s="28" t="e">
        <f>interpola(#REF!,CURVA!$B$6:$B$20,CURVA!$G$6:$G$20)</f>
        <v>#VALUE!</v>
      </c>
      <c r="C2312" s="29" t="e">
        <f t="shared" si="36"/>
        <v>#VALUE!</v>
      </c>
      <c r="E2312" t="e">
        <f>cubic_spline(CURVA!$B$6:$B$20,CURVA!$G$6:$G$20,#REF!)</f>
        <v>#VALUE!</v>
      </c>
    </row>
    <row r="2313" spans="1:5" x14ac:dyDescent="0.2">
      <c r="A2313" s="28">
        <v>2312</v>
      </c>
      <c r="B2313" s="28" t="e">
        <f>interpola(#REF!,CURVA!$B$6:$B$20,CURVA!$G$6:$G$20)</f>
        <v>#VALUE!</v>
      </c>
      <c r="C2313" s="29" t="e">
        <f t="shared" si="36"/>
        <v>#VALUE!</v>
      </c>
      <c r="E2313" t="e">
        <f>cubic_spline(CURVA!$B$6:$B$20,CURVA!$G$6:$G$20,#REF!)</f>
        <v>#VALUE!</v>
      </c>
    </row>
    <row r="2314" spans="1:5" x14ac:dyDescent="0.2">
      <c r="A2314" s="28">
        <v>2313</v>
      </c>
      <c r="B2314" s="28" t="e">
        <f>interpola(#REF!,CURVA!$B$6:$B$20,CURVA!$G$6:$G$20)</f>
        <v>#VALUE!</v>
      </c>
      <c r="C2314" s="29" t="e">
        <f t="shared" si="36"/>
        <v>#VALUE!</v>
      </c>
      <c r="E2314" t="e">
        <f>cubic_spline(CURVA!$B$6:$B$20,CURVA!$G$6:$G$20,#REF!)</f>
        <v>#VALUE!</v>
      </c>
    </row>
    <row r="2315" spans="1:5" x14ac:dyDescent="0.2">
      <c r="A2315" s="28">
        <v>2314</v>
      </c>
      <c r="B2315" s="28" t="e">
        <f>interpola(#REF!,CURVA!$B$6:$B$20,CURVA!$G$6:$G$20)</f>
        <v>#VALUE!</v>
      </c>
      <c r="C2315" s="29" t="e">
        <f t="shared" si="36"/>
        <v>#VALUE!</v>
      </c>
      <c r="E2315" t="e">
        <f>cubic_spline(CURVA!$B$6:$B$20,CURVA!$G$6:$G$20,#REF!)</f>
        <v>#VALUE!</v>
      </c>
    </row>
    <row r="2316" spans="1:5" x14ac:dyDescent="0.2">
      <c r="A2316" s="28">
        <v>2315</v>
      </c>
      <c r="B2316" s="28" t="e">
        <f>interpola(#REF!,CURVA!$B$6:$B$20,CURVA!$G$6:$G$20)</f>
        <v>#VALUE!</v>
      </c>
      <c r="C2316" s="29" t="e">
        <f t="shared" si="36"/>
        <v>#VALUE!</v>
      </c>
      <c r="E2316" t="e">
        <f>cubic_spline(CURVA!$B$6:$B$20,CURVA!$G$6:$G$20,#REF!)</f>
        <v>#VALUE!</v>
      </c>
    </row>
    <row r="2317" spans="1:5" x14ac:dyDescent="0.2">
      <c r="A2317" s="28">
        <v>2316</v>
      </c>
      <c r="B2317" s="28" t="e">
        <f>interpola(#REF!,CURVA!$B$6:$B$20,CURVA!$G$6:$G$20)</f>
        <v>#VALUE!</v>
      </c>
      <c r="C2317" s="29" t="e">
        <f t="shared" si="36"/>
        <v>#VALUE!</v>
      </c>
      <c r="E2317" t="e">
        <f>cubic_spline(CURVA!$B$6:$B$20,CURVA!$G$6:$G$20,#REF!)</f>
        <v>#VALUE!</v>
      </c>
    </row>
    <row r="2318" spans="1:5" x14ac:dyDescent="0.2">
      <c r="A2318" s="28">
        <v>2317</v>
      </c>
      <c r="B2318" s="28" t="e">
        <f>interpola(#REF!,CURVA!$B$6:$B$20,CURVA!$G$6:$G$20)</f>
        <v>#VALUE!</v>
      </c>
      <c r="C2318" s="29" t="e">
        <f t="shared" si="36"/>
        <v>#VALUE!</v>
      </c>
      <c r="E2318" t="e">
        <f>cubic_spline(CURVA!$B$6:$B$20,CURVA!$G$6:$G$20,#REF!)</f>
        <v>#VALUE!</v>
      </c>
    </row>
    <row r="2319" spans="1:5" x14ac:dyDescent="0.2">
      <c r="A2319" s="28">
        <v>2318</v>
      </c>
      <c r="B2319" s="28" t="e">
        <f>interpola(#REF!,CURVA!$B$6:$B$20,CURVA!$G$6:$G$20)</f>
        <v>#VALUE!</v>
      </c>
      <c r="C2319" s="29" t="e">
        <f t="shared" si="36"/>
        <v>#VALUE!</v>
      </c>
      <c r="E2319" t="e">
        <f>cubic_spline(CURVA!$B$6:$B$20,CURVA!$G$6:$G$20,#REF!)</f>
        <v>#VALUE!</v>
      </c>
    </row>
    <row r="2320" spans="1:5" x14ac:dyDescent="0.2">
      <c r="A2320" s="28">
        <v>2319</v>
      </c>
      <c r="B2320" s="28" t="e">
        <f>interpola(#REF!,CURVA!$B$6:$B$20,CURVA!$G$6:$G$20)</f>
        <v>#VALUE!</v>
      </c>
      <c r="C2320" s="29" t="e">
        <f t="shared" si="36"/>
        <v>#VALUE!</v>
      </c>
      <c r="E2320" t="e">
        <f>cubic_spline(CURVA!$B$6:$B$20,CURVA!$G$6:$G$20,#REF!)</f>
        <v>#VALUE!</v>
      </c>
    </row>
    <row r="2321" spans="1:5" x14ac:dyDescent="0.2">
      <c r="A2321" s="28">
        <v>2320</v>
      </c>
      <c r="B2321" s="28" t="e">
        <f>interpola(#REF!,CURVA!$B$6:$B$20,CURVA!$G$6:$G$20)</f>
        <v>#VALUE!</v>
      </c>
      <c r="C2321" s="29" t="e">
        <f t="shared" si="36"/>
        <v>#VALUE!</v>
      </c>
      <c r="E2321" t="e">
        <f>cubic_spline(CURVA!$B$6:$B$20,CURVA!$G$6:$G$20,#REF!)</f>
        <v>#VALUE!</v>
      </c>
    </row>
    <row r="2322" spans="1:5" x14ac:dyDescent="0.2">
      <c r="A2322" s="28">
        <v>2321</v>
      </c>
      <c r="B2322" s="28" t="e">
        <f>interpola(#REF!,CURVA!$B$6:$B$20,CURVA!$G$6:$G$20)</f>
        <v>#VALUE!</v>
      </c>
      <c r="C2322" s="29" t="e">
        <f t="shared" si="36"/>
        <v>#VALUE!</v>
      </c>
      <c r="E2322" t="e">
        <f>cubic_spline(CURVA!$B$6:$B$20,CURVA!$G$6:$G$20,#REF!)</f>
        <v>#VALUE!</v>
      </c>
    </row>
    <row r="2323" spans="1:5" x14ac:dyDescent="0.2">
      <c r="A2323" s="28">
        <v>2322</v>
      </c>
      <c r="B2323" s="28" t="e">
        <f>interpola(#REF!,CURVA!$B$6:$B$20,CURVA!$G$6:$G$20)</f>
        <v>#VALUE!</v>
      </c>
      <c r="C2323" s="29" t="e">
        <f t="shared" si="36"/>
        <v>#VALUE!</v>
      </c>
      <c r="E2323" t="e">
        <f>cubic_spline(CURVA!$B$6:$B$20,CURVA!$G$6:$G$20,#REF!)</f>
        <v>#VALUE!</v>
      </c>
    </row>
    <row r="2324" spans="1:5" x14ac:dyDescent="0.2">
      <c r="A2324" s="28">
        <v>2323</v>
      </c>
      <c r="B2324" s="28" t="e">
        <f>interpola(#REF!,CURVA!$B$6:$B$20,CURVA!$G$6:$G$20)</f>
        <v>#VALUE!</v>
      </c>
      <c r="C2324" s="29" t="e">
        <f t="shared" si="36"/>
        <v>#VALUE!</v>
      </c>
      <c r="E2324" t="e">
        <f>cubic_spline(CURVA!$B$6:$B$20,CURVA!$G$6:$G$20,#REF!)</f>
        <v>#VALUE!</v>
      </c>
    </row>
    <row r="2325" spans="1:5" x14ac:dyDescent="0.2">
      <c r="A2325" s="28">
        <v>2324</v>
      </c>
      <c r="B2325" s="28" t="e">
        <f>interpola(#REF!,CURVA!$B$6:$B$20,CURVA!$G$6:$G$20)</f>
        <v>#VALUE!</v>
      </c>
      <c r="C2325" s="29" t="e">
        <f t="shared" si="36"/>
        <v>#VALUE!</v>
      </c>
      <c r="E2325" t="e">
        <f>cubic_spline(CURVA!$B$6:$B$20,CURVA!$G$6:$G$20,#REF!)</f>
        <v>#VALUE!</v>
      </c>
    </row>
    <row r="2326" spans="1:5" x14ac:dyDescent="0.2">
      <c r="A2326" s="28">
        <v>2325</v>
      </c>
      <c r="B2326" s="28" t="e">
        <f>interpola(#REF!,CURVA!$B$6:$B$20,CURVA!$G$6:$G$20)</f>
        <v>#VALUE!</v>
      </c>
      <c r="C2326" s="29" t="e">
        <f t="shared" si="36"/>
        <v>#VALUE!</v>
      </c>
      <c r="E2326" t="e">
        <f>cubic_spline(CURVA!$B$6:$B$20,CURVA!$G$6:$G$20,#REF!)</f>
        <v>#VALUE!</v>
      </c>
    </row>
    <row r="2327" spans="1:5" x14ac:dyDescent="0.2">
      <c r="A2327" s="28">
        <v>2326</v>
      </c>
      <c r="B2327" s="28" t="e">
        <f>interpola(#REF!,CURVA!$B$6:$B$20,CURVA!$G$6:$G$20)</f>
        <v>#VALUE!</v>
      </c>
      <c r="C2327" s="29" t="e">
        <f t="shared" si="36"/>
        <v>#VALUE!</v>
      </c>
      <c r="E2327" t="e">
        <f>cubic_spline(CURVA!$B$6:$B$20,CURVA!$G$6:$G$20,#REF!)</f>
        <v>#VALUE!</v>
      </c>
    </row>
    <row r="2328" spans="1:5" x14ac:dyDescent="0.2">
      <c r="A2328" s="28">
        <v>2327</v>
      </c>
      <c r="B2328" s="28" t="e">
        <f>interpola(#REF!,CURVA!$B$6:$B$20,CURVA!$G$6:$G$20)</f>
        <v>#VALUE!</v>
      </c>
      <c r="C2328" s="29" t="e">
        <f t="shared" si="36"/>
        <v>#VALUE!</v>
      </c>
      <c r="E2328" t="e">
        <f>cubic_spline(CURVA!$B$6:$B$20,CURVA!$G$6:$G$20,#REF!)</f>
        <v>#VALUE!</v>
      </c>
    </row>
    <row r="2329" spans="1:5" x14ac:dyDescent="0.2">
      <c r="A2329" s="28">
        <v>2328</v>
      </c>
      <c r="B2329" s="28" t="e">
        <f>interpola(#REF!,CURVA!$B$6:$B$20,CURVA!$G$6:$G$20)</f>
        <v>#VALUE!</v>
      </c>
      <c r="C2329" s="29" t="e">
        <f t="shared" si="36"/>
        <v>#VALUE!</v>
      </c>
      <c r="E2329" t="e">
        <f>cubic_spline(CURVA!$B$6:$B$20,CURVA!$G$6:$G$20,#REF!)</f>
        <v>#VALUE!</v>
      </c>
    </row>
    <row r="2330" spans="1:5" x14ac:dyDescent="0.2">
      <c r="A2330" s="28">
        <v>2329</v>
      </c>
      <c r="B2330" s="28" t="e">
        <f>interpola(#REF!,CURVA!$B$6:$B$20,CURVA!$G$6:$G$20)</f>
        <v>#VALUE!</v>
      </c>
      <c r="C2330" s="29" t="e">
        <f t="shared" si="36"/>
        <v>#VALUE!</v>
      </c>
      <c r="E2330" t="e">
        <f>cubic_spline(CURVA!$B$6:$B$20,CURVA!$G$6:$G$20,#REF!)</f>
        <v>#VALUE!</v>
      </c>
    </row>
    <row r="2331" spans="1:5" x14ac:dyDescent="0.2">
      <c r="A2331" s="28">
        <v>2330</v>
      </c>
      <c r="B2331" s="28" t="e">
        <f>interpola(#REF!,CURVA!$B$6:$B$20,CURVA!$G$6:$G$20)</f>
        <v>#VALUE!</v>
      </c>
      <c r="C2331" s="29" t="e">
        <f t="shared" si="36"/>
        <v>#VALUE!</v>
      </c>
      <c r="E2331" t="e">
        <f>cubic_spline(CURVA!$B$6:$B$20,CURVA!$G$6:$G$20,#REF!)</f>
        <v>#VALUE!</v>
      </c>
    </row>
    <row r="2332" spans="1:5" x14ac:dyDescent="0.2">
      <c r="A2332" s="28">
        <v>2331</v>
      </c>
      <c r="B2332" s="28" t="e">
        <f>interpola(#REF!,CURVA!$B$6:$B$20,CURVA!$G$6:$G$20)</f>
        <v>#VALUE!</v>
      </c>
      <c r="C2332" s="29" t="e">
        <f t="shared" si="36"/>
        <v>#VALUE!</v>
      </c>
      <c r="E2332" t="e">
        <f>cubic_spline(CURVA!$B$6:$B$20,CURVA!$G$6:$G$20,#REF!)</f>
        <v>#VALUE!</v>
      </c>
    </row>
    <row r="2333" spans="1:5" x14ac:dyDescent="0.2">
      <c r="A2333" s="28">
        <v>2332</v>
      </c>
      <c r="B2333" s="28" t="e">
        <f>interpola(#REF!,CURVA!$B$6:$B$20,CURVA!$G$6:$G$20)</f>
        <v>#VALUE!</v>
      </c>
      <c r="C2333" s="29" t="e">
        <f t="shared" si="36"/>
        <v>#VALUE!</v>
      </c>
      <c r="E2333" t="e">
        <f>cubic_spline(CURVA!$B$6:$B$20,CURVA!$G$6:$G$20,#REF!)</f>
        <v>#VALUE!</v>
      </c>
    </row>
    <row r="2334" spans="1:5" x14ac:dyDescent="0.2">
      <c r="A2334" s="28">
        <v>2333</v>
      </c>
      <c r="B2334" s="28" t="e">
        <f>interpola(#REF!,CURVA!$B$6:$B$20,CURVA!$G$6:$G$20)</f>
        <v>#VALUE!</v>
      </c>
      <c r="C2334" s="29" t="e">
        <f t="shared" si="36"/>
        <v>#VALUE!</v>
      </c>
      <c r="E2334" t="e">
        <f>cubic_spline(CURVA!$B$6:$B$20,CURVA!$G$6:$G$20,#REF!)</f>
        <v>#VALUE!</v>
      </c>
    </row>
    <row r="2335" spans="1:5" x14ac:dyDescent="0.2">
      <c r="A2335" s="28">
        <v>2334</v>
      </c>
      <c r="B2335" s="28" t="e">
        <f>interpola(#REF!,CURVA!$B$6:$B$20,CURVA!$G$6:$G$20)</f>
        <v>#VALUE!</v>
      </c>
      <c r="C2335" s="29" t="e">
        <f t="shared" si="36"/>
        <v>#VALUE!</v>
      </c>
      <c r="E2335" t="e">
        <f>cubic_spline(CURVA!$B$6:$B$20,CURVA!$G$6:$G$20,#REF!)</f>
        <v>#VALUE!</v>
      </c>
    </row>
    <row r="2336" spans="1:5" x14ac:dyDescent="0.2">
      <c r="A2336" s="28">
        <v>2335</v>
      </c>
      <c r="B2336" s="28" t="e">
        <f>interpola(#REF!,CURVA!$B$6:$B$20,CURVA!$G$6:$G$20)</f>
        <v>#VALUE!</v>
      </c>
      <c r="C2336" s="29" t="e">
        <f t="shared" si="36"/>
        <v>#VALUE!</v>
      </c>
      <c r="E2336" t="e">
        <f>cubic_spline(CURVA!$B$6:$B$20,CURVA!$G$6:$G$20,#REF!)</f>
        <v>#VALUE!</v>
      </c>
    </row>
    <row r="2337" spans="1:5" x14ac:dyDescent="0.2">
      <c r="A2337" s="28">
        <v>2336</v>
      </c>
      <c r="B2337" s="28" t="e">
        <f>interpola(#REF!,CURVA!$B$6:$B$20,CURVA!$G$6:$G$20)</f>
        <v>#VALUE!</v>
      </c>
      <c r="C2337" s="29" t="e">
        <f t="shared" si="36"/>
        <v>#VALUE!</v>
      </c>
      <c r="E2337" t="e">
        <f>cubic_spline(CURVA!$B$6:$B$20,CURVA!$G$6:$G$20,#REF!)</f>
        <v>#VALUE!</v>
      </c>
    </row>
    <row r="2338" spans="1:5" x14ac:dyDescent="0.2">
      <c r="A2338" s="28">
        <v>2337</v>
      </c>
      <c r="B2338" s="28" t="e">
        <f>interpola(#REF!,CURVA!$B$6:$B$20,CURVA!$G$6:$G$20)</f>
        <v>#VALUE!</v>
      </c>
      <c r="C2338" s="29" t="e">
        <f t="shared" si="36"/>
        <v>#VALUE!</v>
      </c>
      <c r="E2338" t="e">
        <f>cubic_spline(CURVA!$B$6:$B$20,CURVA!$G$6:$G$20,#REF!)</f>
        <v>#VALUE!</v>
      </c>
    </row>
    <row r="2339" spans="1:5" x14ac:dyDescent="0.2">
      <c r="A2339" s="28">
        <v>2338</v>
      </c>
      <c r="B2339" s="28" t="e">
        <f>interpola(#REF!,CURVA!$B$6:$B$20,CURVA!$G$6:$G$20)</f>
        <v>#VALUE!</v>
      </c>
      <c r="C2339" s="29" t="e">
        <f t="shared" si="36"/>
        <v>#VALUE!</v>
      </c>
      <c r="E2339" t="e">
        <f>cubic_spline(CURVA!$B$6:$B$20,CURVA!$G$6:$G$20,#REF!)</f>
        <v>#VALUE!</v>
      </c>
    </row>
    <row r="2340" spans="1:5" x14ac:dyDescent="0.2">
      <c r="A2340" s="28">
        <v>2339</v>
      </c>
      <c r="B2340" s="28" t="e">
        <f>interpola(#REF!,CURVA!$B$6:$B$20,CURVA!$G$6:$G$20)</f>
        <v>#VALUE!</v>
      </c>
      <c r="C2340" s="29" t="e">
        <f t="shared" si="36"/>
        <v>#VALUE!</v>
      </c>
      <c r="E2340" t="e">
        <f>cubic_spline(CURVA!$B$6:$B$20,CURVA!$G$6:$G$20,#REF!)</f>
        <v>#VALUE!</v>
      </c>
    </row>
    <row r="2341" spans="1:5" x14ac:dyDescent="0.2">
      <c r="A2341" s="28">
        <v>2340</v>
      </c>
      <c r="B2341" s="28" t="e">
        <f>interpola(#REF!,CURVA!$B$6:$B$20,CURVA!$G$6:$G$20)</f>
        <v>#VALUE!</v>
      </c>
      <c r="C2341" s="29" t="e">
        <f t="shared" si="36"/>
        <v>#VALUE!</v>
      </c>
      <c r="E2341" t="e">
        <f>cubic_spline(CURVA!$B$6:$B$20,CURVA!$G$6:$G$20,#REF!)</f>
        <v>#VALUE!</v>
      </c>
    </row>
    <row r="2342" spans="1:5" x14ac:dyDescent="0.2">
      <c r="A2342" s="28">
        <v>2341</v>
      </c>
      <c r="B2342" s="28" t="e">
        <f>interpola(#REF!,CURVA!$B$6:$B$20,CURVA!$G$6:$G$20)</f>
        <v>#VALUE!</v>
      </c>
      <c r="C2342" s="29" t="e">
        <f t="shared" si="36"/>
        <v>#VALUE!</v>
      </c>
      <c r="E2342" t="e">
        <f>cubic_spline(CURVA!$B$6:$B$20,CURVA!$G$6:$G$20,#REF!)</f>
        <v>#VALUE!</v>
      </c>
    </row>
    <row r="2343" spans="1:5" x14ac:dyDescent="0.2">
      <c r="A2343" s="28">
        <v>2342</v>
      </c>
      <c r="B2343" s="28" t="e">
        <f>interpola(#REF!,CURVA!$B$6:$B$20,CURVA!$G$6:$G$20)</f>
        <v>#VALUE!</v>
      </c>
      <c r="C2343" s="29" t="e">
        <f t="shared" si="36"/>
        <v>#VALUE!</v>
      </c>
      <c r="E2343" t="e">
        <f>cubic_spline(CURVA!$B$6:$B$20,CURVA!$G$6:$G$20,#REF!)</f>
        <v>#VALUE!</v>
      </c>
    </row>
    <row r="2344" spans="1:5" x14ac:dyDescent="0.2">
      <c r="A2344" s="28">
        <v>2343</v>
      </c>
      <c r="B2344" s="28" t="e">
        <f>interpola(#REF!,CURVA!$B$6:$B$20,CURVA!$G$6:$G$20)</f>
        <v>#VALUE!</v>
      </c>
      <c r="C2344" s="29" t="e">
        <f t="shared" si="36"/>
        <v>#VALUE!</v>
      </c>
      <c r="E2344" t="e">
        <f>cubic_spline(CURVA!$B$6:$B$20,CURVA!$G$6:$G$20,#REF!)</f>
        <v>#VALUE!</v>
      </c>
    </row>
    <row r="2345" spans="1:5" x14ac:dyDescent="0.2">
      <c r="A2345" s="28">
        <v>2344</v>
      </c>
      <c r="B2345" s="28" t="e">
        <f>interpola(#REF!,CURVA!$B$6:$B$20,CURVA!$G$6:$G$20)</f>
        <v>#VALUE!</v>
      </c>
      <c r="C2345" s="29" t="e">
        <f t="shared" si="36"/>
        <v>#VALUE!</v>
      </c>
      <c r="E2345" t="e">
        <f>cubic_spline(CURVA!$B$6:$B$20,CURVA!$G$6:$G$20,#REF!)</f>
        <v>#VALUE!</v>
      </c>
    </row>
    <row r="2346" spans="1:5" x14ac:dyDescent="0.2">
      <c r="A2346" s="28">
        <v>2345</v>
      </c>
      <c r="B2346" s="28" t="e">
        <f>interpola(#REF!,CURVA!$B$6:$B$20,CURVA!$G$6:$G$20)</f>
        <v>#VALUE!</v>
      </c>
      <c r="C2346" s="29" t="e">
        <f t="shared" si="36"/>
        <v>#VALUE!</v>
      </c>
      <c r="E2346" t="e">
        <f>cubic_spline(CURVA!$B$6:$B$20,CURVA!$G$6:$G$20,#REF!)</f>
        <v>#VALUE!</v>
      </c>
    </row>
    <row r="2347" spans="1:5" x14ac:dyDescent="0.2">
      <c r="A2347" s="28">
        <v>2346</v>
      </c>
      <c r="B2347" s="28" t="e">
        <f>interpola(#REF!,CURVA!$B$6:$B$20,CURVA!$G$6:$G$20)</f>
        <v>#VALUE!</v>
      </c>
      <c r="C2347" s="29" t="e">
        <f t="shared" si="36"/>
        <v>#VALUE!</v>
      </c>
      <c r="E2347" t="e">
        <f>cubic_spline(CURVA!$B$6:$B$20,CURVA!$G$6:$G$20,#REF!)</f>
        <v>#VALUE!</v>
      </c>
    </row>
    <row r="2348" spans="1:5" x14ac:dyDescent="0.2">
      <c r="A2348" s="28">
        <v>2347</v>
      </c>
      <c r="B2348" s="28" t="e">
        <f>interpola(#REF!,CURVA!$B$6:$B$20,CURVA!$G$6:$G$20)</f>
        <v>#VALUE!</v>
      </c>
      <c r="C2348" s="29" t="e">
        <f t="shared" si="36"/>
        <v>#VALUE!</v>
      </c>
      <c r="E2348" t="e">
        <f>cubic_spline(CURVA!$B$6:$B$20,CURVA!$G$6:$G$20,#REF!)</f>
        <v>#VALUE!</v>
      </c>
    </row>
    <row r="2349" spans="1:5" x14ac:dyDescent="0.2">
      <c r="A2349" s="28">
        <v>2348</v>
      </c>
      <c r="B2349" s="28" t="e">
        <f>interpola(#REF!,CURVA!$B$6:$B$20,CURVA!$G$6:$G$20)</f>
        <v>#VALUE!</v>
      </c>
      <c r="C2349" s="29" t="e">
        <f t="shared" si="36"/>
        <v>#VALUE!</v>
      </c>
      <c r="E2349" t="e">
        <f>cubic_spline(CURVA!$B$6:$B$20,CURVA!$G$6:$G$20,#REF!)</f>
        <v>#VALUE!</v>
      </c>
    </row>
    <row r="2350" spans="1:5" x14ac:dyDescent="0.2">
      <c r="A2350" s="28">
        <v>2349</v>
      </c>
      <c r="B2350" s="28" t="e">
        <f>interpola(#REF!,CURVA!$B$6:$B$20,CURVA!$G$6:$G$20)</f>
        <v>#VALUE!</v>
      </c>
      <c r="C2350" s="29" t="e">
        <f t="shared" si="36"/>
        <v>#VALUE!</v>
      </c>
      <c r="E2350" t="e">
        <f>cubic_spline(CURVA!$B$6:$B$20,CURVA!$G$6:$G$20,#REF!)</f>
        <v>#VALUE!</v>
      </c>
    </row>
    <row r="2351" spans="1:5" x14ac:dyDescent="0.2">
      <c r="A2351" s="28">
        <v>2350</v>
      </c>
      <c r="B2351" s="28" t="e">
        <f>interpola(#REF!,CURVA!$B$6:$B$20,CURVA!$G$6:$G$20)</f>
        <v>#VALUE!</v>
      </c>
      <c r="C2351" s="29" t="e">
        <f t="shared" si="36"/>
        <v>#VALUE!</v>
      </c>
      <c r="E2351" t="e">
        <f>cubic_spline(CURVA!$B$6:$B$20,CURVA!$G$6:$G$20,#REF!)</f>
        <v>#VALUE!</v>
      </c>
    </row>
    <row r="2352" spans="1:5" x14ac:dyDescent="0.2">
      <c r="A2352" s="28">
        <v>2351</v>
      </c>
      <c r="B2352" s="28" t="e">
        <f>interpola(#REF!,CURVA!$B$6:$B$20,CURVA!$G$6:$G$20)</f>
        <v>#VALUE!</v>
      </c>
      <c r="C2352" s="29" t="e">
        <f t="shared" si="36"/>
        <v>#VALUE!</v>
      </c>
      <c r="E2352" t="e">
        <f>cubic_spline(CURVA!$B$6:$B$20,CURVA!$G$6:$G$20,#REF!)</f>
        <v>#VALUE!</v>
      </c>
    </row>
    <row r="2353" spans="1:5" x14ac:dyDescent="0.2">
      <c r="A2353" s="28">
        <v>2352</v>
      </c>
      <c r="B2353" s="28" t="e">
        <f>interpola(#REF!,CURVA!$B$6:$B$20,CURVA!$G$6:$G$20)</f>
        <v>#VALUE!</v>
      </c>
      <c r="C2353" s="29" t="e">
        <f t="shared" si="36"/>
        <v>#VALUE!</v>
      </c>
      <c r="E2353" t="e">
        <f>cubic_spline(CURVA!$B$6:$B$20,CURVA!$G$6:$G$20,#REF!)</f>
        <v>#VALUE!</v>
      </c>
    </row>
    <row r="2354" spans="1:5" x14ac:dyDescent="0.2">
      <c r="A2354" s="28">
        <v>2353</v>
      </c>
      <c r="B2354" s="28" t="e">
        <f>interpola(#REF!,CURVA!$B$6:$B$20,CURVA!$G$6:$G$20)</f>
        <v>#VALUE!</v>
      </c>
      <c r="C2354" s="29" t="e">
        <f t="shared" si="36"/>
        <v>#VALUE!</v>
      </c>
      <c r="E2354" t="e">
        <f>cubic_spline(CURVA!$B$6:$B$20,CURVA!$G$6:$G$20,#REF!)</f>
        <v>#VALUE!</v>
      </c>
    </row>
    <row r="2355" spans="1:5" x14ac:dyDescent="0.2">
      <c r="A2355" s="28">
        <v>2354</v>
      </c>
      <c r="B2355" s="28" t="e">
        <f>interpola(#REF!,CURVA!$B$6:$B$20,CURVA!$G$6:$G$20)</f>
        <v>#VALUE!</v>
      </c>
      <c r="C2355" s="29" t="e">
        <f t="shared" si="36"/>
        <v>#VALUE!</v>
      </c>
      <c r="E2355" t="e">
        <f>cubic_spline(CURVA!$B$6:$B$20,CURVA!$G$6:$G$20,#REF!)</f>
        <v>#VALUE!</v>
      </c>
    </row>
    <row r="2356" spans="1:5" x14ac:dyDescent="0.2">
      <c r="A2356" s="28">
        <v>2355</v>
      </c>
      <c r="B2356" s="28" t="e">
        <f>interpola(#REF!,CURVA!$B$6:$B$20,CURVA!$G$6:$G$20)</f>
        <v>#VALUE!</v>
      </c>
      <c r="C2356" s="29" t="e">
        <f t="shared" si="36"/>
        <v>#VALUE!</v>
      </c>
      <c r="E2356" t="e">
        <f>cubic_spline(CURVA!$B$6:$B$20,CURVA!$G$6:$G$20,#REF!)</f>
        <v>#VALUE!</v>
      </c>
    </row>
    <row r="2357" spans="1:5" x14ac:dyDescent="0.2">
      <c r="A2357" s="28">
        <v>2356</v>
      </c>
      <c r="B2357" s="28" t="e">
        <f>interpola(#REF!,CURVA!$B$6:$B$20,CURVA!$G$6:$G$20)</f>
        <v>#VALUE!</v>
      </c>
      <c r="C2357" s="29" t="e">
        <f t="shared" si="36"/>
        <v>#VALUE!</v>
      </c>
      <c r="E2357" t="e">
        <f>cubic_spline(CURVA!$B$6:$B$20,CURVA!$G$6:$G$20,#REF!)</f>
        <v>#VALUE!</v>
      </c>
    </row>
    <row r="2358" spans="1:5" x14ac:dyDescent="0.2">
      <c r="A2358" s="28">
        <v>2357</v>
      </c>
      <c r="B2358" s="28" t="e">
        <f>interpola(#REF!,CURVA!$B$6:$B$20,CURVA!$G$6:$G$20)</f>
        <v>#VALUE!</v>
      </c>
      <c r="C2358" s="29" t="e">
        <f t="shared" si="36"/>
        <v>#VALUE!</v>
      </c>
      <c r="E2358" t="e">
        <f>cubic_spline(CURVA!$B$6:$B$20,CURVA!$G$6:$G$20,#REF!)</f>
        <v>#VALUE!</v>
      </c>
    </row>
    <row r="2359" spans="1:5" x14ac:dyDescent="0.2">
      <c r="A2359" s="28">
        <v>2358</v>
      </c>
      <c r="B2359" s="28" t="e">
        <f>interpola(#REF!,CURVA!$B$6:$B$20,CURVA!$G$6:$G$20)</f>
        <v>#VALUE!</v>
      </c>
      <c r="C2359" s="29" t="e">
        <f t="shared" si="36"/>
        <v>#VALUE!</v>
      </c>
      <c r="E2359" t="e">
        <f>cubic_spline(CURVA!$B$6:$B$20,CURVA!$G$6:$G$20,#REF!)</f>
        <v>#VALUE!</v>
      </c>
    </row>
    <row r="2360" spans="1:5" x14ac:dyDescent="0.2">
      <c r="A2360" s="28">
        <v>2359</v>
      </c>
      <c r="B2360" s="28" t="e">
        <f>interpola(#REF!,CURVA!$B$6:$B$20,CURVA!$G$6:$G$20)</f>
        <v>#VALUE!</v>
      </c>
      <c r="C2360" s="29" t="e">
        <f t="shared" si="36"/>
        <v>#VALUE!</v>
      </c>
      <c r="E2360" t="e">
        <f>cubic_spline(CURVA!$B$6:$B$20,CURVA!$G$6:$G$20,#REF!)</f>
        <v>#VALUE!</v>
      </c>
    </row>
    <row r="2361" spans="1:5" x14ac:dyDescent="0.2">
      <c r="A2361" s="28">
        <v>2360</v>
      </c>
      <c r="B2361" s="28" t="e">
        <f>interpola(#REF!,CURVA!$B$6:$B$20,CURVA!$G$6:$G$20)</f>
        <v>#VALUE!</v>
      </c>
      <c r="C2361" s="29" t="e">
        <f t="shared" si="36"/>
        <v>#VALUE!</v>
      </c>
      <c r="E2361" t="e">
        <f>cubic_spline(CURVA!$B$6:$B$20,CURVA!$G$6:$G$20,#REF!)</f>
        <v>#VALUE!</v>
      </c>
    </row>
    <row r="2362" spans="1:5" x14ac:dyDescent="0.2">
      <c r="A2362" s="28">
        <v>2361</v>
      </c>
      <c r="B2362" s="28" t="e">
        <f>interpola(#REF!,CURVA!$B$6:$B$20,CURVA!$G$6:$G$20)</f>
        <v>#VALUE!</v>
      </c>
      <c r="C2362" s="29" t="e">
        <f t="shared" si="36"/>
        <v>#VALUE!</v>
      </c>
      <c r="E2362" t="e">
        <f>cubic_spline(CURVA!$B$6:$B$20,CURVA!$G$6:$G$20,#REF!)</f>
        <v>#VALUE!</v>
      </c>
    </row>
    <row r="2363" spans="1:5" x14ac:dyDescent="0.2">
      <c r="A2363" s="28">
        <v>2362</v>
      </c>
      <c r="B2363" s="28" t="e">
        <f>interpola(#REF!,CURVA!$B$6:$B$20,CURVA!$G$6:$G$20)</f>
        <v>#VALUE!</v>
      </c>
      <c r="C2363" s="29" t="e">
        <f t="shared" si="36"/>
        <v>#VALUE!</v>
      </c>
      <c r="E2363" t="e">
        <f>cubic_spline(CURVA!$B$6:$B$20,CURVA!$G$6:$G$20,#REF!)</f>
        <v>#VALUE!</v>
      </c>
    </row>
    <row r="2364" spans="1:5" x14ac:dyDescent="0.2">
      <c r="A2364" s="28">
        <v>2363</v>
      </c>
      <c r="B2364" s="28" t="e">
        <f>interpola(#REF!,CURVA!$B$6:$B$20,CURVA!$G$6:$G$20)</f>
        <v>#VALUE!</v>
      </c>
      <c r="C2364" s="29" t="e">
        <f t="shared" si="36"/>
        <v>#VALUE!</v>
      </c>
      <c r="E2364" t="e">
        <f>cubic_spline(CURVA!$B$6:$B$20,CURVA!$G$6:$G$20,#REF!)</f>
        <v>#VALUE!</v>
      </c>
    </row>
    <row r="2365" spans="1:5" x14ac:dyDescent="0.2">
      <c r="A2365" s="28">
        <v>2364</v>
      </c>
      <c r="B2365" s="28" t="e">
        <f>interpola(#REF!,CURVA!$B$6:$B$20,CURVA!$G$6:$G$20)</f>
        <v>#VALUE!</v>
      </c>
      <c r="C2365" s="29" t="e">
        <f t="shared" si="36"/>
        <v>#VALUE!</v>
      </c>
      <c r="E2365" t="e">
        <f>cubic_spline(CURVA!$B$6:$B$20,CURVA!$G$6:$G$20,#REF!)</f>
        <v>#VALUE!</v>
      </c>
    </row>
    <row r="2366" spans="1:5" x14ac:dyDescent="0.2">
      <c r="A2366" s="28">
        <v>2365</v>
      </c>
      <c r="B2366" s="28" t="e">
        <f>interpola(#REF!,CURVA!$B$6:$B$20,CURVA!$G$6:$G$20)</f>
        <v>#VALUE!</v>
      </c>
      <c r="C2366" s="29" t="e">
        <f t="shared" si="36"/>
        <v>#VALUE!</v>
      </c>
      <c r="E2366" t="e">
        <f>cubic_spline(CURVA!$B$6:$B$20,CURVA!$G$6:$G$20,#REF!)</f>
        <v>#VALUE!</v>
      </c>
    </row>
    <row r="2367" spans="1:5" x14ac:dyDescent="0.2">
      <c r="A2367" s="28">
        <v>2366</v>
      </c>
      <c r="B2367" s="28" t="e">
        <f>interpola(#REF!,CURVA!$B$6:$B$20,CURVA!$G$6:$G$20)</f>
        <v>#VALUE!</v>
      </c>
      <c r="C2367" s="29" t="e">
        <f t="shared" si="36"/>
        <v>#VALUE!</v>
      </c>
      <c r="E2367" t="e">
        <f>cubic_spline(CURVA!$B$6:$B$20,CURVA!$G$6:$G$20,#REF!)</f>
        <v>#VALUE!</v>
      </c>
    </row>
    <row r="2368" spans="1:5" x14ac:dyDescent="0.2">
      <c r="A2368" s="28">
        <v>2367</v>
      </c>
      <c r="B2368" s="28" t="e">
        <f>interpola(#REF!,CURVA!$B$6:$B$20,CURVA!$G$6:$G$20)</f>
        <v>#VALUE!</v>
      </c>
      <c r="C2368" s="29" t="e">
        <f t="shared" si="36"/>
        <v>#VALUE!</v>
      </c>
      <c r="E2368" t="e">
        <f>cubic_spline(CURVA!$B$6:$B$20,CURVA!$G$6:$G$20,#REF!)</f>
        <v>#VALUE!</v>
      </c>
    </row>
    <row r="2369" spans="1:5" x14ac:dyDescent="0.2">
      <c r="A2369" s="28">
        <v>2368</v>
      </c>
      <c r="B2369" s="28" t="e">
        <f>interpola(#REF!,CURVA!$B$6:$B$20,CURVA!$G$6:$G$20)</f>
        <v>#VALUE!</v>
      </c>
      <c r="C2369" s="29" t="e">
        <f t="shared" si="36"/>
        <v>#VALUE!</v>
      </c>
      <c r="E2369" t="e">
        <f>cubic_spline(CURVA!$B$6:$B$20,CURVA!$G$6:$G$20,#REF!)</f>
        <v>#VALUE!</v>
      </c>
    </row>
    <row r="2370" spans="1:5" x14ac:dyDescent="0.2">
      <c r="A2370" s="28">
        <v>2369</v>
      </c>
      <c r="B2370" s="28" t="e">
        <f>interpola(#REF!,CURVA!$B$6:$B$20,CURVA!$G$6:$G$20)</f>
        <v>#VALUE!</v>
      </c>
      <c r="C2370" s="29" t="e">
        <f t="shared" ref="C2370:C2433" si="37">(EXP(B2370*A2370/360)-1)*360/A2370</f>
        <v>#VALUE!</v>
      </c>
      <c r="E2370" t="e">
        <f>cubic_spline(CURVA!$B$6:$B$20,CURVA!$G$6:$G$20,#REF!)</f>
        <v>#VALUE!</v>
      </c>
    </row>
    <row r="2371" spans="1:5" x14ac:dyDescent="0.2">
      <c r="A2371" s="28">
        <v>2370</v>
      </c>
      <c r="B2371" s="28" t="e">
        <f>interpola(#REF!,CURVA!$B$6:$B$20,CURVA!$G$6:$G$20)</f>
        <v>#VALUE!</v>
      </c>
      <c r="C2371" s="29" t="e">
        <f t="shared" si="37"/>
        <v>#VALUE!</v>
      </c>
      <c r="E2371" t="e">
        <f>cubic_spline(CURVA!$B$6:$B$20,CURVA!$G$6:$G$20,#REF!)</f>
        <v>#VALUE!</v>
      </c>
    </row>
    <row r="2372" spans="1:5" x14ac:dyDescent="0.2">
      <c r="A2372" s="28">
        <v>2371</v>
      </c>
      <c r="B2372" s="28" t="e">
        <f>interpola(#REF!,CURVA!$B$6:$B$20,CURVA!$G$6:$G$20)</f>
        <v>#VALUE!</v>
      </c>
      <c r="C2372" s="29" t="e">
        <f t="shared" si="37"/>
        <v>#VALUE!</v>
      </c>
      <c r="E2372" t="e">
        <f>cubic_spline(CURVA!$B$6:$B$20,CURVA!$G$6:$G$20,#REF!)</f>
        <v>#VALUE!</v>
      </c>
    </row>
    <row r="2373" spans="1:5" x14ac:dyDescent="0.2">
      <c r="A2373" s="28">
        <v>2372</v>
      </c>
      <c r="B2373" s="28" t="e">
        <f>interpola(#REF!,CURVA!$B$6:$B$20,CURVA!$G$6:$G$20)</f>
        <v>#VALUE!</v>
      </c>
      <c r="C2373" s="29" t="e">
        <f t="shared" si="37"/>
        <v>#VALUE!</v>
      </c>
      <c r="E2373" t="e">
        <f>cubic_spline(CURVA!$B$6:$B$20,CURVA!$G$6:$G$20,#REF!)</f>
        <v>#VALUE!</v>
      </c>
    </row>
    <row r="2374" spans="1:5" x14ac:dyDescent="0.2">
      <c r="A2374" s="28">
        <v>2373</v>
      </c>
      <c r="B2374" s="28" t="e">
        <f>interpola(#REF!,CURVA!$B$6:$B$20,CURVA!$G$6:$G$20)</f>
        <v>#VALUE!</v>
      </c>
      <c r="C2374" s="29" t="e">
        <f t="shared" si="37"/>
        <v>#VALUE!</v>
      </c>
      <c r="E2374" t="e">
        <f>cubic_spline(CURVA!$B$6:$B$20,CURVA!$G$6:$G$20,#REF!)</f>
        <v>#VALUE!</v>
      </c>
    </row>
    <row r="2375" spans="1:5" x14ac:dyDescent="0.2">
      <c r="A2375" s="28">
        <v>2374</v>
      </c>
      <c r="B2375" s="28" t="e">
        <f>interpola(#REF!,CURVA!$B$6:$B$20,CURVA!$G$6:$G$20)</f>
        <v>#VALUE!</v>
      </c>
      <c r="C2375" s="29" t="e">
        <f t="shared" si="37"/>
        <v>#VALUE!</v>
      </c>
      <c r="E2375" t="e">
        <f>cubic_spline(CURVA!$B$6:$B$20,CURVA!$G$6:$G$20,#REF!)</f>
        <v>#VALUE!</v>
      </c>
    </row>
    <row r="2376" spans="1:5" x14ac:dyDescent="0.2">
      <c r="A2376" s="28">
        <v>2375</v>
      </c>
      <c r="B2376" s="28" t="e">
        <f>interpola(#REF!,CURVA!$B$6:$B$20,CURVA!$G$6:$G$20)</f>
        <v>#VALUE!</v>
      </c>
      <c r="C2376" s="29" t="e">
        <f t="shared" si="37"/>
        <v>#VALUE!</v>
      </c>
      <c r="E2376" t="e">
        <f>cubic_spline(CURVA!$B$6:$B$20,CURVA!$G$6:$G$20,#REF!)</f>
        <v>#VALUE!</v>
      </c>
    </row>
    <row r="2377" spans="1:5" x14ac:dyDescent="0.2">
      <c r="A2377" s="28">
        <v>2376</v>
      </c>
      <c r="B2377" s="28" t="e">
        <f>interpola(#REF!,CURVA!$B$6:$B$20,CURVA!$G$6:$G$20)</f>
        <v>#VALUE!</v>
      </c>
      <c r="C2377" s="29" t="e">
        <f t="shared" si="37"/>
        <v>#VALUE!</v>
      </c>
      <c r="E2377" t="e">
        <f>cubic_spline(CURVA!$B$6:$B$20,CURVA!$G$6:$G$20,#REF!)</f>
        <v>#VALUE!</v>
      </c>
    </row>
    <row r="2378" spans="1:5" x14ac:dyDescent="0.2">
      <c r="A2378" s="28">
        <v>2377</v>
      </c>
      <c r="B2378" s="28" t="e">
        <f>interpola(#REF!,CURVA!$B$6:$B$20,CURVA!$G$6:$G$20)</f>
        <v>#VALUE!</v>
      </c>
      <c r="C2378" s="29" t="e">
        <f t="shared" si="37"/>
        <v>#VALUE!</v>
      </c>
      <c r="E2378" t="e">
        <f>cubic_spline(CURVA!$B$6:$B$20,CURVA!$G$6:$G$20,#REF!)</f>
        <v>#VALUE!</v>
      </c>
    </row>
    <row r="2379" spans="1:5" x14ac:dyDescent="0.2">
      <c r="A2379" s="28">
        <v>2378</v>
      </c>
      <c r="B2379" s="28" t="e">
        <f>interpola(#REF!,CURVA!$B$6:$B$20,CURVA!$G$6:$G$20)</f>
        <v>#VALUE!</v>
      </c>
      <c r="C2379" s="29" t="e">
        <f t="shared" si="37"/>
        <v>#VALUE!</v>
      </c>
      <c r="E2379" t="e">
        <f>cubic_spline(CURVA!$B$6:$B$20,CURVA!$G$6:$G$20,#REF!)</f>
        <v>#VALUE!</v>
      </c>
    </row>
    <row r="2380" spans="1:5" x14ac:dyDescent="0.2">
      <c r="A2380" s="28">
        <v>2379</v>
      </c>
      <c r="B2380" s="28" t="e">
        <f>interpola(#REF!,CURVA!$B$6:$B$20,CURVA!$G$6:$G$20)</f>
        <v>#VALUE!</v>
      </c>
      <c r="C2380" s="29" t="e">
        <f t="shared" si="37"/>
        <v>#VALUE!</v>
      </c>
      <c r="E2380" t="e">
        <f>cubic_spline(CURVA!$B$6:$B$20,CURVA!$G$6:$G$20,#REF!)</f>
        <v>#VALUE!</v>
      </c>
    </row>
    <row r="2381" spans="1:5" x14ac:dyDescent="0.2">
      <c r="A2381" s="28">
        <v>2380</v>
      </c>
      <c r="B2381" s="28" t="e">
        <f>interpola(#REF!,CURVA!$B$6:$B$20,CURVA!$G$6:$G$20)</f>
        <v>#VALUE!</v>
      </c>
      <c r="C2381" s="29" t="e">
        <f t="shared" si="37"/>
        <v>#VALUE!</v>
      </c>
      <c r="E2381" t="e">
        <f>cubic_spline(CURVA!$B$6:$B$20,CURVA!$G$6:$G$20,#REF!)</f>
        <v>#VALUE!</v>
      </c>
    </row>
    <row r="2382" spans="1:5" x14ac:dyDescent="0.2">
      <c r="A2382" s="28">
        <v>2381</v>
      </c>
      <c r="B2382" s="28" t="e">
        <f>interpola(#REF!,CURVA!$B$6:$B$20,CURVA!$G$6:$G$20)</f>
        <v>#VALUE!</v>
      </c>
      <c r="C2382" s="29" t="e">
        <f t="shared" si="37"/>
        <v>#VALUE!</v>
      </c>
      <c r="E2382" t="e">
        <f>cubic_spline(CURVA!$B$6:$B$20,CURVA!$G$6:$G$20,#REF!)</f>
        <v>#VALUE!</v>
      </c>
    </row>
    <row r="2383" spans="1:5" x14ac:dyDescent="0.2">
      <c r="A2383" s="28">
        <v>2382</v>
      </c>
      <c r="B2383" s="28" t="e">
        <f>interpola(#REF!,CURVA!$B$6:$B$20,CURVA!$G$6:$G$20)</f>
        <v>#VALUE!</v>
      </c>
      <c r="C2383" s="29" t="e">
        <f t="shared" si="37"/>
        <v>#VALUE!</v>
      </c>
      <c r="E2383" t="e">
        <f>cubic_spline(CURVA!$B$6:$B$20,CURVA!$G$6:$G$20,#REF!)</f>
        <v>#VALUE!</v>
      </c>
    </row>
    <row r="2384" spans="1:5" x14ac:dyDescent="0.2">
      <c r="A2384" s="28">
        <v>2383</v>
      </c>
      <c r="B2384" s="28" t="e">
        <f>interpola(#REF!,CURVA!$B$6:$B$20,CURVA!$G$6:$G$20)</f>
        <v>#VALUE!</v>
      </c>
      <c r="C2384" s="29" t="e">
        <f t="shared" si="37"/>
        <v>#VALUE!</v>
      </c>
      <c r="E2384" t="e">
        <f>cubic_spline(CURVA!$B$6:$B$20,CURVA!$G$6:$G$20,#REF!)</f>
        <v>#VALUE!</v>
      </c>
    </row>
    <row r="2385" spans="1:5" x14ac:dyDescent="0.2">
      <c r="A2385" s="28">
        <v>2384</v>
      </c>
      <c r="B2385" s="28" t="e">
        <f>interpola(#REF!,CURVA!$B$6:$B$20,CURVA!$G$6:$G$20)</f>
        <v>#VALUE!</v>
      </c>
      <c r="C2385" s="29" t="e">
        <f t="shared" si="37"/>
        <v>#VALUE!</v>
      </c>
      <c r="E2385" t="e">
        <f>cubic_spline(CURVA!$B$6:$B$20,CURVA!$G$6:$G$20,#REF!)</f>
        <v>#VALUE!</v>
      </c>
    </row>
    <row r="2386" spans="1:5" x14ac:dyDescent="0.2">
      <c r="A2386" s="28">
        <v>2385</v>
      </c>
      <c r="B2386" s="28" t="e">
        <f>interpola(#REF!,CURVA!$B$6:$B$20,CURVA!$G$6:$G$20)</f>
        <v>#VALUE!</v>
      </c>
      <c r="C2386" s="29" t="e">
        <f t="shared" si="37"/>
        <v>#VALUE!</v>
      </c>
      <c r="E2386" t="e">
        <f>cubic_spline(CURVA!$B$6:$B$20,CURVA!$G$6:$G$20,#REF!)</f>
        <v>#VALUE!</v>
      </c>
    </row>
    <row r="2387" spans="1:5" x14ac:dyDescent="0.2">
      <c r="A2387" s="28">
        <v>2386</v>
      </c>
      <c r="B2387" s="28" t="e">
        <f>interpola(#REF!,CURVA!$B$6:$B$20,CURVA!$G$6:$G$20)</f>
        <v>#VALUE!</v>
      </c>
      <c r="C2387" s="29" t="e">
        <f t="shared" si="37"/>
        <v>#VALUE!</v>
      </c>
      <c r="E2387" t="e">
        <f>cubic_spline(CURVA!$B$6:$B$20,CURVA!$G$6:$G$20,#REF!)</f>
        <v>#VALUE!</v>
      </c>
    </row>
    <row r="2388" spans="1:5" x14ac:dyDescent="0.2">
      <c r="A2388" s="28">
        <v>2387</v>
      </c>
      <c r="B2388" s="28" t="e">
        <f>interpola(#REF!,CURVA!$B$6:$B$20,CURVA!$G$6:$G$20)</f>
        <v>#VALUE!</v>
      </c>
      <c r="C2388" s="29" t="e">
        <f t="shared" si="37"/>
        <v>#VALUE!</v>
      </c>
      <c r="E2388" t="e">
        <f>cubic_spline(CURVA!$B$6:$B$20,CURVA!$G$6:$G$20,#REF!)</f>
        <v>#VALUE!</v>
      </c>
    </row>
    <row r="2389" spans="1:5" x14ac:dyDescent="0.2">
      <c r="A2389" s="28">
        <v>2388</v>
      </c>
      <c r="B2389" s="28" t="e">
        <f>interpola(#REF!,CURVA!$B$6:$B$20,CURVA!$G$6:$G$20)</f>
        <v>#VALUE!</v>
      </c>
      <c r="C2389" s="29" t="e">
        <f t="shared" si="37"/>
        <v>#VALUE!</v>
      </c>
      <c r="E2389" t="e">
        <f>cubic_spline(CURVA!$B$6:$B$20,CURVA!$G$6:$G$20,#REF!)</f>
        <v>#VALUE!</v>
      </c>
    </row>
    <row r="2390" spans="1:5" x14ac:dyDescent="0.2">
      <c r="A2390" s="28">
        <v>2389</v>
      </c>
      <c r="B2390" s="28" t="e">
        <f>interpola(#REF!,CURVA!$B$6:$B$20,CURVA!$G$6:$G$20)</f>
        <v>#VALUE!</v>
      </c>
      <c r="C2390" s="29" t="e">
        <f t="shared" si="37"/>
        <v>#VALUE!</v>
      </c>
      <c r="E2390" t="e">
        <f>cubic_spline(CURVA!$B$6:$B$20,CURVA!$G$6:$G$20,#REF!)</f>
        <v>#VALUE!</v>
      </c>
    </row>
    <row r="2391" spans="1:5" x14ac:dyDescent="0.2">
      <c r="A2391" s="28">
        <v>2390</v>
      </c>
      <c r="B2391" s="28" t="e">
        <f>interpola(#REF!,CURVA!$B$6:$B$20,CURVA!$G$6:$G$20)</f>
        <v>#VALUE!</v>
      </c>
      <c r="C2391" s="29" t="e">
        <f t="shared" si="37"/>
        <v>#VALUE!</v>
      </c>
      <c r="E2391" t="e">
        <f>cubic_spline(CURVA!$B$6:$B$20,CURVA!$G$6:$G$20,#REF!)</f>
        <v>#VALUE!</v>
      </c>
    </row>
    <row r="2392" spans="1:5" x14ac:dyDescent="0.2">
      <c r="A2392" s="28">
        <v>2391</v>
      </c>
      <c r="B2392" s="28" t="e">
        <f>interpola(#REF!,CURVA!$B$6:$B$20,CURVA!$G$6:$G$20)</f>
        <v>#VALUE!</v>
      </c>
      <c r="C2392" s="29" t="e">
        <f t="shared" si="37"/>
        <v>#VALUE!</v>
      </c>
      <c r="E2392" t="e">
        <f>cubic_spline(CURVA!$B$6:$B$20,CURVA!$G$6:$G$20,#REF!)</f>
        <v>#VALUE!</v>
      </c>
    </row>
    <row r="2393" spans="1:5" x14ac:dyDescent="0.2">
      <c r="A2393" s="28">
        <v>2392</v>
      </c>
      <c r="B2393" s="28" t="e">
        <f>interpola(#REF!,CURVA!$B$6:$B$20,CURVA!$G$6:$G$20)</f>
        <v>#VALUE!</v>
      </c>
      <c r="C2393" s="29" t="e">
        <f t="shared" si="37"/>
        <v>#VALUE!</v>
      </c>
      <c r="E2393" t="e">
        <f>cubic_spline(CURVA!$B$6:$B$20,CURVA!$G$6:$G$20,#REF!)</f>
        <v>#VALUE!</v>
      </c>
    </row>
    <row r="2394" spans="1:5" x14ac:dyDescent="0.2">
      <c r="A2394" s="28">
        <v>2393</v>
      </c>
      <c r="B2394" s="28" t="e">
        <f>interpola(#REF!,CURVA!$B$6:$B$20,CURVA!$G$6:$G$20)</f>
        <v>#VALUE!</v>
      </c>
      <c r="C2394" s="29" t="e">
        <f t="shared" si="37"/>
        <v>#VALUE!</v>
      </c>
      <c r="E2394" t="e">
        <f>cubic_spline(CURVA!$B$6:$B$20,CURVA!$G$6:$G$20,#REF!)</f>
        <v>#VALUE!</v>
      </c>
    </row>
    <row r="2395" spans="1:5" x14ac:dyDescent="0.2">
      <c r="A2395" s="28">
        <v>2394</v>
      </c>
      <c r="B2395" s="28" t="e">
        <f>interpola(#REF!,CURVA!$B$6:$B$20,CURVA!$G$6:$G$20)</f>
        <v>#VALUE!</v>
      </c>
      <c r="C2395" s="29" t="e">
        <f t="shared" si="37"/>
        <v>#VALUE!</v>
      </c>
      <c r="E2395" t="e">
        <f>cubic_spline(CURVA!$B$6:$B$20,CURVA!$G$6:$G$20,#REF!)</f>
        <v>#VALUE!</v>
      </c>
    </row>
    <row r="2396" spans="1:5" x14ac:dyDescent="0.2">
      <c r="A2396" s="28">
        <v>2395</v>
      </c>
      <c r="B2396" s="28" t="e">
        <f>interpola(#REF!,CURVA!$B$6:$B$20,CURVA!$G$6:$G$20)</f>
        <v>#VALUE!</v>
      </c>
      <c r="C2396" s="29" t="e">
        <f t="shared" si="37"/>
        <v>#VALUE!</v>
      </c>
      <c r="E2396" t="e">
        <f>cubic_spline(CURVA!$B$6:$B$20,CURVA!$G$6:$G$20,#REF!)</f>
        <v>#VALUE!</v>
      </c>
    </row>
    <row r="2397" spans="1:5" x14ac:dyDescent="0.2">
      <c r="A2397" s="28">
        <v>2396</v>
      </c>
      <c r="B2397" s="28" t="e">
        <f>interpola(#REF!,CURVA!$B$6:$B$20,CURVA!$G$6:$G$20)</f>
        <v>#VALUE!</v>
      </c>
      <c r="C2397" s="29" t="e">
        <f t="shared" si="37"/>
        <v>#VALUE!</v>
      </c>
      <c r="E2397" t="e">
        <f>cubic_spline(CURVA!$B$6:$B$20,CURVA!$G$6:$G$20,#REF!)</f>
        <v>#VALUE!</v>
      </c>
    </row>
    <row r="2398" spans="1:5" x14ac:dyDescent="0.2">
      <c r="A2398" s="28">
        <v>2397</v>
      </c>
      <c r="B2398" s="28" t="e">
        <f>interpola(#REF!,CURVA!$B$6:$B$20,CURVA!$G$6:$G$20)</f>
        <v>#VALUE!</v>
      </c>
      <c r="C2398" s="29" t="e">
        <f t="shared" si="37"/>
        <v>#VALUE!</v>
      </c>
      <c r="E2398" t="e">
        <f>cubic_spline(CURVA!$B$6:$B$20,CURVA!$G$6:$G$20,#REF!)</f>
        <v>#VALUE!</v>
      </c>
    </row>
    <row r="2399" spans="1:5" x14ac:dyDescent="0.2">
      <c r="A2399" s="28">
        <v>2398</v>
      </c>
      <c r="B2399" s="28" t="e">
        <f>interpola(#REF!,CURVA!$B$6:$B$20,CURVA!$G$6:$G$20)</f>
        <v>#VALUE!</v>
      </c>
      <c r="C2399" s="29" t="e">
        <f t="shared" si="37"/>
        <v>#VALUE!</v>
      </c>
      <c r="E2399" t="e">
        <f>cubic_spline(CURVA!$B$6:$B$20,CURVA!$G$6:$G$20,#REF!)</f>
        <v>#VALUE!</v>
      </c>
    </row>
    <row r="2400" spans="1:5" x14ac:dyDescent="0.2">
      <c r="A2400" s="28">
        <v>2399</v>
      </c>
      <c r="B2400" s="28" t="e">
        <f>interpola(#REF!,CURVA!$B$6:$B$20,CURVA!$G$6:$G$20)</f>
        <v>#VALUE!</v>
      </c>
      <c r="C2400" s="29" t="e">
        <f t="shared" si="37"/>
        <v>#VALUE!</v>
      </c>
      <c r="E2400" t="e">
        <f>cubic_spline(CURVA!$B$6:$B$20,CURVA!$G$6:$G$20,#REF!)</f>
        <v>#VALUE!</v>
      </c>
    </row>
    <row r="2401" spans="1:5" x14ac:dyDescent="0.2">
      <c r="A2401" s="28">
        <v>2400</v>
      </c>
      <c r="B2401" s="28" t="e">
        <f>interpola(#REF!,CURVA!$B$6:$B$20,CURVA!$G$6:$G$20)</f>
        <v>#VALUE!</v>
      </c>
      <c r="C2401" s="29" t="e">
        <f t="shared" si="37"/>
        <v>#VALUE!</v>
      </c>
      <c r="E2401" t="e">
        <f>cubic_spline(CURVA!$B$6:$B$20,CURVA!$G$6:$G$20,#REF!)</f>
        <v>#VALUE!</v>
      </c>
    </row>
    <row r="2402" spans="1:5" x14ac:dyDescent="0.2">
      <c r="A2402" s="28">
        <v>2401</v>
      </c>
      <c r="B2402" s="28" t="e">
        <f>interpola(#REF!,CURVA!$B$6:$B$20,CURVA!$G$6:$G$20)</f>
        <v>#VALUE!</v>
      </c>
      <c r="C2402" s="29" t="e">
        <f t="shared" si="37"/>
        <v>#VALUE!</v>
      </c>
      <c r="E2402" t="e">
        <f>cubic_spline(CURVA!$B$6:$B$20,CURVA!$G$6:$G$20,#REF!)</f>
        <v>#VALUE!</v>
      </c>
    </row>
    <row r="2403" spans="1:5" x14ac:dyDescent="0.2">
      <c r="A2403" s="28">
        <v>2402</v>
      </c>
      <c r="B2403" s="28" t="e">
        <f>interpola(#REF!,CURVA!$B$6:$B$20,CURVA!$G$6:$G$20)</f>
        <v>#VALUE!</v>
      </c>
      <c r="C2403" s="29" t="e">
        <f t="shared" si="37"/>
        <v>#VALUE!</v>
      </c>
      <c r="E2403" t="e">
        <f>cubic_spline(CURVA!$B$6:$B$20,CURVA!$G$6:$G$20,#REF!)</f>
        <v>#VALUE!</v>
      </c>
    </row>
    <row r="2404" spans="1:5" x14ac:dyDescent="0.2">
      <c r="A2404" s="28">
        <v>2403</v>
      </c>
      <c r="B2404" s="28" t="e">
        <f>interpola(#REF!,CURVA!$B$6:$B$20,CURVA!$G$6:$G$20)</f>
        <v>#VALUE!</v>
      </c>
      <c r="C2404" s="29" t="e">
        <f t="shared" si="37"/>
        <v>#VALUE!</v>
      </c>
      <c r="E2404" t="e">
        <f>cubic_spline(CURVA!$B$6:$B$20,CURVA!$G$6:$G$20,#REF!)</f>
        <v>#VALUE!</v>
      </c>
    </row>
    <row r="2405" spans="1:5" x14ac:dyDescent="0.2">
      <c r="A2405" s="28">
        <v>2404</v>
      </c>
      <c r="B2405" s="28" t="e">
        <f>interpola(#REF!,CURVA!$B$6:$B$20,CURVA!$G$6:$G$20)</f>
        <v>#VALUE!</v>
      </c>
      <c r="C2405" s="29" t="e">
        <f t="shared" si="37"/>
        <v>#VALUE!</v>
      </c>
      <c r="E2405" t="e">
        <f>cubic_spline(CURVA!$B$6:$B$20,CURVA!$G$6:$G$20,#REF!)</f>
        <v>#VALUE!</v>
      </c>
    </row>
    <row r="2406" spans="1:5" x14ac:dyDescent="0.2">
      <c r="A2406" s="28">
        <v>2405</v>
      </c>
      <c r="B2406" s="28" t="e">
        <f>interpola(#REF!,CURVA!$B$6:$B$20,CURVA!$G$6:$G$20)</f>
        <v>#VALUE!</v>
      </c>
      <c r="C2406" s="29" t="e">
        <f t="shared" si="37"/>
        <v>#VALUE!</v>
      </c>
      <c r="E2406" t="e">
        <f>cubic_spline(CURVA!$B$6:$B$20,CURVA!$G$6:$G$20,#REF!)</f>
        <v>#VALUE!</v>
      </c>
    </row>
    <row r="2407" spans="1:5" x14ac:dyDescent="0.2">
      <c r="A2407" s="28">
        <v>2406</v>
      </c>
      <c r="B2407" s="28" t="e">
        <f>interpola(#REF!,CURVA!$B$6:$B$20,CURVA!$G$6:$G$20)</f>
        <v>#VALUE!</v>
      </c>
      <c r="C2407" s="29" t="e">
        <f t="shared" si="37"/>
        <v>#VALUE!</v>
      </c>
      <c r="E2407" t="e">
        <f>cubic_spline(CURVA!$B$6:$B$20,CURVA!$G$6:$G$20,#REF!)</f>
        <v>#VALUE!</v>
      </c>
    </row>
    <row r="2408" spans="1:5" x14ac:dyDescent="0.2">
      <c r="A2408" s="28">
        <v>2407</v>
      </c>
      <c r="B2408" s="28" t="e">
        <f>interpola(#REF!,CURVA!$B$6:$B$20,CURVA!$G$6:$G$20)</f>
        <v>#VALUE!</v>
      </c>
      <c r="C2408" s="29" t="e">
        <f t="shared" si="37"/>
        <v>#VALUE!</v>
      </c>
      <c r="E2408" t="e">
        <f>cubic_spline(CURVA!$B$6:$B$20,CURVA!$G$6:$G$20,#REF!)</f>
        <v>#VALUE!</v>
      </c>
    </row>
    <row r="2409" spans="1:5" x14ac:dyDescent="0.2">
      <c r="A2409" s="28">
        <v>2408</v>
      </c>
      <c r="B2409" s="28" t="e">
        <f>interpola(#REF!,CURVA!$B$6:$B$20,CURVA!$G$6:$G$20)</f>
        <v>#VALUE!</v>
      </c>
      <c r="C2409" s="29" t="e">
        <f t="shared" si="37"/>
        <v>#VALUE!</v>
      </c>
      <c r="E2409" t="e">
        <f>cubic_spline(CURVA!$B$6:$B$20,CURVA!$G$6:$G$20,#REF!)</f>
        <v>#VALUE!</v>
      </c>
    </row>
    <row r="2410" spans="1:5" x14ac:dyDescent="0.2">
      <c r="A2410" s="28">
        <v>2409</v>
      </c>
      <c r="B2410" s="28" t="e">
        <f>interpola(#REF!,CURVA!$B$6:$B$20,CURVA!$G$6:$G$20)</f>
        <v>#VALUE!</v>
      </c>
      <c r="C2410" s="29" t="e">
        <f t="shared" si="37"/>
        <v>#VALUE!</v>
      </c>
      <c r="E2410" t="e">
        <f>cubic_spline(CURVA!$B$6:$B$20,CURVA!$G$6:$G$20,#REF!)</f>
        <v>#VALUE!</v>
      </c>
    </row>
    <row r="2411" spans="1:5" x14ac:dyDescent="0.2">
      <c r="A2411" s="28">
        <v>2410</v>
      </c>
      <c r="B2411" s="28" t="e">
        <f>interpola(#REF!,CURVA!$B$6:$B$20,CURVA!$G$6:$G$20)</f>
        <v>#VALUE!</v>
      </c>
      <c r="C2411" s="29" t="e">
        <f t="shared" si="37"/>
        <v>#VALUE!</v>
      </c>
      <c r="E2411" t="e">
        <f>cubic_spline(CURVA!$B$6:$B$20,CURVA!$G$6:$G$20,#REF!)</f>
        <v>#VALUE!</v>
      </c>
    </row>
    <row r="2412" spans="1:5" x14ac:dyDescent="0.2">
      <c r="A2412" s="28">
        <v>2411</v>
      </c>
      <c r="B2412" s="28" t="e">
        <f>interpola(#REF!,CURVA!$B$6:$B$20,CURVA!$G$6:$G$20)</f>
        <v>#VALUE!</v>
      </c>
      <c r="C2412" s="29" t="e">
        <f t="shared" si="37"/>
        <v>#VALUE!</v>
      </c>
      <c r="E2412" t="e">
        <f>cubic_spline(CURVA!$B$6:$B$20,CURVA!$G$6:$G$20,#REF!)</f>
        <v>#VALUE!</v>
      </c>
    </row>
    <row r="2413" spans="1:5" x14ac:dyDescent="0.2">
      <c r="A2413" s="28">
        <v>2412</v>
      </c>
      <c r="B2413" s="28" t="e">
        <f>interpola(#REF!,CURVA!$B$6:$B$20,CURVA!$G$6:$G$20)</f>
        <v>#VALUE!</v>
      </c>
      <c r="C2413" s="29" t="e">
        <f t="shared" si="37"/>
        <v>#VALUE!</v>
      </c>
      <c r="E2413" t="e">
        <f>cubic_spline(CURVA!$B$6:$B$20,CURVA!$G$6:$G$20,#REF!)</f>
        <v>#VALUE!</v>
      </c>
    </row>
    <row r="2414" spans="1:5" x14ac:dyDescent="0.2">
      <c r="A2414" s="28">
        <v>2413</v>
      </c>
      <c r="B2414" s="28" t="e">
        <f>interpola(#REF!,CURVA!$B$6:$B$20,CURVA!$G$6:$G$20)</f>
        <v>#VALUE!</v>
      </c>
      <c r="C2414" s="29" t="e">
        <f t="shared" si="37"/>
        <v>#VALUE!</v>
      </c>
      <c r="E2414" t="e">
        <f>cubic_spline(CURVA!$B$6:$B$20,CURVA!$G$6:$G$20,#REF!)</f>
        <v>#VALUE!</v>
      </c>
    </row>
    <row r="2415" spans="1:5" x14ac:dyDescent="0.2">
      <c r="A2415" s="28">
        <v>2414</v>
      </c>
      <c r="B2415" s="28" t="e">
        <f>interpola(#REF!,CURVA!$B$6:$B$20,CURVA!$G$6:$G$20)</f>
        <v>#VALUE!</v>
      </c>
      <c r="C2415" s="29" t="e">
        <f t="shared" si="37"/>
        <v>#VALUE!</v>
      </c>
      <c r="E2415" t="e">
        <f>cubic_spline(CURVA!$B$6:$B$20,CURVA!$G$6:$G$20,#REF!)</f>
        <v>#VALUE!</v>
      </c>
    </row>
    <row r="2416" spans="1:5" x14ac:dyDescent="0.2">
      <c r="A2416" s="28">
        <v>2415</v>
      </c>
      <c r="B2416" s="28" t="e">
        <f>interpola(#REF!,CURVA!$B$6:$B$20,CURVA!$G$6:$G$20)</f>
        <v>#VALUE!</v>
      </c>
      <c r="C2416" s="29" t="e">
        <f t="shared" si="37"/>
        <v>#VALUE!</v>
      </c>
      <c r="E2416" t="e">
        <f>cubic_spline(CURVA!$B$6:$B$20,CURVA!$G$6:$G$20,#REF!)</f>
        <v>#VALUE!</v>
      </c>
    </row>
    <row r="2417" spans="1:5" x14ac:dyDescent="0.2">
      <c r="A2417" s="28">
        <v>2416</v>
      </c>
      <c r="B2417" s="28" t="e">
        <f>interpola(#REF!,CURVA!$B$6:$B$20,CURVA!$G$6:$G$20)</f>
        <v>#VALUE!</v>
      </c>
      <c r="C2417" s="29" t="e">
        <f t="shared" si="37"/>
        <v>#VALUE!</v>
      </c>
      <c r="E2417" t="e">
        <f>cubic_spline(CURVA!$B$6:$B$20,CURVA!$G$6:$G$20,#REF!)</f>
        <v>#VALUE!</v>
      </c>
    </row>
    <row r="2418" spans="1:5" x14ac:dyDescent="0.2">
      <c r="A2418" s="28">
        <v>2417</v>
      </c>
      <c r="B2418" s="28" t="e">
        <f>interpola(#REF!,CURVA!$B$6:$B$20,CURVA!$G$6:$G$20)</f>
        <v>#VALUE!</v>
      </c>
      <c r="C2418" s="29" t="e">
        <f t="shared" si="37"/>
        <v>#VALUE!</v>
      </c>
      <c r="E2418" t="e">
        <f>cubic_spline(CURVA!$B$6:$B$20,CURVA!$G$6:$G$20,#REF!)</f>
        <v>#VALUE!</v>
      </c>
    </row>
    <row r="2419" spans="1:5" x14ac:dyDescent="0.2">
      <c r="A2419" s="28">
        <v>2418</v>
      </c>
      <c r="B2419" s="28" t="e">
        <f>interpola(#REF!,CURVA!$B$6:$B$20,CURVA!$G$6:$G$20)</f>
        <v>#VALUE!</v>
      </c>
      <c r="C2419" s="29" t="e">
        <f t="shared" si="37"/>
        <v>#VALUE!</v>
      </c>
      <c r="E2419" t="e">
        <f>cubic_spline(CURVA!$B$6:$B$20,CURVA!$G$6:$G$20,#REF!)</f>
        <v>#VALUE!</v>
      </c>
    </row>
    <row r="2420" spans="1:5" x14ac:dyDescent="0.2">
      <c r="A2420" s="28">
        <v>2419</v>
      </c>
      <c r="B2420" s="28" t="e">
        <f>interpola(#REF!,CURVA!$B$6:$B$20,CURVA!$G$6:$G$20)</f>
        <v>#VALUE!</v>
      </c>
      <c r="C2420" s="29" t="e">
        <f t="shared" si="37"/>
        <v>#VALUE!</v>
      </c>
      <c r="E2420" t="e">
        <f>cubic_spline(CURVA!$B$6:$B$20,CURVA!$G$6:$G$20,#REF!)</f>
        <v>#VALUE!</v>
      </c>
    </row>
    <row r="2421" spans="1:5" x14ac:dyDescent="0.2">
      <c r="A2421" s="28">
        <v>2420</v>
      </c>
      <c r="B2421" s="28" t="e">
        <f>interpola(#REF!,CURVA!$B$6:$B$20,CURVA!$G$6:$G$20)</f>
        <v>#VALUE!</v>
      </c>
      <c r="C2421" s="29" t="e">
        <f t="shared" si="37"/>
        <v>#VALUE!</v>
      </c>
      <c r="E2421" t="e">
        <f>cubic_spline(CURVA!$B$6:$B$20,CURVA!$G$6:$G$20,#REF!)</f>
        <v>#VALUE!</v>
      </c>
    </row>
    <row r="2422" spans="1:5" x14ac:dyDescent="0.2">
      <c r="A2422" s="28">
        <v>2421</v>
      </c>
      <c r="B2422" s="28" t="e">
        <f>interpola(#REF!,CURVA!$B$6:$B$20,CURVA!$G$6:$G$20)</f>
        <v>#VALUE!</v>
      </c>
      <c r="C2422" s="29" t="e">
        <f t="shared" si="37"/>
        <v>#VALUE!</v>
      </c>
      <c r="E2422" t="e">
        <f>cubic_spline(CURVA!$B$6:$B$20,CURVA!$G$6:$G$20,#REF!)</f>
        <v>#VALUE!</v>
      </c>
    </row>
    <row r="2423" spans="1:5" x14ac:dyDescent="0.2">
      <c r="A2423" s="28">
        <v>2422</v>
      </c>
      <c r="B2423" s="28" t="e">
        <f>interpola(#REF!,CURVA!$B$6:$B$20,CURVA!$G$6:$G$20)</f>
        <v>#VALUE!</v>
      </c>
      <c r="C2423" s="29" t="e">
        <f t="shared" si="37"/>
        <v>#VALUE!</v>
      </c>
      <c r="E2423" t="e">
        <f>cubic_spline(CURVA!$B$6:$B$20,CURVA!$G$6:$G$20,#REF!)</f>
        <v>#VALUE!</v>
      </c>
    </row>
    <row r="2424" spans="1:5" x14ac:dyDescent="0.2">
      <c r="A2424" s="28">
        <v>2423</v>
      </c>
      <c r="B2424" s="28" t="e">
        <f>interpola(#REF!,CURVA!$B$6:$B$20,CURVA!$G$6:$G$20)</f>
        <v>#VALUE!</v>
      </c>
      <c r="C2424" s="29" t="e">
        <f t="shared" si="37"/>
        <v>#VALUE!</v>
      </c>
      <c r="E2424" t="e">
        <f>cubic_spline(CURVA!$B$6:$B$20,CURVA!$G$6:$G$20,#REF!)</f>
        <v>#VALUE!</v>
      </c>
    </row>
    <row r="2425" spans="1:5" x14ac:dyDescent="0.2">
      <c r="A2425" s="28">
        <v>2424</v>
      </c>
      <c r="B2425" s="28" t="e">
        <f>interpola(#REF!,CURVA!$B$6:$B$20,CURVA!$G$6:$G$20)</f>
        <v>#VALUE!</v>
      </c>
      <c r="C2425" s="29" t="e">
        <f t="shared" si="37"/>
        <v>#VALUE!</v>
      </c>
      <c r="E2425" t="e">
        <f>cubic_spline(CURVA!$B$6:$B$20,CURVA!$G$6:$G$20,#REF!)</f>
        <v>#VALUE!</v>
      </c>
    </row>
    <row r="2426" spans="1:5" x14ac:dyDescent="0.2">
      <c r="A2426" s="28">
        <v>2425</v>
      </c>
      <c r="B2426" s="28" t="e">
        <f>interpola(#REF!,CURVA!$B$6:$B$20,CURVA!$G$6:$G$20)</f>
        <v>#VALUE!</v>
      </c>
      <c r="C2426" s="29" t="e">
        <f t="shared" si="37"/>
        <v>#VALUE!</v>
      </c>
      <c r="E2426" t="e">
        <f>cubic_spline(CURVA!$B$6:$B$20,CURVA!$G$6:$G$20,#REF!)</f>
        <v>#VALUE!</v>
      </c>
    </row>
    <row r="2427" spans="1:5" x14ac:dyDescent="0.2">
      <c r="A2427" s="28">
        <v>2426</v>
      </c>
      <c r="B2427" s="28" t="e">
        <f>interpola(#REF!,CURVA!$B$6:$B$20,CURVA!$G$6:$G$20)</f>
        <v>#VALUE!</v>
      </c>
      <c r="C2427" s="29" t="e">
        <f t="shared" si="37"/>
        <v>#VALUE!</v>
      </c>
      <c r="E2427" t="e">
        <f>cubic_spline(CURVA!$B$6:$B$20,CURVA!$G$6:$G$20,#REF!)</f>
        <v>#VALUE!</v>
      </c>
    </row>
    <row r="2428" spans="1:5" x14ac:dyDescent="0.2">
      <c r="A2428" s="28">
        <v>2427</v>
      </c>
      <c r="B2428" s="28" t="e">
        <f>interpola(#REF!,CURVA!$B$6:$B$20,CURVA!$G$6:$G$20)</f>
        <v>#VALUE!</v>
      </c>
      <c r="C2428" s="29" t="e">
        <f t="shared" si="37"/>
        <v>#VALUE!</v>
      </c>
      <c r="E2428" t="e">
        <f>cubic_spline(CURVA!$B$6:$B$20,CURVA!$G$6:$G$20,#REF!)</f>
        <v>#VALUE!</v>
      </c>
    </row>
    <row r="2429" spans="1:5" x14ac:dyDescent="0.2">
      <c r="A2429" s="28">
        <v>2428</v>
      </c>
      <c r="B2429" s="28" t="e">
        <f>interpola(#REF!,CURVA!$B$6:$B$20,CURVA!$G$6:$G$20)</f>
        <v>#VALUE!</v>
      </c>
      <c r="C2429" s="29" t="e">
        <f t="shared" si="37"/>
        <v>#VALUE!</v>
      </c>
      <c r="E2429" t="e">
        <f>cubic_spline(CURVA!$B$6:$B$20,CURVA!$G$6:$G$20,#REF!)</f>
        <v>#VALUE!</v>
      </c>
    </row>
    <row r="2430" spans="1:5" x14ac:dyDescent="0.2">
      <c r="A2430" s="28">
        <v>2429</v>
      </c>
      <c r="B2430" s="28" t="e">
        <f>interpola(#REF!,CURVA!$B$6:$B$20,CURVA!$G$6:$G$20)</f>
        <v>#VALUE!</v>
      </c>
      <c r="C2430" s="29" t="e">
        <f t="shared" si="37"/>
        <v>#VALUE!</v>
      </c>
      <c r="E2430" t="e">
        <f>cubic_spline(CURVA!$B$6:$B$20,CURVA!$G$6:$G$20,#REF!)</f>
        <v>#VALUE!</v>
      </c>
    </row>
    <row r="2431" spans="1:5" x14ac:dyDescent="0.2">
      <c r="A2431" s="28">
        <v>2430</v>
      </c>
      <c r="B2431" s="28" t="e">
        <f>interpola(#REF!,CURVA!$B$6:$B$20,CURVA!$G$6:$G$20)</f>
        <v>#VALUE!</v>
      </c>
      <c r="C2431" s="29" t="e">
        <f t="shared" si="37"/>
        <v>#VALUE!</v>
      </c>
      <c r="E2431" t="e">
        <f>cubic_spline(CURVA!$B$6:$B$20,CURVA!$G$6:$G$20,#REF!)</f>
        <v>#VALUE!</v>
      </c>
    </row>
    <row r="2432" spans="1:5" x14ac:dyDescent="0.2">
      <c r="A2432" s="28">
        <v>2431</v>
      </c>
      <c r="B2432" s="28" t="e">
        <f>interpola(#REF!,CURVA!$B$6:$B$20,CURVA!$G$6:$G$20)</f>
        <v>#VALUE!</v>
      </c>
      <c r="C2432" s="29" t="e">
        <f t="shared" si="37"/>
        <v>#VALUE!</v>
      </c>
      <c r="E2432" t="e">
        <f>cubic_spline(CURVA!$B$6:$B$20,CURVA!$G$6:$G$20,#REF!)</f>
        <v>#VALUE!</v>
      </c>
    </row>
    <row r="2433" spans="1:5" x14ac:dyDescent="0.2">
      <c r="A2433" s="28">
        <v>2432</v>
      </c>
      <c r="B2433" s="28" t="e">
        <f>interpola(#REF!,CURVA!$B$6:$B$20,CURVA!$G$6:$G$20)</f>
        <v>#VALUE!</v>
      </c>
      <c r="C2433" s="29" t="e">
        <f t="shared" si="37"/>
        <v>#VALUE!</v>
      </c>
      <c r="E2433" t="e">
        <f>cubic_spline(CURVA!$B$6:$B$20,CURVA!$G$6:$G$20,#REF!)</f>
        <v>#VALUE!</v>
      </c>
    </row>
    <row r="2434" spans="1:5" x14ac:dyDescent="0.2">
      <c r="A2434" s="28">
        <v>2433</v>
      </c>
      <c r="B2434" s="28" t="e">
        <f>interpola(#REF!,CURVA!$B$6:$B$20,CURVA!$G$6:$G$20)</f>
        <v>#VALUE!</v>
      </c>
      <c r="C2434" s="29" t="e">
        <f t="shared" ref="C2434:C2497" si="38">(EXP(B2434*A2434/360)-1)*360/A2434</f>
        <v>#VALUE!</v>
      </c>
      <c r="E2434" t="e">
        <f>cubic_spline(CURVA!$B$6:$B$20,CURVA!$G$6:$G$20,#REF!)</f>
        <v>#VALUE!</v>
      </c>
    </row>
    <row r="2435" spans="1:5" x14ac:dyDescent="0.2">
      <c r="A2435" s="28">
        <v>2434</v>
      </c>
      <c r="B2435" s="28" t="e">
        <f>interpola(#REF!,CURVA!$B$6:$B$20,CURVA!$G$6:$G$20)</f>
        <v>#VALUE!</v>
      </c>
      <c r="C2435" s="29" t="e">
        <f t="shared" si="38"/>
        <v>#VALUE!</v>
      </c>
      <c r="E2435" t="e">
        <f>cubic_spline(CURVA!$B$6:$B$20,CURVA!$G$6:$G$20,#REF!)</f>
        <v>#VALUE!</v>
      </c>
    </row>
    <row r="2436" spans="1:5" x14ac:dyDescent="0.2">
      <c r="A2436" s="28">
        <v>2435</v>
      </c>
      <c r="B2436" s="28" t="e">
        <f>interpola(#REF!,CURVA!$B$6:$B$20,CURVA!$G$6:$G$20)</f>
        <v>#VALUE!</v>
      </c>
      <c r="C2436" s="29" t="e">
        <f t="shared" si="38"/>
        <v>#VALUE!</v>
      </c>
      <c r="E2436" t="e">
        <f>cubic_spline(CURVA!$B$6:$B$20,CURVA!$G$6:$G$20,#REF!)</f>
        <v>#VALUE!</v>
      </c>
    </row>
    <row r="2437" spans="1:5" x14ac:dyDescent="0.2">
      <c r="A2437" s="28">
        <v>2436</v>
      </c>
      <c r="B2437" s="28" t="e">
        <f>interpola(#REF!,CURVA!$B$6:$B$20,CURVA!$G$6:$G$20)</f>
        <v>#VALUE!</v>
      </c>
      <c r="C2437" s="29" t="e">
        <f t="shared" si="38"/>
        <v>#VALUE!</v>
      </c>
      <c r="E2437" t="e">
        <f>cubic_spline(CURVA!$B$6:$B$20,CURVA!$G$6:$G$20,#REF!)</f>
        <v>#VALUE!</v>
      </c>
    </row>
    <row r="2438" spans="1:5" x14ac:dyDescent="0.2">
      <c r="A2438" s="28">
        <v>2437</v>
      </c>
      <c r="B2438" s="28" t="e">
        <f>interpola(#REF!,CURVA!$B$6:$B$20,CURVA!$G$6:$G$20)</f>
        <v>#VALUE!</v>
      </c>
      <c r="C2438" s="29" t="e">
        <f t="shared" si="38"/>
        <v>#VALUE!</v>
      </c>
      <c r="E2438" t="e">
        <f>cubic_spline(CURVA!$B$6:$B$20,CURVA!$G$6:$G$20,#REF!)</f>
        <v>#VALUE!</v>
      </c>
    </row>
    <row r="2439" spans="1:5" x14ac:dyDescent="0.2">
      <c r="A2439" s="28">
        <v>2438</v>
      </c>
      <c r="B2439" s="28" t="e">
        <f>interpola(#REF!,CURVA!$B$6:$B$20,CURVA!$G$6:$G$20)</f>
        <v>#VALUE!</v>
      </c>
      <c r="C2439" s="29" t="e">
        <f t="shared" si="38"/>
        <v>#VALUE!</v>
      </c>
      <c r="E2439" t="e">
        <f>cubic_spline(CURVA!$B$6:$B$20,CURVA!$G$6:$G$20,#REF!)</f>
        <v>#VALUE!</v>
      </c>
    </row>
    <row r="2440" spans="1:5" x14ac:dyDescent="0.2">
      <c r="A2440" s="28">
        <v>2439</v>
      </c>
      <c r="B2440" s="28" t="e">
        <f>interpola(#REF!,CURVA!$B$6:$B$20,CURVA!$G$6:$G$20)</f>
        <v>#VALUE!</v>
      </c>
      <c r="C2440" s="29" t="e">
        <f t="shared" si="38"/>
        <v>#VALUE!</v>
      </c>
      <c r="E2440" t="e">
        <f>cubic_spline(CURVA!$B$6:$B$20,CURVA!$G$6:$G$20,#REF!)</f>
        <v>#VALUE!</v>
      </c>
    </row>
    <row r="2441" spans="1:5" x14ac:dyDescent="0.2">
      <c r="A2441" s="28">
        <v>2440</v>
      </c>
      <c r="B2441" s="28" t="e">
        <f>interpola(#REF!,CURVA!$B$6:$B$20,CURVA!$G$6:$G$20)</f>
        <v>#VALUE!</v>
      </c>
      <c r="C2441" s="29" t="e">
        <f t="shared" si="38"/>
        <v>#VALUE!</v>
      </c>
      <c r="E2441" t="e">
        <f>cubic_spline(CURVA!$B$6:$B$20,CURVA!$G$6:$G$20,#REF!)</f>
        <v>#VALUE!</v>
      </c>
    </row>
    <row r="2442" spans="1:5" x14ac:dyDescent="0.2">
      <c r="A2442" s="28">
        <v>2441</v>
      </c>
      <c r="B2442" s="28" t="e">
        <f>interpola(#REF!,CURVA!$B$6:$B$20,CURVA!$G$6:$G$20)</f>
        <v>#VALUE!</v>
      </c>
      <c r="C2442" s="29" t="e">
        <f t="shared" si="38"/>
        <v>#VALUE!</v>
      </c>
      <c r="E2442" t="e">
        <f>cubic_spline(CURVA!$B$6:$B$20,CURVA!$G$6:$G$20,#REF!)</f>
        <v>#VALUE!</v>
      </c>
    </row>
    <row r="2443" spans="1:5" x14ac:dyDescent="0.2">
      <c r="A2443" s="28">
        <v>2442</v>
      </c>
      <c r="B2443" s="28" t="e">
        <f>interpola(#REF!,CURVA!$B$6:$B$20,CURVA!$G$6:$G$20)</f>
        <v>#VALUE!</v>
      </c>
      <c r="C2443" s="29" t="e">
        <f t="shared" si="38"/>
        <v>#VALUE!</v>
      </c>
      <c r="E2443" t="e">
        <f>cubic_spline(CURVA!$B$6:$B$20,CURVA!$G$6:$G$20,#REF!)</f>
        <v>#VALUE!</v>
      </c>
    </row>
    <row r="2444" spans="1:5" x14ac:dyDescent="0.2">
      <c r="A2444" s="28">
        <v>2443</v>
      </c>
      <c r="B2444" s="28" t="e">
        <f>interpola(#REF!,CURVA!$B$6:$B$20,CURVA!$G$6:$G$20)</f>
        <v>#VALUE!</v>
      </c>
      <c r="C2444" s="29" t="e">
        <f t="shared" si="38"/>
        <v>#VALUE!</v>
      </c>
      <c r="E2444" t="e">
        <f>cubic_spline(CURVA!$B$6:$B$20,CURVA!$G$6:$G$20,#REF!)</f>
        <v>#VALUE!</v>
      </c>
    </row>
    <row r="2445" spans="1:5" x14ac:dyDescent="0.2">
      <c r="A2445" s="28">
        <v>2444</v>
      </c>
      <c r="B2445" s="28" t="e">
        <f>interpola(#REF!,CURVA!$B$6:$B$20,CURVA!$G$6:$G$20)</f>
        <v>#VALUE!</v>
      </c>
      <c r="C2445" s="29" t="e">
        <f t="shared" si="38"/>
        <v>#VALUE!</v>
      </c>
      <c r="E2445" t="e">
        <f>cubic_spline(CURVA!$B$6:$B$20,CURVA!$G$6:$G$20,#REF!)</f>
        <v>#VALUE!</v>
      </c>
    </row>
    <row r="2446" spans="1:5" x14ac:dyDescent="0.2">
      <c r="A2446" s="28">
        <v>2445</v>
      </c>
      <c r="B2446" s="28" t="e">
        <f>interpola(#REF!,CURVA!$B$6:$B$20,CURVA!$G$6:$G$20)</f>
        <v>#VALUE!</v>
      </c>
      <c r="C2446" s="29" t="e">
        <f t="shared" si="38"/>
        <v>#VALUE!</v>
      </c>
      <c r="E2446" t="e">
        <f>cubic_spline(CURVA!$B$6:$B$20,CURVA!$G$6:$G$20,#REF!)</f>
        <v>#VALUE!</v>
      </c>
    </row>
    <row r="2447" spans="1:5" x14ac:dyDescent="0.2">
      <c r="A2447" s="28">
        <v>2446</v>
      </c>
      <c r="B2447" s="28" t="e">
        <f>interpola(#REF!,CURVA!$B$6:$B$20,CURVA!$G$6:$G$20)</f>
        <v>#VALUE!</v>
      </c>
      <c r="C2447" s="29" t="e">
        <f t="shared" si="38"/>
        <v>#VALUE!</v>
      </c>
      <c r="E2447" t="e">
        <f>cubic_spline(CURVA!$B$6:$B$20,CURVA!$G$6:$G$20,#REF!)</f>
        <v>#VALUE!</v>
      </c>
    </row>
    <row r="2448" spans="1:5" x14ac:dyDescent="0.2">
      <c r="A2448" s="28">
        <v>2447</v>
      </c>
      <c r="B2448" s="28" t="e">
        <f>interpola(#REF!,CURVA!$B$6:$B$20,CURVA!$G$6:$G$20)</f>
        <v>#VALUE!</v>
      </c>
      <c r="C2448" s="29" t="e">
        <f t="shared" si="38"/>
        <v>#VALUE!</v>
      </c>
      <c r="E2448" t="e">
        <f>cubic_spline(CURVA!$B$6:$B$20,CURVA!$G$6:$G$20,#REF!)</f>
        <v>#VALUE!</v>
      </c>
    </row>
    <row r="2449" spans="1:5" x14ac:dyDescent="0.2">
      <c r="A2449" s="28">
        <v>2448</v>
      </c>
      <c r="B2449" s="28" t="e">
        <f>interpola(#REF!,CURVA!$B$6:$B$20,CURVA!$G$6:$G$20)</f>
        <v>#VALUE!</v>
      </c>
      <c r="C2449" s="29" t="e">
        <f t="shared" si="38"/>
        <v>#VALUE!</v>
      </c>
      <c r="E2449" t="e">
        <f>cubic_spline(CURVA!$B$6:$B$20,CURVA!$G$6:$G$20,#REF!)</f>
        <v>#VALUE!</v>
      </c>
    </row>
    <row r="2450" spans="1:5" x14ac:dyDescent="0.2">
      <c r="A2450" s="28">
        <v>2449</v>
      </c>
      <c r="B2450" s="28" t="e">
        <f>interpola(#REF!,CURVA!$B$6:$B$20,CURVA!$G$6:$G$20)</f>
        <v>#VALUE!</v>
      </c>
      <c r="C2450" s="29" t="e">
        <f t="shared" si="38"/>
        <v>#VALUE!</v>
      </c>
      <c r="E2450" t="e">
        <f>cubic_spline(CURVA!$B$6:$B$20,CURVA!$G$6:$G$20,#REF!)</f>
        <v>#VALUE!</v>
      </c>
    </row>
    <row r="2451" spans="1:5" x14ac:dyDescent="0.2">
      <c r="A2451" s="28">
        <v>2450</v>
      </c>
      <c r="B2451" s="28" t="e">
        <f>interpola(#REF!,CURVA!$B$6:$B$20,CURVA!$G$6:$G$20)</f>
        <v>#VALUE!</v>
      </c>
      <c r="C2451" s="29" t="e">
        <f t="shared" si="38"/>
        <v>#VALUE!</v>
      </c>
      <c r="E2451" t="e">
        <f>cubic_spline(CURVA!$B$6:$B$20,CURVA!$G$6:$G$20,#REF!)</f>
        <v>#VALUE!</v>
      </c>
    </row>
    <row r="2452" spans="1:5" x14ac:dyDescent="0.2">
      <c r="A2452" s="28">
        <v>2451</v>
      </c>
      <c r="B2452" s="28" t="e">
        <f>interpola(#REF!,CURVA!$B$6:$B$20,CURVA!$G$6:$G$20)</f>
        <v>#VALUE!</v>
      </c>
      <c r="C2452" s="29" t="e">
        <f t="shared" si="38"/>
        <v>#VALUE!</v>
      </c>
      <c r="E2452" t="e">
        <f>cubic_spline(CURVA!$B$6:$B$20,CURVA!$G$6:$G$20,#REF!)</f>
        <v>#VALUE!</v>
      </c>
    </row>
    <row r="2453" spans="1:5" x14ac:dyDescent="0.2">
      <c r="A2453" s="28">
        <v>2452</v>
      </c>
      <c r="B2453" s="28" t="e">
        <f>interpola(#REF!,CURVA!$B$6:$B$20,CURVA!$G$6:$G$20)</f>
        <v>#VALUE!</v>
      </c>
      <c r="C2453" s="29" t="e">
        <f t="shared" si="38"/>
        <v>#VALUE!</v>
      </c>
      <c r="E2453" t="e">
        <f>cubic_spline(CURVA!$B$6:$B$20,CURVA!$G$6:$G$20,#REF!)</f>
        <v>#VALUE!</v>
      </c>
    </row>
    <row r="2454" spans="1:5" x14ac:dyDescent="0.2">
      <c r="A2454" s="28">
        <v>2453</v>
      </c>
      <c r="B2454" s="28" t="e">
        <f>interpola(#REF!,CURVA!$B$6:$B$20,CURVA!$G$6:$G$20)</f>
        <v>#VALUE!</v>
      </c>
      <c r="C2454" s="29" t="e">
        <f t="shared" si="38"/>
        <v>#VALUE!</v>
      </c>
      <c r="E2454" t="e">
        <f>cubic_spline(CURVA!$B$6:$B$20,CURVA!$G$6:$G$20,#REF!)</f>
        <v>#VALUE!</v>
      </c>
    </row>
    <row r="2455" spans="1:5" x14ac:dyDescent="0.2">
      <c r="A2455" s="28">
        <v>2454</v>
      </c>
      <c r="B2455" s="28" t="e">
        <f>interpola(#REF!,CURVA!$B$6:$B$20,CURVA!$G$6:$G$20)</f>
        <v>#VALUE!</v>
      </c>
      <c r="C2455" s="29" t="e">
        <f t="shared" si="38"/>
        <v>#VALUE!</v>
      </c>
      <c r="E2455" t="e">
        <f>cubic_spline(CURVA!$B$6:$B$20,CURVA!$G$6:$G$20,#REF!)</f>
        <v>#VALUE!</v>
      </c>
    </row>
    <row r="2456" spans="1:5" x14ac:dyDescent="0.2">
      <c r="A2456" s="28">
        <v>2455</v>
      </c>
      <c r="B2456" s="28" t="e">
        <f>interpola(#REF!,CURVA!$B$6:$B$20,CURVA!$G$6:$G$20)</f>
        <v>#VALUE!</v>
      </c>
      <c r="C2456" s="29" t="e">
        <f t="shared" si="38"/>
        <v>#VALUE!</v>
      </c>
      <c r="E2456" t="e">
        <f>cubic_spline(CURVA!$B$6:$B$20,CURVA!$G$6:$G$20,#REF!)</f>
        <v>#VALUE!</v>
      </c>
    </row>
    <row r="2457" spans="1:5" x14ac:dyDescent="0.2">
      <c r="A2457" s="28">
        <v>2456</v>
      </c>
      <c r="B2457" s="28" t="e">
        <f>interpola(#REF!,CURVA!$B$6:$B$20,CURVA!$G$6:$G$20)</f>
        <v>#VALUE!</v>
      </c>
      <c r="C2457" s="29" t="e">
        <f t="shared" si="38"/>
        <v>#VALUE!</v>
      </c>
      <c r="E2457" t="e">
        <f>cubic_spline(CURVA!$B$6:$B$20,CURVA!$G$6:$G$20,#REF!)</f>
        <v>#VALUE!</v>
      </c>
    </row>
    <row r="2458" spans="1:5" x14ac:dyDescent="0.2">
      <c r="A2458" s="28">
        <v>2457</v>
      </c>
      <c r="B2458" s="28" t="e">
        <f>interpola(#REF!,CURVA!$B$6:$B$20,CURVA!$G$6:$G$20)</f>
        <v>#VALUE!</v>
      </c>
      <c r="C2458" s="29" t="e">
        <f t="shared" si="38"/>
        <v>#VALUE!</v>
      </c>
      <c r="E2458" t="e">
        <f>cubic_spline(CURVA!$B$6:$B$20,CURVA!$G$6:$G$20,#REF!)</f>
        <v>#VALUE!</v>
      </c>
    </row>
    <row r="2459" spans="1:5" x14ac:dyDescent="0.2">
      <c r="A2459" s="28">
        <v>2458</v>
      </c>
      <c r="B2459" s="28" t="e">
        <f>interpola(#REF!,CURVA!$B$6:$B$20,CURVA!$G$6:$G$20)</f>
        <v>#VALUE!</v>
      </c>
      <c r="C2459" s="29" t="e">
        <f t="shared" si="38"/>
        <v>#VALUE!</v>
      </c>
      <c r="E2459" t="e">
        <f>cubic_spline(CURVA!$B$6:$B$20,CURVA!$G$6:$G$20,#REF!)</f>
        <v>#VALUE!</v>
      </c>
    </row>
    <row r="2460" spans="1:5" x14ac:dyDescent="0.2">
      <c r="A2460" s="28">
        <v>2459</v>
      </c>
      <c r="B2460" s="28" t="e">
        <f>interpola(#REF!,CURVA!$B$6:$B$20,CURVA!$G$6:$G$20)</f>
        <v>#VALUE!</v>
      </c>
      <c r="C2460" s="29" t="e">
        <f t="shared" si="38"/>
        <v>#VALUE!</v>
      </c>
      <c r="E2460" t="e">
        <f>cubic_spline(CURVA!$B$6:$B$20,CURVA!$G$6:$G$20,#REF!)</f>
        <v>#VALUE!</v>
      </c>
    </row>
    <row r="2461" spans="1:5" x14ac:dyDescent="0.2">
      <c r="A2461" s="28">
        <v>2460</v>
      </c>
      <c r="B2461" s="28" t="e">
        <f>interpola(#REF!,CURVA!$B$6:$B$20,CURVA!$G$6:$G$20)</f>
        <v>#VALUE!</v>
      </c>
      <c r="C2461" s="29" t="e">
        <f t="shared" si="38"/>
        <v>#VALUE!</v>
      </c>
      <c r="E2461" t="e">
        <f>cubic_spline(CURVA!$B$6:$B$20,CURVA!$G$6:$G$20,#REF!)</f>
        <v>#VALUE!</v>
      </c>
    </row>
    <row r="2462" spans="1:5" x14ac:dyDescent="0.2">
      <c r="A2462" s="28">
        <v>2461</v>
      </c>
      <c r="B2462" s="28" t="e">
        <f>interpola(#REF!,CURVA!$B$6:$B$20,CURVA!$G$6:$G$20)</f>
        <v>#VALUE!</v>
      </c>
      <c r="C2462" s="29" t="e">
        <f t="shared" si="38"/>
        <v>#VALUE!</v>
      </c>
      <c r="E2462" t="e">
        <f>cubic_spline(CURVA!$B$6:$B$20,CURVA!$G$6:$G$20,#REF!)</f>
        <v>#VALUE!</v>
      </c>
    </row>
    <row r="2463" spans="1:5" x14ac:dyDescent="0.2">
      <c r="A2463" s="28">
        <v>2462</v>
      </c>
      <c r="B2463" s="28" t="e">
        <f>interpola(#REF!,CURVA!$B$6:$B$20,CURVA!$G$6:$G$20)</f>
        <v>#VALUE!</v>
      </c>
      <c r="C2463" s="29" t="e">
        <f t="shared" si="38"/>
        <v>#VALUE!</v>
      </c>
      <c r="E2463" t="e">
        <f>cubic_spline(CURVA!$B$6:$B$20,CURVA!$G$6:$G$20,#REF!)</f>
        <v>#VALUE!</v>
      </c>
    </row>
    <row r="2464" spans="1:5" x14ac:dyDescent="0.2">
      <c r="A2464" s="28">
        <v>2463</v>
      </c>
      <c r="B2464" s="28" t="e">
        <f>interpola(#REF!,CURVA!$B$6:$B$20,CURVA!$G$6:$G$20)</f>
        <v>#VALUE!</v>
      </c>
      <c r="C2464" s="29" t="e">
        <f t="shared" si="38"/>
        <v>#VALUE!</v>
      </c>
      <c r="E2464" t="e">
        <f>cubic_spline(CURVA!$B$6:$B$20,CURVA!$G$6:$G$20,#REF!)</f>
        <v>#VALUE!</v>
      </c>
    </row>
    <row r="2465" spans="1:5" x14ac:dyDescent="0.2">
      <c r="A2465" s="28">
        <v>2464</v>
      </c>
      <c r="B2465" s="28" t="e">
        <f>interpola(#REF!,CURVA!$B$6:$B$20,CURVA!$G$6:$G$20)</f>
        <v>#VALUE!</v>
      </c>
      <c r="C2465" s="29" t="e">
        <f t="shared" si="38"/>
        <v>#VALUE!</v>
      </c>
      <c r="E2465" t="e">
        <f>cubic_spline(CURVA!$B$6:$B$20,CURVA!$G$6:$G$20,#REF!)</f>
        <v>#VALUE!</v>
      </c>
    </row>
    <row r="2466" spans="1:5" x14ac:dyDescent="0.2">
      <c r="A2466" s="28">
        <v>2465</v>
      </c>
      <c r="B2466" s="28" t="e">
        <f>interpola(#REF!,CURVA!$B$6:$B$20,CURVA!$G$6:$G$20)</f>
        <v>#VALUE!</v>
      </c>
      <c r="C2466" s="29" t="e">
        <f t="shared" si="38"/>
        <v>#VALUE!</v>
      </c>
      <c r="E2466" t="e">
        <f>cubic_spline(CURVA!$B$6:$B$20,CURVA!$G$6:$G$20,#REF!)</f>
        <v>#VALUE!</v>
      </c>
    </row>
    <row r="2467" spans="1:5" x14ac:dyDescent="0.2">
      <c r="A2467" s="28">
        <v>2466</v>
      </c>
      <c r="B2467" s="28" t="e">
        <f>interpola(#REF!,CURVA!$B$6:$B$20,CURVA!$G$6:$G$20)</f>
        <v>#VALUE!</v>
      </c>
      <c r="C2467" s="29" t="e">
        <f t="shared" si="38"/>
        <v>#VALUE!</v>
      </c>
      <c r="E2467" t="e">
        <f>cubic_spline(CURVA!$B$6:$B$20,CURVA!$G$6:$G$20,#REF!)</f>
        <v>#VALUE!</v>
      </c>
    </row>
    <row r="2468" spans="1:5" x14ac:dyDescent="0.2">
      <c r="A2468" s="28">
        <v>2467</v>
      </c>
      <c r="B2468" s="28" t="e">
        <f>interpola(#REF!,CURVA!$B$6:$B$20,CURVA!$G$6:$G$20)</f>
        <v>#VALUE!</v>
      </c>
      <c r="C2468" s="29" t="e">
        <f t="shared" si="38"/>
        <v>#VALUE!</v>
      </c>
      <c r="E2468" t="e">
        <f>cubic_spline(CURVA!$B$6:$B$20,CURVA!$G$6:$G$20,#REF!)</f>
        <v>#VALUE!</v>
      </c>
    </row>
    <row r="2469" spans="1:5" x14ac:dyDescent="0.2">
      <c r="A2469" s="28">
        <v>2468</v>
      </c>
      <c r="B2469" s="28" t="e">
        <f>interpola(#REF!,CURVA!$B$6:$B$20,CURVA!$G$6:$G$20)</f>
        <v>#VALUE!</v>
      </c>
      <c r="C2469" s="29" t="e">
        <f t="shared" si="38"/>
        <v>#VALUE!</v>
      </c>
      <c r="E2469" t="e">
        <f>cubic_spline(CURVA!$B$6:$B$20,CURVA!$G$6:$G$20,#REF!)</f>
        <v>#VALUE!</v>
      </c>
    </row>
    <row r="2470" spans="1:5" x14ac:dyDescent="0.2">
      <c r="A2470" s="28">
        <v>2469</v>
      </c>
      <c r="B2470" s="28" t="e">
        <f>interpola(#REF!,CURVA!$B$6:$B$20,CURVA!$G$6:$G$20)</f>
        <v>#VALUE!</v>
      </c>
      <c r="C2470" s="29" t="e">
        <f t="shared" si="38"/>
        <v>#VALUE!</v>
      </c>
      <c r="E2470" t="e">
        <f>cubic_spline(CURVA!$B$6:$B$20,CURVA!$G$6:$G$20,#REF!)</f>
        <v>#VALUE!</v>
      </c>
    </row>
    <row r="2471" spans="1:5" x14ac:dyDescent="0.2">
      <c r="A2471" s="28">
        <v>2470</v>
      </c>
      <c r="B2471" s="28" t="e">
        <f>interpola(#REF!,CURVA!$B$6:$B$20,CURVA!$G$6:$G$20)</f>
        <v>#VALUE!</v>
      </c>
      <c r="C2471" s="29" t="e">
        <f t="shared" si="38"/>
        <v>#VALUE!</v>
      </c>
      <c r="E2471" t="e">
        <f>cubic_spline(CURVA!$B$6:$B$20,CURVA!$G$6:$G$20,#REF!)</f>
        <v>#VALUE!</v>
      </c>
    </row>
    <row r="2472" spans="1:5" x14ac:dyDescent="0.2">
      <c r="A2472" s="28">
        <v>2471</v>
      </c>
      <c r="B2472" s="28" t="e">
        <f>interpola(#REF!,CURVA!$B$6:$B$20,CURVA!$G$6:$G$20)</f>
        <v>#VALUE!</v>
      </c>
      <c r="C2472" s="29" t="e">
        <f t="shared" si="38"/>
        <v>#VALUE!</v>
      </c>
      <c r="E2472" t="e">
        <f>cubic_spline(CURVA!$B$6:$B$20,CURVA!$G$6:$G$20,#REF!)</f>
        <v>#VALUE!</v>
      </c>
    </row>
    <row r="2473" spans="1:5" x14ac:dyDescent="0.2">
      <c r="A2473" s="28">
        <v>2472</v>
      </c>
      <c r="B2473" s="28" t="e">
        <f>interpola(#REF!,CURVA!$B$6:$B$20,CURVA!$G$6:$G$20)</f>
        <v>#VALUE!</v>
      </c>
      <c r="C2473" s="29" t="e">
        <f t="shared" si="38"/>
        <v>#VALUE!</v>
      </c>
      <c r="E2473" t="e">
        <f>cubic_spline(CURVA!$B$6:$B$20,CURVA!$G$6:$G$20,#REF!)</f>
        <v>#VALUE!</v>
      </c>
    </row>
    <row r="2474" spans="1:5" x14ac:dyDescent="0.2">
      <c r="A2474" s="28">
        <v>2473</v>
      </c>
      <c r="B2474" s="28" t="e">
        <f>interpola(#REF!,CURVA!$B$6:$B$20,CURVA!$G$6:$G$20)</f>
        <v>#VALUE!</v>
      </c>
      <c r="C2474" s="29" t="e">
        <f t="shared" si="38"/>
        <v>#VALUE!</v>
      </c>
      <c r="E2474" t="e">
        <f>cubic_spline(CURVA!$B$6:$B$20,CURVA!$G$6:$G$20,#REF!)</f>
        <v>#VALUE!</v>
      </c>
    </row>
    <row r="2475" spans="1:5" x14ac:dyDescent="0.2">
      <c r="A2475" s="28">
        <v>2474</v>
      </c>
      <c r="B2475" s="28" t="e">
        <f>interpola(#REF!,CURVA!$B$6:$B$20,CURVA!$G$6:$G$20)</f>
        <v>#VALUE!</v>
      </c>
      <c r="C2475" s="29" t="e">
        <f t="shared" si="38"/>
        <v>#VALUE!</v>
      </c>
      <c r="E2475" t="e">
        <f>cubic_spline(CURVA!$B$6:$B$20,CURVA!$G$6:$G$20,#REF!)</f>
        <v>#VALUE!</v>
      </c>
    </row>
    <row r="2476" spans="1:5" x14ac:dyDescent="0.2">
      <c r="A2476" s="28">
        <v>2475</v>
      </c>
      <c r="B2476" s="28" t="e">
        <f>interpola(#REF!,CURVA!$B$6:$B$20,CURVA!$G$6:$G$20)</f>
        <v>#VALUE!</v>
      </c>
      <c r="C2476" s="29" t="e">
        <f t="shared" si="38"/>
        <v>#VALUE!</v>
      </c>
      <c r="E2476" t="e">
        <f>cubic_spline(CURVA!$B$6:$B$20,CURVA!$G$6:$G$20,#REF!)</f>
        <v>#VALUE!</v>
      </c>
    </row>
    <row r="2477" spans="1:5" x14ac:dyDescent="0.2">
      <c r="A2477" s="28">
        <v>2476</v>
      </c>
      <c r="B2477" s="28" t="e">
        <f>interpola(#REF!,CURVA!$B$6:$B$20,CURVA!$G$6:$G$20)</f>
        <v>#VALUE!</v>
      </c>
      <c r="C2477" s="29" t="e">
        <f t="shared" si="38"/>
        <v>#VALUE!</v>
      </c>
      <c r="E2477" t="e">
        <f>cubic_spline(CURVA!$B$6:$B$20,CURVA!$G$6:$G$20,#REF!)</f>
        <v>#VALUE!</v>
      </c>
    </row>
    <row r="2478" spans="1:5" x14ac:dyDescent="0.2">
      <c r="A2478" s="28">
        <v>2477</v>
      </c>
      <c r="B2478" s="28" t="e">
        <f>interpola(#REF!,CURVA!$B$6:$B$20,CURVA!$G$6:$G$20)</f>
        <v>#VALUE!</v>
      </c>
      <c r="C2478" s="29" t="e">
        <f t="shared" si="38"/>
        <v>#VALUE!</v>
      </c>
      <c r="E2478" t="e">
        <f>cubic_spline(CURVA!$B$6:$B$20,CURVA!$G$6:$G$20,#REF!)</f>
        <v>#VALUE!</v>
      </c>
    </row>
    <row r="2479" spans="1:5" x14ac:dyDescent="0.2">
      <c r="A2479" s="28">
        <v>2478</v>
      </c>
      <c r="B2479" s="28" t="e">
        <f>interpola(#REF!,CURVA!$B$6:$B$20,CURVA!$G$6:$G$20)</f>
        <v>#VALUE!</v>
      </c>
      <c r="C2479" s="29" t="e">
        <f t="shared" si="38"/>
        <v>#VALUE!</v>
      </c>
      <c r="E2479" t="e">
        <f>cubic_spline(CURVA!$B$6:$B$20,CURVA!$G$6:$G$20,#REF!)</f>
        <v>#VALUE!</v>
      </c>
    </row>
    <row r="2480" spans="1:5" x14ac:dyDescent="0.2">
      <c r="A2480" s="28">
        <v>2479</v>
      </c>
      <c r="B2480" s="28" t="e">
        <f>interpola(#REF!,CURVA!$B$6:$B$20,CURVA!$G$6:$G$20)</f>
        <v>#VALUE!</v>
      </c>
      <c r="C2480" s="29" t="e">
        <f t="shared" si="38"/>
        <v>#VALUE!</v>
      </c>
      <c r="E2480" t="e">
        <f>cubic_spline(CURVA!$B$6:$B$20,CURVA!$G$6:$G$20,#REF!)</f>
        <v>#VALUE!</v>
      </c>
    </row>
    <row r="2481" spans="1:5" x14ac:dyDescent="0.2">
      <c r="A2481" s="28">
        <v>2480</v>
      </c>
      <c r="B2481" s="28" t="e">
        <f>interpola(#REF!,CURVA!$B$6:$B$20,CURVA!$G$6:$G$20)</f>
        <v>#VALUE!</v>
      </c>
      <c r="C2481" s="29" t="e">
        <f t="shared" si="38"/>
        <v>#VALUE!</v>
      </c>
      <c r="E2481" t="e">
        <f>cubic_spline(CURVA!$B$6:$B$20,CURVA!$G$6:$G$20,#REF!)</f>
        <v>#VALUE!</v>
      </c>
    </row>
    <row r="2482" spans="1:5" x14ac:dyDescent="0.2">
      <c r="A2482" s="28">
        <v>2481</v>
      </c>
      <c r="B2482" s="28" t="e">
        <f>interpola(#REF!,CURVA!$B$6:$B$20,CURVA!$G$6:$G$20)</f>
        <v>#VALUE!</v>
      </c>
      <c r="C2482" s="29" t="e">
        <f t="shared" si="38"/>
        <v>#VALUE!</v>
      </c>
      <c r="E2482" t="e">
        <f>cubic_spline(CURVA!$B$6:$B$20,CURVA!$G$6:$G$20,#REF!)</f>
        <v>#VALUE!</v>
      </c>
    </row>
    <row r="2483" spans="1:5" x14ac:dyDescent="0.2">
      <c r="A2483" s="28">
        <v>2482</v>
      </c>
      <c r="B2483" s="28" t="e">
        <f>interpola(#REF!,CURVA!$B$6:$B$20,CURVA!$G$6:$G$20)</f>
        <v>#VALUE!</v>
      </c>
      <c r="C2483" s="29" t="e">
        <f t="shared" si="38"/>
        <v>#VALUE!</v>
      </c>
      <c r="E2483" t="e">
        <f>cubic_spline(CURVA!$B$6:$B$20,CURVA!$G$6:$G$20,#REF!)</f>
        <v>#VALUE!</v>
      </c>
    </row>
    <row r="2484" spans="1:5" x14ac:dyDescent="0.2">
      <c r="A2484" s="28">
        <v>2483</v>
      </c>
      <c r="B2484" s="28" t="e">
        <f>interpola(#REF!,CURVA!$B$6:$B$20,CURVA!$G$6:$G$20)</f>
        <v>#VALUE!</v>
      </c>
      <c r="C2484" s="29" t="e">
        <f t="shared" si="38"/>
        <v>#VALUE!</v>
      </c>
      <c r="E2484" t="e">
        <f>cubic_spline(CURVA!$B$6:$B$20,CURVA!$G$6:$G$20,#REF!)</f>
        <v>#VALUE!</v>
      </c>
    </row>
    <row r="2485" spans="1:5" x14ac:dyDescent="0.2">
      <c r="A2485" s="28">
        <v>2484</v>
      </c>
      <c r="B2485" s="28" t="e">
        <f>interpola(#REF!,CURVA!$B$6:$B$20,CURVA!$G$6:$G$20)</f>
        <v>#VALUE!</v>
      </c>
      <c r="C2485" s="29" t="e">
        <f t="shared" si="38"/>
        <v>#VALUE!</v>
      </c>
      <c r="E2485" t="e">
        <f>cubic_spline(CURVA!$B$6:$B$20,CURVA!$G$6:$G$20,#REF!)</f>
        <v>#VALUE!</v>
      </c>
    </row>
    <row r="2486" spans="1:5" x14ac:dyDescent="0.2">
      <c r="A2486" s="28">
        <v>2485</v>
      </c>
      <c r="B2486" s="28" t="e">
        <f>interpola(#REF!,CURVA!$B$6:$B$20,CURVA!$G$6:$G$20)</f>
        <v>#VALUE!</v>
      </c>
      <c r="C2486" s="29" t="e">
        <f t="shared" si="38"/>
        <v>#VALUE!</v>
      </c>
      <c r="E2486" t="e">
        <f>cubic_spline(CURVA!$B$6:$B$20,CURVA!$G$6:$G$20,#REF!)</f>
        <v>#VALUE!</v>
      </c>
    </row>
    <row r="2487" spans="1:5" x14ac:dyDescent="0.2">
      <c r="A2487" s="28">
        <v>2486</v>
      </c>
      <c r="B2487" s="28" t="e">
        <f>interpola(#REF!,CURVA!$B$6:$B$20,CURVA!$G$6:$G$20)</f>
        <v>#VALUE!</v>
      </c>
      <c r="C2487" s="29" t="e">
        <f t="shared" si="38"/>
        <v>#VALUE!</v>
      </c>
      <c r="E2487" t="e">
        <f>cubic_spline(CURVA!$B$6:$B$20,CURVA!$G$6:$G$20,#REF!)</f>
        <v>#VALUE!</v>
      </c>
    </row>
    <row r="2488" spans="1:5" x14ac:dyDescent="0.2">
      <c r="A2488" s="28">
        <v>2487</v>
      </c>
      <c r="B2488" s="28" t="e">
        <f>interpola(#REF!,CURVA!$B$6:$B$20,CURVA!$G$6:$G$20)</f>
        <v>#VALUE!</v>
      </c>
      <c r="C2488" s="29" t="e">
        <f t="shared" si="38"/>
        <v>#VALUE!</v>
      </c>
      <c r="E2488" t="e">
        <f>cubic_spline(CURVA!$B$6:$B$20,CURVA!$G$6:$G$20,#REF!)</f>
        <v>#VALUE!</v>
      </c>
    </row>
    <row r="2489" spans="1:5" x14ac:dyDescent="0.2">
      <c r="A2489" s="28">
        <v>2488</v>
      </c>
      <c r="B2489" s="28" t="e">
        <f>interpola(#REF!,CURVA!$B$6:$B$20,CURVA!$G$6:$G$20)</f>
        <v>#VALUE!</v>
      </c>
      <c r="C2489" s="29" t="e">
        <f t="shared" si="38"/>
        <v>#VALUE!</v>
      </c>
      <c r="E2489" t="e">
        <f>cubic_spline(CURVA!$B$6:$B$20,CURVA!$G$6:$G$20,#REF!)</f>
        <v>#VALUE!</v>
      </c>
    </row>
    <row r="2490" spans="1:5" x14ac:dyDescent="0.2">
      <c r="A2490" s="28">
        <v>2489</v>
      </c>
      <c r="B2490" s="28" t="e">
        <f>interpola(#REF!,CURVA!$B$6:$B$20,CURVA!$G$6:$G$20)</f>
        <v>#VALUE!</v>
      </c>
      <c r="C2490" s="29" t="e">
        <f t="shared" si="38"/>
        <v>#VALUE!</v>
      </c>
      <c r="E2490" t="e">
        <f>cubic_spline(CURVA!$B$6:$B$20,CURVA!$G$6:$G$20,#REF!)</f>
        <v>#VALUE!</v>
      </c>
    </row>
    <row r="2491" spans="1:5" x14ac:dyDescent="0.2">
      <c r="A2491" s="28">
        <v>2490</v>
      </c>
      <c r="B2491" s="28" t="e">
        <f>interpola(#REF!,CURVA!$B$6:$B$20,CURVA!$G$6:$G$20)</f>
        <v>#VALUE!</v>
      </c>
      <c r="C2491" s="29" t="e">
        <f t="shared" si="38"/>
        <v>#VALUE!</v>
      </c>
      <c r="E2491" t="e">
        <f>cubic_spline(CURVA!$B$6:$B$20,CURVA!$G$6:$G$20,#REF!)</f>
        <v>#VALUE!</v>
      </c>
    </row>
    <row r="2492" spans="1:5" x14ac:dyDescent="0.2">
      <c r="A2492" s="28">
        <v>2491</v>
      </c>
      <c r="B2492" s="28" t="e">
        <f>interpola(#REF!,CURVA!$B$6:$B$20,CURVA!$G$6:$G$20)</f>
        <v>#VALUE!</v>
      </c>
      <c r="C2492" s="29" t="e">
        <f t="shared" si="38"/>
        <v>#VALUE!</v>
      </c>
      <c r="E2492" t="e">
        <f>cubic_spline(CURVA!$B$6:$B$20,CURVA!$G$6:$G$20,#REF!)</f>
        <v>#VALUE!</v>
      </c>
    </row>
    <row r="2493" spans="1:5" x14ac:dyDescent="0.2">
      <c r="A2493" s="28">
        <v>2492</v>
      </c>
      <c r="B2493" s="28" t="e">
        <f>interpola(#REF!,CURVA!$B$6:$B$20,CURVA!$G$6:$G$20)</f>
        <v>#VALUE!</v>
      </c>
      <c r="C2493" s="29" t="e">
        <f t="shared" si="38"/>
        <v>#VALUE!</v>
      </c>
      <c r="E2493" t="e">
        <f>cubic_spline(CURVA!$B$6:$B$20,CURVA!$G$6:$G$20,#REF!)</f>
        <v>#VALUE!</v>
      </c>
    </row>
    <row r="2494" spans="1:5" x14ac:dyDescent="0.2">
      <c r="A2494" s="28">
        <v>2493</v>
      </c>
      <c r="B2494" s="28" t="e">
        <f>interpola(#REF!,CURVA!$B$6:$B$20,CURVA!$G$6:$G$20)</f>
        <v>#VALUE!</v>
      </c>
      <c r="C2494" s="29" t="e">
        <f t="shared" si="38"/>
        <v>#VALUE!</v>
      </c>
      <c r="E2494" t="e">
        <f>cubic_spline(CURVA!$B$6:$B$20,CURVA!$G$6:$G$20,#REF!)</f>
        <v>#VALUE!</v>
      </c>
    </row>
    <row r="2495" spans="1:5" x14ac:dyDescent="0.2">
      <c r="A2495" s="28">
        <v>2494</v>
      </c>
      <c r="B2495" s="28" t="e">
        <f>interpola(#REF!,CURVA!$B$6:$B$20,CURVA!$G$6:$G$20)</f>
        <v>#VALUE!</v>
      </c>
      <c r="C2495" s="29" t="e">
        <f t="shared" si="38"/>
        <v>#VALUE!</v>
      </c>
      <c r="E2495" t="e">
        <f>cubic_spline(CURVA!$B$6:$B$20,CURVA!$G$6:$G$20,#REF!)</f>
        <v>#VALUE!</v>
      </c>
    </row>
    <row r="2496" spans="1:5" x14ac:dyDescent="0.2">
      <c r="A2496" s="28">
        <v>2495</v>
      </c>
      <c r="B2496" s="28" t="e">
        <f>interpola(#REF!,CURVA!$B$6:$B$20,CURVA!$G$6:$G$20)</f>
        <v>#VALUE!</v>
      </c>
      <c r="C2496" s="29" t="e">
        <f t="shared" si="38"/>
        <v>#VALUE!</v>
      </c>
      <c r="E2496" t="e">
        <f>cubic_spline(CURVA!$B$6:$B$20,CURVA!$G$6:$G$20,#REF!)</f>
        <v>#VALUE!</v>
      </c>
    </row>
    <row r="2497" spans="1:5" x14ac:dyDescent="0.2">
      <c r="A2497" s="28">
        <v>2496</v>
      </c>
      <c r="B2497" s="28" t="e">
        <f>interpola(#REF!,CURVA!$B$6:$B$20,CURVA!$G$6:$G$20)</f>
        <v>#VALUE!</v>
      </c>
      <c r="C2497" s="29" t="e">
        <f t="shared" si="38"/>
        <v>#VALUE!</v>
      </c>
      <c r="E2497" t="e">
        <f>cubic_spline(CURVA!$B$6:$B$20,CURVA!$G$6:$G$20,#REF!)</f>
        <v>#VALUE!</v>
      </c>
    </row>
    <row r="2498" spans="1:5" x14ac:dyDescent="0.2">
      <c r="A2498" s="28">
        <v>2497</v>
      </c>
      <c r="B2498" s="28" t="e">
        <f>interpola(#REF!,CURVA!$B$6:$B$20,CURVA!$G$6:$G$20)</f>
        <v>#VALUE!</v>
      </c>
      <c r="C2498" s="29" t="e">
        <f t="shared" ref="C2498:C2561" si="39">(EXP(B2498*A2498/360)-1)*360/A2498</f>
        <v>#VALUE!</v>
      </c>
      <c r="E2498" t="e">
        <f>cubic_spline(CURVA!$B$6:$B$20,CURVA!$G$6:$G$20,#REF!)</f>
        <v>#VALUE!</v>
      </c>
    </row>
    <row r="2499" spans="1:5" x14ac:dyDescent="0.2">
      <c r="A2499" s="28">
        <v>2498</v>
      </c>
      <c r="B2499" s="28" t="e">
        <f>interpola(#REF!,CURVA!$B$6:$B$20,CURVA!$G$6:$G$20)</f>
        <v>#VALUE!</v>
      </c>
      <c r="C2499" s="29" t="e">
        <f t="shared" si="39"/>
        <v>#VALUE!</v>
      </c>
      <c r="E2499" t="e">
        <f>cubic_spline(CURVA!$B$6:$B$20,CURVA!$G$6:$G$20,#REF!)</f>
        <v>#VALUE!</v>
      </c>
    </row>
    <row r="2500" spans="1:5" x14ac:dyDescent="0.2">
      <c r="A2500" s="28">
        <v>2499</v>
      </c>
      <c r="B2500" s="28" t="e">
        <f>interpola(#REF!,CURVA!$B$6:$B$20,CURVA!$G$6:$G$20)</f>
        <v>#VALUE!</v>
      </c>
      <c r="C2500" s="29" t="e">
        <f t="shared" si="39"/>
        <v>#VALUE!</v>
      </c>
      <c r="E2500" t="e">
        <f>cubic_spline(CURVA!$B$6:$B$20,CURVA!$G$6:$G$20,#REF!)</f>
        <v>#VALUE!</v>
      </c>
    </row>
    <row r="2501" spans="1:5" x14ac:dyDescent="0.2">
      <c r="A2501" s="28">
        <v>2500</v>
      </c>
      <c r="B2501" s="28" t="e">
        <f>interpola(#REF!,CURVA!$B$6:$B$20,CURVA!$G$6:$G$20)</f>
        <v>#VALUE!</v>
      </c>
      <c r="C2501" s="29" t="e">
        <f t="shared" si="39"/>
        <v>#VALUE!</v>
      </c>
      <c r="E2501" t="e">
        <f>cubic_spline(CURVA!$B$6:$B$20,CURVA!$G$6:$G$20,#REF!)</f>
        <v>#VALUE!</v>
      </c>
    </row>
    <row r="2502" spans="1:5" x14ac:dyDescent="0.2">
      <c r="A2502" s="28">
        <v>2501</v>
      </c>
      <c r="B2502" s="28" t="e">
        <f>interpola(#REF!,CURVA!$B$6:$B$20,CURVA!$G$6:$G$20)</f>
        <v>#VALUE!</v>
      </c>
      <c r="C2502" s="29" t="e">
        <f t="shared" si="39"/>
        <v>#VALUE!</v>
      </c>
      <c r="E2502" t="e">
        <f>cubic_spline(CURVA!$B$6:$B$20,CURVA!$G$6:$G$20,#REF!)</f>
        <v>#VALUE!</v>
      </c>
    </row>
    <row r="2503" spans="1:5" x14ac:dyDescent="0.2">
      <c r="A2503" s="28">
        <v>2502</v>
      </c>
      <c r="B2503" s="28" t="e">
        <f>interpola(#REF!,CURVA!$B$6:$B$20,CURVA!$G$6:$G$20)</f>
        <v>#VALUE!</v>
      </c>
      <c r="C2503" s="29" t="e">
        <f t="shared" si="39"/>
        <v>#VALUE!</v>
      </c>
      <c r="E2503" t="e">
        <f>cubic_spline(CURVA!$B$6:$B$20,CURVA!$G$6:$G$20,#REF!)</f>
        <v>#VALUE!</v>
      </c>
    </row>
    <row r="2504" spans="1:5" x14ac:dyDescent="0.2">
      <c r="A2504" s="28">
        <v>2503</v>
      </c>
      <c r="B2504" s="28" t="e">
        <f>interpola(#REF!,CURVA!$B$6:$B$20,CURVA!$G$6:$G$20)</f>
        <v>#VALUE!</v>
      </c>
      <c r="C2504" s="29" t="e">
        <f t="shared" si="39"/>
        <v>#VALUE!</v>
      </c>
      <c r="E2504" t="e">
        <f>cubic_spline(CURVA!$B$6:$B$20,CURVA!$G$6:$G$20,#REF!)</f>
        <v>#VALUE!</v>
      </c>
    </row>
    <row r="2505" spans="1:5" x14ac:dyDescent="0.2">
      <c r="A2505" s="28">
        <v>2504</v>
      </c>
      <c r="B2505" s="28" t="e">
        <f>interpola(#REF!,CURVA!$B$6:$B$20,CURVA!$G$6:$G$20)</f>
        <v>#VALUE!</v>
      </c>
      <c r="C2505" s="29" t="e">
        <f t="shared" si="39"/>
        <v>#VALUE!</v>
      </c>
      <c r="E2505" t="e">
        <f>cubic_spline(CURVA!$B$6:$B$20,CURVA!$G$6:$G$20,#REF!)</f>
        <v>#VALUE!</v>
      </c>
    </row>
    <row r="2506" spans="1:5" x14ac:dyDescent="0.2">
      <c r="A2506" s="28">
        <v>2505</v>
      </c>
      <c r="B2506" s="28" t="e">
        <f>interpola(#REF!,CURVA!$B$6:$B$20,CURVA!$G$6:$G$20)</f>
        <v>#VALUE!</v>
      </c>
      <c r="C2506" s="29" t="e">
        <f t="shared" si="39"/>
        <v>#VALUE!</v>
      </c>
      <c r="E2506" t="e">
        <f>cubic_spline(CURVA!$B$6:$B$20,CURVA!$G$6:$G$20,#REF!)</f>
        <v>#VALUE!</v>
      </c>
    </row>
    <row r="2507" spans="1:5" x14ac:dyDescent="0.2">
      <c r="A2507" s="28">
        <v>2506</v>
      </c>
      <c r="B2507" s="28" t="e">
        <f>interpola(#REF!,CURVA!$B$6:$B$20,CURVA!$G$6:$G$20)</f>
        <v>#VALUE!</v>
      </c>
      <c r="C2507" s="29" t="e">
        <f t="shared" si="39"/>
        <v>#VALUE!</v>
      </c>
      <c r="E2507" t="e">
        <f>cubic_spline(CURVA!$B$6:$B$20,CURVA!$G$6:$G$20,#REF!)</f>
        <v>#VALUE!</v>
      </c>
    </row>
    <row r="2508" spans="1:5" x14ac:dyDescent="0.2">
      <c r="A2508" s="28">
        <v>2507</v>
      </c>
      <c r="B2508" s="28" t="e">
        <f>interpola(#REF!,CURVA!$B$6:$B$20,CURVA!$G$6:$G$20)</f>
        <v>#VALUE!</v>
      </c>
      <c r="C2508" s="29" t="e">
        <f t="shared" si="39"/>
        <v>#VALUE!</v>
      </c>
      <c r="E2508" t="e">
        <f>cubic_spline(CURVA!$B$6:$B$20,CURVA!$G$6:$G$20,#REF!)</f>
        <v>#VALUE!</v>
      </c>
    </row>
    <row r="2509" spans="1:5" x14ac:dyDescent="0.2">
      <c r="A2509" s="28">
        <v>2508</v>
      </c>
      <c r="B2509" s="28" t="e">
        <f>interpola(#REF!,CURVA!$B$6:$B$20,CURVA!$G$6:$G$20)</f>
        <v>#VALUE!</v>
      </c>
      <c r="C2509" s="29" t="e">
        <f t="shared" si="39"/>
        <v>#VALUE!</v>
      </c>
      <c r="E2509" t="e">
        <f>cubic_spline(CURVA!$B$6:$B$20,CURVA!$G$6:$G$20,#REF!)</f>
        <v>#VALUE!</v>
      </c>
    </row>
    <row r="2510" spans="1:5" x14ac:dyDescent="0.2">
      <c r="A2510" s="28">
        <v>2509</v>
      </c>
      <c r="B2510" s="28" t="e">
        <f>interpola(#REF!,CURVA!$B$6:$B$20,CURVA!$G$6:$G$20)</f>
        <v>#VALUE!</v>
      </c>
      <c r="C2510" s="29" t="e">
        <f t="shared" si="39"/>
        <v>#VALUE!</v>
      </c>
      <c r="E2510" t="e">
        <f>cubic_spline(CURVA!$B$6:$B$20,CURVA!$G$6:$G$20,#REF!)</f>
        <v>#VALUE!</v>
      </c>
    </row>
    <row r="2511" spans="1:5" x14ac:dyDescent="0.2">
      <c r="A2511" s="28">
        <v>2510</v>
      </c>
      <c r="B2511" s="28" t="e">
        <f>interpola(#REF!,CURVA!$B$6:$B$20,CURVA!$G$6:$G$20)</f>
        <v>#VALUE!</v>
      </c>
      <c r="C2511" s="29" t="e">
        <f t="shared" si="39"/>
        <v>#VALUE!</v>
      </c>
      <c r="E2511" t="e">
        <f>cubic_spline(CURVA!$B$6:$B$20,CURVA!$G$6:$G$20,#REF!)</f>
        <v>#VALUE!</v>
      </c>
    </row>
    <row r="2512" spans="1:5" x14ac:dyDescent="0.2">
      <c r="A2512" s="28">
        <v>2511</v>
      </c>
      <c r="B2512" s="28" t="e">
        <f>interpola(#REF!,CURVA!$B$6:$B$20,CURVA!$G$6:$G$20)</f>
        <v>#VALUE!</v>
      </c>
      <c r="C2512" s="29" t="e">
        <f t="shared" si="39"/>
        <v>#VALUE!</v>
      </c>
      <c r="E2512" t="e">
        <f>cubic_spline(CURVA!$B$6:$B$20,CURVA!$G$6:$G$20,#REF!)</f>
        <v>#VALUE!</v>
      </c>
    </row>
    <row r="2513" spans="1:5" x14ac:dyDescent="0.2">
      <c r="A2513" s="28">
        <v>2512</v>
      </c>
      <c r="B2513" s="28" t="e">
        <f>interpola(#REF!,CURVA!$B$6:$B$20,CURVA!$G$6:$G$20)</f>
        <v>#VALUE!</v>
      </c>
      <c r="C2513" s="29" t="e">
        <f t="shared" si="39"/>
        <v>#VALUE!</v>
      </c>
      <c r="E2513" t="e">
        <f>cubic_spline(CURVA!$B$6:$B$20,CURVA!$G$6:$G$20,#REF!)</f>
        <v>#VALUE!</v>
      </c>
    </row>
    <row r="2514" spans="1:5" x14ac:dyDescent="0.2">
      <c r="A2514" s="28">
        <v>2513</v>
      </c>
      <c r="B2514" s="28" t="e">
        <f>interpola(#REF!,CURVA!$B$6:$B$20,CURVA!$G$6:$G$20)</f>
        <v>#VALUE!</v>
      </c>
      <c r="C2514" s="29" t="e">
        <f t="shared" si="39"/>
        <v>#VALUE!</v>
      </c>
      <c r="E2514" t="e">
        <f>cubic_spline(CURVA!$B$6:$B$20,CURVA!$G$6:$G$20,#REF!)</f>
        <v>#VALUE!</v>
      </c>
    </row>
    <row r="2515" spans="1:5" x14ac:dyDescent="0.2">
      <c r="A2515" s="28">
        <v>2514</v>
      </c>
      <c r="B2515" s="28" t="e">
        <f>interpola(#REF!,CURVA!$B$6:$B$20,CURVA!$G$6:$G$20)</f>
        <v>#VALUE!</v>
      </c>
      <c r="C2515" s="29" t="e">
        <f t="shared" si="39"/>
        <v>#VALUE!</v>
      </c>
      <c r="E2515" t="e">
        <f>cubic_spline(CURVA!$B$6:$B$20,CURVA!$G$6:$G$20,#REF!)</f>
        <v>#VALUE!</v>
      </c>
    </row>
    <row r="2516" spans="1:5" x14ac:dyDescent="0.2">
      <c r="A2516" s="28">
        <v>2515</v>
      </c>
      <c r="B2516" s="28" t="e">
        <f>interpola(#REF!,CURVA!$B$6:$B$20,CURVA!$G$6:$G$20)</f>
        <v>#VALUE!</v>
      </c>
      <c r="C2516" s="29" t="e">
        <f t="shared" si="39"/>
        <v>#VALUE!</v>
      </c>
      <c r="E2516" t="e">
        <f>cubic_spline(CURVA!$B$6:$B$20,CURVA!$G$6:$G$20,#REF!)</f>
        <v>#VALUE!</v>
      </c>
    </row>
    <row r="2517" spans="1:5" x14ac:dyDescent="0.2">
      <c r="A2517" s="28">
        <v>2516</v>
      </c>
      <c r="B2517" s="28" t="e">
        <f>interpola(#REF!,CURVA!$B$6:$B$20,CURVA!$G$6:$G$20)</f>
        <v>#VALUE!</v>
      </c>
      <c r="C2517" s="29" t="e">
        <f t="shared" si="39"/>
        <v>#VALUE!</v>
      </c>
      <c r="E2517" t="e">
        <f>cubic_spline(CURVA!$B$6:$B$20,CURVA!$G$6:$G$20,#REF!)</f>
        <v>#VALUE!</v>
      </c>
    </row>
    <row r="2518" spans="1:5" x14ac:dyDescent="0.2">
      <c r="A2518" s="28">
        <v>2517</v>
      </c>
      <c r="B2518" s="28" t="e">
        <f>interpola(#REF!,CURVA!$B$6:$B$20,CURVA!$G$6:$G$20)</f>
        <v>#VALUE!</v>
      </c>
      <c r="C2518" s="29" t="e">
        <f t="shared" si="39"/>
        <v>#VALUE!</v>
      </c>
      <c r="E2518" t="e">
        <f>cubic_spline(CURVA!$B$6:$B$20,CURVA!$G$6:$G$20,#REF!)</f>
        <v>#VALUE!</v>
      </c>
    </row>
    <row r="2519" spans="1:5" x14ac:dyDescent="0.2">
      <c r="A2519" s="28">
        <v>2518</v>
      </c>
      <c r="B2519" s="28" t="e">
        <f>interpola(#REF!,CURVA!$B$6:$B$20,CURVA!$G$6:$G$20)</f>
        <v>#VALUE!</v>
      </c>
      <c r="C2519" s="29" t="e">
        <f t="shared" si="39"/>
        <v>#VALUE!</v>
      </c>
      <c r="E2519" t="e">
        <f>cubic_spline(CURVA!$B$6:$B$20,CURVA!$G$6:$G$20,#REF!)</f>
        <v>#VALUE!</v>
      </c>
    </row>
    <row r="2520" spans="1:5" x14ac:dyDescent="0.2">
      <c r="A2520" s="28">
        <v>2519</v>
      </c>
      <c r="B2520" s="28" t="e">
        <f>interpola(#REF!,CURVA!$B$6:$B$20,CURVA!$G$6:$G$20)</f>
        <v>#VALUE!</v>
      </c>
      <c r="C2520" s="29" t="e">
        <f t="shared" si="39"/>
        <v>#VALUE!</v>
      </c>
      <c r="E2520" t="e">
        <f>cubic_spline(CURVA!$B$6:$B$20,CURVA!$G$6:$G$20,#REF!)</f>
        <v>#VALUE!</v>
      </c>
    </row>
    <row r="2521" spans="1:5" x14ac:dyDescent="0.2">
      <c r="A2521" s="28">
        <v>2520</v>
      </c>
      <c r="B2521" s="28" t="e">
        <f>interpola(#REF!,CURVA!$B$6:$B$20,CURVA!$G$6:$G$20)</f>
        <v>#VALUE!</v>
      </c>
      <c r="C2521" s="29" t="e">
        <f t="shared" si="39"/>
        <v>#VALUE!</v>
      </c>
      <c r="E2521" t="e">
        <f>cubic_spline(CURVA!$B$6:$B$20,CURVA!$G$6:$G$20,#REF!)</f>
        <v>#VALUE!</v>
      </c>
    </row>
    <row r="2522" spans="1:5" x14ac:dyDescent="0.2">
      <c r="A2522" s="28">
        <v>2521</v>
      </c>
      <c r="B2522" s="28" t="e">
        <f>interpola(#REF!,CURVA!$B$6:$B$20,CURVA!$G$6:$G$20)</f>
        <v>#VALUE!</v>
      </c>
      <c r="C2522" s="29" t="e">
        <f t="shared" si="39"/>
        <v>#VALUE!</v>
      </c>
      <c r="E2522" t="e">
        <f>cubic_spline(CURVA!$B$6:$B$20,CURVA!$G$6:$G$20,#REF!)</f>
        <v>#VALUE!</v>
      </c>
    </row>
    <row r="2523" spans="1:5" x14ac:dyDescent="0.2">
      <c r="A2523" s="28">
        <v>2522</v>
      </c>
      <c r="B2523" s="28" t="e">
        <f>interpola(#REF!,CURVA!$B$6:$B$20,CURVA!$G$6:$G$20)</f>
        <v>#VALUE!</v>
      </c>
      <c r="C2523" s="29" t="e">
        <f t="shared" si="39"/>
        <v>#VALUE!</v>
      </c>
      <c r="E2523" t="e">
        <f>cubic_spline(CURVA!$B$6:$B$20,CURVA!$G$6:$G$20,#REF!)</f>
        <v>#VALUE!</v>
      </c>
    </row>
    <row r="2524" spans="1:5" x14ac:dyDescent="0.2">
      <c r="A2524" s="28">
        <v>2523</v>
      </c>
      <c r="B2524" s="28" t="e">
        <f>interpola(#REF!,CURVA!$B$6:$B$20,CURVA!$G$6:$G$20)</f>
        <v>#VALUE!</v>
      </c>
      <c r="C2524" s="29" t="e">
        <f t="shared" si="39"/>
        <v>#VALUE!</v>
      </c>
      <c r="E2524" t="e">
        <f>cubic_spline(CURVA!$B$6:$B$20,CURVA!$G$6:$G$20,#REF!)</f>
        <v>#VALUE!</v>
      </c>
    </row>
    <row r="2525" spans="1:5" x14ac:dyDescent="0.2">
      <c r="A2525" s="28">
        <v>2524</v>
      </c>
      <c r="B2525" s="28" t="e">
        <f>interpola(#REF!,CURVA!$B$6:$B$20,CURVA!$G$6:$G$20)</f>
        <v>#VALUE!</v>
      </c>
      <c r="C2525" s="29" t="e">
        <f t="shared" si="39"/>
        <v>#VALUE!</v>
      </c>
      <c r="E2525" t="e">
        <f>cubic_spline(CURVA!$B$6:$B$20,CURVA!$G$6:$G$20,#REF!)</f>
        <v>#VALUE!</v>
      </c>
    </row>
    <row r="2526" spans="1:5" x14ac:dyDescent="0.2">
      <c r="A2526" s="28">
        <v>2525</v>
      </c>
      <c r="B2526" s="28" t="e">
        <f>interpola(#REF!,CURVA!$B$6:$B$20,CURVA!$G$6:$G$20)</f>
        <v>#VALUE!</v>
      </c>
      <c r="C2526" s="29" t="e">
        <f t="shared" si="39"/>
        <v>#VALUE!</v>
      </c>
      <c r="E2526" t="e">
        <f>cubic_spline(CURVA!$B$6:$B$20,CURVA!$G$6:$G$20,#REF!)</f>
        <v>#VALUE!</v>
      </c>
    </row>
    <row r="2527" spans="1:5" x14ac:dyDescent="0.2">
      <c r="A2527" s="28">
        <v>2526</v>
      </c>
      <c r="B2527" s="28" t="e">
        <f>interpola(#REF!,CURVA!$B$6:$B$20,CURVA!$G$6:$G$20)</f>
        <v>#VALUE!</v>
      </c>
      <c r="C2527" s="29" t="e">
        <f t="shared" si="39"/>
        <v>#VALUE!</v>
      </c>
      <c r="E2527" t="e">
        <f>cubic_spline(CURVA!$B$6:$B$20,CURVA!$G$6:$G$20,#REF!)</f>
        <v>#VALUE!</v>
      </c>
    </row>
    <row r="2528" spans="1:5" x14ac:dyDescent="0.2">
      <c r="A2528" s="28">
        <v>2527</v>
      </c>
      <c r="B2528" s="28" t="e">
        <f>interpola(#REF!,CURVA!$B$6:$B$20,CURVA!$G$6:$G$20)</f>
        <v>#VALUE!</v>
      </c>
      <c r="C2528" s="29" t="e">
        <f t="shared" si="39"/>
        <v>#VALUE!</v>
      </c>
      <c r="E2528" t="e">
        <f>cubic_spline(CURVA!$B$6:$B$20,CURVA!$G$6:$G$20,#REF!)</f>
        <v>#VALUE!</v>
      </c>
    </row>
    <row r="2529" spans="1:5" x14ac:dyDescent="0.2">
      <c r="A2529" s="28">
        <v>2528</v>
      </c>
      <c r="B2529" s="28" t="e">
        <f>interpola(#REF!,CURVA!$B$6:$B$20,CURVA!$G$6:$G$20)</f>
        <v>#VALUE!</v>
      </c>
      <c r="C2529" s="29" t="e">
        <f t="shared" si="39"/>
        <v>#VALUE!</v>
      </c>
      <c r="E2529" t="e">
        <f>cubic_spline(CURVA!$B$6:$B$20,CURVA!$G$6:$G$20,#REF!)</f>
        <v>#VALUE!</v>
      </c>
    </row>
    <row r="2530" spans="1:5" x14ac:dyDescent="0.2">
      <c r="A2530" s="28">
        <v>2529</v>
      </c>
      <c r="B2530" s="28" t="e">
        <f>interpola(#REF!,CURVA!$B$6:$B$20,CURVA!$G$6:$G$20)</f>
        <v>#VALUE!</v>
      </c>
      <c r="C2530" s="29" t="e">
        <f t="shared" si="39"/>
        <v>#VALUE!</v>
      </c>
      <c r="E2530" t="e">
        <f>cubic_spline(CURVA!$B$6:$B$20,CURVA!$G$6:$G$20,#REF!)</f>
        <v>#VALUE!</v>
      </c>
    </row>
    <row r="2531" spans="1:5" x14ac:dyDescent="0.2">
      <c r="A2531" s="28">
        <v>2530</v>
      </c>
      <c r="B2531" s="28" t="e">
        <f>interpola(#REF!,CURVA!$B$6:$B$20,CURVA!$G$6:$G$20)</f>
        <v>#VALUE!</v>
      </c>
      <c r="C2531" s="29" t="e">
        <f t="shared" si="39"/>
        <v>#VALUE!</v>
      </c>
      <c r="E2531" t="e">
        <f>cubic_spline(CURVA!$B$6:$B$20,CURVA!$G$6:$G$20,#REF!)</f>
        <v>#VALUE!</v>
      </c>
    </row>
    <row r="2532" spans="1:5" x14ac:dyDescent="0.2">
      <c r="A2532" s="28">
        <v>2531</v>
      </c>
      <c r="B2532" s="28" t="e">
        <f>interpola(#REF!,CURVA!$B$6:$B$20,CURVA!$G$6:$G$20)</f>
        <v>#VALUE!</v>
      </c>
      <c r="C2532" s="29" t="e">
        <f t="shared" si="39"/>
        <v>#VALUE!</v>
      </c>
      <c r="E2532" t="e">
        <f>cubic_spline(CURVA!$B$6:$B$20,CURVA!$G$6:$G$20,#REF!)</f>
        <v>#VALUE!</v>
      </c>
    </row>
    <row r="2533" spans="1:5" x14ac:dyDescent="0.2">
      <c r="A2533" s="28">
        <v>2532</v>
      </c>
      <c r="B2533" s="28" t="e">
        <f>interpola(#REF!,CURVA!$B$6:$B$20,CURVA!$G$6:$G$20)</f>
        <v>#VALUE!</v>
      </c>
      <c r="C2533" s="29" t="e">
        <f t="shared" si="39"/>
        <v>#VALUE!</v>
      </c>
      <c r="E2533" t="e">
        <f>cubic_spline(CURVA!$B$6:$B$20,CURVA!$G$6:$G$20,#REF!)</f>
        <v>#VALUE!</v>
      </c>
    </row>
    <row r="2534" spans="1:5" x14ac:dyDescent="0.2">
      <c r="A2534" s="28">
        <v>2533</v>
      </c>
      <c r="B2534" s="28" t="e">
        <f>interpola(#REF!,CURVA!$B$6:$B$20,CURVA!$G$6:$G$20)</f>
        <v>#VALUE!</v>
      </c>
      <c r="C2534" s="29" t="e">
        <f t="shared" si="39"/>
        <v>#VALUE!</v>
      </c>
      <c r="E2534" t="e">
        <f>cubic_spline(CURVA!$B$6:$B$20,CURVA!$G$6:$G$20,#REF!)</f>
        <v>#VALUE!</v>
      </c>
    </row>
    <row r="2535" spans="1:5" x14ac:dyDescent="0.2">
      <c r="A2535" s="28">
        <v>2534</v>
      </c>
      <c r="B2535" s="28" t="e">
        <f>interpola(#REF!,CURVA!$B$6:$B$20,CURVA!$G$6:$G$20)</f>
        <v>#VALUE!</v>
      </c>
      <c r="C2535" s="29" t="e">
        <f t="shared" si="39"/>
        <v>#VALUE!</v>
      </c>
      <c r="E2535" t="e">
        <f>cubic_spline(CURVA!$B$6:$B$20,CURVA!$G$6:$G$20,#REF!)</f>
        <v>#VALUE!</v>
      </c>
    </row>
    <row r="2536" spans="1:5" x14ac:dyDescent="0.2">
      <c r="A2536" s="28">
        <v>2535</v>
      </c>
      <c r="B2536" s="28" t="e">
        <f>interpola(#REF!,CURVA!$B$6:$B$20,CURVA!$G$6:$G$20)</f>
        <v>#VALUE!</v>
      </c>
      <c r="C2536" s="29" t="e">
        <f t="shared" si="39"/>
        <v>#VALUE!</v>
      </c>
      <c r="E2536" t="e">
        <f>cubic_spline(CURVA!$B$6:$B$20,CURVA!$G$6:$G$20,#REF!)</f>
        <v>#VALUE!</v>
      </c>
    </row>
    <row r="2537" spans="1:5" x14ac:dyDescent="0.2">
      <c r="A2537" s="28">
        <v>2536</v>
      </c>
      <c r="B2537" s="28" t="e">
        <f>interpola(#REF!,CURVA!$B$6:$B$20,CURVA!$G$6:$G$20)</f>
        <v>#VALUE!</v>
      </c>
      <c r="C2537" s="29" t="e">
        <f t="shared" si="39"/>
        <v>#VALUE!</v>
      </c>
      <c r="E2537" t="e">
        <f>cubic_spline(CURVA!$B$6:$B$20,CURVA!$G$6:$G$20,#REF!)</f>
        <v>#VALUE!</v>
      </c>
    </row>
    <row r="2538" spans="1:5" x14ac:dyDescent="0.2">
      <c r="A2538" s="28">
        <v>2537</v>
      </c>
      <c r="B2538" s="28" t="e">
        <f>interpola(#REF!,CURVA!$B$6:$B$20,CURVA!$G$6:$G$20)</f>
        <v>#VALUE!</v>
      </c>
      <c r="C2538" s="29" t="e">
        <f t="shared" si="39"/>
        <v>#VALUE!</v>
      </c>
      <c r="E2538" t="e">
        <f>cubic_spline(CURVA!$B$6:$B$20,CURVA!$G$6:$G$20,#REF!)</f>
        <v>#VALUE!</v>
      </c>
    </row>
    <row r="2539" spans="1:5" x14ac:dyDescent="0.2">
      <c r="A2539" s="28">
        <v>2538</v>
      </c>
      <c r="B2539" s="28" t="e">
        <f>interpola(#REF!,CURVA!$B$6:$B$20,CURVA!$G$6:$G$20)</f>
        <v>#VALUE!</v>
      </c>
      <c r="C2539" s="29" t="e">
        <f t="shared" si="39"/>
        <v>#VALUE!</v>
      </c>
      <c r="E2539" t="e">
        <f>cubic_spline(CURVA!$B$6:$B$20,CURVA!$G$6:$G$20,#REF!)</f>
        <v>#VALUE!</v>
      </c>
    </row>
    <row r="2540" spans="1:5" x14ac:dyDescent="0.2">
      <c r="A2540" s="28">
        <v>2539</v>
      </c>
      <c r="B2540" s="28" t="e">
        <f>interpola(#REF!,CURVA!$B$6:$B$20,CURVA!$G$6:$G$20)</f>
        <v>#VALUE!</v>
      </c>
      <c r="C2540" s="29" t="e">
        <f t="shared" si="39"/>
        <v>#VALUE!</v>
      </c>
      <c r="E2540" t="e">
        <f>cubic_spline(CURVA!$B$6:$B$20,CURVA!$G$6:$G$20,#REF!)</f>
        <v>#VALUE!</v>
      </c>
    </row>
    <row r="2541" spans="1:5" x14ac:dyDescent="0.2">
      <c r="A2541" s="28">
        <v>2540</v>
      </c>
      <c r="B2541" s="28" t="e">
        <f>interpola(#REF!,CURVA!$B$6:$B$20,CURVA!$G$6:$G$20)</f>
        <v>#VALUE!</v>
      </c>
      <c r="C2541" s="29" t="e">
        <f t="shared" si="39"/>
        <v>#VALUE!</v>
      </c>
      <c r="E2541" t="e">
        <f>cubic_spline(CURVA!$B$6:$B$20,CURVA!$G$6:$G$20,#REF!)</f>
        <v>#VALUE!</v>
      </c>
    </row>
    <row r="2542" spans="1:5" x14ac:dyDescent="0.2">
      <c r="A2542" s="28">
        <v>2541</v>
      </c>
      <c r="B2542" s="28" t="e">
        <f>interpola(#REF!,CURVA!$B$6:$B$20,CURVA!$G$6:$G$20)</f>
        <v>#VALUE!</v>
      </c>
      <c r="C2542" s="29" t="e">
        <f t="shared" si="39"/>
        <v>#VALUE!</v>
      </c>
      <c r="E2542" t="e">
        <f>cubic_spline(CURVA!$B$6:$B$20,CURVA!$G$6:$G$20,#REF!)</f>
        <v>#VALUE!</v>
      </c>
    </row>
    <row r="2543" spans="1:5" x14ac:dyDescent="0.2">
      <c r="A2543" s="28">
        <v>2542</v>
      </c>
      <c r="B2543" s="28" t="e">
        <f>interpola(#REF!,CURVA!$B$6:$B$20,CURVA!$G$6:$G$20)</f>
        <v>#VALUE!</v>
      </c>
      <c r="C2543" s="29" t="e">
        <f t="shared" si="39"/>
        <v>#VALUE!</v>
      </c>
      <c r="E2543" t="e">
        <f>cubic_spline(CURVA!$B$6:$B$20,CURVA!$G$6:$G$20,#REF!)</f>
        <v>#VALUE!</v>
      </c>
    </row>
    <row r="2544" spans="1:5" x14ac:dyDescent="0.2">
      <c r="A2544" s="28">
        <v>2543</v>
      </c>
      <c r="B2544" s="28" t="e">
        <f>interpola(#REF!,CURVA!$B$6:$B$20,CURVA!$G$6:$G$20)</f>
        <v>#VALUE!</v>
      </c>
      <c r="C2544" s="29" t="e">
        <f t="shared" si="39"/>
        <v>#VALUE!</v>
      </c>
      <c r="E2544" t="e">
        <f>cubic_spline(CURVA!$B$6:$B$20,CURVA!$G$6:$G$20,#REF!)</f>
        <v>#VALUE!</v>
      </c>
    </row>
    <row r="2545" spans="1:5" x14ac:dyDescent="0.2">
      <c r="A2545" s="28">
        <v>2544</v>
      </c>
      <c r="B2545" s="28" t="e">
        <f>interpola(#REF!,CURVA!$B$6:$B$20,CURVA!$G$6:$G$20)</f>
        <v>#VALUE!</v>
      </c>
      <c r="C2545" s="29" t="e">
        <f t="shared" si="39"/>
        <v>#VALUE!</v>
      </c>
      <c r="E2545" t="e">
        <f>cubic_spline(CURVA!$B$6:$B$20,CURVA!$G$6:$G$20,#REF!)</f>
        <v>#VALUE!</v>
      </c>
    </row>
    <row r="2546" spans="1:5" x14ac:dyDescent="0.2">
      <c r="A2546" s="28">
        <v>2545</v>
      </c>
      <c r="B2546" s="28" t="e">
        <f>interpola(#REF!,CURVA!$B$6:$B$20,CURVA!$G$6:$G$20)</f>
        <v>#VALUE!</v>
      </c>
      <c r="C2546" s="29" t="e">
        <f t="shared" si="39"/>
        <v>#VALUE!</v>
      </c>
      <c r="E2546" t="e">
        <f>cubic_spline(CURVA!$B$6:$B$20,CURVA!$G$6:$G$20,#REF!)</f>
        <v>#VALUE!</v>
      </c>
    </row>
    <row r="2547" spans="1:5" x14ac:dyDescent="0.2">
      <c r="A2547" s="28">
        <v>2546</v>
      </c>
      <c r="B2547" s="28" t="e">
        <f>interpola(#REF!,CURVA!$B$6:$B$20,CURVA!$G$6:$G$20)</f>
        <v>#VALUE!</v>
      </c>
      <c r="C2547" s="29" t="e">
        <f t="shared" si="39"/>
        <v>#VALUE!</v>
      </c>
      <c r="E2547" t="e">
        <f>cubic_spline(CURVA!$B$6:$B$20,CURVA!$G$6:$G$20,#REF!)</f>
        <v>#VALUE!</v>
      </c>
    </row>
    <row r="2548" spans="1:5" x14ac:dyDescent="0.2">
      <c r="A2548" s="28">
        <v>2547</v>
      </c>
      <c r="B2548" s="28" t="e">
        <f>interpola(#REF!,CURVA!$B$6:$B$20,CURVA!$G$6:$G$20)</f>
        <v>#VALUE!</v>
      </c>
      <c r="C2548" s="29" t="e">
        <f t="shared" si="39"/>
        <v>#VALUE!</v>
      </c>
      <c r="E2548" t="e">
        <f>cubic_spline(CURVA!$B$6:$B$20,CURVA!$G$6:$G$20,#REF!)</f>
        <v>#VALUE!</v>
      </c>
    </row>
    <row r="2549" spans="1:5" x14ac:dyDescent="0.2">
      <c r="A2549" s="28">
        <v>2548</v>
      </c>
      <c r="B2549" s="28" t="e">
        <f>interpola(#REF!,CURVA!$B$6:$B$20,CURVA!$G$6:$G$20)</f>
        <v>#VALUE!</v>
      </c>
      <c r="C2549" s="29" t="e">
        <f t="shared" si="39"/>
        <v>#VALUE!</v>
      </c>
      <c r="E2549" t="e">
        <f>cubic_spline(CURVA!$B$6:$B$20,CURVA!$G$6:$G$20,#REF!)</f>
        <v>#VALUE!</v>
      </c>
    </row>
    <row r="2550" spans="1:5" x14ac:dyDescent="0.2">
      <c r="A2550" s="28">
        <v>2549</v>
      </c>
      <c r="B2550" s="28" t="e">
        <f>interpola(#REF!,CURVA!$B$6:$B$20,CURVA!$G$6:$G$20)</f>
        <v>#VALUE!</v>
      </c>
      <c r="C2550" s="29" t="e">
        <f t="shared" si="39"/>
        <v>#VALUE!</v>
      </c>
      <c r="E2550" t="e">
        <f>cubic_spline(CURVA!$B$6:$B$20,CURVA!$G$6:$G$20,#REF!)</f>
        <v>#VALUE!</v>
      </c>
    </row>
    <row r="2551" spans="1:5" x14ac:dyDescent="0.2">
      <c r="A2551" s="28">
        <v>2550</v>
      </c>
      <c r="B2551" s="28" t="e">
        <f>interpola(#REF!,CURVA!$B$6:$B$20,CURVA!$G$6:$G$20)</f>
        <v>#VALUE!</v>
      </c>
      <c r="C2551" s="29" t="e">
        <f t="shared" si="39"/>
        <v>#VALUE!</v>
      </c>
      <c r="E2551" t="e">
        <f>cubic_spline(CURVA!$B$6:$B$20,CURVA!$G$6:$G$20,#REF!)</f>
        <v>#VALUE!</v>
      </c>
    </row>
    <row r="2552" spans="1:5" x14ac:dyDescent="0.2">
      <c r="A2552" s="28">
        <v>2551</v>
      </c>
      <c r="B2552" s="28" t="e">
        <f>interpola(#REF!,CURVA!$B$6:$B$20,CURVA!$G$6:$G$20)</f>
        <v>#VALUE!</v>
      </c>
      <c r="C2552" s="29" t="e">
        <f t="shared" si="39"/>
        <v>#VALUE!</v>
      </c>
      <c r="E2552" t="e">
        <f>cubic_spline(CURVA!$B$6:$B$20,CURVA!$G$6:$G$20,#REF!)</f>
        <v>#VALUE!</v>
      </c>
    </row>
    <row r="2553" spans="1:5" x14ac:dyDescent="0.2">
      <c r="A2553" s="28">
        <v>2552</v>
      </c>
      <c r="B2553" s="28" t="e">
        <f>interpola(#REF!,CURVA!$B$6:$B$20,CURVA!$G$6:$G$20)</f>
        <v>#VALUE!</v>
      </c>
      <c r="C2553" s="29" t="e">
        <f t="shared" si="39"/>
        <v>#VALUE!</v>
      </c>
      <c r="E2553" t="e">
        <f>cubic_spline(CURVA!$B$6:$B$20,CURVA!$G$6:$G$20,#REF!)</f>
        <v>#VALUE!</v>
      </c>
    </row>
    <row r="2554" spans="1:5" x14ac:dyDescent="0.2">
      <c r="A2554" s="28">
        <v>2553</v>
      </c>
      <c r="B2554" s="28" t="e">
        <f>interpola(#REF!,CURVA!$B$6:$B$20,CURVA!$G$6:$G$20)</f>
        <v>#VALUE!</v>
      </c>
      <c r="C2554" s="29" t="e">
        <f t="shared" si="39"/>
        <v>#VALUE!</v>
      </c>
      <c r="E2554" t="e">
        <f>cubic_spline(CURVA!$B$6:$B$20,CURVA!$G$6:$G$20,#REF!)</f>
        <v>#VALUE!</v>
      </c>
    </row>
    <row r="2555" spans="1:5" x14ac:dyDescent="0.2">
      <c r="A2555" s="28">
        <v>2554</v>
      </c>
      <c r="B2555" s="28" t="e">
        <f>interpola(#REF!,CURVA!$B$6:$B$20,CURVA!$G$6:$G$20)</f>
        <v>#VALUE!</v>
      </c>
      <c r="C2555" s="29" t="e">
        <f t="shared" si="39"/>
        <v>#VALUE!</v>
      </c>
      <c r="E2555" t="e">
        <f>cubic_spline(CURVA!$B$6:$B$20,CURVA!$G$6:$G$20,#REF!)</f>
        <v>#VALUE!</v>
      </c>
    </row>
    <row r="2556" spans="1:5" x14ac:dyDescent="0.2">
      <c r="A2556" s="28">
        <v>2555</v>
      </c>
      <c r="B2556" s="28" t="e">
        <f>interpola(#REF!,CURVA!$B$6:$B$20,CURVA!$G$6:$G$20)</f>
        <v>#VALUE!</v>
      </c>
      <c r="C2556" s="29" t="e">
        <f t="shared" si="39"/>
        <v>#VALUE!</v>
      </c>
      <c r="E2556" t="e">
        <f>cubic_spline(CURVA!$B$6:$B$20,CURVA!$G$6:$G$20,#REF!)</f>
        <v>#VALUE!</v>
      </c>
    </row>
    <row r="2557" spans="1:5" x14ac:dyDescent="0.2">
      <c r="A2557" s="28">
        <v>2556</v>
      </c>
      <c r="B2557" s="28" t="e">
        <f>interpola(#REF!,CURVA!$B$6:$B$20,CURVA!$G$6:$G$20)</f>
        <v>#VALUE!</v>
      </c>
      <c r="C2557" s="29" t="e">
        <f t="shared" si="39"/>
        <v>#VALUE!</v>
      </c>
      <c r="E2557" t="e">
        <f>cubic_spline(CURVA!$B$6:$B$20,CURVA!$G$6:$G$20,#REF!)</f>
        <v>#VALUE!</v>
      </c>
    </row>
    <row r="2558" spans="1:5" x14ac:dyDescent="0.2">
      <c r="A2558" s="28">
        <v>2557</v>
      </c>
      <c r="B2558" s="28" t="e">
        <f>interpola(#REF!,CURVA!$B$6:$B$20,CURVA!$G$6:$G$20)</f>
        <v>#VALUE!</v>
      </c>
      <c r="C2558" s="29" t="e">
        <f t="shared" si="39"/>
        <v>#VALUE!</v>
      </c>
      <c r="E2558" t="e">
        <f>cubic_spline(CURVA!$B$6:$B$20,CURVA!$G$6:$G$20,#REF!)</f>
        <v>#VALUE!</v>
      </c>
    </row>
    <row r="2559" spans="1:5" x14ac:dyDescent="0.2">
      <c r="A2559" s="28">
        <v>2558</v>
      </c>
      <c r="B2559" s="28" t="e">
        <f>interpola(#REF!,CURVA!$B$6:$B$20,CURVA!$G$6:$G$20)</f>
        <v>#VALUE!</v>
      </c>
      <c r="C2559" s="29" t="e">
        <f t="shared" si="39"/>
        <v>#VALUE!</v>
      </c>
      <c r="E2559" t="e">
        <f>cubic_spline(CURVA!$B$6:$B$20,CURVA!$G$6:$G$20,#REF!)</f>
        <v>#VALUE!</v>
      </c>
    </row>
    <row r="2560" spans="1:5" x14ac:dyDescent="0.2">
      <c r="A2560" s="28">
        <v>2559</v>
      </c>
      <c r="B2560" s="28" t="e">
        <f>interpola(#REF!,CURVA!$B$6:$B$20,CURVA!$G$6:$G$20)</f>
        <v>#VALUE!</v>
      </c>
      <c r="C2560" s="29" t="e">
        <f t="shared" si="39"/>
        <v>#VALUE!</v>
      </c>
      <c r="E2560" t="e">
        <f>cubic_spline(CURVA!$B$6:$B$20,CURVA!$G$6:$G$20,#REF!)</f>
        <v>#VALUE!</v>
      </c>
    </row>
    <row r="2561" spans="1:5" x14ac:dyDescent="0.2">
      <c r="A2561" s="28">
        <v>2560</v>
      </c>
      <c r="B2561" s="28" t="e">
        <f>interpola(#REF!,CURVA!$B$6:$B$20,CURVA!$G$6:$G$20)</f>
        <v>#VALUE!</v>
      </c>
      <c r="C2561" s="29" t="e">
        <f t="shared" si="39"/>
        <v>#VALUE!</v>
      </c>
      <c r="E2561" t="e">
        <f>cubic_spline(CURVA!$B$6:$B$20,CURVA!$G$6:$G$20,#REF!)</f>
        <v>#VALUE!</v>
      </c>
    </row>
    <row r="2562" spans="1:5" x14ac:dyDescent="0.2">
      <c r="A2562" s="28">
        <v>2561</v>
      </c>
      <c r="B2562" s="28" t="e">
        <f>interpola(#REF!,CURVA!$B$6:$B$20,CURVA!$G$6:$G$20)</f>
        <v>#VALUE!</v>
      </c>
      <c r="C2562" s="29" t="e">
        <f t="shared" ref="C2562:C2625" si="40">(EXP(B2562*A2562/360)-1)*360/A2562</f>
        <v>#VALUE!</v>
      </c>
      <c r="E2562" t="e">
        <f>cubic_spline(CURVA!$B$6:$B$20,CURVA!$G$6:$G$20,#REF!)</f>
        <v>#VALUE!</v>
      </c>
    </row>
    <row r="2563" spans="1:5" x14ac:dyDescent="0.2">
      <c r="A2563" s="28">
        <v>2562</v>
      </c>
      <c r="B2563" s="28" t="e">
        <f>interpola(#REF!,CURVA!$B$6:$B$20,CURVA!$G$6:$G$20)</f>
        <v>#VALUE!</v>
      </c>
      <c r="C2563" s="29" t="e">
        <f t="shared" si="40"/>
        <v>#VALUE!</v>
      </c>
      <c r="E2563" t="e">
        <f>cubic_spline(CURVA!$B$6:$B$20,CURVA!$G$6:$G$20,#REF!)</f>
        <v>#VALUE!</v>
      </c>
    </row>
    <row r="2564" spans="1:5" x14ac:dyDescent="0.2">
      <c r="A2564" s="28">
        <v>2563</v>
      </c>
      <c r="B2564" s="28" t="e">
        <f>interpola(#REF!,CURVA!$B$6:$B$20,CURVA!$G$6:$G$20)</f>
        <v>#VALUE!</v>
      </c>
      <c r="C2564" s="29" t="e">
        <f t="shared" si="40"/>
        <v>#VALUE!</v>
      </c>
      <c r="E2564" t="e">
        <f>cubic_spline(CURVA!$B$6:$B$20,CURVA!$G$6:$G$20,#REF!)</f>
        <v>#VALUE!</v>
      </c>
    </row>
    <row r="2565" spans="1:5" x14ac:dyDescent="0.2">
      <c r="A2565" s="28">
        <v>2564</v>
      </c>
      <c r="B2565" s="28" t="e">
        <f>interpola(#REF!,CURVA!$B$6:$B$20,CURVA!$G$6:$G$20)</f>
        <v>#VALUE!</v>
      </c>
      <c r="C2565" s="29" t="e">
        <f t="shared" si="40"/>
        <v>#VALUE!</v>
      </c>
      <c r="E2565" t="e">
        <f>cubic_spline(CURVA!$B$6:$B$20,CURVA!$G$6:$G$20,#REF!)</f>
        <v>#VALUE!</v>
      </c>
    </row>
    <row r="2566" spans="1:5" x14ac:dyDescent="0.2">
      <c r="A2566" s="28">
        <v>2565</v>
      </c>
      <c r="B2566" s="28" t="e">
        <f>interpola(#REF!,CURVA!$B$6:$B$20,CURVA!$G$6:$G$20)</f>
        <v>#VALUE!</v>
      </c>
      <c r="C2566" s="29" t="e">
        <f t="shared" si="40"/>
        <v>#VALUE!</v>
      </c>
      <c r="E2566" t="e">
        <f>cubic_spline(CURVA!$B$6:$B$20,CURVA!$G$6:$G$20,#REF!)</f>
        <v>#VALUE!</v>
      </c>
    </row>
    <row r="2567" spans="1:5" x14ac:dyDescent="0.2">
      <c r="A2567" s="28">
        <v>2566</v>
      </c>
      <c r="B2567" s="28" t="e">
        <f>interpola(#REF!,CURVA!$B$6:$B$20,CURVA!$G$6:$G$20)</f>
        <v>#VALUE!</v>
      </c>
      <c r="C2567" s="29" t="e">
        <f t="shared" si="40"/>
        <v>#VALUE!</v>
      </c>
      <c r="E2567" t="e">
        <f>cubic_spline(CURVA!$B$6:$B$20,CURVA!$G$6:$G$20,#REF!)</f>
        <v>#VALUE!</v>
      </c>
    </row>
    <row r="2568" spans="1:5" x14ac:dyDescent="0.2">
      <c r="A2568" s="28">
        <v>2567</v>
      </c>
      <c r="B2568" s="28" t="e">
        <f>interpola(#REF!,CURVA!$B$6:$B$20,CURVA!$G$6:$G$20)</f>
        <v>#VALUE!</v>
      </c>
      <c r="C2568" s="29" t="e">
        <f t="shared" si="40"/>
        <v>#VALUE!</v>
      </c>
      <c r="E2568" t="e">
        <f>cubic_spline(CURVA!$B$6:$B$20,CURVA!$G$6:$G$20,#REF!)</f>
        <v>#VALUE!</v>
      </c>
    </row>
    <row r="2569" spans="1:5" x14ac:dyDescent="0.2">
      <c r="A2569" s="28">
        <v>2568</v>
      </c>
      <c r="B2569" s="28" t="e">
        <f>interpola(#REF!,CURVA!$B$6:$B$20,CURVA!$G$6:$G$20)</f>
        <v>#VALUE!</v>
      </c>
      <c r="C2569" s="29" t="e">
        <f t="shared" si="40"/>
        <v>#VALUE!</v>
      </c>
      <c r="E2569" t="e">
        <f>cubic_spline(CURVA!$B$6:$B$20,CURVA!$G$6:$G$20,#REF!)</f>
        <v>#VALUE!</v>
      </c>
    </row>
    <row r="2570" spans="1:5" x14ac:dyDescent="0.2">
      <c r="A2570" s="28">
        <v>2569</v>
      </c>
      <c r="B2570" s="28" t="e">
        <f>interpola(#REF!,CURVA!$B$6:$B$20,CURVA!$G$6:$G$20)</f>
        <v>#VALUE!</v>
      </c>
      <c r="C2570" s="29" t="e">
        <f t="shared" si="40"/>
        <v>#VALUE!</v>
      </c>
      <c r="E2570" t="e">
        <f>cubic_spline(CURVA!$B$6:$B$20,CURVA!$G$6:$G$20,#REF!)</f>
        <v>#VALUE!</v>
      </c>
    </row>
    <row r="2571" spans="1:5" x14ac:dyDescent="0.2">
      <c r="A2571" s="28">
        <v>2570</v>
      </c>
      <c r="B2571" s="28" t="e">
        <f>interpola(#REF!,CURVA!$B$6:$B$20,CURVA!$G$6:$G$20)</f>
        <v>#VALUE!</v>
      </c>
      <c r="C2571" s="29" t="e">
        <f t="shared" si="40"/>
        <v>#VALUE!</v>
      </c>
      <c r="E2571" t="e">
        <f>cubic_spline(CURVA!$B$6:$B$20,CURVA!$G$6:$G$20,#REF!)</f>
        <v>#VALUE!</v>
      </c>
    </row>
    <row r="2572" spans="1:5" x14ac:dyDescent="0.2">
      <c r="A2572" s="28">
        <v>2571</v>
      </c>
      <c r="B2572" s="28" t="e">
        <f>interpola(#REF!,CURVA!$B$6:$B$20,CURVA!$G$6:$G$20)</f>
        <v>#VALUE!</v>
      </c>
      <c r="C2572" s="29" t="e">
        <f t="shared" si="40"/>
        <v>#VALUE!</v>
      </c>
      <c r="E2572" t="e">
        <f>cubic_spline(CURVA!$B$6:$B$20,CURVA!$G$6:$G$20,#REF!)</f>
        <v>#VALUE!</v>
      </c>
    </row>
    <row r="2573" spans="1:5" x14ac:dyDescent="0.2">
      <c r="A2573" s="28">
        <v>2572</v>
      </c>
      <c r="B2573" s="28" t="e">
        <f>interpola(#REF!,CURVA!$B$6:$B$20,CURVA!$G$6:$G$20)</f>
        <v>#VALUE!</v>
      </c>
      <c r="C2573" s="29" t="e">
        <f t="shared" si="40"/>
        <v>#VALUE!</v>
      </c>
      <c r="E2573" t="e">
        <f>cubic_spline(CURVA!$B$6:$B$20,CURVA!$G$6:$G$20,#REF!)</f>
        <v>#VALUE!</v>
      </c>
    </row>
    <row r="2574" spans="1:5" x14ac:dyDescent="0.2">
      <c r="A2574" s="28">
        <v>2573</v>
      </c>
      <c r="B2574" s="28" t="e">
        <f>interpola(#REF!,CURVA!$B$6:$B$20,CURVA!$G$6:$G$20)</f>
        <v>#VALUE!</v>
      </c>
      <c r="C2574" s="29" t="e">
        <f t="shared" si="40"/>
        <v>#VALUE!</v>
      </c>
      <c r="E2574" t="e">
        <f>cubic_spline(CURVA!$B$6:$B$20,CURVA!$G$6:$G$20,#REF!)</f>
        <v>#VALUE!</v>
      </c>
    </row>
    <row r="2575" spans="1:5" x14ac:dyDescent="0.2">
      <c r="A2575" s="28">
        <v>2574</v>
      </c>
      <c r="B2575" s="28" t="e">
        <f>interpola(#REF!,CURVA!$B$6:$B$20,CURVA!$G$6:$G$20)</f>
        <v>#VALUE!</v>
      </c>
      <c r="C2575" s="29" t="e">
        <f t="shared" si="40"/>
        <v>#VALUE!</v>
      </c>
      <c r="E2575" t="e">
        <f>cubic_spline(CURVA!$B$6:$B$20,CURVA!$G$6:$G$20,#REF!)</f>
        <v>#VALUE!</v>
      </c>
    </row>
    <row r="2576" spans="1:5" x14ac:dyDescent="0.2">
      <c r="A2576" s="28">
        <v>2575</v>
      </c>
      <c r="B2576" s="28" t="e">
        <f>interpola(#REF!,CURVA!$B$6:$B$20,CURVA!$G$6:$G$20)</f>
        <v>#VALUE!</v>
      </c>
      <c r="C2576" s="29" t="e">
        <f t="shared" si="40"/>
        <v>#VALUE!</v>
      </c>
      <c r="E2576" t="e">
        <f>cubic_spline(CURVA!$B$6:$B$20,CURVA!$G$6:$G$20,#REF!)</f>
        <v>#VALUE!</v>
      </c>
    </row>
    <row r="2577" spans="1:5" x14ac:dyDescent="0.2">
      <c r="A2577" s="28">
        <v>2576</v>
      </c>
      <c r="B2577" s="28" t="e">
        <f>interpola(#REF!,CURVA!$B$6:$B$20,CURVA!$G$6:$G$20)</f>
        <v>#VALUE!</v>
      </c>
      <c r="C2577" s="29" t="e">
        <f t="shared" si="40"/>
        <v>#VALUE!</v>
      </c>
      <c r="E2577" t="e">
        <f>cubic_spline(CURVA!$B$6:$B$20,CURVA!$G$6:$G$20,#REF!)</f>
        <v>#VALUE!</v>
      </c>
    </row>
    <row r="2578" spans="1:5" x14ac:dyDescent="0.2">
      <c r="A2578" s="28">
        <v>2577</v>
      </c>
      <c r="B2578" s="28" t="e">
        <f>interpola(#REF!,CURVA!$B$6:$B$20,CURVA!$G$6:$G$20)</f>
        <v>#VALUE!</v>
      </c>
      <c r="C2578" s="29" t="e">
        <f t="shared" si="40"/>
        <v>#VALUE!</v>
      </c>
      <c r="E2578" t="e">
        <f>cubic_spline(CURVA!$B$6:$B$20,CURVA!$G$6:$G$20,#REF!)</f>
        <v>#VALUE!</v>
      </c>
    </row>
    <row r="2579" spans="1:5" x14ac:dyDescent="0.2">
      <c r="A2579" s="28">
        <v>2578</v>
      </c>
      <c r="B2579" s="28" t="e">
        <f>interpola(#REF!,CURVA!$B$6:$B$20,CURVA!$G$6:$G$20)</f>
        <v>#VALUE!</v>
      </c>
      <c r="C2579" s="29" t="e">
        <f t="shared" si="40"/>
        <v>#VALUE!</v>
      </c>
      <c r="E2579" t="e">
        <f>cubic_spline(CURVA!$B$6:$B$20,CURVA!$G$6:$G$20,#REF!)</f>
        <v>#VALUE!</v>
      </c>
    </row>
    <row r="2580" spans="1:5" x14ac:dyDescent="0.2">
      <c r="A2580" s="28">
        <v>2579</v>
      </c>
      <c r="B2580" s="28" t="e">
        <f>interpola(#REF!,CURVA!$B$6:$B$20,CURVA!$G$6:$G$20)</f>
        <v>#VALUE!</v>
      </c>
      <c r="C2580" s="29" t="e">
        <f t="shared" si="40"/>
        <v>#VALUE!</v>
      </c>
      <c r="E2580" t="e">
        <f>cubic_spline(CURVA!$B$6:$B$20,CURVA!$G$6:$G$20,#REF!)</f>
        <v>#VALUE!</v>
      </c>
    </row>
    <row r="2581" spans="1:5" x14ac:dyDescent="0.2">
      <c r="A2581" s="28">
        <v>2580</v>
      </c>
      <c r="B2581" s="28" t="e">
        <f>interpola(#REF!,CURVA!$B$6:$B$20,CURVA!$G$6:$G$20)</f>
        <v>#VALUE!</v>
      </c>
      <c r="C2581" s="29" t="e">
        <f t="shared" si="40"/>
        <v>#VALUE!</v>
      </c>
      <c r="E2581" t="e">
        <f>cubic_spline(CURVA!$B$6:$B$20,CURVA!$G$6:$G$20,#REF!)</f>
        <v>#VALUE!</v>
      </c>
    </row>
    <row r="2582" spans="1:5" x14ac:dyDescent="0.2">
      <c r="A2582" s="28">
        <v>2581</v>
      </c>
      <c r="B2582" s="28" t="e">
        <f>interpola(#REF!,CURVA!$B$6:$B$20,CURVA!$G$6:$G$20)</f>
        <v>#VALUE!</v>
      </c>
      <c r="C2582" s="29" t="e">
        <f t="shared" si="40"/>
        <v>#VALUE!</v>
      </c>
      <c r="E2582" t="e">
        <f>cubic_spline(CURVA!$B$6:$B$20,CURVA!$G$6:$G$20,#REF!)</f>
        <v>#VALUE!</v>
      </c>
    </row>
    <row r="2583" spans="1:5" x14ac:dyDescent="0.2">
      <c r="A2583" s="28">
        <v>2582</v>
      </c>
      <c r="B2583" s="28" t="e">
        <f>interpola(#REF!,CURVA!$B$6:$B$20,CURVA!$G$6:$G$20)</f>
        <v>#VALUE!</v>
      </c>
      <c r="C2583" s="29" t="e">
        <f t="shared" si="40"/>
        <v>#VALUE!</v>
      </c>
      <c r="E2583" t="e">
        <f>cubic_spline(CURVA!$B$6:$B$20,CURVA!$G$6:$G$20,#REF!)</f>
        <v>#VALUE!</v>
      </c>
    </row>
    <row r="2584" spans="1:5" x14ac:dyDescent="0.2">
      <c r="A2584" s="28">
        <v>2583</v>
      </c>
      <c r="B2584" s="28" t="e">
        <f>interpola(#REF!,CURVA!$B$6:$B$20,CURVA!$G$6:$G$20)</f>
        <v>#VALUE!</v>
      </c>
      <c r="C2584" s="29" t="e">
        <f t="shared" si="40"/>
        <v>#VALUE!</v>
      </c>
      <c r="E2584" t="e">
        <f>cubic_spline(CURVA!$B$6:$B$20,CURVA!$G$6:$G$20,#REF!)</f>
        <v>#VALUE!</v>
      </c>
    </row>
    <row r="2585" spans="1:5" x14ac:dyDescent="0.2">
      <c r="A2585" s="28">
        <v>2584</v>
      </c>
      <c r="B2585" s="28" t="e">
        <f>interpola(#REF!,CURVA!$B$6:$B$20,CURVA!$G$6:$G$20)</f>
        <v>#VALUE!</v>
      </c>
      <c r="C2585" s="29" t="e">
        <f t="shared" si="40"/>
        <v>#VALUE!</v>
      </c>
      <c r="E2585" t="e">
        <f>cubic_spline(CURVA!$B$6:$B$20,CURVA!$G$6:$G$20,#REF!)</f>
        <v>#VALUE!</v>
      </c>
    </row>
    <row r="2586" spans="1:5" x14ac:dyDescent="0.2">
      <c r="A2586" s="28">
        <v>2585</v>
      </c>
      <c r="B2586" s="28" t="e">
        <f>interpola(#REF!,CURVA!$B$6:$B$20,CURVA!$G$6:$G$20)</f>
        <v>#VALUE!</v>
      </c>
      <c r="C2586" s="29" t="e">
        <f t="shared" si="40"/>
        <v>#VALUE!</v>
      </c>
      <c r="E2586" t="e">
        <f>cubic_spline(CURVA!$B$6:$B$20,CURVA!$G$6:$G$20,#REF!)</f>
        <v>#VALUE!</v>
      </c>
    </row>
    <row r="2587" spans="1:5" x14ac:dyDescent="0.2">
      <c r="A2587" s="28">
        <v>2586</v>
      </c>
      <c r="B2587" s="28" t="e">
        <f>interpola(#REF!,CURVA!$B$6:$B$20,CURVA!$G$6:$G$20)</f>
        <v>#VALUE!</v>
      </c>
      <c r="C2587" s="29" t="e">
        <f t="shared" si="40"/>
        <v>#VALUE!</v>
      </c>
      <c r="E2587" t="e">
        <f>cubic_spline(CURVA!$B$6:$B$20,CURVA!$G$6:$G$20,#REF!)</f>
        <v>#VALUE!</v>
      </c>
    </row>
    <row r="2588" spans="1:5" x14ac:dyDescent="0.2">
      <c r="A2588" s="28">
        <v>2587</v>
      </c>
      <c r="B2588" s="28" t="e">
        <f>interpola(#REF!,CURVA!$B$6:$B$20,CURVA!$G$6:$G$20)</f>
        <v>#VALUE!</v>
      </c>
      <c r="C2588" s="29" t="e">
        <f t="shared" si="40"/>
        <v>#VALUE!</v>
      </c>
      <c r="E2588" t="e">
        <f>cubic_spline(CURVA!$B$6:$B$20,CURVA!$G$6:$G$20,#REF!)</f>
        <v>#VALUE!</v>
      </c>
    </row>
    <row r="2589" spans="1:5" x14ac:dyDescent="0.2">
      <c r="A2589" s="28">
        <v>2588</v>
      </c>
      <c r="B2589" s="28" t="e">
        <f>interpola(#REF!,CURVA!$B$6:$B$20,CURVA!$G$6:$G$20)</f>
        <v>#VALUE!</v>
      </c>
      <c r="C2589" s="29" t="e">
        <f t="shared" si="40"/>
        <v>#VALUE!</v>
      </c>
      <c r="E2589" t="e">
        <f>cubic_spline(CURVA!$B$6:$B$20,CURVA!$G$6:$G$20,#REF!)</f>
        <v>#VALUE!</v>
      </c>
    </row>
    <row r="2590" spans="1:5" x14ac:dyDescent="0.2">
      <c r="A2590" s="28">
        <v>2589</v>
      </c>
      <c r="B2590" s="28" t="e">
        <f>interpola(#REF!,CURVA!$B$6:$B$20,CURVA!$G$6:$G$20)</f>
        <v>#VALUE!</v>
      </c>
      <c r="C2590" s="29" t="e">
        <f t="shared" si="40"/>
        <v>#VALUE!</v>
      </c>
      <c r="E2590" t="e">
        <f>cubic_spline(CURVA!$B$6:$B$20,CURVA!$G$6:$G$20,#REF!)</f>
        <v>#VALUE!</v>
      </c>
    </row>
    <row r="2591" spans="1:5" x14ac:dyDescent="0.2">
      <c r="A2591" s="28">
        <v>2590</v>
      </c>
      <c r="B2591" s="28" t="e">
        <f>interpola(#REF!,CURVA!$B$6:$B$20,CURVA!$G$6:$G$20)</f>
        <v>#VALUE!</v>
      </c>
      <c r="C2591" s="29" t="e">
        <f t="shared" si="40"/>
        <v>#VALUE!</v>
      </c>
      <c r="E2591" t="e">
        <f>cubic_spline(CURVA!$B$6:$B$20,CURVA!$G$6:$G$20,#REF!)</f>
        <v>#VALUE!</v>
      </c>
    </row>
    <row r="2592" spans="1:5" x14ac:dyDescent="0.2">
      <c r="A2592" s="28">
        <v>2591</v>
      </c>
      <c r="B2592" s="28" t="e">
        <f>interpola(#REF!,CURVA!$B$6:$B$20,CURVA!$G$6:$G$20)</f>
        <v>#VALUE!</v>
      </c>
      <c r="C2592" s="29" t="e">
        <f t="shared" si="40"/>
        <v>#VALUE!</v>
      </c>
      <c r="E2592" t="e">
        <f>cubic_spline(CURVA!$B$6:$B$20,CURVA!$G$6:$G$20,#REF!)</f>
        <v>#VALUE!</v>
      </c>
    </row>
    <row r="2593" spans="1:5" x14ac:dyDescent="0.2">
      <c r="A2593" s="28">
        <v>2592</v>
      </c>
      <c r="B2593" s="28" t="e">
        <f>interpola(#REF!,CURVA!$B$6:$B$20,CURVA!$G$6:$G$20)</f>
        <v>#VALUE!</v>
      </c>
      <c r="C2593" s="29" t="e">
        <f t="shared" si="40"/>
        <v>#VALUE!</v>
      </c>
      <c r="E2593" t="e">
        <f>cubic_spline(CURVA!$B$6:$B$20,CURVA!$G$6:$G$20,#REF!)</f>
        <v>#VALUE!</v>
      </c>
    </row>
    <row r="2594" spans="1:5" x14ac:dyDescent="0.2">
      <c r="A2594" s="28">
        <v>2593</v>
      </c>
      <c r="B2594" s="28" t="e">
        <f>interpola(#REF!,CURVA!$B$6:$B$20,CURVA!$G$6:$G$20)</f>
        <v>#VALUE!</v>
      </c>
      <c r="C2594" s="29" t="e">
        <f t="shared" si="40"/>
        <v>#VALUE!</v>
      </c>
      <c r="E2594" t="e">
        <f>cubic_spline(CURVA!$B$6:$B$20,CURVA!$G$6:$G$20,#REF!)</f>
        <v>#VALUE!</v>
      </c>
    </row>
    <row r="2595" spans="1:5" x14ac:dyDescent="0.2">
      <c r="A2595" s="28">
        <v>2594</v>
      </c>
      <c r="B2595" s="28" t="e">
        <f>interpola(#REF!,CURVA!$B$6:$B$20,CURVA!$G$6:$G$20)</f>
        <v>#VALUE!</v>
      </c>
      <c r="C2595" s="29" t="e">
        <f t="shared" si="40"/>
        <v>#VALUE!</v>
      </c>
      <c r="E2595" t="e">
        <f>cubic_spline(CURVA!$B$6:$B$20,CURVA!$G$6:$G$20,#REF!)</f>
        <v>#VALUE!</v>
      </c>
    </row>
    <row r="2596" spans="1:5" x14ac:dyDescent="0.2">
      <c r="A2596" s="28">
        <v>2595</v>
      </c>
      <c r="B2596" s="28" t="e">
        <f>interpola(#REF!,CURVA!$B$6:$B$20,CURVA!$G$6:$G$20)</f>
        <v>#VALUE!</v>
      </c>
      <c r="C2596" s="29" t="e">
        <f t="shared" si="40"/>
        <v>#VALUE!</v>
      </c>
      <c r="E2596" t="e">
        <f>cubic_spline(CURVA!$B$6:$B$20,CURVA!$G$6:$G$20,#REF!)</f>
        <v>#VALUE!</v>
      </c>
    </row>
    <row r="2597" spans="1:5" x14ac:dyDescent="0.2">
      <c r="A2597" s="28">
        <v>2596</v>
      </c>
      <c r="B2597" s="28" t="e">
        <f>interpola(#REF!,CURVA!$B$6:$B$20,CURVA!$G$6:$G$20)</f>
        <v>#VALUE!</v>
      </c>
      <c r="C2597" s="29" t="e">
        <f t="shared" si="40"/>
        <v>#VALUE!</v>
      </c>
      <c r="E2597" t="e">
        <f>cubic_spline(CURVA!$B$6:$B$20,CURVA!$G$6:$G$20,#REF!)</f>
        <v>#VALUE!</v>
      </c>
    </row>
    <row r="2598" spans="1:5" x14ac:dyDescent="0.2">
      <c r="A2598" s="28">
        <v>2597</v>
      </c>
      <c r="B2598" s="28" t="e">
        <f>interpola(#REF!,CURVA!$B$6:$B$20,CURVA!$G$6:$G$20)</f>
        <v>#VALUE!</v>
      </c>
      <c r="C2598" s="29" t="e">
        <f t="shared" si="40"/>
        <v>#VALUE!</v>
      </c>
      <c r="E2598" t="e">
        <f>cubic_spline(CURVA!$B$6:$B$20,CURVA!$G$6:$G$20,#REF!)</f>
        <v>#VALUE!</v>
      </c>
    </row>
    <row r="2599" spans="1:5" x14ac:dyDescent="0.2">
      <c r="A2599" s="28">
        <v>2598</v>
      </c>
      <c r="B2599" s="28" t="e">
        <f>interpola(#REF!,CURVA!$B$6:$B$20,CURVA!$G$6:$G$20)</f>
        <v>#VALUE!</v>
      </c>
      <c r="C2599" s="29" t="e">
        <f t="shared" si="40"/>
        <v>#VALUE!</v>
      </c>
      <c r="E2599" t="e">
        <f>cubic_spline(CURVA!$B$6:$B$20,CURVA!$G$6:$G$20,#REF!)</f>
        <v>#VALUE!</v>
      </c>
    </row>
    <row r="2600" spans="1:5" x14ac:dyDescent="0.2">
      <c r="A2600" s="28">
        <v>2599</v>
      </c>
      <c r="B2600" s="28" t="e">
        <f>interpola(#REF!,CURVA!$B$6:$B$20,CURVA!$G$6:$G$20)</f>
        <v>#VALUE!</v>
      </c>
      <c r="C2600" s="29" t="e">
        <f t="shared" si="40"/>
        <v>#VALUE!</v>
      </c>
      <c r="E2600" t="e">
        <f>cubic_spline(CURVA!$B$6:$B$20,CURVA!$G$6:$G$20,#REF!)</f>
        <v>#VALUE!</v>
      </c>
    </row>
    <row r="2601" spans="1:5" x14ac:dyDescent="0.2">
      <c r="A2601" s="28">
        <v>2600</v>
      </c>
      <c r="B2601" s="28" t="e">
        <f>interpola(#REF!,CURVA!$B$6:$B$20,CURVA!$G$6:$G$20)</f>
        <v>#VALUE!</v>
      </c>
      <c r="C2601" s="29" t="e">
        <f t="shared" si="40"/>
        <v>#VALUE!</v>
      </c>
      <c r="E2601" t="e">
        <f>cubic_spline(CURVA!$B$6:$B$20,CURVA!$G$6:$G$20,#REF!)</f>
        <v>#VALUE!</v>
      </c>
    </row>
    <row r="2602" spans="1:5" x14ac:dyDescent="0.2">
      <c r="A2602" s="28">
        <v>2601</v>
      </c>
      <c r="B2602" s="28" t="e">
        <f>interpola(#REF!,CURVA!$B$6:$B$20,CURVA!$G$6:$G$20)</f>
        <v>#VALUE!</v>
      </c>
      <c r="C2602" s="29" t="e">
        <f t="shared" si="40"/>
        <v>#VALUE!</v>
      </c>
      <c r="E2602" t="e">
        <f>cubic_spline(CURVA!$B$6:$B$20,CURVA!$G$6:$G$20,#REF!)</f>
        <v>#VALUE!</v>
      </c>
    </row>
    <row r="2603" spans="1:5" x14ac:dyDescent="0.2">
      <c r="A2603" s="28">
        <v>2602</v>
      </c>
      <c r="B2603" s="28" t="e">
        <f>interpola(#REF!,CURVA!$B$6:$B$20,CURVA!$G$6:$G$20)</f>
        <v>#VALUE!</v>
      </c>
      <c r="C2603" s="29" t="e">
        <f t="shared" si="40"/>
        <v>#VALUE!</v>
      </c>
      <c r="E2603" t="e">
        <f>cubic_spline(CURVA!$B$6:$B$20,CURVA!$G$6:$G$20,#REF!)</f>
        <v>#VALUE!</v>
      </c>
    </row>
    <row r="2604" spans="1:5" x14ac:dyDescent="0.2">
      <c r="A2604" s="28">
        <v>2603</v>
      </c>
      <c r="B2604" s="28" t="e">
        <f>interpola(#REF!,CURVA!$B$6:$B$20,CURVA!$G$6:$G$20)</f>
        <v>#VALUE!</v>
      </c>
      <c r="C2604" s="29" t="e">
        <f t="shared" si="40"/>
        <v>#VALUE!</v>
      </c>
      <c r="E2604" t="e">
        <f>cubic_spline(CURVA!$B$6:$B$20,CURVA!$G$6:$G$20,#REF!)</f>
        <v>#VALUE!</v>
      </c>
    </row>
    <row r="2605" spans="1:5" x14ac:dyDescent="0.2">
      <c r="A2605" s="28">
        <v>2604</v>
      </c>
      <c r="B2605" s="28" t="e">
        <f>interpola(#REF!,CURVA!$B$6:$B$20,CURVA!$G$6:$G$20)</f>
        <v>#VALUE!</v>
      </c>
      <c r="C2605" s="29" t="e">
        <f t="shared" si="40"/>
        <v>#VALUE!</v>
      </c>
      <c r="E2605" t="e">
        <f>cubic_spline(CURVA!$B$6:$B$20,CURVA!$G$6:$G$20,#REF!)</f>
        <v>#VALUE!</v>
      </c>
    </row>
    <row r="2606" spans="1:5" x14ac:dyDescent="0.2">
      <c r="A2606" s="28">
        <v>2605</v>
      </c>
      <c r="B2606" s="28" t="e">
        <f>interpola(#REF!,CURVA!$B$6:$B$20,CURVA!$G$6:$G$20)</f>
        <v>#VALUE!</v>
      </c>
      <c r="C2606" s="29" t="e">
        <f t="shared" si="40"/>
        <v>#VALUE!</v>
      </c>
      <c r="E2606" t="e">
        <f>cubic_spline(CURVA!$B$6:$B$20,CURVA!$G$6:$G$20,#REF!)</f>
        <v>#VALUE!</v>
      </c>
    </row>
    <row r="2607" spans="1:5" x14ac:dyDescent="0.2">
      <c r="A2607" s="28">
        <v>2606</v>
      </c>
      <c r="B2607" s="28" t="e">
        <f>interpola(#REF!,CURVA!$B$6:$B$20,CURVA!$G$6:$G$20)</f>
        <v>#VALUE!</v>
      </c>
      <c r="C2607" s="29" t="e">
        <f t="shared" si="40"/>
        <v>#VALUE!</v>
      </c>
      <c r="E2607" t="e">
        <f>cubic_spline(CURVA!$B$6:$B$20,CURVA!$G$6:$G$20,#REF!)</f>
        <v>#VALUE!</v>
      </c>
    </row>
    <row r="2608" spans="1:5" x14ac:dyDescent="0.2">
      <c r="A2608" s="28">
        <v>2607</v>
      </c>
      <c r="B2608" s="28" t="e">
        <f>interpola(#REF!,CURVA!$B$6:$B$20,CURVA!$G$6:$G$20)</f>
        <v>#VALUE!</v>
      </c>
      <c r="C2608" s="29" t="e">
        <f t="shared" si="40"/>
        <v>#VALUE!</v>
      </c>
      <c r="E2608" t="e">
        <f>cubic_spline(CURVA!$B$6:$B$20,CURVA!$G$6:$G$20,#REF!)</f>
        <v>#VALUE!</v>
      </c>
    </row>
    <row r="2609" spans="1:5" x14ac:dyDescent="0.2">
      <c r="A2609" s="28">
        <v>2608</v>
      </c>
      <c r="B2609" s="28" t="e">
        <f>interpola(#REF!,CURVA!$B$6:$B$20,CURVA!$G$6:$G$20)</f>
        <v>#VALUE!</v>
      </c>
      <c r="C2609" s="29" t="e">
        <f t="shared" si="40"/>
        <v>#VALUE!</v>
      </c>
      <c r="E2609" t="e">
        <f>cubic_spline(CURVA!$B$6:$B$20,CURVA!$G$6:$G$20,#REF!)</f>
        <v>#VALUE!</v>
      </c>
    </row>
    <row r="2610" spans="1:5" x14ac:dyDescent="0.2">
      <c r="A2610" s="28">
        <v>2609</v>
      </c>
      <c r="B2610" s="28" t="e">
        <f>interpola(#REF!,CURVA!$B$6:$B$20,CURVA!$G$6:$G$20)</f>
        <v>#VALUE!</v>
      </c>
      <c r="C2610" s="29" t="e">
        <f t="shared" si="40"/>
        <v>#VALUE!</v>
      </c>
      <c r="E2610" t="e">
        <f>cubic_spline(CURVA!$B$6:$B$20,CURVA!$G$6:$G$20,#REF!)</f>
        <v>#VALUE!</v>
      </c>
    </row>
    <row r="2611" spans="1:5" x14ac:dyDescent="0.2">
      <c r="A2611" s="28">
        <v>2610</v>
      </c>
      <c r="B2611" s="28" t="e">
        <f>interpola(#REF!,CURVA!$B$6:$B$20,CURVA!$G$6:$G$20)</f>
        <v>#VALUE!</v>
      </c>
      <c r="C2611" s="29" t="e">
        <f t="shared" si="40"/>
        <v>#VALUE!</v>
      </c>
      <c r="E2611" t="e">
        <f>cubic_spline(CURVA!$B$6:$B$20,CURVA!$G$6:$G$20,#REF!)</f>
        <v>#VALUE!</v>
      </c>
    </row>
    <row r="2612" spans="1:5" x14ac:dyDescent="0.2">
      <c r="A2612" s="28">
        <v>2611</v>
      </c>
      <c r="B2612" s="28" t="e">
        <f>interpola(#REF!,CURVA!$B$6:$B$20,CURVA!$G$6:$G$20)</f>
        <v>#VALUE!</v>
      </c>
      <c r="C2612" s="29" t="e">
        <f t="shared" si="40"/>
        <v>#VALUE!</v>
      </c>
      <c r="E2612" t="e">
        <f>cubic_spline(CURVA!$B$6:$B$20,CURVA!$G$6:$G$20,#REF!)</f>
        <v>#VALUE!</v>
      </c>
    </row>
    <row r="2613" spans="1:5" x14ac:dyDescent="0.2">
      <c r="A2613" s="28">
        <v>2612</v>
      </c>
      <c r="B2613" s="28" t="e">
        <f>interpola(#REF!,CURVA!$B$6:$B$20,CURVA!$G$6:$G$20)</f>
        <v>#VALUE!</v>
      </c>
      <c r="C2613" s="29" t="e">
        <f t="shared" si="40"/>
        <v>#VALUE!</v>
      </c>
      <c r="E2613" t="e">
        <f>cubic_spline(CURVA!$B$6:$B$20,CURVA!$G$6:$G$20,#REF!)</f>
        <v>#VALUE!</v>
      </c>
    </row>
    <row r="2614" spans="1:5" x14ac:dyDescent="0.2">
      <c r="A2614" s="28">
        <v>2613</v>
      </c>
      <c r="B2614" s="28" t="e">
        <f>interpola(#REF!,CURVA!$B$6:$B$20,CURVA!$G$6:$G$20)</f>
        <v>#VALUE!</v>
      </c>
      <c r="C2614" s="29" t="e">
        <f t="shared" si="40"/>
        <v>#VALUE!</v>
      </c>
      <c r="E2614" t="e">
        <f>cubic_spline(CURVA!$B$6:$B$20,CURVA!$G$6:$G$20,#REF!)</f>
        <v>#VALUE!</v>
      </c>
    </row>
    <row r="2615" spans="1:5" x14ac:dyDescent="0.2">
      <c r="A2615" s="28">
        <v>2614</v>
      </c>
      <c r="B2615" s="28" t="e">
        <f>interpola(#REF!,CURVA!$B$6:$B$20,CURVA!$G$6:$G$20)</f>
        <v>#VALUE!</v>
      </c>
      <c r="C2615" s="29" t="e">
        <f t="shared" si="40"/>
        <v>#VALUE!</v>
      </c>
      <c r="E2615" t="e">
        <f>cubic_spline(CURVA!$B$6:$B$20,CURVA!$G$6:$G$20,#REF!)</f>
        <v>#VALUE!</v>
      </c>
    </row>
    <row r="2616" spans="1:5" x14ac:dyDescent="0.2">
      <c r="A2616" s="28">
        <v>2615</v>
      </c>
      <c r="B2616" s="28" t="e">
        <f>interpola(#REF!,CURVA!$B$6:$B$20,CURVA!$G$6:$G$20)</f>
        <v>#VALUE!</v>
      </c>
      <c r="C2616" s="29" t="e">
        <f t="shared" si="40"/>
        <v>#VALUE!</v>
      </c>
      <c r="E2616" t="e">
        <f>cubic_spline(CURVA!$B$6:$B$20,CURVA!$G$6:$G$20,#REF!)</f>
        <v>#VALUE!</v>
      </c>
    </row>
    <row r="2617" spans="1:5" x14ac:dyDescent="0.2">
      <c r="A2617" s="28">
        <v>2616</v>
      </c>
      <c r="B2617" s="28" t="e">
        <f>interpola(#REF!,CURVA!$B$6:$B$20,CURVA!$G$6:$G$20)</f>
        <v>#VALUE!</v>
      </c>
      <c r="C2617" s="29" t="e">
        <f t="shared" si="40"/>
        <v>#VALUE!</v>
      </c>
      <c r="E2617" t="e">
        <f>cubic_spline(CURVA!$B$6:$B$20,CURVA!$G$6:$G$20,#REF!)</f>
        <v>#VALUE!</v>
      </c>
    </row>
    <row r="2618" spans="1:5" x14ac:dyDescent="0.2">
      <c r="A2618" s="28">
        <v>2617</v>
      </c>
      <c r="B2618" s="28" t="e">
        <f>interpola(#REF!,CURVA!$B$6:$B$20,CURVA!$G$6:$G$20)</f>
        <v>#VALUE!</v>
      </c>
      <c r="C2618" s="29" t="e">
        <f t="shared" si="40"/>
        <v>#VALUE!</v>
      </c>
      <c r="E2618" t="e">
        <f>cubic_spline(CURVA!$B$6:$B$20,CURVA!$G$6:$G$20,#REF!)</f>
        <v>#VALUE!</v>
      </c>
    </row>
    <row r="2619" spans="1:5" x14ac:dyDescent="0.2">
      <c r="A2619" s="28">
        <v>2618</v>
      </c>
      <c r="B2619" s="28" t="e">
        <f>interpola(#REF!,CURVA!$B$6:$B$20,CURVA!$G$6:$G$20)</f>
        <v>#VALUE!</v>
      </c>
      <c r="C2619" s="29" t="e">
        <f t="shared" si="40"/>
        <v>#VALUE!</v>
      </c>
      <c r="E2619" t="e">
        <f>cubic_spline(CURVA!$B$6:$B$20,CURVA!$G$6:$G$20,#REF!)</f>
        <v>#VALUE!</v>
      </c>
    </row>
    <row r="2620" spans="1:5" x14ac:dyDescent="0.2">
      <c r="A2620" s="28">
        <v>2619</v>
      </c>
      <c r="B2620" s="28" t="e">
        <f>interpola(#REF!,CURVA!$B$6:$B$20,CURVA!$G$6:$G$20)</f>
        <v>#VALUE!</v>
      </c>
      <c r="C2620" s="29" t="e">
        <f t="shared" si="40"/>
        <v>#VALUE!</v>
      </c>
      <c r="E2620" t="e">
        <f>cubic_spline(CURVA!$B$6:$B$20,CURVA!$G$6:$G$20,#REF!)</f>
        <v>#VALUE!</v>
      </c>
    </row>
    <row r="2621" spans="1:5" x14ac:dyDescent="0.2">
      <c r="A2621" s="28">
        <v>2620</v>
      </c>
      <c r="B2621" s="28" t="e">
        <f>interpola(#REF!,CURVA!$B$6:$B$20,CURVA!$G$6:$G$20)</f>
        <v>#VALUE!</v>
      </c>
      <c r="C2621" s="29" t="e">
        <f t="shared" si="40"/>
        <v>#VALUE!</v>
      </c>
      <c r="E2621" t="e">
        <f>cubic_spline(CURVA!$B$6:$B$20,CURVA!$G$6:$G$20,#REF!)</f>
        <v>#VALUE!</v>
      </c>
    </row>
    <row r="2622" spans="1:5" x14ac:dyDescent="0.2">
      <c r="A2622" s="28">
        <v>2621</v>
      </c>
      <c r="B2622" s="28" t="e">
        <f>interpola(#REF!,CURVA!$B$6:$B$20,CURVA!$G$6:$G$20)</f>
        <v>#VALUE!</v>
      </c>
      <c r="C2622" s="29" t="e">
        <f t="shared" si="40"/>
        <v>#VALUE!</v>
      </c>
      <c r="E2622" t="e">
        <f>cubic_spline(CURVA!$B$6:$B$20,CURVA!$G$6:$G$20,#REF!)</f>
        <v>#VALUE!</v>
      </c>
    </row>
    <row r="2623" spans="1:5" x14ac:dyDescent="0.2">
      <c r="A2623" s="28">
        <v>2622</v>
      </c>
      <c r="B2623" s="28" t="e">
        <f>interpola(#REF!,CURVA!$B$6:$B$20,CURVA!$G$6:$G$20)</f>
        <v>#VALUE!</v>
      </c>
      <c r="C2623" s="29" t="e">
        <f t="shared" si="40"/>
        <v>#VALUE!</v>
      </c>
      <c r="E2623" t="e">
        <f>cubic_spline(CURVA!$B$6:$B$20,CURVA!$G$6:$G$20,#REF!)</f>
        <v>#VALUE!</v>
      </c>
    </row>
    <row r="2624" spans="1:5" x14ac:dyDescent="0.2">
      <c r="A2624" s="28">
        <v>2623</v>
      </c>
      <c r="B2624" s="28" t="e">
        <f>interpola(#REF!,CURVA!$B$6:$B$20,CURVA!$G$6:$G$20)</f>
        <v>#VALUE!</v>
      </c>
      <c r="C2624" s="29" t="e">
        <f t="shared" si="40"/>
        <v>#VALUE!</v>
      </c>
      <c r="E2624" t="e">
        <f>cubic_spline(CURVA!$B$6:$B$20,CURVA!$G$6:$G$20,#REF!)</f>
        <v>#VALUE!</v>
      </c>
    </row>
    <row r="2625" spans="1:5" x14ac:dyDescent="0.2">
      <c r="A2625" s="28">
        <v>2624</v>
      </c>
      <c r="B2625" s="28" t="e">
        <f>interpola(#REF!,CURVA!$B$6:$B$20,CURVA!$G$6:$G$20)</f>
        <v>#VALUE!</v>
      </c>
      <c r="C2625" s="29" t="e">
        <f t="shared" si="40"/>
        <v>#VALUE!</v>
      </c>
      <c r="E2625" t="e">
        <f>cubic_spline(CURVA!$B$6:$B$20,CURVA!$G$6:$G$20,#REF!)</f>
        <v>#VALUE!</v>
      </c>
    </row>
    <row r="2626" spans="1:5" x14ac:dyDescent="0.2">
      <c r="A2626" s="28">
        <v>2625</v>
      </c>
      <c r="B2626" s="28" t="e">
        <f>interpola(#REF!,CURVA!$B$6:$B$20,CURVA!$G$6:$G$20)</f>
        <v>#VALUE!</v>
      </c>
      <c r="C2626" s="29" t="e">
        <f t="shared" ref="C2626:C2689" si="41">(EXP(B2626*A2626/360)-1)*360/A2626</f>
        <v>#VALUE!</v>
      </c>
      <c r="E2626" t="e">
        <f>cubic_spline(CURVA!$B$6:$B$20,CURVA!$G$6:$G$20,#REF!)</f>
        <v>#VALUE!</v>
      </c>
    </row>
    <row r="2627" spans="1:5" x14ac:dyDescent="0.2">
      <c r="A2627" s="28">
        <v>2626</v>
      </c>
      <c r="B2627" s="28" t="e">
        <f>interpola(#REF!,CURVA!$B$6:$B$20,CURVA!$G$6:$G$20)</f>
        <v>#VALUE!</v>
      </c>
      <c r="C2627" s="29" t="e">
        <f t="shared" si="41"/>
        <v>#VALUE!</v>
      </c>
      <c r="E2627" t="e">
        <f>cubic_spline(CURVA!$B$6:$B$20,CURVA!$G$6:$G$20,#REF!)</f>
        <v>#VALUE!</v>
      </c>
    </row>
    <row r="2628" spans="1:5" x14ac:dyDescent="0.2">
      <c r="A2628" s="28">
        <v>2627</v>
      </c>
      <c r="B2628" s="28" t="e">
        <f>interpola(#REF!,CURVA!$B$6:$B$20,CURVA!$G$6:$G$20)</f>
        <v>#VALUE!</v>
      </c>
      <c r="C2628" s="29" t="e">
        <f t="shared" si="41"/>
        <v>#VALUE!</v>
      </c>
      <c r="E2628" t="e">
        <f>cubic_spline(CURVA!$B$6:$B$20,CURVA!$G$6:$G$20,#REF!)</f>
        <v>#VALUE!</v>
      </c>
    </row>
    <row r="2629" spans="1:5" x14ac:dyDescent="0.2">
      <c r="A2629" s="28">
        <v>2628</v>
      </c>
      <c r="B2629" s="28" t="e">
        <f>interpola(#REF!,CURVA!$B$6:$B$20,CURVA!$G$6:$G$20)</f>
        <v>#VALUE!</v>
      </c>
      <c r="C2629" s="29" t="e">
        <f t="shared" si="41"/>
        <v>#VALUE!</v>
      </c>
      <c r="E2629" t="e">
        <f>cubic_spline(CURVA!$B$6:$B$20,CURVA!$G$6:$G$20,#REF!)</f>
        <v>#VALUE!</v>
      </c>
    </row>
    <row r="2630" spans="1:5" x14ac:dyDescent="0.2">
      <c r="A2630" s="28">
        <v>2629</v>
      </c>
      <c r="B2630" s="28" t="e">
        <f>interpola(#REF!,CURVA!$B$6:$B$20,CURVA!$G$6:$G$20)</f>
        <v>#VALUE!</v>
      </c>
      <c r="C2630" s="29" t="e">
        <f t="shared" si="41"/>
        <v>#VALUE!</v>
      </c>
      <c r="E2630" t="e">
        <f>cubic_spline(CURVA!$B$6:$B$20,CURVA!$G$6:$G$20,#REF!)</f>
        <v>#VALUE!</v>
      </c>
    </row>
    <row r="2631" spans="1:5" x14ac:dyDescent="0.2">
      <c r="A2631" s="28">
        <v>2630</v>
      </c>
      <c r="B2631" s="28" t="e">
        <f>interpola(#REF!,CURVA!$B$6:$B$20,CURVA!$G$6:$G$20)</f>
        <v>#VALUE!</v>
      </c>
      <c r="C2631" s="29" t="e">
        <f t="shared" si="41"/>
        <v>#VALUE!</v>
      </c>
      <c r="E2631" t="e">
        <f>cubic_spline(CURVA!$B$6:$B$20,CURVA!$G$6:$G$20,#REF!)</f>
        <v>#VALUE!</v>
      </c>
    </row>
    <row r="2632" spans="1:5" x14ac:dyDescent="0.2">
      <c r="A2632" s="28">
        <v>2631</v>
      </c>
      <c r="B2632" s="28" t="e">
        <f>interpola(#REF!,CURVA!$B$6:$B$20,CURVA!$G$6:$G$20)</f>
        <v>#VALUE!</v>
      </c>
      <c r="C2632" s="29" t="e">
        <f t="shared" si="41"/>
        <v>#VALUE!</v>
      </c>
      <c r="E2632" t="e">
        <f>cubic_spline(CURVA!$B$6:$B$20,CURVA!$G$6:$G$20,#REF!)</f>
        <v>#VALUE!</v>
      </c>
    </row>
    <row r="2633" spans="1:5" x14ac:dyDescent="0.2">
      <c r="A2633" s="28">
        <v>2632</v>
      </c>
      <c r="B2633" s="28" t="e">
        <f>interpola(#REF!,CURVA!$B$6:$B$20,CURVA!$G$6:$G$20)</f>
        <v>#VALUE!</v>
      </c>
      <c r="C2633" s="29" t="e">
        <f t="shared" si="41"/>
        <v>#VALUE!</v>
      </c>
      <c r="E2633" t="e">
        <f>cubic_spline(CURVA!$B$6:$B$20,CURVA!$G$6:$G$20,#REF!)</f>
        <v>#VALUE!</v>
      </c>
    </row>
    <row r="2634" spans="1:5" x14ac:dyDescent="0.2">
      <c r="A2634" s="28">
        <v>2633</v>
      </c>
      <c r="B2634" s="28" t="e">
        <f>interpola(#REF!,CURVA!$B$6:$B$20,CURVA!$G$6:$G$20)</f>
        <v>#VALUE!</v>
      </c>
      <c r="C2634" s="29" t="e">
        <f t="shared" si="41"/>
        <v>#VALUE!</v>
      </c>
      <c r="E2634" t="e">
        <f>cubic_spline(CURVA!$B$6:$B$20,CURVA!$G$6:$G$20,#REF!)</f>
        <v>#VALUE!</v>
      </c>
    </row>
    <row r="2635" spans="1:5" x14ac:dyDescent="0.2">
      <c r="A2635" s="28">
        <v>2634</v>
      </c>
      <c r="B2635" s="28" t="e">
        <f>interpola(#REF!,CURVA!$B$6:$B$20,CURVA!$G$6:$G$20)</f>
        <v>#VALUE!</v>
      </c>
      <c r="C2635" s="29" t="e">
        <f t="shared" si="41"/>
        <v>#VALUE!</v>
      </c>
      <c r="E2635" t="e">
        <f>cubic_spline(CURVA!$B$6:$B$20,CURVA!$G$6:$G$20,#REF!)</f>
        <v>#VALUE!</v>
      </c>
    </row>
    <row r="2636" spans="1:5" x14ac:dyDescent="0.2">
      <c r="A2636" s="28">
        <v>2635</v>
      </c>
      <c r="B2636" s="28" t="e">
        <f>interpola(#REF!,CURVA!$B$6:$B$20,CURVA!$G$6:$G$20)</f>
        <v>#VALUE!</v>
      </c>
      <c r="C2636" s="29" t="e">
        <f t="shared" si="41"/>
        <v>#VALUE!</v>
      </c>
      <c r="E2636" t="e">
        <f>cubic_spline(CURVA!$B$6:$B$20,CURVA!$G$6:$G$20,#REF!)</f>
        <v>#VALUE!</v>
      </c>
    </row>
    <row r="2637" spans="1:5" x14ac:dyDescent="0.2">
      <c r="A2637" s="28">
        <v>2636</v>
      </c>
      <c r="B2637" s="28" t="e">
        <f>interpola(#REF!,CURVA!$B$6:$B$20,CURVA!$G$6:$G$20)</f>
        <v>#VALUE!</v>
      </c>
      <c r="C2637" s="29" t="e">
        <f t="shared" si="41"/>
        <v>#VALUE!</v>
      </c>
      <c r="E2637" t="e">
        <f>cubic_spline(CURVA!$B$6:$B$20,CURVA!$G$6:$G$20,#REF!)</f>
        <v>#VALUE!</v>
      </c>
    </row>
    <row r="2638" spans="1:5" x14ac:dyDescent="0.2">
      <c r="A2638" s="28">
        <v>2637</v>
      </c>
      <c r="B2638" s="28" t="e">
        <f>interpola(#REF!,CURVA!$B$6:$B$20,CURVA!$G$6:$G$20)</f>
        <v>#VALUE!</v>
      </c>
      <c r="C2638" s="29" t="e">
        <f t="shared" si="41"/>
        <v>#VALUE!</v>
      </c>
      <c r="E2638" t="e">
        <f>cubic_spline(CURVA!$B$6:$B$20,CURVA!$G$6:$G$20,#REF!)</f>
        <v>#VALUE!</v>
      </c>
    </row>
    <row r="2639" spans="1:5" x14ac:dyDescent="0.2">
      <c r="A2639" s="28">
        <v>2638</v>
      </c>
      <c r="B2639" s="28" t="e">
        <f>interpola(#REF!,CURVA!$B$6:$B$20,CURVA!$G$6:$G$20)</f>
        <v>#VALUE!</v>
      </c>
      <c r="C2639" s="29" t="e">
        <f t="shared" si="41"/>
        <v>#VALUE!</v>
      </c>
      <c r="E2639" t="e">
        <f>cubic_spline(CURVA!$B$6:$B$20,CURVA!$G$6:$G$20,#REF!)</f>
        <v>#VALUE!</v>
      </c>
    </row>
    <row r="2640" spans="1:5" x14ac:dyDescent="0.2">
      <c r="A2640" s="28">
        <v>2639</v>
      </c>
      <c r="B2640" s="28" t="e">
        <f>interpola(#REF!,CURVA!$B$6:$B$20,CURVA!$G$6:$G$20)</f>
        <v>#VALUE!</v>
      </c>
      <c r="C2640" s="29" t="e">
        <f t="shared" si="41"/>
        <v>#VALUE!</v>
      </c>
      <c r="E2640" t="e">
        <f>cubic_spline(CURVA!$B$6:$B$20,CURVA!$G$6:$G$20,#REF!)</f>
        <v>#VALUE!</v>
      </c>
    </row>
    <row r="2641" spans="1:5" x14ac:dyDescent="0.2">
      <c r="A2641" s="28">
        <v>2640</v>
      </c>
      <c r="B2641" s="28" t="e">
        <f>interpola(#REF!,CURVA!$B$6:$B$20,CURVA!$G$6:$G$20)</f>
        <v>#VALUE!</v>
      </c>
      <c r="C2641" s="29" t="e">
        <f t="shared" si="41"/>
        <v>#VALUE!</v>
      </c>
      <c r="E2641" t="e">
        <f>cubic_spline(CURVA!$B$6:$B$20,CURVA!$G$6:$G$20,#REF!)</f>
        <v>#VALUE!</v>
      </c>
    </row>
    <row r="2642" spans="1:5" x14ac:dyDescent="0.2">
      <c r="A2642" s="28">
        <v>2641</v>
      </c>
      <c r="B2642" s="28" t="e">
        <f>interpola(#REF!,CURVA!$B$6:$B$20,CURVA!$G$6:$G$20)</f>
        <v>#VALUE!</v>
      </c>
      <c r="C2642" s="29" t="e">
        <f t="shared" si="41"/>
        <v>#VALUE!</v>
      </c>
      <c r="E2642" t="e">
        <f>cubic_spline(CURVA!$B$6:$B$20,CURVA!$G$6:$G$20,#REF!)</f>
        <v>#VALUE!</v>
      </c>
    </row>
    <row r="2643" spans="1:5" x14ac:dyDescent="0.2">
      <c r="A2643" s="28">
        <v>2642</v>
      </c>
      <c r="B2643" s="28" t="e">
        <f>interpola(#REF!,CURVA!$B$6:$B$20,CURVA!$G$6:$G$20)</f>
        <v>#VALUE!</v>
      </c>
      <c r="C2643" s="29" t="e">
        <f t="shared" si="41"/>
        <v>#VALUE!</v>
      </c>
      <c r="E2643" t="e">
        <f>cubic_spline(CURVA!$B$6:$B$20,CURVA!$G$6:$G$20,#REF!)</f>
        <v>#VALUE!</v>
      </c>
    </row>
    <row r="2644" spans="1:5" x14ac:dyDescent="0.2">
      <c r="A2644" s="28">
        <v>2643</v>
      </c>
      <c r="B2644" s="28" t="e">
        <f>interpola(#REF!,CURVA!$B$6:$B$20,CURVA!$G$6:$G$20)</f>
        <v>#VALUE!</v>
      </c>
      <c r="C2644" s="29" t="e">
        <f t="shared" si="41"/>
        <v>#VALUE!</v>
      </c>
      <c r="E2644" t="e">
        <f>cubic_spline(CURVA!$B$6:$B$20,CURVA!$G$6:$G$20,#REF!)</f>
        <v>#VALUE!</v>
      </c>
    </row>
    <row r="2645" spans="1:5" x14ac:dyDescent="0.2">
      <c r="A2645" s="28">
        <v>2644</v>
      </c>
      <c r="B2645" s="28" t="e">
        <f>interpola(#REF!,CURVA!$B$6:$B$20,CURVA!$G$6:$G$20)</f>
        <v>#VALUE!</v>
      </c>
      <c r="C2645" s="29" t="e">
        <f t="shared" si="41"/>
        <v>#VALUE!</v>
      </c>
      <c r="E2645" t="e">
        <f>cubic_spline(CURVA!$B$6:$B$20,CURVA!$G$6:$G$20,#REF!)</f>
        <v>#VALUE!</v>
      </c>
    </row>
    <row r="2646" spans="1:5" x14ac:dyDescent="0.2">
      <c r="A2646" s="28">
        <v>2645</v>
      </c>
      <c r="B2646" s="28" t="e">
        <f>interpola(#REF!,CURVA!$B$6:$B$20,CURVA!$G$6:$G$20)</f>
        <v>#VALUE!</v>
      </c>
      <c r="C2646" s="29" t="e">
        <f t="shared" si="41"/>
        <v>#VALUE!</v>
      </c>
      <c r="E2646" t="e">
        <f>cubic_spline(CURVA!$B$6:$B$20,CURVA!$G$6:$G$20,#REF!)</f>
        <v>#VALUE!</v>
      </c>
    </row>
    <row r="2647" spans="1:5" x14ac:dyDescent="0.2">
      <c r="A2647" s="28">
        <v>2646</v>
      </c>
      <c r="B2647" s="28" t="e">
        <f>interpola(#REF!,CURVA!$B$6:$B$20,CURVA!$G$6:$G$20)</f>
        <v>#VALUE!</v>
      </c>
      <c r="C2647" s="29" t="e">
        <f t="shared" si="41"/>
        <v>#VALUE!</v>
      </c>
      <c r="E2647" t="e">
        <f>cubic_spline(CURVA!$B$6:$B$20,CURVA!$G$6:$G$20,#REF!)</f>
        <v>#VALUE!</v>
      </c>
    </row>
    <row r="2648" spans="1:5" x14ac:dyDescent="0.2">
      <c r="A2648" s="28">
        <v>2647</v>
      </c>
      <c r="B2648" s="28" t="e">
        <f>interpola(#REF!,CURVA!$B$6:$B$20,CURVA!$G$6:$G$20)</f>
        <v>#VALUE!</v>
      </c>
      <c r="C2648" s="29" t="e">
        <f t="shared" si="41"/>
        <v>#VALUE!</v>
      </c>
      <c r="E2648" t="e">
        <f>cubic_spline(CURVA!$B$6:$B$20,CURVA!$G$6:$G$20,#REF!)</f>
        <v>#VALUE!</v>
      </c>
    </row>
    <row r="2649" spans="1:5" x14ac:dyDescent="0.2">
      <c r="A2649" s="28">
        <v>2648</v>
      </c>
      <c r="B2649" s="28" t="e">
        <f>interpola(#REF!,CURVA!$B$6:$B$20,CURVA!$G$6:$G$20)</f>
        <v>#VALUE!</v>
      </c>
      <c r="C2649" s="29" t="e">
        <f t="shared" si="41"/>
        <v>#VALUE!</v>
      </c>
      <c r="E2649" t="e">
        <f>cubic_spline(CURVA!$B$6:$B$20,CURVA!$G$6:$G$20,#REF!)</f>
        <v>#VALUE!</v>
      </c>
    </row>
    <row r="2650" spans="1:5" x14ac:dyDescent="0.2">
      <c r="A2650" s="28">
        <v>2649</v>
      </c>
      <c r="B2650" s="28" t="e">
        <f>interpola(#REF!,CURVA!$B$6:$B$20,CURVA!$G$6:$G$20)</f>
        <v>#VALUE!</v>
      </c>
      <c r="C2650" s="29" t="e">
        <f t="shared" si="41"/>
        <v>#VALUE!</v>
      </c>
      <c r="E2650" t="e">
        <f>cubic_spline(CURVA!$B$6:$B$20,CURVA!$G$6:$G$20,#REF!)</f>
        <v>#VALUE!</v>
      </c>
    </row>
    <row r="2651" spans="1:5" x14ac:dyDescent="0.2">
      <c r="A2651" s="28">
        <v>2650</v>
      </c>
      <c r="B2651" s="28" t="e">
        <f>interpola(#REF!,CURVA!$B$6:$B$20,CURVA!$G$6:$G$20)</f>
        <v>#VALUE!</v>
      </c>
      <c r="C2651" s="29" t="e">
        <f t="shared" si="41"/>
        <v>#VALUE!</v>
      </c>
      <c r="E2651" t="e">
        <f>cubic_spline(CURVA!$B$6:$B$20,CURVA!$G$6:$G$20,#REF!)</f>
        <v>#VALUE!</v>
      </c>
    </row>
    <row r="2652" spans="1:5" x14ac:dyDescent="0.2">
      <c r="A2652" s="28">
        <v>2651</v>
      </c>
      <c r="B2652" s="28" t="e">
        <f>interpola(#REF!,CURVA!$B$6:$B$20,CURVA!$G$6:$G$20)</f>
        <v>#VALUE!</v>
      </c>
      <c r="C2652" s="29" t="e">
        <f t="shared" si="41"/>
        <v>#VALUE!</v>
      </c>
      <c r="E2652" t="e">
        <f>cubic_spline(CURVA!$B$6:$B$20,CURVA!$G$6:$G$20,#REF!)</f>
        <v>#VALUE!</v>
      </c>
    </row>
    <row r="2653" spans="1:5" x14ac:dyDescent="0.2">
      <c r="A2653" s="28">
        <v>2652</v>
      </c>
      <c r="B2653" s="28" t="e">
        <f>interpola(#REF!,CURVA!$B$6:$B$20,CURVA!$G$6:$G$20)</f>
        <v>#VALUE!</v>
      </c>
      <c r="C2653" s="29" t="e">
        <f t="shared" si="41"/>
        <v>#VALUE!</v>
      </c>
      <c r="E2653" t="e">
        <f>cubic_spline(CURVA!$B$6:$B$20,CURVA!$G$6:$G$20,#REF!)</f>
        <v>#VALUE!</v>
      </c>
    </row>
    <row r="2654" spans="1:5" x14ac:dyDescent="0.2">
      <c r="A2654" s="28">
        <v>2653</v>
      </c>
      <c r="B2654" s="28" t="e">
        <f>interpola(#REF!,CURVA!$B$6:$B$20,CURVA!$G$6:$G$20)</f>
        <v>#VALUE!</v>
      </c>
      <c r="C2654" s="29" t="e">
        <f t="shared" si="41"/>
        <v>#VALUE!</v>
      </c>
      <c r="E2654" t="e">
        <f>cubic_spline(CURVA!$B$6:$B$20,CURVA!$G$6:$G$20,#REF!)</f>
        <v>#VALUE!</v>
      </c>
    </row>
    <row r="2655" spans="1:5" x14ac:dyDescent="0.2">
      <c r="A2655" s="28">
        <v>2654</v>
      </c>
      <c r="B2655" s="28" t="e">
        <f>interpola(#REF!,CURVA!$B$6:$B$20,CURVA!$G$6:$G$20)</f>
        <v>#VALUE!</v>
      </c>
      <c r="C2655" s="29" t="e">
        <f t="shared" si="41"/>
        <v>#VALUE!</v>
      </c>
      <c r="E2655" t="e">
        <f>cubic_spline(CURVA!$B$6:$B$20,CURVA!$G$6:$G$20,#REF!)</f>
        <v>#VALUE!</v>
      </c>
    </row>
    <row r="2656" spans="1:5" x14ac:dyDescent="0.2">
      <c r="A2656" s="28">
        <v>2655</v>
      </c>
      <c r="B2656" s="28" t="e">
        <f>interpola(#REF!,CURVA!$B$6:$B$20,CURVA!$G$6:$G$20)</f>
        <v>#VALUE!</v>
      </c>
      <c r="C2656" s="29" t="e">
        <f t="shared" si="41"/>
        <v>#VALUE!</v>
      </c>
      <c r="E2656" t="e">
        <f>cubic_spline(CURVA!$B$6:$B$20,CURVA!$G$6:$G$20,#REF!)</f>
        <v>#VALUE!</v>
      </c>
    </row>
    <row r="2657" spans="1:5" x14ac:dyDescent="0.2">
      <c r="A2657" s="28">
        <v>2656</v>
      </c>
      <c r="B2657" s="28" t="e">
        <f>interpola(#REF!,CURVA!$B$6:$B$20,CURVA!$G$6:$G$20)</f>
        <v>#VALUE!</v>
      </c>
      <c r="C2657" s="29" t="e">
        <f t="shared" si="41"/>
        <v>#VALUE!</v>
      </c>
      <c r="E2657" t="e">
        <f>cubic_spline(CURVA!$B$6:$B$20,CURVA!$G$6:$G$20,#REF!)</f>
        <v>#VALUE!</v>
      </c>
    </row>
    <row r="2658" spans="1:5" x14ac:dyDescent="0.2">
      <c r="A2658" s="28">
        <v>2657</v>
      </c>
      <c r="B2658" s="28" t="e">
        <f>interpola(#REF!,CURVA!$B$6:$B$20,CURVA!$G$6:$G$20)</f>
        <v>#VALUE!</v>
      </c>
      <c r="C2658" s="29" t="e">
        <f t="shared" si="41"/>
        <v>#VALUE!</v>
      </c>
      <c r="E2658" t="e">
        <f>cubic_spline(CURVA!$B$6:$B$20,CURVA!$G$6:$G$20,#REF!)</f>
        <v>#VALUE!</v>
      </c>
    </row>
    <row r="2659" spans="1:5" x14ac:dyDescent="0.2">
      <c r="A2659" s="28">
        <v>2658</v>
      </c>
      <c r="B2659" s="28" t="e">
        <f>interpola(#REF!,CURVA!$B$6:$B$20,CURVA!$G$6:$G$20)</f>
        <v>#VALUE!</v>
      </c>
      <c r="C2659" s="29" t="e">
        <f t="shared" si="41"/>
        <v>#VALUE!</v>
      </c>
      <c r="E2659" t="e">
        <f>cubic_spline(CURVA!$B$6:$B$20,CURVA!$G$6:$G$20,#REF!)</f>
        <v>#VALUE!</v>
      </c>
    </row>
    <row r="2660" spans="1:5" x14ac:dyDescent="0.2">
      <c r="A2660" s="28">
        <v>2659</v>
      </c>
      <c r="B2660" s="28" t="e">
        <f>interpola(#REF!,CURVA!$B$6:$B$20,CURVA!$G$6:$G$20)</f>
        <v>#VALUE!</v>
      </c>
      <c r="C2660" s="29" t="e">
        <f t="shared" si="41"/>
        <v>#VALUE!</v>
      </c>
      <c r="E2660" t="e">
        <f>cubic_spline(CURVA!$B$6:$B$20,CURVA!$G$6:$G$20,#REF!)</f>
        <v>#VALUE!</v>
      </c>
    </row>
    <row r="2661" spans="1:5" x14ac:dyDescent="0.2">
      <c r="A2661" s="28">
        <v>2660</v>
      </c>
      <c r="B2661" s="28" t="e">
        <f>interpola(#REF!,CURVA!$B$6:$B$20,CURVA!$G$6:$G$20)</f>
        <v>#VALUE!</v>
      </c>
      <c r="C2661" s="29" t="e">
        <f t="shared" si="41"/>
        <v>#VALUE!</v>
      </c>
      <c r="E2661" t="e">
        <f>cubic_spline(CURVA!$B$6:$B$20,CURVA!$G$6:$G$20,#REF!)</f>
        <v>#VALUE!</v>
      </c>
    </row>
    <row r="2662" spans="1:5" x14ac:dyDescent="0.2">
      <c r="A2662" s="28">
        <v>2661</v>
      </c>
      <c r="B2662" s="28" t="e">
        <f>interpola(#REF!,CURVA!$B$6:$B$20,CURVA!$G$6:$G$20)</f>
        <v>#VALUE!</v>
      </c>
      <c r="C2662" s="29" t="e">
        <f t="shared" si="41"/>
        <v>#VALUE!</v>
      </c>
      <c r="E2662" t="e">
        <f>cubic_spline(CURVA!$B$6:$B$20,CURVA!$G$6:$G$20,#REF!)</f>
        <v>#VALUE!</v>
      </c>
    </row>
    <row r="2663" spans="1:5" x14ac:dyDescent="0.2">
      <c r="A2663" s="28">
        <v>2662</v>
      </c>
      <c r="B2663" s="28" t="e">
        <f>interpola(#REF!,CURVA!$B$6:$B$20,CURVA!$G$6:$G$20)</f>
        <v>#VALUE!</v>
      </c>
      <c r="C2663" s="29" t="e">
        <f t="shared" si="41"/>
        <v>#VALUE!</v>
      </c>
      <c r="E2663" t="e">
        <f>cubic_spline(CURVA!$B$6:$B$20,CURVA!$G$6:$G$20,#REF!)</f>
        <v>#VALUE!</v>
      </c>
    </row>
    <row r="2664" spans="1:5" x14ac:dyDescent="0.2">
      <c r="A2664" s="28">
        <v>2663</v>
      </c>
      <c r="B2664" s="28" t="e">
        <f>interpola(#REF!,CURVA!$B$6:$B$20,CURVA!$G$6:$G$20)</f>
        <v>#VALUE!</v>
      </c>
      <c r="C2664" s="29" t="e">
        <f t="shared" si="41"/>
        <v>#VALUE!</v>
      </c>
      <c r="E2664" t="e">
        <f>cubic_spline(CURVA!$B$6:$B$20,CURVA!$G$6:$G$20,#REF!)</f>
        <v>#VALUE!</v>
      </c>
    </row>
    <row r="2665" spans="1:5" x14ac:dyDescent="0.2">
      <c r="A2665" s="28">
        <v>2664</v>
      </c>
      <c r="B2665" s="28" t="e">
        <f>interpola(#REF!,CURVA!$B$6:$B$20,CURVA!$G$6:$G$20)</f>
        <v>#VALUE!</v>
      </c>
      <c r="C2665" s="29" t="e">
        <f t="shared" si="41"/>
        <v>#VALUE!</v>
      </c>
      <c r="E2665" t="e">
        <f>cubic_spline(CURVA!$B$6:$B$20,CURVA!$G$6:$G$20,#REF!)</f>
        <v>#VALUE!</v>
      </c>
    </row>
    <row r="2666" spans="1:5" x14ac:dyDescent="0.2">
      <c r="A2666" s="28">
        <v>2665</v>
      </c>
      <c r="B2666" s="28" t="e">
        <f>interpola(#REF!,CURVA!$B$6:$B$20,CURVA!$G$6:$G$20)</f>
        <v>#VALUE!</v>
      </c>
      <c r="C2666" s="29" t="e">
        <f t="shared" si="41"/>
        <v>#VALUE!</v>
      </c>
      <c r="E2666" t="e">
        <f>cubic_spline(CURVA!$B$6:$B$20,CURVA!$G$6:$G$20,#REF!)</f>
        <v>#VALUE!</v>
      </c>
    </row>
    <row r="2667" spans="1:5" x14ac:dyDescent="0.2">
      <c r="A2667" s="28">
        <v>2666</v>
      </c>
      <c r="B2667" s="28" t="e">
        <f>interpola(#REF!,CURVA!$B$6:$B$20,CURVA!$G$6:$G$20)</f>
        <v>#VALUE!</v>
      </c>
      <c r="C2667" s="29" t="e">
        <f t="shared" si="41"/>
        <v>#VALUE!</v>
      </c>
      <c r="E2667" t="e">
        <f>cubic_spline(CURVA!$B$6:$B$20,CURVA!$G$6:$G$20,#REF!)</f>
        <v>#VALUE!</v>
      </c>
    </row>
    <row r="2668" spans="1:5" x14ac:dyDescent="0.2">
      <c r="A2668" s="28">
        <v>2667</v>
      </c>
      <c r="B2668" s="28" t="e">
        <f>interpola(#REF!,CURVA!$B$6:$B$20,CURVA!$G$6:$G$20)</f>
        <v>#VALUE!</v>
      </c>
      <c r="C2668" s="29" t="e">
        <f t="shared" si="41"/>
        <v>#VALUE!</v>
      </c>
      <c r="E2668" t="e">
        <f>cubic_spline(CURVA!$B$6:$B$20,CURVA!$G$6:$G$20,#REF!)</f>
        <v>#VALUE!</v>
      </c>
    </row>
    <row r="2669" spans="1:5" x14ac:dyDescent="0.2">
      <c r="A2669" s="28">
        <v>2668</v>
      </c>
      <c r="B2669" s="28" t="e">
        <f>interpola(#REF!,CURVA!$B$6:$B$20,CURVA!$G$6:$G$20)</f>
        <v>#VALUE!</v>
      </c>
      <c r="C2669" s="29" t="e">
        <f t="shared" si="41"/>
        <v>#VALUE!</v>
      </c>
      <c r="E2669" t="e">
        <f>cubic_spline(CURVA!$B$6:$B$20,CURVA!$G$6:$G$20,#REF!)</f>
        <v>#VALUE!</v>
      </c>
    </row>
    <row r="2670" spans="1:5" x14ac:dyDescent="0.2">
      <c r="A2670" s="28">
        <v>2669</v>
      </c>
      <c r="B2670" s="28" t="e">
        <f>interpola(#REF!,CURVA!$B$6:$B$20,CURVA!$G$6:$G$20)</f>
        <v>#VALUE!</v>
      </c>
      <c r="C2670" s="29" t="e">
        <f t="shared" si="41"/>
        <v>#VALUE!</v>
      </c>
      <c r="E2670" t="e">
        <f>cubic_spline(CURVA!$B$6:$B$20,CURVA!$G$6:$G$20,#REF!)</f>
        <v>#VALUE!</v>
      </c>
    </row>
    <row r="2671" spans="1:5" x14ac:dyDescent="0.2">
      <c r="A2671" s="28">
        <v>2670</v>
      </c>
      <c r="B2671" s="28" t="e">
        <f>interpola(#REF!,CURVA!$B$6:$B$20,CURVA!$G$6:$G$20)</f>
        <v>#VALUE!</v>
      </c>
      <c r="C2671" s="29" t="e">
        <f t="shared" si="41"/>
        <v>#VALUE!</v>
      </c>
      <c r="E2671" t="e">
        <f>cubic_spline(CURVA!$B$6:$B$20,CURVA!$G$6:$G$20,#REF!)</f>
        <v>#VALUE!</v>
      </c>
    </row>
    <row r="2672" spans="1:5" x14ac:dyDescent="0.2">
      <c r="A2672" s="28">
        <v>2671</v>
      </c>
      <c r="B2672" s="28" t="e">
        <f>interpola(#REF!,CURVA!$B$6:$B$20,CURVA!$G$6:$G$20)</f>
        <v>#VALUE!</v>
      </c>
      <c r="C2672" s="29" t="e">
        <f t="shared" si="41"/>
        <v>#VALUE!</v>
      </c>
      <c r="E2672" t="e">
        <f>cubic_spline(CURVA!$B$6:$B$20,CURVA!$G$6:$G$20,#REF!)</f>
        <v>#VALUE!</v>
      </c>
    </row>
    <row r="2673" spans="1:5" x14ac:dyDescent="0.2">
      <c r="A2673" s="28">
        <v>2672</v>
      </c>
      <c r="B2673" s="28" t="e">
        <f>interpola(#REF!,CURVA!$B$6:$B$20,CURVA!$G$6:$G$20)</f>
        <v>#VALUE!</v>
      </c>
      <c r="C2673" s="29" t="e">
        <f t="shared" si="41"/>
        <v>#VALUE!</v>
      </c>
      <c r="E2673" t="e">
        <f>cubic_spline(CURVA!$B$6:$B$20,CURVA!$G$6:$G$20,#REF!)</f>
        <v>#VALUE!</v>
      </c>
    </row>
    <row r="2674" spans="1:5" x14ac:dyDescent="0.2">
      <c r="A2674" s="28">
        <v>2673</v>
      </c>
      <c r="B2674" s="28" t="e">
        <f>interpola(#REF!,CURVA!$B$6:$B$20,CURVA!$G$6:$G$20)</f>
        <v>#VALUE!</v>
      </c>
      <c r="C2674" s="29" t="e">
        <f t="shared" si="41"/>
        <v>#VALUE!</v>
      </c>
      <c r="E2674" t="e">
        <f>cubic_spline(CURVA!$B$6:$B$20,CURVA!$G$6:$G$20,#REF!)</f>
        <v>#VALUE!</v>
      </c>
    </row>
    <row r="2675" spans="1:5" x14ac:dyDescent="0.2">
      <c r="A2675" s="28">
        <v>2674</v>
      </c>
      <c r="B2675" s="28" t="e">
        <f>interpola(#REF!,CURVA!$B$6:$B$20,CURVA!$G$6:$G$20)</f>
        <v>#VALUE!</v>
      </c>
      <c r="C2675" s="29" t="e">
        <f t="shared" si="41"/>
        <v>#VALUE!</v>
      </c>
      <c r="E2675" t="e">
        <f>cubic_spline(CURVA!$B$6:$B$20,CURVA!$G$6:$G$20,#REF!)</f>
        <v>#VALUE!</v>
      </c>
    </row>
    <row r="2676" spans="1:5" x14ac:dyDescent="0.2">
      <c r="A2676" s="28">
        <v>2675</v>
      </c>
      <c r="B2676" s="28" t="e">
        <f>interpola(#REF!,CURVA!$B$6:$B$20,CURVA!$G$6:$G$20)</f>
        <v>#VALUE!</v>
      </c>
      <c r="C2676" s="29" t="e">
        <f t="shared" si="41"/>
        <v>#VALUE!</v>
      </c>
      <c r="E2676" t="e">
        <f>cubic_spline(CURVA!$B$6:$B$20,CURVA!$G$6:$G$20,#REF!)</f>
        <v>#VALUE!</v>
      </c>
    </row>
    <row r="2677" spans="1:5" x14ac:dyDescent="0.2">
      <c r="A2677" s="28">
        <v>2676</v>
      </c>
      <c r="B2677" s="28" t="e">
        <f>interpola(#REF!,CURVA!$B$6:$B$20,CURVA!$G$6:$G$20)</f>
        <v>#VALUE!</v>
      </c>
      <c r="C2677" s="29" t="e">
        <f t="shared" si="41"/>
        <v>#VALUE!</v>
      </c>
      <c r="E2677" t="e">
        <f>cubic_spline(CURVA!$B$6:$B$20,CURVA!$G$6:$G$20,#REF!)</f>
        <v>#VALUE!</v>
      </c>
    </row>
    <row r="2678" spans="1:5" x14ac:dyDescent="0.2">
      <c r="A2678" s="28">
        <v>2677</v>
      </c>
      <c r="B2678" s="28" t="e">
        <f>interpola(#REF!,CURVA!$B$6:$B$20,CURVA!$G$6:$G$20)</f>
        <v>#VALUE!</v>
      </c>
      <c r="C2678" s="29" t="e">
        <f t="shared" si="41"/>
        <v>#VALUE!</v>
      </c>
      <c r="E2678" t="e">
        <f>cubic_spline(CURVA!$B$6:$B$20,CURVA!$G$6:$G$20,#REF!)</f>
        <v>#VALUE!</v>
      </c>
    </row>
    <row r="2679" spans="1:5" x14ac:dyDescent="0.2">
      <c r="A2679" s="28">
        <v>2678</v>
      </c>
      <c r="B2679" s="28" t="e">
        <f>interpola(#REF!,CURVA!$B$6:$B$20,CURVA!$G$6:$G$20)</f>
        <v>#VALUE!</v>
      </c>
      <c r="C2679" s="29" t="e">
        <f t="shared" si="41"/>
        <v>#VALUE!</v>
      </c>
      <c r="E2679" t="e">
        <f>cubic_spline(CURVA!$B$6:$B$20,CURVA!$G$6:$G$20,#REF!)</f>
        <v>#VALUE!</v>
      </c>
    </row>
    <row r="2680" spans="1:5" x14ac:dyDescent="0.2">
      <c r="A2680" s="28">
        <v>2679</v>
      </c>
      <c r="B2680" s="28" t="e">
        <f>interpola(#REF!,CURVA!$B$6:$B$20,CURVA!$G$6:$G$20)</f>
        <v>#VALUE!</v>
      </c>
      <c r="C2680" s="29" t="e">
        <f t="shared" si="41"/>
        <v>#VALUE!</v>
      </c>
      <c r="E2680" t="e">
        <f>cubic_spline(CURVA!$B$6:$B$20,CURVA!$G$6:$G$20,#REF!)</f>
        <v>#VALUE!</v>
      </c>
    </row>
    <row r="2681" spans="1:5" x14ac:dyDescent="0.2">
      <c r="A2681" s="28">
        <v>2680</v>
      </c>
      <c r="B2681" s="28" t="e">
        <f>interpola(#REF!,CURVA!$B$6:$B$20,CURVA!$G$6:$G$20)</f>
        <v>#VALUE!</v>
      </c>
      <c r="C2681" s="29" t="e">
        <f t="shared" si="41"/>
        <v>#VALUE!</v>
      </c>
      <c r="E2681" t="e">
        <f>cubic_spline(CURVA!$B$6:$B$20,CURVA!$G$6:$G$20,#REF!)</f>
        <v>#VALUE!</v>
      </c>
    </row>
    <row r="2682" spans="1:5" x14ac:dyDescent="0.2">
      <c r="A2682" s="28">
        <v>2681</v>
      </c>
      <c r="B2682" s="28" t="e">
        <f>interpola(#REF!,CURVA!$B$6:$B$20,CURVA!$G$6:$G$20)</f>
        <v>#VALUE!</v>
      </c>
      <c r="C2682" s="29" t="e">
        <f t="shared" si="41"/>
        <v>#VALUE!</v>
      </c>
      <c r="E2682" t="e">
        <f>cubic_spline(CURVA!$B$6:$B$20,CURVA!$G$6:$G$20,#REF!)</f>
        <v>#VALUE!</v>
      </c>
    </row>
    <row r="2683" spans="1:5" x14ac:dyDescent="0.2">
      <c r="A2683" s="28">
        <v>2682</v>
      </c>
      <c r="B2683" s="28" t="e">
        <f>interpola(#REF!,CURVA!$B$6:$B$20,CURVA!$G$6:$G$20)</f>
        <v>#VALUE!</v>
      </c>
      <c r="C2683" s="29" t="e">
        <f t="shared" si="41"/>
        <v>#VALUE!</v>
      </c>
      <c r="E2683" t="e">
        <f>cubic_spline(CURVA!$B$6:$B$20,CURVA!$G$6:$G$20,#REF!)</f>
        <v>#VALUE!</v>
      </c>
    </row>
    <row r="2684" spans="1:5" x14ac:dyDescent="0.2">
      <c r="A2684" s="28">
        <v>2683</v>
      </c>
      <c r="B2684" s="28" t="e">
        <f>interpola(#REF!,CURVA!$B$6:$B$20,CURVA!$G$6:$G$20)</f>
        <v>#VALUE!</v>
      </c>
      <c r="C2684" s="29" t="e">
        <f t="shared" si="41"/>
        <v>#VALUE!</v>
      </c>
      <c r="E2684" t="e">
        <f>cubic_spline(CURVA!$B$6:$B$20,CURVA!$G$6:$G$20,#REF!)</f>
        <v>#VALUE!</v>
      </c>
    </row>
    <row r="2685" spans="1:5" x14ac:dyDescent="0.2">
      <c r="A2685" s="28">
        <v>2684</v>
      </c>
      <c r="B2685" s="28" t="e">
        <f>interpola(#REF!,CURVA!$B$6:$B$20,CURVA!$G$6:$G$20)</f>
        <v>#VALUE!</v>
      </c>
      <c r="C2685" s="29" t="e">
        <f t="shared" si="41"/>
        <v>#VALUE!</v>
      </c>
      <c r="E2685" t="e">
        <f>cubic_spline(CURVA!$B$6:$B$20,CURVA!$G$6:$G$20,#REF!)</f>
        <v>#VALUE!</v>
      </c>
    </row>
    <row r="2686" spans="1:5" x14ac:dyDescent="0.2">
      <c r="A2686" s="28">
        <v>2685</v>
      </c>
      <c r="B2686" s="28" t="e">
        <f>interpola(#REF!,CURVA!$B$6:$B$20,CURVA!$G$6:$G$20)</f>
        <v>#VALUE!</v>
      </c>
      <c r="C2686" s="29" t="e">
        <f t="shared" si="41"/>
        <v>#VALUE!</v>
      </c>
      <c r="E2686" t="e">
        <f>cubic_spline(CURVA!$B$6:$B$20,CURVA!$G$6:$G$20,#REF!)</f>
        <v>#VALUE!</v>
      </c>
    </row>
    <row r="2687" spans="1:5" x14ac:dyDescent="0.2">
      <c r="A2687" s="28">
        <v>2686</v>
      </c>
      <c r="B2687" s="28" t="e">
        <f>interpola(#REF!,CURVA!$B$6:$B$20,CURVA!$G$6:$G$20)</f>
        <v>#VALUE!</v>
      </c>
      <c r="C2687" s="29" t="e">
        <f t="shared" si="41"/>
        <v>#VALUE!</v>
      </c>
      <c r="E2687" t="e">
        <f>cubic_spline(CURVA!$B$6:$B$20,CURVA!$G$6:$G$20,#REF!)</f>
        <v>#VALUE!</v>
      </c>
    </row>
    <row r="2688" spans="1:5" x14ac:dyDescent="0.2">
      <c r="A2688" s="28">
        <v>2687</v>
      </c>
      <c r="B2688" s="28" t="e">
        <f>interpola(#REF!,CURVA!$B$6:$B$20,CURVA!$G$6:$G$20)</f>
        <v>#VALUE!</v>
      </c>
      <c r="C2688" s="29" t="e">
        <f t="shared" si="41"/>
        <v>#VALUE!</v>
      </c>
      <c r="E2688" t="e">
        <f>cubic_spline(CURVA!$B$6:$B$20,CURVA!$G$6:$G$20,#REF!)</f>
        <v>#VALUE!</v>
      </c>
    </row>
    <row r="2689" spans="1:5" x14ac:dyDescent="0.2">
      <c r="A2689" s="28">
        <v>2688</v>
      </c>
      <c r="B2689" s="28" t="e">
        <f>interpola(#REF!,CURVA!$B$6:$B$20,CURVA!$G$6:$G$20)</f>
        <v>#VALUE!</v>
      </c>
      <c r="C2689" s="29" t="e">
        <f t="shared" si="41"/>
        <v>#VALUE!</v>
      </c>
      <c r="E2689" t="e">
        <f>cubic_spline(CURVA!$B$6:$B$20,CURVA!$G$6:$G$20,#REF!)</f>
        <v>#VALUE!</v>
      </c>
    </row>
    <row r="2690" spans="1:5" x14ac:dyDescent="0.2">
      <c r="A2690" s="28">
        <v>2689</v>
      </c>
      <c r="B2690" s="28" t="e">
        <f>interpola(#REF!,CURVA!$B$6:$B$20,CURVA!$G$6:$G$20)</f>
        <v>#VALUE!</v>
      </c>
      <c r="C2690" s="29" t="e">
        <f t="shared" ref="C2690:C2753" si="42">(EXP(B2690*A2690/360)-1)*360/A2690</f>
        <v>#VALUE!</v>
      </c>
      <c r="E2690" t="e">
        <f>cubic_spline(CURVA!$B$6:$B$20,CURVA!$G$6:$G$20,#REF!)</f>
        <v>#VALUE!</v>
      </c>
    </row>
    <row r="2691" spans="1:5" x14ac:dyDescent="0.2">
      <c r="A2691" s="28">
        <v>2690</v>
      </c>
      <c r="B2691" s="28" t="e">
        <f>interpola(#REF!,CURVA!$B$6:$B$20,CURVA!$G$6:$G$20)</f>
        <v>#VALUE!</v>
      </c>
      <c r="C2691" s="29" t="e">
        <f t="shared" si="42"/>
        <v>#VALUE!</v>
      </c>
      <c r="E2691" t="e">
        <f>cubic_spline(CURVA!$B$6:$B$20,CURVA!$G$6:$G$20,#REF!)</f>
        <v>#VALUE!</v>
      </c>
    </row>
    <row r="2692" spans="1:5" x14ac:dyDescent="0.2">
      <c r="A2692" s="28">
        <v>2691</v>
      </c>
      <c r="B2692" s="28" t="e">
        <f>interpola(#REF!,CURVA!$B$6:$B$20,CURVA!$G$6:$G$20)</f>
        <v>#VALUE!</v>
      </c>
      <c r="C2692" s="29" t="e">
        <f t="shared" si="42"/>
        <v>#VALUE!</v>
      </c>
      <c r="E2692" t="e">
        <f>cubic_spline(CURVA!$B$6:$B$20,CURVA!$G$6:$G$20,#REF!)</f>
        <v>#VALUE!</v>
      </c>
    </row>
    <row r="2693" spans="1:5" x14ac:dyDescent="0.2">
      <c r="A2693" s="28">
        <v>2692</v>
      </c>
      <c r="B2693" s="28" t="e">
        <f>interpola(#REF!,CURVA!$B$6:$B$20,CURVA!$G$6:$G$20)</f>
        <v>#VALUE!</v>
      </c>
      <c r="C2693" s="29" t="e">
        <f t="shared" si="42"/>
        <v>#VALUE!</v>
      </c>
      <c r="E2693" t="e">
        <f>cubic_spline(CURVA!$B$6:$B$20,CURVA!$G$6:$G$20,#REF!)</f>
        <v>#VALUE!</v>
      </c>
    </row>
    <row r="2694" spans="1:5" x14ac:dyDescent="0.2">
      <c r="A2694" s="28">
        <v>2693</v>
      </c>
      <c r="B2694" s="28" t="e">
        <f>interpola(#REF!,CURVA!$B$6:$B$20,CURVA!$G$6:$G$20)</f>
        <v>#VALUE!</v>
      </c>
      <c r="C2694" s="29" t="e">
        <f t="shared" si="42"/>
        <v>#VALUE!</v>
      </c>
      <c r="E2694" t="e">
        <f>cubic_spline(CURVA!$B$6:$B$20,CURVA!$G$6:$G$20,#REF!)</f>
        <v>#VALUE!</v>
      </c>
    </row>
    <row r="2695" spans="1:5" x14ac:dyDescent="0.2">
      <c r="A2695" s="28">
        <v>2694</v>
      </c>
      <c r="B2695" s="28" t="e">
        <f>interpola(#REF!,CURVA!$B$6:$B$20,CURVA!$G$6:$G$20)</f>
        <v>#VALUE!</v>
      </c>
      <c r="C2695" s="29" t="e">
        <f t="shared" si="42"/>
        <v>#VALUE!</v>
      </c>
      <c r="E2695" t="e">
        <f>cubic_spline(CURVA!$B$6:$B$20,CURVA!$G$6:$G$20,#REF!)</f>
        <v>#VALUE!</v>
      </c>
    </row>
    <row r="2696" spans="1:5" x14ac:dyDescent="0.2">
      <c r="A2696" s="28">
        <v>2695</v>
      </c>
      <c r="B2696" s="28" t="e">
        <f>interpola(#REF!,CURVA!$B$6:$B$20,CURVA!$G$6:$G$20)</f>
        <v>#VALUE!</v>
      </c>
      <c r="C2696" s="29" t="e">
        <f t="shared" si="42"/>
        <v>#VALUE!</v>
      </c>
      <c r="E2696" t="e">
        <f>cubic_spline(CURVA!$B$6:$B$20,CURVA!$G$6:$G$20,#REF!)</f>
        <v>#VALUE!</v>
      </c>
    </row>
    <row r="2697" spans="1:5" x14ac:dyDescent="0.2">
      <c r="A2697" s="28">
        <v>2696</v>
      </c>
      <c r="B2697" s="28" t="e">
        <f>interpola(#REF!,CURVA!$B$6:$B$20,CURVA!$G$6:$G$20)</f>
        <v>#VALUE!</v>
      </c>
      <c r="C2697" s="29" t="e">
        <f t="shared" si="42"/>
        <v>#VALUE!</v>
      </c>
      <c r="E2697" t="e">
        <f>cubic_spline(CURVA!$B$6:$B$20,CURVA!$G$6:$G$20,#REF!)</f>
        <v>#VALUE!</v>
      </c>
    </row>
    <row r="2698" spans="1:5" x14ac:dyDescent="0.2">
      <c r="A2698" s="28">
        <v>2697</v>
      </c>
      <c r="B2698" s="28" t="e">
        <f>interpola(#REF!,CURVA!$B$6:$B$20,CURVA!$G$6:$G$20)</f>
        <v>#VALUE!</v>
      </c>
      <c r="C2698" s="29" t="e">
        <f t="shared" si="42"/>
        <v>#VALUE!</v>
      </c>
      <c r="E2698" t="e">
        <f>cubic_spline(CURVA!$B$6:$B$20,CURVA!$G$6:$G$20,#REF!)</f>
        <v>#VALUE!</v>
      </c>
    </row>
    <row r="2699" spans="1:5" x14ac:dyDescent="0.2">
      <c r="A2699" s="28">
        <v>2698</v>
      </c>
      <c r="B2699" s="28" t="e">
        <f>interpola(#REF!,CURVA!$B$6:$B$20,CURVA!$G$6:$G$20)</f>
        <v>#VALUE!</v>
      </c>
      <c r="C2699" s="29" t="e">
        <f t="shared" si="42"/>
        <v>#VALUE!</v>
      </c>
      <c r="E2699" t="e">
        <f>cubic_spline(CURVA!$B$6:$B$20,CURVA!$G$6:$G$20,#REF!)</f>
        <v>#VALUE!</v>
      </c>
    </row>
    <row r="2700" spans="1:5" x14ac:dyDescent="0.2">
      <c r="A2700" s="28">
        <v>2699</v>
      </c>
      <c r="B2700" s="28" t="e">
        <f>interpola(#REF!,CURVA!$B$6:$B$20,CURVA!$G$6:$G$20)</f>
        <v>#VALUE!</v>
      </c>
      <c r="C2700" s="29" t="e">
        <f t="shared" si="42"/>
        <v>#VALUE!</v>
      </c>
      <c r="E2700" t="e">
        <f>cubic_spline(CURVA!$B$6:$B$20,CURVA!$G$6:$G$20,#REF!)</f>
        <v>#VALUE!</v>
      </c>
    </row>
    <row r="2701" spans="1:5" x14ac:dyDescent="0.2">
      <c r="A2701" s="28">
        <v>2700</v>
      </c>
      <c r="B2701" s="28" t="e">
        <f>interpola(#REF!,CURVA!$B$6:$B$20,CURVA!$G$6:$G$20)</f>
        <v>#VALUE!</v>
      </c>
      <c r="C2701" s="29" t="e">
        <f t="shared" si="42"/>
        <v>#VALUE!</v>
      </c>
      <c r="E2701" t="e">
        <f>cubic_spline(CURVA!$B$6:$B$20,CURVA!$G$6:$G$20,#REF!)</f>
        <v>#VALUE!</v>
      </c>
    </row>
    <row r="2702" spans="1:5" x14ac:dyDescent="0.2">
      <c r="A2702" s="28">
        <v>2701</v>
      </c>
      <c r="B2702" s="28" t="e">
        <f>interpola(#REF!,CURVA!$B$6:$B$20,CURVA!$G$6:$G$20)</f>
        <v>#VALUE!</v>
      </c>
      <c r="C2702" s="29" t="e">
        <f t="shared" si="42"/>
        <v>#VALUE!</v>
      </c>
      <c r="E2702" t="e">
        <f>cubic_spline(CURVA!$B$6:$B$20,CURVA!$G$6:$G$20,#REF!)</f>
        <v>#VALUE!</v>
      </c>
    </row>
    <row r="2703" spans="1:5" x14ac:dyDescent="0.2">
      <c r="A2703" s="28">
        <v>2702</v>
      </c>
      <c r="B2703" s="28" t="e">
        <f>interpola(#REF!,CURVA!$B$6:$B$20,CURVA!$G$6:$G$20)</f>
        <v>#VALUE!</v>
      </c>
      <c r="C2703" s="29" t="e">
        <f t="shared" si="42"/>
        <v>#VALUE!</v>
      </c>
      <c r="E2703" t="e">
        <f>cubic_spline(CURVA!$B$6:$B$20,CURVA!$G$6:$G$20,#REF!)</f>
        <v>#VALUE!</v>
      </c>
    </row>
    <row r="2704" spans="1:5" x14ac:dyDescent="0.2">
      <c r="A2704" s="28">
        <v>2703</v>
      </c>
      <c r="B2704" s="28" t="e">
        <f>interpola(#REF!,CURVA!$B$6:$B$20,CURVA!$G$6:$G$20)</f>
        <v>#VALUE!</v>
      </c>
      <c r="C2704" s="29" t="e">
        <f t="shared" si="42"/>
        <v>#VALUE!</v>
      </c>
      <c r="E2704" t="e">
        <f>cubic_spline(CURVA!$B$6:$B$20,CURVA!$G$6:$G$20,#REF!)</f>
        <v>#VALUE!</v>
      </c>
    </row>
    <row r="2705" spans="1:5" x14ac:dyDescent="0.2">
      <c r="A2705" s="28">
        <v>2704</v>
      </c>
      <c r="B2705" s="28" t="e">
        <f>interpola(#REF!,CURVA!$B$6:$B$20,CURVA!$G$6:$G$20)</f>
        <v>#VALUE!</v>
      </c>
      <c r="C2705" s="29" t="e">
        <f t="shared" si="42"/>
        <v>#VALUE!</v>
      </c>
      <c r="E2705" t="e">
        <f>cubic_spline(CURVA!$B$6:$B$20,CURVA!$G$6:$G$20,#REF!)</f>
        <v>#VALUE!</v>
      </c>
    </row>
    <row r="2706" spans="1:5" x14ac:dyDescent="0.2">
      <c r="A2706" s="28">
        <v>2705</v>
      </c>
      <c r="B2706" s="28" t="e">
        <f>interpola(#REF!,CURVA!$B$6:$B$20,CURVA!$G$6:$G$20)</f>
        <v>#VALUE!</v>
      </c>
      <c r="C2706" s="29" t="e">
        <f t="shared" si="42"/>
        <v>#VALUE!</v>
      </c>
      <c r="E2706" t="e">
        <f>cubic_spline(CURVA!$B$6:$B$20,CURVA!$G$6:$G$20,#REF!)</f>
        <v>#VALUE!</v>
      </c>
    </row>
    <row r="2707" spans="1:5" x14ac:dyDescent="0.2">
      <c r="A2707" s="28">
        <v>2706</v>
      </c>
      <c r="B2707" s="28" t="e">
        <f>interpola(#REF!,CURVA!$B$6:$B$20,CURVA!$G$6:$G$20)</f>
        <v>#VALUE!</v>
      </c>
      <c r="C2707" s="29" t="e">
        <f t="shared" si="42"/>
        <v>#VALUE!</v>
      </c>
      <c r="E2707" t="e">
        <f>cubic_spline(CURVA!$B$6:$B$20,CURVA!$G$6:$G$20,#REF!)</f>
        <v>#VALUE!</v>
      </c>
    </row>
    <row r="2708" spans="1:5" x14ac:dyDescent="0.2">
      <c r="A2708" s="28">
        <v>2707</v>
      </c>
      <c r="B2708" s="28" t="e">
        <f>interpola(#REF!,CURVA!$B$6:$B$20,CURVA!$G$6:$G$20)</f>
        <v>#VALUE!</v>
      </c>
      <c r="C2708" s="29" t="e">
        <f t="shared" si="42"/>
        <v>#VALUE!</v>
      </c>
      <c r="E2708" t="e">
        <f>cubic_spline(CURVA!$B$6:$B$20,CURVA!$G$6:$G$20,#REF!)</f>
        <v>#VALUE!</v>
      </c>
    </row>
    <row r="2709" spans="1:5" x14ac:dyDescent="0.2">
      <c r="A2709" s="28">
        <v>2708</v>
      </c>
      <c r="B2709" s="28" t="e">
        <f>interpola(#REF!,CURVA!$B$6:$B$20,CURVA!$G$6:$G$20)</f>
        <v>#VALUE!</v>
      </c>
      <c r="C2709" s="29" t="e">
        <f t="shared" si="42"/>
        <v>#VALUE!</v>
      </c>
      <c r="E2709" t="e">
        <f>cubic_spline(CURVA!$B$6:$B$20,CURVA!$G$6:$G$20,#REF!)</f>
        <v>#VALUE!</v>
      </c>
    </row>
    <row r="2710" spans="1:5" x14ac:dyDescent="0.2">
      <c r="A2710" s="28">
        <v>2709</v>
      </c>
      <c r="B2710" s="28" t="e">
        <f>interpola(#REF!,CURVA!$B$6:$B$20,CURVA!$G$6:$G$20)</f>
        <v>#VALUE!</v>
      </c>
      <c r="C2710" s="29" t="e">
        <f t="shared" si="42"/>
        <v>#VALUE!</v>
      </c>
      <c r="E2710" t="e">
        <f>cubic_spline(CURVA!$B$6:$B$20,CURVA!$G$6:$G$20,#REF!)</f>
        <v>#VALUE!</v>
      </c>
    </row>
    <row r="2711" spans="1:5" x14ac:dyDescent="0.2">
      <c r="A2711" s="28">
        <v>2710</v>
      </c>
      <c r="B2711" s="28" t="e">
        <f>interpola(#REF!,CURVA!$B$6:$B$20,CURVA!$G$6:$G$20)</f>
        <v>#VALUE!</v>
      </c>
      <c r="C2711" s="29" t="e">
        <f t="shared" si="42"/>
        <v>#VALUE!</v>
      </c>
      <c r="E2711" t="e">
        <f>cubic_spline(CURVA!$B$6:$B$20,CURVA!$G$6:$G$20,#REF!)</f>
        <v>#VALUE!</v>
      </c>
    </row>
    <row r="2712" spans="1:5" x14ac:dyDescent="0.2">
      <c r="A2712" s="28">
        <v>2711</v>
      </c>
      <c r="B2712" s="28" t="e">
        <f>interpola(#REF!,CURVA!$B$6:$B$20,CURVA!$G$6:$G$20)</f>
        <v>#VALUE!</v>
      </c>
      <c r="C2712" s="29" t="e">
        <f t="shared" si="42"/>
        <v>#VALUE!</v>
      </c>
      <c r="E2712" t="e">
        <f>cubic_spline(CURVA!$B$6:$B$20,CURVA!$G$6:$G$20,#REF!)</f>
        <v>#VALUE!</v>
      </c>
    </row>
    <row r="2713" spans="1:5" x14ac:dyDescent="0.2">
      <c r="A2713" s="28">
        <v>2712</v>
      </c>
      <c r="B2713" s="28" t="e">
        <f>interpola(#REF!,CURVA!$B$6:$B$20,CURVA!$G$6:$G$20)</f>
        <v>#VALUE!</v>
      </c>
      <c r="C2713" s="29" t="e">
        <f t="shared" si="42"/>
        <v>#VALUE!</v>
      </c>
      <c r="E2713" t="e">
        <f>cubic_spline(CURVA!$B$6:$B$20,CURVA!$G$6:$G$20,#REF!)</f>
        <v>#VALUE!</v>
      </c>
    </row>
    <row r="2714" spans="1:5" x14ac:dyDescent="0.2">
      <c r="A2714" s="28">
        <v>2713</v>
      </c>
      <c r="B2714" s="28" t="e">
        <f>interpola(#REF!,CURVA!$B$6:$B$20,CURVA!$G$6:$G$20)</f>
        <v>#VALUE!</v>
      </c>
      <c r="C2714" s="29" t="e">
        <f t="shared" si="42"/>
        <v>#VALUE!</v>
      </c>
      <c r="E2714" t="e">
        <f>cubic_spline(CURVA!$B$6:$B$20,CURVA!$G$6:$G$20,#REF!)</f>
        <v>#VALUE!</v>
      </c>
    </row>
    <row r="2715" spans="1:5" x14ac:dyDescent="0.2">
      <c r="A2715" s="28">
        <v>2714</v>
      </c>
      <c r="B2715" s="28" t="e">
        <f>interpola(#REF!,CURVA!$B$6:$B$20,CURVA!$G$6:$G$20)</f>
        <v>#VALUE!</v>
      </c>
      <c r="C2715" s="29" t="e">
        <f t="shared" si="42"/>
        <v>#VALUE!</v>
      </c>
      <c r="E2715" t="e">
        <f>cubic_spline(CURVA!$B$6:$B$20,CURVA!$G$6:$G$20,#REF!)</f>
        <v>#VALUE!</v>
      </c>
    </row>
    <row r="2716" spans="1:5" x14ac:dyDescent="0.2">
      <c r="A2716" s="28">
        <v>2715</v>
      </c>
      <c r="B2716" s="28" t="e">
        <f>interpola(#REF!,CURVA!$B$6:$B$20,CURVA!$G$6:$G$20)</f>
        <v>#VALUE!</v>
      </c>
      <c r="C2716" s="29" t="e">
        <f t="shared" si="42"/>
        <v>#VALUE!</v>
      </c>
      <c r="E2716" t="e">
        <f>cubic_spline(CURVA!$B$6:$B$20,CURVA!$G$6:$G$20,#REF!)</f>
        <v>#VALUE!</v>
      </c>
    </row>
    <row r="2717" spans="1:5" x14ac:dyDescent="0.2">
      <c r="A2717" s="28">
        <v>2716</v>
      </c>
      <c r="B2717" s="28" t="e">
        <f>interpola(#REF!,CURVA!$B$6:$B$20,CURVA!$G$6:$G$20)</f>
        <v>#VALUE!</v>
      </c>
      <c r="C2717" s="29" t="e">
        <f t="shared" si="42"/>
        <v>#VALUE!</v>
      </c>
      <c r="E2717" t="e">
        <f>cubic_spline(CURVA!$B$6:$B$20,CURVA!$G$6:$G$20,#REF!)</f>
        <v>#VALUE!</v>
      </c>
    </row>
    <row r="2718" spans="1:5" x14ac:dyDescent="0.2">
      <c r="A2718" s="28">
        <v>2717</v>
      </c>
      <c r="B2718" s="28" t="e">
        <f>interpola(#REF!,CURVA!$B$6:$B$20,CURVA!$G$6:$G$20)</f>
        <v>#VALUE!</v>
      </c>
      <c r="C2718" s="29" t="e">
        <f t="shared" si="42"/>
        <v>#VALUE!</v>
      </c>
      <c r="E2718" t="e">
        <f>cubic_spline(CURVA!$B$6:$B$20,CURVA!$G$6:$G$20,#REF!)</f>
        <v>#VALUE!</v>
      </c>
    </row>
    <row r="2719" spans="1:5" x14ac:dyDescent="0.2">
      <c r="A2719" s="28">
        <v>2718</v>
      </c>
      <c r="B2719" s="28" t="e">
        <f>interpola(#REF!,CURVA!$B$6:$B$20,CURVA!$G$6:$G$20)</f>
        <v>#VALUE!</v>
      </c>
      <c r="C2719" s="29" t="e">
        <f t="shared" si="42"/>
        <v>#VALUE!</v>
      </c>
      <c r="E2719" t="e">
        <f>cubic_spline(CURVA!$B$6:$B$20,CURVA!$G$6:$G$20,#REF!)</f>
        <v>#VALUE!</v>
      </c>
    </row>
    <row r="2720" spans="1:5" x14ac:dyDescent="0.2">
      <c r="A2720" s="28">
        <v>2719</v>
      </c>
      <c r="B2720" s="28" t="e">
        <f>interpola(#REF!,CURVA!$B$6:$B$20,CURVA!$G$6:$G$20)</f>
        <v>#VALUE!</v>
      </c>
      <c r="C2720" s="29" t="e">
        <f t="shared" si="42"/>
        <v>#VALUE!</v>
      </c>
      <c r="E2720" t="e">
        <f>cubic_spline(CURVA!$B$6:$B$20,CURVA!$G$6:$G$20,#REF!)</f>
        <v>#VALUE!</v>
      </c>
    </row>
    <row r="2721" spans="1:5" x14ac:dyDescent="0.2">
      <c r="A2721" s="28">
        <v>2720</v>
      </c>
      <c r="B2721" s="28" t="e">
        <f>interpola(#REF!,CURVA!$B$6:$B$20,CURVA!$G$6:$G$20)</f>
        <v>#VALUE!</v>
      </c>
      <c r="C2721" s="29" t="e">
        <f t="shared" si="42"/>
        <v>#VALUE!</v>
      </c>
      <c r="E2721" t="e">
        <f>cubic_spline(CURVA!$B$6:$B$20,CURVA!$G$6:$G$20,#REF!)</f>
        <v>#VALUE!</v>
      </c>
    </row>
    <row r="2722" spans="1:5" x14ac:dyDescent="0.2">
      <c r="A2722" s="28">
        <v>2721</v>
      </c>
      <c r="B2722" s="28" t="e">
        <f>interpola(#REF!,CURVA!$B$6:$B$20,CURVA!$G$6:$G$20)</f>
        <v>#VALUE!</v>
      </c>
      <c r="C2722" s="29" t="e">
        <f t="shared" si="42"/>
        <v>#VALUE!</v>
      </c>
      <c r="E2722" t="e">
        <f>cubic_spline(CURVA!$B$6:$B$20,CURVA!$G$6:$G$20,#REF!)</f>
        <v>#VALUE!</v>
      </c>
    </row>
    <row r="2723" spans="1:5" x14ac:dyDescent="0.2">
      <c r="A2723" s="28">
        <v>2722</v>
      </c>
      <c r="B2723" s="28" t="e">
        <f>interpola(#REF!,CURVA!$B$6:$B$20,CURVA!$G$6:$G$20)</f>
        <v>#VALUE!</v>
      </c>
      <c r="C2723" s="29" t="e">
        <f t="shared" si="42"/>
        <v>#VALUE!</v>
      </c>
      <c r="E2723" t="e">
        <f>cubic_spline(CURVA!$B$6:$B$20,CURVA!$G$6:$G$20,#REF!)</f>
        <v>#VALUE!</v>
      </c>
    </row>
    <row r="2724" spans="1:5" x14ac:dyDescent="0.2">
      <c r="A2724" s="28">
        <v>2723</v>
      </c>
      <c r="B2724" s="28" t="e">
        <f>interpola(#REF!,CURVA!$B$6:$B$20,CURVA!$G$6:$G$20)</f>
        <v>#VALUE!</v>
      </c>
      <c r="C2724" s="29" t="e">
        <f t="shared" si="42"/>
        <v>#VALUE!</v>
      </c>
      <c r="E2724" t="e">
        <f>cubic_spline(CURVA!$B$6:$B$20,CURVA!$G$6:$G$20,#REF!)</f>
        <v>#VALUE!</v>
      </c>
    </row>
    <row r="2725" spans="1:5" x14ac:dyDescent="0.2">
      <c r="A2725" s="28">
        <v>2724</v>
      </c>
      <c r="B2725" s="28" t="e">
        <f>interpola(#REF!,CURVA!$B$6:$B$20,CURVA!$G$6:$G$20)</f>
        <v>#VALUE!</v>
      </c>
      <c r="C2725" s="29" t="e">
        <f t="shared" si="42"/>
        <v>#VALUE!</v>
      </c>
      <c r="E2725" t="e">
        <f>cubic_spline(CURVA!$B$6:$B$20,CURVA!$G$6:$G$20,#REF!)</f>
        <v>#VALUE!</v>
      </c>
    </row>
    <row r="2726" spans="1:5" x14ac:dyDescent="0.2">
      <c r="A2726" s="28">
        <v>2725</v>
      </c>
      <c r="B2726" s="28" t="e">
        <f>interpola(#REF!,CURVA!$B$6:$B$20,CURVA!$G$6:$G$20)</f>
        <v>#VALUE!</v>
      </c>
      <c r="C2726" s="29" t="e">
        <f t="shared" si="42"/>
        <v>#VALUE!</v>
      </c>
      <c r="E2726" t="e">
        <f>cubic_spline(CURVA!$B$6:$B$20,CURVA!$G$6:$G$20,#REF!)</f>
        <v>#VALUE!</v>
      </c>
    </row>
    <row r="2727" spans="1:5" x14ac:dyDescent="0.2">
      <c r="A2727" s="28">
        <v>2726</v>
      </c>
      <c r="B2727" s="28" t="e">
        <f>interpola(#REF!,CURVA!$B$6:$B$20,CURVA!$G$6:$G$20)</f>
        <v>#VALUE!</v>
      </c>
      <c r="C2727" s="29" t="e">
        <f t="shared" si="42"/>
        <v>#VALUE!</v>
      </c>
      <c r="E2727" t="e">
        <f>cubic_spline(CURVA!$B$6:$B$20,CURVA!$G$6:$G$20,#REF!)</f>
        <v>#VALUE!</v>
      </c>
    </row>
    <row r="2728" spans="1:5" x14ac:dyDescent="0.2">
      <c r="A2728" s="28">
        <v>2727</v>
      </c>
      <c r="B2728" s="28" t="e">
        <f>interpola(#REF!,CURVA!$B$6:$B$20,CURVA!$G$6:$G$20)</f>
        <v>#VALUE!</v>
      </c>
      <c r="C2728" s="29" t="e">
        <f t="shared" si="42"/>
        <v>#VALUE!</v>
      </c>
      <c r="E2728" t="e">
        <f>cubic_spline(CURVA!$B$6:$B$20,CURVA!$G$6:$G$20,#REF!)</f>
        <v>#VALUE!</v>
      </c>
    </row>
    <row r="2729" spans="1:5" x14ac:dyDescent="0.2">
      <c r="A2729" s="28">
        <v>2728</v>
      </c>
      <c r="B2729" s="28" t="e">
        <f>interpola(#REF!,CURVA!$B$6:$B$20,CURVA!$G$6:$G$20)</f>
        <v>#VALUE!</v>
      </c>
      <c r="C2729" s="29" t="e">
        <f t="shared" si="42"/>
        <v>#VALUE!</v>
      </c>
      <c r="E2729" t="e">
        <f>cubic_spline(CURVA!$B$6:$B$20,CURVA!$G$6:$G$20,#REF!)</f>
        <v>#VALUE!</v>
      </c>
    </row>
    <row r="2730" spans="1:5" x14ac:dyDescent="0.2">
      <c r="A2730" s="28">
        <v>2729</v>
      </c>
      <c r="B2730" s="28" t="e">
        <f>interpola(#REF!,CURVA!$B$6:$B$20,CURVA!$G$6:$G$20)</f>
        <v>#VALUE!</v>
      </c>
      <c r="C2730" s="29" t="e">
        <f t="shared" si="42"/>
        <v>#VALUE!</v>
      </c>
      <c r="E2730" t="e">
        <f>cubic_spline(CURVA!$B$6:$B$20,CURVA!$G$6:$G$20,#REF!)</f>
        <v>#VALUE!</v>
      </c>
    </row>
    <row r="2731" spans="1:5" x14ac:dyDescent="0.2">
      <c r="A2731" s="28">
        <v>2730</v>
      </c>
      <c r="B2731" s="28" t="e">
        <f>interpola(#REF!,CURVA!$B$6:$B$20,CURVA!$G$6:$G$20)</f>
        <v>#VALUE!</v>
      </c>
      <c r="C2731" s="29" t="e">
        <f t="shared" si="42"/>
        <v>#VALUE!</v>
      </c>
      <c r="E2731" t="e">
        <f>cubic_spline(CURVA!$B$6:$B$20,CURVA!$G$6:$G$20,#REF!)</f>
        <v>#VALUE!</v>
      </c>
    </row>
    <row r="2732" spans="1:5" x14ac:dyDescent="0.2">
      <c r="A2732" s="28">
        <v>2731</v>
      </c>
      <c r="B2732" s="28" t="e">
        <f>interpola(#REF!,CURVA!$B$6:$B$20,CURVA!$G$6:$G$20)</f>
        <v>#VALUE!</v>
      </c>
      <c r="C2732" s="29" t="e">
        <f t="shared" si="42"/>
        <v>#VALUE!</v>
      </c>
      <c r="E2732" t="e">
        <f>cubic_spline(CURVA!$B$6:$B$20,CURVA!$G$6:$G$20,#REF!)</f>
        <v>#VALUE!</v>
      </c>
    </row>
    <row r="2733" spans="1:5" x14ac:dyDescent="0.2">
      <c r="A2733" s="28">
        <v>2732</v>
      </c>
      <c r="B2733" s="28" t="e">
        <f>interpola(#REF!,CURVA!$B$6:$B$20,CURVA!$G$6:$G$20)</f>
        <v>#VALUE!</v>
      </c>
      <c r="C2733" s="29" t="e">
        <f t="shared" si="42"/>
        <v>#VALUE!</v>
      </c>
      <c r="E2733" t="e">
        <f>cubic_spline(CURVA!$B$6:$B$20,CURVA!$G$6:$G$20,#REF!)</f>
        <v>#VALUE!</v>
      </c>
    </row>
    <row r="2734" spans="1:5" x14ac:dyDescent="0.2">
      <c r="A2734" s="28">
        <v>2733</v>
      </c>
      <c r="B2734" s="28" t="e">
        <f>interpola(#REF!,CURVA!$B$6:$B$20,CURVA!$G$6:$G$20)</f>
        <v>#VALUE!</v>
      </c>
      <c r="C2734" s="29" t="e">
        <f t="shared" si="42"/>
        <v>#VALUE!</v>
      </c>
      <c r="E2734" t="e">
        <f>cubic_spline(CURVA!$B$6:$B$20,CURVA!$G$6:$G$20,#REF!)</f>
        <v>#VALUE!</v>
      </c>
    </row>
    <row r="2735" spans="1:5" x14ac:dyDescent="0.2">
      <c r="A2735" s="28">
        <v>2734</v>
      </c>
      <c r="B2735" s="28" t="e">
        <f>interpola(#REF!,CURVA!$B$6:$B$20,CURVA!$G$6:$G$20)</f>
        <v>#VALUE!</v>
      </c>
      <c r="C2735" s="29" t="e">
        <f t="shared" si="42"/>
        <v>#VALUE!</v>
      </c>
      <c r="E2735" t="e">
        <f>cubic_spline(CURVA!$B$6:$B$20,CURVA!$G$6:$G$20,#REF!)</f>
        <v>#VALUE!</v>
      </c>
    </row>
    <row r="2736" spans="1:5" x14ac:dyDescent="0.2">
      <c r="A2736" s="28">
        <v>2735</v>
      </c>
      <c r="B2736" s="28" t="e">
        <f>interpola(#REF!,CURVA!$B$6:$B$20,CURVA!$G$6:$G$20)</f>
        <v>#VALUE!</v>
      </c>
      <c r="C2736" s="29" t="e">
        <f t="shared" si="42"/>
        <v>#VALUE!</v>
      </c>
      <c r="E2736" t="e">
        <f>cubic_spline(CURVA!$B$6:$B$20,CURVA!$G$6:$G$20,#REF!)</f>
        <v>#VALUE!</v>
      </c>
    </row>
    <row r="2737" spans="1:5" x14ac:dyDescent="0.2">
      <c r="A2737" s="28">
        <v>2736</v>
      </c>
      <c r="B2737" s="28" t="e">
        <f>interpola(#REF!,CURVA!$B$6:$B$20,CURVA!$G$6:$G$20)</f>
        <v>#VALUE!</v>
      </c>
      <c r="C2737" s="29" t="e">
        <f t="shared" si="42"/>
        <v>#VALUE!</v>
      </c>
      <c r="E2737" t="e">
        <f>cubic_spline(CURVA!$B$6:$B$20,CURVA!$G$6:$G$20,#REF!)</f>
        <v>#VALUE!</v>
      </c>
    </row>
    <row r="2738" spans="1:5" x14ac:dyDescent="0.2">
      <c r="A2738" s="28">
        <v>2737</v>
      </c>
      <c r="B2738" s="28" t="e">
        <f>interpola(#REF!,CURVA!$B$6:$B$20,CURVA!$G$6:$G$20)</f>
        <v>#VALUE!</v>
      </c>
      <c r="C2738" s="29" t="e">
        <f t="shared" si="42"/>
        <v>#VALUE!</v>
      </c>
      <c r="E2738" t="e">
        <f>cubic_spline(CURVA!$B$6:$B$20,CURVA!$G$6:$G$20,#REF!)</f>
        <v>#VALUE!</v>
      </c>
    </row>
    <row r="2739" spans="1:5" x14ac:dyDescent="0.2">
      <c r="A2739" s="28">
        <v>2738</v>
      </c>
      <c r="B2739" s="28" t="e">
        <f>interpola(#REF!,CURVA!$B$6:$B$20,CURVA!$G$6:$G$20)</f>
        <v>#VALUE!</v>
      </c>
      <c r="C2739" s="29" t="e">
        <f t="shared" si="42"/>
        <v>#VALUE!</v>
      </c>
      <c r="E2739" t="e">
        <f>cubic_spline(CURVA!$B$6:$B$20,CURVA!$G$6:$G$20,#REF!)</f>
        <v>#VALUE!</v>
      </c>
    </row>
    <row r="2740" spans="1:5" x14ac:dyDescent="0.2">
      <c r="A2740" s="28">
        <v>2739</v>
      </c>
      <c r="B2740" s="28" t="e">
        <f>interpola(#REF!,CURVA!$B$6:$B$20,CURVA!$G$6:$G$20)</f>
        <v>#VALUE!</v>
      </c>
      <c r="C2740" s="29" t="e">
        <f t="shared" si="42"/>
        <v>#VALUE!</v>
      </c>
      <c r="E2740" t="e">
        <f>cubic_spline(CURVA!$B$6:$B$20,CURVA!$G$6:$G$20,#REF!)</f>
        <v>#VALUE!</v>
      </c>
    </row>
    <row r="2741" spans="1:5" x14ac:dyDescent="0.2">
      <c r="A2741" s="28">
        <v>2740</v>
      </c>
      <c r="B2741" s="28" t="e">
        <f>interpola(#REF!,CURVA!$B$6:$B$20,CURVA!$G$6:$G$20)</f>
        <v>#VALUE!</v>
      </c>
      <c r="C2741" s="29" t="e">
        <f t="shared" si="42"/>
        <v>#VALUE!</v>
      </c>
      <c r="E2741" t="e">
        <f>cubic_spline(CURVA!$B$6:$B$20,CURVA!$G$6:$G$20,#REF!)</f>
        <v>#VALUE!</v>
      </c>
    </row>
    <row r="2742" spans="1:5" x14ac:dyDescent="0.2">
      <c r="A2742" s="28">
        <v>2741</v>
      </c>
      <c r="B2742" s="28" t="e">
        <f>interpola(#REF!,CURVA!$B$6:$B$20,CURVA!$G$6:$G$20)</f>
        <v>#VALUE!</v>
      </c>
      <c r="C2742" s="29" t="e">
        <f t="shared" si="42"/>
        <v>#VALUE!</v>
      </c>
      <c r="E2742" t="e">
        <f>cubic_spline(CURVA!$B$6:$B$20,CURVA!$G$6:$G$20,#REF!)</f>
        <v>#VALUE!</v>
      </c>
    </row>
    <row r="2743" spans="1:5" x14ac:dyDescent="0.2">
      <c r="A2743" s="28">
        <v>2742</v>
      </c>
      <c r="B2743" s="28" t="e">
        <f>interpola(#REF!,CURVA!$B$6:$B$20,CURVA!$G$6:$G$20)</f>
        <v>#VALUE!</v>
      </c>
      <c r="C2743" s="29" t="e">
        <f t="shared" si="42"/>
        <v>#VALUE!</v>
      </c>
      <c r="E2743" t="e">
        <f>cubic_spline(CURVA!$B$6:$B$20,CURVA!$G$6:$G$20,#REF!)</f>
        <v>#VALUE!</v>
      </c>
    </row>
    <row r="2744" spans="1:5" x14ac:dyDescent="0.2">
      <c r="A2744" s="28">
        <v>2743</v>
      </c>
      <c r="B2744" s="28" t="e">
        <f>interpola(#REF!,CURVA!$B$6:$B$20,CURVA!$G$6:$G$20)</f>
        <v>#VALUE!</v>
      </c>
      <c r="C2744" s="29" t="e">
        <f t="shared" si="42"/>
        <v>#VALUE!</v>
      </c>
      <c r="E2744" t="e">
        <f>cubic_spline(CURVA!$B$6:$B$20,CURVA!$G$6:$G$20,#REF!)</f>
        <v>#VALUE!</v>
      </c>
    </row>
    <row r="2745" spans="1:5" x14ac:dyDescent="0.2">
      <c r="A2745" s="28">
        <v>2744</v>
      </c>
      <c r="B2745" s="28" t="e">
        <f>interpola(#REF!,CURVA!$B$6:$B$20,CURVA!$G$6:$G$20)</f>
        <v>#VALUE!</v>
      </c>
      <c r="C2745" s="29" t="e">
        <f t="shared" si="42"/>
        <v>#VALUE!</v>
      </c>
      <c r="E2745" t="e">
        <f>cubic_spline(CURVA!$B$6:$B$20,CURVA!$G$6:$G$20,#REF!)</f>
        <v>#VALUE!</v>
      </c>
    </row>
    <row r="2746" spans="1:5" x14ac:dyDescent="0.2">
      <c r="A2746" s="28">
        <v>2745</v>
      </c>
      <c r="B2746" s="28" t="e">
        <f>interpola(#REF!,CURVA!$B$6:$B$20,CURVA!$G$6:$G$20)</f>
        <v>#VALUE!</v>
      </c>
      <c r="C2746" s="29" t="e">
        <f t="shared" si="42"/>
        <v>#VALUE!</v>
      </c>
      <c r="E2746" t="e">
        <f>cubic_spline(CURVA!$B$6:$B$20,CURVA!$G$6:$G$20,#REF!)</f>
        <v>#VALUE!</v>
      </c>
    </row>
    <row r="2747" spans="1:5" x14ac:dyDescent="0.2">
      <c r="A2747" s="28">
        <v>2746</v>
      </c>
      <c r="B2747" s="28" t="e">
        <f>interpola(#REF!,CURVA!$B$6:$B$20,CURVA!$G$6:$G$20)</f>
        <v>#VALUE!</v>
      </c>
      <c r="C2747" s="29" t="e">
        <f t="shared" si="42"/>
        <v>#VALUE!</v>
      </c>
      <c r="E2747" t="e">
        <f>cubic_spline(CURVA!$B$6:$B$20,CURVA!$G$6:$G$20,#REF!)</f>
        <v>#VALUE!</v>
      </c>
    </row>
    <row r="2748" spans="1:5" x14ac:dyDescent="0.2">
      <c r="A2748" s="28">
        <v>2747</v>
      </c>
      <c r="B2748" s="28" t="e">
        <f>interpola(#REF!,CURVA!$B$6:$B$20,CURVA!$G$6:$G$20)</f>
        <v>#VALUE!</v>
      </c>
      <c r="C2748" s="29" t="e">
        <f t="shared" si="42"/>
        <v>#VALUE!</v>
      </c>
      <c r="E2748" t="e">
        <f>cubic_spline(CURVA!$B$6:$B$20,CURVA!$G$6:$G$20,#REF!)</f>
        <v>#VALUE!</v>
      </c>
    </row>
    <row r="2749" spans="1:5" x14ac:dyDescent="0.2">
      <c r="A2749" s="28">
        <v>2748</v>
      </c>
      <c r="B2749" s="28" t="e">
        <f>interpola(#REF!,CURVA!$B$6:$B$20,CURVA!$G$6:$G$20)</f>
        <v>#VALUE!</v>
      </c>
      <c r="C2749" s="29" t="e">
        <f t="shared" si="42"/>
        <v>#VALUE!</v>
      </c>
      <c r="E2749" t="e">
        <f>cubic_spline(CURVA!$B$6:$B$20,CURVA!$G$6:$G$20,#REF!)</f>
        <v>#VALUE!</v>
      </c>
    </row>
    <row r="2750" spans="1:5" x14ac:dyDescent="0.2">
      <c r="A2750" s="28">
        <v>2749</v>
      </c>
      <c r="B2750" s="28" t="e">
        <f>interpola(#REF!,CURVA!$B$6:$B$20,CURVA!$G$6:$G$20)</f>
        <v>#VALUE!</v>
      </c>
      <c r="C2750" s="29" t="e">
        <f t="shared" si="42"/>
        <v>#VALUE!</v>
      </c>
      <c r="E2750" t="e">
        <f>cubic_spline(CURVA!$B$6:$B$20,CURVA!$G$6:$G$20,#REF!)</f>
        <v>#VALUE!</v>
      </c>
    </row>
    <row r="2751" spans="1:5" x14ac:dyDescent="0.2">
      <c r="A2751" s="28">
        <v>2750</v>
      </c>
      <c r="B2751" s="28" t="e">
        <f>interpola(#REF!,CURVA!$B$6:$B$20,CURVA!$G$6:$G$20)</f>
        <v>#VALUE!</v>
      </c>
      <c r="C2751" s="29" t="e">
        <f t="shared" si="42"/>
        <v>#VALUE!</v>
      </c>
      <c r="E2751" t="e">
        <f>cubic_spline(CURVA!$B$6:$B$20,CURVA!$G$6:$G$20,#REF!)</f>
        <v>#VALUE!</v>
      </c>
    </row>
    <row r="2752" spans="1:5" x14ac:dyDescent="0.2">
      <c r="A2752" s="28">
        <v>2751</v>
      </c>
      <c r="B2752" s="28" t="e">
        <f>interpola(#REF!,CURVA!$B$6:$B$20,CURVA!$G$6:$G$20)</f>
        <v>#VALUE!</v>
      </c>
      <c r="C2752" s="29" t="e">
        <f t="shared" si="42"/>
        <v>#VALUE!</v>
      </c>
      <c r="E2752" t="e">
        <f>cubic_spline(CURVA!$B$6:$B$20,CURVA!$G$6:$G$20,#REF!)</f>
        <v>#VALUE!</v>
      </c>
    </row>
    <row r="2753" spans="1:5" x14ac:dyDescent="0.2">
      <c r="A2753" s="28">
        <v>2752</v>
      </c>
      <c r="B2753" s="28" t="e">
        <f>interpola(#REF!,CURVA!$B$6:$B$20,CURVA!$G$6:$G$20)</f>
        <v>#VALUE!</v>
      </c>
      <c r="C2753" s="29" t="e">
        <f t="shared" si="42"/>
        <v>#VALUE!</v>
      </c>
      <c r="E2753" t="e">
        <f>cubic_spline(CURVA!$B$6:$B$20,CURVA!$G$6:$G$20,#REF!)</f>
        <v>#VALUE!</v>
      </c>
    </row>
    <row r="2754" spans="1:5" x14ac:dyDescent="0.2">
      <c r="A2754" s="28">
        <v>2753</v>
      </c>
      <c r="B2754" s="28" t="e">
        <f>interpola(#REF!,CURVA!$B$6:$B$20,CURVA!$G$6:$G$20)</f>
        <v>#VALUE!</v>
      </c>
      <c r="C2754" s="29" t="e">
        <f t="shared" ref="C2754:C2817" si="43">(EXP(B2754*A2754/360)-1)*360/A2754</f>
        <v>#VALUE!</v>
      </c>
      <c r="E2754" t="e">
        <f>cubic_spline(CURVA!$B$6:$B$20,CURVA!$G$6:$G$20,#REF!)</f>
        <v>#VALUE!</v>
      </c>
    </row>
    <row r="2755" spans="1:5" x14ac:dyDescent="0.2">
      <c r="A2755" s="28">
        <v>2754</v>
      </c>
      <c r="B2755" s="28" t="e">
        <f>interpola(#REF!,CURVA!$B$6:$B$20,CURVA!$G$6:$G$20)</f>
        <v>#VALUE!</v>
      </c>
      <c r="C2755" s="29" t="e">
        <f t="shared" si="43"/>
        <v>#VALUE!</v>
      </c>
      <c r="E2755" t="e">
        <f>cubic_spline(CURVA!$B$6:$B$20,CURVA!$G$6:$G$20,#REF!)</f>
        <v>#VALUE!</v>
      </c>
    </row>
    <row r="2756" spans="1:5" x14ac:dyDescent="0.2">
      <c r="A2756" s="28">
        <v>2755</v>
      </c>
      <c r="B2756" s="28" t="e">
        <f>interpola(#REF!,CURVA!$B$6:$B$20,CURVA!$G$6:$G$20)</f>
        <v>#VALUE!</v>
      </c>
      <c r="C2756" s="29" t="e">
        <f t="shared" si="43"/>
        <v>#VALUE!</v>
      </c>
      <c r="E2756" t="e">
        <f>cubic_spline(CURVA!$B$6:$B$20,CURVA!$G$6:$G$20,#REF!)</f>
        <v>#VALUE!</v>
      </c>
    </row>
    <row r="2757" spans="1:5" x14ac:dyDescent="0.2">
      <c r="A2757" s="28">
        <v>2756</v>
      </c>
      <c r="B2757" s="28" t="e">
        <f>interpola(#REF!,CURVA!$B$6:$B$20,CURVA!$G$6:$G$20)</f>
        <v>#VALUE!</v>
      </c>
      <c r="C2757" s="29" t="e">
        <f t="shared" si="43"/>
        <v>#VALUE!</v>
      </c>
      <c r="E2757" t="e">
        <f>cubic_spline(CURVA!$B$6:$B$20,CURVA!$G$6:$G$20,#REF!)</f>
        <v>#VALUE!</v>
      </c>
    </row>
    <row r="2758" spans="1:5" x14ac:dyDescent="0.2">
      <c r="A2758" s="28">
        <v>2757</v>
      </c>
      <c r="B2758" s="28" t="e">
        <f>interpola(#REF!,CURVA!$B$6:$B$20,CURVA!$G$6:$G$20)</f>
        <v>#VALUE!</v>
      </c>
      <c r="C2758" s="29" t="e">
        <f t="shared" si="43"/>
        <v>#VALUE!</v>
      </c>
      <c r="E2758" t="e">
        <f>cubic_spline(CURVA!$B$6:$B$20,CURVA!$G$6:$G$20,#REF!)</f>
        <v>#VALUE!</v>
      </c>
    </row>
    <row r="2759" spans="1:5" x14ac:dyDescent="0.2">
      <c r="A2759" s="28">
        <v>2758</v>
      </c>
      <c r="B2759" s="28" t="e">
        <f>interpola(#REF!,CURVA!$B$6:$B$20,CURVA!$G$6:$G$20)</f>
        <v>#VALUE!</v>
      </c>
      <c r="C2759" s="29" t="e">
        <f t="shared" si="43"/>
        <v>#VALUE!</v>
      </c>
      <c r="E2759" t="e">
        <f>cubic_spline(CURVA!$B$6:$B$20,CURVA!$G$6:$G$20,#REF!)</f>
        <v>#VALUE!</v>
      </c>
    </row>
    <row r="2760" spans="1:5" x14ac:dyDescent="0.2">
      <c r="A2760" s="28">
        <v>2759</v>
      </c>
      <c r="B2760" s="28" t="e">
        <f>interpola(#REF!,CURVA!$B$6:$B$20,CURVA!$G$6:$G$20)</f>
        <v>#VALUE!</v>
      </c>
      <c r="C2760" s="29" t="e">
        <f t="shared" si="43"/>
        <v>#VALUE!</v>
      </c>
      <c r="E2760" t="e">
        <f>cubic_spline(CURVA!$B$6:$B$20,CURVA!$G$6:$G$20,#REF!)</f>
        <v>#VALUE!</v>
      </c>
    </row>
    <row r="2761" spans="1:5" x14ac:dyDescent="0.2">
      <c r="A2761" s="28">
        <v>2760</v>
      </c>
      <c r="B2761" s="28" t="e">
        <f>interpola(#REF!,CURVA!$B$6:$B$20,CURVA!$G$6:$G$20)</f>
        <v>#VALUE!</v>
      </c>
      <c r="C2761" s="29" t="e">
        <f t="shared" si="43"/>
        <v>#VALUE!</v>
      </c>
      <c r="E2761" t="e">
        <f>cubic_spline(CURVA!$B$6:$B$20,CURVA!$G$6:$G$20,#REF!)</f>
        <v>#VALUE!</v>
      </c>
    </row>
    <row r="2762" spans="1:5" x14ac:dyDescent="0.2">
      <c r="A2762" s="28">
        <v>2761</v>
      </c>
      <c r="B2762" s="28" t="e">
        <f>interpola(#REF!,CURVA!$B$6:$B$20,CURVA!$G$6:$G$20)</f>
        <v>#VALUE!</v>
      </c>
      <c r="C2762" s="29" t="e">
        <f t="shared" si="43"/>
        <v>#VALUE!</v>
      </c>
      <c r="E2762" t="e">
        <f>cubic_spline(CURVA!$B$6:$B$20,CURVA!$G$6:$G$20,#REF!)</f>
        <v>#VALUE!</v>
      </c>
    </row>
    <row r="2763" spans="1:5" x14ac:dyDescent="0.2">
      <c r="A2763" s="28">
        <v>2762</v>
      </c>
      <c r="B2763" s="28" t="e">
        <f>interpola(#REF!,CURVA!$B$6:$B$20,CURVA!$G$6:$G$20)</f>
        <v>#VALUE!</v>
      </c>
      <c r="C2763" s="29" t="e">
        <f t="shared" si="43"/>
        <v>#VALUE!</v>
      </c>
      <c r="E2763" t="e">
        <f>cubic_spline(CURVA!$B$6:$B$20,CURVA!$G$6:$G$20,#REF!)</f>
        <v>#VALUE!</v>
      </c>
    </row>
    <row r="2764" spans="1:5" x14ac:dyDescent="0.2">
      <c r="A2764" s="28">
        <v>2763</v>
      </c>
      <c r="B2764" s="28" t="e">
        <f>interpola(#REF!,CURVA!$B$6:$B$20,CURVA!$G$6:$G$20)</f>
        <v>#VALUE!</v>
      </c>
      <c r="C2764" s="29" t="e">
        <f t="shared" si="43"/>
        <v>#VALUE!</v>
      </c>
      <c r="E2764" t="e">
        <f>cubic_spline(CURVA!$B$6:$B$20,CURVA!$G$6:$G$20,#REF!)</f>
        <v>#VALUE!</v>
      </c>
    </row>
    <row r="2765" spans="1:5" x14ac:dyDescent="0.2">
      <c r="A2765" s="28">
        <v>2764</v>
      </c>
      <c r="B2765" s="28" t="e">
        <f>interpola(#REF!,CURVA!$B$6:$B$20,CURVA!$G$6:$G$20)</f>
        <v>#VALUE!</v>
      </c>
      <c r="C2765" s="29" t="e">
        <f t="shared" si="43"/>
        <v>#VALUE!</v>
      </c>
      <c r="E2765" t="e">
        <f>cubic_spline(CURVA!$B$6:$B$20,CURVA!$G$6:$G$20,#REF!)</f>
        <v>#VALUE!</v>
      </c>
    </row>
    <row r="2766" spans="1:5" x14ac:dyDescent="0.2">
      <c r="A2766" s="28">
        <v>2765</v>
      </c>
      <c r="B2766" s="28" t="e">
        <f>interpola(#REF!,CURVA!$B$6:$B$20,CURVA!$G$6:$G$20)</f>
        <v>#VALUE!</v>
      </c>
      <c r="C2766" s="29" t="e">
        <f t="shared" si="43"/>
        <v>#VALUE!</v>
      </c>
      <c r="E2766" t="e">
        <f>cubic_spline(CURVA!$B$6:$B$20,CURVA!$G$6:$G$20,#REF!)</f>
        <v>#VALUE!</v>
      </c>
    </row>
    <row r="2767" spans="1:5" x14ac:dyDescent="0.2">
      <c r="A2767" s="28">
        <v>2766</v>
      </c>
      <c r="B2767" s="28" t="e">
        <f>interpola(#REF!,CURVA!$B$6:$B$20,CURVA!$G$6:$G$20)</f>
        <v>#VALUE!</v>
      </c>
      <c r="C2767" s="29" t="e">
        <f t="shared" si="43"/>
        <v>#VALUE!</v>
      </c>
      <c r="E2767" t="e">
        <f>cubic_spline(CURVA!$B$6:$B$20,CURVA!$G$6:$G$20,#REF!)</f>
        <v>#VALUE!</v>
      </c>
    </row>
    <row r="2768" spans="1:5" x14ac:dyDescent="0.2">
      <c r="A2768" s="28">
        <v>2767</v>
      </c>
      <c r="B2768" s="28" t="e">
        <f>interpola(#REF!,CURVA!$B$6:$B$20,CURVA!$G$6:$G$20)</f>
        <v>#VALUE!</v>
      </c>
      <c r="C2768" s="29" t="e">
        <f t="shared" si="43"/>
        <v>#VALUE!</v>
      </c>
      <c r="E2768" t="e">
        <f>cubic_spline(CURVA!$B$6:$B$20,CURVA!$G$6:$G$20,#REF!)</f>
        <v>#VALUE!</v>
      </c>
    </row>
    <row r="2769" spans="1:5" x14ac:dyDescent="0.2">
      <c r="A2769" s="28">
        <v>2768</v>
      </c>
      <c r="B2769" s="28" t="e">
        <f>interpola(#REF!,CURVA!$B$6:$B$20,CURVA!$G$6:$G$20)</f>
        <v>#VALUE!</v>
      </c>
      <c r="C2769" s="29" t="e">
        <f t="shared" si="43"/>
        <v>#VALUE!</v>
      </c>
      <c r="E2769" t="e">
        <f>cubic_spline(CURVA!$B$6:$B$20,CURVA!$G$6:$G$20,#REF!)</f>
        <v>#VALUE!</v>
      </c>
    </row>
    <row r="2770" spans="1:5" x14ac:dyDescent="0.2">
      <c r="A2770" s="28">
        <v>2769</v>
      </c>
      <c r="B2770" s="28" t="e">
        <f>interpola(#REF!,CURVA!$B$6:$B$20,CURVA!$G$6:$G$20)</f>
        <v>#VALUE!</v>
      </c>
      <c r="C2770" s="29" t="e">
        <f t="shared" si="43"/>
        <v>#VALUE!</v>
      </c>
      <c r="E2770" t="e">
        <f>cubic_spline(CURVA!$B$6:$B$20,CURVA!$G$6:$G$20,#REF!)</f>
        <v>#VALUE!</v>
      </c>
    </row>
    <row r="2771" spans="1:5" x14ac:dyDescent="0.2">
      <c r="A2771" s="28">
        <v>2770</v>
      </c>
      <c r="B2771" s="28" t="e">
        <f>interpola(#REF!,CURVA!$B$6:$B$20,CURVA!$G$6:$G$20)</f>
        <v>#VALUE!</v>
      </c>
      <c r="C2771" s="29" t="e">
        <f t="shared" si="43"/>
        <v>#VALUE!</v>
      </c>
      <c r="E2771" t="e">
        <f>cubic_spline(CURVA!$B$6:$B$20,CURVA!$G$6:$G$20,#REF!)</f>
        <v>#VALUE!</v>
      </c>
    </row>
    <row r="2772" spans="1:5" x14ac:dyDescent="0.2">
      <c r="A2772" s="28">
        <v>2771</v>
      </c>
      <c r="B2772" s="28" t="e">
        <f>interpola(#REF!,CURVA!$B$6:$B$20,CURVA!$G$6:$G$20)</f>
        <v>#VALUE!</v>
      </c>
      <c r="C2772" s="29" t="e">
        <f t="shared" si="43"/>
        <v>#VALUE!</v>
      </c>
      <c r="E2772" t="e">
        <f>cubic_spline(CURVA!$B$6:$B$20,CURVA!$G$6:$G$20,#REF!)</f>
        <v>#VALUE!</v>
      </c>
    </row>
    <row r="2773" spans="1:5" x14ac:dyDescent="0.2">
      <c r="A2773" s="28">
        <v>2772</v>
      </c>
      <c r="B2773" s="28" t="e">
        <f>interpola(#REF!,CURVA!$B$6:$B$20,CURVA!$G$6:$G$20)</f>
        <v>#VALUE!</v>
      </c>
      <c r="C2773" s="29" t="e">
        <f t="shared" si="43"/>
        <v>#VALUE!</v>
      </c>
      <c r="E2773" t="e">
        <f>cubic_spline(CURVA!$B$6:$B$20,CURVA!$G$6:$G$20,#REF!)</f>
        <v>#VALUE!</v>
      </c>
    </row>
    <row r="2774" spans="1:5" x14ac:dyDescent="0.2">
      <c r="A2774" s="28">
        <v>2773</v>
      </c>
      <c r="B2774" s="28" t="e">
        <f>interpola(#REF!,CURVA!$B$6:$B$20,CURVA!$G$6:$G$20)</f>
        <v>#VALUE!</v>
      </c>
      <c r="C2774" s="29" t="e">
        <f t="shared" si="43"/>
        <v>#VALUE!</v>
      </c>
      <c r="E2774" t="e">
        <f>cubic_spline(CURVA!$B$6:$B$20,CURVA!$G$6:$G$20,#REF!)</f>
        <v>#VALUE!</v>
      </c>
    </row>
    <row r="2775" spans="1:5" x14ac:dyDescent="0.2">
      <c r="A2775" s="28">
        <v>2774</v>
      </c>
      <c r="B2775" s="28" t="e">
        <f>interpola(#REF!,CURVA!$B$6:$B$20,CURVA!$G$6:$G$20)</f>
        <v>#VALUE!</v>
      </c>
      <c r="C2775" s="29" t="e">
        <f t="shared" si="43"/>
        <v>#VALUE!</v>
      </c>
      <c r="E2775" t="e">
        <f>cubic_spline(CURVA!$B$6:$B$20,CURVA!$G$6:$G$20,#REF!)</f>
        <v>#VALUE!</v>
      </c>
    </row>
    <row r="2776" spans="1:5" x14ac:dyDescent="0.2">
      <c r="A2776" s="28">
        <v>2775</v>
      </c>
      <c r="B2776" s="28" t="e">
        <f>interpola(#REF!,CURVA!$B$6:$B$20,CURVA!$G$6:$G$20)</f>
        <v>#VALUE!</v>
      </c>
      <c r="C2776" s="29" t="e">
        <f t="shared" si="43"/>
        <v>#VALUE!</v>
      </c>
      <c r="E2776" t="e">
        <f>cubic_spline(CURVA!$B$6:$B$20,CURVA!$G$6:$G$20,#REF!)</f>
        <v>#VALUE!</v>
      </c>
    </row>
    <row r="2777" spans="1:5" x14ac:dyDescent="0.2">
      <c r="A2777" s="28">
        <v>2776</v>
      </c>
      <c r="B2777" s="28" t="e">
        <f>interpola(#REF!,CURVA!$B$6:$B$20,CURVA!$G$6:$G$20)</f>
        <v>#VALUE!</v>
      </c>
      <c r="C2777" s="29" t="e">
        <f t="shared" si="43"/>
        <v>#VALUE!</v>
      </c>
      <c r="E2777" t="e">
        <f>cubic_spline(CURVA!$B$6:$B$20,CURVA!$G$6:$G$20,#REF!)</f>
        <v>#VALUE!</v>
      </c>
    </row>
    <row r="2778" spans="1:5" x14ac:dyDescent="0.2">
      <c r="A2778" s="28">
        <v>2777</v>
      </c>
      <c r="B2778" s="28" t="e">
        <f>interpola(#REF!,CURVA!$B$6:$B$20,CURVA!$G$6:$G$20)</f>
        <v>#VALUE!</v>
      </c>
      <c r="C2778" s="29" t="e">
        <f t="shared" si="43"/>
        <v>#VALUE!</v>
      </c>
      <c r="E2778" t="e">
        <f>cubic_spline(CURVA!$B$6:$B$20,CURVA!$G$6:$G$20,#REF!)</f>
        <v>#VALUE!</v>
      </c>
    </row>
    <row r="2779" spans="1:5" x14ac:dyDescent="0.2">
      <c r="A2779" s="28">
        <v>2778</v>
      </c>
      <c r="B2779" s="28" t="e">
        <f>interpola(#REF!,CURVA!$B$6:$B$20,CURVA!$G$6:$G$20)</f>
        <v>#VALUE!</v>
      </c>
      <c r="C2779" s="29" t="e">
        <f t="shared" si="43"/>
        <v>#VALUE!</v>
      </c>
      <c r="E2779" t="e">
        <f>cubic_spline(CURVA!$B$6:$B$20,CURVA!$G$6:$G$20,#REF!)</f>
        <v>#VALUE!</v>
      </c>
    </row>
    <row r="2780" spans="1:5" x14ac:dyDescent="0.2">
      <c r="A2780" s="28">
        <v>2779</v>
      </c>
      <c r="B2780" s="28" t="e">
        <f>interpola(#REF!,CURVA!$B$6:$B$20,CURVA!$G$6:$G$20)</f>
        <v>#VALUE!</v>
      </c>
      <c r="C2780" s="29" t="e">
        <f t="shared" si="43"/>
        <v>#VALUE!</v>
      </c>
      <c r="E2780" t="e">
        <f>cubic_spline(CURVA!$B$6:$B$20,CURVA!$G$6:$G$20,#REF!)</f>
        <v>#VALUE!</v>
      </c>
    </row>
    <row r="2781" spans="1:5" x14ac:dyDescent="0.2">
      <c r="A2781" s="28">
        <v>2780</v>
      </c>
      <c r="B2781" s="28" t="e">
        <f>interpola(#REF!,CURVA!$B$6:$B$20,CURVA!$G$6:$G$20)</f>
        <v>#VALUE!</v>
      </c>
      <c r="C2781" s="29" t="e">
        <f t="shared" si="43"/>
        <v>#VALUE!</v>
      </c>
      <c r="E2781" t="e">
        <f>cubic_spline(CURVA!$B$6:$B$20,CURVA!$G$6:$G$20,#REF!)</f>
        <v>#VALUE!</v>
      </c>
    </row>
    <row r="2782" spans="1:5" x14ac:dyDescent="0.2">
      <c r="A2782" s="28">
        <v>2781</v>
      </c>
      <c r="B2782" s="28" t="e">
        <f>interpola(#REF!,CURVA!$B$6:$B$20,CURVA!$G$6:$G$20)</f>
        <v>#VALUE!</v>
      </c>
      <c r="C2782" s="29" t="e">
        <f t="shared" si="43"/>
        <v>#VALUE!</v>
      </c>
      <c r="E2782" t="e">
        <f>cubic_spline(CURVA!$B$6:$B$20,CURVA!$G$6:$G$20,#REF!)</f>
        <v>#VALUE!</v>
      </c>
    </row>
    <row r="2783" spans="1:5" x14ac:dyDescent="0.2">
      <c r="A2783" s="28">
        <v>2782</v>
      </c>
      <c r="B2783" s="28" t="e">
        <f>interpola(#REF!,CURVA!$B$6:$B$20,CURVA!$G$6:$G$20)</f>
        <v>#VALUE!</v>
      </c>
      <c r="C2783" s="29" t="e">
        <f t="shared" si="43"/>
        <v>#VALUE!</v>
      </c>
      <c r="E2783" t="e">
        <f>cubic_spline(CURVA!$B$6:$B$20,CURVA!$G$6:$G$20,#REF!)</f>
        <v>#VALUE!</v>
      </c>
    </row>
    <row r="2784" spans="1:5" x14ac:dyDescent="0.2">
      <c r="A2784" s="28">
        <v>2783</v>
      </c>
      <c r="B2784" s="28" t="e">
        <f>interpola(#REF!,CURVA!$B$6:$B$20,CURVA!$G$6:$G$20)</f>
        <v>#VALUE!</v>
      </c>
      <c r="C2784" s="29" t="e">
        <f t="shared" si="43"/>
        <v>#VALUE!</v>
      </c>
      <c r="E2784" t="e">
        <f>cubic_spline(CURVA!$B$6:$B$20,CURVA!$G$6:$G$20,#REF!)</f>
        <v>#VALUE!</v>
      </c>
    </row>
    <row r="2785" spans="1:5" x14ac:dyDescent="0.2">
      <c r="A2785" s="28">
        <v>2784</v>
      </c>
      <c r="B2785" s="28" t="e">
        <f>interpola(#REF!,CURVA!$B$6:$B$20,CURVA!$G$6:$G$20)</f>
        <v>#VALUE!</v>
      </c>
      <c r="C2785" s="29" t="e">
        <f t="shared" si="43"/>
        <v>#VALUE!</v>
      </c>
      <c r="E2785" t="e">
        <f>cubic_spline(CURVA!$B$6:$B$20,CURVA!$G$6:$G$20,#REF!)</f>
        <v>#VALUE!</v>
      </c>
    </row>
    <row r="2786" spans="1:5" x14ac:dyDescent="0.2">
      <c r="A2786" s="28">
        <v>2785</v>
      </c>
      <c r="B2786" s="28" t="e">
        <f>interpola(#REF!,CURVA!$B$6:$B$20,CURVA!$G$6:$G$20)</f>
        <v>#VALUE!</v>
      </c>
      <c r="C2786" s="29" t="e">
        <f t="shared" si="43"/>
        <v>#VALUE!</v>
      </c>
      <c r="E2786" t="e">
        <f>cubic_spline(CURVA!$B$6:$B$20,CURVA!$G$6:$G$20,#REF!)</f>
        <v>#VALUE!</v>
      </c>
    </row>
    <row r="2787" spans="1:5" x14ac:dyDescent="0.2">
      <c r="A2787" s="28">
        <v>2786</v>
      </c>
      <c r="B2787" s="28" t="e">
        <f>interpola(#REF!,CURVA!$B$6:$B$20,CURVA!$G$6:$G$20)</f>
        <v>#VALUE!</v>
      </c>
      <c r="C2787" s="29" t="e">
        <f t="shared" si="43"/>
        <v>#VALUE!</v>
      </c>
      <c r="E2787" t="e">
        <f>cubic_spline(CURVA!$B$6:$B$20,CURVA!$G$6:$G$20,#REF!)</f>
        <v>#VALUE!</v>
      </c>
    </row>
    <row r="2788" spans="1:5" x14ac:dyDescent="0.2">
      <c r="A2788" s="28">
        <v>2787</v>
      </c>
      <c r="B2788" s="28" t="e">
        <f>interpola(#REF!,CURVA!$B$6:$B$20,CURVA!$G$6:$G$20)</f>
        <v>#VALUE!</v>
      </c>
      <c r="C2788" s="29" t="e">
        <f t="shared" si="43"/>
        <v>#VALUE!</v>
      </c>
      <c r="E2788" t="e">
        <f>cubic_spline(CURVA!$B$6:$B$20,CURVA!$G$6:$G$20,#REF!)</f>
        <v>#VALUE!</v>
      </c>
    </row>
    <row r="2789" spans="1:5" x14ac:dyDescent="0.2">
      <c r="A2789" s="28">
        <v>2788</v>
      </c>
      <c r="B2789" s="28" t="e">
        <f>interpola(#REF!,CURVA!$B$6:$B$20,CURVA!$G$6:$G$20)</f>
        <v>#VALUE!</v>
      </c>
      <c r="C2789" s="29" t="e">
        <f t="shared" si="43"/>
        <v>#VALUE!</v>
      </c>
      <c r="E2789" t="e">
        <f>cubic_spline(CURVA!$B$6:$B$20,CURVA!$G$6:$G$20,#REF!)</f>
        <v>#VALUE!</v>
      </c>
    </row>
    <row r="2790" spans="1:5" x14ac:dyDescent="0.2">
      <c r="A2790" s="28">
        <v>2789</v>
      </c>
      <c r="B2790" s="28" t="e">
        <f>interpola(#REF!,CURVA!$B$6:$B$20,CURVA!$G$6:$G$20)</f>
        <v>#VALUE!</v>
      </c>
      <c r="C2790" s="29" t="e">
        <f t="shared" si="43"/>
        <v>#VALUE!</v>
      </c>
      <c r="E2790" t="e">
        <f>cubic_spline(CURVA!$B$6:$B$20,CURVA!$G$6:$G$20,#REF!)</f>
        <v>#VALUE!</v>
      </c>
    </row>
    <row r="2791" spans="1:5" x14ac:dyDescent="0.2">
      <c r="A2791" s="28">
        <v>2790</v>
      </c>
      <c r="B2791" s="28" t="e">
        <f>interpola(#REF!,CURVA!$B$6:$B$20,CURVA!$G$6:$G$20)</f>
        <v>#VALUE!</v>
      </c>
      <c r="C2791" s="29" t="e">
        <f t="shared" si="43"/>
        <v>#VALUE!</v>
      </c>
      <c r="E2791" t="e">
        <f>cubic_spline(CURVA!$B$6:$B$20,CURVA!$G$6:$G$20,#REF!)</f>
        <v>#VALUE!</v>
      </c>
    </row>
    <row r="2792" spans="1:5" x14ac:dyDescent="0.2">
      <c r="A2792" s="28">
        <v>2791</v>
      </c>
      <c r="B2792" s="28" t="e">
        <f>interpola(#REF!,CURVA!$B$6:$B$20,CURVA!$G$6:$G$20)</f>
        <v>#VALUE!</v>
      </c>
      <c r="C2792" s="29" t="e">
        <f t="shared" si="43"/>
        <v>#VALUE!</v>
      </c>
      <c r="E2792" t="e">
        <f>cubic_spline(CURVA!$B$6:$B$20,CURVA!$G$6:$G$20,#REF!)</f>
        <v>#VALUE!</v>
      </c>
    </row>
    <row r="2793" spans="1:5" x14ac:dyDescent="0.2">
      <c r="A2793" s="28">
        <v>2792</v>
      </c>
      <c r="B2793" s="28" t="e">
        <f>interpola(#REF!,CURVA!$B$6:$B$20,CURVA!$G$6:$G$20)</f>
        <v>#VALUE!</v>
      </c>
      <c r="C2793" s="29" t="e">
        <f t="shared" si="43"/>
        <v>#VALUE!</v>
      </c>
      <c r="E2793" t="e">
        <f>cubic_spline(CURVA!$B$6:$B$20,CURVA!$G$6:$G$20,#REF!)</f>
        <v>#VALUE!</v>
      </c>
    </row>
    <row r="2794" spans="1:5" x14ac:dyDescent="0.2">
      <c r="A2794" s="28">
        <v>2793</v>
      </c>
      <c r="B2794" s="28" t="e">
        <f>interpola(#REF!,CURVA!$B$6:$B$20,CURVA!$G$6:$G$20)</f>
        <v>#VALUE!</v>
      </c>
      <c r="C2794" s="29" t="e">
        <f t="shared" si="43"/>
        <v>#VALUE!</v>
      </c>
      <c r="E2794" t="e">
        <f>cubic_spline(CURVA!$B$6:$B$20,CURVA!$G$6:$G$20,#REF!)</f>
        <v>#VALUE!</v>
      </c>
    </row>
    <row r="2795" spans="1:5" x14ac:dyDescent="0.2">
      <c r="A2795" s="28">
        <v>2794</v>
      </c>
      <c r="B2795" s="28" t="e">
        <f>interpola(#REF!,CURVA!$B$6:$B$20,CURVA!$G$6:$G$20)</f>
        <v>#VALUE!</v>
      </c>
      <c r="C2795" s="29" t="e">
        <f t="shared" si="43"/>
        <v>#VALUE!</v>
      </c>
      <c r="E2795" t="e">
        <f>cubic_spline(CURVA!$B$6:$B$20,CURVA!$G$6:$G$20,#REF!)</f>
        <v>#VALUE!</v>
      </c>
    </row>
    <row r="2796" spans="1:5" x14ac:dyDescent="0.2">
      <c r="A2796" s="28">
        <v>2795</v>
      </c>
      <c r="B2796" s="28" t="e">
        <f>interpola(#REF!,CURVA!$B$6:$B$20,CURVA!$G$6:$G$20)</f>
        <v>#VALUE!</v>
      </c>
      <c r="C2796" s="29" t="e">
        <f t="shared" si="43"/>
        <v>#VALUE!</v>
      </c>
      <c r="E2796" t="e">
        <f>cubic_spline(CURVA!$B$6:$B$20,CURVA!$G$6:$G$20,#REF!)</f>
        <v>#VALUE!</v>
      </c>
    </row>
    <row r="2797" spans="1:5" x14ac:dyDescent="0.2">
      <c r="A2797" s="28">
        <v>2796</v>
      </c>
      <c r="B2797" s="28" t="e">
        <f>interpola(#REF!,CURVA!$B$6:$B$20,CURVA!$G$6:$G$20)</f>
        <v>#VALUE!</v>
      </c>
      <c r="C2797" s="29" t="e">
        <f t="shared" si="43"/>
        <v>#VALUE!</v>
      </c>
      <c r="E2797" t="e">
        <f>cubic_spline(CURVA!$B$6:$B$20,CURVA!$G$6:$G$20,#REF!)</f>
        <v>#VALUE!</v>
      </c>
    </row>
    <row r="2798" spans="1:5" x14ac:dyDescent="0.2">
      <c r="A2798" s="28">
        <v>2797</v>
      </c>
      <c r="B2798" s="28" t="e">
        <f>interpola(#REF!,CURVA!$B$6:$B$20,CURVA!$G$6:$G$20)</f>
        <v>#VALUE!</v>
      </c>
      <c r="C2798" s="29" t="e">
        <f t="shared" si="43"/>
        <v>#VALUE!</v>
      </c>
      <c r="E2798" t="e">
        <f>cubic_spline(CURVA!$B$6:$B$20,CURVA!$G$6:$G$20,#REF!)</f>
        <v>#VALUE!</v>
      </c>
    </row>
    <row r="2799" spans="1:5" x14ac:dyDescent="0.2">
      <c r="A2799" s="28">
        <v>2798</v>
      </c>
      <c r="B2799" s="28" t="e">
        <f>interpola(#REF!,CURVA!$B$6:$B$20,CURVA!$G$6:$G$20)</f>
        <v>#VALUE!</v>
      </c>
      <c r="C2799" s="29" t="e">
        <f t="shared" si="43"/>
        <v>#VALUE!</v>
      </c>
      <c r="E2799" t="e">
        <f>cubic_spline(CURVA!$B$6:$B$20,CURVA!$G$6:$G$20,#REF!)</f>
        <v>#VALUE!</v>
      </c>
    </row>
    <row r="2800" spans="1:5" x14ac:dyDescent="0.2">
      <c r="A2800" s="28">
        <v>2799</v>
      </c>
      <c r="B2800" s="28" t="e">
        <f>interpola(#REF!,CURVA!$B$6:$B$20,CURVA!$G$6:$G$20)</f>
        <v>#VALUE!</v>
      </c>
      <c r="C2800" s="29" t="e">
        <f t="shared" si="43"/>
        <v>#VALUE!</v>
      </c>
      <c r="E2800" t="e">
        <f>cubic_spline(CURVA!$B$6:$B$20,CURVA!$G$6:$G$20,#REF!)</f>
        <v>#VALUE!</v>
      </c>
    </row>
    <row r="2801" spans="1:5" x14ac:dyDescent="0.2">
      <c r="A2801" s="28">
        <v>2800</v>
      </c>
      <c r="B2801" s="28" t="e">
        <f>interpola(#REF!,CURVA!$B$6:$B$20,CURVA!$G$6:$G$20)</f>
        <v>#VALUE!</v>
      </c>
      <c r="C2801" s="29" t="e">
        <f t="shared" si="43"/>
        <v>#VALUE!</v>
      </c>
      <c r="E2801" t="e">
        <f>cubic_spline(CURVA!$B$6:$B$20,CURVA!$G$6:$G$20,#REF!)</f>
        <v>#VALUE!</v>
      </c>
    </row>
    <row r="2802" spans="1:5" x14ac:dyDescent="0.2">
      <c r="A2802" s="28">
        <v>2801</v>
      </c>
      <c r="B2802" s="28" t="e">
        <f>interpola(#REF!,CURVA!$B$6:$B$20,CURVA!$G$6:$G$20)</f>
        <v>#VALUE!</v>
      </c>
      <c r="C2802" s="29" t="e">
        <f t="shared" si="43"/>
        <v>#VALUE!</v>
      </c>
      <c r="E2802" t="e">
        <f>cubic_spline(CURVA!$B$6:$B$20,CURVA!$G$6:$G$20,#REF!)</f>
        <v>#VALUE!</v>
      </c>
    </row>
    <row r="2803" spans="1:5" x14ac:dyDescent="0.2">
      <c r="A2803" s="28">
        <v>2802</v>
      </c>
      <c r="B2803" s="28" t="e">
        <f>interpola(#REF!,CURVA!$B$6:$B$20,CURVA!$G$6:$G$20)</f>
        <v>#VALUE!</v>
      </c>
      <c r="C2803" s="29" t="e">
        <f t="shared" si="43"/>
        <v>#VALUE!</v>
      </c>
      <c r="E2803" t="e">
        <f>cubic_spline(CURVA!$B$6:$B$20,CURVA!$G$6:$G$20,#REF!)</f>
        <v>#VALUE!</v>
      </c>
    </row>
    <row r="2804" spans="1:5" x14ac:dyDescent="0.2">
      <c r="A2804" s="28">
        <v>2803</v>
      </c>
      <c r="B2804" s="28" t="e">
        <f>interpola(#REF!,CURVA!$B$6:$B$20,CURVA!$G$6:$G$20)</f>
        <v>#VALUE!</v>
      </c>
      <c r="C2804" s="29" t="e">
        <f t="shared" si="43"/>
        <v>#VALUE!</v>
      </c>
      <c r="E2804" t="e">
        <f>cubic_spline(CURVA!$B$6:$B$20,CURVA!$G$6:$G$20,#REF!)</f>
        <v>#VALUE!</v>
      </c>
    </row>
    <row r="2805" spans="1:5" x14ac:dyDescent="0.2">
      <c r="A2805" s="28">
        <v>2804</v>
      </c>
      <c r="B2805" s="28" t="e">
        <f>interpola(#REF!,CURVA!$B$6:$B$20,CURVA!$G$6:$G$20)</f>
        <v>#VALUE!</v>
      </c>
      <c r="C2805" s="29" t="e">
        <f t="shared" si="43"/>
        <v>#VALUE!</v>
      </c>
      <c r="E2805" t="e">
        <f>cubic_spline(CURVA!$B$6:$B$20,CURVA!$G$6:$G$20,#REF!)</f>
        <v>#VALUE!</v>
      </c>
    </row>
    <row r="2806" spans="1:5" x14ac:dyDescent="0.2">
      <c r="A2806" s="28">
        <v>2805</v>
      </c>
      <c r="B2806" s="28" t="e">
        <f>interpola(#REF!,CURVA!$B$6:$B$20,CURVA!$G$6:$G$20)</f>
        <v>#VALUE!</v>
      </c>
      <c r="C2806" s="29" t="e">
        <f t="shared" si="43"/>
        <v>#VALUE!</v>
      </c>
      <c r="E2806" t="e">
        <f>cubic_spline(CURVA!$B$6:$B$20,CURVA!$G$6:$G$20,#REF!)</f>
        <v>#VALUE!</v>
      </c>
    </row>
    <row r="2807" spans="1:5" x14ac:dyDescent="0.2">
      <c r="A2807" s="28">
        <v>2806</v>
      </c>
      <c r="B2807" s="28" t="e">
        <f>interpola(#REF!,CURVA!$B$6:$B$20,CURVA!$G$6:$G$20)</f>
        <v>#VALUE!</v>
      </c>
      <c r="C2807" s="29" t="e">
        <f t="shared" si="43"/>
        <v>#VALUE!</v>
      </c>
      <c r="E2807" t="e">
        <f>cubic_spline(CURVA!$B$6:$B$20,CURVA!$G$6:$G$20,#REF!)</f>
        <v>#VALUE!</v>
      </c>
    </row>
    <row r="2808" spans="1:5" x14ac:dyDescent="0.2">
      <c r="A2808" s="28">
        <v>2807</v>
      </c>
      <c r="B2808" s="28" t="e">
        <f>interpola(#REF!,CURVA!$B$6:$B$20,CURVA!$G$6:$G$20)</f>
        <v>#VALUE!</v>
      </c>
      <c r="C2808" s="29" t="e">
        <f t="shared" si="43"/>
        <v>#VALUE!</v>
      </c>
      <c r="E2808" t="e">
        <f>cubic_spline(CURVA!$B$6:$B$20,CURVA!$G$6:$G$20,#REF!)</f>
        <v>#VALUE!</v>
      </c>
    </row>
    <row r="2809" spans="1:5" x14ac:dyDescent="0.2">
      <c r="A2809" s="28">
        <v>2808</v>
      </c>
      <c r="B2809" s="28" t="e">
        <f>interpola(#REF!,CURVA!$B$6:$B$20,CURVA!$G$6:$G$20)</f>
        <v>#VALUE!</v>
      </c>
      <c r="C2809" s="29" t="e">
        <f t="shared" si="43"/>
        <v>#VALUE!</v>
      </c>
      <c r="E2809" t="e">
        <f>cubic_spline(CURVA!$B$6:$B$20,CURVA!$G$6:$G$20,#REF!)</f>
        <v>#VALUE!</v>
      </c>
    </row>
    <row r="2810" spans="1:5" x14ac:dyDescent="0.2">
      <c r="A2810" s="28">
        <v>2809</v>
      </c>
      <c r="B2810" s="28" t="e">
        <f>interpola(#REF!,CURVA!$B$6:$B$20,CURVA!$G$6:$G$20)</f>
        <v>#VALUE!</v>
      </c>
      <c r="C2810" s="29" t="e">
        <f t="shared" si="43"/>
        <v>#VALUE!</v>
      </c>
      <c r="E2810" t="e">
        <f>cubic_spline(CURVA!$B$6:$B$20,CURVA!$G$6:$G$20,#REF!)</f>
        <v>#VALUE!</v>
      </c>
    </row>
    <row r="2811" spans="1:5" x14ac:dyDescent="0.2">
      <c r="A2811" s="28">
        <v>2810</v>
      </c>
      <c r="B2811" s="28" t="e">
        <f>interpola(#REF!,CURVA!$B$6:$B$20,CURVA!$G$6:$G$20)</f>
        <v>#VALUE!</v>
      </c>
      <c r="C2811" s="29" t="e">
        <f t="shared" si="43"/>
        <v>#VALUE!</v>
      </c>
      <c r="E2811" t="e">
        <f>cubic_spline(CURVA!$B$6:$B$20,CURVA!$G$6:$G$20,#REF!)</f>
        <v>#VALUE!</v>
      </c>
    </row>
    <row r="2812" spans="1:5" x14ac:dyDescent="0.2">
      <c r="A2812" s="28">
        <v>2811</v>
      </c>
      <c r="B2812" s="28" t="e">
        <f>interpola(#REF!,CURVA!$B$6:$B$20,CURVA!$G$6:$G$20)</f>
        <v>#VALUE!</v>
      </c>
      <c r="C2812" s="29" t="e">
        <f t="shared" si="43"/>
        <v>#VALUE!</v>
      </c>
      <c r="E2812" t="e">
        <f>cubic_spline(CURVA!$B$6:$B$20,CURVA!$G$6:$G$20,#REF!)</f>
        <v>#VALUE!</v>
      </c>
    </row>
    <row r="2813" spans="1:5" x14ac:dyDescent="0.2">
      <c r="A2813" s="28">
        <v>2812</v>
      </c>
      <c r="B2813" s="28" t="e">
        <f>interpola(#REF!,CURVA!$B$6:$B$20,CURVA!$G$6:$G$20)</f>
        <v>#VALUE!</v>
      </c>
      <c r="C2813" s="29" t="e">
        <f t="shared" si="43"/>
        <v>#VALUE!</v>
      </c>
      <c r="E2813" t="e">
        <f>cubic_spline(CURVA!$B$6:$B$20,CURVA!$G$6:$G$20,#REF!)</f>
        <v>#VALUE!</v>
      </c>
    </row>
    <row r="2814" spans="1:5" x14ac:dyDescent="0.2">
      <c r="A2814" s="28">
        <v>2813</v>
      </c>
      <c r="B2814" s="28" t="e">
        <f>interpola(#REF!,CURVA!$B$6:$B$20,CURVA!$G$6:$G$20)</f>
        <v>#VALUE!</v>
      </c>
      <c r="C2814" s="29" t="e">
        <f t="shared" si="43"/>
        <v>#VALUE!</v>
      </c>
      <c r="E2814" t="e">
        <f>cubic_spline(CURVA!$B$6:$B$20,CURVA!$G$6:$G$20,#REF!)</f>
        <v>#VALUE!</v>
      </c>
    </row>
    <row r="2815" spans="1:5" x14ac:dyDescent="0.2">
      <c r="A2815" s="28">
        <v>2814</v>
      </c>
      <c r="B2815" s="28" t="e">
        <f>interpola(#REF!,CURVA!$B$6:$B$20,CURVA!$G$6:$G$20)</f>
        <v>#VALUE!</v>
      </c>
      <c r="C2815" s="29" t="e">
        <f t="shared" si="43"/>
        <v>#VALUE!</v>
      </c>
      <c r="E2815" t="e">
        <f>cubic_spline(CURVA!$B$6:$B$20,CURVA!$G$6:$G$20,#REF!)</f>
        <v>#VALUE!</v>
      </c>
    </row>
    <row r="2816" spans="1:5" x14ac:dyDescent="0.2">
      <c r="A2816" s="28">
        <v>2815</v>
      </c>
      <c r="B2816" s="28" t="e">
        <f>interpola(#REF!,CURVA!$B$6:$B$20,CURVA!$G$6:$G$20)</f>
        <v>#VALUE!</v>
      </c>
      <c r="C2816" s="29" t="e">
        <f t="shared" si="43"/>
        <v>#VALUE!</v>
      </c>
      <c r="E2816" t="e">
        <f>cubic_spline(CURVA!$B$6:$B$20,CURVA!$G$6:$G$20,#REF!)</f>
        <v>#VALUE!</v>
      </c>
    </row>
    <row r="2817" spans="1:5" x14ac:dyDescent="0.2">
      <c r="A2817" s="28">
        <v>2816</v>
      </c>
      <c r="B2817" s="28" t="e">
        <f>interpola(#REF!,CURVA!$B$6:$B$20,CURVA!$G$6:$G$20)</f>
        <v>#VALUE!</v>
      </c>
      <c r="C2817" s="29" t="e">
        <f t="shared" si="43"/>
        <v>#VALUE!</v>
      </c>
      <c r="E2817" t="e">
        <f>cubic_spline(CURVA!$B$6:$B$20,CURVA!$G$6:$G$20,#REF!)</f>
        <v>#VALUE!</v>
      </c>
    </row>
    <row r="2818" spans="1:5" x14ac:dyDescent="0.2">
      <c r="A2818" s="28">
        <v>2817</v>
      </c>
      <c r="B2818" s="28" t="e">
        <f>interpola(#REF!,CURVA!$B$6:$B$20,CURVA!$G$6:$G$20)</f>
        <v>#VALUE!</v>
      </c>
      <c r="C2818" s="29" t="e">
        <f t="shared" ref="C2818:C2881" si="44">(EXP(B2818*A2818/360)-1)*360/A2818</f>
        <v>#VALUE!</v>
      </c>
      <c r="E2818" t="e">
        <f>cubic_spline(CURVA!$B$6:$B$20,CURVA!$G$6:$G$20,#REF!)</f>
        <v>#VALUE!</v>
      </c>
    </row>
    <row r="2819" spans="1:5" x14ac:dyDescent="0.2">
      <c r="A2819" s="28">
        <v>2818</v>
      </c>
      <c r="B2819" s="28" t="e">
        <f>interpola(#REF!,CURVA!$B$6:$B$20,CURVA!$G$6:$G$20)</f>
        <v>#VALUE!</v>
      </c>
      <c r="C2819" s="29" t="e">
        <f t="shared" si="44"/>
        <v>#VALUE!</v>
      </c>
      <c r="E2819" t="e">
        <f>cubic_spline(CURVA!$B$6:$B$20,CURVA!$G$6:$G$20,#REF!)</f>
        <v>#VALUE!</v>
      </c>
    </row>
    <row r="2820" spans="1:5" x14ac:dyDescent="0.2">
      <c r="A2820" s="28">
        <v>2819</v>
      </c>
      <c r="B2820" s="28" t="e">
        <f>interpola(#REF!,CURVA!$B$6:$B$20,CURVA!$G$6:$G$20)</f>
        <v>#VALUE!</v>
      </c>
      <c r="C2820" s="29" t="e">
        <f t="shared" si="44"/>
        <v>#VALUE!</v>
      </c>
      <c r="E2820" t="e">
        <f>cubic_spline(CURVA!$B$6:$B$20,CURVA!$G$6:$G$20,#REF!)</f>
        <v>#VALUE!</v>
      </c>
    </row>
    <row r="2821" spans="1:5" x14ac:dyDescent="0.2">
      <c r="A2821" s="28">
        <v>2820</v>
      </c>
      <c r="B2821" s="28" t="e">
        <f>interpola(#REF!,CURVA!$B$6:$B$20,CURVA!$G$6:$G$20)</f>
        <v>#VALUE!</v>
      </c>
      <c r="C2821" s="29" t="e">
        <f t="shared" si="44"/>
        <v>#VALUE!</v>
      </c>
      <c r="E2821" t="e">
        <f>cubic_spline(CURVA!$B$6:$B$20,CURVA!$G$6:$G$20,#REF!)</f>
        <v>#VALUE!</v>
      </c>
    </row>
    <row r="2822" spans="1:5" x14ac:dyDescent="0.2">
      <c r="A2822" s="28">
        <v>2821</v>
      </c>
      <c r="B2822" s="28" t="e">
        <f>interpola(#REF!,CURVA!$B$6:$B$20,CURVA!$G$6:$G$20)</f>
        <v>#VALUE!</v>
      </c>
      <c r="C2822" s="29" t="e">
        <f t="shared" si="44"/>
        <v>#VALUE!</v>
      </c>
      <c r="E2822" t="e">
        <f>cubic_spline(CURVA!$B$6:$B$20,CURVA!$G$6:$G$20,#REF!)</f>
        <v>#VALUE!</v>
      </c>
    </row>
    <row r="2823" spans="1:5" x14ac:dyDescent="0.2">
      <c r="A2823" s="28">
        <v>2822</v>
      </c>
      <c r="B2823" s="28" t="e">
        <f>interpola(#REF!,CURVA!$B$6:$B$20,CURVA!$G$6:$G$20)</f>
        <v>#VALUE!</v>
      </c>
      <c r="C2823" s="29" t="e">
        <f t="shared" si="44"/>
        <v>#VALUE!</v>
      </c>
      <c r="E2823" t="e">
        <f>cubic_spline(CURVA!$B$6:$B$20,CURVA!$G$6:$G$20,#REF!)</f>
        <v>#VALUE!</v>
      </c>
    </row>
    <row r="2824" spans="1:5" x14ac:dyDescent="0.2">
      <c r="A2824" s="28">
        <v>2823</v>
      </c>
      <c r="B2824" s="28" t="e">
        <f>interpola(#REF!,CURVA!$B$6:$B$20,CURVA!$G$6:$G$20)</f>
        <v>#VALUE!</v>
      </c>
      <c r="C2824" s="29" t="e">
        <f t="shared" si="44"/>
        <v>#VALUE!</v>
      </c>
      <c r="E2824" t="e">
        <f>cubic_spline(CURVA!$B$6:$B$20,CURVA!$G$6:$G$20,#REF!)</f>
        <v>#VALUE!</v>
      </c>
    </row>
    <row r="2825" spans="1:5" x14ac:dyDescent="0.2">
      <c r="A2825" s="28">
        <v>2824</v>
      </c>
      <c r="B2825" s="28" t="e">
        <f>interpola(#REF!,CURVA!$B$6:$B$20,CURVA!$G$6:$G$20)</f>
        <v>#VALUE!</v>
      </c>
      <c r="C2825" s="29" t="e">
        <f t="shared" si="44"/>
        <v>#VALUE!</v>
      </c>
      <c r="E2825" t="e">
        <f>cubic_spline(CURVA!$B$6:$B$20,CURVA!$G$6:$G$20,#REF!)</f>
        <v>#VALUE!</v>
      </c>
    </row>
    <row r="2826" spans="1:5" x14ac:dyDescent="0.2">
      <c r="A2826" s="28">
        <v>2825</v>
      </c>
      <c r="B2826" s="28" t="e">
        <f>interpola(#REF!,CURVA!$B$6:$B$20,CURVA!$G$6:$G$20)</f>
        <v>#VALUE!</v>
      </c>
      <c r="C2826" s="29" t="e">
        <f t="shared" si="44"/>
        <v>#VALUE!</v>
      </c>
      <c r="E2826" t="e">
        <f>cubic_spline(CURVA!$B$6:$B$20,CURVA!$G$6:$G$20,#REF!)</f>
        <v>#VALUE!</v>
      </c>
    </row>
    <row r="2827" spans="1:5" x14ac:dyDescent="0.2">
      <c r="A2827" s="28">
        <v>2826</v>
      </c>
      <c r="B2827" s="28" t="e">
        <f>interpola(#REF!,CURVA!$B$6:$B$20,CURVA!$G$6:$G$20)</f>
        <v>#VALUE!</v>
      </c>
      <c r="C2827" s="29" t="e">
        <f t="shared" si="44"/>
        <v>#VALUE!</v>
      </c>
      <c r="E2827" t="e">
        <f>cubic_spline(CURVA!$B$6:$B$20,CURVA!$G$6:$G$20,#REF!)</f>
        <v>#VALUE!</v>
      </c>
    </row>
    <row r="2828" spans="1:5" x14ac:dyDescent="0.2">
      <c r="A2828" s="28">
        <v>2827</v>
      </c>
      <c r="B2828" s="28" t="e">
        <f>interpola(#REF!,CURVA!$B$6:$B$20,CURVA!$G$6:$G$20)</f>
        <v>#VALUE!</v>
      </c>
      <c r="C2828" s="29" t="e">
        <f t="shared" si="44"/>
        <v>#VALUE!</v>
      </c>
      <c r="E2828" t="e">
        <f>cubic_spline(CURVA!$B$6:$B$20,CURVA!$G$6:$G$20,#REF!)</f>
        <v>#VALUE!</v>
      </c>
    </row>
    <row r="2829" spans="1:5" x14ac:dyDescent="0.2">
      <c r="A2829" s="28">
        <v>2828</v>
      </c>
      <c r="B2829" s="28" t="e">
        <f>interpola(#REF!,CURVA!$B$6:$B$20,CURVA!$G$6:$G$20)</f>
        <v>#VALUE!</v>
      </c>
      <c r="C2829" s="29" t="e">
        <f t="shared" si="44"/>
        <v>#VALUE!</v>
      </c>
      <c r="E2829" t="e">
        <f>cubic_spline(CURVA!$B$6:$B$20,CURVA!$G$6:$G$20,#REF!)</f>
        <v>#VALUE!</v>
      </c>
    </row>
    <row r="2830" spans="1:5" x14ac:dyDescent="0.2">
      <c r="A2830" s="28">
        <v>2829</v>
      </c>
      <c r="B2830" s="28" t="e">
        <f>interpola(#REF!,CURVA!$B$6:$B$20,CURVA!$G$6:$G$20)</f>
        <v>#VALUE!</v>
      </c>
      <c r="C2830" s="29" t="e">
        <f t="shared" si="44"/>
        <v>#VALUE!</v>
      </c>
      <c r="E2830" t="e">
        <f>cubic_spline(CURVA!$B$6:$B$20,CURVA!$G$6:$G$20,#REF!)</f>
        <v>#VALUE!</v>
      </c>
    </row>
    <row r="2831" spans="1:5" x14ac:dyDescent="0.2">
      <c r="A2831" s="28">
        <v>2830</v>
      </c>
      <c r="B2831" s="28" t="e">
        <f>interpola(#REF!,CURVA!$B$6:$B$20,CURVA!$G$6:$G$20)</f>
        <v>#VALUE!</v>
      </c>
      <c r="C2831" s="29" t="e">
        <f t="shared" si="44"/>
        <v>#VALUE!</v>
      </c>
      <c r="E2831" t="e">
        <f>cubic_spline(CURVA!$B$6:$B$20,CURVA!$G$6:$G$20,#REF!)</f>
        <v>#VALUE!</v>
      </c>
    </row>
    <row r="2832" spans="1:5" x14ac:dyDescent="0.2">
      <c r="A2832" s="28">
        <v>2831</v>
      </c>
      <c r="B2832" s="28" t="e">
        <f>interpola(#REF!,CURVA!$B$6:$B$20,CURVA!$G$6:$G$20)</f>
        <v>#VALUE!</v>
      </c>
      <c r="C2832" s="29" t="e">
        <f t="shared" si="44"/>
        <v>#VALUE!</v>
      </c>
      <c r="E2832" t="e">
        <f>cubic_spline(CURVA!$B$6:$B$20,CURVA!$G$6:$G$20,#REF!)</f>
        <v>#VALUE!</v>
      </c>
    </row>
    <row r="2833" spans="1:5" x14ac:dyDescent="0.2">
      <c r="A2833" s="28">
        <v>2832</v>
      </c>
      <c r="B2833" s="28" t="e">
        <f>interpola(#REF!,CURVA!$B$6:$B$20,CURVA!$G$6:$G$20)</f>
        <v>#VALUE!</v>
      </c>
      <c r="C2833" s="29" t="e">
        <f t="shared" si="44"/>
        <v>#VALUE!</v>
      </c>
      <c r="E2833" t="e">
        <f>cubic_spline(CURVA!$B$6:$B$20,CURVA!$G$6:$G$20,#REF!)</f>
        <v>#VALUE!</v>
      </c>
    </row>
    <row r="2834" spans="1:5" x14ac:dyDescent="0.2">
      <c r="A2834" s="28">
        <v>2833</v>
      </c>
      <c r="B2834" s="28" t="e">
        <f>interpola(#REF!,CURVA!$B$6:$B$20,CURVA!$G$6:$G$20)</f>
        <v>#VALUE!</v>
      </c>
      <c r="C2834" s="29" t="e">
        <f t="shared" si="44"/>
        <v>#VALUE!</v>
      </c>
      <c r="E2834" t="e">
        <f>cubic_spline(CURVA!$B$6:$B$20,CURVA!$G$6:$G$20,#REF!)</f>
        <v>#VALUE!</v>
      </c>
    </row>
    <row r="2835" spans="1:5" x14ac:dyDescent="0.2">
      <c r="A2835" s="28">
        <v>2834</v>
      </c>
      <c r="B2835" s="28" t="e">
        <f>interpola(#REF!,CURVA!$B$6:$B$20,CURVA!$G$6:$G$20)</f>
        <v>#VALUE!</v>
      </c>
      <c r="C2835" s="29" t="e">
        <f t="shared" si="44"/>
        <v>#VALUE!</v>
      </c>
      <c r="E2835" t="e">
        <f>cubic_spline(CURVA!$B$6:$B$20,CURVA!$G$6:$G$20,#REF!)</f>
        <v>#VALUE!</v>
      </c>
    </row>
    <row r="2836" spans="1:5" x14ac:dyDescent="0.2">
      <c r="A2836" s="28">
        <v>2835</v>
      </c>
      <c r="B2836" s="28" t="e">
        <f>interpola(#REF!,CURVA!$B$6:$B$20,CURVA!$G$6:$G$20)</f>
        <v>#VALUE!</v>
      </c>
      <c r="C2836" s="29" t="e">
        <f t="shared" si="44"/>
        <v>#VALUE!</v>
      </c>
      <c r="E2836" t="e">
        <f>cubic_spline(CURVA!$B$6:$B$20,CURVA!$G$6:$G$20,#REF!)</f>
        <v>#VALUE!</v>
      </c>
    </row>
    <row r="2837" spans="1:5" x14ac:dyDescent="0.2">
      <c r="A2837" s="28">
        <v>2836</v>
      </c>
      <c r="B2837" s="28" t="e">
        <f>interpola(#REF!,CURVA!$B$6:$B$20,CURVA!$G$6:$G$20)</f>
        <v>#VALUE!</v>
      </c>
      <c r="C2837" s="29" t="e">
        <f t="shared" si="44"/>
        <v>#VALUE!</v>
      </c>
      <c r="E2837" t="e">
        <f>cubic_spline(CURVA!$B$6:$B$20,CURVA!$G$6:$G$20,#REF!)</f>
        <v>#VALUE!</v>
      </c>
    </row>
    <row r="2838" spans="1:5" x14ac:dyDescent="0.2">
      <c r="A2838" s="28">
        <v>2837</v>
      </c>
      <c r="B2838" s="28" t="e">
        <f>interpola(#REF!,CURVA!$B$6:$B$20,CURVA!$G$6:$G$20)</f>
        <v>#VALUE!</v>
      </c>
      <c r="C2838" s="29" t="e">
        <f t="shared" si="44"/>
        <v>#VALUE!</v>
      </c>
      <c r="E2838" t="e">
        <f>cubic_spline(CURVA!$B$6:$B$20,CURVA!$G$6:$G$20,#REF!)</f>
        <v>#VALUE!</v>
      </c>
    </row>
    <row r="2839" spans="1:5" x14ac:dyDescent="0.2">
      <c r="A2839" s="28">
        <v>2838</v>
      </c>
      <c r="B2839" s="28" t="e">
        <f>interpola(#REF!,CURVA!$B$6:$B$20,CURVA!$G$6:$G$20)</f>
        <v>#VALUE!</v>
      </c>
      <c r="C2839" s="29" t="e">
        <f t="shared" si="44"/>
        <v>#VALUE!</v>
      </c>
      <c r="E2839" t="e">
        <f>cubic_spline(CURVA!$B$6:$B$20,CURVA!$G$6:$G$20,#REF!)</f>
        <v>#VALUE!</v>
      </c>
    </row>
    <row r="2840" spans="1:5" x14ac:dyDescent="0.2">
      <c r="A2840" s="28">
        <v>2839</v>
      </c>
      <c r="B2840" s="28" t="e">
        <f>interpola(#REF!,CURVA!$B$6:$B$20,CURVA!$G$6:$G$20)</f>
        <v>#VALUE!</v>
      </c>
      <c r="C2840" s="29" t="e">
        <f t="shared" si="44"/>
        <v>#VALUE!</v>
      </c>
      <c r="E2840" t="e">
        <f>cubic_spline(CURVA!$B$6:$B$20,CURVA!$G$6:$G$20,#REF!)</f>
        <v>#VALUE!</v>
      </c>
    </row>
    <row r="2841" spans="1:5" x14ac:dyDescent="0.2">
      <c r="A2841" s="28">
        <v>2840</v>
      </c>
      <c r="B2841" s="28" t="e">
        <f>interpola(#REF!,CURVA!$B$6:$B$20,CURVA!$G$6:$G$20)</f>
        <v>#VALUE!</v>
      </c>
      <c r="C2841" s="29" t="e">
        <f t="shared" si="44"/>
        <v>#VALUE!</v>
      </c>
      <c r="E2841" t="e">
        <f>cubic_spline(CURVA!$B$6:$B$20,CURVA!$G$6:$G$20,#REF!)</f>
        <v>#VALUE!</v>
      </c>
    </row>
    <row r="2842" spans="1:5" x14ac:dyDescent="0.2">
      <c r="A2842" s="28">
        <v>2841</v>
      </c>
      <c r="B2842" s="28" t="e">
        <f>interpola(#REF!,CURVA!$B$6:$B$20,CURVA!$G$6:$G$20)</f>
        <v>#VALUE!</v>
      </c>
      <c r="C2842" s="29" t="e">
        <f t="shared" si="44"/>
        <v>#VALUE!</v>
      </c>
      <c r="E2842" t="e">
        <f>cubic_spline(CURVA!$B$6:$B$20,CURVA!$G$6:$G$20,#REF!)</f>
        <v>#VALUE!</v>
      </c>
    </row>
    <row r="2843" spans="1:5" x14ac:dyDescent="0.2">
      <c r="A2843" s="28">
        <v>2842</v>
      </c>
      <c r="B2843" s="28" t="e">
        <f>interpola(#REF!,CURVA!$B$6:$B$20,CURVA!$G$6:$G$20)</f>
        <v>#VALUE!</v>
      </c>
      <c r="C2843" s="29" t="e">
        <f t="shared" si="44"/>
        <v>#VALUE!</v>
      </c>
      <c r="E2843" t="e">
        <f>cubic_spline(CURVA!$B$6:$B$20,CURVA!$G$6:$G$20,#REF!)</f>
        <v>#VALUE!</v>
      </c>
    </row>
    <row r="2844" spans="1:5" x14ac:dyDescent="0.2">
      <c r="A2844" s="28">
        <v>2843</v>
      </c>
      <c r="B2844" s="28" t="e">
        <f>interpola(#REF!,CURVA!$B$6:$B$20,CURVA!$G$6:$G$20)</f>
        <v>#VALUE!</v>
      </c>
      <c r="C2844" s="29" t="e">
        <f t="shared" si="44"/>
        <v>#VALUE!</v>
      </c>
      <c r="E2844" t="e">
        <f>cubic_spline(CURVA!$B$6:$B$20,CURVA!$G$6:$G$20,#REF!)</f>
        <v>#VALUE!</v>
      </c>
    </row>
    <row r="2845" spans="1:5" x14ac:dyDescent="0.2">
      <c r="A2845" s="28">
        <v>2844</v>
      </c>
      <c r="B2845" s="28" t="e">
        <f>interpola(#REF!,CURVA!$B$6:$B$20,CURVA!$G$6:$G$20)</f>
        <v>#VALUE!</v>
      </c>
      <c r="C2845" s="29" t="e">
        <f t="shared" si="44"/>
        <v>#VALUE!</v>
      </c>
      <c r="E2845" t="e">
        <f>cubic_spline(CURVA!$B$6:$B$20,CURVA!$G$6:$G$20,#REF!)</f>
        <v>#VALUE!</v>
      </c>
    </row>
    <row r="2846" spans="1:5" x14ac:dyDescent="0.2">
      <c r="A2846" s="28">
        <v>2845</v>
      </c>
      <c r="B2846" s="28" t="e">
        <f>interpola(#REF!,CURVA!$B$6:$B$20,CURVA!$G$6:$G$20)</f>
        <v>#VALUE!</v>
      </c>
      <c r="C2846" s="29" t="e">
        <f t="shared" si="44"/>
        <v>#VALUE!</v>
      </c>
      <c r="E2846" t="e">
        <f>cubic_spline(CURVA!$B$6:$B$20,CURVA!$G$6:$G$20,#REF!)</f>
        <v>#VALUE!</v>
      </c>
    </row>
    <row r="2847" spans="1:5" x14ac:dyDescent="0.2">
      <c r="A2847" s="28">
        <v>2846</v>
      </c>
      <c r="B2847" s="28" t="e">
        <f>interpola(#REF!,CURVA!$B$6:$B$20,CURVA!$G$6:$G$20)</f>
        <v>#VALUE!</v>
      </c>
      <c r="C2847" s="29" t="e">
        <f t="shared" si="44"/>
        <v>#VALUE!</v>
      </c>
      <c r="E2847" t="e">
        <f>cubic_spline(CURVA!$B$6:$B$20,CURVA!$G$6:$G$20,#REF!)</f>
        <v>#VALUE!</v>
      </c>
    </row>
    <row r="2848" spans="1:5" x14ac:dyDescent="0.2">
      <c r="A2848" s="28">
        <v>2847</v>
      </c>
      <c r="B2848" s="28" t="e">
        <f>interpola(#REF!,CURVA!$B$6:$B$20,CURVA!$G$6:$G$20)</f>
        <v>#VALUE!</v>
      </c>
      <c r="C2848" s="29" t="e">
        <f t="shared" si="44"/>
        <v>#VALUE!</v>
      </c>
      <c r="E2848" t="e">
        <f>cubic_spline(CURVA!$B$6:$B$20,CURVA!$G$6:$G$20,#REF!)</f>
        <v>#VALUE!</v>
      </c>
    </row>
    <row r="2849" spans="1:5" x14ac:dyDescent="0.2">
      <c r="A2849" s="28">
        <v>2848</v>
      </c>
      <c r="B2849" s="28" t="e">
        <f>interpola(#REF!,CURVA!$B$6:$B$20,CURVA!$G$6:$G$20)</f>
        <v>#VALUE!</v>
      </c>
      <c r="C2849" s="29" t="e">
        <f t="shared" si="44"/>
        <v>#VALUE!</v>
      </c>
      <c r="E2849" t="e">
        <f>cubic_spline(CURVA!$B$6:$B$20,CURVA!$G$6:$G$20,#REF!)</f>
        <v>#VALUE!</v>
      </c>
    </row>
    <row r="2850" spans="1:5" x14ac:dyDescent="0.2">
      <c r="A2850" s="28">
        <v>2849</v>
      </c>
      <c r="B2850" s="28" t="e">
        <f>interpola(#REF!,CURVA!$B$6:$B$20,CURVA!$G$6:$G$20)</f>
        <v>#VALUE!</v>
      </c>
      <c r="C2850" s="29" t="e">
        <f t="shared" si="44"/>
        <v>#VALUE!</v>
      </c>
      <c r="E2850" t="e">
        <f>cubic_spline(CURVA!$B$6:$B$20,CURVA!$G$6:$G$20,#REF!)</f>
        <v>#VALUE!</v>
      </c>
    </row>
    <row r="2851" spans="1:5" x14ac:dyDescent="0.2">
      <c r="A2851" s="28">
        <v>2850</v>
      </c>
      <c r="B2851" s="28" t="e">
        <f>interpola(#REF!,CURVA!$B$6:$B$20,CURVA!$G$6:$G$20)</f>
        <v>#VALUE!</v>
      </c>
      <c r="C2851" s="29" t="e">
        <f t="shared" si="44"/>
        <v>#VALUE!</v>
      </c>
      <c r="E2851" t="e">
        <f>cubic_spline(CURVA!$B$6:$B$20,CURVA!$G$6:$G$20,#REF!)</f>
        <v>#VALUE!</v>
      </c>
    </row>
    <row r="2852" spans="1:5" x14ac:dyDescent="0.2">
      <c r="A2852" s="28">
        <v>2851</v>
      </c>
      <c r="B2852" s="28" t="e">
        <f>interpola(#REF!,CURVA!$B$6:$B$20,CURVA!$G$6:$G$20)</f>
        <v>#VALUE!</v>
      </c>
      <c r="C2852" s="29" t="e">
        <f t="shared" si="44"/>
        <v>#VALUE!</v>
      </c>
      <c r="E2852" t="e">
        <f>cubic_spline(CURVA!$B$6:$B$20,CURVA!$G$6:$G$20,#REF!)</f>
        <v>#VALUE!</v>
      </c>
    </row>
    <row r="2853" spans="1:5" x14ac:dyDescent="0.2">
      <c r="A2853" s="28">
        <v>2852</v>
      </c>
      <c r="B2853" s="28" t="e">
        <f>interpola(#REF!,CURVA!$B$6:$B$20,CURVA!$G$6:$G$20)</f>
        <v>#VALUE!</v>
      </c>
      <c r="C2853" s="29" t="e">
        <f t="shared" si="44"/>
        <v>#VALUE!</v>
      </c>
      <c r="E2853" t="e">
        <f>cubic_spline(CURVA!$B$6:$B$20,CURVA!$G$6:$G$20,#REF!)</f>
        <v>#VALUE!</v>
      </c>
    </row>
    <row r="2854" spans="1:5" x14ac:dyDescent="0.2">
      <c r="A2854" s="28">
        <v>2853</v>
      </c>
      <c r="B2854" s="28" t="e">
        <f>interpola(#REF!,CURVA!$B$6:$B$20,CURVA!$G$6:$G$20)</f>
        <v>#VALUE!</v>
      </c>
      <c r="C2854" s="29" t="e">
        <f t="shared" si="44"/>
        <v>#VALUE!</v>
      </c>
      <c r="E2854" t="e">
        <f>cubic_spline(CURVA!$B$6:$B$20,CURVA!$G$6:$G$20,#REF!)</f>
        <v>#VALUE!</v>
      </c>
    </row>
    <row r="2855" spans="1:5" x14ac:dyDescent="0.2">
      <c r="A2855" s="28">
        <v>2854</v>
      </c>
      <c r="B2855" s="28" t="e">
        <f>interpola(#REF!,CURVA!$B$6:$B$20,CURVA!$G$6:$G$20)</f>
        <v>#VALUE!</v>
      </c>
      <c r="C2855" s="29" t="e">
        <f t="shared" si="44"/>
        <v>#VALUE!</v>
      </c>
      <c r="E2855" t="e">
        <f>cubic_spline(CURVA!$B$6:$B$20,CURVA!$G$6:$G$20,#REF!)</f>
        <v>#VALUE!</v>
      </c>
    </row>
    <row r="2856" spans="1:5" x14ac:dyDescent="0.2">
      <c r="A2856" s="28">
        <v>2855</v>
      </c>
      <c r="B2856" s="28" t="e">
        <f>interpola(#REF!,CURVA!$B$6:$B$20,CURVA!$G$6:$G$20)</f>
        <v>#VALUE!</v>
      </c>
      <c r="C2856" s="29" t="e">
        <f t="shared" si="44"/>
        <v>#VALUE!</v>
      </c>
      <c r="E2856" t="e">
        <f>cubic_spline(CURVA!$B$6:$B$20,CURVA!$G$6:$G$20,#REF!)</f>
        <v>#VALUE!</v>
      </c>
    </row>
    <row r="2857" spans="1:5" x14ac:dyDescent="0.2">
      <c r="A2857" s="28">
        <v>2856</v>
      </c>
      <c r="B2857" s="28" t="e">
        <f>interpola(#REF!,CURVA!$B$6:$B$20,CURVA!$G$6:$G$20)</f>
        <v>#VALUE!</v>
      </c>
      <c r="C2857" s="29" t="e">
        <f t="shared" si="44"/>
        <v>#VALUE!</v>
      </c>
      <c r="E2857" t="e">
        <f>cubic_spline(CURVA!$B$6:$B$20,CURVA!$G$6:$G$20,#REF!)</f>
        <v>#VALUE!</v>
      </c>
    </row>
    <row r="2858" spans="1:5" x14ac:dyDescent="0.2">
      <c r="A2858" s="28">
        <v>2857</v>
      </c>
      <c r="B2858" s="28" t="e">
        <f>interpola(#REF!,CURVA!$B$6:$B$20,CURVA!$G$6:$G$20)</f>
        <v>#VALUE!</v>
      </c>
      <c r="C2858" s="29" t="e">
        <f t="shared" si="44"/>
        <v>#VALUE!</v>
      </c>
      <c r="E2858" t="e">
        <f>cubic_spline(CURVA!$B$6:$B$20,CURVA!$G$6:$G$20,#REF!)</f>
        <v>#VALUE!</v>
      </c>
    </row>
    <row r="2859" spans="1:5" x14ac:dyDescent="0.2">
      <c r="A2859" s="28">
        <v>2858</v>
      </c>
      <c r="B2859" s="28" t="e">
        <f>interpola(#REF!,CURVA!$B$6:$B$20,CURVA!$G$6:$G$20)</f>
        <v>#VALUE!</v>
      </c>
      <c r="C2859" s="29" t="e">
        <f t="shared" si="44"/>
        <v>#VALUE!</v>
      </c>
      <c r="E2859" t="e">
        <f>cubic_spline(CURVA!$B$6:$B$20,CURVA!$G$6:$G$20,#REF!)</f>
        <v>#VALUE!</v>
      </c>
    </row>
    <row r="2860" spans="1:5" x14ac:dyDescent="0.2">
      <c r="A2860" s="28">
        <v>2859</v>
      </c>
      <c r="B2860" s="28" t="e">
        <f>interpola(#REF!,CURVA!$B$6:$B$20,CURVA!$G$6:$G$20)</f>
        <v>#VALUE!</v>
      </c>
      <c r="C2860" s="29" t="e">
        <f t="shared" si="44"/>
        <v>#VALUE!</v>
      </c>
      <c r="E2860" t="e">
        <f>cubic_spline(CURVA!$B$6:$B$20,CURVA!$G$6:$G$20,#REF!)</f>
        <v>#VALUE!</v>
      </c>
    </row>
    <row r="2861" spans="1:5" x14ac:dyDescent="0.2">
      <c r="A2861" s="28">
        <v>2860</v>
      </c>
      <c r="B2861" s="28" t="e">
        <f>interpola(#REF!,CURVA!$B$6:$B$20,CURVA!$G$6:$G$20)</f>
        <v>#VALUE!</v>
      </c>
      <c r="C2861" s="29" t="e">
        <f t="shared" si="44"/>
        <v>#VALUE!</v>
      </c>
      <c r="E2861" t="e">
        <f>cubic_spline(CURVA!$B$6:$B$20,CURVA!$G$6:$G$20,#REF!)</f>
        <v>#VALUE!</v>
      </c>
    </row>
    <row r="2862" spans="1:5" x14ac:dyDescent="0.2">
      <c r="A2862" s="28">
        <v>2861</v>
      </c>
      <c r="B2862" s="28" t="e">
        <f>interpola(#REF!,CURVA!$B$6:$B$20,CURVA!$G$6:$G$20)</f>
        <v>#VALUE!</v>
      </c>
      <c r="C2862" s="29" t="e">
        <f t="shared" si="44"/>
        <v>#VALUE!</v>
      </c>
      <c r="E2862" t="e">
        <f>cubic_spline(CURVA!$B$6:$B$20,CURVA!$G$6:$G$20,#REF!)</f>
        <v>#VALUE!</v>
      </c>
    </row>
    <row r="2863" spans="1:5" x14ac:dyDescent="0.2">
      <c r="A2863" s="28">
        <v>2862</v>
      </c>
      <c r="B2863" s="28" t="e">
        <f>interpola(#REF!,CURVA!$B$6:$B$20,CURVA!$G$6:$G$20)</f>
        <v>#VALUE!</v>
      </c>
      <c r="C2863" s="29" t="e">
        <f t="shared" si="44"/>
        <v>#VALUE!</v>
      </c>
      <c r="E2863" t="e">
        <f>cubic_spline(CURVA!$B$6:$B$20,CURVA!$G$6:$G$20,#REF!)</f>
        <v>#VALUE!</v>
      </c>
    </row>
    <row r="2864" spans="1:5" x14ac:dyDescent="0.2">
      <c r="A2864" s="28">
        <v>2863</v>
      </c>
      <c r="B2864" s="28" t="e">
        <f>interpola(#REF!,CURVA!$B$6:$B$20,CURVA!$G$6:$G$20)</f>
        <v>#VALUE!</v>
      </c>
      <c r="C2864" s="29" t="e">
        <f t="shared" si="44"/>
        <v>#VALUE!</v>
      </c>
      <c r="E2864" t="e">
        <f>cubic_spline(CURVA!$B$6:$B$20,CURVA!$G$6:$G$20,#REF!)</f>
        <v>#VALUE!</v>
      </c>
    </row>
    <row r="2865" spans="1:5" x14ac:dyDescent="0.2">
      <c r="A2865" s="28">
        <v>2864</v>
      </c>
      <c r="B2865" s="28" t="e">
        <f>interpola(#REF!,CURVA!$B$6:$B$20,CURVA!$G$6:$G$20)</f>
        <v>#VALUE!</v>
      </c>
      <c r="C2865" s="29" t="e">
        <f t="shared" si="44"/>
        <v>#VALUE!</v>
      </c>
      <c r="E2865" t="e">
        <f>cubic_spline(CURVA!$B$6:$B$20,CURVA!$G$6:$G$20,#REF!)</f>
        <v>#VALUE!</v>
      </c>
    </row>
    <row r="2866" spans="1:5" x14ac:dyDescent="0.2">
      <c r="A2866" s="28">
        <v>2865</v>
      </c>
      <c r="B2866" s="28" t="e">
        <f>interpola(#REF!,CURVA!$B$6:$B$20,CURVA!$G$6:$G$20)</f>
        <v>#VALUE!</v>
      </c>
      <c r="C2866" s="29" t="e">
        <f t="shared" si="44"/>
        <v>#VALUE!</v>
      </c>
      <c r="E2866" t="e">
        <f>cubic_spline(CURVA!$B$6:$B$20,CURVA!$G$6:$G$20,#REF!)</f>
        <v>#VALUE!</v>
      </c>
    </row>
    <row r="2867" spans="1:5" x14ac:dyDescent="0.2">
      <c r="A2867" s="28">
        <v>2866</v>
      </c>
      <c r="B2867" s="28" t="e">
        <f>interpola(#REF!,CURVA!$B$6:$B$20,CURVA!$G$6:$G$20)</f>
        <v>#VALUE!</v>
      </c>
      <c r="C2867" s="29" t="e">
        <f t="shared" si="44"/>
        <v>#VALUE!</v>
      </c>
      <c r="E2867" t="e">
        <f>cubic_spline(CURVA!$B$6:$B$20,CURVA!$G$6:$G$20,#REF!)</f>
        <v>#VALUE!</v>
      </c>
    </row>
    <row r="2868" spans="1:5" x14ac:dyDescent="0.2">
      <c r="A2868" s="28">
        <v>2867</v>
      </c>
      <c r="B2868" s="28" t="e">
        <f>interpola(#REF!,CURVA!$B$6:$B$20,CURVA!$G$6:$G$20)</f>
        <v>#VALUE!</v>
      </c>
      <c r="C2868" s="29" t="e">
        <f t="shared" si="44"/>
        <v>#VALUE!</v>
      </c>
      <c r="E2868" t="e">
        <f>cubic_spline(CURVA!$B$6:$B$20,CURVA!$G$6:$G$20,#REF!)</f>
        <v>#VALUE!</v>
      </c>
    </row>
    <row r="2869" spans="1:5" x14ac:dyDescent="0.2">
      <c r="A2869" s="28">
        <v>2868</v>
      </c>
      <c r="B2869" s="28" t="e">
        <f>interpola(#REF!,CURVA!$B$6:$B$20,CURVA!$G$6:$G$20)</f>
        <v>#VALUE!</v>
      </c>
      <c r="C2869" s="29" t="e">
        <f t="shared" si="44"/>
        <v>#VALUE!</v>
      </c>
      <c r="E2869" t="e">
        <f>cubic_spline(CURVA!$B$6:$B$20,CURVA!$G$6:$G$20,#REF!)</f>
        <v>#VALUE!</v>
      </c>
    </row>
    <row r="2870" spans="1:5" x14ac:dyDescent="0.2">
      <c r="A2870" s="28">
        <v>2869</v>
      </c>
      <c r="B2870" s="28" t="e">
        <f>interpola(#REF!,CURVA!$B$6:$B$20,CURVA!$G$6:$G$20)</f>
        <v>#VALUE!</v>
      </c>
      <c r="C2870" s="29" t="e">
        <f t="shared" si="44"/>
        <v>#VALUE!</v>
      </c>
      <c r="E2870" t="e">
        <f>cubic_spline(CURVA!$B$6:$B$20,CURVA!$G$6:$G$20,#REF!)</f>
        <v>#VALUE!</v>
      </c>
    </row>
    <row r="2871" spans="1:5" x14ac:dyDescent="0.2">
      <c r="A2871" s="28">
        <v>2870</v>
      </c>
      <c r="B2871" s="28" t="e">
        <f>interpola(#REF!,CURVA!$B$6:$B$20,CURVA!$G$6:$G$20)</f>
        <v>#VALUE!</v>
      </c>
      <c r="C2871" s="29" t="e">
        <f t="shared" si="44"/>
        <v>#VALUE!</v>
      </c>
      <c r="E2871" t="e">
        <f>cubic_spline(CURVA!$B$6:$B$20,CURVA!$G$6:$G$20,#REF!)</f>
        <v>#VALUE!</v>
      </c>
    </row>
    <row r="2872" spans="1:5" x14ac:dyDescent="0.2">
      <c r="A2872" s="28">
        <v>2871</v>
      </c>
      <c r="B2872" s="28" t="e">
        <f>interpola(#REF!,CURVA!$B$6:$B$20,CURVA!$G$6:$G$20)</f>
        <v>#VALUE!</v>
      </c>
      <c r="C2872" s="29" t="e">
        <f t="shared" si="44"/>
        <v>#VALUE!</v>
      </c>
      <c r="E2872" t="e">
        <f>cubic_spline(CURVA!$B$6:$B$20,CURVA!$G$6:$G$20,#REF!)</f>
        <v>#VALUE!</v>
      </c>
    </row>
    <row r="2873" spans="1:5" x14ac:dyDescent="0.2">
      <c r="A2873" s="28">
        <v>2872</v>
      </c>
      <c r="B2873" s="28" t="e">
        <f>interpola(#REF!,CURVA!$B$6:$B$20,CURVA!$G$6:$G$20)</f>
        <v>#VALUE!</v>
      </c>
      <c r="C2873" s="29" t="e">
        <f t="shared" si="44"/>
        <v>#VALUE!</v>
      </c>
      <c r="E2873" t="e">
        <f>cubic_spline(CURVA!$B$6:$B$20,CURVA!$G$6:$G$20,#REF!)</f>
        <v>#VALUE!</v>
      </c>
    </row>
    <row r="2874" spans="1:5" x14ac:dyDescent="0.2">
      <c r="A2874" s="28">
        <v>2873</v>
      </c>
      <c r="B2874" s="28" t="e">
        <f>interpola(#REF!,CURVA!$B$6:$B$20,CURVA!$G$6:$G$20)</f>
        <v>#VALUE!</v>
      </c>
      <c r="C2874" s="29" t="e">
        <f t="shared" si="44"/>
        <v>#VALUE!</v>
      </c>
      <c r="E2874" t="e">
        <f>cubic_spline(CURVA!$B$6:$B$20,CURVA!$G$6:$G$20,#REF!)</f>
        <v>#VALUE!</v>
      </c>
    </row>
    <row r="2875" spans="1:5" x14ac:dyDescent="0.2">
      <c r="A2875" s="28">
        <v>2874</v>
      </c>
      <c r="B2875" s="28" t="e">
        <f>interpola(#REF!,CURVA!$B$6:$B$20,CURVA!$G$6:$G$20)</f>
        <v>#VALUE!</v>
      </c>
      <c r="C2875" s="29" t="e">
        <f t="shared" si="44"/>
        <v>#VALUE!</v>
      </c>
      <c r="E2875" t="e">
        <f>cubic_spline(CURVA!$B$6:$B$20,CURVA!$G$6:$G$20,#REF!)</f>
        <v>#VALUE!</v>
      </c>
    </row>
    <row r="2876" spans="1:5" x14ac:dyDescent="0.2">
      <c r="A2876" s="28">
        <v>2875</v>
      </c>
      <c r="B2876" s="28" t="e">
        <f>interpola(#REF!,CURVA!$B$6:$B$20,CURVA!$G$6:$G$20)</f>
        <v>#VALUE!</v>
      </c>
      <c r="C2876" s="29" t="e">
        <f t="shared" si="44"/>
        <v>#VALUE!</v>
      </c>
      <c r="E2876" t="e">
        <f>cubic_spline(CURVA!$B$6:$B$20,CURVA!$G$6:$G$20,#REF!)</f>
        <v>#VALUE!</v>
      </c>
    </row>
    <row r="2877" spans="1:5" x14ac:dyDescent="0.2">
      <c r="A2877" s="28">
        <v>2876</v>
      </c>
      <c r="B2877" s="28" t="e">
        <f>interpola(#REF!,CURVA!$B$6:$B$20,CURVA!$G$6:$G$20)</f>
        <v>#VALUE!</v>
      </c>
      <c r="C2877" s="29" t="e">
        <f t="shared" si="44"/>
        <v>#VALUE!</v>
      </c>
      <c r="E2877" t="e">
        <f>cubic_spline(CURVA!$B$6:$B$20,CURVA!$G$6:$G$20,#REF!)</f>
        <v>#VALUE!</v>
      </c>
    </row>
    <row r="2878" spans="1:5" x14ac:dyDescent="0.2">
      <c r="A2878" s="28">
        <v>2877</v>
      </c>
      <c r="B2878" s="28" t="e">
        <f>interpola(#REF!,CURVA!$B$6:$B$20,CURVA!$G$6:$G$20)</f>
        <v>#VALUE!</v>
      </c>
      <c r="C2878" s="29" t="e">
        <f t="shared" si="44"/>
        <v>#VALUE!</v>
      </c>
      <c r="E2878" t="e">
        <f>cubic_spline(CURVA!$B$6:$B$20,CURVA!$G$6:$G$20,#REF!)</f>
        <v>#VALUE!</v>
      </c>
    </row>
    <row r="2879" spans="1:5" x14ac:dyDescent="0.2">
      <c r="A2879" s="28">
        <v>2878</v>
      </c>
      <c r="B2879" s="28" t="e">
        <f>interpola(#REF!,CURVA!$B$6:$B$20,CURVA!$G$6:$G$20)</f>
        <v>#VALUE!</v>
      </c>
      <c r="C2879" s="29" t="e">
        <f t="shared" si="44"/>
        <v>#VALUE!</v>
      </c>
      <c r="E2879" t="e">
        <f>cubic_spline(CURVA!$B$6:$B$20,CURVA!$G$6:$G$20,#REF!)</f>
        <v>#VALUE!</v>
      </c>
    </row>
    <row r="2880" spans="1:5" x14ac:dyDescent="0.2">
      <c r="A2880" s="28">
        <v>2879</v>
      </c>
      <c r="B2880" s="28" t="e">
        <f>interpola(#REF!,CURVA!$B$6:$B$20,CURVA!$G$6:$G$20)</f>
        <v>#VALUE!</v>
      </c>
      <c r="C2880" s="29" t="e">
        <f t="shared" si="44"/>
        <v>#VALUE!</v>
      </c>
      <c r="E2880" t="e">
        <f>cubic_spline(CURVA!$B$6:$B$20,CURVA!$G$6:$G$20,#REF!)</f>
        <v>#VALUE!</v>
      </c>
    </row>
    <row r="2881" spans="1:5" x14ac:dyDescent="0.2">
      <c r="A2881" s="28">
        <v>2880</v>
      </c>
      <c r="B2881" s="28" t="e">
        <f>interpola(#REF!,CURVA!$B$6:$B$20,CURVA!$G$6:$G$20)</f>
        <v>#VALUE!</v>
      </c>
      <c r="C2881" s="29" t="e">
        <f t="shared" si="44"/>
        <v>#VALUE!</v>
      </c>
      <c r="E2881" t="e">
        <f>cubic_spline(CURVA!$B$6:$B$20,CURVA!$G$6:$G$20,#REF!)</f>
        <v>#VALUE!</v>
      </c>
    </row>
    <row r="2882" spans="1:5" x14ac:dyDescent="0.2">
      <c r="A2882" s="28">
        <v>2881</v>
      </c>
      <c r="B2882" s="28" t="e">
        <f>interpola(#REF!,CURVA!$B$6:$B$20,CURVA!$G$6:$G$20)</f>
        <v>#VALUE!</v>
      </c>
      <c r="C2882" s="29" t="e">
        <f t="shared" ref="C2882:C2945" si="45">(EXP(B2882*A2882/360)-1)*360/A2882</f>
        <v>#VALUE!</v>
      </c>
      <c r="E2882" t="e">
        <f>cubic_spline(CURVA!$B$6:$B$20,CURVA!$G$6:$G$20,#REF!)</f>
        <v>#VALUE!</v>
      </c>
    </row>
    <row r="2883" spans="1:5" x14ac:dyDescent="0.2">
      <c r="A2883" s="28">
        <v>2882</v>
      </c>
      <c r="B2883" s="28" t="e">
        <f>interpola(#REF!,CURVA!$B$6:$B$20,CURVA!$G$6:$G$20)</f>
        <v>#VALUE!</v>
      </c>
      <c r="C2883" s="29" t="e">
        <f t="shared" si="45"/>
        <v>#VALUE!</v>
      </c>
      <c r="E2883" t="e">
        <f>cubic_spline(CURVA!$B$6:$B$20,CURVA!$G$6:$G$20,#REF!)</f>
        <v>#VALUE!</v>
      </c>
    </row>
    <row r="2884" spans="1:5" x14ac:dyDescent="0.2">
      <c r="A2884" s="28">
        <v>2883</v>
      </c>
      <c r="B2884" s="28" t="e">
        <f>interpola(#REF!,CURVA!$B$6:$B$20,CURVA!$G$6:$G$20)</f>
        <v>#VALUE!</v>
      </c>
      <c r="C2884" s="29" t="e">
        <f t="shared" si="45"/>
        <v>#VALUE!</v>
      </c>
      <c r="E2884" t="e">
        <f>cubic_spline(CURVA!$B$6:$B$20,CURVA!$G$6:$G$20,#REF!)</f>
        <v>#VALUE!</v>
      </c>
    </row>
    <row r="2885" spans="1:5" x14ac:dyDescent="0.2">
      <c r="A2885" s="28">
        <v>2884</v>
      </c>
      <c r="B2885" s="28" t="e">
        <f>interpola(#REF!,CURVA!$B$6:$B$20,CURVA!$G$6:$G$20)</f>
        <v>#VALUE!</v>
      </c>
      <c r="C2885" s="29" t="e">
        <f t="shared" si="45"/>
        <v>#VALUE!</v>
      </c>
      <c r="E2885" t="e">
        <f>cubic_spline(CURVA!$B$6:$B$20,CURVA!$G$6:$G$20,#REF!)</f>
        <v>#VALUE!</v>
      </c>
    </row>
    <row r="2886" spans="1:5" x14ac:dyDescent="0.2">
      <c r="A2886" s="28">
        <v>2885</v>
      </c>
      <c r="B2886" s="28" t="e">
        <f>interpola(#REF!,CURVA!$B$6:$B$20,CURVA!$G$6:$G$20)</f>
        <v>#VALUE!</v>
      </c>
      <c r="C2886" s="29" t="e">
        <f t="shared" si="45"/>
        <v>#VALUE!</v>
      </c>
      <c r="E2886" t="e">
        <f>cubic_spline(CURVA!$B$6:$B$20,CURVA!$G$6:$G$20,#REF!)</f>
        <v>#VALUE!</v>
      </c>
    </row>
    <row r="2887" spans="1:5" x14ac:dyDescent="0.2">
      <c r="A2887" s="28">
        <v>2886</v>
      </c>
      <c r="B2887" s="28" t="e">
        <f>interpola(#REF!,CURVA!$B$6:$B$20,CURVA!$G$6:$G$20)</f>
        <v>#VALUE!</v>
      </c>
      <c r="C2887" s="29" t="e">
        <f t="shared" si="45"/>
        <v>#VALUE!</v>
      </c>
      <c r="E2887" t="e">
        <f>cubic_spline(CURVA!$B$6:$B$20,CURVA!$G$6:$G$20,#REF!)</f>
        <v>#VALUE!</v>
      </c>
    </row>
    <row r="2888" spans="1:5" x14ac:dyDescent="0.2">
      <c r="A2888" s="28">
        <v>2887</v>
      </c>
      <c r="B2888" s="28" t="e">
        <f>interpola(#REF!,CURVA!$B$6:$B$20,CURVA!$G$6:$G$20)</f>
        <v>#VALUE!</v>
      </c>
      <c r="C2888" s="29" t="e">
        <f t="shared" si="45"/>
        <v>#VALUE!</v>
      </c>
      <c r="E2888" t="e">
        <f>cubic_spline(CURVA!$B$6:$B$20,CURVA!$G$6:$G$20,#REF!)</f>
        <v>#VALUE!</v>
      </c>
    </row>
    <row r="2889" spans="1:5" x14ac:dyDescent="0.2">
      <c r="A2889" s="28">
        <v>2888</v>
      </c>
      <c r="B2889" s="28" t="e">
        <f>interpola(#REF!,CURVA!$B$6:$B$20,CURVA!$G$6:$G$20)</f>
        <v>#VALUE!</v>
      </c>
      <c r="C2889" s="29" t="e">
        <f t="shared" si="45"/>
        <v>#VALUE!</v>
      </c>
      <c r="E2889" t="e">
        <f>cubic_spline(CURVA!$B$6:$B$20,CURVA!$G$6:$G$20,#REF!)</f>
        <v>#VALUE!</v>
      </c>
    </row>
    <row r="2890" spans="1:5" x14ac:dyDescent="0.2">
      <c r="A2890" s="28">
        <v>2889</v>
      </c>
      <c r="B2890" s="28" t="e">
        <f>interpola(#REF!,CURVA!$B$6:$B$20,CURVA!$G$6:$G$20)</f>
        <v>#VALUE!</v>
      </c>
      <c r="C2890" s="29" t="e">
        <f t="shared" si="45"/>
        <v>#VALUE!</v>
      </c>
      <c r="E2890" t="e">
        <f>cubic_spline(CURVA!$B$6:$B$20,CURVA!$G$6:$G$20,#REF!)</f>
        <v>#VALUE!</v>
      </c>
    </row>
    <row r="2891" spans="1:5" x14ac:dyDescent="0.2">
      <c r="A2891" s="28">
        <v>2890</v>
      </c>
      <c r="B2891" s="28" t="e">
        <f>interpola(#REF!,CURVA!$B$6:$B$20,CURVA!$G$6:$G$20)</f>
        <v>#VALUE!</v>
      </c>
      <c r="C2891" s="29" t="e">
        <f t="shared" si="45"/>
        <v>#VALUE!</v>
      </c>
      <c r="E2891" t="e">
        <f>cubic_spline(CURVA!$B$6:$B$20,CURVA!$G$6:$G$20,#REF!)</f>
        <v>#VALUE!</v>
      </c>
    </row>
    <row r="2892" spans="1:5" x14ac:dyDescent="0.2">
      <c r="A2892" s="28">
        <v>2891</v>
      </c>
      <c r="B2892" s="28" t="e">
        <f>interpola(#REF!,CURVA!$B$6:$B$20,CURVA!$G$6:$G$20)</f>
        <v>#VALUE!</v>
      </c>
      <c r="C2892" s="29" t="e">
        <f t="shared" si="45"/>
        <v>#VALUE!</v>
      </c>
      <c r="E2892" t="e">
        <f>cubic_spline(CURVA!$B$6:$B$20,CURVA!$G$6:$G$20,#REF!)</f>
        <v>#VALUE!</v>
      </c>
    </row>
    <row r="2893" spans="1:5" x14ac:dyDescent="0.2">
      <c r="A2893" s="28">
        <v>2892</v>
      </c>
      <c r="B2893" s="28" t="e">
        <f>interpola(#REF!,CURVA!$B$6:$B$20,CURVA!$G$6:$G$20)</f>
        <v>#VALUE!</v>
      </c>
      <c r="C2893" s="29" t="e">
        <f t="shared" si="45"/>
        <v>#VALUE!</v>
      </c>
      <c r="E2893" t="e">
        <f>cubic_spline(CURVA!$B$6:$B$20,CURVA!$G$6:$G$20,#REF!)</f>
        <v>#VALUE!</v>
      </c>
    </row>
    <row r="2894" spans="1:5" x14ac:dyDescent="0.2">
      <c r="A2894" s="28">
        <v>2893</v>
      </c>
      <c r="B2894" s="28" t="e">
        <f>interpola(#REF!,CURVA!$B$6:$B$20,CURVA!$G$6:$G$20)</f>
        <v>#VALUE!</v>
      </c>
      <c r="C2894" s="29" t="e">
        <f t="shared" si="45"/>
        <v>#VALUE!</v>
      </c>
      <c r="E2894" t="e">
        <f>cubic_spline(CURVA!$B$6:$B$20,CURVA!$G$6:$G$20,#REF!)</f>
        <v>#VALUE!</v>
      </c>
    </row>
    <row r="2895" spans="1:5" x14ac:dyDescent="0.2">
      <c r="A2895" s="28">
        <v>2894</v>
      </c>
      <c r="B2895" s="28" t="e">
        <f>interpola(#REF!,CURVA!$B$6:$B$20,CURVA!$G$6:$G$20)</f>
        <v>#VALUE!</v>
      </c>
      <c r="C2895" s="29" t="e">
        <f t="shared" si="45"/>
        <v>#VALUE!</v>
      </c>
      <c r="E2895" t="e">
        <f>cubic_spline(CURVA!$B$6:$B$20,CURVA!$G$6:$G$20,#REF!)</f>
        <v>#VALUE!</v>
      </c>
    </row>
    <row r="2896" spans="1:5" x14ac:dyDescent="0.2">
      <c r="A2896" s="28">
        <v>2895</v>
      </c>
      <c r="B2896" s="28" t="e">
        <f>interpola(#REF!,CURVA!$B$6:$B$20,CURVA!$G$6:$G$20)</f>
        <v>#VALUE!</v>
      </c>
      <c r="C2896" s="29" t="e">
        <f t="shared" si="45"/>
        <v>#VALUE!</v>
      </c>
      <c r="E2896" t="e">
        <f>cubic_spline(CURVA!$B$6:$B$20,CURVA!$G$6:$G$20,#REF!)</f>
        <v>#VALUE!</v>
      </c>
    </row>
    <row r="2897" spans="1:5" x14ac:dyDescent="0.2">
      <c r="A2897" s="28">
        <v>2896</v>
      </c>
      <c r="B2897" s="28" t="e">
        <f>interpola(#REF!,CURVA!$B$6:$B$20,CURVA!$G$6:$G$20)</f>
        <v>#VALUE!</v>
      </c>
      <c r="C2897" s="29" t="e">
        <f t="shared" si="45"/>
        <v>#VALUE!</v>
      </c>
      <c r="E2897" t="e">
        <f>cubic_spline(CURVA!$B$6:$B$20,CURVA!$G$6:$G$20,#REF!)</f>
        <v>#VALUE!</v>
      </c>
    </row>
    <row r="2898" spans="1:5" x14ac:dyDescent="0.2">
      <c r="A2898" s="28">
        <v>2897</v>
      </c>
      <c r="B2898" s="28" t="e">
        <f>interpola(#REF!,CURVA!$B$6:$B$20,CURVA!$G$6:$G$20)</f>
        <v>#VALUE!</v>
      </c>
      <c r="C2898" s="29" t="e">
        <f t="shared" si="45"/>
        <v>#VALUE!</v>
      </c>
      <c r="E2898" t="e">
        <f>cubic_spline(CURVA!$B$6:$B$20,CURVA!$G$6:$G$20,#REF!)</f>
        <v>#VALUE!</v>
      </c>
    </row>
    <row r="2899" spans="1:5" x14ac:dyDescent="0.2">
      <c r="A2899" s="28">
        <v>2898</v>
      </c>
      <c r="B2899" s="28" t="e">
        <f>interpola(#REF!,CURVA!$B$6:$B$20,CURVA!$G$6:$G$20)</f>
        <v>#VALUE!</v>
      </c>
      <c r="C2899" s="29" t="e">
        <f t="shared" si="45"/>
        <v>#VALUE!</v>
      </c>
      <c r="E2899" t="e">
        <f>cubic_spline(CURVA!$B$6:$B$20,CURVA!$G$6:$G$20,#REF!)</f>
        <v>#VALUE!</v>
      </c>
    </row>
    <row r="2900" spans="1:5" x14ac:dyDescent="0.2">
      <c r="A2900" s="28">
        <v>2899</v>
      </c>
      <c r="B2900" s="28" t="e">
        <f>interpola(#REF!,CURVA!$B$6:$B$20,CURVA!$G$6:$G$20)</f>
        <v>#VALUE!</v>
      </c>
      <c r="C2900" s="29" t="e">
        <f t="shared" si="45"/>
        <v>#VALUE!</v>
      </c>
      <c r="E2900" t="e">
        <f>cubic_spline(CURVA!$B$6:$B$20,CURVA!$G$6:$G$20,#REF!)</f>
        <v>#VALUE!</v>
      </c>
    </row>
    <row r="2901" spans="1:5" x14ac:dyDescent="0.2">
      <c r="A2901" s="28">
        <v>2900</v>
      </c>
      <c r="B2901" s="28" t="e">
        <f>interpola(#REF!,CURVA!$B$6:$B$20,CURVA!$G$6:$G$20)</f>
        <v>#VALUE!</v>
      </c>
      <c r="C2901" s="29" t="e">
        <f t="shared" si="45"/>
        <v>#VALUE!</v>
      </c>
      <c r="E2901" t="e">
        <f>cubic_spline(CURVA!$B$6:$B$20,CURVA!$G$6:$G$20,#REF!)</f>
        <v>#VALUE!</v>
      </c>
    </row>
    <row r="2902" spans="1:5" x14ac:dyDescent="0.2">
      <c r="A2902" s="28">
        <v>2901</v>
      </c>
      <c r="B2902" s="28" t="e">
        <f>interpola(#REF!,CURVA!$B$6:$B$20,CURVA!$G$6:$G$20)</f>
        <v>#VALUE!</v>
      </c>
      <c r="C2902" s="29" t="e">
        <f t="shared" si="45"/>
        <v>#VALUE!</v>
      </c>
      <c r="E2902" t="e">
        <f>cubic_spline(CURVA!$B$6:$B$20,CURVA!$G$6:$G$20,#REF!)</f>
        <v>#VALUE!</v>
      </c>
    </row>
    <row r="2903" spans="1:5" x14ac:dyDescent="0.2">
      <c r="A2903" s="28">
        <v>2902</v>
      </c>
      <c r="B2903" s="28" t="e">
        <f>interpola(#REF!,CURVA!$B$6:$B$20,CURVA!$G$6:$G$20)</f>
        <v>#VALUE!</v>
      </c>
      <c r="C2903" s="29" t="e">
        <f t="shared" si="45"/>
        <v>#VALUE!</v>
      </c>
      <c r="E2903" t="e">
        <f>cubic_spline(CURVA!$B$6:$B$20,CURVA!$G$6:$G$20,#REF!)</f>
        <v>#VALUE!</v>
      </c>
    </row>
    <row r="2904" spans="1:5" x14ac:dyDescent="0.2">
      <c r="A2904" s="28">
        <v>2903</v>
      </c>
      <c r="B2904" s="28" t="e">
        <f>interpola(#REF!,CURVA!$B$6:$B$20,CURVA!$G$6:$G$20)</f>
        <v>#VALUE!</v>
      </c>
      <c r="C2904" s="29" t="e">
        <f t="shared" si="45"/>
        <v>#VALUE!</v>
      </c>
      <c r="E2904" t="e">
        <f>cubic_spline(CURVA!$B$6:$B$20,CURVA!$G$6:$G$20,#REF!)</f>
        <v>#VALUE!</v>
      </c>
    </row>
    <row r="2905" spans="1:5" x14ac:dyDescent="0.2">
      <c r="A2905" s="28">
        <v>2904</v>
      </c>
      <c r="B2905" s="28" t="e">
        <f>interpola(#REF!,CURVA!$B$6:$B$20,CURVA!$G$6:$G$20)</f>
        <v>#VALUE!</v>
      </c>
      <c r="C2905" s="29" t="e">
        <f t="shared" si="45"/>
        <v>#VALUE!</v>
      </c>
      <c r="E2905" t="e">
        <f>cubic_spline(CURVA!$B$6:$B$20,CURVA!$G$6:$G$20,#REF!)</f>
        <v>#VALUE!</v>
      </c>
    </row>
    <row r="2906" spans="1:5" x14ac:dyDescent="0.2">
      <c r="A2906" s="28">
        <v>2905</v>
      </c>
      <c r="B2906" s="28" t="e">
        <f>interpola(#REF!,CURVA!$B$6:$B$20,CURVA!$G$6:$G$20)</f>
        <v>#VALUE!</v>
      </c>
      <c r="C2906" s="29" t="e">
        <f t="shared" si="45"/>
        <v>#VALUE!</v>
      </c>
      <c r="E2906" t="e">
        <f>cubic_spline(CURVA!$B$6:$B$20,CURVA!$G$6:$G$20,#REF!)</f>
        <v>#VALUE!</v>
      </c>
    </row>
    <row r="2907" spans="1:5" x14ac:dyDescent="0.2">
      <c r="A2907" s="28">
        <v>2906</v>
      </c>
      <c r="B2907" s="28" t="e">
        <f>interpola(#REF!,CURVA!$B$6:$B$20,CURVA!$G$6:$G$20)</f>
        <v>#VALUE!</v>
      </c>
      <c r="C2907" s="29" t="e">
        <f t="shared" si="45"/>
        <v>#VALUE!</v>
      </c>
      <c r="E2907" t="e">
        <f>cubic_spline(CURVA!$B$6:$B$20,CURVA!$G$6:$G$20,#REF!)</f>
        <v>#VALUE!</v>
      </c>
    </row>
    <row r="2908" spans="1:5" x14ac:dyDescent="0.2">
      <c r="A2908" s="28">
        <v>2907</v>
      </c>
      <c r="B2908" s="28" t="e">
        <f>interpola(#REF!,CURVA!$B$6:$B$20,CURVA!$G$6:$G$20)</f>
        <v>#VALUE!</v>
      </c>
      <c r="C2908" s="29" t="e">
        <f t="shared" si="45"/>
        <v>#VALUE!</v>
      </c>
      <c r="E2908" t="e">
        <f>cubic_spline(CURVA!$B$6:$B$20,CURVA!$G$6:$G$20,#REF!)</f>
        <v>#VALUE!</v>
      </c>
    </row>
    <row r="2909" spans="1:5" x14ac:dyDescent="0.2">
      <c r="A2909" s="28">
        <v>2908</v>
      </c>
      <c r="B2909" s="28" t="e">
        <f>interpola(#REF!,CURVA!$B$6:$B$20,CURVA!$G$6:$G$20)</f>
        <v>#VALUE!</v>
      </c>
      <c r="C2909" s="29" t="e">
        <f t="shared" si="45"/>
        <v>#VALUE!</v>
      </c>
      <c r="E2909" t="e">
        <f>cubic_spline(CURVA!$B$6:$B$20,CURVA!$G$6:$G$20,#REF!)</f>
        <v>#VALUE!</v>
      </c>
    </row>
    <row r="2910" spans="1:5" x14ac:dyDescent="0.2">
      <c r="A2910" s="28">
        <v>2909</v>
      </c>
      <c r="B2910" s="28" t="e">
        <f>interpola(#REF!,CURVA!$B$6:$B$20,CURVA!$G$6:$G$20)</f>
        <v>#VALUE!</v>
      </c>
      <c r="C2910" s="29" t="e">
        <f t="shared" si="45"/>
        <v>#VALUE!</v>
      </c>
      <c r="E2910" t="e">
        <f>cubic_spline(CURVA!$B$6:$B$20,CURVA!$G$6:$G$20,#REF!)</f>
        <v>#VALUE!</v>
      </c>
    </row>
    <row r="2911" spans="1:5" x14ac:dyDescent="0.2">
      <c r="A2911" s="28">
        <v>2910</v>
      </c>
      <c r="B2911" s="28" t="e">
        <f>interpola(#REF!,CURVA!$B$6:$B$20,CURVA!$G$6:$G$20)</f>
        <v>#VALUE!</v>
      </c>
      <c r="C2911" s="29" t="e">
        <f t="shared" si="45"/>
        <v>#VALUE!</v>
      </c>
      <c r="E2911" t="e">
        <f>cubic_spline(CURVA!$B$6:$B$20,CURVA!$G$6:$G$20,#REF!)</f>
        <v>#VALUE!</v>
      </c>
    </row>
    <row r="2912" spans="1:5" x14ac:dyDescent="0.2">
      <c r="A2912" s="28">
        <v>2911</v>
      </c>
      <c r="B2912" s="28" t="e">
        <f>interpola(#REF!,CURVA!$B$6:$B$20,CURVA!$G$6:$G$20)</f>
        <v>#VALUE!</v>
      </c>
      <c r="C2912" s="29" t="e">
        <f t="shared" si="45"/>
        <v>#VALUE!</v>
      </c>
      <c r="E2912" t="e">
        <f>cubic_spline(CURVA!$B$6:$B$20,CURVA!$G$6:$G$20,#REF!)</f>
        <v>#VALUE!</v>
      </c>
    </row>
    <row r="2913" spans="1:5" x14ac:dyDescent="0.2">
      <c r="A2913" s="28">
        <v>2912</v>
      </c>
      <c r="B2913" s="28" t="e">
        <f>interpola(#REF!,CURVA!$B$6:$B$20,CURVA!$G$6:$G$20)</f>
        <v>#VALUE!</v>
      </c>
      <c r="C2913" s="29" t="e">
        <f t="shared" si="45"/>
        <v>#VALUE!</v>
      </c>
      <c r="E2913" t="e">
        <f>cubic_spline(CURVA!$B$6:$B$20,CURVA!$G$6:$G$20,#REF!)</f>
        <v>#VALUE!</v>
      </c>
    </row>
    <row r="2914" spans="1:5" x14ac:dyDescent="0.2">
      <c r="A2914" s="28">
        <v>2913</v>
      </c>
      <c r="B2914" s="28" t="e">
        <f>interpola(#REF!,CURVA!$B$6:$B$20,CURVA!$G$6:$G$20)</f>
        <v>#VALUE!</v>
      </c>
      <c r="C2914" s="29" t="e">
        <f t="shared" si="45"/>
        <v>#VALUE!</v>
      </c>
      <c r="E2914" t="e">
        <f>cubic_spline(CURVA!$B$6:$B$20,CURVA!$G$6:$G$20,#REF!)</f>
        <v>#VALUE!</v>
      </c>
    </row>
    <row r="2915" spans="1:5" x14ac:dyDescent="0.2">
      <c r="A2915" s="28">
        <v>2914</v>
      </c>
      <c r="B2915" s="28" t="e">
        <f>interpola(#REF!,CURVA!$B$6:$B$20,CURVA!$G$6:$G$20)</f>
        <v>#VALUE!</v>
      </c>
      <c r="C2915" s="29" t="e">
        <f t="shared" si="45"/>
        <v>#VALUE!</v>
      </c>
      <c r="E2915" t="e">
        <f>cubic_spline(CURVA!$B$6:$B$20,CURVA!$G$6:$G$20,#REF!)</f>
        <v>#VALUE!</v>
      </c>
    </row>
    <row r="2916" spans="1:5" x14ac:dyDescent="0.2">
      <c r="A2916" s="28">
        <v>2915</v>
      </c>
      <c r="B2916" s="28" t="e">
        <f>interpola(#REF!,CURVA!$B$6:$B$20,CURVA!$G$6:$G$20)</f>
        <v>#VALUE!</v>
      </c>
      <c r="C2916" s="29" t="e">
        <f t="shared" si="45"/>
        <v>#VALUE!</v>
      </c>
      <c r="E2916" t="e">
        <f>cubic_spline(CURVA!$B$6:$B$20,CURVA!$G$6:$G$20,#REF!)</f>
        <v>#VALUE!</v>
      </c>
    </row>
    <row r="2917" spans="1:5" x14ac:dyDescent="0.2">
      <c r="A2917" s="28">
        <v>2916</v>
      </c>
      <c r="B2917" s="28" t="e">
        <f>interpola(#REF!,CURVA!$B$6:$B$20,CURVA!$G$6:$G$20)</f>
        <v>#VALUE!</v>
      </c>
      <c r="C2917" s="29" t="e">
        <f t="shared" si="45"/>
        <v>#VALUE!</v>
      </c>
      <c r="E2917" t="e">
        <f>cubic_spline(CURVA!$B$6:$B$20,CURVA!$G$6:$G$20,#REF!)</f>
        <v>#VALUE!</v>
      </c>
    </row>
    <row r="2918" spans="1:5" x14ac:dyDescent="0.2">
      <c r="A2918" s="28">
        <v>2917</v>
      </c>
      <c r="B2918" s="28" t="e">
        <f>interpola(#REF!,CURVA!$B$6:$B$20,CURVA!$G$6:$G$20)</f>
        <v>#VALUE!</v>
      </c>
      <c r="C2918" s="29" t="e">
        <f t="shared" si="45"/>
        <v>#VALUE!</v>
      </c>
      <c r="E2918" t="e">
        <f>cubic_spline(CURVA!$B$6:$B$20,CURVA!$G$6:$G$20,#REF!)</f>
        <v>#VALUE!</v>
      </c>
    </row>
    <row r="2919" spans="1:5" x14ac:dyDescent="0.2">
      <c r="A2919" s="28">
        <v>2918</v>
      </c>
      <c r="B2919" s="28" t="e">
        <f>interpola(#REF!,CURVA!$B$6:$B$20,CURVA!$G$6:$G$20)</f>
        <v>#VALUE!</v>
      </c>
      <c r="C2919" s="29" t="e">
        <f t="shared" si="45"/>
        <v>#VALUE!</v>
      </c>
      <c r="E2919" t="e">
        <f>cubic_spline(CURVA!$B$6:$B$20,CURVA!$G$6:$G$20,#REF!)</f>
        <v>#VALUE!</v>
      </c>
    </row>
    <row r="2920" spans="1:5" x14ac:dyDescent="0.2">
      <c r="A2920" s="28">
        <v>2919</v>
      </c>
      <c r="B2920" s="28" t="e">
        <f>interpola(#REF!,CURVA!$B$6:$B$20,CURVA!$G$6:$G$20)</f>
        <v>#VALUE!</v>
      </c>
      <c r="C2920" s="29" t="e">
        <f t="shared" si="45"/>
        <v>#VALUE!</v>
      </c>
      <c r="E2920" t="e">
        <f>cubic_spline(CURVA!$B$6:$B$20,CURVA!$G$6:$G$20,#REF!)</f>
        <v>#VALUE!</v>
      </c>
    </row>
    <row r="2921" spans="1:5" x14ac:dyDescent="0.2">
      <c r="A2921" s="28">
        <v>2920</v>
      </c>
      <c r="B2921" s="28" t="e">
        <f>interpola(#REF!,CURVA!$B$6:$B$20,CURVA!$G$6:$G$20)</f>
        <v>#VALUE!</v>
      </c>
      <c r="C2921" s="29" t="e">
        <f t="shared" si="45"/>
        <v>#VALUE!</v>
      </c>
      <c r="E2921" t="e">
        <f>cubic_spline(CURVA!$B$6:$B$20,CURVA!$G$6:$G$20,#REF!)</f>
        <v>#VALUE!</v>
      </c>
    </row>
    <row r="2922" spans="1:5" x14ac:dyDescent="0.2">
      <c r="A2922" s="28">
        <v>2921</v>
      </c>
      <c r="B2922" s="28" t="e">
        <f>interpola(#REF!,CURVA!$B$6:$B$20,CURVA!$G$6:$G$20)</f>
        <v>#VALUE!</v>
      </c>
      <c r="C2922" s="29" t="e">
        <f t="shared" si="45"/>
        <v>#VALUE!</v>
      </c>
      <c r="E2922" t="e">
        <f>cubic_spline(CURVA!$B$6:$B$20,CURVA!$G$6:$G$20,#REF!)</f>
        <v>#VALUE!</v>
      </c>
    </row>
    <row r="2923" spans="1:5" x14ac:dyDescent="0.2">
      <c r="A2923" s="28">
        <v>2922</v>
      </c>
      <c r="B2923" s="28" t="e">
        <f>interpola(#REF!,CURVA!$B$6:$B$20,CURVA!$G$6:$G$20)</f>
        <v>#VALUE!</v>
      </c>
      <c r="C2923" s="29" t="e">
        <f t="shared" si="45"/>
        <v>#VALUE!</v>
      </c>
      <c r="E2923" t="e">
        <f>cubic_spline(CURVA!$B$6:$B$20,CURVA!$G$6:$G$20,#REF!)</f>
        <v>#VALUE!</v>
      </c>
    </row>
    <row r="2924" spans="1:5" x14ac:dyDescent="0.2">
      <c r="A2924" s="28">
        <v>2923</v>
      </c>
      <c r="B2924" s="28" t="e">
        <f>interpola(#REF!,CURVA!$B$6:$B$20,CURVA!$G$6:$G$20)</f>
        <v>#VALUE!</v>
      </c>
      <c r="C2924" s="29" t="e">
        <f t="shared" si="45"/>
        <v>#VALUE!</v>
      </c>
      <c r="E2924" t="e">
        <f>cubic_spline(CURVA!$B$6:$B$20,CURVA!$G$6:$G$20,#REF!)</f>
        <v>#VALUE!</v>
      </c>
    </row>
    <row r="2925" spans="1:5" x14ac:dyDescent="0.2">
      <c r="A2925" s="28">
        <v>2924</v>
      </c>
      <c r="B2925" s="28" t="e">
        <f>interpola(#REF!,CURVA!$B$6:$B$20,CURVA!$G$6:$G$20)</f>
        <v>#VALUE!</v>
      </c>
      <c r="C2925" s="29" t="e">
        <f t="shared" si="45"/>
        <v>#VALUE!</v>
      </c>
      <c r="E2925" t="e">
        <f>cubic_spline(CURVA!$B$6:$B$20,CURVA!$G$6:$G$20,#REF!)</f>
        <v>#VALUE!</v>
      </c>
    </row>
    <row r="2926" spans="1:5" x14ac:dyDescent="0.2">
      <c r="A2926" s="28">
        <v>2925</v>
      </c>
      <c r="B2926" s="28" t="e">
        <f>interpola(#REF!,CURVA!$B$6:$B$20,CURVA!$G$6:$G$20)</f>
        <v>#VALUE!</v>
      </c>
      <c r="C2926" s="29" t="e">
        <f t="shared" si="45"/>
        <v>#VALUE!</v>
      </c>
      <c r="E2926" t="e">
        <f>cubic_spline(CURVA!$B$6:$B$20,CURVA!$G$6:$G$20,#REF!)</f>
        <v>#VALUE!</v>
      </c>
    </row>
    <row r="2927" spans="1:5" x14ac:dyDescent="0.2">
      <c r="A2927" s="28">
        <v>2926</v>
      </c>
      <c r="B2927" s="28" t="e">
        <f>interpola(#REF!,CURVA!$B$6:$B$20,CURVA!$G$6:$G$20)</f>
        <v>#VALUE!</v>
      </c>
      <c r="C2927" s="29" t="e">
        <f t="shared" si="45"/>
        <v>#VALUE!</v>
      </c>
      <c r="E2927" t="e">
        <f>cubic_spline(CURVA!$B$6:$B$20,CURVA!$G$6:$G$20,#REF!)</f>
        <v>#VALUE!</v>
      </c>
    </row>
    <row r="2928" spans="1:5" x14ac:dyDescent="0.2">
      <c r="A2928" s="28">
        <v>2927</v>
      </c>
      <c r="B2928" s="28" t="e">
        <f>interpola(#REF!,CURVA!$B$6:$B$20,CURVA!$G$6:$G$20)</f>
        <v>#VALUE!</v>
      </c>
      <c r="C2928" s="29" t="e">
        <f t="shared" si="45"/>
        <v>#VALUE!</v>
      </c>
      <c r="E2928" t="e">
        <f>cubic_spline(CURVA!$B$6:$B$20,CURVA!$G$6:$G$20,#REF!)</f>
        <v>#VALUE!</v>
      </c>
    </row>
    <row r="2929" spans="1:5" x14ac:dyDescent="0.2">
      <c r="A2929" s="28">
        <v>2928</v>
      </c>
      <c r="B2929" s="28" t="e">
        <f>interpola(#REF!,CURVA!$B$6:$B$20,CURVA!$G$6:$G$20)</f>
        <v>#VALUE!</v>
      </c>
      <c r="C2929" s="29" t="e">
        <f t="shared" si="45"/>
        <v>#VALUE!</v>
      </c>
      <c r="E2929" t="e">
        <f>cubic_spline(CURVA!$B$6:$B$20,CURVA!$G$6:$G$20,#REF!)</f>
        <v>#VALUE!</v>
      </c>
    </row>
    <row r="2930" spans="1:5" x14ac:dyDescent="0.2">
      <c r="A2930" s="28">
        <v>2929</v>
      </c>
      <c r="B2930" s="28" t="e">
        <f>interpola(#REF!,CURVA!$B$6:$B$20,CURVA!$G$6:$G$20)</f>
        <v>#VALUE!</v>
      </c>
      <c r="C2930" s="29" t="e">
        <f t="shared" si="45"/>
        <v>#VALUE!</v>
      </c>
      <c r="E2930" t="e">
        <f>cubic_spline(CURVA!$B$6:$B$20,CURVA!$G$6:$G$20,#REF!)</f>
        <v>#VALUE!</v>
      </c>
    </row>
    <row r="2931" spans="1:5" x14ac:dyDescent="0.2">
      <c r="A2931" s="28">
        <v>2930</v>
      </c>
      <c r="B2931" s="28" t="e">
        <f>interpola(#REF!,CURVA!$B$6:$B$20,CURVA!$G$6:$G$20)</f>
        <v>#VALUE!</v>
      </c>
      <c r="C2931" s="29" t="e">
        <f t="shared" si="45"/>
        <v>#VALUE!</v>
      </c>
      <c r="E2931" t="e">
        <f>cubic_spline(CURVA!$B$6:$B$20,CURVA!$G$6:$G$20,#REF!)</f>
        <v>#VALUE!</v>
      </c>
    </row>
    <row r="2932" spans="1:5" x14ac:dyDescent="0.2">
      <c r="A2932" s="28">
        <v>2931</v>
      </c>
      <c r="B2932" s="28" t="e">
        <f>interpola(#REF!,CURVA!$B$6:$B$20,CURVA!$G$6:$G$20)</f>
        <v>#VALUE!</v>
      </c>
      <c r="C2932" s="29" t="e">
        <f t="shared" si="45"/>
        <v>#VALUE!</v>
      </c>
      <c r="E2932" t="e">
        <f>cubic_spline(CURVA!$B$6:$B$20,CURVA!$G$6:$G$20,#REF!)</f>
        <v>#VALUE!</v>
      </c>
    </row>
    <row r="2933" spans="1:5" x14ac:dyDescent="0.2">
      <c r="A2933" s="28">
        <v>2932</v>
      </c>
      <c r="B2933" s="28" t="e">
        <f>interpola(#REF!,CURVA!$B$6:$B$20,CURVA!$G$6:$G$20)</f>
        <v>#VALUE!</v>
      </c>
      <c r="C2933" s="29" t="e">
        <f t="shared" si="45"/>
        <v>#VALUE!</v>
      </c>
      <c r="E2933" t="e">
        <f>cubic_spline(CURVA!$B$6:$B$20,CURVA!$G$6:$G$20,#REF!)</f>
        <v>#VALUE!</v>
      </c>
    </row>
    <row r="2934" spans="1:5" x14ac:dyDescent="0.2">
      <c r="A2934" s="28">
        <v>2933</v>
      </c>
      <c r="B2934" s="28" t="e">
        <f>interpola(#REF!,CURVA!$B$6:$B$20,CURVA!$G$6:$G$20)</f>
        <v>#VALUE!</v>
      </c>
      <c r="C2934" s="29" t="e">
        <f t="shared" si="45"/>
        <v>#VALUE!</v>
      </c>
      <c r="E2934" t="e">
        <f>cubic_spline(CURVA!$B$6:$B$20,CURVA!$G$6:$G$20,#REF!)</f>
        <v>#VALUE!</v>
      </c>
    </row>
    <row r="2935" spans="1:5" x14ac:dyDescent="0.2">
      <c r="A2935" s="28">
        <v>2934</v>
      </c>
      <c r="B2935" s="28" t="e">
        <f>interpola(#REF!,CURVA!$B$6:$B$20,CURVA!$G$6:$G$20)</f>
        <v>#VALUE!</v>
      </c>
      <c r="C2935" s="29" t="e">
        <f t="shared" si="45"/>
        <v>#VALUE!</v>
      </c>
      <c r="E2935" t="e">
        <f>cubic_spline(CURVA!$B$6:$B$20,CURVA!$G$6:$G$20,#REF!)</f>
        <v>#VALUE!</v>
      </c>
    </row>
    <row r="2936" spans="1:5" x14ac:dyDescent="0.2">
      <c r="A2936" s="28">
        <v>2935</v>
      </c>
      <c r="B2936" s="28" t="e">
        <f>interpola(#REF!,CURVA!$B$6:$B$20,CURVA!$G$6:$G$20)</f>
        <v>#VALUE!</v>
      </c>
      <c r="C2936" s="29" t="e">
        <f t="shared" si="45"/>
        <v>#VALUE!</v>
      </c>
      <c r="E2936" t="e">
        <f>cubic_spline(CURVA!$B$6:$B$20,CURVA!$G$6:$G$20,#REF!)</f>
        <v>#VALUE!</v>
      </c>
    </row>
    <row r="2937" spans="1:5" x14ac:dyDescent="0.2">
      <c r="A2937" s="28">
        <v>2936</v>
      </c>
      <c r="B2937" s="28" t="e">
        <f>interpola(#REF!,CURVA!$B$6:$B$20,CURVA!$G$6:$G$20)</f>
        <v>#VALUE!</v>
      </c>
      <c r="C2937" s="29" t="e">
        <f t="shared" si="45"/>
        <v>#VALUE!</v>
      </c>
      <c r="E2937" t="e">
        <f>cubic_spline(CURVA!$B$6:$B$20,CURVA!$G$6:$G$20,#REF!)</f>
        <v>#VALUE!</v>
      </c>
    </row>
    <row r="2938" spans="1:5" x14ac:dyDescent="0.2">
      <c r="A2938" s="28">
        <v>2937</v>
      </c>
      <c r="B2938" s="28" t="e">
        <f>interpola(#REF!,CURVA!$B$6:$B$20,CURVA!$G$6:$G$20)</f>
        <v>#VALUE!</v>
      </c>
      <c r="C2938" s="29" t="e">
        <f t="shared" si="45"/>
        <v>#VALUE!</v>
      </c>
      <c r="E2938" t="e">
        <f>cubic_spline(CURVA!$B$6:$B$20,CURVA!$G$6:$G$20,#REF!)</f>
        <v>#VALUE!</v>
      </c>
    </row>
    <row r="2939" spans="1:5" x14ac:dyDescent="0.2">
      <c r="A2939" s="28">
        <v>2938</v>
      </c>
      <c r="B2939" s="28" t="e">
        <f>interpola(#REF!,CURVA!$B$6:$B$20,CURVA!$G$6:$G$20)</f>
        <v>#VALUE!</v>
      </c>
      <c r="C2939" s="29" t="e">
        <f t="shared" si="45"/>
        <v>#VALUE!</v>
      </c>
      <c r="E2939" t="e">
        <f>cubic_spline(CURVA!$B$6:$B$20,CURVA!$G$6:$G$20,#REF!)</f>
        <v>#VALUE!</v>
      </c>
    </row>
    <row r="2940" spans="1:5" x14ac:dyDescent="0.2">
      <c r="A2940" s="28">
        <v>2939</v>
      </c>
      <c r="B2940" s="28" t="e">
        <f>interpola(#REF!,CURVA!$B$6:$B$20,CURVA!$G$6:$G$20)</f>
        <v>#VALUE!</v>
      </c>
      <c r="C2940" s="29" t="e">
        <f t="shared" si="45"/>
        <v>#VALUE!</v>
      </c>
      <c r="E2940" t="e">
        <f>cubic_spline(CURVA!$B$6:$B$20,CURVA!$G$6:$G$20,#REF!)</f>
        <v>#VALUE!</v>
      </c>
    </row>
    <row r="2941" spans="1:5" x14ac:dyDescent="0.2">
      <c r="A2941" s="28">
        <v>2940</v>
      </c>
      <c r="B2941" s="28" t="e">
        <f>interpola(#REF!,CURVA!$B$6:$B$20,CURVA!$G$6:$G$20)</f>
        <v>#VALUE!</v>
      </c>
      <c r="C2941" s="29" t="e">
        <f t="shared" si="45"/>
        <v>#VALUE!</v>
      </c>
      <c r="E2941" t="e">
        <f>cubic_spline(CURVA!$B$6:$B$20,CURVA!$G$6:$G$20,#REF!)</f>
        <v>#VALUE!</v>
      </c>
    </row>
    <row r="2942" spans="1:5" x14ac:dyDescent="0.2">
      <c r="A2942" s="28">
        <v>2941</v>
      </c>
      <c r="B2942" s="28" t="e">
        <f>interpola(#REF!,CURVA!$B$6:$B$20,CURVA!$G$6:$G$20)</f>
        <v>#VALUE!</v>
      </c>
      <c r="C2942" s="29" t="e">
        <f t="shared" si="45"/>
        <v>#VALUE!</v>
      </c>
      <c r="E2942" t="e">
        <f>cubic_spline(CURVA!$B$6:$B$20,CURVA!$G$6:$G$20,#REF!)</f>
        <v>#VALUE!</v>
      </c>
    </row>
    <row r="2943" spans="1:5" x14ac:dyDescent="0.2">
      <c r="A2943" s="28">
        <v>2942</v>
      </c>
      <c r="B2943" s="28" t="e">
        <f>interpola(#REF!,CURVA!$B$6:$B$20,CURVA!$G$6:$G$20)</f>
        <v>#VALUE!</v>
      </c>
      <c r="C2943" s="29" t="e">
        <f t="shared" si="45"/>
        <v>#VALUE!</v>
      </c>
      <c r="E2943" t="e">
        <f>cubic_spline(CURVA!$B$6:$B$20,CURVA!$G$6:$G$20,#REF!)</f>
        <v>#VALUE!</v>
      </c>
    </row>
    <row r="2944" spans="1:5" x14ac:dyDescent="0.2">
      <c r="A2944" s="28">
        <v>2943</v>
      </c>
      <c r="B2944" s="28" t="e">
        <f>interpola(#REF!,CURVA!$B$6:$B$20,CURVA!$G$6:$G$20)</f>
        <v>#VALUE!</v>
      </c>
      <c r="C2944" s="29" t="e">
        <f t="shared" si="45"/>
        <v>#VALUE!</v>
      </c>
      <c r="E2944" t="e">
        <f>cubic_spline(CURVA!$B$6:$B$20,CURVA!$G$6:$G$20,#REF!)</f>
        <v>#VALUE!</v>
      </c>
    </row>
    <row r="2945" spans="1:5" x14ac:dyDescent="0.2">
      <c r="A2945" s="28">
        <v>2944</v>
      </c>
      <c r="B2945" s="28" t="e">
        <f>interpola(#REF!,CURVA!$B$6:$B$20,CURVA!$G$6:$G$20)</f>
        <v>#VALUE!</v>
      </c>
      <c r="C2945" s="29" t="e">
        <f t="shared" si="45"/>
        <v>#VALUE!</v>
      </c>
      <c r="E2945" t="e">
        <f>cubic_spline(CURVA!$B$6:$B$20,CURVA!$G$6:$G$20,#REF!)</f>
        <v>#VALUE!</v>
      </c>
    </row>
    <row r="2946" spans="1:5" x14ac:dyDescent="0.2">
      <c r="A2946" s="28">
        <v>2945</v>
      </c>
      <c r="B2946" s="28" t="e">
        <f>interpola(#REF!,CURVA!$B$6:$B$20,CURVA!$G$6:$G$20)</f>
        <v>#VALUE!</v>
      </c>
      <c r="C2946" s="29" t="e">
        <f t="shared" ref="C2946:C3009" si="46">(EXP(B2946*A2946/360)-1)*360/A2946</f>
        <v>#VALUE!</v>
      </c>
      <c r="E2946" t="e">
        <f>cubic_spline(CURVA!$B$6:$B$20,CURVA!$G$6:$G$20,#REF!)</f>
        <v>#VALUE!</v>
      </c>
    </row>
    <row r="2947" spans="1:5" x14ac:dyDescent="0.2">
      <c r="A2947" s="28">
        <v>2946</v>
      </c>
      <c r="B2947" s="28" t="e">
        <f>interpola(#REF!,CURVA!$B$6:$B$20,CURVA!$G$6:$G$20)</f>
        <v>#VALUE!</v>
      </c>
      <c r="C2947" s="29" t="e">
        <f t="shared" si="46"/>
        <v>#VALUE!</v>
      </c>
      <c r="E2947" t="e">
        <f>cubic_spline(CURVA!$B$6:$B$20,CURVA!$G$6:$G$20,#REF!)</f>
        <v>#VALUE!</v>
      </c>
    </row>
    <row r="2948" spans="1:5" x14ac:dyDescent="0.2">
      <c r="A2948" s="28">
        <v>2947</v>
      </c>
      <c r="B2948" s="28" t="e">
        <f>interpola(#REF!,CURVA!$B$6:$B$20,CURVA!$G$6:$G$20)</f>
        <v>#VALUE!</v>
      </c>
      <c r="C2948" s="29" t="e">
        <f t="shared" si="46"/>
        <v>#VALUE!</v>
      </c>
      <c r="E2948" t="e">
        <f>cubic_spline(CURVA!$B$6:$B$20,CURVA!$G$6:$G$20,#REF!)</f>
        <v>#VALUE!</v>
      </c>
    </row>
    <row r="2949" spans="1:5" x14ac:dyDescent="0.2">
      <c r="A2949" s="28">
        <v>2948</v>
      </c>
      <c r="B2949" s="28" t="e">
        <f>interpola(#REF!,CURVA!$B$6:$B$20,CURVA!$G$6:$G$20)</f>
        <v>#VALUE!</v>
      </c>
      <c r="C2949" s="29" t="e">
        <f t="shared" si="46"/>
        <v>#VALUE!</v>
      </c>
      <c r="E2949" t="e">
        <f>cubic_spline(CURVA!$B$6:$B$20,CURVA!$G$6:$G$20,#REF!)</f>
        <v>#VALUE!</v>
      </c>
    </row>
    <row r="2950" spans="1:5" x14ac:dyDescent="0.2">
      <c r="A2950" s="28">
        <v>2949</v>
      </c>
      <c r="B2950" s="28" t="e">
        <f>interpola(#REF!,CURVA!$B$6:$B$20,CURVA!$G$6:$G$20)</f>
        <v>#VALUE!</v>
      </c>
      <c r="C2950" s="29" t="e">
        <f t="shared" si="46"/>
        <v>#VALUE!</v>
      </c>
      <c r="E2950" t="e">
        <f>cubic_spline(CURVA!$B$6:$B$20,CURVA!$G$6:$G$20,#REF!)</f>
        <v>#VALUE!</v>
      </c>
    </row>
    <row r="2951" spans="1:5" x14ac:dyDescent="0.2">
      <c r="A2951" s="28">
        <v>2950</v>
      </c>
      <c r="B2951" s="28" t="e">
        <f>interpola(#REF!,CURVA!$B$6:$B$20,CURVA!$G$6:$G$20)</f>
        <v>#VALUE!</v>
      </c>
      <c r="C2951" s="29" t="e">
        <f t="shared" si="46"/>
        <v>#VALUE!</v>
      </c>
      <c r="E2951" t="e">
        <f>cubic_spline(CURVA!$B$6:$B$20,CURVA!$G$6:$G$20,#REF!)</f>
        <v>#VALUE!</v>
      </c>
    </row>
    <row r="2952" spans="1:5" x14ac:dyDescent="0.2">
      <c r="A2952" s="28">
        <v>2951</v>
      </c>
      <c r="B2952" s="28" t="e">
        <f>interpola(#REF!,CURVA!$B$6:$B$20,CURVA!$G$6:$G$20)</f>
        <v>#VALUE!</v>
      </c>
      <c r="C2952" s="29" t="e">
        <f t="shared" si="46"/>
        <v>#VALUE!</v>
      </c>
      <c r="E2952" t="e">
        <f>cubic_spline(CURVA!$B$6:$B$20,CURVA!$G$6:$G$20,#REF!)</f>
        <v>#VALUE!</v>
      </c>
    </row>
    <row r="2953" spans="1:5" x14ac:dyDescent="0.2">
      <c r="A2953" s="28">
        <v>2952</v>
      </c>
      <c r="B2953" s="28" t="e">
        <f>interpola(#REF!,CURVA!$B$6:$B$20,CURVA!$G$6:$G$20)</f>
        <v>#VALUE!</v>
      </c>
      <c r="C2953" s="29" t="e">
        <f t="shared" si="46"/>
        <v>#VALUE!</v>
      </c>
      <c r="E2953" t="e">
        <f>cubic_spline(CURVA!$B$6:$B$20,CURVA!$G$6:$G$20,#REF!)</f>
        <v>#VALUE!</v>
      </c>
    </row>
    <row r="2954" spans="1:5" x14ac:dyDescent="0.2">
      <c r="A2954" s="28">
        <v>2953</v>
      </c>
      <c r="B2954" s="28" t="e">
        <f>interpola(#REF!,CURVA!$B$6:$B$20,CURVA!$G$6:$G$20)</f>
        <v>#VALUE!</v>
      </c>
      <c r="C2954" s="29" t="e">
        <f t="shared" si="46"/>
        <v>#VALUE!</v>
      </c>
      <c r="E2954" t="e">
        <f>cubic_spline(CURVA!$B$6:$B$20,CURVA!$G$6:$G$20,#REF!)</f>
        <v>#VALUE!</v>
      </c>
    </row>
    <row r="2955" spans="1:5" x14ac:dyDescent="0.2">
      <c r="A2955" s="28">
        <v>2954</v>
      </c>
      <c r="B2955" s="28" t="e">
        <f>interpola(#REF!,CURVA!$B$6:$B$20,CURVA!$G$6:$G$20)</f>
        <v>#VALUE!</v>
      </c>
      <c r="C2955" s="29" t="e">
        <f t="shared" si="46"/>
        <v>#VALUE!</v>
      </c>
      <c r="E2955" t="e">
        <f>cubic_spline(CURVA!$B$6:$B$20,CURVA!$G$6:$G$20,#REF!)</f>
        <v>#VALUE!</v>
      </c>
    </row>
    <row r="2956" spans="1:5" x14ac:dyDescent="0.2">
      <c r="A2956" s="28">
        <v>2955</v>
      </c>
      <c r="B2956" s="28" t="e">
        <f>interpola(#REF!,CURVA!$B$6:$B$20,CURVA!$G$6:$G$20)</f>
        <v>#VALUE!</v>
      </c>
      <c r="C2956" s="29" t="e">
        <f t="shared" si="46"/>
        <v>#VALUE!</v>
      </c>
      <c r="E2956" t="e">
        <f>cubic_spline(CURVA!$B$6:$B$20,CURVA!$G$6:$G$20,#REF!)</f>
        <v>#VALUE!</v>
      </c>
    </row>
    <row r="2957" spans="1:5" x14ac:dyDescent="0.2">
      <c r="A2957" s="28">
        <v>2956</v>
      </c>
      <c r="B2957" s="28" t="e">
        <f>interpola(#REF!,CURVA!$B$6:$B$20,CURVA!$G$6:$G$20)</f>
        <v>#VALUE!</v>
      </c>
      <c r="C2957" s="29" t="e">
        <f t="shared" si="46"/>
        <v>#VALUE!</v>
      </c>
      <c r="E2957" t="e">
        <f>cubic_spline(CURVA!$B$6:$B$20,CURVA!$G$6:$G$20,#REF!)</f>
        <v>#VALUE!</v>
      </c>
    </row>
    <row r="2958" spans="1:5" x14ac:dyDescent="0.2">
      <c r="A2958" s="28">
        <v>2957</v>
      </c>
      <c r="B2958" s="28" t="e">
        <f>interpola(#REF!,CURVA!$B$6:$B$20,CURVA!$G$6:$G$20)</f>
        <v>#VALUE!</v>
      </c>
      <c r="C2958" s="29" t="e">
        <f t="shared" si="46"/>
        <v>#VALUE!</v>
      </c>
      <c r="E2958" t="e">
        <f>cubic_spline(CURVA!$B$6:$B$20,CURVA!$G$6:$G$20,#REF!)</f>
        <v>#VALUE!</v>
      </c>
    </row>
    <row r="2959" spans="1:5" x14ac:dyDescent="0.2">
      <c r="A2959" s="28">
        <v>2958</v>
      </c>
      <c r="B2959" s="28" t="e">
        <f>interpola(#REF!,CURVA!$B$6:$B$20,CURVA!$G$6:$G$20)</f>
        <v>#VALUE!</v>
      </c>
      <c r="C2959" s="29" t="e">
        <f t="shared" si="46"/>
        <v>#VALUE!</v>
      </c>
      <c r="E2959" t="e">
        <f>cubic_spline(CURVA!$B$6:$B$20,CURVA!$G$6:$G$20,#REF!)</f>
        <v>#VALUE!</v>
      </c>
    </row>
    <row r="2960" spans="1:5" x14ac:dyDescent="0.2">
      <c r="A2960" s="28">
        <v>2959</v>
      </c>
      <c r="B2960" s="28" t="e">
        <f>interpola(#REF!,CURVA!$B$6:$B$20,CURVA!$G$6:$G$20)</f>
        <v>#VALUE!</v>
      </c>
      <c r="C2960" s="29" t="e">
        <f t="shared" si="46"/>
        <v>#VALUE!</v>
      </c>
      <c r="E2960" t="e">
        <f>cubic_spline(CURVA!$B$6:$B$20,CURVA!$G$6:$G$20,#REF!)</f>
        <v>#VALUE!</v>
      </c>
    </row>
    <row r="2961" spans="1:5" x14ac:dyDescent="0.2">
      <c r="A2961" s="28">
        <v>2960</v>
      </c>
      <c r="B2961" s="28" t="e">
        <f>interpola(#REF!,CURVA!$B$6:$B$20,CURVA!$G$6:$G$20)</f>
        <v>#VALUE!</v>
      </c>
      <c r="C2961" s="29" t="e">
        <f t="shared" si="46"/>
        <v>#VALUE!</v>
      </c>
      <c r="E2961" t="e">
        <f>cubic_spline(CURVA!$B$6:$B$20,CURVA!$G$6:$G$20,#REF!)</f>
        <v>#VALUE!</v>
      </c>
    </row>
    <row r="2962" spans="1:5" x14ac:dyDescent="0.2">
      <c r="A2962" s="28">
        <v>2961</v>
      </c>
      <c r="B2962" s="28" t="e">
        <f>interpola(#REF!,CURVA!$B$6:$B$20,CURVA!$G$6:$G$20)</f>
        <v>#VALUE!</v>
      </c>
      <c r="C2962" s="29" t="e">
        <f t="shared" si="46"/>
        <v>#VALUE!</v>
      </c>
      <c r="E2962" t="e">
        <f>cubic_spline(CURVA!$B$6:$B$20,CURVA!$G$6:$G$20,#REF!)</f>
        <v>#VALUE!</v>
      </c>
    </row>
    <row r="2963" spans="1:5" x14ac:dyDescent="0.2">
      <c r="A2963" s="28">
        <v>2962</v>
      </c>
      <c r="B2963" s="28" t="e">
        <f>interpola(#REF!,CURVA!$B$6:$B$20,CURVA!$G$6:$G$20)</f>
        <v>#VALUE!</v>
      </c>
      <c r="C2963" s="29" t="e">
        <f t="shared" si="46"/>
        <v>#VALUE!</v>
      </c>
      <c r="E2963" t="e">
        <f>cubic_spline(CURVA!$B$6:$B$20,CURVA!$G$6:$G$20,#REF!)</f>
        <v>#VALUE!</v>
      </c>
    </row>
    <row r="2964" spans="1:5" x14ac:dyDescent="0.2">
      <c r="A2964" s="28">
        <v>2963</v>
      </c>
      <c r="B2964" s="28" t="e">
        <f>interpola(#REF!,CURVA!$B$6:$B$20,CURVA!$G$6:$G$20)</f>
        <v>#VALUE!</v>
      </c>
      <c r="C2964" s="29" t="e">
        <f t="shared" si="46"/>
        <v>#VALUE!</v>
      </c>
      <c r="E2964" t="e">
        <f>cubic_spline(CURVA!$B$6:$B$20,CURVA!$G$6:$G$20,#REF!)</f>
        <v>#VALUE!</v>
      </c>
    </row>
    <row r="2965" spans="1:5" x14ac:dyDescent="0.2">
      <c r="A2965" s="28">
        <v>2964</v>
      </c>
      <c r="B2965" s="28" t="e">
        <f>interpola(#REF!,CURVA!$B$6:$B$20,CURVA!$G$6:$G$20)</f>
        <v>#VALUE!</v>
      </c>
      <c r="C2965" s="29" t="e">
        <f t="shared" si="46"/>
        <v>#VALUE!</v>
      </c>
      <c r="E2965" t="e">
        <f>cubic_spline(CURVA!$B$6:$B$20,CURVA!$G$6:$G$20,#REF!)</f>
        <v>#VALUE!</v>
      </c>
    </row>
    <row r="2966" spans="1:5" x14ac:dyDescent="0.2">
      <c r="A2966" s="28">
        <v>2965</v>
      </c>
      <c r="B2966" s="28" t="e">
        <f>interpola(#REF!,CURVA!$B$6:$B$20,CURVA!$G$6:$G$20)</f>
        <v>#VALUE!</v>
      </c>
      <c r="C2966" s="29" t="e">
        <f t="shared" si="46"/>
        <v>#VALUE!</v>
      </c>
      <c r="E2966" t="e">
        <f>cubic_spline(CURVA!$B$6:$B$20,CURVA!$G$6:$G$20,#REF!)</f>
        <v>#VALUE!</v>
      </c>
    </row>
    <row r="2967" spans="1:5" x14ac:dyDescent="0.2">
      <c r="A2967" s="28">
        <v>2966</v>
      </c>
      <c r="B2967" s="28" t="e">
        <f>interpola(#REF!,CURVA!$B$6:$B$20,CURVA!$G$6:$G$20)</f>
        <v>#VALUE!</v>
      </c>
      <c r="C2967" s="29" t="e">
        <f t="shared" si="46"/>
        <v>#VALUE!</v>
      </c>
      <c r="E2967" t="e">
        <f>cubic_spline(CURVA!$B$6:$B$20,CURVA!$G$6:$G$20,#REF!)</f>
        <v>#VALUE!</v>
      </c>
    </row>
    <row r="2968" spans="1:5" x14ac:dyDescent="0.2">
      <c r="A2968" s="28">
        <v>2967</v>
      </c>
      <c r="B2968" s="28" t="e">
        <f>interpola(#REF!,CURVA!$B$6:$B$20,CURVA!$G$6:$G$20)</f>
        <v>#VALUE!</v>
      </c>
      <c r="C2968" s="29" t="e">
        <f t="shared" si="46"/>
        <v>#VALUE!</v>
      </c>
      <c r="E2968" t="e">
        <f>cubic_spline(CURVA!$B$6:$B$20,CURVA!$G$6:$G$20,#REF!)</f>
        <v>#VALUE!</v>
      </c>
    </row>
    <row r="2969" spans="1:5" x14ac:dyDescent="0.2">
      <c r="A2969" s="28">
        <v>2968</v>
      </c>
      <c r="B2969" s="28" t="e">
        <f>interpola(#REF!,CURVA!$B$6:$B$20,CURVA!$G$6:$G$20)</f>
        <v>#VALUE!</v>
      </c>
      <c r="C2969" s="29" t="e">
        <f t="shared" si="46"/>
        <v>#VALUE!</v>
      </c>
      <c r="E2969" t="e">
        <f>cubic_spline(CURVA!$B$6:$B$20,CURVA!$G$6:$G$20,#REF!)</f>
        <v>#VALUE!</v>
      </c>
    </row>
    <row r="2970" spans="1:5" x14ac:dyDescent="0.2">
      <c r="A2970" s="28">
        <v>2969</v>
      </c>
      <c r="B2970" s="28" t="e">
        <f>interpola(#REF!,CURVA!$B$6:$B$20,CURVA!$G$6:$G$20)</f>
        <v>#VALUE!</v>
      </c>
      <c r="C2970" s="29" t="e">
        <f t="shared" si="46"/>
        <v>#VALUE!</v>
      </c>
      <c r="E2970" t="e">
        <f>cubic_spline(CURVA!$B$6:$B$20,CURVA!$G$6:$G$20,#REF!)</f>
        <v>#VALUE!</v>
      </c>
    </row>
    <row r="2971" spans="1:5" x14ac:dyDescent="0.2">
      <c r="A2971" s="28">
        <v>2970</v>
      </c>
      <c r="B2971" s="28" t="e">
        <f>interpola(#REF!,CURVA!$B$6:$B$20,CURVA!$G$6:$G$20)</f>
        <v>#VALUE!</v>
      </c>
      <c r="C2971" s="29" t="e">
        <f t="shared" si="46"/>
        <v>#VALUE!</v>
      </c>
      <c r="E2971" t="e">
        <f>cubic_spline(CURVA!$B$6:$B$20,CURVA!$G$6:$G$20,#REF!)</f>
        <v>#VALUE!</v>
      </c>
    </row>
    <row r="2972" spans="1:5" x14ac:dyDescent="0.2">
      <c r="A2972" s="28">
        <v>2971</v>
      </c>
      <c r="B2972" s="28" t="e">
        <f>interpola(#REF!,CURVA!$B$6:$B$20,CURVA!$G$6:$G$20)</f>
        <v>#VALUE!</v>
      </c>
      <c r="C2972" s="29" t="e">
        <f t="shared" si="46"/>
        <v>#VALUE!</v>
      </c>
      <c r="E2972" t="e">
        <f>cubic_spline(CURVA!$B$6:$B$20,CURVA!$G$6:$G$20,#REF!)</f>
        <v>#VALUE!</v>
      </c>
    </row>
    <row r="2973" spans="1:5" x14ac:dyDescent="0.2">
      <c r="A2973" s="28">
        <v>2972</v>
      </c>
      <c r="B2973" s="28" t="e">
        <f>interpola(#REF!,CURVA!$B$6:$B$20,CURVA!$G$6:$G$20)</f>
        <v>#VALUE!</v>
      </c>
      <c r="C2973" s="29" t="e">
        <f t="shared" si="46"/>
        <v>#VALUE!</v>
      </c>
      <c r="E2973" t="e">
        <f>cubic_spline(CURVA!$B$6:$B$20,CURVA!$G$6:$G$20,#REF!)</f>
        <v>#VALUE!</v>
      </c>
    </row>
    <row r="2974" spans="1:5" x14ac:dyDescent="0.2">
      <c r="A2974" s="28">
        <v>2973</v>
      </c>
      <c r="B2974" s="28" t="e">
        <f>interpola(#REF!,CURVA!$B$6:$B$20,CURVA!$G$6:$G$20)</f>
        <v>#VALUE!</v>
      </c>
      <c r="C2974" s="29" t="e">
        <f t="shared" si="46"/>
        <v>#VALUE!</v>
      </c>
      <c r="E2974" t="e">
        <f>cubic_spline(CURVA!$B$6:$B$20,CURVA!$G$6:$G$20,#REF!)</f>
        <v>#VALUE!</v>
      </c>
    </row>
    <row r="2975" spans="1:5" x14ac:dyDescent="0.2">
      <c r="A2975" s="28">
        <v>2974</v>
      </c>
      <c r="B2975" s="28" t="e">
        <f>interpola(#REF!,CURVA!$B$6:$B$20,CURVA!$G$6:$G$20)</f>
        <v>#VALUE!</v>
      </c>
      <c r="C2975" s="29" t="e">
        <f t="shared" si="46"/>
        <v>#VALUE!</v>
      </c>
      <c r="E2975" t="e">
        <f>cubic_spline(CURVA!$B$6:$B$20,CURVA!$G$6:$G$20,#REF!)</f>
        <v>#VALUE!</v>
      </c>
    </row>
    <row r="2976" spans="1:5" x14ac:dyDescent="0.2">
      <c r="A2976" s="28">
        <v>2975</v>
      </c>
      <c r="B2976" s="28" t="e">
        <f>interpola(#REF!,CURVA!$B$6:$B$20,CURVA!$G$6:$G$20)</f>
        <v>#VALUE!</v>
      </c>
      <c r="C2976" s="29" t="e">
        <f t="shared" si="46"/>
        <v>#VALUE!</v>
      </c>
      <c r="E2976" t="e">
        <f>cubic_spline(CURVA!$B$6:$B$20,CURVA!$G$6:$G$20,#REF!)</f>
        <v>#VALUE!</v>
      </c>
    </row>
    <row r="2977" spans="1:5" x14ac:dyDescent="0.2">
      <c r="A2977" s="28">
        <v>2976</v>
      </c>
      <c r="B2977" s="28" t="e">
        <f>interpola(#REF!,CURVA!$B$6:$B$20,CURVA!$G$6:$G$20)</f>
        <v>#VALUE!</v>
      </c>
      <c r="C2977" s="29" t="e">
        <f t="shared" si="46"/>
        <v>#VALUE!</v>
      </c>
      <c r="E2977" t="e">
        <f>cubic_spline(CURVA!$B$6:$B$20,CURVA!$G$6:$G$20,#REF!)</f>
        <v>#VALUE!</v>
      </c>
    </row>
    <row r="2978" spans="1:5" x14ac:dyDescent="0.2">
      <c r="A2978" s="28">
        <v>2977</v>
      </c>
      <c r="B2978" s="28" t="e">
        <f>interpola(#REF!,CURVA!$B$6:$B$20,CURVA!$G$6:$G$20)</f>
        <v>#VALUE!</v>
      </c>
      <c r="C2978" s="29" t="e">
        <f t="shared" si="46"/>
        <v>#VALUE!</v>
      </c>
      <c r="E2978" t="e">
        <f>cubic_spline(CURVA!$B$6:$B$20,CURVA!$G$6:$G$20,#REF!)</f>
        <v>#VALUE!</v>
      </c>
    </row>
    <row r="2979" spans="1:5" x14ac:dyDescent="0.2">
      <c r="A2979" s="28">
        <v>2978</v>
      </c>
      <c r="B2979" s="28" t="e">
        <f>interpola(#REF!,CURVA!$B$6:$B$20,CURVA!$G$6:$G$20)</f>
        <v>#VALUE!</v>
      </c>
      <c r="C2979" s="29" t="e">
        <f t="shared" si="46"/>
        <v>#VALUE!</v>
      </c>
      <c r="E2979" t="e">
        <f>cubic_spline(CURVA!$B$6:$B$20,CURVA!$G$6:$G$20,#REF!)</f>
        <v>#VALUE!</v>
      </c>
    </row>
    <row r="2980" spans="1:5" x14ac:dyDescent="0.2">
      <c r="A2980" s="28">
        <v>2979</v>
      </c>
      <c r="B2980" s="28" t="e">
        <f>interpola(#REF!,CURVA!$B$6:$B$20,CURVA!$G$6:$G$20)</f>
        <v>#VALUE!</v>
      </c>
      <c r="C2980" s="29" t="e">
        <f t="shared" si="46"/>
        <v>#VALUE!</v>
      </c>
      <c r="E2980" t="e">
        <f>cubic_spline(CURVA!$B$6:$B$20,CURVA!$G$6:$G$20,#REF!)</f>
        <v>#VALUE!</v>
      </c>
    </row>
    <row r="2981" spans="1:5" x14ac:dyDescent="0.2">
      <c r="A2981" s="28">
        <v>2980</v>
      </c>
      <c r="B2981" s="28" t="e">
        <f>interpola(#REF!,CURVA!$B$6:$B$20,CURVA!$G$6:$G$20)</f>
        <v>#VALUE!</v>
      </c>
      <c r="C2981" s="29" t="e">
        <f t="shared" si="46"/>
        <v>#VALUE!</v>
      </c>
      <c r="E2981" t="e">
        <f>cubic_spline(CURVA!$B$6:$B$20,CURVA!$G$6:$G$20,#REF!)</f>
        <v>#VALUE!</v>
      </c>
    </row>
    <row r="2982" spans="1:5" x14ac:dyDescent="0.2">
      <c r="A2982" s="28">
        <v>2981</v>
      </c>
      <c r="B2982" s="28" t="e">
        <f>interpola(#REF!,CURVA!$B$6:$B$20,CURVA!$G$6:$G$20)</f>
        <v>#VALUE!</v>
      </c>
      <c r="C2982" s="29" t="e">
        <f t="shared" si="46"/>
        <v>#VALUE!</v>
      </c>
      <c r="E2982" t="e">
        <f>cubic_spline(CURVA!$B$6:$B$20,CURVA!$G$6:$G$20,#REF!)</f>
        <v>#VALUE!</v>
      </c>
    </row>
    <row r="2983" spans="1:5" x14ac:dyDescent="0.2">
      <c r="A2983" s="28">
        <v>2982</v>
      </c>
      <c r="B2983" s="28" t="e">
        <f>interpola(#REF!,CURVA!$B$6:$B$20,CURVA!$G$6:$G$20)</f>
        <v>#VALUE!</v>
      </c>
      <c r="C2983" s="29" t="e">
        <f t="shared" si="46"/>
        <v>#VALUE!</v>
      </c>
      <c r="E2983" t="e">
        <f>cubic_spline(CURVA!$B$6:$B$20,CURVA!$G$6:$G$20,#REF!)</f>
        <v>#VALUE!</v>
      </c>
    </row>
    <row r="2984" spans="1:5" x14ac:dyDescent="0.2">
      <c r="A2984" s="28">
        <v>2983</v>
      </c>
      <c r="B2984" s="28" t="e">
        <f>interpola(#REF!,CURVA!$B$6:$B$20,CURVA!$G$6:$G$20)</f>
        <v>#VALUE!</v>
      </c>
      <c r="C2984" s="29" t="e">
        <f t="shared" si="46"/>
        <v>#VALUE!</v>
      </c>
      <c r="E2984" t="e">
        <f>cubic_spline(CURVA!$B$6:$B$20,CURVA!$G$6:$G$20,#REF!)</f>
        <v>#VALUE!</v>
      </c>
    </row>
    <row r="2985" spans="1:5" x14ac:dyDescent="0.2">
      <c r="A2985" s="28">
        <v>2984</v>
      </c>
      <c r="B2985" s="28" t="e">
        <f>interpola(#REF!,CURVA!$B$6:$B$20,CURVA!$G$6:$G$20)</f>
        <v>#VALUE!</v>
      </c>
      <c r="C2985" s="29" t="e">
        <f t="shared" si="46"/>
        <v>#VALUE!</v>
      </c>
      <c r="E2985" t="e">
        <f>cubic_spline(CURVA!$B$6:$B$20,CURVA!$G$6:$G$20,#REF!)</f>
        <v>#VALUE!</v>
      </c>
    </row>
    <row r="2986" spans="1:5" x14ac:dyDescent="0.2">
      <c r="A2986" s="28">
        <v>2985</v>
      </c>
      <c r="B2986" s="28" t="e">
        <f>interpola(#REF!,CURVA!$B$6:$B$20,CURVA!$G$6:$G$20)</f>
        <v>#VALUE!</v>
      </c>
      <c r="C2986" s="29" t="e">
        <f t="shared" si="46"/>
        <v>#VALUE!</v>
      </c>
      <c r="E2986" t="e">
        <f>cubic_spline(CURVA!$B$6:$B$20,CURVA!$G$6:$G$20,#REF!)</f>
        <v>#VALUE!</v>
      </c>
    </row>
    <row r="2987" spans="1:5" x14ac:dyDescent="0.2">
      <c r="A2987" s="28">
        <v>2986</v>
      </c>
      <c r="B2987" s="28" t="e">
        <f>interpola(#REF!,CURVA!$B$6:$B$20,CURVA!$G$6:$G$20)</f>
        <v>#VALUE!</v>
      </c>
      <c r="C2987" s="29" t="e">
        <f t="shared" si="46"/>
        <v>#VALUE!</v>
      </c>
      <c r="E2987" t="e">
        <f>cubic_spline(CURVA!$B$6:$B$20,CURVA!$G$6:$G$20,#REF!)</f>
        <v>#VALUE!</v>
      </c>
    </row>
    <row r="2988" spans="1:5" x14ac:dyDescent="0.2">
      <c r="A2988" s="28">
        <v>2987</v>
      </c>
      <c r="B2988" s="28" t="e">
        <f>interpola(#REF!,CURVA!$B$6:$B$20,CURVA!$G$6:$G$20)</f>
        <v>#VALUE!</v>
      </c>
      <c r="C2988" s="29" t="e">
        <f t="shared" si="46"/>
        <v>#VALUE!</v>
      </c>
      <c r="E2988" t="e">
        <f>cubic_spline(CURVA!$B$6:$B$20,CURVA!$G$6:$G$20,#REF!)</f>
        <v>#VALUE!</v>
      </c>
    </row>
    <row r="2989" spans="1:5" x14ac:dyDescent="0.2">
      <c r="A2989" s="28">
        <v>2988</v>
      </c>
      <c r="B2989" s="28" t="e">
        <f>interpola(#REF!,CURVA!$B$6:$B$20,CURVA!$G$6:$G$20)</f>
        <v>#VALUE!</v>
      </c>
      <c r="C2989" s="29" t="e">
        <f t="shared" si="46"/>
        <v>#VALUE!</v>
      </c>
      <c r="E2989" t="e">
        <f>cubic_spline(CURVA!$B$6:$B$20,CURVA!$G$6:$G$20,#REF!)</f>
        <v>#VALUE!</v>
      </c>
    </row>
    <row r="2990" spans="1:5" x14ac:dyDescent="0.2">
      <c r="A2990" s="28">
        <v>2989</v>
      </c>
      <c r="B2990" s="28" t="e">
        <f>interpola(#REF!,CURVA!$B$6:$B$20,CURVA!$G$6:$G$20)</f>
        <v>#VALUE!</v>
      </c>
      <c r="C2990" s="29" t="e">
        <f t="shared" si="46"/>
        <v>#VALUE!</v>
      </c>
      <c r="E2990" t="e">
        <f>cubic_spline(CURVA!$B$6:$B$20,CURVA!$G$6:$G$20,#REF!)</f>
        <v>#VALUE!</v>
      </c>
    </row>
    <row r="2991" spans="1:5" x14ac:dyDescent="0.2">
      <c r="A2991" s="28">
        <v>2990</v>
      </c>
      <c r="B2991" s="28" t="e">
        <f>interpola(#REF!,CURVA!$B$6:$B$20,CURVA!$G$6:$G$20)</f>
        <v>#VALUE!</v>
      </c>
      <c r="C2991" s="29" t="e">
        <f t="shared" si="46"/>
        <v>#VALUE!</v>
      </c>
      <c r="E2991" t="e">
        <f>cubic_spline(CURVA!$B$6:$B$20,CURVA!$G$6:$G$20,#REF!)</f>
        <v>#VALUE!</v>
      </c>
    </row>
    <row r="2992" spans="1:5" x14ac:dyDescent="0.2">
      <c r="A2992" s="28">
        <v>2991</v>
      </c>
      <c r="B2992" s="28" t="e">
        <f>interpola(#REF!,CURVA!$B$6:$B$20,CURVA!$G$6:$G$20)</f>
        <v>#VALUE!</v>
      </c>
      <c r="C2992" s="29" t="e">
        <f t="shared" si="46"/>
        <v>#VALUE!</v>
      </c>
      <c r="E2992" t="e">
        <f>cubic_spline(CURVA!$B$6:$B$20,CURVA!$G$6:$G$20,#REF!)</f>
        <v>#VALUE!</v>
      </c>
    </row>
    <row r="2993" spans="1:5" x14ac:dyDescent="0.2">
      <c r="A2993" s="28">
        <v>2992</v>
      </c>
      <c r="B2993" s="28" t="e">
        <f>interpola(#REF!,CURVA!$B$6:$B$20,CURVA!$G$6:$G$20)</f>
        <v>#VALUE!</v>
      </c>
      <c r="C2993" s="29" t="e">
        <f t="shared" si="46"/>
        <v>#VALUE!</v>
      </c>
      <c r="E2993" t="e">
        <f>cubic_spline(CURVA!$B$6:$B$20,CURVA!$G$6:$G$20,#REF!)</f>
        <v>#VALUE!</v>
      </c>
    </row>
    <row r="2994" spans="1:5" x14ac:dyDescent="0.2">
      <c r="A2994" s="28">
        <v>2993</v>
      </c>
      <c r="B2994" s="28" t="e">
        <f>interpola(#REF!,CURVA!$B$6:$B$20,CURVA!$G$6:$G$20)</f>
        <v>#VALUE!</v>
      </c>
      <c r="C2994" s="29" t="e">
        <f t="shared" si="46"/>
        <v>#VALUE!</v>
      </c>
      <c r="E2994" t="e">
        <f>cubic_spline(CURVA!$B$6:$B$20,CURVA!$G$6:$G$20,#REF!)</f>
        <v>#VALUE!</v>
      </c>
    </row>
    <row r="2995" spans="1:5" x14ac:dyDescent="0.2">
      <c r="A2995" s="28">
        <v>2994</v>
      </c>
      <c r="B2995" s="28" t="e">
        <f>interpola(#REF!,CURVA!$B$6:$B$20,CURVA!$G$6:$G$20)</f>
        <v>#VALUE!</v>
      </c>
      <c r="C2995" s="29" t="e">
        <f t="shared" si="46"/>
        <v>#VALUE!</v>
      </c>
      <c r="E2995" t="e">
        <f>cubic_spline(CURVA!$B$6:$B$20,CURVA!$G$6:$G$20,#REF!)</f>
        <v>#VALUE!</v>
      </c>
    </row>
    <row r="2996" spans="1:5" x14ac:dyDescent="0.2">
      <c r="A2996" s="28">
        <v>2995</v>
      </c>
      <c r="B2996" s="28" t="e">
        <f>interpola(#REF!,CURVA!$B$6:$B$20,CURVA!$G$6:$G$20)</f>
        <v>#VALUE!</v>
      </c>
      <c r="C2996" s="29" t="e">
        <f t="shared" si="46"/>
        <v>#VALUE!</v>
      </c>
      <c r="E2996" t="e">
        <f>cubic_spline(CURVA!$B$6:$B$20,CURVA!$G$6:$G$20,#REF!)</f>
        <v>#VALUE!</v>
      </c>
    </row>
    <row r="2997" spans="1:5" x14ac:dyDescent="0.2">
      <c r="A2997" s="28">
        <v>2996</v>
      </c>
      <c r="B2997" s="28" t="e">
        <f>interpola(#REF!,CURVA!$B$6:$B$20,CURVA!$G$6:$G$20)</f>
        <v>#VALUE!</v>
      </c>
      <c r="C2997" s="29" t="e">
        <f t="shared" si="46"/>
        <v>#VALUE!</v>
      </c>
      <c r="E2997" t="e">
        <f>cubic_spline(CURVA!$B$6:$B$20,CURVA!$G$6:$G$20,#REF!)</f>
        <v>#VALUE!</v>
      </c>
    </row>
    <row r="2998" spans="1:5" x14ac:dyDescent="0.2">
      <c r="A2998" s="28">
        <v>2997</v>
      </c>
      <c r="B2998" s="28" t="e">
        <f>interpola(#REF!,CURVA!$B$6:$B$20,CURVA!$G$6:$G$20)</f>
        <v>#VALUE!</v>
      </c>
      <c r="C2998" s="29" t="e">
        <f t="shared" si="46"/>
        <v>#VALUE!</v>
      </c>
      <c r="E2998" t="e">
        <f>cubic_spline(CURVA!$B$6:$B$20,CURVA!$G$6:$G$20,#REF!)</f>
        <v>#VALUE!</v>
      </c>
    </row>
    <row r="2999" spans="1:5" x14ac:dyDescent="0.2">
      <c r="A2999" s="28">
        <v>2998</v>
      </c>
      <c r="B2999" s="28" t="e">
        <f>interpola(#REF!,CURVA!$B$6:$B$20,CURVA!$G$6:$G$20)</f>
        <v>#VALUE!</v>
      </c>
      <c r="C2999" s="29" t="e">
        <f t="shared" si="46"/>
        <v>#VALUE!</v>
      </c>
      <c r="E2999" t="e">
        <f>cubic_spline(CURVA!$B$6:$B$20,CURVA!$G$6:$G$20,#REF!)</f>
        <v>#VALUE!</v>
      </c>
    </row>
    <row r="3000" spans="1:5" x14ac:dyDescent="0.2">
      <c r="A3000" s="28">
        <v>2999</v>
      </c>
      <c r="B3000" s="28" t="e">
        <f>interpola(#REF!,CURVA!$B$6:$B$20,CURVA!$G$6:$G$20)</f>
        <v>#VALUE!</v>
      </c>
      <c r="C3000" s="29" t="e">
        <f t="shared" si="46"/>
        <v>#VALUE!</v>
      </c>
      <c r="E3000" t="e">
        <f>cubic_spline(CURVA!$B$6:$B$20,CURVA!$G$6:$G$20,#REF!)</f>
        <v>#VALUE!</v>
      </c>
    </row>
    <row r="3001" spans="1:5" x14ac:dyDescent="0.2">
      <c r="A3001" s="28">
        <v>3000</v>
      </c>
      <c r="B3001" s="28" t="e">
        <f>interpola(#REF!,CURVA!$B$6:$B$20,CURVA!$G$6:$G$20)</f>
        <v>#VALUE!</v>
      </c>
      <c r="C3001" s="29" t="e">
        <f t="shared" si="46"/>
        <v>#VALUE!</v>
      </c>
      <c r="E3001" t="e">
        <f>cubic_spline(CURVA!$B$6:$B$20,CURVA!$G$6:$G$20,#REF!)</f>
        <v>#VALUE!</v>
      </c>
    </row>
    <row r="3002" spans="1:5" x14ac:dyDescent="0.2">
      <c r="A3002" s="28">
        <v>3001</v>
      </c>
      <c r="B3002" s="28" t="e">
        <f>interpola(#REF!,CURVA!$B$6:$B$20,CURVA!$G$6:$G$20)</f>
        <v>#VALUE!</v>
      </c>
      <c r="C3002" s="29" t="e">
        <f t="shared" si="46"/>
        <v>#VALUE!</v>
      </c>
      <c r="E3002" t="e">
        <f>cubic_spline(CURVA!$B$6:$B$20,CURVA!$G$6:$G$20,#REF!)</f>
        <v>#VALUE!</v>
      </c>
    </row>
    <row r="3003" spans="1:5" x14ac:dyDescent="0.2">
      <c r="A3003" s="28">
        <v>3002</v>
      </c>
      <c r="B3003" s="28" t="e">
        <f>interpola(#REF!,CURVA!$B$6:$B$20,CURVA!$G$6:$G$20)</f>
        <v>#VALUE!</v>
      </c>
      <c r="C3003" s="29" t="e">
        <f t="shared" si="46"/>
        <v>#VALUE!</v>
      </c>
      <c r="E3003" t="e">
        <f>cubic_spline(CURVA!$B$6:$B$20,CURVA!$G$6:$G$20,#REF!)</f>
        <v>#VALUE!</v>
      </c>
    </row>
    <row r="3004" spans="1:5" x14ac:dyDescent="0.2">
      <c r="A3004" s="28">
        <v>3003</v>
      </c>
      <c r="B3004" s="28" t="e">
        <f>interpola(#REF!,CURVA!$B$6:$B$20,CURVA!$G$6:$G$20)</f>
        <v>#VALUE!</v>
      </c>
      <c r="C3004" s="29" t="e">
        <f t="shared" si="46"/>
        <v>#VALUE!</v>
      </c>
      <c r="E3004" t="e">
        <f>cubic_spline(CURVA!$B$6:$B$20,CURVA!$G$6:$G$20,#REF!)</f>
        <v>#VALUE!</v>
      </c>
    </row>
    <row r="3005" spans="1:5" x14ac:dyDescent="0.2">
      <c r="A3005" s="28">
        <v>3004</v>
      </c>
      <c r="B3005" s="28" t="e">
        <f>interpola(#REF!,CURVA!$B$6:$B$20,CURVA!$G$6:$G$20)</f>
        <v>#VALUE!</v>
      </c>
      <c r="C3005" s="29" t="e">
        <f t="shared" si="46"/>
        <v>#VALUE!</v>
      </c>
      <c r="E3005" t="e">
        <f>cubic_spline(CURVA!$B$6:$B$20,CURVA!$G$6:$G$20,#REF!)</f>
        <v>#VALUE!</v>
      </c>
    </row>
    <row r="3006" spans="1:5" x14ac:dyDescent="0.2">
      <c r="A3006" s="28">
        <v>3005</v>
      </c>
      <c r="B3006" s="28" t="e">
        <f>interpola(#REF!,CURVA!$B$6:$B$20,CURVA!$G$6:$G$20)</f>
        <v>#VALUE!</v>
      </c>
      <c r="C3006" s="29" t="e">
        <f t="shared" si="46"/>
        <v>#VALUE!</v>
      </c>
      <c r="E3006" t="e">
        <f>cubic_spline(CURVA!$B$6:$B$20,CURVA!$G$6:$G$20,#REF!)</f>
        <v>#VALUE!</v>
      </c>
    </row>
    <row r="3007" spans="1:5" x14ac:dyDescent="0.2">
      <c r="A3007" s="28">
        <v>3006</v>
      </c>
      <c r="B3007" s="28" t="e">
        <f>interpola(#REF!,CURVA!$B$6:$B$20,CURVA!$G$6:$G$20)</f>
        <v>#VALUE!</v>
      </c>
      <c r="C3007" s="29" t="e">
        <f t="shared" si="46"/>
        <v>#VALUE!</v>
      </c>
      <c r="E3007" t="e">
        <f>cubic_spline(CURVA!$B$6:$B$20,CURVA!$G$6:$G$20,#REF!)</f>
        <v>#VALUE!</v>
      </c>
    </row>
    <row r="3008" spans="1:5" x14ac:dyDescent="0.2">
      <c r="A3008" s="28">
        <v>3007</v>
      </c>
      <c r="B3008" s="28" t="e">
        <f>interpola(#REF!,CURVA!$B$6:$B$20,CURVA!$G$6:$G$20)</f>
        <v>#VALUE!</v>
      </c>
      <c r="C3008" s="29" t="e">
        <f t="shared" si="46"/>
        <v>#VALUE!</v>
      </c>
      <c r="E3008" t="e">
        <f>cubic_spline(CURVA!$B$6:$B$20,CURVA!$G$6:$G$20,#REF!)</f>
        <v>#VALUE!</v>
      </c>
    </row>
    <row r="3009" spans="1:5" x14ac:dyDescent="0.2">
      <c r="A3009" s="28">
        <v>3008</v>
      </c>
      <c r="B3009" s="28" t="e">
        <f>interpola(#REF!,CURVA!$B$6:$B$20,CURVA!$G$6:$G$20)</f>
        <v>#VALUE!</v>
      </c>
      <c r="C3009" s="29" t="e">
        <f t="shared" si="46"/>
        <v>#VALUE!</v>
      </c>
      <c r="E3009" t="e">
        <f>cubic_spline(CURVA!$B$6:$B$20,CURVA!$G$6:$G$20,#REF!)</f>
        <v>#VALUE!</v>
      </c>
    </row>
    <row r="3010" spans="1:5" x14ac:dyDescent="0.2">
      <c r="A3010" s="28">
        <v>3009</v>
      </c>
      <c r="B3010" s="28" t="e">
        <f>interpola(#REF!,CURVA!$B$6:$B$20,CURVA!$G$6:$G$20)</f>
        <v>#VALUE!</v>
      </c>
      <c r="C3010" s="29" t="e">
        <f t="shared" ref="C3010:C3073" si="47">(EXP(B3010*A3010/360)-1)*360/A3010</f>
        <v>#VALUE!</v>
      </c>
      <c r="E3010" t="e">
        <f>cubic_spline(CURVA!$B$6:$B$20,CURVA!$G$6:$G$20,#REF!)</f>
        <v>#VALUE!</v>
      </c>
    </row>
    <row r="3011" spans="1:5" x14ac:dyDescent="0.2">
      <c r="A3011" s="28">
        <v>3010</v>
      </c>
      <c r="B3011" s="28" t="e">
        <f>interpola(#REF!,CURVA!$B$6:$B$20,CURVA!$G$6:$G$20)</f>
        <v>#VALUE!</v>
      </c>
      <c r="C3011" s="29" t="e">
        <f t="shared" si="47"/>
        <v>#VALUE!</v>
      </c>
      <c r="E3011" t="e">
        <f>cubic_spline(CURVA!$B$6:$B$20,CURVA!$G$6:$G$20,#REF!)</f>
        <v>#VALUE!</v>
      </c>
    </row>
    <row r="3012" spans="1:5" x14ac:dyDescent="0.2">
      <c r="A3012" s="28">
        <v>3011</v>
      </c>
      <c r="B3012" s="28" t="e">
        <f>interpola(#REF!,CURVA!$B$6:$B$20,CURVA!$G$6:$G$20)</f>
        <v>#VALUE!</v>
      </c>
      <c r="C3012" s="29" t="e">
        <f t="shared" si="47"/>
        <v>#VALUE!</v>
      </c>
      <c r="E3012" t="e">
        <f>cubic_spline(CURVA!$B$6:$B$20,CURVA!$G$6:$G$20,#REF!)</f>
        <v>#VALUE!</v>
      </c>
    </row>
    <row r="3013" spans="1:5" x14ac:dyDescent="0.2">
      <c r="A3013" s="28">
        <v>3012</v>
      </c>
      <c r="B3013" s="28" t="e">
        <f>interpola(#REF!,CURVA!$B$6:$B$20,CURVA!$G$6:$G$20)</f>
        <v>#VALUE!</v>
      </c>
      <c r="C3013" s="29" t="e">
        <f t="shared" si="47"/>
        <v>#VALUE!</v>
      </c>
      <c r="E3013" t="e">
        <f>cubic_spline(CURVA!$B$6:$B$20,CURVA!$G$6:$G$20,#REF!)</f>
        <v>#VALUE!</v>
      </c>
    </row>
    <row r="3014" spans="1:5" x14ac:dyDescent="0.2">
      <c r="A3014" s="28">
        <v>3013</v>
      </c>
      <c r="B3014" s="28" t="e">
        <f>interpola(#REF!,CURVA!$B$6:$B$20,CURVA!$G$6:$G$20)</f>
        <v>#VALUE!</v>
      </c>
      <c r="C3014" s="29" t="e">
        <f t="shared" si="47"/>
        <v>#VALUE!</v>
      </c>
      <c r="E3014" t="e">
        <f>cubic_spline(CURVA!$B$6:$B$20,CURVA!$G$6:$G$20,#REF!)</f>
        <v>#VALUE!</v>
      </c>
    </row>
    <row r="3015" spans="1:5" x14ac:dyDescent="0.2">
      <c r="A3015" s="28">
        <v>3014</v>
      </c>
      <c r="B3015" s="28" t="e">
        <f>interpola(#REF!,CURVA!$B$6:$B$20,CURVA!$G$6:$G$20)</f>
        <v>#VALUE!</v>
      </c>
      <c r="C3015" s="29" t="e">
        <f t="shared" si="47"/>
        <v>#VALUE!</v>
      </c>
      <c r="E3015" t="e">
        <f>cubic_spline(CURVA!$B$6:$B$20,CURVA!$G$6:$G$20,#REF!)</f>
        <v>#VALUE!</v>
      </c>
    </row>
    <row r="3016" spans="1:5" x14ac:dyDescent="0.2">
      <c r="A3016" s="28">
        <v>3015</v>
      </c>
      <c r="B3016" s="28" t="e">
        <f>interpola(#REF!,CURVA!$B$6:$B$20,CURVA!$G$6:$G$20)</f>
        <v>#VALUE!</v>
      </c>
      <c r="C3016" s="29" t="e">
        <f t="shared" si="47"/>
        <v>#VALUE!</v>
      </c>
      <c r="E3016" t="e">
        <f>cubic_spline(CURVA!$B$6:$B$20,CURVA!$G$6:$G$20,#REF!)</f>
        <v>#VALUE!</v>
      </c>
    </row>
    <row r="3017" spans="1:5" x14ac:dyDescent="0.2">
      <c r="A3017" s="28">
        <v>3016</v>
      </c>
      <c r="B3017" s="28" t="e">
        <f>interpola(#REF!,CURVA!$B$6:$B$20,CURVA!$G$6:$G$20)</f>
        <v>#VALUE!</v>
      </c>
      <c r="C3017" s="29" t="e">
        <f t="shared" si="47"/>
        <v>#VALUE!</v>
      </c>
      <c r="E3017" t="e">
        <f>cubic_spline(CURVA!$B$6:$B$20,CURVA!$G$6:$G$20,#REF!)</f>
        <v>#VALUE!</v>
      </c>
    </row>
    <row r="3018" spans="1:5" x14ac:dyDescent="0.2">
      <c r="A3018" s="28">
        <v>3017</v>
      </c>
      <c r="B3018" s="28" t="e">
        <f>interpola(#REF!,CURVA!$B$6:$B$20,CURVA!$G$6:$G$20)</f>
        <v>#VALUE!</v>
      </c>
      <c r="C3018" s="29" t="e">
        <f t="shared" si="47"/>
        <v>#VALUE!</v>
      </c>
      <c r="E3018" t="e">
        <f>cubic_spline(CURVA!$B$6:$B$20,CURVA!$G$6:$G$20,#REF!)</f>
        <v>#VALUE!</v>
      </c>
    </row>
    <row r="3019" spans="1:5" x14ac:dyDescent="0.2">
      <c r="A3019" s="28">
        <v>3018</v>
      </c>
      <c r="B3019" s="28" t="e">
        <f>interpola(#REF!,CURVA!$B$6:$B$20,CURVA!$G$6:$G$20)</f>
        <v>#VALUE!</v>
      </c>
      <c r="C3019" s="29" t="e">
        <f t="shared" si="47"/>
        <v>#VALUE!</v>
      </c>
      <c r="E3019" t="e">
        <f>cubic_spline(CURVA!$B$6:$B$20,CURVA!$G$6:$G$20,#REF!)</f>
        <v>#VALUE!</v>
      </c>
    </row>
    <row r="3020" spans="1:5" x14ac:dyDescent="0.2">
      <c r="A3020" s="28">
        <v>3019</v>
      </c>
      <c r="B3020" s="28" t="e">
        <f>interpola(#REF!,CURVA!$B$6:$B$20,CURVA!$G$6:$G$20)</f>
        <v>#VALUE!</v>
      </c>
      <c r="C3020" s="29" t="e">
        <f t="shared" si="47"/>
        <v>#VALUE!</v>
      </c>
      <c r="E3020" t="e">
        <f>cubic_spline(CURVA!$B$6:$B$20,CURVA!$G$6:$G$20,#REF!)</f>
        <v>#VALUE!</v>
      </c>
    </row>
    <row r="3021" spans="1:5" x14ac:dyDescent="0.2">
      <c r="A3021" s="28">
        <v>3020</v>
      </c>
      <c r="B3021" s="28" t="e">
        <f>interpola(#REF!,CURVA!$B$6:$B$20,CURVA!$G$6:$G$20)</f>
        <v>#VALUE!</v>
      </c>
      <c r="C3021" s="29" t="e">
        <f t="shared" si="47"/>
        <v>#VALUE!</v>
      </c>
      <c r="E3021" t="e">
        <f>cubic_spline(CURVA!$B$6:$B$20,CURVA!$G$6:$G$20,#REF!)</f>
        <v>#VALUE!</v>
      </c>
    </row>
    <row r="3022" spans="1:5" x14ac:dyDescent="0.2">
      <c r="A3022" s="28">
        <v>3021</v>
      </c>
      <c r="B3022" s="28" t="e">
        <f>interpola(#REF!,CURVA!$B$6:$B$20,CURVA!$G$6:$G$20)</f>
        <v>#VALUE!</v>
      </c>
      <c r="C3022" s="29" t="e">
        <f t="shared" si="47"/>
        <v>#VALUE!</v>
      </c>
      <c r="E3022" t="e">
        <f>cubic_spline(CURVA!$B$6:$B$20,CURVA!$G$6:$G$20,#REF!)</f>
        <v>#VALUE!</v>
      </c>
    </row>
    <row r="3023" spans="1:5" x14ac:dyDescent="0.2">
      <c r="A3023" s="28">
        <v>3022</v>
      </c>
      <c r="B3023" s="28" t="e">
        <f>interpola(#REF!,CURVA!$B$6:$B$20,CURVA!$G$6:$G$20)</f>
        <v>#VALUE!</v>
      </c>
      <c r="C3023" s="29" t="e">
        <f t="shared" si="47"/>
        <v>#VALUE!</v>
      </c>
      <c r="E3023" t="e">
        <f>cubic_spline(CURVA!$B$6:$B$20,CURVA!$G$6:$G$20,#REF!)</f>
        <v>#VALUE!</v>
      </c>
    </row>
    <row r="3024" spans="1:5" x14ac:dyDescent="0.2">
      <c r="A3024" s="28">
        <v>3023</v>
      </c>
      <c r="B3024" s="28" t="e">
        <f>interpola(#REF!,CURVA!$B$6:$B$20,CURVA!$G$6:$G$20)</f>
        <v>#VALUE!</v>
      </c>
      <c r="C3024" s="29" t="e">
        <f t="shared" si="47"/>
        <v>#VALUE!</v>
      </c>
      <c r="E3024" t="e">
        <f>cubic_spline(CURVA!$B$6:$B$20,CURVA!$G$6:$G$20,#REF!)</f>
        <v>#VALUE!</v>
      </c>
    </row>
    <row r="3025" spans="1:5" x14ac:dyDescent="0.2">
      <c r="A3025" s="28">
        <v>3024</v>
      </c>
      <c r="B3025" s="28" t="e">
        <f>interpola(#REF!,CURVA!$B$6:$B$20,CURVA!$G$6:$G$20)</f>
        <v>#VALUE!</v>
      </c>
      <c r="C3025" s="29" t="e">
        <f t="shared" si="47"/>
        <v>#VALUE!</v>
      </c>
      <c r="E3025" t="e">
        <f>cubic_spline(CURVA!$B$6:$B$20,CURVA!$G$6:$G$20,#REF!)</f>
        <v>#VALUE!</v>
      </c>
    </row>
    <row r="3026" spans="1:5" x14ac:dyDescent="0.2">
      <c r="A3026" s="28">
        <v>3025</v>
      </c>
      <c r="B3026" s="28" t="e">
        <f>interpola(#REF!,CURVA!$B$6:$B$20,CURVA!$G$6:$G$20)</f>
        <v>#VALUE!</v>
      </c>
      <c r="C3026" s="29" t="e">
        <f t="shared" si="47"/>
        <v>#VALUE!</v>
      </c>
      <c r="E3026" t="e">
        <f>cubic_spline(CURVA!$B$6:$B$20,CURVA!$G$6:$G$20,#REF!)</f>
        <v>#VALUE!</v>
      </c>
    </row>
    <row r="3027" spans="1:5" x14ac:dyDescent="0.2">
      <c r="A3027" s="28">
        <v>3026</v>
      </c>
      <c r="B3027" s="28" t="e">
        <f>interpola(#REF!,CURVA!$B$6:$B$20,CURVA!$G$6:$G$20)</f>
        <v>#VALUE!</v>
      </c>
      <c r="C3027" s="29" t="e">
        <f t="shared" si="47"/>
        <v>#VALUE!</v>
      </c>
      <c r="E3027" t="e">
        <f>cubic_spline(CURVA!$B$6:$B$20,CURVA!$G$6:$G$20,#REF!)</f>
        <v>#VALUE!</v>
      </c>
    </row>
    <row r="3028" spans="1:5" x14ac:dyDescent="0.2">
      <c r="A3028" s="28">
        <v>3027</v>
      </c>
      <c r="B3028" s="28" t="e">
        <f>interpola(#REF!,CURVA!$B$6:$B$20,CURVA!$G$6:$G$20)</f>
        <v>#VALUE!</v>
      </c>
      <c r="C3028" s="29" t="e">
        <f t="shared" si="47"/>
        <v>#VALUE!</v>
      </c>
      <c r="E3028" t="e">
        <f>cubic_spline(CURVA!$B$6:$B$20,CURVA!$G$6:$G$20,#REF!)</f>
        <v>#VALUE!</v>
      </c>
    </row>
    <row r="3029" spans="1:5" x14ac:dyDescent="0.2">
      <c r="A3029" s="28">
        <v>3028</v>
      </c>
      <c r="B3029" s="28" t="e">
        <f>interpola(#REF!,CURVA!$B$6:$B$20,CURVA!$G$6:$G$20)</f>
        <v>#VALUE!</v>
      </c>
      <c r="C3029" s="29" t="e">
        <f t="shared" si="47"/>
        <v>#VALUE!</v>
      </c>
      <c r="E3029" t="e">
        <f>cubic_spline(CURVA!$B$6:$B$20,CURVA!$G$6:$G$20,#REF!)</f>
        <v>#VALUE!</v>
      </c>
    </row>
    <row r="3030" spans="1:5" x14ac:dyDescent="0.2">
      <c r="A3030" s="28">
        <v>3029</v>
      </c>
      <c r="B3030" s="28" t="e">
        <f>interpola(#REF!,CURVA!$B$6:$B$20,CURVA!$G$6:$G$20)</f>
        <v>#VALUE!</v>
      </c>
      <c r="C3030" s="29" t="e">
        <f t="shared" si="47"/>
        <v>#VALUE!</v>
      </c>
      <c r="E3030" t="e">
        <f>cubic_spline(CURVA!$B$6:$B$20,CURVA!$G$6:$G$20,#REF!)</f>
        <v>#VALUE!</v>
      </c>
    </row>
    <row r="3031" spans="1:5" x14ac:dyDescent="0.2">
      <c r="A3031" s="28">
        <v>3030</v>
      </c>
      <c r="B3031" s="28" t="e">
        <f>interpola(#REF!,CURVA!$B$6:$B$20,CURVA!$G$6:$G$20)</f>
        <v>#VALUE!</v>
      </c>
      <c r="C3031" s="29" t="e">
        <f t="shared" si="47"/>
        <v>#VALUE!</v>
      </c>
      <c r="E3031" t="e">
        <f>cubic_spline(CURVA!$B$6:$B$20,CURVA!$G$6:$G$20,#REF!)</f>
        <v>#VALUE!</v>
      </c>
    </row>
    <row r="3032" spans="1:5" x14ac:dyDescent="0.2">
      <c r="A3032" s="28">
        <v>3031</v>
      </c>
      <c r="B3032" s="28" t="e">
        <f>interpola(#REF!,CURVA!$B$6:$B$20,CURVA!$G$6:$G$20)</f>
        <v>#VALUE!</v>
      </c>
      <c r="C3032" s="29" t="e">
        <f t="shared" si="47"/>
        <v>#VALUE!</v>
      </c>
      <c r="E3032" t="e">
        <f>cubic_spline(CURVA!$B$6:$B$20,CURVA!$G$6:$G$20,#REF!)</f>
        <v>#VALUE!</v>
      </c>
    </row>
    <row r="3033" spans="1:5" x14ac:dyDescent="0.2">
      <c r="A3033" s="28">
        <v>3032</v>
      </c>
      <c r="B3033" s="28" t="e">
        <f>interpola(#REF!,CURVA!$B$6:$B$20,CURVA!$G$6:$G$20)</f>
        <v>#VALUE!</v>
      </c>
      <c r="C3033" s="29" t="e">
        <f t="shared" si="47"/>
        <v>#VALUE!</v>
      </c>
      <c r="E3033" t="e">
        <f>cubic_spline(CURVA!$B$6:$B$20,CURVA!$G$6:$G$20,#REF!)</f>
        <v>#VALUE!</v>
      </c>
    </row>
    <row r="3034" spans="1:5" x14ac:dyDescent="0.2">
      <c r="A3034" s="28">
        <v>3033</v>
      </c>
      <c r="B3034" s="28" t="e">
        <f>interpola(#REF!,CURVA!$B$6:$B$20,CURVA!$G$6:$G$20)</f>
        <v>#VALUE!</v>
      </c>
      <c r="C3034" s="29" t="e">
        <f t="shared" si="47"/>
        <v>#VALUE!</v>
      </c>
      <c r="E3034" t="e">
        <f>cubic_spline(CURVA!$B$6:$B$20,CURVA!$G$6:$G$20,#REF!)</f>
        <v>#VALUE!</v>
      </c>
    </row>
    <row r="3035" spans="1:5" x14ac:dyDescent="0.2">
      <c r="A3035" s="28">
        <v>3034</v>
      </c>
      <c r="B3035" s="28" t="e">
        <f>interpola(#REF!,CURVA!$B$6:$B$20,CURVA!$G$6:$G$20)</f>
        <v>#VALUE!</v>
      </c>
      <c r="C3035" s="29" t="e">
        <f t="shared" si="47"/>
        <v>#VALUE!</v>
      </c>
      <c r="E3035" t="e">
        <f>cubic_spline(CURVA!$B$6:$B$20,CURVA!$G$6:$G$20,#REF!)</f>
        <v>#VALUE!</v>
      </c>
    </row>
    <row r="3036" spans="1:5" x14ac:dyDescent="0.2">
      <c r="A3036" s="28">
        <v>3035</v>
      </c>
      <c r="B3036" s="28" t="e">
        <f>interpola(#REF!,CURVA!$B$6:$B$20,CURVA!$G$6:$G$20)</f>
        <v>#VALUE!</v>
      </c>
      <c r="C3036" s="29" t="e">
        <f t="shared" si="47"/>
        <v>#VALUE!</v>
      </c>
      <c r="E3036" t="e">
        <f>cubic_spline(CURVA!$B$6:$B$20,CURVA!$G$6:$G$20,#REF!)</f>
        <v>#VALUE!</v>
      </c>
    </row>
    <row r="3037" spans="1:5" x14ac:dyDescent="0.2">
      <c r="A3037" s="28">
        <v>3036</v>
      </c>
      <c r="B3037" s="28" t="e">
        <f>interpola(#REF!,CURVA!$B$6:$B$20,CURVA!$G$6:$G$20)</f>
        <v>#VALUE!</v>
      </c>
      <c r="C3037" s="29" t="e">
        <f t="shared" si="47"/>
        <v>#VALUE!</v>
      </c>
      <c r="E3037" t="e">
        <f>cubic_spline(CURVA!$B$6:$B$20,CURVA!$G$6:$G$20,#REF!)</f>
        <v>#VALUE!</v>
      </c>
    </row>
    <row r="3038" spans="1:5" x14ac:dyDescent="0.2">
      <c r="A3038" s="28">
        <v>3037</v>
      </c>
      <c r="B3038" s="28" t="e">
        <f>interpola(#REF!,CURVA!$B$6:$B$20,CURVA!$G$6:$G$20)</f>
        <v>#VALUE!</v>
      </c>
      <c r="C3038" s="29" t="e">
        <f t="shared" si="47"/>
        <v>#VALUE!</v>
      </c>
      <c r="E3038" t="e">
        <f>cubic_spline(CURVA!$B$6:$B$20,CURVA!$G$6:$G$20,#REF!)</f>
        <v>#VALUE!</v>
      </c>
    </row>
    <row r="3039" spans="1:5" x14ac:dyDescent="0.2">
      <c r="A3039" s="28">
        <v>3038</v>
      </c>
      <c r="B3039" s="28" t="e">
        <f>interpola(#REF!,CURVA!$B$6:$B$20,CURVA!$G$6:$G$20)</f>
        <v>#VALUE!</v>
      </c>
      <c r="C3039" s="29" t="e">
        <f t="shared" si="47"/>
        <v>#VALUE!</v>
      </c>
      <c r="E3039" t="e">
        <f>cubic_spline(CURVA!$B$6:$B$20,CURVA!$G$6:$G$20,#REF!)</f>
        <v>#VALUE!</v>
      </c>
    </row>
    <row r="3040" spans="1:5" x14ac:dyDescent="0.2">
      <c r="A3040" s="28">
        <v>3039</v>
      </c>
      <c r="B3040" s="28" t="e">
        <f>interpola(#REF!,CURVA!$B$6:$B$20,CURVA!$G$6:$G$20)</f>
        <v>#VALUE!</v>
      </c>
      <c r="C3040" s="29" t="e">
        <f t="shared" si="47"/>
        <v>#VALUE!</v>
      </c>
      <c r="E3040" t="e">
        <f>cubic_spline(CURVA!$B$6:$B$20,CURVA!$G$6:$G$20,#REF!)</f>
        <v>#VALUE!</v>
      </c>
    </row>
    <row r="3041" spans="1:5" x14ac:dyDescent="0.2">
      <c r="A3041" s="28">
        <v>3040</v>
      </c>
      <c r="B3041" s="28" t="e">
        <f>interpola(#REF!,CURVA!$B$6:$B$20,CURVA!$G$6:$G$20)</f>
        <v>#VALUE!</v>
      </c>
      <c r="C3041" s="29" t="e">
        <f t="shared" si="47"/>
        <v>#VALUE!</v>
      </c>
      <c r="E3041" t="e">
        <f>cubic_spline(CURVA!$B$6:$B$20,CURVA!$G$6:$G$20,#REF!)</f>
        <v>#VALUE!</v>
      </c>
    </row>
    <row r="3042" spans="1:5" x14ac:dyDescent="0.2">
      <c r="A3042" s="28">
        <v>3041</v>
      </c>
      <c r="B3042" s="28" t="e">
        <f>interpola(#REF!,CURVA!$B$6:$B$20,CURVA!$G$6:$G$20)</f>
        <v>#VALUE!</v>
      </c>
      <c r="C3042" s="29" t="e">
        <f t="shared" si="47"/>
        <v>#VALUE!</v>
      </c>
      <c r="E3042" t="e">
        <f>cubic_spline(CURVA!$B$6:$B$20,CURVA!$G$6:$G$20,#REF!)</f>
        <v>#VALUE!</v>
      </c>
    </row>
    <row r="3043" spans="1:5" x14ac:dyDescent="0.2">
      <c r="A3043" s="28">
        <v>3042</v>
      </c>
      <c r="B3043" s="28" t="e">
        <f>interpola(#REF!,CURVA!$B$6:$B$20,CURVA!$G$6:$G$20)</f>
        <v>#VALUE!</v>
      </c>
      <c r="C3043" s="29" t="e">
        <f t="shared" si="47"/>
        <v>#VALUE!</v>
      </c>
      <c r="E3043" t="e">
        <f>cubic_spline(CURVA!$B$6:$B$20,CURVA!$G$6:$G$20,#REF!)</f>
        <v>#VALUE!</v>
      </c>
    </row>
    <row r="3044" spans="1:5" x14ac:dyDescent="0.2">
      <c r="A3044" s="28">
        <v>3043</v>
      </c>
      <c r="B3044" s="28" t="e">
        <f>interpola(#REF!,CURVA!$B$6:$B$20,CURVA!$G$6:$G$20)</f>
        <v>#VALUE!</v>
      </c>
      <c r="C3044" s="29" t="e">
        <f t="shared" si="47"/>
        <v>#VALUE!</v>
      </c>
      <c r="E3044" t="e">
        <f>cubic_spline(CURVA!$B$6:$B$20,CURVA!$G$6:$G$20,#REF!)</f>
        <v>#VALUE!</v>
      </c>
    </row>
    <row r="3045" spans="1:5" x14ac:dyDescent="0.2">
      <c r="A3045" s="28">
        <v>3044</v>
      </c>
      <c r="B3045" s="28" t="e">
        <f>interpola(#REF!,CURVA!$B$6:$B$20,CURVA!$G$6:$G$20)</f>
        <v>#VALUE!</v>
      </c>
      <c r="C3045" s="29" t="e">
        <f t="shared" si="47"/>
        <v>#VALUE!</v>
      </c>
      <c r="E3045" t="e">
        <f>cubic_spline(CURVA!$B$6:$B$20,CURVA!$G$6:$G$20,#REF!)</f>
        <v>#VALUE!</v>
      </c>
    </row>
    <row r="3046" spans="1:5" x14ac:dyDescent="0.2">
      <c r="A3046" s="28">
        <v>3045</v>
      </c>
      <c r="B3046" s="28" t="e">
        <f>interpola(#REF!,CURVA!$B$6:$B$20,CURVA!$G$6:$G$20)</f>
        <v>#VALUE!</v>
      </c>
      <c r="C3046" s="29" t="e">
        <f t="shared" si="47"/>
        <v>#VALUE!</v>
      </c>
      <c r="E3046" t="e">
        <f>cubic_spline(CURVA!$B$6:$B$20,CURVA!$G$6:$G$20,#REF!)</f>
        <v>#VALUE!</v>
      </c>
    </row>
    <row r="3047" spans="1:5" x14ac:dyDescent="0.2">
      <c r="A3047" s="28">
        <v>3046</v>
      </c>
      <c r="B3047" s="28" t="e">
        <f>interpola(#REF!,CURVA!$B$6:$B$20,CURVA!$G$6:$G$20)</f>
        <v>#VALUE!</v>
      </c>
      <c r="C3047" s="29" t="e">
        <f t="shared" si="47"/>
        <v>#VALUE!</v>
      </c>
      <c r="E3047" t="e">
        <f>cubic_spline(CURVA!$B$6:$B$20,CURVA!$G$6:$G$20,#REF!)</f>
        <v>#VALUE!</v>
      </c>
    </row>
    <row r="3048" spans="1:5" x14ac:dyDescent="0.2">
      <c r="A3048" s="28">
        <v>3047</v>
      </c>
      <c r="B3048" s="28" t="e">
        <f>interpola(#REF!,CURVA!$B$6:$B$20,CURVA!$G$6:$G$20)</f>
        <v>#VALUE!</v>
      </c>
      <c r="C3048" s="29" t="e">
        <f t="shared" si="47"/>
        <v>#VALUE!</v>
      </c>
      <c r="E3048" t="e">
        <f>cubic_spline(CURVA!$B$6:$B$20,CURVA!$G$6:$G$20,#REF!)</f>
        <v>#VALUE!</v>
      </c>
    </row>
    <row r="3049" spans="1:5" x14ac:dyDescent="0.2">
      <c r="A3049" s="28">
        <v>3048</v>
      </c>
      <c r="B3049" s="28" t="e">
        <f>interpola(#REF!,CURVA!$B$6:$B$20,CURVA!$G$6:$G$20)</f>
        <v>#VALUE!</v>
      </c>
      <c r="C3049" s="29" t="e">
        <f t="shared" si="47"/>
        <v>#VALUE!</v>
      </c>
      <c r="E3049" t="e">
        <f>cubic_spline(CURVA!$B$6:$B$20,CURVA!$G$6:$G$20,#REF!)</f>
        <v>#VALUE!</v>
      </c>
    </row>
    <row r="3050" spans="1:5" x14ac:dyDescent="0.2">
      <c r="A3050" s="28">
        <v>3049</v>
      </c>
      <c r="B3050" s="28" t="e">
        <f>interpola(#REF!,CURVA!$B$6:$B$20,CURVA!$G$6:$G$20)</f>
        <v>#VALUE!</v>
      </c>
      <c r="C3050" s="29" t="e">
        <f t="shared" si="47"/>
        <v>#VALUE!</v>
      </c>
      <c r="E3050" t="e">
        <f>cubic_spline(CURVA!$B$6:$B$20,CURVA!$G$6:$G$20,#REF!)</f>
        <v>#VALUE!</v>
      </c>
    </row>
    <row r="3051" spans="1:5" x14ac:dyDescent="0.2">
      <c r="A3051" s="28">
        <v>3050</v>
      </c>
      <c r="B3051" s="28" t="e">
        <f>interpola(#REF!,CURVA!$B$6:$B$20,CURVA!$G$6:$G$20)</f>
        <v>#VALUE!</v>
      </c>
      <c r="C3051" s="29" t="e">
        <f t="shared" si="47"/>
        <v>#VALUE!</v>
      </c>
      <c r="E3051" t="e">
        <f>cubic_spline(CURVA!$B$6:$B$20,CURVA!$G$6:$G$20,#REF!)</f>
        <v>#VALUE!</v>
      </c>
    </row>
    <row r="3052" spans="1:5" x14ac:dyDescent="0.2">
      <c r="A3052" s="28">
        <v>3051</v>
      </c>
      <c r="B3052" s="28" t="e">
        <f>interpola(#REF!,CURVA!$B$6:$B$20,CURVA!$G$6:$G$20)</f>
        <v>#VALUE!</v>
      </c>
      <c r="C3052" s="29" t="e">
        <f t="shared" si="47"/>
        <v>#VALUE!</v>
      </c>
      <c r="E3052" t="e">
        <f>cubic_spline(CURVA!$B$6:$B$20,CURVA!$G$6:$G$20,#REF!)</f>
        <v>#VALUE!</v>
      </c>
    </row>
    <row r="3053" spans="1:5" x14ac:dyDescent="0.2">
      <c r="A3053" s="28">
        <v>3052</v>
      </c>
      <c r="B3053" s="28" t="e">
        <f>interpola(#REF!,CURVA!$B$6:$B$20,CURVA!$G$6:$G$20)</f>
        <v>#VALUE!</v>
      </c>
      <c r="C3053" s="29" t="e">
        <f t="shared" si="47"/>
        <v>#VALUE!</v>
      </c>
      <c r="E3053" t="e">
        <f>cubic_spline(CURVA!$B$6:$B$20,CURVA!$G$6:$G$20,#REF!)</f>
        <v>#VALUE!</v>
      </c>
    </row>
    <row r="3054" spans="1:5" x14ac:dyDescent="0.2">
      <c r="A3054" s="28">
        <v>3053</v>
      </c>
      <c r="B3054" s="28" t="e">
        <f>interpola(#REF!,CURVA!$B$6:$B$20,CURVA!$G$6:$G$20)</f>
        <v>#VALUE!</v>
      </c>
      <c r="C3054" s="29" t="e">
        <f t="shared" si="47"/>
        <v>#VALUE!</v>
      </c>
      <c r="E3054" t="e">
        <f>cubic_spline(CURVA!$B$6:$B$20,CURVA!$G$6:$G$20,#REF!)</f>
        <v>#VALUE!</v>
      </c>
    </row>
    <row r="3055" spans="1:5" x14ac:dyDescent="0.2">
      <c r="A3055" s="28">
        <v>3054</v>
      </c>
      <c r="B3055" s="28" t="e">
        <f>interpola(#REF!,CURVA!$B$6:$B$20,CURVA!$G$6:$G$20)</f>
        <v>#VALUE!</v>
      </c>
      <c r="C3055" s="29" t="e">
        <f t="shared" si="47"/>
        <v>#VALUE!</v>
      </c>
      <c r="E3055" t="e">
        <f>cubic_spline(CURVA!$B$6:$B$20,CURVA!$G$6:$G$20,#REF!)</f>
        <v>#VALUE!</v>
      </c>
    </row>
    <row r="3056" spans="1:5" x14ac:dyDescent="0.2">
      <c r="A3056" s="28">
        <v>3055</v>
      </c>
      <c r="B3056" s="28" t="e">
        <f>interpola(#REF!,CURVA!$B$6:$B$20,CURVA!$G$6:$G$20)</f>
        <v>#VALUE!</v>
      </c>
      <c r="C3056" s="29" t="e">
        <f t="shared" si="47"/>
        <v>#VALUE!</v>
      </c>
      <c r="E3056" t="e">
        <f>cubic_spline(CURVA!$B$6:$B$20,CURVA!$G$6:$G$20,#REF!)</f>
        <v>#VALUE!</v>
      </c>
    </row>
    <row r="3057" spans="1:5" x14ac:dyDescent="0.2">
      <c r="A3057" s="28">
        <v>3056</v>
      </c>
      <c r="B3057" s="28" t="e">
        <f>interpola(#REF!,CURVA!$B$6:$B$20,CURVA!$G$6:$G$20)</f>
        <v>#VALUE!</v>
      </c>
      <c r="C3057" s="29" t="e">
        <f t="shared" si="47"/>
        <v>#VALUE!</v>
      </c>
      <c r="E3057" t="e">
        <f>cubic_spline(CURVA!$B$6:$B$20,CURVA!$G$6:$G$20,#REF!)</f>
        <v>#VALUE!</v>
      </c>
    </row>
    <row r="3058" spans="1:5" x14ac:dyDescent="0.2">
      <c r="A3058" s="28">
        <v>3057</v>
      </c>
      <c r="B3058" s="28" t="e">
        <f>interpola(#REF!,CURVA!$B$6:$B$20,CURVA!$G$6:$G$20)</f>
        <v>#VALUE!</v>
      </c>
      <c r="C3058" s="29" t="e">
        <f t="shared" si="47"/>
        <v>#VALUE!</v>
      </c>
      <c r="E3058" t="e">
        <f>cubic_spline(CURVA!$B$6:$B$20,CURVA!$G$6:$G$20,#REF!)</f>
        <v>#VALUE!</v>
      </c>
    </row>
    <row r="3059" spans="1:5" x14ac:dyDescent="0.2">
      <c r="A3059" s="28">
        <v>3058</v>
      </c>
      <c r="B3059" s="28" t="e">
        <f>interpola(#REF!,CURVA!$B$6:$B$20,CURVA!$G$6:$G$20)</f>
        <v>#VALUE!</v>
      </c>
      <c r="C3059" s="29" t="e">
        <f t="shared" si="47"/>
        <v>#VALUE!</v>
      </c>
      <c r="E3059" t="e">
        <f>cubic_spline(CURVA!$B$6:$B$20,CURVA!$G$6:$G$20,#REF!)</f>
        <v>#VALUE!</v>
      </c>
    </row>
    <row r="3060" spans="1:5" x14ac:dyDescent="0.2">
      <c r="A3060" s="28">
        <v>3059</v>
      </c>
      <c r="B3060" s="28" t="e">
        <f>interpola(#REF!,CURVA!$B$6:$B$20,CURVA!$G$6:$G$20)</f>
        <v>#VALUE!</v>
      </c>
      <c r="C3060" s="29" t="e">
        <f t="shared" si="47"/>
        <v>#VALUE!</v>
      </c>
      <c r="E3060" t="e">
        <f>cubic_spline(CURVA!$B$6:$B$20,CURVA!$G$6:$G$20,#REF!)</f>
        <v>#VALUE!</v>
      </c>
    </row>
    <row r="3061" spans="1:5" x14ac:dyDescent="0.2">
      <c r="A3061" s="28">
        <v>3060</v>
      </c>
      <c r="B3061" s="28" t="e">
        <f>interpola(#REF!,CURVA!$B$6:$B$20,CURVA!$G$6:$G$20)</f>
        <v>#VALUE!</v>
      </c>
      <c r="C3061" s="29" t="e">
        <f t="shared" si="47"/>
        <v>#VALUE!</v>
      </c>
      <c r="E3061" t="e">
        <f>cubic_spline(CURVA!$B$6:$B$20,CURVA!$G$6:$G$20,#REF!)</f>
        <v>#VALUE!</v>
      </c>
    </row>
    <row r="3062" spans="1:5" x14ac:dyDescent="0.2">
      <c r="A3062" s="28">
        <v>3061</v>
      </c>
      <c r="B3062" s="28" t="e">
        <f>interpola(#REF!,CURVA!$B$6:$B$20,CURVA!$G$6:$G$20)</f>
        <v>#VALUE!</v>
      </c>
      <c r="C3062" s="29" t="e">
        <f t="shared" si="47"/>
        <v>#VALUE!</v>
      </c>
      <c r="E3062" t="e">
        <f>cubic_spline(CURVA!$B$6:$B$20,CURVA!$G$6:$G$20,#REF!)</f>
        <v>#VALUE!</v>
      </c>
    </row>
    <row r="3063" spans="1:5" x14ac:dyDescent="0.2">
      <c r="A3063" s="28">
        <v>3062</v>
      </c>
      <c r="B3063" s="28" t="e">
        <f>interpola(#REF!,CURVA!$B$6:$B$20,CURVA!$G$6:$G$20)</f>
        <v>#VALUE!</v>
      </c>
      <c r="C3063" s="29" t="e">
        <f t="shared" si="47"/>
        <v>#VALUE!</v>
      </c>
      <c r="E3063" t="e">
        <f>cubic_spline(CURVA!$B$6:$B$20,CURVA!$G$6:$G$20,#REF!)</f>
        <v>#VALUE!</v>
      </c>
    </row>
    <row r="3064" spans="1:5" x14ac:dyDescent="0.2">
      <c r="A3064" s="28">
        <v>3063</v>
      </c>
      <c r="B3064" s="28" t="e">
        <f>interpola(#REF!,CURVA!$B$6:$B$20,CURVA!$G$6:$G$20)</f>
        <v>#VALUE!</v>
      </c>
      <c r="C3064" s="29" t="e">
        <f t="shared" si="47"/>
        <v>#VALUE!</v>
      </c>
      <c r="E3064" t="e">
        <f>cubic_spline(CURVA!$B$6:$B$20,CURVA!$G$6:$G$20,#REF!)</f>
        <v>#VALUE!</v>
      </c>
    </row>
    <row r="3065" spans="1:5" x14ac:dyDescent="0.2">
      <c r="A3065" s="28">
        <v>3064</v>
      </c>
      <c r="B3065" s="28" t="e">
        <f>interpola(#REF!,CURVA!$B$6:$B$20,CURVA!$G$6:$G$20)</f>
        <v>#VALUE!</v>
      </c>
      <c r="C3065" s="29" t="e">
        <f t="shared" si="47"/>
        <v>#VALUE!</v>
      </c>
      <c r="E3065" t="e">
        <f>cubic_spline(CURVA!$B$6:$B$20,CURVA!$G$6:$G$20,#REF!)</f>
        <v>#VALUE!</v>
      </c>
    </row>
    <row r="3066" spans="1:5" x14ac:dyDescent="0.2">
      <c r="A3066" s="28">
        <v>3065</v>
      </c>
      <c r="B3066" s="28" t="e">
        <f>interpola(#REF!,CURVA!$B$6:$B$20,CURVA!$G$6:$G$20)</f>
        <v>#VALUE!</v>
      </c>
      <c r="C3066" s="29" t="e">
        <f t="shared" si="47"/>
        <v>#VALUE!</v>
      </c>
      <c r="E3066" t="e">
        <f>cubic_spline(CURVA!$B$6:$B$20,CURVA!$G$6:$G$20,#REF!)</f>
        <v>#VALUE!</v>
      </c>
    </row>
    <row r="3067" spans="1:5" x14ac:dyDescent="0.2">
      <c r="A3067" s="28">
        <v>3066</v>
      </c>
      <c r="B3067" s="28" t="e">
        <f>interpola(#REF!,CURVA!$B$6:$B$20,CURVA!$G$6:$G$20)</f>
        <v>#VALUE!</v>
      </c>
      <c r="C3067" s="29" t="e">
        <f t="shared" si="47"/>
        <v>#VALUE!</v>
      </c>
      <c r="E3067" t="e">
        <f>cubic_spline(CURVA!$B$6:$B$20,CURVA!$G$6:$G$20,#REF!)</f>
        <v>#VALUE!</v>
      </c>
    </row>
    <row r="3068" spans="1:5" x14ac:dyDescent="0.2">
      <c r="A3068" s="28">
        <v>3067</v>
      </c>
      <c r="B3068" s="28" t="e">
        <f>interpola(#REF!,CURVA!$B$6:$B$20,CURVA!$G$6:$G$20)</f>
        <v>#VALUE!</v>
      </c>
      <c r="C3068" s="29" t="e">
        <f t="shared" si="47"/>
        <v>#VALUE!</v>
      </c>
      <c r="E3068" t="e">
        <f>cubic_spline(CURVA!$B$6:$B$20,CURVA!$G$6:$G$20,#REF!)</f>
        <v>#VALUE!</v>
      </c>
    </row>
    <row r="3069" spans="1:5" x14ac:dyDescent="0.2">
      <c r="A3069" s="28">
        <v>3068</v>
      </c>
      <c r="B3069" s="28" t="e">
        <f>interpola(#REF!,CURVA!$B$6:$B$20,CURVA!$G$6:$G$20)</f>
        <v>#VALUE!</v>
      </c>
      <c r="C3069" s="29" t="e">
        <f t="shared" si="47"/>
        <v>#VALUE!</v>
      </c>
      <c r="E3069" t="e">
        <f>cubic_spline(CURVA!$B$6:$B$20,CURVA!$G$6:$G$20,#REF!)</f>
        <v>#VALUE!</v>
      </c>
    </row>
    <row r="3070" spans="1:5" x14ac:dyDescent="0.2">
      <c r="A3070" s="28">
        <v>3069</v>
      </c>
      <c r="B3070" s="28" t="e">
        <f>interpola(#REF!,CURVA!$B$6:$B$20,CURVA!$G$6:$G$20)</f>
        <v>#VALUE!</v>
      </c>
      <c r="C3070" s="29" t="e">
        <f t="shared" si="47"/>
        <v>#VALUE!</v>
      </c>
      <c r="E3070" t="e">
        <f>cubic_spline(CURVA!$B$6:$B$20,CURVA!$G$6:$G$20,#REF!)</f>
        <v>#VALUE!</v>
      </c>
    </row>
    <row r="3071" spans="1:5" x14ac:dyDescent="0.2">
      <c r="A3071" s="28">
        <v>3070</v>
      </c>
      <c r="B3071" s="28" t="e">
        <f>interpola(#REF!,CURVA!$B$6:$B$20,CURVA!$G$6:$G$20)</f>
        <v>#VALUE!</v>
      </c>
      <c r="C3071" s="29" t="e">
        <f t="shared" si="47"/>
        <v>#VALUE!</v>
      </c>
      <c r="E3071" t="e">
        <f>cubic_spline(CURVA!$B$6:$B$20,CURVA!$G$6:$G$20,#REF!)</f>
        <v>#VALUE!</v>
      </c>
    </row>
    <row r="3072" spans="1:5" x14ac:dyDescent="0.2">
      <c r="A3072" s="28">
        <v>3071</v>
      </c>
      <c r="B3072" s="28" t="e">
        <f>interpola(#REF!,CURVA!$B$6:$B$20,CURVA!$G$6:$G$20)</f>
        <v>#VALUE!</v>
      </c>
      <c r="C3072" s="29" t="e">
        <f t="shared" si="47"/>
        <v>#VALUE!</v>
      </c>
      <c r="E3072" t="e">
        <f>cubic_spline(CURVA!$B$6:$B$20,CURVA!$G$6:$G$20,#REF!)</f>
        <v>#VALUE!</v>
      </c>
    </row>
    <row r="3073" spans="1:5" x14ac:dyDescent="0.2">
      <c r="A3073" s="28">
        <v>3072</v>
      </c>
      <c r="B3073" s="28" t="e">
        <f>interpola(#REF!,CURVA!$B$6:$B$20,CURVA!$G$6:$G$20)</f>
        <v>#VALUE!</v>
      </c>
      <c r="C3073" s="29" t="e">
        <f t="shared" si="47"/>
        <v>#VALUE!</v>
      </c>
      <c r="E3073" t="e">
        <f>cubic_spline(CURVA!$B$6:$B$20,CURVA!$G$6:$G$20,#REF!)</f>
        <v>#VALUE!</v>
      </c>
    </row>
    <row r="3074" spans="1:5" x14ac:dyDescent="0.2">
      <c r="A3074" s="28">
        <v>3073</v>
      </c>
      <c r="B3074" s="28" t="e">
        <f>interpola(#REF!,CURVA!$B$6:$B$20,CURVA!$G$6:$G$20)</f>
        <v>#VALUE!</v>
      </c>
      <c r="C3074" s="29" t="e">
        <f t="shared" ref="C3074:C3137" si="48">(EXP(B3074*A3074/360)-1)*360/A3074</f>
        <v>#VALUE!</v>
      </c>
      <c r="E3074" t="e">
        <f>cubic_spline(CURVA!$B$6:$B$20,CURVA!$G$6:$G$20,#REF!)</f>
        <v>#VALUE!</v>
      </c>
    </row>
    <row r="3075" spans="1:5" x14ac:dyDescent="0.2">
      <c r="A3075" s="28">
        <v>3074</v>
      </c>
      <c r="B3075" s="28" t="e">
        <f>interpola(#REF!,CURVA!$B$6:$B$20,CURVA!$G$6:$G$20)</f>
        <v>#VALUE!</v>
      </c>
      <c r="C3075" s="29" t="e">
        <f t="shared" si="48"/>
        <v>#VALUE!</v>
      </c>
      <c r="E3075" t="e">
        <f>cubic_spline(CURVA!$B$6:$B$20,CURVA!$G$6:$G$20,#REF!)</f>
        <v>#VALUE!</v>
      </c>
    </row>
    <row r="3076" spans="1:5" x14ac:dyDescent="0.2">
      <c r="A3076" s="28">
        <v>3075</v>
      </c>
      <c r="B3076" s="28" t="e">
        <f>interpola(#REF!,CURVA!$B$6:$B$20,CURVA!$G$6:$G$20)</f>
        <v>#VALUE!</v>
      </c>
      <c r="C3076" s="29" t="e">
        <f t="shared" si="48"/>
        <v>#VALUE!</v>
      </c>
      <c r="E3076" t="e">
        <f>cubic_spline(CURVA!$B$6:$B$20,CURVA!$G$6:$G$20,#REF!)</f>
        <v>#VALUE!</v>
      </c>
    </row>
    <row r="3077" spans="1:5" x14ac:dyDescent="0.2">
      <c r="A3077" s="28">
        <v>3076</v>
      </c>
      <c r="B3077" s="28" t="e">
        <f>interpola(#REF!,CURVA!$B$6:$B$20,CURVA!$G$6:$G$20)</f>
        <v>#VALUE!</v>
      </c>
      <c r="C3077" s="29" t="e">
        <f t="shared" si="48"/>
        <v>#VALUE!</v>
      </c>
      <c r="E3077" t="e">
        <f>cubic_spline(CURVA!$B$6:$B$20,CURVA!$G$6:$G$20,#REF!)</f>
        <v>#VALUE!</v>
      </c>
    </row>
    <row r="3078" spans="1:5" x14ac:dyDescent="0.2">
      <c r="A3078" s="28">
        <v>3077</v>
      </c>
      <c r="B3078" s="28" t="e">
        <f>interpola(#REF!,CURVA!$B$6:$B$20,CURVA!$G$6:$G$20)</f>
        <v>#VALUE!</v>
      </c>
      <c r="C3078" s="29" t="e">
        <f t="shared" si="48"/>
        <v>#VALUE!</v>
      </c>
      <c r="E3078" t="e">
        <f>cubic_spline(CURVA!$B$6:$B$20,CURVA!$G$6:$G$20,#REF!)</f>
        <v>#VALUE!</v>
      </c>
    </row>
    <row r="3079" spans="1:5" x14ac:dyDescent="0.2">
      <c r="A3079" s="28">
        <v>3078</v>
      </c>
      <c r="B3079" s="28" t="e">
        <f>interpola(#REF!,CURVA!$B$6:$B$20,CURVA!$G$6:$G$20)</f>
        <v>#VALUE!</v>
      </c>
      <c r="C3079" s="29" t="e">
        <f t="shared" si="48"/>
        <v>#VALUE!</v>
      </c>
      <c r="E3079" t="e">
        <f>cubic_spline(CURVA!$B$6:$B$20,CURVA!$G$6:$G$20,#REF!)</f>
        <v>#VALUE!</v>
      </c>
    </row>
    <row r="3080" spans="1:5" x14ac:dyDescent="0.2">
      <c r="A3080" s="28">
        <v>3079</v>
      </c>
      <c r="B3080" s="28" t="e">
        <f>interpola(#REF!,CURVA!$B$6:$B$20,CURVA!$G$6:$G$20)</f>
        <v>#VALUE!</v>
      </c>
      <c r="C3080" s="29" t="e">
        <f t="shared" si="48"/>
        <v>#VALUE!</v>
      </c>
      <c r="E3080" t="e">
        <f>cubic_spline(CURVA!$B$6:$B$20,CURVA!$G$6:$G$20,#REF!)</f>
        <v>#VALUE!</v>
      </c>
    </row>
    <row r="3081" spans="1:5" x14ac:dyDescent="0.2">
      <c r="A3081" s="28">
        <v>3080</v>
      </c>
      <c r="B3081" s="28" t="e">
        <f>interpola(#REF!,CURVA!$B$6:$B$20,CURVA!$G$6:$G$20)</f>
        <v>#VALUE!</v>
      </c>
      <c r="C3081" s="29" t="e">
        <f t="shared" si="48"/>
        <v>#VALUE!</v>
      </c>
      <c r="E3081" t="e">
        <f>cubic_spline(CURVA!$B$6:$B$20,CURVA!$G$6:$G$20,#REF!)</f>
        <v>#VALUE!</v>
      </c>
    </row>
    <row r="3082" spans="1:5" x14ac:dyDescent="0.2">
      <c r="A3082" s="28">
        <v>3081</v>
      </c>
      <c r="B3082" s="28" t="e">
        <f>interpola(#REF!,CURVA!$B$6:$B$20,CURVA!$G$6:$G$20)</f>
        <v>#VALUE!</v>
      </c>
      <c r="C3082" s="29" t="e">
        <f t="shared" si="48"/>
        <v>#VALUE!</v>
      </c>
      <c r="E3082" t="e">
        <f>cubic_spline(CURVA!$B$6:$B$20,CURVA!$G$6:$G$20,#REF!)</f>
        <v>#VALUE!</v>
      </c>
    </row>
    <row r="3083" spans="1:5" x14ac:dyDescent="0.2">
      <c r="A3083" s="28">
        <v>3082</v>
      </c>
      <c r="B3083" s="28" t="e">
        <f>interpola(#REF!,CURVA!$B$6:$B$20,CURVA!$G$6:$G$20)</f>
        <v>#VALUE!</v>
      </c>
      <c r="C3083" s="29" t="e">
        <f t="shared" si="48"/>
        <v>#VALUE!</v>
      </c>
      <c r="E3083" t="e">
        <f>cubic_spline(CURVA!$B$6:$B$20,CURVA!$G$6:$G$20,#REF!)</f>
        <v>#VALUE!</v>
      </c>
    </row>
    <row r="3084" spans="1:5" x14ac:dyDescent="0.2">
      <c r="A3084" s="28">
        <v>3083</v>
      </c>
      <c r="B3084" s="28" t="e">
        <f>interpola(#REF!,CURVA!$B$6:$B$20,CURVA!$G$6:$G$20)</f>
        <v>#VALUE!</v>
      </c>
      <c r="C3084" s="29" t="e">
        <f t="shared" si="48"/>
        <v>#VALUE!</v>
      </c>
      <c r="E3084" t="e">
        <f>cubic_spline(CURVA!$B$6:$B$20,CURVA!$G$6:$G$20,#REF!)</f>
        <v>#VALUE!</v>
      </c>
    </row>
    <row r="3085" spans="1:5" x14ac:dyDescent="0.2">
      <c r="A3085" s="28">
        <v>3084</v>
      </c>
      <c r="B3085" s="28" t="e">
        <f>interpola(#REF!,CURVA!$B$6:$B$20,CURVA!$G$6:$G$20)</f>
        <v>#VALUE!</v>
      </c>
      <c r="C3085" s="29" t="e">
        <f t="shared" si="48"/>
        <v>#VALUE!</v>
      </c>
      <c r="E3085" t="e">
        <f>cubic_spline(CURVA!$B$6:$B$20,CURVA!$G$6:$G$20,#REF!)</f>
        <v>#VALUE!</v>
      </c>
    </row>
    <row r="3086" spans="1:5" x14ac:dyDescent="0.2">
      <c r="A3086" s="28">
        <v>3085</v>
      </c>
      <c r="B3086" s="28" t="e">
        <f>interpola(#REF!,CURVA!$B$6:$B$20,CURVA!$G$6:$G$20)</f>
        <v>#VALUE!</v>
      </c>
      <c r="C3086" s="29" t="e">
        <f t="shared" si="48"/>
        <v>#VALUE!</v>
      </c>
      <c r="E3086" t="e">
        <f>cubic_spline(CURVA!$B$6:$B$20,CURVA!$G$6:$G$20,#REF!)</f>
        <v>#VALUE!</v>
      </c>
    </row>
    <row r="3087" spans="1:5" x14ac:dyDescent="0.2">
      <c r="A3087" s="28">
        <v>3086</v>
      </c>
      <c r="B3087" s="28" t="e">
        <f>interpola(#REF!,CURVA!$B$6:$B$20,CURVA!$G$6:$G$20)</f>
        <v>#VALUE!</v>
      </c>
      <c r="C3087" s="29" t="e">
        <f t="shared" si="48"/>
        <v>#VALUE!</v>
      </c>
      <c r="E3087" t="e">
        <f>cubic_spline(CURVA!$B$6:$B$20,CURVA!$G$6:$G$20,#REF!)</f>
        <v>#VALUE!</v>
      </c>
    </row>
    <row r="3088" spans="1:5" x14ac:dyDescent="0.2">
      <c r="A3088" s="28">
        <v>3087</v>
      </c>
      <c r="B3088" s="28" t="e">
        <f>interpola(#REF!,CURVA!$B$6:$B$20,CURVA!$G$6:$G$20)</f>
        <v>#VALUE!</v>
      </c>
      <c r="C3088" s="29" t="e">
        <f t="shared" si="48"/>
        <v>#VALUE!</v>
      </c>
      <c r="E3088" t="e">
        <f>cubic_spline(CURVA!$B$6:$B$20,CURVA!$G$6:$G$20,#REF!)</f>
        <v>#VALUE!</v>
      </c>
    </row>
    <row r="3089" spans="1:5" x14ac:dyDescent="0.2">
      <c r="A3089" s="28">
        <v>3088</v>
      </c>
      <c r="B3089" s="28" t="e">
        <f>interpola(#REF!,CURVA!$B$6:$B$20,CURVA!$G$6:$G$20)</f>
        <v>#VALUE!</v>
      </c>
      <c r="C3089" s="29" t="e">
        <f t="shared" si="48"/>
        <v>#VALUE!</v>
      </c>
      <c r="E3089" t="e">
        <f>cubic_spline(CURVA!$B$6:$B$20,CURVA!$G$6:$G$20,#REF!)</f>
        <v>#VALUE!</v>
      </c>
    </row>
    <row r="3090" spans="1:5" x14ac:dyDescent="0.2">
      <c r="A3090" s="28">
        <v>3089</v>
      </c>
      <c r="B3090" s="28" t="e">
        <f>interpola(#REF!,CURVA!$B$6:$B$20,CURVA!$G$6:$G$20)</f>
        <v>#VALUE!</v>
      </c>
      <c r="C3090" s="29" t="e">
        <f t="shared" si="48"/>
        <v>#VALUE!</v>
      </c>
      <c r="E3090" t="e">
        <f>cubic_spline(CURVA!$B$6:$B$20,CURVA!$G$6:$G$20,#REF!)</f>
        <v>#VALUE!</v>
      </c>
    </row>
    <row r="3091" spans="1:5" x14ac:dyDescent="0.2">
      <c r="A3091" s="28">
        <v>3090</v>
      </c>
      <c r="B3091" s="28" t="e">
        <f>interpola(#REF!,CURVA!$B$6:$B$20,CURVA!$G$6:$G$20)</f>
        <v>#VALUE!</v>
      </c>
      <c r="C3091" s="29" t="e">
        <f t="shared" si="48"/>
        <v>#VALUE!</v>
      </c>
      <c r="E3091" t="e">
        <f>cubic_spline(CURVA!$B$6:$B$20,CURVA!$G$6:$G$20,#REF!)</f>
        <v>#VALUE!</v>
      </c>
    </row>
    <row r="3092" spans="1:5" x14ac:dyDescent="0.2">
      <c r="A3092" s="28">
        <v>3091</v>
      </c>
      <c r="B3092" s="28" t="e">
        <f>interpola(#REF!,CURVA!$B$6:$B$20,CURVA!$G$6:$G$20)</f>
        <v>#VALUE!</v>
      </c>
      <c r="C3092" s="29" t="e">
        <f t="shared" si="48"/>
        <v>#VALUE!</v>
      </c>
      <c r="E3092" t="e">
        <f>cubic_spline(CURVA!$B$6:$B$20,CURVA!$G$6:$G$20,#REF!)</f>
        <v>#VALUE!</v>
      </c>
    </row>
    <row r="3093" spans="1:5" x14ac:dyDescent="0.2">
      <c r="A3093" s="28">
        <v>3092</v>
      </c>
      <c r="B3093" s="28" t="e">
        <f>interpola(#REF!,CURVA!$B$6:$B$20,CURVA!$G$6:$G$20)</f>
        <v>#VALUE!</v>
      </c>
      <c r="C3093" s="29" t="e">
        <f t="shared" si="48"/>
        <v>#VALUE!</v>
      </c>
      <c r="E3093" t="e">
        <f>cubic_spline(CURVA!$B$6:$B$20,CURVA!$G$6:$G$20,#REF!)</f>
        <v>#VALUE!</v>
      </c>
    </row>
    <row r="3094" spans="1:5" x14ac:dyDescent="0.2">
      <c r="A3094" s="28">
        <v>3093</v>
      </c>
      <c r="B3094" s="28" t="e">
        <f>interpola(#REF!,CURVA!$B$6:$B$20,CURVA!$G$6:$G$20)</f>
        <v>#VALUE!</v>
      </c>
      <c r="C3094" s="29" t="e">
        <f t="shared" si="48"/>
        <v>#VALUE!</v>
      </c>
      <c r="E3094" t="e">
        <f>cubic_spline(CURVA!$B$6:$B$20,CURVA!$G$6:$G$20,#REF!)</f>
        <v>#VALUE!</v>
      </c>
    </row>
    <row r="3095" spans="1:5" x14ac:dyDescent="0.2">
      <c r="A3095" s="28">
        <v>3094</v>
      </c>
      <c r="B3095" s="28" t="e">
        <f>interpola(#REF!,CURVA!$B$6:$B$20,CURVA!$G$6:$G$20)</f>
        <v>#VALUE!</v>
      </c>
      <c r="C3095" s="29" t="e">
        <f t="shared" si="48"/>
        <v>#VALUE!</v>
      </c>
      <c r="E3095" t="e">
        <f>cubic_spline(CURVA!$B$6:$B$20,CURVA!$G$6:$G$20,#REF!)</f>
        <v>#VALUE!</v>
      </c>
    </row>
    <row r="3096" spans="1:5" x14ac:dyDescent="0.2">
      <c r="A3096" s="28">
        <v>3095</v>
      </c>
      <c r="B3096" s="28" t="e">
        <f>interpola(#REF!,CURVA!$B$6:$B$20,CURVA!$G$6:$G$20)</f>
        <v>#VALUE!</v>
      </c>
      <c r="C3096" s="29" t="e">
        <f t="shared" si="48"/>
        <v>#VALUE!</v>
      </c>
      <c r="E3096" t="e">
        <f>cubic_spline(CURVA!$B$6:$B$20,CURVA!$G$6:$G$20,#REF!)</f>
        <v>#VALUE!</v>
      </c>
    </row>
    <row r="3097" spans="1:5" x14ac:dyDescent="0.2">
      <c r="A3097" s="28">
        <v>3096</v>
      </c>
      <c r="B3097" s="28" t="e">
        <f>interpola(#REF!,CURVA!$B$6:$B$20,CURVA!$G$6:$G$20)</f>
        <v>#VALUE!</v>
      </c>
      <c r="C3097" s="29" t="e">
        <f t="shared" si="48"/>
        <v>#VALUE!</v>
      </c>
      <c r="E3097" t="e">
        <f>cubic_spline(CURVA!$B$6:$B$20,CURVA!$G$6:$G$20,#REF!)</f>
        <v>#VALUE!</v>
      </c>
    </row>
    <row r="3098" spans="1:5" x14ac:dyDescent="0.2">
      <c r="A3098" s="28">
        <v>3097</v>
      </c>
      <c r="B3098" s="28" t="e">
        <f>interpola(#REF!,CURVA!$B$6:$B$20,CURVA!$G$6:$G$20)</f>
        <v>#VALUE!</v>
      </c>
      <c r="C3098" s="29" t="e">
        <f t="shared" si="48"/>
        <v>#VALUE!</v>
      </c>
      <c r="E3098" t="e">
        <f>cubic_spline(CURVA!$B$6:$B$20,CURVA!$G$6:$G$20,#REF!)</f>
        <v>#VALUE!</v>
      </c>
    </row>
    <row r="3099" spans="1:5" x14ac:dyDescent="0.2">
      <c r="A3099" s="28">
        <v>3098</v>
      </c>
      <c r="B3099" s="28" t="e">
        <f>interpola(#REF!,CURVA!$B$6:$B$20,CURVA!$G$6:$G$20)</f>
        <v>#VALUE!</v>
      </c>
      <c r="C3099" s="29" t="e">
        <f t="shared" si="48"/>
        <v>#VALUE!</v>
      </c>
      <c r="E3099" t="e">
        <f>cubic_spline(CURVA!$B$6:$B$20,CURVA!$G$6:$G$20,#REF!)</f>
        <v>#VALUE!</v>
      </c>
    </row>
    <row r="3100" spans="1:5" x14ac:dyDescent="0.2">
      <c r="A3100" s="28">
        <v>3099</v>
      </c>
      <c r="B3100" s="28" t="e">
        <f>interpola(#REF!,CURVA!$B$6:$B$20,CURVA!$G$6:$G$20)</f>
        <v>#VALUE!</v>
      </c>
      <c r="C3100" s="29" t="e">
        <f t="shared" si="48"/>
        <v>#VALUE!</v>
      </c>
      <c r="E3100" t="e">
        <f>cubic_spline(CURVA!$B$6:$B$20,CURVA!$G$6:$G$20,#REF!)</f>
        <v>#VALUE!</v>
      </c>
    </row>
    <row r="3101" spans="1:5" x14ac:dyDescent="0.2">
      <c r="A3101" s="28">
        <v>3100</v>
      </c>
      <c r="B3101" s="28" t="e">
        <f>interpola(#REF!,CURVA!$B$6:$B$20,CURVA!$G$6:$G$20)</f>
        <v>#VALUE!</v>
      </c>
      <c r="C3101" s="29" t="e">
        <f t="shared" si="48"/>
        <v>#VALUE!</v>
      </c>
      <c r="E3101" t="e">
        <f>cubic_spline(CURVA!$B$6:$B$20,CURVA!$G$6:$G$20,#REF!)</f>
        <v>#VALUE!</v>
      </c>
    </row>
    <row r="3102" spans="1:5" x14ac:dyDescent="0.2">
      <c r="A3102" s="28">
        <v>3101</v>
      </c>
      <c r="B3102" s="28" t="e">
        <f>interpola(#REF!,CURVA!$B$6:$B$20,CURVA!$G$6:$G$20)</f>
        <v>#VALUE!</v>
      </c>
      <c r="C3102" s="29" t="e">
        <f t="shared" si="48"/>
        <v>#VALUE!</v>
      </c>
      <c r="E3102" t="e">
        <f>cubic_spline(CURVA!$B$6:$B$20,CURVA!$G$6:$G$20,#REF!)</f>
        <v>#VALUE!</v>
      </c>
    </row>
    <row r="3103" spans="1:5" x14ac:dyDescent="0.2">
      <c r="A3103" s="28">
        <v>3102</v>
      </c>
      <c r="B3103" s="28" t="e">
        <f>interpola(#REF!,CURVA!$B$6:$B$20,CURVA!$G$6:$G$20)</f>
        <v>#VALUE!</v>
      </c>
      <c r="C3103" s="29" t="e">
        <f t="shared" si="48"/>
        <v>#VALUE!</v>
      </c>
      <c r="E3103" t="e">
        <f>cubic_spline(CURVA!$B$6:$B$20,CURVA!$G$6:$G$20,#REF!)</f>
        <v>#VALUE!</v>
      </c>
    </row>
    <row r="3104" spans="1:5" x14ac:dyDescent="0.2">
      <c r="A3104" s="28">
        <v>3103</v>
      </c>
      <c r="B3104" s="28" t="e">
        <f>interpola(#REF!,CURVA!$B$6:$B$20,CURVA!$G$6:$G$20)</f>
        <v>#VALUE!</v>
      </c>
      <c r="C3104" s="29" t="e">
        <f t="shared" si="48"/>
        <v>#VALUE!</v>
      </c>
      <c r="E3104" t="e">
        <f>cubic_spline(CURVA!$B$6:$B$20,CURVA!$G$6:$G$20,#REF!)</f>
        <v>#VALUE!</v>
      </c>
    </row>
    <row r="3105" spans="1:5" x14ac:dyDescent="0.2">
      <c r="A3105" s="28">
        <v>3104</v>
      </c>
      <c r="B3105" s="28" t="e">
        <f>interpola(#REF!,CURVA!$B$6:$B$20,CURVA!$G$6:$G$20)</f>
        <v>#VALUE!</v>
      </c>
      <c r="C3105" s="29" t="e">
        <f t="shared" si="48"/>
        <v>#VALUE!</v>
      </c>
      <c r="E3105" t="e">
        <f>cubic_spline(CURVA!$B$6:$B$20,CURVA!$G$6:$G$20,#REF!)</f>
        <v>#VALUE!</v>
      </c>
    </row>
    <row r="3106" spans="1:5" x14ac:dyDescent="0.2">
      <c r="A3106" s="28">
        <v>3105</v>
      </c>
      <c r="B3106" s="28" t="e">
        <f>interpola(#REF!,CURVA!$B$6:$B$20,CURVA!$G$6:$G$20)</f>
        <v>#VALUE!</v>
      </c>
      <c r="C3106" s="29" t="e">
        <f t="shared" si="48"/>
        <v>#VALUE!</v>
      </c>
      <c r="E3106" t="e">
        <f>cubic_spline(CURVA!$B$6:$B$20,CURVA!$G$6:$G$20,#REF!)</f>
        <v>#VALUE!</v>
      </c>
    </row>
    <row r="3107" spans="1:5" x14ac:dyDescent="0.2">
      <c r="A3107" s="28">
        <v>3106</v>
      </c>
      <c r="B3107" s="28" t="e">
        <f>interpola(#REF!,CURVA!$B$6:$B$20,CURVA!$G$6:$G$20)</f>
        <v>#VALUE!</v>
      </c>
      <c r="C3107" s="29" t="e">
        <f t="shared" si="48"/>
        <v>#VALUE!</v>
      </c>
      <c r="E3107" t="e">
        <f>cubic_spline(CURVA!$B$6:$B$20,CURVA!$G$6:$G$20,#REF!)</f>
        <v>#VALUE!</v>
      </c>
    </row>
    <row r="3108" spans="1:5" x14ac:dyDescent="0.2">
      <c r="A3108" s="28">
        <v>3107</v>
      </c>
      <c r="B3108" s="28" t="e">
        <f>interpola(#REF!,CURVA!$B$6:$B$20,CURVA!$G$6:$G$20)</f>
        <v>#VALUE!</v>
      </c>
      <c r="C3108" s="29" t="e">
        <f t="shared" si="48"/>
        <v>#VALUE!</v>
      </c>
      <c r="E3108" t="e">
        <f>cubic_spline(CURVA!$B$6:$B$20,CURVA!$G$6:$G$20,#REF!)</f>
        <v>#VALUE!</v>
      </c>
    </row>
    <row r="3109" spans="1:5" x14ac:dyDescent="0.2">
      <c r="A3109" s="28">
        <v>3108</v>
      </c>
      <c r="B3109" s="28" t="e">
        <f>interpola(#REF!,CURVA!$B$6:$B$20,CURVA!$G$6:$G$20)</f>
        <v>#VALUE!</v>
      </c>
      <c r="C3109" s="29" t="e">
        <f t="shared" si="48"/>
        <v>#VALUE!</v>
      </c>
      <c r="E3109" t="e">
        <f>cubic_spline(CURVA!$B$6:$B$20,CURVA!$G$6:$G$20,#REF!)</f>
        <v>#VALUE!</v>
      </c>
    </row>
    <row r="3110" spans="1:5" x14ac:dyDescent="0.2">
      <c r="A3110" s="28">
        <v>3109</v>
      </c>
      <c r="B3110" s="28" t="e">
        <f>interpola(#REF!,CURVA!$B$6:$B$20,CURVA!$G$6:$G$20)</f>
        <v>#VALUE!</v>
      </c>
      <c r="C3110" s="29" t="e">
        <f t="shared" si="48"/>
        <v>#VALUE!</v>
      </c>
      <c r="E3110" t="e">
        <f>cubic_spline(CURVA!$B$6:$B$20,CURVA!$G$6:$G$20,#REF!)</f>
        <v>#VALUE!</v>
      </c>
    </row>
    <row r="3111" spans="1:5" x14ac:dyDescent="0.2">
      <c r="A3111" s="28">
        <v>3110</v>
      </c>
      <c r="B3111" s="28" t="e">
        <f>interpola(#REF!,CURVA!$B$6:$B$20,CURVA!$G$6:$G$20)</f>
        <v>#VALUE!</v>
      </c>
      <c r="C3111" s="29" t="e">
        <f t="shared" si="48"/>
        <v>#VALUE!</v>
      </c>
      <c r="E3111" t="e">
        <f>cubic_spline(CURVA!$B$6:$B$20,CURVA!$G$6:$G$20,#REF!)</f>
        <v>#VALUE!</v>
      </c>
    </row>
    <row r="3112" spans="1:5" x14ac:dyDescent="0.2">
      <c r="A3112" s="28">
        <v>3111</v>
      </c>
      <c r="B3112" s="28" t="e">
        <f>interpola(#REF!,CURVA!$B$6:$B$20,CURVA!$G$6:$G$20)</f>
        <v>#VALUE!</v>
      </c>
      <c r="C3112" s="29" t="e">
        <f t="shared" si="48"/>
        <v>#VALUE!</v>
      </c>
      <c r="E3112" t="e">
        <f>cubic_spline(CURVA!$B$6:$B$20,CURVA!$G$6:$G$20,#REF!)</f>
        <v>#VALUE!</v>
      </c>
    </row>
    <row r="3113" spans="1:5" x14ac:dyDescent="0.2">
      <c r="A3113" s="28">
        <v>3112</v>
      </c>
      <c r="B3113" s="28" t="e">
        <f>interpola(#REF!,CURVA!$B$6:$B$20,CURVA!$G$6:$G$20)</f>
        <v>#VALUE!</v>
      </c>
      <c r="C3113" s="29" t="e">
        <f t="shared" si="48"/>
        <v>#VALUE!</v>
      </c>
      <c r="E3113" t="e">
        <f>cubic_spline(CURVA!$B$6:$B$20,CURVA!$G$6:$G$20,#REF!)</f>
        <v>#VALUE!</v>
      </c>
    </row>
    <row r="3114" spans="1:5" x14ac:dyDescent="0.2">
      <c r="A3114" s="28">
        <v>3113</v>
      </c>
      <c r="B3114" s="28" t="e">
        <f>interpola(#REF!,CURVA!$B$6:$B$20,CURVA!$G$6:$G$20)</f>
        <v>#VALUE!</v>
      </c>
      <c r="C3114" s="29" t="e">
        <f t="shared" si="48"/>
        <v>#VALUE!</v>
      </c>
      <c r="E3114" t="e">
        <f>cubic_spline(CURVA!$B$6:$B$20,CURVA!$G$6:$G$20,#REF!)</f>
        <v>#VALUE!</v>
      </c>
    </row>
    <row r="3115" spans="1:5" x14ac:dyDescent="0.2">
      <c r="A3115" s="28">
        <v>3114</v>
      </c>
      <c r="B3115" s="28" t="e">
        <f>interpola(#REF!,CURVA!$B$6:$B$20,CURVA!$G$6:$G$20)</f>
        <v>#VALUE!</v>
      </c>
      <c r="C3115" s="29" t="e">
        <f t="shared" si="48"/>
        <v>#VALUE!</v>
      </c>
      <c r="E3115" t="e">
        <f>cubic_spline(CURVA!$B$6:$B$20,CURVA!$G$6:$G$20,#REF!)</f>
        <v>#VALUE!</v>
      </c>
    </row>
    <row r="3116" spans="1:5" x14ac:dyDescent="0.2">
      <c r="A3116" s="28">
        <v>3115</v>
      </c>
      <c r="B3116" s="28" t="e">
        <f>interpola(#REF!,CURVA!$B$6:$B$20,CURVA!$G$6:$G$20)</f>
        <v>#VALUE!</v>
      </c>
      <c r="C3116" s="29" t="e">
        <f t="shared" si="48"/>
        <v>#VALUE!</v>
      </c>
      <c r="E3116" t="e">
        <f>cubic_spline(CURVA!$B$6:$B$20,CURVA!$G$6:$G$20,#REF!)</f>
        <v>#VALUE!</v>
      </c>
    </row>
    <row r="3117" spans="1:5" x14ac:dyDescent="0.2">
      <c r="A3117" s="28">
        <v>3116</v>
      </c>
      <c r="B3117" s="28" t="e">
        <f>interpola(#REF!,CURVA!$B$6:$B$20,CURVA!$G$6:$G$20)</f>
        <v>#VALUE!</v>
      </c>
      <c r="C3117" s="29" t="e">
        <f t="shared" si="48"/>
        <v>#VALUE!</v>
      </c>
      <c r="E3117" t="e">
        <f>cubic_spline(CURVA!$B$6:$B$20,CURVA!$G$6:$G$20,#REF!)</f>
        <v>#VALUE!</v>
      </c>
    </row>
    <row r="3118" spans="1:5" x14ac:dyDescent="0.2">
      <c r="A3118" s="28">
        <v>3117</v>
      </c>
      <c r="B3118" s="28" t="e">
        <f>interpola(#REF!,CURVA!$B$6:$B$20,CURVA!$G$6:$G$20)</f>
        <v>#VALUE!</v>
      </c>
      <c r="C3118" s="29" t="e">
        <f t="shared" si="48"/>
        <v>#VALUE!</v>
      </c>
      <c r="E3118" t="e">
        <f>cubic_spline(CURVA!$B$6:$B$20,CURVA!$G$6:$G$20,#REF!)</f>
        <v>#VALUE!</v>
      </c>
    </row>
    <row r="3119" spans="1:5" x14ac:dyDescent="0.2">
      <c r="A3119" s="28">
        <v>3118</v>
      </c>
      <c r="B3119" s="28" t="e">
        <f>interpola(#REF!,CURVA!$B$6:$B$20,CURVA!$G$6:$G$20)</f>
        <v>#VALUE!</v>
      </c>
      <c r="C3119" s="29" t="e">
        <f t="shared" si="48"/>
        <v>#VALUE!</v>
      </c>
      <c r="E3119" t="e">
        <f>cubic_spline(CURVA!$B$6:$B$20,CURVA!$G$6:$G$20,#REF!)</f>
        <v>#VALUE!</v>
      </c>
    </row>
    <row r="3120" spans="1:5" x14ac:dyDescent="0.2">
      <c r="A3120" s="28">
        <v>3119</v>
      </c>
      <c r="B3120" s="28" t="e">
        <f>interpola(#REF!,CURVA!$B$6:$B$20,CURVA!$G$6:$G$20)</f>
        <v>#VALUE!</v>
      </c>
      <c r="C3120" s="29" t="e">
        <f t="shared" si="48"/>
        <v>#VALUE!</v>
      </c>
      <c r="E3120" t="e">
        <f>cubic_spline(CURVA!$B$6:$B$20,CURVA!$G$6:$G$20,#REF!)</f>
        <v>#VALUE!</v>
      </c>
    </row>
    <row r="3121" spans="1:5" x14ac:dyDescent="0.2">
      <c r="A3121" s="28">
        <v>3120</v>
      </c>
      <c r="B3121" s="28" t="e">
        <f>interpola(#REF!,CURVA!$B$6:$B$20,CURVA!$G$6:$G$20)</f>
        <v>#VALUE!</v>
      </c>
      <c r="C3121" s="29" t="e">
        <f t="shared" si="48"/>
        <v>#VALUE!</v>
      </c>
      <c r="E3121" t="e">
        <f>cubic_spline(CURVA!$B$6:$B$20,CURVA!$G$6:$G$20,#REF!)</f>
        <v>#VALUE!</v>
      </c>
    </row>
    <row r="3122" spans="1:5" x14ac:dyDescent="0.2">
      <c r="A3122" s="28">
        <v>3121</v>
      </c>
      <c r="B3122" s="28" t="e">
        <f>interpola(#REF!,CURVA!$B$6:$B$20,CURVA!$G$6:$G$20)</f>
        <v>#VALUE!</v>
      </c>
      <c r="C3122" s="29" t="e">
        <f t="shared" si="48"/>
        <v>#VALUE!</v>
      </c>
      <c r="E3122" t="e">
        <f>cubic_spline(CURVA!$B$6:$B$20,CURVA!$G$6:$G$20,#REF!)</f>
        <v>#VALUE!</v>
      </c>
    </row>
    <row r="3123" spans="1:5" x14ac:dyDescent="0.2">
      <c r="A3123" s="28">
        <v>3122</v>
      </c>
      <c r="B3123" s="28" t="e">
        <f>interpola(#REF!,CURVA!$B$6:$B$20,CURVA!$G$6:$G$20)</f>
        <v>#VALUE!</v>
      </c>
      <c r="C3123" s="29" t="e">
        <f t="shared" si="48"/>
        <v>#VALUE!</v>
      </c>
      <c r="E3123" t="e">
        <f>cubic_spline(CURVA!$B$6:$B$20,CURVA!$G$6:$G$20,#REF!)</f>
        <v>#VALUE!</v>
      </c>
    </row>
    <row r="3124" spans="1:5" x14ac:dyDescent="0.2">
      <c r="A3124" s="28">
        <v>3123</v>
      </c>
      <c r="B3124" s="28" t="e">
        <f>interpola(#REF!,CURVA!$B$6:$B$20,CURVA!$G$6:$G$20)</f>
        <v>#VALUE!</v>
      </c>
      <c r="C3124" s="29" t="e">
        <f t="shared" si="48"/>
        <v>#VALUE!</v>
      </c>
      <c r="E3124" t="e">
        <f>cubic_spline(CURVA!$B$6:$B$20,CURVA!$G$6:$G$20,#REF!)</f>
        <v>#VALUE!</v>
      </c>
    </row>
    <row r="3125" spans="1:5" x14ac:dyDescent="0.2">
      <c r="A3125" s="28">
        <v>3124</v>
      </c>
      <c r="B3125" s="28" t="e">
        <f>interpola(#REF!,CURVA!$B$6:$B$20,CURVA!$G$6:$G$20)</f>
        <v>#VALUE!</v>
      </c>
      <c r="C3125" s="29" t="e">
        <f t="shared" si="48"/>
        <v>#VALUE!</v>
      </c>
      <c r="E3125" t="e">
        <f>cubic_spline(CURVA!$B$6:$B$20,CURVA!$G$6:$G$20,#REF!)</f>
        <v>#VALUE!</v>
      </c>
    </row>
    <row r="3126" spans="1:5" x14ac:dyDescent="0.2">
      <c r="A3126" s="28">
        <v>3125</v>
      </c>
      <c r="B3126" s="28" t="e">
        <f>interpola(#REF!,CURVA!$B$6:$B$20,CURVA!$G$6:$G$20)</f>
        <v>#VALUE!</v>
      </c>
      <c r="C3126" s="29" t="e">
        <f t="shared" si="48"/>
        <v>#VALUE!</v>
      </c>
      <c r="E3126" t="e">
        <f>cubic_spline(CURVA!$B$6:$B$20,CURVA!$G$6:$G$20,#REF!)</f>
        <v>#VALUE!</v>
      </c>
    </row>
    <row r="3127" spans="1:5" x14ac:dyDescent="0.2">
      <c r="A3127" s="28">
        <v>3126</v>
      </c>
      <c r="B3127" s="28" t="e">
        <f>interpola(#REF!,CURVA!$B$6:$B$20,CURVA!$G$6:$G$20)</f>
        <v>#VALUE!</v>
      </c>
      <c r="C3127" s="29" t="e">
        <f t="shared" si="48"/>
        <v>#VALUE!</v>
      </c>
      <c r="E3127" t="e">
        <f>cubic_spline(CURVA!$B$6:$B$20,CURVA!$G$6:$G$20,#REF!)</f>
        <v>#VALUE!</v>
      </c>
    </row>
    <row r="3128" spans="1:5" x14ac:dyDescent="0.2">
      <c r="A3128" s="28">
        <v>3127</v>
      </c>
      <c r="B3128" s="28" t="e">
        <f>interpola(#REF!,CURVA!$B$6:$B$20,CURVA!$G$6:$G$20)</f>
        <v>#VALUE!</v>
      </c>
      <c r="C3128" s="29" t="e">
        <f t="shared" si="48"/>
        <v>#VALUE!</v>
      </c>
      <c r="E3128" t="e">
        <f>cubic_spline(CURVA!$B$6:$B$20,CURVA!$G$6:$G$20,#REF!)</f>
        <v>#VALUE!</v>
      </c>
    </row>
    <row r="3129" spans="1:5" x14ac:dyDescent="0.2">
      <c r="A3129" s="28">
        <v>3128</v>
      </c>
      <c r="B3129" s="28" t="e">
        <f>interpola(#REF!,CURVA!$B$6:$B$20,CURVA!$G$6:$G$20)</f>
        <v>#VALUE!</v>
      </c>
      <c r="C3129" s="29" t="e">
        <f t="shared" si="48"/>
        <v>#VALUE!</v>
      </c>
      <c r="E3129" t="e">
        <f>cubic_spline(CURVA!$B$6:$B$20,CURVA!$G$6:$G$20,#REF!)</f>
        <v>#VALUE!</v>
      </c>
    </row>
    <row r="3130" spans="1:5" x14ac:dyDescent="0.2">
      <c r="A3130" s="28">
        <v>3129</v>
      </c>
      <c r="B3130" s="28" t="e">
        <f>interpola(#REF!,CURVA!$B$6:$B$20,CURVA!$G$6:$G$20)</f>
        <v>#VALUE!</v>
      </c>
      <c r="C3130" s="29" t="e">
        <f t="shared" si="48"/>
        <v>#VALUE!</v>
      </c>
      <c r="E3130" t="e">
        <f>cubic_spline(CURVA!$B$6:$B$20,CURVA!$G$6:$G$20,#REF!)</f>
        <v>#VALUE!</v>
      </c>
    </row>
    <row r="3131" spans="1:5" x14ac:dyDescent="0.2">
      <c r="A3131" s="28">
        <v>3130</v>
      </c>
      <c r="B3131" s="28" t="e">
        <f>interpola(#REF!,CURVA!$B$6:$B$20,CURVA!$G$6:$G$20)</f>
        <v>#VALUE!</v>
      </c>
      <c r="C3131" s="29" t="e">
        <f t="shared" si="48"/>
        <v>#VALUE!</v>
      </c>
      <c r="E3131" t="e">
        <f>cubic_spline(CURVA!$B$6:$B$20,CURVA!$G$6:$G$20,#REF!)</f>
        <v>#VALUE!</v>
      </c>
    </row>
    <row r="3132" spans="1:5" x14ac:dyDescent="0.2">
      <c r="A3132" s="28">
        <v>3131</v>
      </c>
      <c r="B3132" s="28" t="e">
        <f>interpola(#REF!,CURVA!$B$6:$B$20,CURVA!$G$6:$G$20)</f>
        <v>#VALUE!</v>
      </c>
      <c r="C3132" s="29" t="e">
        <f t="shared" si="48"/>
        <v>#VALUE!</v>
      </c>
      <c r="E3132" t="e">
        <f>cubic_spline(CURVA!$B$6:$B$20,CURVA!$G$6:$G$20,#REF!)</f>
        <v>#VALUE!</v>
      </c>
    </row>
    <row r="3133" spans="1:5" x14ac:dyDescent="0.2">
      <c r="A3133" s="28">
        <v>3132</v>
      </c>
      <c r="B3133" s="28" t="e">
        <f>interpola(#REF!,CURVA!$B$6:$B$20,CURVA!$G$6:$G$20)</f>
        <v>#VALUE!</v>
      </c>
      <c r="C3133" s="29" t="e">
        <f t="shared" si="48"/>
        <v>#VALUE!</v>
      </c>
      <c r="E3133" t="e">
        <f>cubic_spline(CURVA!$B$6:$B$20,CURVA!$G$6:$G$20,#REF!)</f>
        <v>#VALUE!</v>
      </c>
    </row>
    <row r="3134" spans="1:5" x14ac:dyDescent="0.2">
      <c r="A3134" s="28">
        <v>3133</v>
      </c>
      <c r="B3134" s="28" t="e">
        <f>interpola(#REF!,CURVA!$B$6:$B$20,CURVA!$G$6:$G$20)</f>
        <v>#VALUE!</v>
      </c>
      <c r="C3134" s="29" t="e">
        <f t="shared" si="48"/>
        <v>#VALUE!</v>
      </c>
      <c r="E3134" t="e">
        <f>cubic_spline(CURVA!$B$6:$B$20,CURVA!$G$6:$G$20,#REF!)</f>
        <v>#VALUE!</v>
      </c>
    </row>
    <row r="3135" spans="1:5" x14ac:dyDescent="0.2">
      <c r="A3135" s="28">
        <v>3134</v>
      </c>
      <c r="B3135" s="28" t="e">
        <f>interpola(#REF!,CURVA!$B$6:$B$20,CURVA!$G$6:$G$20)</f>
        <v>#VALUE!</v>
      </c>
      <c r="C3135" s="29" t="e">
        <f t="shared" si="48"/>
        <v>#VALUE!</v>
      </c>
      <c r="E3135" t="e">
        <f>cubic_spline(CURVA!$B$6:$B$20,CURVA!$G$6:$G$20,#REF!)</f>
        <v>#VALUE!</v>
      </c>
    </row>
    <row r="3136" spans="1:5" x14ac:dyDescent="0.2">
      <c r="A3136" s="28">
        <v>3135</v>
      </c>
      <c r="B3136" s="28" t="e">
        <f>interpola(#REF!,CURVA!$B$6:$B$20,CURVA!$G$6:$G$20)</f>
        <v>#VALUE!</v>
      </c>
      <c r="C3136" s="29" t="e">
        <f t="shared" si="48"/>
        <v>#VALUE!</v>
      </c>
      <c r="E3136" t="e">
        <f>cubic_spline(CURVA!$B$6:$B$20,CURVA!$G$6:$G$20,#REF!)</f>
        <v>#VALUE!</v>
      </c>
    </row>
    <row r="3137" spans="1:5" x14ac:dyDescent="0.2">
      <c r="A3137" s="28">
        <v>3136</v>
      </c>
      <c r="B3137" s="28" t="e">
        <f>interpola(#REF!,CURVA!$B$6:$B$20,CURVA!$G$6:$G$20)</f>
        <v>#VALUE!</v>
      </c>
      <c r="C3137" s="29" t="e">
        <f t="shared" si="48"/>
        <v>#VALUE!</v>
      </c>
      <c r="E3137" t="e">
        <f>cubic_spline(CURVA!$B$6:$B$20,CURVA!$G$6:$G$20,#REF!)</f>
        <v>#VALUE!</v>
      </c>
    </row>
    <row r="3138" spans="1:5" x14ac:dyDescent="0.2">
      <c r="A3138" s="28">
        <v>3137</v>
      </c>
      <c r="B3138" s="28" t="e">
        <f>interpola(#REF!,CURVA!$B$6:$B$20,CURVA!$G$6:$G$20)</f>
        <v>#VALUE!</v>
      </c>
      <c r="C3138" s="29" t="e">
        <f t="shared" ref="C3138:C3201" si="49">(EXP(B3138*A3138/360)-1)*360/A3138</f>
        <v>#VALUE!</v>
      </c>
      <c r="E3138" t="e">
        <f>cubic_spline(CURVA!$B$6:$B$20,CURVA!$G$6:$G$20,#REF!)</f>
        <v>#VALUE!</v>
      </c>
    </row>
    <row r="3139" spans="1:5" x14ac:dyDescent="0.2">
      <c r="A3139" s="28">
        <v>3138</v>
      </c>
      <c r="B3139" s="28" t="e">
        <f>interpola(#REF!,CURVA!$B$6:$B$20,CURVA!$G$6:$G$20)</f>
        <v>#VALUE!</v>
      </c>
      <c r="C3139" s="29" t="e">
        <f t="shared" si="49"/>
        <v>#VALUE!</v>
      </c>
      <c r="E3139" t="e">
        <f>cubic_spline(CURVA!$B$6:$B$20,CURVA!$G$6:$G$20,#REF!)</f>
        <v>#VALUE!</v>
      </c>
    </row>
    <row r="3140" spans="1:5" x14ac:dyDescent="0.2">
      <c r="A3140" s="28">
        <v>3139</v>
      </c>
      <c r="B3140" s="28" t="e">
        <f>interpola(#REF!,CURVA!$B$6:$B$20,CURVA!$G$6:$G$20)</f>
        <v>#VALUE!</v>
      </c>
      <c r="C3140" s="29" t="e">
        <f t="shared" si="49"/>
        <v>#VALUE!</v>
      </c>
      <c r="E3140" t="e">
        <f>cubic_spline(CURVA!$B$6:$B$20,CURVA!$G$6:$G$20,#REF!)</f>
        <v>#VALUE!</v>
      </c>
    </row>
    <row r="3141" spans="1:5" x14ac:dyDescent="0.2">
      <c r="A3141" s="28">
        <v>3140</v>
      </c>
      <c r="B3141" s="28" t="e">
        <f>interpola(#REF!,CURVA!$B$6:$B$20,CURVA!$G$6:$G$20)</f>
        <v>#VALUE!</v>
      </c>
      <c r="C3141" s="29" t="e">
        <f t="shared" si="49"/>
        <v>#VALUE!</v>
      </c>
      <c r="E3141" t="e">
        <f>cubic_spline(CURVA!$B$6:$B$20,CURVA!$G$6:$G$20,#REF!)</f>
        <v>#VALUE!</v>
      </c>
    </row>
    <row r="3142" spans="1:5" x14ac:dyDescent="0.2">
      <c r="A3142" s="28">
        <v>3141</v>
      </c>
      <c r="B3142" s="28" t="e">
        <f>interpola(#REF!,CURVA!$B$6:$B$20,CURVA!$G$6:$G$20)</f>
        <v>#VALUE!</v>
      </c>
      <c r="C3142" s="29" t="e">
        <f t="shared" si="49"/>
        <v>#VALUE!</v>
      </c>
      <c r="E3142" t="e">
        <f>cubic_spline(CURVA!$B$6:$B$20,CURVA!$G$6:$G$20,#REF!)</f>
        <v>#VALUE!</v>
      </c>
    </row>
    <row r="3143" spans="1:5" x14ac:dyDescent="0.2">
      <c r="A3143" s="28">
        <v>3142</v>
      </c>
      <c r="B3143" s="28" t="e">
        <f>interpola(#REF!,CURVA!$B$6:$B$20,CURVA!$G$6:$G$20)</f>
        <v>#VALUE!</v>
      </c>
      <c r="C3143" s="29" t="e">
        <f t="shared" si="49"/>
        <v>#VALUE!</v>
      </c>
      <c r="E3143" t="e">
        <f>cubic_spline(CURVA!$B$6:$B$20,CURVA!$G$6:$G$20,#REF!)</f>
        <v>#VALUE!</v>
      </c>
    </row>
    <row r="3144" spans="1:5" x14ac:dyDescent="0.2">
      <c r="A3144" s="28">
        <v>3143</v>
      </c>
      <c r="B3144" s="28" t="e">
        <f>interpola(#REF!,CURVA!$B$6:$B$20,CURVA!$G$6:$G$20)</f>
        <v>#VALUE!</v>
      </c>
      <c r="C3144" s="29" t="e">
        <f t="shared" si="49"/>
        <v>#VALUE!</v>
      </c>
      <c r="E3144" t="e">
        <f>cubic_spline(CURVA!$B$6:$B$20,CURVA!$G$6:$G$20,#REF!)</f>
        <v>#VALUE!</v>
      </c>
    </row>
    <row r="3145" spans="1:5" x14ac:dyDescent="0.2">
      <c r="A3145" s="28">
        <v>3144</v>
      </c>
      <c r="B3145" s="28" t="e">
        <f>interpola(#REF!,CURVA!$B$6:$B$20,CURVA!$G$6:$G$20)</f>
        <v>#VALUE!</v>
      </c>
      <c r="C3145" s="29" t="e">
        <f t="shared" si="49"/>
        <v>#VALUE!</v>
      </c>
      <c r="E3145" t="e">
        <f>cubic_spline(CURVA!$B$6:$B$20,CURVA!$G$6:$G$20,#REF!)</f>
        <v>#VALUE!</v>
      </c>
    </row>
    <row r="3146" spans="1:5" x14ac:dyDescent="0.2">
      <c r="A3146" s="28">
        <v>3145</v>
      </c>
      <c r="B3146" s="28" t="e">
        <f>interpola(#REF!,CURVA!$B$6:$B$20,CURVA!$G$6:$G$20)</f>
        <v>#VALUE!</v>
      </c>
      <c r="C3146" s="29" t="e">
        <f t="shared" si="49"/>
        <v>#VALUE!</v>
      </c>
      <c r="E3146" t="e">
        <f>cubic_spline(CURVA!$B$6:$B$20,CURVA!$G$6:$G$20,#REF!)</f>
        <v>#VALUE!</v>
      </c>
    </row>
    <row r="3147" spans="1:5" x14ac:dyDescent="0.2">
      <c r="A3147" s="28">
        <v>3146</v>
      </c>
      <c r="B3147" s="28" t="e">
        <f>interpola(#REF!,CURVA!$B$6:$B$20,CURVA!$G$6:$G$20)</f>
        <v>#VALUE!</v>
      </c>
      <c r="C3147" s="29" t="e">
        <f t="shared" si="49"/>
        <v>#VALUE!</v>
      </c>
      <c r="E3147" t="e">
        <f>cubic_spline(CURVA!$B$6:$B$20,CURVA!$G$6:$G$20,#REF!)</f>
        <v>#VALUE!</v>
      </c>
    </row>
    <row r="3148" spans="1:5" x14ac:dyDescent="0.2">
      <c r="A3148" s="28">
        <v>3147</v>
      </c>
      <c r="B3148" s="28" t="e">
        <f>interpola(#REF!,CURVA!$B$6:$B$20,CURVA!$G$6:$G$20)</f>
        <v>#VALUE!</v>
      </c>
      <c r="C3148" s="29" t="e">
        <f t="shared" si="49"/>
        <v>#VALUE!</v>
      </c>
      <c r="E3148" t="e">
        <f>cubic_spline(CURVA!$B$6:$B$20,CURVA!$G$6:$G$20,#REF!)</f>
        <v>#VALUE!</v>
      </c>
    </row>
    <row r="3149" spans="1:5" x14ac:dyDescent="0.2">
      <c r="A3149" s="28">
        <v>3148</v>
      </c>
      <c r="B3149" s="28" t="e">
        <f>interpola(#REF!,CURVA!$B$6:$B$20,CURVA!$G$6:$G$20)</f>
        <v>#VALUE!</v>
      </c>
      <c r="C3149" s="29" t="e">
        <f t="shared" si="49"/>
        <v>#VALUE!</v>
      </c>
      <c r="E3149" t="e">
        <f>cubic_spline(CURVA!$B$6:$B$20,CURVA!$G$6:$G$20,#REF!)</f>
        <v>#VALUE!</v>
      </c>
    </row>
    <row r="3150" spans="1:5" x14ac:dyDescent="0.2">
      <c r="A3150" s="28">
        <v>3149</v>
      </c>
      <c r="B3150" s="28" t="e">
        <f>interpola(#REF!,CURVA!$B$6:$B$20,CURVA!$G$6:$G$20)</f>
        <v>#VALUE!</v>
      </c>
      <c r="C3150" s="29" t="e">
        <f t="shared" si="49"/>
        <v>#VALUE!</v>
      </c>
      <c r="E3150" t="e">
        <f>cubic_spline(CURVA!$B$6:$B$20,CURVA!$G$6:$G$20,#REF!)</f>
        <v>#VALUE!</v>
      </c>
    </row>
    <row r="3151" spans="1:5" x14ac:dyDescent="0.2">
      <c r="A3151" s="28">
        <v>3150</v>
      </c>
      <c r="B3151" s="28" t="e">
        <f>interpola(#REF!,CURVA!$B$6:$B$20,CURVA!$G$6:$G$20)</f>
        <v>#VALUE!</v>
      </c>
      <c r="C3151" s="29" t="e">
        <f t="shared" si="49"/>
        <v>#VALUE!</v>
      </c>
      <c r="E3151" t="e">
        <f>cubic_spline(CURVA!$B$6:$B$20,CURVA!$G$6:$G$20,#REF!)</f>
        <v>#VALUE!</v>
      </c>
    </row>
    <row r="3152" spans="1:5" x14ac:dyDescent="0.2">
      <c r="A3152" s="28">
        <v>3151</v>
      </c>
      <c r="B3152" s="28" t="e">
        <f>interpola(#REF!,CURVA!$B$6:$B$20,CURVA!$G$6:$G$20)</f>
        <v>#VALUE!</v>
      </c>
      <c r="C3152" s="29" t="e">
        <f t="shared" si="49"/>
        <v>#VALUE!</v>
      </c>
      <c r="E3152" t="e">
        <f>cubic_spline(CURVA!$B$6:$B$20,CURVA!$G$6:$G$20,#REF!)</f>
        <v>#VALUE!</v>
      </c>
    </row>
    <row r="3153" spans="1:5" x14ac:dyDescent="0.2">
      <c r="A3153" s="28">
        <v>3152</v>
      </c>
      <c r="B3153" s="28" t="e">
        <f>interpola(#REF!,CURVA!$B$6:$B$20,CURVA!$G$6:$G$20)</f>
        <v>#VALUE!</v>
      </c>
      <c r="C3153" s="29" t="e">
        <f t="shared" si="49"/>
        <v>#VALUE!</v>
      </c>
      <c r="E3153" t="e">
        <f>cubic_spline(CURVA!$B$6:$B$20,CURVA!$G$6:$G$20,#REF!)</f>
        <v>#VALUE!</v>
      </c>
    </row>
    <row r="3154" spans="1:5" x14ac:dyDescent="0.2">
      <c r="A3154" s="28">
        <v>3153</v>
      </c>
      <c r="B3154" s="28" t="e">
        <f>interpola(#REF!,CURVA!$B$6:$B$20,CURVA!$G$6:$G$20)</f>
        <v>#VALUE!</v>
      </c>
      <c r="C3154" s="29" t="e">
        <f t="shared" si="49"/>
        <v>#VALUE!</v>
      </c>
      <c r="E3154" t="e">
        <f>cubic_spline(CURVA!$B$6:$B$20,CURVA!$G$6:$G$20,#REF!)</f>
        <v>#VALUE!</v>
      </c>
    </row>
    <row r="3155" spans="1:5" x14ac:dyDescent="0.2">
      <c r="A3155" s="28">
        <v>3154</v>
      </c>
      <c r="B3155" s="28" t="e">
        <f>interpola(#REF!,CURVA!$B$6:$B$20,CURVA!$G$6:$G$20)</f>
        <v>#VALUE!</v>
      </c>
      <c r="C3155" s="29" t="e">
        <f t="shared" si="49"/>
        <v>#VALUE!</v>
      </c>
      <c r="E3155" t="e">
        <f>cubic_spline(CURVA!$B$6:$B$20,CURVA!$G$6:$G$20,#REF!)</f>
        <v>#VALUE!</v>
      </c>
    </row>
    <row r="3156" spans="1:5" x14ac:dyDescent="0.2">
      <c r="A3156" s="28">
        <v>3155</v>
      </c>
      <c r="B3156" s="28" t="e">
        <f>interpola(#REF!,CURVA!$B$6:$B$20,CURVA!$G$6:$G$20)</f>
        <v>#VALUE!</v>
      </c>
      <c r="C3156" s="29" t="e">
        <f t="shared" si="49"/>
        <v>#VALUE!</v>
      </c>
      <c r="E3156" t="e">
        <f>cubic_spline(CURVA!$B$6:$B$20,CURVA!$G$6:$G$20,#REF!)</f>
        <v>#VALUE!</v>
      </c>
    </row>
    <row r="3157" spans="1:5" x14ac:dyDescent="0.2">
      <c r="A3157" s="28">
        <v>3156</v>
      </c>
      <c r="B3157" s="28" t="e">
        <f>interpola(#REF!,CURVA!$B$6:$B$20,CURVA!$G$6:$G$20)</f>
        <v>#VALUE!</v>
      </c>
      <c r="C3157" s="29" t="e">
        <f t="shared" si="49"/>
        <v>#VALUE!</v>
      </c>
      <c r="E3157" t="e">
        <f>cubic_spline(CURVA!$B$6:$B$20,CURVA!$G$6:$G$20,#REF!)</f>
        <v>#VALUE!</v>
      </c>
    </row>
    <row r="3158" spans="1:5" x14ac:dyDescent="0.2">
      <c r="A3158" s="28">
        <v>3157</v>
      </c>
      <c r="B3158" s="28" t="e">
        <f>interpola(#REF!,CURVA!$B$6:$B$20,CURVA!$G$6:$G$20)</f>
        <v>#VALUE!</v>
      </c>
      <c r="C3158" s="29" t="e">
        <f t="shared" si="49"/>
        <v>#VALUE!</v>
      </c>
      <c r="E3158" t="e">
        <f>cubic_spline(CURVA!$B$6:$B$20,CURVA!$G$6:$G$20,#REF!)</f>
        <v>#VALUE!</v>
      </c>
    </row>
    <row r="3159" spans="1:5" x14ac:dyDescent="0.2">
      <c r="A3159" s="28">
        <v>3158</v>
      </c>
      <c r="B3159" s="28" t="e">
        <f>interpola(#REF!,CURVA!$B$6:$B$20,CURVA!$G$6:$G$20)</f>
        <v>#VALUE!</v>
      </c>
      <c r="C3159" s="29" t="e">
        <f t="shared" si="49"/>
        <v>#VALUE!</v>
      </c>
      <c r="E3159" t="e">
        <f>cubic_spline(CURVA!$B$6:$B$20,CURVA!$G$6:$G$20,#REF!)</f>
        <v>#VALUE!</v>
      </c>
    </row>
    <row r="3160" spans="1:5" x14ac:dyDescent="0.2">
      <c r="A3160" s="28">
        <v>3159</v>
      </c>
      <c r="B3160" s="28" t="e">
        <f>interpola(#REF!,CURVA!$B$6:$B$20,CURVA!$G$6:$G$20)</f>
        <v>#VALUE!</v>
      </c>
      <c r="C3160" s="29" t="e">
        <f t="shared" si="49"/>
        <v>#VALUE!</v>
      </c>
      <c r="E3160" t="e">
        <f>cubic_spline(CURVA!$B$6:$B$20,CURVA!$G$6:$G$20,#REF!)</f>
        <v>#VALUE!</v>
      </c>
    </row>
    <row r="3161" spans="1:5" x14ac:dyDescent="0.2">
      <c r="A3161" s="28">
        <v>3160</v>
      </c>
      <c r="B3161" s="28" t="e">
        <f>interpola(#REF!,CURVA!$B$6:$B$20,CURVA!$G$6:$G$20)</f>
        <v>#VALUE!</v>
      </c>
      <c r="C3161" s="29" t="e">
        <f t="shared" si="49"/>
        <v>#VALUE!</v>
      </c>
      <c r="E3161" t="e">
        <f>cubic_spline(CURVA!$B$6:$B$20,CURVA!$G$6:$G$20,#REF!)</f>
        <v>#VALUE!</v>
      </c>
    </row>
    <row r="3162" spans="1:5" x14ac:dyDescent="0.2">
      <c r="A3162" s="28">
        <v>3161</v>
      </c>
      <c r="B3162" s="28" t="e">
        <f>interpola(#REF!,CURVA!$B$6:$B$20,CURVA!$G$6:$G$20)</f>
        <v>#VALUE!</v>
      </c>
      <c r="C3162" s="29" t="e">
        <f t="shared" si="49"/>
        <v>#VALUE!</v>
      </c>
      <c r="E3162" t="e">
        <f>cubic_spline(CURVA!$B$6:$B$20,CURVA!$G$6:$G$20,#REF!)</f>
        <v>#VALUE!</v>
      </c>
    </row>
    <row r="3163" spans="1:5" x14ac:dyDescent="0.2">
      <c r="A3163" s="28">
        <v>3162</v>
      </c>
      <c r="B3163" s="28" t="e">
        <f>interpola(#REF!,CURVA!$B$6:$B$20,CURVA!$G$6:$G$20)</f>
        <v>#VALUE!</v>
      </c>
      <c r="C3163" s="29" t="e">
        <f t="shared" si="49"/>
        <v>#VALUE!</v>
      </c>
      <c r="E3163" t="e">
        <f>cubic_spline(CURVA!$B$6:$B$20,CURVA!$G$6:$G$20,#REF!)</f>
        <v>#VALUE!</v>
      </c>
    </row>
    <row r="3164" spans="1:5" x14ac:dyDescent="0.2">
      <c r="A3164" s="28">
        <v>3163</v>
      </c>
      <c r="B3164" s="28" t="e">
        <f>interpola(#REF!,CURVA!$B$6:$B$20,CURVA!$G$6:$G$20)</f>
        <v>#VALUE!</v>
      </c>
      <c r="C3164" s="29" t="e">
        <f t="shared" si="49"/>
        <v>#VALUE!</v>
      </c>
      <c r="E3164" t="e">
        <f>cubic_spline(CURVA!$B$6:$B$20,CURVA!$G$6:$G$20,#REF!)</f>
        <v>#VALUE!</v>
      </c>
    </row>
    <row r="3165" spans="1:5" x14ac:dyDescent="0.2">
      <c r="A3165" s="28">
        <v>3164</v>
      </c>
      <c r="B3165" s="28" t="e">
        <f>interpola(#REF!,CURVA!$B$6:$B$20,CURVA!$G$6:$G$20)</f>
        <v>#VALUE!</v>
      </c>
      <c r="C3165" s="29" t="e">
        <f t="shared" si="49"/>
        <v>#VALUE!</v>
      </c>
      <c r="E3165" t="e">
        <f>cubic_spline(CURVA!$B$6:$B$20,CURVA!$G$6:$G$20,#REF!)</f>
        <v>#VALUE!</v>
      </c>
    </row>
    <row r="3166" spans="1:5" x14ac:dyDescent="0.2">
      <c r="A3166" s="28">
        <v>3165</v>
      </c>
      <c r="B3166" s="28" t="e">
        <f>interpola(#REF!,CURVA!$B$6:$B$20,CURVA!$G$6:$G$20)</f>
        <v>#VALUE!</v>
      </c>
      <c r="C3166" s="29" t="e">
        <f t="shared" si="49"/>
        <v>#VALUE!</v>
      </c>
      <c r="E3166" t="e">
        <f>cubic_spline(CURVA!$B$6:$B$20,CURVA!$G$6:$G$20,#REF!)</f>
        <v>#VALUE!</v>
      </c>
    </row>
    <row r="3167" spans="1:5" x14ac:dyDescent="0.2">
      <c r="A3167" s="28">
        <v>3166</v>
      </c>
      <c r="B3167" s="28" t="e">
        <f>interpola(#REF!,CURVA!$B$6:$B$20,CURVA!$G$6:$G$20)</f>
        <v>#VALUE!</v>
      </c>
      <c r="C3167" s="29" t="e">
        <f t="shared" si="49"/>
        <v>#VALUE!</v>
      </c>
      <c r="E3167" t="e">
        <f>cubic_spline(CURVA!$B$6:$B$20,CURVA!$G$6:$G$20,#REF!)</f>
        <v>#VALUE!</v>
      </c>
    </row>
    <row r="3168" spans="1:5" x14ac:dyDescent="0.2">
      <c r="A3168" s="28">
        <v>3167</v>
      </c>
      <c r="B3168" s="28" t="e">
        <f>interpola(#REF!,CURVA!$B$6:$B$20,CURVA!$G$6:$G$20)</f>
        <v>#VALUE!</v>
      </c>
      <c r="C3168" s="29" t="e">
        <f t="shared" si="49"/>
        <v>#VALUE!</v>
      </c>
      <c r="E3168" t="e">
        <f>cubic_spline(CURVA!$B$6:$B$20,CURVA!$G$6:$G$20,#REF!)</f>
        <v>#VALUE!</v>
      </c>
    </row>
    <row r="3169" spans="1:5" x14ac:dyDescent="0.2">
      <c r="A3169" s="28">
        <v>3168</v>
      </c>
      <c r="B3169" s="28" t="e">
        <f>interpola(#REF!,CURVA!$B$6:$B$20,CURVA!$G$6:$G$20)</f>
        <v>#VALUE!</v>
      </c>
      <c r="C3169" s="29" t="e">
        <f t="shared" si="49"/>
        <v>#VALUE!</v>
      </c>
      <c r="E3169" t="e">
        <f>cubic_spline(CURVA!$B$6:$B$20,CURVA!$G$6:$G$20,#REF!)</f>
        <v>#VALUE!</v>
      </c>
    </row>
    <row r="3170" spans="1:5" x14ac:dyDescent="0.2">
      <c r="A3170" s="28">
        <v>3169</v>
      </c>
      <c r="B3170" s="28" t="e">
        <f>interpola(#REF!,CURVA!$B$6:$B$20,CURVA!$G$6:$G$20)</f>
        <v>#VALUE!</v>
      </c>
      <c r="C3170" s="29" t="e">
        <f t="shared" si="49"/>
        <v>#VALUE!</v>
      </c>
      <c r="E3170" t="e">
        <f>cubic_spline(CURVA!$B$6:$B$20,CURVA!$G$6:$G$20,#REF!)</f>
        <v>#VALUE!</v>
      </c>
    </row>
    <row r="3171" spans="1:5" x14ac:dyDescent="0.2">
      <c r="A3171" s="28">
        <v>3170</v>
      </c>
      <c r="B3171" s="28" t="e">
        <f>interpola(#REF!,CURVA!$B$6:$B$20,CURVA!$G$6:$G$20)</f>
        <v>#VALUE!</v>
      </c>
      <c r="C3171" s="29" t="e">
        <f t="shared" si="49"/>
        <v>#VALUE!</v>
      </c>
      <c r="E3171" t="e">
        <f>cubic_spline(CURVA!$B$6:$B$20,CURVA!$G$6:$G$20,#REF!)</f>
        <v>#VALUE!</v>
      </c>
    </row>
    <row r="3172" spans="1:5" x14ac:dyDescent="0.2">
      <c r="A3172" s="28">
        <v>3171</v>
      </c>
      <c r="B3172" s="28" t="e">
        <f>interpola(#REF!,CURVA!$B$6:$B$20,CURVA!$G$6:$G$20)</f>
        <v>#VALUE!</v>
      </c>
      <c r="C3172" s="29" t="e">
        <f t="shared" si="49"/>
        <v>#VALUE!</v>
      </c>
      <c r="E3172" t="e">
        <f>cubic_spline(CURVA!$B$6:$B$20,CURVA!$G$6:$G$20,#REF!)</f>
        <v>#VALUE!</v>
      </c>
    </row>
    <row r="3173" spans="1:5" x14ac:dyDescent="0.2">
      <c r="A3173" s="28">
        <v>3172</v>
      </c>
      <c r="B3173" s="28" t="e">
        <f>interpola(#REF!,CURVA!$B$6:$B$20,CURVA!$G$6:$G$20)</f>
        <v>#VALUE!</v>
      </c>
      <c r="C3173" s="29" t="e">
        <f t="shared" si="49"/>
        <v>#VALUE!</v>
      </c>
      <c r="E3173" t="e">
        <f>cubic_spline(CURVA!$B$6:$B$20,CURVA!$G$6:$G$20,#REF!)</f>
        <v>#VALUE!</v>
      </c>
    </row>
    <row r="3174" spans="1:5" x14ac:dyDescent="0.2">
      <c r="A3174" s="28">
        <v>3173</v>
      </c>
      <c r="B3174" s="28" t="e">
        <f>interpola(#REF!,CURVA!$B$6:$B$20,CURVA!$G$6:$G$20)</f>
        <v>#VALUE!</v>
      </c>
      <c r="C3174" s="29" t="e">
        <f t="shared" si="49"/>
        <v>#VALUE!</v>
      </c>
      <c r="E3174" t="e">
        <f>cubic_spline(CURVA!$B$6:$B$20,CURVA!$G$6:$G$20,#REF!)</f>
        <v>#VALUE!</v>
      </c>
    </row>
    <row r="3175" spans="1:5" x14ac:dyDescent="0.2">
      <c r="A3175" s="28">
        <v>3174</v>
      </c>
      <c r="B3175" s="28" t="e">
        <f>interpola(#REF!,CURVA!$B$6:$B$20,CURVA!$G$6:$G$20)</f>
        <v>#VALUE!</v>
      </c>
      <c r="C3175" s="29" t="e">
        <f t="shared" si="49"/>
        <v>#VALUE!</v>
      </c>
      <c r="E3175" t="e">
        <f>cubic_spline(CURVA!$B$6:$B$20,CURVA!$G$6:$G$20,#REF!)</f>
        <v>#VALUE!</v>
      </c>
    </row>
    <row r="3176" spans="1:5" x14ac:dyDescent="0.2">
      <c r="A3176" s="28">
        <v>3175</v>
      </c>
      <c r="B3176" s="28" t="e">
        <f>interpola(#REF!,CURVA!$B$6:$B$20,CURVA!$G$6:$G$20)</f>
        <v>#VALUE!</v>
      </c>
      <c r="C3176" s="29" t="e">
        <f t="shared" si="49"/>
        <v>#VALUE!</v>
      </c>
      <c r="E3176" t="e">
        <f>cubic_spline(CURVA!$B$6:$B$20,CURVA!$G$6:$G$20,#REF!)</f>
        <v>#VALUE!</v>
      </c>
    </row>
    <row r="3177" spans="1:5" x14ac:dyDescent="0.2">
      <c r="A3177" s="28">
        <v>3176</v>
      </c>
      <c r="B3177" s="28" t="e">
        <f>interpola(#REF!,CURVA!$B$6:$B$20,CURVA!$G$6:$G$20)</f>
        <v>#VALUE!</v>
      </c>
      <c r="C3177" s="29" t="e">
        <f t="shared" si="49"/>
        <v>#VALUE!</v>
      </c>
      <c r="E3177" t="e">
        <f>cubic_spline(CURVA!$B$6:$B$20,CURVA!$G$6:$G$20,#REF!)</f>
        <v>#VALUE!</v>
      </c>
    </row>
    <row r="3178" spans="1:5" x14ac:dyDescent="0.2">
      <c r="A3178" s="28">
        <v>3177</v>
      </c>
      <c r="B3178" s="28" t="e">
        <f>interpola(#REF!,CURVA!$B$6:$B$20,CURVA!$G$6:$G$20)</f>
        <v>#VALUE!</v>
      </c>
      <c r="C3178" s="29" t="e">
        <f t="shared" si="49"/>
        <v>#VALUE!</v>
      </c>
      <c r="E3178" t="e">
        <f>cubic_spline(CURVA!$B$6:$B$20,CURVA!$G$6:$G$20,#REF!)</f>
        <v>#VALUE!</v>
      </c>
    </row>
    <row r="3179" spans="1:5" x14ac:dyDescent="0.2">
      <c r="A3179" s="28">
        <v>3178</v>
      </c>
      <c r="B3179" s="28" t="e">
        <f>interpola(#REF!,CURVA!$B$6:$B$20,CURVA!$G$6:$G$20)</f>
        <v>#VALUE!</v>
      </c>
      <c r="C3179" s="29" t="e">
        <f t="shared" si="49"/>
        <v>#VALUE!</v>
      </c>
      <c r="E3179" t="e">
        <f>cubic_spline(CURVA!$B$6:$B$20,CURVA!$G$6:$G$20,#REF!)</f>
        <v>#VALUE!</v>
      </c>
    </row>
    <row r="3180" spans="1:5" x14ac:dyDescent="0.2">
      <c r="A3180" s="28">
        <v>3179</v>
      </c>
      <c r="B3180" s="28" t="e">
        <f>interpola(#REF!,CURVA!$B$6:$B$20,CURVA!$G$6:$G$20)</f>
        <v>#VALUE!</v>
      </c>
      <c r="C3180" s="29" t="e">
        <f t="shared" si="49"/>
        <v>#VALUE!</v>
      </c>
      <c r="E3180" t="e">
        <f>cubic_spline(CURVA!$B$6:$B$20,CURVA!$G$6:$G$20,#REF!)</f>
        <v>#VALUE!</v>
      </c>
    </row>
    <row r="3181" spans="1:5" x14ac:dyDescent="0.2">
      <c r="A3181" s="28">
        <v>3180</v>
      </c>
      <c r="B3181" s="28" t="e">
        <f>interpola(#REF!,CURVA!$B$6:$B$20,CURVA!$G$6:$G$20)</f>
        <v>#VALUE!</v>
      </c>
      <c r="C3181" s="29" t="e">
        <f t="shared" si="49"/>
        <v>#VALUE!</v>
      </c>
      <c r="E3181" t="e">
        <f>cubic_spline(CURVA!$B$6:$B$20,CURVA!$G$6:$G$20,#REF!)</f>
        <v>#VALUE!</v>
      </c>
    </row>
    <row r="3182" spans="1:5" x14ac:dyDescent="0.2">
      <c r="A3182" s="28">
        <v>3181</v>
      </c>
      <c r="B3182" s="28" t="e">
        <f>interpola(#REF!,CURVA!$B$6:$B$20,CURVA!$G$6:$G$20)</f>
        <v>#VALUE!</v>
      </c>
      <c r="C3182" s="29" t="e">
        <f t="shared" si="49"/>
        <v>#VALUE!</v>
      </c>
      <c r="E3182" t="e">
        <f>cubic_spline(CURVA!$B$6:$B$20,CURVA!$G$6:$G$20,#REF!)</f>
        <v>#VALUE!</v>
      </c>
    </row>
    <row r="3183" spans="1:5" x14ac:dyDescent="0.2">
      <c r="A3183" s="28">
        <v>3182</v>
      </c>
      <c r="B3183" s="28" t="e">
        <f>interpola(#REF!,CURVA!$B$6:$B$20,CURVA!$G$6:$G$20)</f>
        <v>#VALUE!</v>
      </c>
      <c r="C3183" s="29" t="e">
        <f t="shared" si="49"/>
        <v>#VALUE!</v>
      </c>
      <c r="E3183" t="e">
        <f>cubic_spline(CURVA!$B$6:$B$20,CURVA!$G$6:$G$20,#REF!)</f>
        <v>#VALUE!</v>
      </c>
    </row>
    <row r="3184" spans="1:5" x14ac:dyDescent="0.2">
      <c r="A3184" s="28">
        <v>3183</v>
      </c>
      <c r="B3184" s="28" t="e">
        <f>interpola(#REF!,CURVA!$B$6:$B$20,CURVA!$G$6:$G$20)</f>
        <v>#VALUE!</v>
      </c>
      <c r="C3184" s="29" t="e">
        <f t="shared" si="49"/>
        <v>#VALUE!</v>
      </c>
      <c r="E3184" t="e">
        <f>cubic_spline(CURVA!$B$6:$B$20,CURVA!$G$6:$G$20,#REF!)</f>
        <v>#VALUE!</v>
      </c>
    </row>
    <row r="3185" spans="1:5" x14ac:dyDescent="0.2">
      <c r="A3185" s="28">
        <v>3184</v>
      </c>
      <c r="B3185" s="28" t="e">
        <f>interpola(#REF!,CURVA!$B$6:$B$20,CURVA!$G$6:$G$20)</f>
        <v>#VALUE!</v>
      </c>
      <c r="C3185" s="29" t="e">
        <f t="shared" si="49"/>
        <v>#VALUE!</v>
      </c>
      <c r="E3185" t="e">
        <f>cubic_spline(CURVA!$B$6:$B$20,CURVA!$G$6:$G$20,#REF!)</f>
        <v>#VALUE!</v>
      </c>
    </row>
    <row r="3186" spans="1:5" x14ac:dyDescent="0.2">
      <c r="A3186" s="28">
        <v>3185</v>
      </c>
      <c r="B3186" s="28" t="e">
        <f>interpola(#REF!,CURVA!$B$6:$B$20,CURVA!$G$6:$G$20)</f>
        <v>#VALUE!</v>
      </c>
      <c r="C3186" s="29" t="e">
        <f t="shared" si="49"/>
        <v>#VALUE!</v>
      </c>
      <c r="E3186" t="e">
        <f>cubic_spline(CURVA!$B$6:$B$20,CURVA!$G$6:$G$20,#REF!)</f>
        <v>#VALUE!</v>
      </c>
    </row>
    <row r="3187" spans="1:5" x14ac:dyDescent="0.2">
      <c r="A3187" s="28">
        <v>3186</v>
      </c>
      <c r="B3187" s="28" t="e">
        <f>interpola(#REF!,CURVA!$B$6:$B$20,CURVA!$G$6:$G$20)</f>
        <v>#VALUE!</v>
      </c>
      <c r="C3187" s="29" t="e">
        <f t="shared" si="49"/>
        <v>#VALUE!</v>
      </c>
      <c r="E3187" t="e">
        <f>cubic_spline(CURVA!$B$6:$B$20,CURVA!$G$6:$G$20,#REF!)</f>
        <v>#VALUE!</v>
      </c>
    </row>
    <row r="3188" spans="1:5" x14ac:dyDescent="0.2">
      <c r="A3188" s="28">
        <v>3187</v>
      </c>
      <c r="B3188" s="28" t="e">
        <f>interpola(#REF!,CURVA!$B$6:$B$20,CURVA!$G$6:$G$20)</f>
        <v>#VALUE!</v>
      </c>
      <c r="C3188" s="29" t="e">
        <f t="shared" si="49"/>
        <v>#VALUE!</v>
      </c>
      <c r="E3188" t="e">
        <f>cubic_spline(CURVA!$B$6:$B$20,CURVA!$G$6:$G$20,#REF!)</f>
        <v>#VALUE!</v>
      </c>
    </row>
    <row r="3189" spans="1:5" x14ac:dyDescent="0.2">
      <c r="A3189" s="28">
        <v>3188</v>
      </c>
      <c r="B3189" s="28" t="e">
        <f>interpola(#REF!,CURVA!$B$6:$B$20,CURVA!$G$6:$G$20)</f>
        <v>#VALUE!</v>
      </c>
      <c r="C3189" s="29" t="e">
        <f t="shared" si="49"/>
        <v>#VALUE!</v>
      </c>
      <c r="E3189" t="e">
        <f>cubic_spline(CURVA!$B$6:$B$20,CURVA!$G$6:$G$20,#REF!)</f>
        <v>#VALUE!</v>
      </c>
    </row>
    <row r="3190" spans="1:5" x14ac:dyDescent="0.2">
      <c r="A3190" s="28">
        <v>3189</v>
      </c>
      <c r="B3190" s="28" t="e">
        <f>interpola(#REF!,CURVA!$B$6:$B$20,CURVA!$G$6:$G$20)</f>
        <v>#VALUE!</v>
      </c>
      <c r="C3190" s="29" t="e">
        <f t="shared" si="49"/>
        <v>#VALUE!</v>
      </c>
      <c r="E3190" t="e">
        <f>cubic_spline(CURVA!$B$6:$B$20,CURVA!$G$6:$G$20,#REF!)</f>
        <v>#VALUE!</v>
      </c>
    </row>
    <row r="3191" spans="1:5" x14ac:dyDescent="0.2">
      <c r="A3191" s="28">
        <v>3190</v>
      </c>
      <c r="B3191" s="28" t="e">
        <f>interpola(#REF!,CURVA!$B$6:$B$20,CURVA!$G$6:$G$20)</f>
        <v>#VALUE!</v>
      </c>
      <c r="C3191" s="29" t="e">
        <f t="shared" si="49"/>
        <v>#VALUE!</v>
      </c>
      <c r="E3191" t="e">
        <f>cubic_spline(CURVA!$B$6:$B$20,CURVA!$G$6:$G$20,#REF!)</f>
        <v>#VALUE!</v>
      </c>
    </row>
    <row r="3192" spans="1:5" x14ac:dyDescent="0.2">
      <c r="A3192" s="28">
        <v>3191</v>
      </c>
      <c r="B3192" s="28" t="e">
        <f>interpola(#REF!,CURVA!$B$6:$B$20,CURVA!$G$6:$G$20)</f>
        <v>#VALUE!</v>
      </c>
      <c r="C3192" s="29" t="e">
        <f t="shared" si="49"/>
        <v>#VALUE!</v>
      </c>
      <c r="E3192" t="e">
        <f>cubic_spline(CURVA!$B$6:$B$20,CURVA!$G$6:$G$20,#REF!)</f>
        <v>#VALUE!</v>
      </c>
    </row>
    <row r="3193" spans="1:5" x14ac:dyDescent="0.2">
      <c r="A3193" s="28">
        <v>3192</v>
      </c>
      <c r="B3193" s="28" t="e">
        <f>interpola(#REF!,CURVA!$B$6:$B$20,CURVA!$G$6:$G$20)</f>
        <v>#VALUE!</v>
      </c>
      <c r="C3193" s="29" t="e">
        <f t="shared" si="49"/>
        <v>#VALUE!</v>
      </c>
      <c r="E3193" t="e">
        <f>cubic_spline(CURVA!$B$6:$B$20,CURVA!$G$6:$G$20,#REF!)</f>
        <v>#VALUE!</v>
      </c>
    </row>
    <row r="3194" spans="1:5" x14ac:dyDescent="0.2">
      <c r="A3194" s="28">
        <v>3193</v>
      </c>
      <c r="B3194" s="28" t="e">
        <f>interpola(#REF!,CURVA!$B$6:$B$20,CURVA!$G$6:$G$20)</f>
        <v>#VALUE!</v>
      </c>
      <c r="C3194" s="29" t="e">
        <f t="shared" si="49"/>
        <v>#VALUE!</v>
      </c>
      <c r="E3194" t="e">
        <f>cubic_spline(CURVA!$B$6:$B$20,CURVA!$G$6:$G$20,#REF!)</f>
        <v>#VALUE!</v>
      </c>
    </row>
    <row r="3195" spans="1:5" x14ac:dyDescent="0.2">
      <c r="A3195" s="28">
        <v>3194</v>
      </c>
      <c r="B3195" s="28" t="e">
        <f>interpola(#REF!,CURVA!$B$6:$B$20,CURVA!$G$6:$G$20)</f>
        <v>#VALUE!</v>
      </c>
      <c r="C3195" s="29" t="e">
        <f t="shared" si="49"/>
        <v>#VALUE!</v>
      </c>
      <c r="E3195" t="e">
        <f>cubic_spline(CURVA!$B$6:$B$20,CURVA!$G$6:$G$20,#REF!)</f>
        <v>#VALUE!</v>
      </c>
    </row>
    <row r="3196" spans="1:5" x14ac:dyDescent="0.2">
      <c r="A3196" s="28">
        <v>3195</v>
      </c>
      <c r="B3196" s="28" t="e">
        <f>interpola(#REF!,CURVA!$B$6:$B$20,CURVA!$G$6:$G$20)</f>
        <v>#VALUE!</v>
      </c>
      <c r="C3196" s="29" t="e">
        <f t="shared" si="49"/>
        <v>#VALUE!</v>
      </c>
      <c r="E3196" t="e">
        <f>cubic_spline(CURVA!$B$6:$B$20,CURVA!$G$6:$G$20,#REF!)</f>
        <v>#VALUE!</v>
      </c>
    </row>
    <row r="3197" spans="1:5" x14ac:dyDescent="0.2">
      <c r="A3197" s="28">
        <v>3196</v>
      </c>
      <c r="B3197" s="28" t="e">
        <f>interpola(#REF!,CURVA!$B$6:$B$20,CURVA!$G$6:$G$20)</f>
        <v>#VALUE!</v>
      </c>
      <c r="C3197" s="29" t="e">
        <f t="shared" si="49"/>
        <v>#VALUE!</v>
      </c>
      <c r="E3197" t="e">
        <f>cubic_spline(CURVA!$B$6:$B$20,CURVA!$G$6:$G$20,#REF!)</f>
        <v>#VALUE!</v>
      </c>
    </row>
    <row r="3198" spans="1:5" x14ac:dyDescent="0.2">
      <c r="A3198" s="28">
        <v>3197</v>
      </c>
      <c r="B3198" s="28" t="e">
        <f>interpola(#REF!,CURVA!$B$6:$B$20,CURVA!$G$6:$G$20)</f>
        <v>#VALUE!</v>
      </c>
      <c r="C3198" s="29" t="e">
        <f t="shared" si="49"/>
        <v>#VALUE!</v>
      </c>
      <c r="E3198" t="e">
        <f>cubic_spline(CURVA!$B$6:$B$20,CURVA!$G$6:$G$20,#REF!)</f>
        <v>#VALUE!</v>
      </c>
    </row>
    <row r="3199" spans="1:5" x14ac:dyDescent="0.2">
      <c r="A3199" s="28">
        <v>3198</v>
      </c>
      <c r="B3199" s="28" t="e">
        <f>interpola(#REF!,CURVA!$B$6:$B$20,CURVA!$G$6:$G$20)</f>
        <v>#VALUE!</v>
      </c>
      <c r="C3199" s="29" t="e">
        <f t="shared" si="49"/>
        <v>#VALUE!</v>
      </c>
      <c r="E3199" t="e">
        <f>cubic_spline(CURVA!$B$6:$B$20,CURVA!$G$6:$G$20,#REF!)</f>
        <v>#VALUE!</v>
      </c>
    </row>
    <row r="3200" spans="1:5" x14ac:dyDescent="0.2">
      <c r="A3200" s="28">
        <v>3199</v>
      </c>
      <c r="B3200" s="28" t="e">
        <f>interpola(#REF!,CURVA!$B$6:$B$20,CURVA!$G$6:$G$20)</f>
        <v>#VALUE!</v>
      </c>
      <c r="C3200" s="29" t="e">
        <f t="shared" si="49"/>
        <v>#VALUE!</v>
      </c>
      <c r="E3200" t="e">
        <f>cubic_spline(CURVA!$B$6:$B$20,CURVA!$G$6:$G$20,#REF!)</f>
        <v>#VALUE!</v>
      </c>
    </row>
    <row r="3201" spans="1:5" x14ac:dyDescent="0.2">
      <c r="A3201" s="28">
        <v>3200</v>
      </c>
      <c r="B3201" s="28" t="e">
        <f>interpola(#REF!,CURVA!$B$6:$B$20,CURVA!$G$6:$G$20)</f>
        <v>#VALUE!</v>
      </c>
      <c r="C3201" s="29" t="e">
        <f t="shared" si="49"/>
        <v>#VALUE!</v>
      </c>
      <c r="E3201" t="e">
        <f>cubic_spline(CURVA!$B$6:$B$20,CURVA!$G$6:$G$20,#REF!)</f>
        <v>#VALUE!</v>
      </c>
    </row>
    <row r="3202" spans="1:5" x14ac:dyDescent="0.2">
      <c r="A3202" s="28">
        <v>3201</v>
      </c>
      <c r="B3202" s="28" t="e">
        <f>interpola(#REF!,CURVA!$B$6:$B$20,CURVA!$G$6:$G$20)</f>
        <v>#VALUE!</v>
      </c>
      <c r="C3202" s="29" t="e">
        <f t="shared" ref="C3202:C3265" si="50">(EXP(B3202*A3202/360)-1)*360/A3202</f>
        <v>#VALUE!</v>
      </c>
      <c r="E3202" t="e">
        <f>cubic_spline(CURVA!$B$6:$B$20,CURVA!$G$6:$G$20,#REF!)</f>
        <v>#VALUE!</v>
      </c>
    </row>
    <row r="3203" spans="1:5" x14ac:dyDescent="0.2">
      <c r="A3203" s="28">
        <v>3202</v>
      </c>
      <c r="B3203" s="28" t="e">
        <f>interpola(#REF!,CURVA!$B$6:$B$20,CURVA!$G$6:$G$20)</f>
        <v>#VALUE!</v>
      </c>
      <c r="C3203" s="29" t="e">
        <f t="shared" si="50"/>
        <v>#VALUE!</v>
      </c>
      <c r="E3203" t="e">
        <f>cubic_spline(CURVA!$B$6:$B$20,CURVA!$G$6:$G$20,#REF!)</f>
        <v>#VALUE!</v>
      </c>
    </row>
    <row r="3204" spans="1:5" x14ac:dyDescent="0.2">
      <c r="A3204" s="28">
        <v>3203</v>
      </c>
      <c r="B3204" s="28" t="e">
        <f>interpola(#REF!,CURVA!$B$6:$B$20,CURVA!$G$6:$G$20)</f>
        <v>#VALUE!</v>
      </c>
      <c r="C3204" s="29" t="e">
        <f t="shared" si="50"/>
        <v>#VALUE!</v>
      </c>
      <c r="E3204" t="e">
        <f>cubic_spline(CURVA!$B$6:$B$20,CURVA!$G$6:$G$20,#REF!)</f>
        <v>#VALUE!</v>
      </c>
    </row>
    <row r="3205" spans="1:5" x14ac:dyDescent="0.2">
      <c r="A3205" s="28">
        <v>3204</v>
      </c>
      <c r="B3205" s="28" t="e">
        <f>interpola(#REF!,CURVA!$B$6:$B$20,CURVA!$G$6:$G$20)</f>
        <v>#VALUE!</v>
      </c>
      <c r="C3205" s="29" t="e">
        <f t="shared" si="50"/>
        <v>#VALUE!</v>
      </c>
      <c r="E3205" t="e">
        <f>cubic_spline(CURVA!$B$6:$B$20,CURVA!$G$6:$G$20,#REF!)</f>
        <v>#VALUE!</v>
      </c>
    </row>
    <row r="3206" spans="1:5" x14ac:dyDescent="0.2">
      <c r="A3206" s="28">
        <v>3205</v>
      </c>
      <c r="B3206" s="28" t="e">
        <f>interpola(#REF!,CURVA!$B$6:$B$20,CURVA!$G$6:$G$20)</f>
        <v>#VALUE!</v>
      </c>
      <c r="C3206" s="29" t="e">
        <f t="shared" si="50"/>
        <v>#VALUE!</v>
      </c>
      <c r="E3206" t="e">
        <f>cubic_spline(CURVA!$B$6:$B$20,CURVA!$G$6:$G$20,#REF!)</f>
        <v>#VALUE!</v>
      </c>
    </row>
    <row r="3207" spans="1:5" x14ac:dyDescent="0.2">
      <c r="A3207" s="28">
        <v>3206</v>
      </c>
      <c r="B3207" s="28" t="e">
        <f>interpola(#REF!,CURVA!$B$6:$B$20,CURVA!$G$6:$G$20)</f>
        <v>#VALUE!</v>
      </c>
      <c r="C3207" s="29" t="e">
        <f t="shared" si="50"/>
        <v>#VALUE!</v>
      </c>
      <c r="E3207" t="e">
        <f>cubic_spline(CURVA!$B$6:$B$20,CURVA!$G$6:$G$20,#REF!)</f>
        <v>#VALUE!</v>
      </c>
    </row>
    <row r="3208" spans="1:5" x14ac:dyDescent="0.2">
      <c r="A3208" s="28">
        <v>3207</v>
      </c>
      <c r="B3208" s="28" t="e">
        <f>interpola(#REF!,CURVA!$B$6:$B$20,CURVA!$G$6:$G$20)</f>
        <v>#VALUE!</v>
      </c>
      <c r="C3208" s="29" t="e">
        <f t="shared" si="50"/>
        <v>#VALUE!</v>
      </c>
      <c r="E3208" t="e">
        <f>cubic_spline(CURVA!$B$6:$B$20,CURVA!$G$6:$G$20,#REF!)</f>
        <v>#VALUE!</v>
      </c>
    </row>
    <row r="3209" spans="1:5" x14ac:dyDescent="0.2">
      <c r="A3209" s="28">
        <v>3208</v>
      </c>
      <c r="B3209" s="28" t="e">
        <f>interpola(#REF!,CURVA!$B$6:$B$20,CURVA!$G$6:$G$20)</f>
        <v>#VALUE!</v>
      </c>
      <c r="C3209" s="29" t="e">
        <f t="shared" si="50"/>
        <v>#VALUE!</v>
      </c>
      <c r="E3209" t="e">
        <f>cubic_spline(CURVA!$B$6:$B$20,CURVA!$G$6:$G$20,#REF!)</f>
        <v>#VALUE!</v>
      </c>
    </row>
    <row r="3210" spans="1:5" x14ac:dyDescent="0.2">
      <c r="A3210" s="28">
        <v>3209</v>
      </c>
      <c r="B3210" s="28" t="e">
        <f>interpola(#REF!,CURVA!$B$6:$B$20,CURVA!$G$6:$G$20)</f>
        <v>#VALUE!</v>
      </c>
      <c r="C3210" s="29" t="e">
        <f t="shared" si="50"/>
        <v>#VALUE!</v>
      </c>
      <c r="E3210" t="e">
        <f>cubic_spline(CURVA!$B$6:$B$20,CURVA!$G$6:$G$20,#REF!)</f>
        <v>#VALUE!</v>
      </c>
    </row>
    <row r="3211" spans="1:5" x14ac:dyDescent="0.2">
      <c r="A3211" s="28">
        <v>3210</v>
      </c>
      <c r="B3211" s="28" t="e">
        <f>interpola(#REF!,CURVA!$B$6:$B$20,CURVA!$G$6:$G$20)</f>
        <v>#VALUE!</v>
      </c>
      <c r="C3211" s="29" t="e">
        <f t="shared" si="50"/>
        <v>#VALUE!</v>
      </c>
      <c r="E3211" t="e">
        <f>cubic_spline(CURVA!$B$6:$B$20,CURVA!$G$6:$G$20,#REF!)</f>
        <v>#VALUE!</v>
      </c>
    </row>
    <row r="3212" spans="1:5" x14ac:dyDescent="0.2">
      <c r="A3212" s="28">
        <v>3211</v>
      </c>
      <c r="B3212" s="28" t="e">
        <f>interpola(#REF!,CURVA!$B$6:$B$20,CURVA!$G$6:$G$20)</f>
        <v>#VALUE!</v>
      </c>
      <c r="C3212" s="29" t="e">
        <f t="shared" si="50"/>
        <v>#VALUE!</v>
      </c>
      <c r="E3212" t="e">
        <f>cubic_spline(CURVA!$B$6:$B$20,CURVA!$G$6:$G$20,#REF!)</f>
        <v>#VALUE!</v>
      </c>
    </row>
    <row r="3213" spans="1:5" x14ac:dyDescent="0.2">
      <c r="A3213" s="28">
        <v>3212</v>
      </c>
      <c r="B3213" s="28" t="e">
        <f>interpola(#REF!,CURVA!$B$6:$B$20,CURVA!$G$6:$G$20)</f>
        <v>#VALUE!</v>
      </c>
      <c r="C3213" s="29" t="e">
        <f t="shared" si="50"/>
        <v>#VALUE!</v>
      </c>
      <c r="E3213" t="e">
        <f>cubic_spline(CURVA!$B$6:$B$20,CURVA!$G$6:$G$20,#REF!)</f>
        <v>#VALUE!</v>
      </c>
    </row>
    <row r="3214" spans="1:5" x14ac:dyDescent="0.2">
      <c r="A3214" s="28">
        <v>3213</v>
      </c>
      <c r="B3214" s="28" t="e">
        <f>interpola(#REF!,CURVA!$B$6:$B$20,CURVA!$G$6:$G$20)</f>
        <v>#VALUE!</v>
      </c>
      <c r="C3214" s="29" t="e">
        <f t="shared" si="50"/>
        <v>#VALUE!</v>
      </c>
      <c r="E3214" t="e">
        <f>cubic_spline(CURVA!$B$6:$B$20,CURVA!$G$6:$G$20,#REF!)</f>
        <v>#VALUE!</v>
      </c>
    </row>
    <row r="3215" spans="1:5" x14ac:dyDescent="0.2">
      <c r="A3215" s="28">
        <v>3214</v>
      </c>
      <c r="B3215" s="28" t="e">
        <f>interpola(#REF!,CURVA!$B$6:$B$20,CURVA!$G$6:$G$20)</f>
        <v>#VALUE!</v>
      </c>
      <c r="C3215" s="29" t="e">
        <f t="shared" si="50"/>
        <v>#VALUE!</v>
      </c>
      <c r="E3215" t="e">
        <f>cubic_spline(CURVA!$B$6:$B$20,CURVA!$G$6:$G$20,#REF!)</f>
        <v>#VALUE!</v>
      </c>
    </row>
    <row r="3216" spans="1:5" x14ac:dyDescent="0.2">
      <c r="A3216" s="28">
        <v>3215</v>
      </c>
      <c r="B3216" s="28" t="e">
        <f>interpola(#REF!,CURVA!$B$6:$B$20,CURVA!$G$6:$G$20)</f>
        <v>#VALUE!</v>
      </c>
      <c r="C3216" s="29" t="e">
        <f t="shared" si="50"/>
        <v>#VALUE!</v>
      </c>
      <c r="E3216" t="e">
        <f>cubic_spline(CURVA!$B$6:$B$20,CURVA!$G$6:$G$20,#REF!)</f>
        <v>#VALUE!</v>
      </c>
    </row>
    <row r="3217" spans="1:5" x14ac:dyDescent="0.2">
      <c r="A3217" s="28">
        <v>3216</v>
      </c>
      <c r="B3217" s="28" t="e">
        <f>interpola(#REF!,CURVA!$B$6:$B$20,CURVA!$G$6:$G$20)</f>
        <v>#VALUE!</v>
      </c>
      <c r="C3217" s="29" t="e">
        <f t="shared" si="50"/>
        <v>#VALUE!</v>
      </c>
      <c r="E3217" t="e">
        <f>cubic_spline(CURVA!$B$6:$B$20,CURVA!$G$6:$G$20,#REF!)</f>
        <v>#VALUE!</v>
      </c>
    </row>
    <row r="3218" spans="1:5" x14ac:dyDescent="0.2">
      <c r="A3218" s="28">
        <v>3217</v>
      </c>
      <c r="B3218" s="28" t="e">
        <f>interpola(#REF!,CURVA!$B$6:$B$20,CURVA!$G$6:$G$20)</f>
        <v>#VALUE!</v>
      </c>
      <c r="C3218" s="29" t="e">
        <f t="shared" si="50"/>
        <v>#VALUE!</v>
      </c>
      <c r="E3218" t="e">
        <f>cubic_spline(CURVA!$B$6:$B$20,CURVA!$G$6:$G$20,#REF!)</f>
        <v>#VALUE!</v>
      </c>
    </row>
    <row r="3219" spans="1:5" x14ac:dyDescent="0.2">
      <c r="A3219" s="28">
        <v>3218</v>
      </c>
      <c r="B3219" s="28" t="e">
        <f>interpola(#REF!,CURVA!$B$6:$B$20,CURVA!$G$6:$G$20)</f>
        <v>#VALUE!</v>
      </c>
      <c r="C3219" s="29" t="e">
        <f t="shared" si="50"/>
        <v>#VALUE!</v>
      </c>
      <c r="E3219" t="e">
        <f>cubic_spline(CURVA!$B$6:$B$20,CURVA!$G$6:$G$20,#REF!)</f>
        <v>#VALUE!</v>
      </c>
    </row>
    <row r="3220" spans="1:5" x14ac:dyDescent="0.2">
      <c r="A3220" s="28">
        <v>3219</v>
      </c>
      <c r="B3220" s="28" t="e">
        <f>interpola(#REF!,CURVA!$B$6:$B$20,CURVA!$G$6:$G$20)</f>
        <v>#VALUE!</v>
      </c>
      <c r="C3220" s="29" t="e">
        <f t="shared" si="50"/>
        <v>#VALUE!</v>
      </c>
      <c r="E3220" t="e">
        <f>cubic_spline(CURVA!$B$6:$B$20,CURVA!$G$6:$G$20,#REF!)</f>
        <v>#VALUE!</v>
      </c>
    </row>
    <row r="3221" spans="1:5" x14ac:dyDescent="0.2">
      <c r="A3221" s="28">
        <v>3220</v>
      </c>
      <c r="B3221" s="28" t="e">
        <f>interpola(#REF!,CURVA!$B$6:$B$20,CURVA!$G$6:$G$20)</f>
        <v>#VALUE!</v>
      </c>
      <c r="C3221" s="29" t="e">
        <f t="shared" si="50"/>
        <v>#VALUE!</v>
      </c>
      <c r="E3221" t="e">
        <f>cubic_spline(CURVA!$B$6:$B$20,CURVA!$G$6:$G$20,#REF!)</f>
        <v>#VALUE!</v>
      </c>
    </row>
    <row r="3222" spans="1:5" x14ac:dyDescent="0.2">
      <c r="A3222" s="28">
        <v>3221</v>
      </c>
      <c r="B3222" s="28" t="e">
        <f>interpola(#REF!,CURVA!$B$6:$B$20,CURVA!$G$6:$G$20)</f>
        <v>#VALUE!</v>
      </c>
      <c r="C3222" s="29" t="e">
        <f t="shared" si="50"/>
        <v>#VALUE!</v>
      </c>
      <c r="E3222" t="e">
        <f>cubic_spline(CURVA!$B$6:$B$20,CURVA!$G$6:$G$20,#REF!)</f>
        <v>#VALUE!</v>
      </c>
    </row>
    <row r="3223" spans="1:5" x14ac:dyDescent="0.2">
      <c r="A3223" s="28">
        <v>3222</v>
      </c>
      <c r="B3223" s="28" t="e">
        <f>interpola(#REF!,CURVA!$B$6:$B$20,CURVA!$G$6:$G$20)</f>
        <v>#VALUE!</v>
      </c>
      <c r="C3223" s="29" t="e">
        <f t="shared" si="50"/>
        <v>#VALUE!</v>
      </c>
      <c r="E3223" t="e">
        <f>cubic_spline(CURVA!$B$6:$B$20,CURVA!$G$6:$G$20,#REF!)</f>
        <v>#VALUE!</v>
      </c>
    </row>
    <row r="3224" spans="1:5" x14ac:dyDescent="0.2">
      <c r="A3224" s="28">
        <v>3223</v>
      </c>
      <c r="B3224" s="28" t="e">
        <f>interpola(#REF!,CURVA!$B$6:$B$20,CURVA!$G$6:$G$20)</f>
        <v>#VALUE!</v>
      </c>
      <c r="C3224" s="29" t="e">
        <f t="shared" si="50"/>
        <v>#VALUE!</v>
      </c>
      <c r="E3224" t="e">
        <f>cubic_spline(CURVA!$B$6:$B$20,CURVA!$G$6:$G$20,#REF!)</f>
        <v>#VALUE!</v>
      </c>
    </row>
    <row r="3225" spans="1:5" x14ac:dyDescent="0.2">
      <c r="A3225" s="28">
        <v>3224</v>
      </c>
      <c r="B3225" s="28" t="e">
        <f>interpola(#REF!,CURVA!$B$6:$B$20,CURVA!$G$6:$G$20)</f>
        <v>#VALUE!</v>
      </c>
      <c r="C3225" s="29" t="e">
        <f t="shared" si="50"/>
        <v>#VALUE!</v>
      </c>
      <c r="E3225" t="e">
        <f>cubic_spline(CURVA!$B$6:$B$20,CURVA!$G$6:$G$20,#REF!)</f>
        <v>#VALUE!</v>
      </c>
    </row>
    <row r="3226" spans="1:5" x14ac:dyDescent="0.2">
      <c r="A3226" s="28">
        <v>3225</v>
      </c>
      <c r="B3226" s="28" t="e">
        <f>interpola(#REF!,CURVA!$B$6:$B$20,CURVA!$G$6:$G$20)</f>
        <v>#VALUE!</v>
      </c>
      <c r="C3226" s="29" t="e">
        <f t="shared" si="50"/>
        <v>#VALUE!</v>
      </c>
      <c r="E3226" t="e">
        <f>cubic_spline(CURVA!$B$6:$B$20,CURVA!$G$6:$G$20,#REF!)</f>
        <v>#VALUE!</v>
      </c>
    </row>
    <row r="3227" spans="1:5" x14ac:dyDescent="0.2">
      <c r="A3227" s="28">
        <v>3226</v>
      </c>
      <c r="B3227" s="28" t="e">
        <f>interpola(#REF!,CURVA!$B$6:$B$20,CURVA!$G$6:$G$20)</f>
        <v>#VALUE!</v>
      </c>
      <c r="C3227" s="29" t="e">
        <f t="shared" si="50"/>
        <v>#VALUE!</v>
      </c>
      <c r="E3227" t="e">
        <f>cubic_spline(CURVA!$B$6:$B$20,CURVA!$G$6:$G$20,#REF!)</f>
        <v>#VALUE!</v>
      </c>
    </row>
    <row r="3228" spans="1:5" x14ac:dyDescent="0.2">
      <c r="A3228" s="28">
        <v>3227</v>
      </c>
      <c r="B3228" s="28" t="e">
        <f>interpola(#REF!,CURVA!$B$6:$B$20,CURVA!$G$6:$G$20)</f>
        <v>#VALUE!</v>
      </c>
      <c r="C3228" s="29" t="e">
        <f t="shared" si="50"/>
        <v>#VALUE!</v>
      </c>
      <c r="E3228" t="e">
        <f>cubic_spline(CURVA!$B$6:$B$20,CURVA!$G$6:$G$20,#REF!)</f>
        <v>#VALUE!</v>
      </c>
    </row>
    <row r="3229" spans="1:5" x14ac:dyDescent="0.2">
      <c r="A3229" s="28">
        <v>3228</v>
      </c>
      <c r="B3229" s="28" t="e">
        <f>interpola(#REF!,CURVA!$B$6:$B$20,CURVA!$G$6:$G$20)</f>
        <v>#VALUE!</v>
      </c>
      <c r="C3229" s="29" t="e">
        <f t="shared" si="50"/>
        <v>#VALUE!</v>
      </c>
      <c r="E3229" t="e">
        <f>cubic_spline(CURVA!$B$6:$B$20,CURVA!$G$6:$G$20,#REF!)</f>
        <v>#VALUE!</v>
      </c>
    </row>
    <row r="3230" spans="1:5" x14ac:dyDescent="0.2">
      <c r="A3230" s="28">
        <v>3229</v>
      </c>
      <c r="B3230" s="28" t="e">
        <f>interpola(#REF!,CURVA!$B$6:$B$20,CURVA!$G$6:$G$20)</f>
        <v>#VALUE!</v>
      </c>
      <c r="C3230" s="29" t="e">
        <f t="shared" si="50"/>
        <v>#VALUE!</v>
      </c>
      <c r="E3230" t="e">
        <f>cubic_spline(CURVA!$B$6:$B$20,CURVA!$G$6:$G$20,#REF!)</f>
        <v>#VALUE!</v>
      </c>
    </row>
    <row r="3231" spans="1:5" x14ac:dyDescent="0.2">
      <c r="A3231" s="28">
        <v>3230</v>
      </c>
      <c r="B3231" s="28" t="e">
        <f>interpola(#REF!,CURVA!$B$6:$B$20,CURVA!$G$6:$G$20)</f>
        <v>#VALUE!</v>
      </c>
      <c r="C3231" s="29" t="e">
        <f t="shared" si="50"/>
        <v>#VALUE!</v>
      </c>
      <c r="E3231" t="e">
        <f>cubic_spline(CURVA!$B$6:$B$20,CURVA!$G$6:$G$20,#REF!)</f>
        <v>#VALUE!</v>
      </c>
    </row>
    <row r="3232" spans="1:5" x14ac:dyDescent="0.2">
      <c r="A3232" s="28">
        <v>3231</v>
      </c>
      <c r="B3232" s="28" t="e">
        <f>interpola(#REF!,CURVA!$B$6:$B$20,CURVA!$G$6:$G$20)</f>
        <v>#VALUE!</v>
      </c>
      <c r="C3232" s="29" t="e">
        <f t="shared" si="50"/>
        <v>#VALUE!</v>
      </c>
      <c r="E3232" t="e">
        <f>cubic_spline(CURVA!$B$6:$B$20,CURVA!$G$6:$G$20,#REF!)</f>
        <v>#VALUE!</v>
      </c>
    </row>
    <row r="3233" spans="1:5" x14ac:dyDescent="0.2">
      <c r="A3233" s="28">
        <v>3232</v>
      </c>
      <c r="B3233" s="28" t="e">
        <f>interpola(#REF!,CURVA!$B$6:$B$20,CURVA!$G$6:$G$20)</f>
        <v>#VALUE!</v>
      </c>
      <c r="C3233" s="29" t="e">
        <f t="shared" si="50"/>
        <v>#VALUE!</v>
      </c>
      <c r="E3233" t="e">
        <f>cubic_spline(CURVA!$B$6:$B$20,CURVA!$G$6:$G$20,#REF!)</f>
        <v>#VALUE!</v>
      </c>
    </row>
    <row r="3234" spans="1:5" x14ac:dyDescent="0.2">
      <c r="A3234" s="28">
        <v>3233</v>
      </c>
      <c r="B3234" s="28" t="e">
        <f>interpola(#REF!,CURVA!$B$6:$B$20,CURVA!$G$6:$G$20)</f>
        <v>#VALUE!</v>
      </c>
      <c r="C3234" s="29" t="e">
        <f t="shared" si="50"/>
        <v>#VALUE!</v>
      </c>
      <c r="E3234" t="e">
        <f>cubic_spline(CURVA!$B$6:$B$20,CURVA!$G$6:$G$20,#REF!)</f>
        <v>#VALUE!</v>
      </c>
    </row>
    <row r="3235" spans="1:5" x14ac:dyDescent="0.2">
      <c r="A3235" s="28">
        <v>3234</v>
      </c>
      <c r="B3235" s="28" t="e">
        <f>interpola(#REF!,CURVA!$B$6:$B$20,CURVA!$G$6:$G$20)</f>
        <v>#VALUE!</v>
      </c>
      <c r="C3235" s="29" t="e">
        <f t="shared" si="50"/>
        <v>#VALUE!</v>
      </c>
      <c r="E3235" t="e">
        <f>cubic_spline(CURVA!$B$6:$B$20,CURVA!$G$6:$G$20,#REF!)</f>
        <v>#VALUE!</v>
      </c>
    </row>
    <row r="3236" spans="1:5" x14ac:dyDescent="0.2">
      <c r="A3236" s="28">
        <v>3235</v>
      </c>
      <c r="B3236" s="28" t="e">
        <f>interpola(#REF!,CURVA!$B$6:$B$20,CURVA!$G$6:$G$20)</f>
        <v>#VALUE!</v>
      </c>
      <c r="C3236" s="29" t="e">
        <f t="shared" si="50"/>
        <v>#VALUE!</v>
      </c>
      <c r="E3236" t="e">
        <f>cubic_spline(CURVA!$B$6:$B$20,CURVA!$G$6:$G$20,#REF!)</f>
        <v>#VALUE!</v>
      </c>
    </row>
    <row r="3237" spans="1:5" x14ac:dyDescent="0.2">
      <c r="A3237" s="28">
        <v>3236</v>
      </c>
      <c r="B3237" s="28" t="e">
        <f>interpola(#REF!,CURVA!$B$6:$B$20,CURVA!$G$6:$G$20)</f>
        <v>#VALUE!</v>
      </c>
      <c r="C3237" s="29" t="e">
        <f t="shared" si="50"/>
        <v>#VALUE!</v>
      </c>
      <c r="E3237" t="e">
        <f>cubic_spline(CURVA!$B$6:$B$20,CURVA!$G$6:$G$20,#REF!)</f>
        <v>#VALUE!</v>
      </c>
    </row>
    <row r="3238" spans="1:5" x14ac:dyDescent="0.2">
      <c r="A3238" s="28">
        <v>3237</v>
      </c>
      <c r="B3238" s="28" t="e">
        <f>interpola(#REF!,CURVA!$B$6:$B$20,CURVA!$G$6:$G$20)</f>
        <v>#VALUE!</v>
      </c>
      <c r="C3238" s="29" t="e">
        <f t="shared" si="50"/>
        <v>#VALUE!</v>
      </c>
      <c r="E3238" t="e">
        <f>cubic_spline(CURVA!$B$6:$B$20,CURVA!$G$6:$G$20,#REF!)</f>
        <v>#VALUE!</v>
      </c>
    </row>
    <row r="3239" spans="1:5" x14ac:dyDescent="0.2">
      <c r="A3239" s="28">
        <v>3238</v>
      </c>
      <c r="B3239" s="28" t="e">
        <f>interpola(#REF!,CURVA!$B$6:$B$20,CURVA!$G$6:$G$20)</f>
        <v>#VALUE!</v>
      </c>
      <c r="C3239" s="29" t="e">
        <f t="shared" si="50"/>
        <v>#VALUE!</v>
      </c>
      <c r="E3239" t="e">
        <f>cubic_spline(CURVA!$B$6:$B$20,CURVA!$G$6:$G$20,#REF!)</f>
        <v>#VALUE!</v>
      </c>
    </row>
    <row r="3240" spans="1:5" x14ac:dyDescent="0.2">
      <c r="A3240" s="28">
        <v>3239</v>
      </c>
      <c r="B3240" s="28" t="e">
        <f>interpola(#REF!,CURVA!$B$6:$B$20,CURVA!$G$6:$G$20)</f>
        <v>#VALUE!</v>
      </c>
      <c r="C3240" s="29" t="e">
        <f t="shared" si="50"/>
        <v>#VALUE!</v>
      </c>
      <c r="E3240" t="e">
        <f>cubic_spline(CURVA!$B$6:$B$20,CURVA!$G$6:$G$20,#REF!)</f>
        <v>#VALUE!</v>
      </c>
    </row>
    <row r="3241" spans="1:5" x14ac:dyDescent="0.2">
      <c r="A3241" s="28">
        <v>3240</v>
      </c>
      <c r="B3241" s="28" t="e">
        <f>interpola(#REF!,CURVA!$B$6:$B$20,CURVA!$G$6:$G$20)</f>
        <v>#VALUE!</v>
      </c>
      <c r="C3241" s="29" t="e">
        <f t="shared" si="50"/>
        <v>#VALUE!</v>
      </c>
      <c r="E3241" t="e">
        <f>cubic_spline(CURVA!$B$6:$B$20,CURVA!$G$6:$G$20,#REF!)</f>
        <v>#VALUE!</v>
      </c>
    </row>
    <row r="3242" spans="1:5" x14ac:dyDescent="0.2">
      <c r="A3242" s="28">
        <v>3241</v>
      </c>
      <c r="B3242" s="28" t="e">
        <f>interpola(#REF!,CURVA!$B$6:$B$20,CURVA!$G$6:$G$20)</f>
        <v>#VALUE!</v>
      </c>
      <c r="C3242" s="29" t="e">
        <f t="shared" si="50"/>
        <v>#VALUE!</v>
      </c>
      <c r="E3242" t="e">
        <f>cubic_spline(CURVA!$B$6:$B$20,CURVA!$G$6:$G$20,#REF!)</f>
        <v>#VALUE!</v>
      </c>
    </row>
    <row r="3243" spans="1:5" x14ac:dyDescent="0.2">
      <c r="A3243" s="28">
        <v>3242</v>
      </c>
      <c r="B3243" s="28" t="e">
        <f>interpola(#REF!,CURVA!$B$6:$B$20,CURVA!$G$6:$G$20)</f>
        <v>#VALUE!</v>
      </c>
      <c r="C3243" s="29" t="e">
        <f t="shared" si="50"/>
        <v>#VALUE!</v>
      </c>
      <c r="E3243" t="e">
        <f>cubic_spline(CURVA!$B$6:$B$20,CURVA!$G$6:$G$20,#REF!)</f>
        <v>#VALUE!</v>
      </c>
    </row>
    <row r="3244" spans="1:5" x14ac:dyDescent="0.2">
      <c r="A3244" s="28">
        <v>3243</v>
      </c>
      <c r="B3244" s="28" t="e">
        <f>interpola(#REF!,CURVA!$B$6:$B$20,CURVA!$G$6:$G$20)</f>
        <v>#VALUE!</v>
      </c>
      <c r="C3244" s="29" t="e">
        <f t="shared" si="50"/>
        <v>#VALUE!</v>
      </c>
      <c r="E3244" t="e">
        <f>cubic_spline(CURVA!$B$6:$B$20,CURVA!$G$6:$G$20,#REF!)</f>
        <v>#VALUE!</v>
      </c>
    </row>
    <row r="3245" spans="1:5" x14ac:dyDescent="0.2">
      <c r="A3245" s="28">
        <v>3244</v>
      </c>
      <c r="B3245" s="28" t="e">
        <f>interpola(#REF!,CURVA!$B$6:$B$20,CURVA!$G$6:$G$20)</f>
        <v>#VALUE!</v>
      </c>
      <c r="C3245" s="29" t="e">
        <f t="shared" si="50"/>
        <v>#VALUE!</v>
      </c>
      <c r="E3245" t="e">
        <f>cubic_spline(CURVA!$B$6:$B$20,CURVA!$G$6:$G$20,#REF!)</f>
        <v>#VALUE!</v>
      </c>
    </row>
    <row r="3246" spans="1:5" x14ac:dyDescent="0.2">
      <c r="A3246" s="28">
        <v>3245</v>
      </c>
      <c r="B3246" s="28" t="e">
        <f>interpola(#REF!,CURVA!$B$6:$B$20,CURVA!$G$6:$G$20)</f>
        <v>#VALUE!</v>
      </c>
      <c r="C3246" s="29" t="e">
        <f t="shared" si="50"/>
        <v>#VALUE!</v>
      </c>
      <c r="E3246" t="e">
        <f>cubic_spline(CURVA!$B$6:$B$20,CURVA!$G$6:$G$20,#REF!)</f>
        <v>#VALUE!</v>
      </c>
    </row>
    <row r="3247" spans="1:5" x14ac:dyDescent="0.2">
      <c r="A3247" s="28">
        <v>3246</v>
      </c>
      <c r="B3247" s="28" t="e">
        <f>interpola(#REF!,CURVA!$B$6:$B$20,CURVA!$G$6:$G$20)</f>
        <v>#VALUE!</v>
      </c>
      <c r="C3247" s="29" t="e">
        <f t="shared" si="50"/>
        <v>#VALUE!</v>
      </c>
      <c r="E3247" t="e">
        <f>cubic_spline(CURVA!$B$6:$B$20,CURVA!$G$6:$G$20,#REF!)</f>
        <v>#VALUE!</v>
      </c>
    </row>
    <row r="3248" spans="1:5" x14ac:dyDescent="0.2">
      <c r="A3248" s="28">
        <v>3247</v>
      </c>
      <c r="B3248" s="28" t="e">
        <f>interpola(#REF!,CURVA!$B$6:$B$20,CURVA!$G$6:$G$20)</f>
        <v>#VALUE!</v>
      </c>
      <c r="C3248" s="29" t="e">
        <f t="shared" si="50"/>
        <v>#VALUE!</v>
      </c>
      <c r="E3248" t="e">
        <f>cubic_spline(CURVA!$B$6:$B$20,CURVA!$G$6:$G$20,#REF!)</f>
        <v>#VALUE!</v>
      </c>
    </row>
    <row r="3249" spans="1:5" x14ac:dyDescent="0.2">
      <c r="A3249" s="28">
        <v>3248</v>
      </c>
      <c r="B3249" s="28" t="e">
        <f>interpola(#REF!,CURVA!$B$6:$B$20,CURVA!$G$6:$G$20)</f>
        <v>#VALUE!</v>
      </c>
      <c r="C3249" s="29" t="e">
        <f t="shared" si="50"/>
        <v>#VALUE!</v>
      </c>
      <c r="E3249" t="e">
        <f>cubic_spline(CURVA!$B$6:$B$20,CURVA!$G$6:$G$20,#REF!)</f>
        <v>#VALUE!</v>
      </c>
    </row>
    <row r="3250" spans="1:5" x14ac:dyDescent="0.2">
      <c r="A3250" s="28">
        <v>3249</v>
      </c>
      <c r="B3250" s="28" t="e">
        <f>interpola(#REF!,CURVA!$B$6:$B$20,CURVA!$G$6:$G$20)</f>
        <v>#VALUE!</v>
      </c>
      <c r="C3250" s="29" t="e">
        <f t="shared" si="50"/>
        <v>#VALUE!</v>
      </c>
      <c r="E3250" t="e">
        <f>cubic_spline(CURVA!$B$6:$B$20,CURVA!$G$6:$G$20,#REF!)</f>
        <v>#VALUE!</v>
      </c>
    </row>
    <row r="3251" spans="1:5" x14ac:dyDescent="0.2">
      <c r="A3251" s="28">
        <v>3250</v>
      </c>
      <c r="B3251" s="28" t="e">
        <f>interpola(#REF!,CURVA!$B$6:$B$20,CURVA!$G$6:$G$20)</f>
        <v>#VALUE!</v>
      </c>
      <c r="C3251" s="29" t="e">
        <f t="shared" si="50"/>
        <v>#VALUE!</v>
      </c>
      <c r="E3251" t="e">
        <f>cubic_spline(CURVA!$B$6:$B$20,CURVA!$G$6:$G$20,#REF!)</f>
        <v>#VALUE!</v>
      </c>
    </row>
    <row r="3252" spans="1:5" x14ac:dyDescent="0.2">
      <c r="A3252" s="28">
        <v>3251</v>
      </c>
      <c r="B3252" s="28" t="e">
        <f>interpola(#REF!,CURVA!$B$6:$B$20,CURVA!$G$6:$G$20)</f>
        <v>#VALUE!</v>
      </c>
      <c r="C3252" s="29" t="e">
        <f t="shared" si="50"/>
        <v>#VALUE!</v>
      </c>
      <c r="E3252" t="e">
        <f>cubic_spline(CURVA!$B$6:$B$20,CURVA!$G$6:$G$20,#REF!)</f>
        <v>#VALUE!</v>
      </c>
    </row>
    <row r="3253" spans="1:5" x14ac:dyDescent="0.2">
      <c r="A3253" s="28">
        <v>3252</v>
      </c>
      <c r="B3253" s="28" t="e">
        <f>interpola(#REF!,CURVA!$B$6:$B$20,CURVA!$G$6:$G$20)</f>
        <v>#VALUE!</v>
      </c>
      <c r="C3253" s="29" t="e">
        <f t="shared" si="50"/>
        <v>#VALUE!</v>
      </c>
      <c r="E3253" t="e">
        <f>cubic_spline(CURVA!$B$6:$B$20,CURVA!$G$6:$G$20,#REF!)</f>
        <v>#VALUE!</v>
      </c>
    </row>
    <row r="3254" spans="1:5" x14ac:dyDescent="0.2">
      <c r="A3254" s="28">
        <v>3253</v>
      </c>
      <c r="B3254" s="28" t="e">
        <f>interpola(#REF!,CURVA!$B$6:$B$20,CURVA!$G$6:$G$20)</f>
        <v>#VALUE!</v>
      </c>
      <c r="C3254" s="29" t="e">
        <f t="shared" si="50"/>
        <v>#VALUE!</v>
      </c>
      <c r="E3254" t="e">
        <f>cubic_spline(CURVA!$B$6:$B$20,CURVA!$G$6:$G$20,#REF!)</f>
        <v>#VALUE!</v>
      </c>
    </row>
    <row r="3255" spans="1:5" x14ac:dyDescent="0.2">
      <c r="A3255" s="28">
        <v>3254</v>
      </c>
      <c r="B3255" s="28" t="e">
        <f>interpola(#REF!,CURVA!$B$6:$B$20,CURVA!$G$6:$G$20)</f>
        <v>#VALUE!</v>
      </c>
      <c r="C3255" s="29" t="e">
        <f t="shared" si="50"/>
        <v>#VALUE!</v>
      </c>
      <c r="E3255" t="e">
        <f>cubic_spline(CURVA!$B$6:$B$20,CURVA!$G$6:$G$20,#REF!)</f>
        <v>#VALUE!</v>
      </c>
    </row>
    <row r="3256" spans="1:5" x14ac:dyDescent="0.2">
      <c r="A3256" s="28">
        <v>3255</v>
      </c>
      <c r="B3256" s="28" t="e">
        <f>interpola(#REF!,CURVA!$B$6:$B$20,CURVA!$G$6:$G$20)</f>
        <v>#VALUE!</v>
      </c>
      <c r="C3256" s="29" t="e">
        <f t="shared" si="50"/>
        <v>#VALUE!</v>
      </c>
      <c r="E3256" t="e">
        <f>cubic_spline(CURVA!$B$6:$B$20,CURVA!$G$6:$G$20,#REF!)</f>
        <v>#VALUE!</v>
      </c>
    </row>
    <row r="3257" spans="1:5" x14ac:dyDescent="0.2">
      <c r="A3257" s="28">
        <v>3256</v>
      </c>
      <c r="B3257" s="28" t="e">
        <f>interpola(#REF!,CURVA!$B$6:$B$20,CURVA!$G$6:$G$20)</f>
        <v>#VALUE!</v>
      </c>
      <c r="C3257" s="29" t="e">
        <f t="shared" si="50"/>
        <v>#VALUE!</v>
      </c>
      <c r="E3257" t="e">
        <f>cubic_spline(CURVA!$B$6:$B$20,CURVA!$G$6:$G$20,#REF!)</f>
        <v>#VALUE!</v>
      </c>
    </row>
    <row r="3258" spans="1:5" x14ac:dyDescent="0.2">
      <c r="A3258" s="28">
        <v>3257</v>
      </c>
      <c r="B3258" s="28" t="e">
        <f>interpola(#REF!,CURVA!$B$6:$B$20,CURVA!$G$6:$G$20)</f>
        <v>#VALUE!</v>
      </c>
      <c r="C3258" s="29" t="e">
        <f t="shared" si="50"/>
        <v>#VALUE!</v>
      </c>
      <c r="E3258" t="e">
        <f>cubic_spline(CURVA!$B$6:$B$20,CURVA!$G$6:$G$20,#REF!)</f>
        <v>#VALUE!</v>
      </c>
    </row>
    <row r="3259" spans="1:5" x14ac:dyDescent="0.2">
      <c r="A3259" s="28">
        <v>3258</v>
      </c>
      <c r="B3259" s="28" t="e">
        <f>interpola(#REF!,CURVA!$B$6:$B$20,CURVA!$G$6:$G$20)</f>
        <v>#VALUE!</v>
      </c>
      <c r="C3259" s="29" t="e">
        <f t="shared" si="50"/>
        <v>#VALUE!</v>
      </c>
      <c r="E3259" t="e">
        <f>cubic_spline(CURVA!$B$6:$B$20,CURVA!$G$6:$G$20,#REF!)</f>
        <v>#VALUE!</v>
      </c>
    </row>
    <row r="3260" spans="1:5" x14ac:dyDescent="0.2">
      <c r="A3260" s="28">
        <v>3259</v>
      </c>
      <c r="B3260" s="28" t="e">
        <f>interpola(#REF!,CURVA!$B$6:$B$20,CURVA!$G$6:$G$20)</f>
        <v>#VALUE!</v>
      </c>
      <c r="C3260" s="29" t="e">
        <f t="shared" si="50"/>
        <v>#VALUE!</v>
      </c>
      <c r="E3260" t="e">
        <f>cubic_spline(CURVA!$B$6:$B$20,CURVA!$G$6:$G$20,#REF!)</f>
        <v>#VALUE!</v>
      </c>
    </row>
    <row r="3261" spans="1:5" x14ac:dyDescent="0.2">
      <c r="A3261" s="28">
        <v>3260</v>
      </c>
      <c r="B3261" s="28" t="e">
        <f>interpola(#REF!,CURVA!$B$6:$B$20,CURVA!$G$6:$G$20)</f>
        <v>#VALUE!</v>
      </c>
      <c r="C3261" s="29" t="e">
        <f t="shared" si="50"/>
        <v>#VALUE!</v>
      </c>
      <c r="E3261" t="e">
        <f>cubic_spline(CURVA!$B$6:$B$20,CURVA!$G$6:$G$20,#REF!)</f>
        <v>#VALUE!</v>
      </c>
    </row>
    <row r="3262" spans="1:5" x14ac:dyDescent="0.2">
      <c r="A3262" s="28">
        <v>3261</v>
      </c>
      <c r="B3262" s="28" t="e">
        <f>interpola(#REF!,CURVA!$B$6:$B$20,CURVA!$G$6:$G$20)</f>
        <v>#VALUE!</v>
      </c>
      <c r="C3262" s="29" t="e">
        <f t="shared" si="50"/>
        <v>#VALUE!</v>
      </c>
      <c r="E3262" t="e">
        <f>cubic_spline(CURVA!$B$6:$B$20,CURVA!$G$6:$G$20,#REF!)</f>
        <v>#VALUE!</v>
      </c>
    </row>
    <row r="3263" spans="1:5" x14ac:dyDescent="0.2">
      <c r="A3263" s="28">
        <v>3262</v>
      </c>
      <c r="B3263" s="28" t="e">
        <f>interpola(#REF!,CURVA!$B$6:$B$20,CURVA!$G$6:$G$20)</f>
        <v>#VALUE!</v>
      </c>
      <c r="C3263" s="29" t="e">
        <f t="shared" si="50"/>
        <v>#VALUE!</v>
      </c>
      <c r="E3263" t="e">
        <f>cubic_spline(CURVA!$B$6:$B$20,CURVA!$G$6:$G$20,#REF!)</f>
        <v>#VALUE!</v>
      </c>
    </row>
    <row r="3264" spans="1:5" x14ac:dyDescent="0.2">
      <c r="A3264" s="28">
        <v>3263</v>
      </c>
      <c r="B3264" s="28" t="e">
        <f>interpola(#REF!,CURVA!$B$6:$B$20,CURVA!$G$6:$G$20)</f>
        <v>#VALUE!</v>
      </c>
      <c r="C3264" s="29" t="e">
        <f t="shared" si="50"/>
        <v>#VALUE!</v>
      </c>
      <c r="E3264" t="e">
        <f>cubic_spline(CURVA!$B$6:$B$20,CURVA!$G$6:$G$20,#REF!)</f>
        <v>#VALUE!</v>
      </c>
    </row>
    <row r="3265" spans="1:5" x14ac:dyDescent="0.2">
      <c r="A3265" s="28">
        <v>3264</v>
      </c>
      <c r="B3265" s="28" t="e">
        <f>interpola(#REF!,CURVA!$B$6:$B$20,CURVA!$G$6:$G$20)</f>
        <v>#VALUE!</v>
      </c>
      <c r="C3265" s="29" t="e">
        <f t="shared" si="50"/>
        <v>#VALUE!</v>
      </c>
      <c r="E3265" t="e">
        <f>cubic_spline(CURVA!$B$6:$B$20,CURVA!$G$6:$G$20,#REF!)</f>
        <v>#VALUE!</v>
      </c>
    </row>
    <row r="3266" spans="1:5" x14ac:dyDescent="0.2">
      <c r="A3266" s="28">
        <v>3265</v>
      </c>
      <c r="B3266" s="28" t="e">
        <f>interpola(#REF!,CURVA!$B$6:$B$20,CURVA!$G$6:$G$20)</f>
        <v>#VALUE!</v>
      </c>
      <c r="C3266" s="29" t="e">
        <f t="shared" ref="C3266:C3329" si="51">(EXP(B3266*A3266/360)-1)*360/A3266</f>
        <v>#VALUE!</v>
      </c>
      <c r="E3266" t="e">
        <f>cubic_spline(CURVA!$B$6:$B$20,CURVA!$G$6:$G$20,#REF!)</f>
        <v>#VALUE!</v>
      </c>
    </row>
    <row r="3267" spans="1:5" x14ac:dyDescent="0.2">
      <c r="A3267" s="28">
        <v>3266</v>
      </c>
      <c r="B3267" s="28" t="e">
        <f>interpola(#REF!,CURVA!$B$6:$B$20,CURVA!$G$6:$G$20)</f>
        <v>#VALUE!</v>
      </c>
      <c r="C3267" s="29" t="e">
        <f t="shared" si="51"/>
        <v>#VALUE!</v>
      </c>
      <c r="E3267" t="e">
        <f>cubic_spline(CURVA!$B$6:$B$20,CURVA!$G$6:$G$20,#REF!)</f>
        <v>#VALUE!</v>
      </c>
    </row>
    <row r="3268" spans="1:5" x14ac:dyDescent="0.2">
      <c r="A3268" s="28">
        <v>3267</v>
      </c>
      <c r="B3268" s="28" t="e">
        <f>interpola(#REF!,CURVA!$B$6:$B$20,CURVA!$G$6:$G$20)</f>
        <v>#VALUE!</v>
      </c>
      <c r="C3268" s="29" t="e">
        <f t="shared" si="51"/>
        <v>#VALUE!</v>
      </c>
      <c r="E3268" t="e">
        <f>cubic_spline(CURVA!$B$6:$B$20,CURVA!$G$6:$G$20,#REF!)</f>
        <v>#VALUE!</v>
      </c>
    </row>
    <row r="3269" spans="1:5" x14ac:dyDescent="0.2">
      <c r="A3269" s="28">
        <v>3268</v>
      </c>
      <c r="B3269" s="28" t="e">
        <f>interpola(#REF!,CURVA!$B$6:$B$20,CURVA!$G$6:$G$20)</f>
        <v>#VALUE!</v>
      </c>
      <c r="C3269" s="29" t="e">
        <f t="shared" si="51"/>
        <v>#VALUE!</v>
      </c>
      <c r="E3269" t="e">
        <f>cubic_spline(CURVA!$B$6:$B$20,CURVA!$G$6:$G$20,#REF!)</f>
        <v>#VALUE!</v>
      </c>
    </row>
    <row r="3270" spans="1:5" x14ac:dyDescent="0.2">
      <c r="A3270" s="28">
        <v>3269</v>
      </c>
      <c r="B3270" s="28" t="e">
        <f>interpola(#REF!,CURVA!$B$6:$B$20,CURVA!$G$6:$G$20)</f>
        <v>#VALUE!</v>
      </c>
      <c r="C3270" s="29" t="e">
        <f t="shared" si="51"/>
        <v>#VALUE!</v>
      </c>
      <c r="E3270" t="e">
        <f>cubic_spline(CURVA!$B$6:$B$20,CURVA!$G$6:$G$20,#REF!)</f>
        <v>#VALUE!</v>
      </c>
    </row>
    <row r="3271" spans="1:5" x14ac:dyDescent="0.2">
      <c r="A3271" s="28">
        <v>3270</v>
      </c>
      <c r="B3271" s="28" t="e">
        <f>interpola(#REF!,CURVA!$B$6:$B$20,CURVA!$G$6:$G$20)</f>
        <v>#VALUE!</v>
      </c>
      <c r="C3271" s="29" t="e">
        <f t="shared" si="51"/>
        <v>#VALUE!</v>
      </c>
      <c r="E3271" t="e">
        <f>cubic_spline(CURVA!$B$6:$B$20,CURVA!$G$6:$G$20,#REF!)</f>
        <v>#VALUE!</v>
      </c>
    </row>
    <row r="3272" spans="1:5" x14ac:dyDescent="0.2">
      <c r="A3272" s="28">
        <v>3271</v>
      </c>
      <c r="B3272" s="28" t="e">
        <f>interpola(#REF!,CURVA!$B$6:$B$20,CURVA!$G$6:$G$20)</f>
        <v>#VALUE!</v>
      </c>
      <c r="C3272" s="29" t="e">
        <f t="shared" si="51"/>
        <v>#VALUE!</v>
      </c>
      <c r="E3272" t="e">
        <f>cubic_spline(CURVA!$B$6:$B$20,CURVA!$G$6:$G$20,#REF!)</f>
        <v>#VALUE!</v>
      </c>
    </row>
    <row r="3273" spans="1:5" x14ac:dyDescent="0.2">
      <c r="A3273" s="28">
        <v>3272</v>
      </c>
      <c r="B3273" s="28" t="e">
        <f>interpola(#REF!,CURVA!$B$6:$B$20,CURVA!$G$6:$G$20)</f>
        <v>#VALUE!</v>
      </c>
      <c r="C3273" s="29" t="e">
        <f t="shared" si="51"/>
        <v>#VALUE!</v>
      </c>
      <c r="E3273" t="e">
        <f>cubic_spline(CURVA!$B$6:$B$20,CURVA!$G$6:$G$20,#REF!)</f>
        <v>#VALUE!</v>
      </c>
    </row>
    <row r="3274" spans="1:5" x14ac:dyDescent="0.2">
      <c r="A3274" s="28">
        <v>3273</v>
      </c>
      <c r="B3274" s="28" t="e">
        <f>interpola(#REF!,CURVA!$B$6:$B$20,CURVA!$G$6:$G$20)</f>
        <v>#VALUE!</v>
      </c>
      <c r="C3274" s="29" t="e">
        <f t="shared" si="51"/>
        <v>#VALUE!</v>
      </c>
      <c r="E3274" t="e">
        <f>cubic_spline(CURVA!$B$6:$B$20,CURVA!$G$6:$G$20,#REF!)</f>
        <v>#VALUE!</v>
      </c>
    </row>
    <row r="3275" spans="1:5" x14ac:dyDescent="0.2">
      <c r="A3275" s="28">
        <v>3274</v>
      </c>
      <c r="B3275" s="28" t="e">
        <f>interpola(#REF!,CURVA!$B$6:$B$20,CURVA!$G$6:$G$20)</f>
        <v>#VALUE!</v>
      </c>
      <c r="C3275" s="29" t="e">
        <f t="shared" si="51"/>
        <v>#VALUE!</v>
      </c>
      <c r="E3275" t="e">
        <f>cubic_spline(CURVA!$B$6:$B$20,CURVA!$G$6:$G$20,#REF!)</f>
        <v>#VALUE!</v>
      </c>
    </row>
    <row r="3276" spans="1:5" x14ac:dyDescent="0.2">
      <c r="A3276" s="28">
        <v>3275</v>
      </c>
      <c r="B3276" s="28" t="e">
        <f>interpola(#REF!,CURVA!$B$6:$B$20,CURVA!$G$6:$G$20)</f>
        <v>#VALUE!</v>
      </c>
      <c r="C3276" s="29" t="e">
        <f t="shared" si="51"/>
        <v>#VALUE!</v>
      </c>
      <c r="E3276" t="e">
        <f>cubic_spline(CURVA!$B$6:$B$20,CURVA!$G$6:$G$20,#REF!)</f>
        <v>#VALUE!</v>
      </c>
    </row>
    <row r="3277" spans="1:5" x14ac:dyDescent="0.2">
      <c r="A3277" s="28">
        <v>3276</v>
      </c>
      <c r="B3277" s="28" t="e">
        <f>interpola(#REF!,CURVA!$B$6:$B$20,CURVA!$G$6:$G$20)</f>
        <v>#VALUE!</v>
      </c>
      <c r="C3277" s="29" t="e">
        <f t="shared" si="51"/>
        <v>#VALUE!</v>
      </c>
      <c r="E3277" t="e">
        <f>cubic_spline(CURVA!$B$6:$B$20,CURVA!$G$6:$G$20,#REF!)</f>
        <v>#VALUE!</v>
      </c>
    </row>
    <row r="3278" spans="1:5" x14ac:dyDescent="0.2">
      <c r="A3278" s="28">
        <v>3277</v>
      </c>
      <c r="B3278" s="28" t="e">
        <f>interpola(#REF!,CURVA!$B$6:$B$20,CURVA!$G$6:$G$20)</f>
        <v>#VALUE!</v>
      </c>
      <c r="C3278" s="29" t="e">
        <f t="shared" si="51"/>
        <v>#VALUE!</v>
      </c>
      <c r="E3278" t="e">
        <f>cubic_spline(CURVA!$B$6:$B$20,CURVA!$G$6:$G$20,#REF!)</f>
        <v>#VALUE!</v>
      </c>
    </row>
    <row r="3279" spans="1:5" x14ac:dyDescent="0.2">
      <c r="A3279" s="28">
        <v>3278</v>
      </c>
      <c r="B3279" s="28" t="e">
        <f>interpola(#REF!,CURVA!$B$6:$B$20,CURVA!$G$6:$G$20)</f>
        <v>#VALUE!</v>
      </c>
      <c r="C3279" s="29" t="e">
        <f t="shared" si="51"/>
        <v>#VALUE!</v>
      </c>
      <c r="E3279" t="e">
        <f>cubic_spline(CURVA!$B$6:$B$20,CURVA!$G$6:$G$20,#REF!)</f>
        <v>#VALUE!</v>
      </c>
    </row>
    <row r="3280" spans="1:5" x14ac:dyDescent="0.2">
      <c r="A3280" s="28">
        <v>3279</v>
      </c>
      <c r="B3280" s="28" t="e">
        <f>interpola(#REF!,CURVA!$B$6:$B$20,CURVA!$G$6:$G$20)</f>
        <v>#VALUE!</v>
      </c>
      <c r="C3280" s="29" t="e">
        <f t="shared" si="51"/>
        <v>#VALUE!</v>
      </c>
      <c r="E3280" t="e">
        <f>cubic_spline(CURVA!$B$6:$B$20,CURVA!$G$6:$G$20,#REF!)</f>
        <v>#VALUE!</v>
      </c>
    </row>
    <row r="3281" spans="1:5" x14ac:dyDescent="0.2">
      <c r="A3281" s="28">
        <v>3280</v>
      </c>
      <c r="B3281" s="28" t="e">
        <f>interpola(#REF!,CURVA!$B$6:$B$20,CURVA!$G$6:$G$20)</f>
        <v>#VALUE!</v>
      </c>
      <c r="C3281" s="29" t="e">
        <f t="shared" si="51"/>
        <v>#VALUE!</v>
      </c>
      <c r="E3281" t="e">
        <f>cubic_spline(CURVA!$B$6:$B$20,CURVA!$G$6:$G$20,#REF!)</f>
        <v>#VALUE!</v>
      </c>
    </row>
    <row r="3282" spans="1:5" x14ac:dyDescent="0.2">
      <c r="A3282" s="28">
        <v>3281</v>
      </c>
      <c r="B3282" s="28" t="e">
        <f>interpola(#REF!,CURVA!$B$6:$B$20,CURVA!$G$6:$G$20)</f>
        <v>#VALUE!</v>
      </c>
      <c r="C3282" s="29" t="e">
        <f t="shared" si="51"/>
        <v>#VALUE!</v>
      </c>
      <c r="E3282" t="e">
        <f>cubic_spline(CURVA!$B$6:$B$20,CURVA!$G$6:$G$20,#REF!)</f>
        <v>#VALUE!</v>
      </c>
    </row>
    <row r="3283" spans="1:5" x14ac:dyDescent="0.2">
      <c r="A3283" s="28">
        <v>3282</v>
      </c>
      <c r="B3283" s="28" t="e">
        <f>interpola(#REF!,CURVA!$B$6:$B$20,CURVA!$G$6:$G$20)</f>
        <v>#VALUE!</v>
      </c>
      <c r="C3283" s="29" t="e">
        <f t="shared" si="51"/>
        <v>#VALUE!</v>
      </c>
      <c r="E3283" t="e">
        <f>cubic_spline(CURVA!$B$6:$B$20,CURVA!$G$6:$G$20,#REF!)</f>
        <v>#VALUE!</v>
      </c>
    </row>
    <row r="3284" spans="1:5" x14ac:dyDescent="0.2">
      <c r="A3284" s="28">
        <v>3283</v>
      </c>
      <c r="B3284" s="28" t="e">
        <f>interpola(#REF!,CURVA!$B$6:$B$20,CURVA!$G$6:$G$20)</f>
        <v>#VALUE!</v>
      </c>
      <c r="C3284" s="29" t="e">
        <f t="shared" si="51"/>
        <v>#VALUE!</v>
      </c>
      <c r="E3284" t="e">
        <f>cubic_spline(CURVA!$B$6:$B$20,CURVA!$G$6:$G$20,#REF!)</f>
        <v>#VALUE!</v>
      </c>
    </row>
    <row r="3285" spans="1:5" x14ac:dyDescent="0.2">
      <c r="A3285" s="28">
        <v>3284</v>
      </c>
      <c r="B3285" s="28" t="e">
        <f>interpola(#REF!,CURVA!$B$6:$B$20,CURVA!$G$6:$G$20)</f>
        <v>#VALUE!</v>
      </c>
      <c r="C3285" s="29" t="e">
        <f t="shared" si="51"/>
        <v>#VALUE!</v>
      </c>
      <c r="E3285" t="e">
        <f>cubic_spline(CURVA!$B$6:$B$20,CURVA!$G$6:$G$20,#REF!)</f>
        <v>#VALUE!</v>
      </c>
    </row>
    <row r="3286" spans="1:5" x14ac:dyDescent="0.2">
      <c r="A3286" s="28">
        <v>3285</v>
      </c>
      <c r="B3286" s="28" t="e">
        <f>interpola(#REF!,CURVA!$B$6:$B$20,CURVA!$G$6:$G$20)</f>
        <v>#VALUE!</v>
      </c>
      <c r="C3286" s="29" t="e">
        <f t="shared" si="51"/>
        <v>#VALUE!</v>
      </c>
      <c r="E3286" t="e">
        <f>cubic_spline(CURVA!$B$6:$B$20,CURVA!$G$6:$G$20,#REF!)</f>
        <v>#VALUE!</v>
      </c>
    </row>
    <row r="3287" spans="1:5" x14ac:dyDescent="0.2">
      <c r="A3287" s="28">
        <v>3286</v>
      </c>
      <c r="B3287" s="28" t="e">
        <f>interpola(#REF!,CURVA!$B$6:$B$20,CURVA!$G$6:$G$20)</f>
        <v>#VALUE!</v>
      </c>
      <c r="C3287" s="29" t="e">
        <f t="shared" si="51"/>
        <v>#VALUE!</v>
      </c>
      <c r="E3287" t="e">
        <f>cubic_spline(CURVA!$B$6:$B$20,CURVA!$G$6:$G$20,#REF!)</f>
        <v>#VALUE!</v>
      </c>
    </row>
    <row r="3288" spans="1:5" x14ac:dyDescent="0.2">
      <c r="A3288" s="28">
        <v>3287</v>
      </c>
      <c r="B3288" s="28" t="e">
        <f>interpola(#REF!,CURVA!$B$6:$B$20,CURVA!$G$6:$G$20)</f>
        <v>#VALUE!</v>
      </c>
      <c r="C3288" s="29" t="e">
        <f t="shared" si="51"/>
        <v>#VALUE!</v>
      </c>
      <c r="E3288" t="e">
        <f>cubic_spline(CURVA!$B$6:$B$20,CURVA!$G$6:$G$20,#REF!)</f>
        <v>#VALUE!</v>
      </c>
    </row>
    <row r="3289" spans="1:5" x14ac:dyDescent="0.2">
      <c r="A3289" s="28">
        <v>3288</v>
      </c>
      <c r="B3289" s="28" t="e">
        <f>interpola(#REF!,CURVA!$B$6:$B$20,CURVA!$G$6:$G$20)</f>
        <v>#VALUE!</v>
      </c>
      <c r="C3289" s="29" t="e">
        <f t="shared" si="51"/>
        <v>#VALUE!</v>
      </c>
      <c r="E3289" t="e">
        <f>cubic_spline(CURVA!$B$6:$B$20,CURVA!$G$6:$G$20,#REF!)</f>
        <v>#VALUE!</v>
      </c>
    </row>
    <row r="3290" spans="1:5" x14ac:dyDescent="0.2">
      <c r="A3290" s="28">
        <v>3289</v>
      </c>
      <c r="B3290" s="28" t="e">
        <f>interpola(#REF!,CURVA!$B$6:$B$20,CURVA!$G$6:$G$20)</f>
        <v>#VALUE!</v>
      </c>
      <c r="C3290" s="29" t="e">
        <f t="shared" si="51"/>
        <v>#VALUE!</v>
      </c>
      <c r="E3290" t="e">
        <f>cubic_spline(CURVA!$B$6:$B$20,CURVA!$G$6:$G$20,#REF!)</f>
        <v>#VALUE!</v>
      </c>
    </row>
    <row r="3291" spans="1:5" x14ac:dyDescent="0.2">
      <c r="A3291" s="28">
        <v>3290</v>
      </c>
      <c r="B3291" s="28" t="e">
        <f>interpola(#REF!,CURVA!$B$6:$B$20,CURVA!$G$6:$G$20)</f>
        <v>#VALUE!</v>
      </c>
      <c r="C3291" s="29" t="e">
        <f t="shared" si="51"/>
        <v>#VALUE!</v>
      </c>
      <c r="E3291" t="e">
        <f>cubic_spline(CURVA!$B$6:$B$20,CURVA!$G$6:$G$20,#REF!)</f>
        <v>#VALUE!</v>
      </c>
    </row>
    <row r="3292" spans="1:5" x14ac:dyDescent="0.2">
      <c r="A3292" s="28">
        <v>3291</v>
      </c>
      <c r="B3292" s="28" t="e">
        <f>interpola(#REF!,CURVA!$B$6:$B$20,CURVA!$G$6:$G$20)</f>
        <v>#VALUE!</v>
      </c>
      <c r="C3292" s="29" t="e">
        <f t="shared" si="51"/>
        <v>#VALUE!</v>
      </c>
      <c r="E3292" t="e">
        <f>cubic_spline(CURVA!$B$6:$B$20,CURVA!$G$6:$G$20,#REF!)</f>
        <v>#VALUE!</v>
      </c>
    </row>
    <row r="3293" spans="1:5" x14ac:dyDescent="0.2">
      <c r="A3293" s="28">
        <v>3292</v>
      </c>
      <c r="B3293" s="28" t="e">
        <f>interpola(#REF!,CURVA!$B$6:$B$20,CURVA!$G$6:$G$20)</f>
        <v>#VALUE!</v>
      </c>
      <c r="C3293" s="29" t="e">
        <f t="shared" si="51"/>
        <v>#VALUE!</v>
      </c>
      <c r="E3293" t="e">
        <f>cubic_spline(CURVA!$B$6:$B$20,CURVA!$G$6:$G$20,#REF!)</f>
        <v>#VALUE!</v>
      </c>
    </row>
    <row r="3294" spans="1:5" x14ac:dyDescent="0.2">
      <c r="A3294" s="28">
        <v>3293</v>
      </c>
      <c r="B3294" s="28" t="e">
        <f>interpola(#REF!,CURVA!$B$6:$B$20,CURVA!$G$6:$G$20)</f>
        <v>#VALUE!</v>
      </c>
      <c r="C3294" s="29" t="e">
        <f t="shared" si="51"/>
        <v>#VALUE!</v>
      </c>
      <c r="E3294" t="e">
        <f>cubic_spline(CURVA!$B$6:$B$20,CURVA!$G$6:$G$20,#REF!)</f>
        <v>#VALUE!</v>
      </c>
    </row>
    <row r="3295" spans="1:5" x14ac:dyDescent="0.2">
      <c r="A3295" s="28">
        <v>3294</v>
      </c>
      <c r="B3295" s="28" t="e">
        <f>interpola(#REF!,CURVA!$B$6:$B$20,CURVA!$G$6:$G$20)</f>
        <v>#VALUE!</v>
      </c>
      <c r="C3295" s="29" t="e">
        <f t="shared" si="51"/>
        <v>#VALUE!</v>
      </c>
      <c r="E3295" t="e">
        <f>cubic_spline(CURVA!$B$6:$B$20,CURVA!$G$6:$G$20,#REF!)</f>
        <v>#VALUE!</v>
      </c>
    </row>
    <row r="3296" spans="1:5" x14ac:dyDescent="0.2">
      <c r="A3296" s="28">
        <v>3295</v>
      </c>
      <c r="B3296" s="28" t="e">
        <f>interpola(#REF!,CURVA!$B$6:$B$20,CURVA!$G$6:$G$20)</f>
        <v>#VALUE!</v>
      </c>
      <c r="C3296" s="29" t="e">
        <f t="shared" si="51"/>
        <v>#VALUE!</v>
      </c>
      <c r="E3296" t="e">
        <f>cubic_spline(CURVA!$B$6:$B$20,CURVA!$G$6:$G$20,#REF!)</f>
        <v>#VALUE!</v>
      </c>
    </row>
    <row r="3297" spans="1:5" x14ac:dyDescent="0.2">
      <c r="A3297" s="28">
        <v>3296</v>
      </c>
      <c r="B3297" s="28" t="e">
        <f>interpola(#REF!,CURVA!$B$6:$B$20,CURVA!$G$6:$G$20)</f>
        <v>#VALUE!</v>
      </c>
      <c r="C3297" s="29" t="e">
        <f t="shared" si="51"/>
        <v>#VALUE!</v>
      </c>
      <c r="E3297" t="e">
        <f>cubic_spline(CURVA!$B$6:$B$20,CURVA!$G$6:$G$20,#REF!)</f>
        <v>#VALUE!</v>
      </c>
    </row>
    <row r="3298" spans="1:5" x14ac:dyDescent="0.2">
      <c r="A3298" s="28">
        <v>3297</v>
      </c>
      <c r="B3298" s="28" t="e">
        <f>interpola(#REF!,CURVA!$B$6:$B$20,CURVA!$G$6:$G$20)</f>
        <v>#VALUE!</v>
      </c>
      <c r="C3298" s="29" t="e">
        <f t="shared" si="51"/>
        <v>#VALUE!</v>
      </c>
      <c r="E3298" t="e">
        <f>cubic_spline(CURVA!$B$6:$B$20,CURVA!$G$6:$G$20,#REF!)</f>
        <v>#VALUE!</v>
      </c>
    </row>
    <row r="3299" spans="1:5" x14ac:dyDescent="0.2">
      <c r="A3299" s="28">
        <v>3298</v>
      </c>
      <c r="B3299" s="28" t="e">
        <f>interpola(#REF!,CURVA!$B$6:$B$20,CURVA!$G$6:$G$20)</f>
        <v>#VALUE!</v>
      </c>
      <c r="C3299" s="29" t="e">
        <f t="shared" si="51"/>
        <v>#VALUE!</v>
      </c>
      <c r="E3299" t="e">
        <f>cubic_spline(CURVA!$B$6:$B$20,CURVA!$G$6:$G$20,#REF!)</f>
        <v>#VALUE!</v>
      </c>
    </row>
    <row r="3300" spans="1:5" x14ac:dyDescent="0.2">
      <c r="A3300" s="28">
        <v>3299</v>
      </c>
      <c r="B3300" s="28" t="e">
        <f>interpola(#REF!,CURVA!$B$6:$B$20,CURVA!$G$6:$G$20)</f>
        <v>#VALUE!</v>
      </c>
      <c r="C3300" s="29" t="e">
        <f t="shared" si="51"/>
        <v>#VALUE!</v>
      </c>
      <c r="E3300" t="e">
        <f>cubic_spline(CURVA!$B$6:$B$20,CURVA!$G$6:$G$20,#REF!)</f>
        <v>#VALUE!</v>
      </c>
    </row>
    <row r="3301" spans="1:5" x14ac:dyDescent="0.2">
      <c r="A3301" s="28">
        <v>3300</v>
      </c>
      <c r="B3301" s="28" t="e">
        <f>interpola(#REF!,CURVA!$B$6:$B$20,CURVA!$G$6:$G$20)</f>
        <v>#VALUE!</v>
      </c>
      <c r="C3301" s="29" t="e">
        <f t="shared" si="51"/>
        <v>#VALUE!</v>
      </c>
      <c r="E3301" t="e">
        <f>cubic_spline(CURVA!$B$6:$B$20,CURVA!$G$6:$G$20,#REF!)</f>
        <v>#VALUE!</v>
      </c>
    </row>
    <row r="3302" spans="1:5" x14ac:dyDescent="0.2">
      <c r="A3302" s="28">
        <v>3301</v>
      </c>
      <c r="B3302" s="28" t="e">
        <f>interpola(#REF!,CURVA!$B$6:$B$20,CURVA!$G$6:$G$20)</f>
        <v>#VALUE!</v>
      </c>
      <c r="C3302" s="29" t="e">
        <f t="shared" si="51"/>
        <v>#VALUE!</v>
      </c>
      <c r="E3302" t="e">
        <f>cubic_spline(CURVA!$B$6:$B$20,CURVA!$G$6:$G$20,#REF!)</f>
        <v>#VALUE!</v>
      </c>
    </row>
    <row r="3303" spans="1:5" x14ac:dyDescent="0.2">
      <c r="A3303" s="28">
        <v>3302</v>
      </c>
      <c r="B3303" s="28" t="e">
        <f>interpola(#REF!,CURVA!$B$6:$B$20,CURVA!$G$6:$G$20)</f>
        <v>#VALUE!</v>
      </c>
      <c r="C3303" s="29" t="e">
        <f t="shared" si="51"/>
        <v>#VALUE!</v>
      </c>
      <c r="E3303" t="e">
        <f>cubic_spline(CURVA!$B$6:$B$20,CURVA!$G$6:$G$20,#REF!)</f>
        <v>#VALUE!</v>
      </c>
    </row>
    <row r="3304" spans="1:5" x14ac:dyDescent="0.2">
      <c r="A3304" s="28">
        <v>3303</v>
      </c>
      <c r="B3304" s="28" t="e">
        <f>interpola(#REF!,CURVA!$B$6:$B$20,CURVA!$G$6:$G$20)</f>
        <v>#VALUE!</v>
      </c>
      <c r="C3304" s="29" t="e">
        <f t="shared" si="51"/>
        <v>#VALUE!</v>
      </c>
      <c r="E3304" t="e">
        <f>cubic_spline(CURVA!$B$6:$B$20,CURVA!$G$6:$G$20,#REF!)</f>
        <v>#VALUE!</v>
      </c>
    </row>
    <row r="3305" spans="1:5" x14ac:dyDescent="0.2">
      <c r="A3305" s="28">
        <v>3304</v>
      </c>
      <c r="B3305" s="28" t="e">
        <f>interpola(#REF!,CURVA!$B$6:$B$20,CURVA!$G$6:$G$20)</f>
        <v>#VALUE!</v>
      </c>
      <c r="C3305" s="29" t="e">
        <f t="shared" si="51"/>
        <v>#VALUE!</v>
      </c>
      <c r="E3305" t="e">
        <f>cubic_spline(CURVA!$B$6:$B$20,CURVA!$G$6:$G$20,#REF!)</f>
        <v>#VALUE!</v>
      </c>
    </row>
    <row r="3306" spans="1:5" x14ac:dyDescent="0.2">
      <c r="A3306" s="28">
        <v>3305</v>
      </c>
      <c r="B3306" s="28" t="e">
        <f>interpola(#REF!,CURVA!$B$6:$B$20,CURVA!$G$6:$G$20)</f>
        <v>#VALUE!</v>
      </c>
      <c r="C3306" s="29" t="e">
        <f t="shared" si="51"/>
        <v>#VALUE!</v>
      </c>
      <c r="E3306" t="e">
        <f>cubic_spline(CURVA!$B$6:$B$20,CURVA!$G$6:$G$20,#REF!)</f>
        <v>#VALUE!</v>
      </c>
    </row>
    <row r="3307" spans="1:5" x14ac:dyDescent="0.2">
      <c r="A3307" s="28">
        <v>3306</v>
      </c>
      <c r="B3307" s="28" t="e">
        <f>interpola(#REF!,CURVA!$B$6:$B$20,CURVA!$G$6:$G$20)</f>
        <v>#VALUE!</v>
      </c>
      <c r="C3307" s="29" t="e">
        <f t="shared" si="51"/>
        <v>#VALUE!</v>
      </c>
      <c r="E3307" t="e">
        <f>cubic_spline(CURVA!$B$6:$B$20,CURVA!$G$6:$G$20,#REF!)</f>
        <v>#VALUE!</v>
      </c>
    </row>
    <row r="3308" spans="1:5" x14ac:dyDescent="0.2">
      <c r="A3308" s="28">
        <v>3307</v>
      </c>
      <c r="B3308" s="28" t="e">
        <f>interpola(#REF!,CURVA!$B$6:$B$20,CURVA!$G$6:$G$20)</f>
        <v>#VALUE!</v>
      </c>
      <c r="C3308" s="29" t="e">
        <f t="shared" si="51"/>
        <v>#VALUE!</v>
      </c>
      <c r="E3308" t="e">
        <f>cubic_spline(CURVA!$B$6:$B$20,CURVA!$G$6:$G$20,#REF!)</f>
        <v>#VALUE!</v>
      </c>
    </row>
    <row r="3309" spans="1:5" x14ac:dyDescent="0.2">
      <c r="A3309" s="28">
        <v>3308</v>
      </c>
      <c r="B3309" s="28" t="e">
        <f>interpola(#REF!,CURVA!$B$6:$B$20,CURVA!$G$6:$G$20)</f>
        <v>#VALUE!</v>
      </c>
      <c r="C3309" s="29" t="e">
        <f t="shared" si="51"/>
        <v>#VALUE!</v>
      </c>
      <c r="E3309" t="e">
        <f>cubic_spline(CURVA!$B$6:$B$20,CURVA!$G$6:$G$20,#REF!)</f>
        <v>#VALUE!</v>
      </c>
    </row>
    <row r="3310" spans="1:5" x14ac:dyDescent="0.2">
      <c r="A3310" s="28">
        <v>3309</v>
      </c>
      <c r="B3310" s="28" t="e">
        <f>interpola(#REF!,CURVA!$B$6:$B$20,CURVA!$G$6:$G$20)</f>
        <v>#VALUE!</v>
      </c>
      <c r="C3310" s="29" t="e">
        <f t="shared" si="51"/>
        <v>#VALUE!</v>
      </c>
      <c r="E3310" t="e">
        <f>cubic_spline(CURVA!$B$6:$B$20,CURVA!$G$6:$G$20,#REF!)</f>
        <v>#VALUE!</v>
      </c>
    </row>
    <row r="3311" spans="1:5" x14ac:dyDescent="0.2">
      <c r="A3311" s="28">
        <v>3310</v>
      </c>
      <c r="B3311" s="28" t="e">
        <f>interpola(#REF!,CURVA!$B$6:$B$20,CURVA!$G$6:$G$20)</f>
        <v>#VALUE!</v>
      </c>
      <c r="C3311" s="29" t="e">
        <f t="shared" si="51"/>
        <v>#VALUE!</v>
      </c>
      <c r="E3311" t="e">
        <f>cubic_spline(CURVA!$B$6:$B$20,CURVA!$G$6:$G$20,#REF!)</f>
        <v>#VALUE!</v>
      </c>
    </row>
    <row r="3312" spans="1:5" x14ac:dyDescent="0.2">
      <c r="A3312" s="28">
        <v>3311</v>
      </c>
      <c r="B3312" s="28" t="e">
        <f>interpola(#REF!,CURVA!$B$6:$B$20,CURVA!$G$6:$G$20)</f>
        <v>#VALUE!</v>
      </c>
      <c r="C3312" s="29" t="e">
        <f t="shared" si="51"/>
        <v>#VALUE!</v>
      </c>
      <c r="E3312" t="e">
        <f>cubic_spline(CURVA!$B$6:$B$20,CURVA!$G$6:$G$20,#REF!)</f>
        <v>#VALUE!</v>
      </c>
    </row>
    <row r="3313" spans="1:5" x14ac:dyDescent="0.2">
      <c r="A3313" s="28">
        <v>3312</v>
      </c>
      <c r="B3313" s="28" t="e">
        <f>interpola(#REF!,CURVA!$B$6:$B$20,CURVA!$G$6:$G$20)</f>
        <v>#VALUE!</v>
      </c>
      <c r="C3313" s="29" t="e">
        <f t="shared" si="51"/>
        <v>#VALUE!</v>
      </c>
      <c r="E3313" t="e">
        <f>cubic_spline(CURVA!$B$6:$B$20,CURVA!$G$6:$G$20,#REF!)</f>
        <v>#VALUE!</v>
      </c>
    </row>
    <row r="3314" spans="1:5" x14ac:dyDescent="0.2">
      <c r="A3314" s="28">
        <v>3313</v>
      </c>
      <c r="B3314" s="28" t="e">
        <f>interpola(#REF!,CURVA!$B$6:$B$20,CURVA!$G$6:$G$20)</f>
        <v>#VALUE!</v>
      </c>
      <c r="C3314" s="29" t="e">
        <f t="shared" si="51"/>
        <v>#VALUE!</v>
      </c>
      <c r="E3314" t="e">
        <f>cubic_spline(CURVA!$B$6:$B$20,CURVA!$G$6:$G$20,#REF!)</f>
        <v>#VALUE!</v>
      </c>
    </row>
    <row r="3315" spans="1:5" x14ac:dyDescent="0.2">
      <c r="A3315" s="28">
        <v>3314</v>
      </c>
      <c r="B3315" s="28" t="e">
        <f>interpola(#REF!,CURVA!$B$6:$B$20,CURVA!$G$6:$G$20)</f>
        <v>#VALUE!</v>
      </c>
      <c r="C3315" s="29" t="e">
        <f t="shared" si="51"/>
        <v>#VALUE!</v>
      </c>
      <c r="E3315" t="e">
        <f>cubic_spline(CURVA!$B$6:$B$20,CURVA!$G$6:$G$20,#REF!)</f>
        <v>#VALUE!</v>
      </c>
    </row>
    <row r="3316" spans="1:5" x14ac:dyDescent="0.2">
      <c r="A3316" s="28">
        <v>3315</v>
      </c>
      <c r="B3316" s="28" t="e">
        <f>interpola(#REF!,CURVA!$B$6:$B$20,CURVA!$G$6:$G$20)</f>
        <v>#VALUE!</v>
      </c>
      <c r="C3316" s="29" t="e">
        <f t="shared" si="51"/>
        <v>#VALUE!</v>
      </c>
      <c r="E3316" t="e">
        <f>cubic_spline(CURVA!$B$6:$B$20,CURVA!$G$6:$G$20,#REF!)</f>
        <v>#VALUE!</v>
      </c>
    </row>
    <row r="3317" spans="1:5" x14ac:dyDescent="0.2">
      <c r="A3317" s="28">
        <v>3316</v>
      </c>
      <c r="B3317" s="28" t="e">
        <f>interpola(#REF!,CURVA!$B$6:$B$20,CURVA!$G$6:$G$20)</f>
        <v>#VALUE!</v>
      </c>
      <c r="C3317" s="29" t="e">
        <f t="shared" si="51"/>
        <v>#VALUE!</v>
      </c>
      <c r="E3317" t="e">
        <f>cubic_spline(CURVA!$B$6:$B$20,CURVA!$G$6:$G$20,#REF!)</f>
        <v>#VALUE!</v>
      </c>
    </row>
    <row r="3318" spans="1:5" x14ac:dyDescent="0.2">
      <c r="A3318" s="28">
        <v>3317</v>
      </c>
      <c r="B3318" s="28" t="e">
        <f>interpola(#REF!,CURVA!$B$6:$B$20,CURVA!$G$6:$G$20)</f>
        <v>#VALUE!</v>
      </c>
      <c r="C3318" s="29" t="e">
        <f t="shared" si="51"/>
        <v>#VALUE!</v>
      </c>
      <c r="E3318" t="e">
        <f>cubic_spline(CURVA!$B$6:$B$20,CURVA!$G$6:$G$20,#REF!)</f>
        <v>#VALUE!</v>
      </c>
    </row>
    <row r="3319" spans="1:5" x14ac:dyDescent="0.2">
      <c r="A3319" s="28">
        <v>3318</v>
      </c>
      <c r="B3319" s="28" t="e">
        <f>interpola(#REF!,CURVA!$B$6:$B$20,CURVA!$G$6:$G$20)</f>
        <v>#VALUE!</v>
      </c>
      <c r="C3319" s="29" t="e">
        <f t="shared" si="51"/>
        <v>#VALUE!</v>
      </c>
      <c r="E3319" t="e">
        <f>cubic_spline(CURVA!$B$6:$B$20,CURVA!$G$6:$G$20,#REF!)</f>
        <v>#VALUE!</v>
      </c>
    </row>
    <row r="3320" spans="1:5" x14ac:dyDescent="0.2">
      <c r="A3320" s="28">
        <v>3319</v>
      </c>
      <c r="B3320" s="28" t="e">
        <f>interpola(#REF!,CURVA!$B$6:$B$20,CURVA!$G$6:$G$20)</f>
        <v>#VALUE!</v>
      </c>
      <c r="C3320" s="29" t="e">
        <f t="shared" si="51"/>
        <v>#VALUE!</v>
      </c>
      <c r="E3320" t="e">
        <f>cubic_spline(CURVA!$B$6:$B$20,CURVA!$G$6:$G$20,#REF!)</f>
        <v>#VALUE!</v>
      </c>
    </row>
    <row r="3321" spans="1:5" x14ac:dyDescent="0.2">
      <c r="A3321" s="28">
        <v>3320</v>
      </c>
      <c r="B3321" s="28" t="e">
        <f>interpola(#REF!,CURVA!$B$6:$B$20,CURVA!$G$6:$G$20)</f>
        <v>#VALUE!</v>
      </c>
      <c r="C3321" s="29" t="e">
        <f t="shared" si="51"/>
        <v>#VALUE!</v>
      </c>
      <c r="E3321" t="e">
        <f>cubic_spline(CURVA!$B$6:$B$20,CURVA!$G$6:$G$20,#REF!)</f>
        <v>#VALUE!</v>
      </c>
    </row>
    <row r="3322" spans="1:5" x14ac:dyDescent="0.2">
      <c r="A3322" s="28">
        <v>3321</v>
      </c>
      <c r="B3322" s="28" t="e">
        <f>interpola(#REF!,CURVA!$B$6:$B$20,CURVA!$G$6:$G$20)</f>
        <v>#VALUE!</v>
      </c>
      <c r="C3322" s="29" t="e">
        <f t="shared" si="51"/>
        <v>#VALUE!</v>
      </c>
      <c r="E3322" t="e">
        <f>cubic_spline(CURVA!$B$6:$B$20,CURVA!$G$6:$G$20,#REF!)</f>
        <v>#VALUE!</v>
      </c>
    </row>
    <row r="3323" spans="1:5" x14ac:dyDescent="0.2">
      <c r="A3323" s="28">
        <v>3322</v>
      </c>
      <c r="B3323" s="28" t="e">
        <f>interpola(#REF!,CURVA!$B$6:$B$20,CURVA!$G$6:$G$20)</f>
        <v>#VALUE!</v>
      </c>
      <c r="C3323" s="29" t="e">
        <f t="shared" si="51"/>
        <v>#VALUE!</v>
      </c>
      <c r="E3323" t="e">
        <f>cubic_spline(CURVA!$B$6:$B$20,CURVA!$G$6:$G$20,#REF!)</f>
        <v>#VALUE!</v>
      </c>
    </row>
    <row r="3324" spans="1:5" x14ac:dyDescent="0.2">
      <c r="A3324" s="28">
        <v>3323</v>
      </c>
      <c r="B3324" s="28" t="e">
        <f>interpola(#REF!,CURVA!$B$6:$B$20,CURVA!$G$6:$G$20)</f>
        <v>#VALUE!</v>
      </c>
      <c r="C3324" s="29" t="e">
        <f t="shared" si="51"/>
        <v>#VALUE!</v>
      </c>
      <c r="E3324" t="e">
        <f>cubic_spline(CURVA!$B$6:$B$20,CURVA!$G$6:$G$20,#REF!)</f>
        <v>#VALUE!</v>
      </c>
    </row>
    <row r="3325" spans="1:5" x14ac:dyDescent="0.2">
      <c r="A3325" s="28">
        <v>3324</v>
      </c>
      <c r="B3325" s="28" t="e">
        <f>interpola(#REF!,CURVA!$B$6:$B$20,CURVA!$G$6:$G$20)</f>
        <v>#VALUE!</v>
      </c>
      <c r="C3325" s="29" t="e">
        <f t="shared" si="51"/>
        <v>#VALUE!</v>
      </c>
      <c r="E3325" t="e">
        <f>cubic_spline(CURVA!$B$6:$B$20,CURVA!$G$6:$G$20,#REF!)</f>
        <v>#VALUE!</v>
      </c>
    </row>
    <row r="3326" spans="1:5" x14ac:dyDescent="0.2">
      <c r="A3326" s="28">
        <v>3325</v>
      </c>
      <c r="B3326" s="28" t="e">
        <f>interpola(#REF!,CURVA!$B$6:$B$20,CURVA!$G$6:$G$20)</f>
        <v>#VALUE!</v>
      </c>
      <c r="C3326" s="29" t="e">
        <f t="shared" si="51"/>
        <v>#VALUE!</v>
      </c>
      <c r="E3326" t="e">
        <f>cubic_spline(CURVA!$B$6:$B$20,CURVA!$G$6:$G$20,#REF!)</f>
        <v>#VALUE!</v>
      </c>
    </row>
    <row r="3327" spans="1:5" x14ac:dyDescent="0.2">
      <c r="A3327" s="28">
        <v>3326</v>
      </c>
      <c r="B3327" s="28" t="e">
        <f>interpola(#REF!,CURVA!$B$6:$B$20,CURVA!$G$6:$G$20)</f>
        <v>#VALUE!</v>
      </c>
      <c r="C3327" s="29" t="e">
        <f t="shared" si="51"/>
        <v>#VALUE!</v>
      </c>
      <c r="E3327" t="e">
        <f>cubic_spline(CURVA!$B$6:$B$20,CURVA!$G$6:$G$20,#REF!)</f>
        <v>#VALUE!</v>
      </c>
    </row>
    <row r="3328" spans="1:5" x14ac:dyDescent="0.2">
      <c r="A3328" s="28">
        <v>3327</v>
      </c>
      <c r="B3328" s="28" t="e">
        <f>interpola(#REF!,CURVA!$B$6:$B$20,CURVA!$G$6:$G$20)</f>
        <v>#VALUE!</v>
      </c>
      <c r="C3328" s="29" t="e">
        <f t="shared" si="51"/>
        <v>#VALUE!</v>
      </c>
      <c r="E3328" t="e">
        <f>cubic_spline(CURVA!$B$6:$B$20,CURVA!$G$6:$G$20,#REF!)</f>
        <v>#VALUE!</v>
      </c>
    </row>
    <row r="3329" spans="1:5" x14ac:dyDescent="0.2">
      <c r="A3329" s="28">
        <v>3328</v>
      </c>
      <c r="B3329" s="28" t="e">
        <f>interpola(#REF!,CURVA!$B$6:$B$20,CURVA!$G$6:$G$20)</f>
        <v>#VALUE!</v>
      </c>
      <c r="C3329" s="29" t="e">
        <f t="shared" si="51"/>
        <v>#VALUE!</v>
      </c>
      <c r="E3329" t="e">
        <f>cubic_spline(CURVA!$B$6:$B$20,CURVA!$G$6:$G$20,#REF!)</f>
        <v>#VALUE!</v>
      </c>
    </row>
    <row r="3330" spans="1:5" x14ac:dyDescent="0.2">
      <c r="A3330" s="28">
        <v>3329</v>
      </c>
      <c r="B3330" s="28" t="e">
        <f>interpola(#REF!,CURVA!$B$6:$B$20,CURVA!$G$6:$G$20)</f>
        <v>#VALUE!</v>
      </c>
      <c r="C3330" s="29" t="e">
        <f t="shared" ref="C3330:C3393" si="52">(EXP(B3330*A3330/360)-1)*360/A3330</f>
        <v>#VALUE!</v>
      </c>
      <c r="E3330" t="e">
        <f>cubic_spline(CURVA!$B$6:$B$20,CURVA!$G$6:$G$20,#REF!)</f>
        <v>#VALUE!</v>
      </c>
    </row>
    <row r="3331" spans="1:5" x14ac:dyDescent="0.2">
      <c r="A3331" s="28">
        <v>3330</v>
      </c>
      <c r="B3331" s="28" t="e">
        <f>interpola(#REF!,CURVA!$B$6:$B$20,CURVA!$G$6:$G$20)</f>
        <v>#VALUE!</v>
      </c>
      <c r="C3331" s="29" t="e">
        <f t="shared" si="52"/>
        <v>#VALUE!</v>
      </c>
      <c r="E3331" t="e">
        <f>cubic_spline(CURVA!$B$6:$B$20,CURVA!$G$6:$G$20,#REF!)</f>
        <v>#VALUE!</v>
      </c>
    </row>
    <row r="3332" spans="1:5" x14ac:dyDescent="0.2">
      <c r="A3332" s="28">
        <v>3331</v>
      </c>
      <c r="B3332" s="28" t="e">
        <f>interpola(#REF!,CURVA!$B$6:$B$20,CURVA!$G$6:$G$20)</f>
        <v>#VALUE!</v>
      </c>
      <c r="C3332" s="29" t="e">
        <f t="shared" si="52"/>
        <v>#VALUE!</v>
      </c>
      <c r="E3332" t="e">
        <f>cubic_spline(CURVA!$B$6:$B$20,CURVA!$G$6:$G$20,#REF!)</f>
        <v>#VALUE!</v>
      </c>
    </row>
    <row r="3333" spans="1:5" x14ac:dyDescent="0.2">
      <c r="A3333" s="28">
        <v>3332</v>
      </c>
      <c r="B3333" s="28" t="e">
        <f>interpola(#REF!,CURVA!$B$6:$B$20,CURVA!$G$6:$G$20)</f>
        <v>#VALUE!</v>
      </c>
      <c r="C3333" s="29" t="e">
        <f t="shared" si="52"/>
        <v>#VALUE!</v>
      </c>
      <c r="E3333" t="e">
        <f>cubic_spline(CURVA!$B$6:$B$20,CURVA!$G$6:$G$20,#REF!)</f>
        <v>#VALUE!</v>
      </c>
    </row>
    <row r="3334" spans="1:5" x14ac:dyDescent="0.2">
      <c r="A3334" s="28">
        <v>3333</v>
      </c>
      <c r="B3334" s="28" t="e">
        <f>interpola(#REF!,CURVA!$B$6:$B$20,CURVA!$G$6:$G$20)</f>
        <v>#VALUE!</v>
      </c>
      <c r="C3334" s="29" t="e">
        <f t="shared" si="52"/>
        <v>#VALUE!</v>
      </c>
      <c r="E3334" t="e">
        <f>cubic_spline(CURVA!$B$6:$B$20,CURVA!$G$6:$G$20,#REF!)</f>
        <v>#VALUE!</v>
      </c>
    </row>
    <row r="3335" spans="1:5" x14ac:dyDescent="0.2">
      <c r="A3335" s="28">
        <v>3334</v>
      </c>
      <c r="B3335" s="28" t="e">
        <f>interpola(#REF!,CURVA!$B$6:$B$20,CURVA!$G$6:$G$20)</f>
        <v>#VALUE!</v>
      </c>
      <c r="C3335" s="29" t="e">
        <f t="shared" si="52"/>
        <v>#VALUE!</v>
      </c>
      <c r="E3335" t="e">
        <f>cubic_spline(CURVA!$B$6:$B$20,CURVA!$G$6:$G$20,#REF!)</f>
        <v>#VALUE!</v>
      </c>
    </row>
    <row r="3336" spans="1:5" x14ac:dyDescent="0.2">
      <c r="A3336" s="28">
        <v>3335</v>
      </c>
      <c r="B3336" s="28" t="e">
        <f>interpola(#REF!,CURVA!$B$6:$B$20,CURVA!$G$6:$G$20)</f>
        <v>#VALUE!</v>
      </c>
      <c r="C3336" s="29" t="e">
        <f t="shared" si="52"/>
        <v>#VALUE!</v>
      </c>
      <c r="E3336" t="e">
        <f>cubic_spline(CURVA!$B$6:$B$20,CURVA!$G$6:$G$20,#REF!)</f>
        <v>#VALUE!</v>
      </c>
    </row>
    <row r="3337" spans="1:5" x14ac:dyDescent="0.2">
      <c r="A3337" s="28">
        <v>3336</v>
      </c>
      <c r="B3337" s="28" t="e">
        <f>interpola(#REF!,CURVA!$B$6:$B$20,CURVA!$G$6:$G$20)</f>
        <v>#VALUE!</v>
      </c>
      <c r="C3337" s="29" t="e">
        <f t="shared" si="52"/>
        <v>#VALUE!</v>
      </c>
      <c r="E3337" t="e">
        <f>cubic_spline(CURVA!$B$6:$B$20,CURVA!$G$6:$G$20,#REF!)</f>
        <v>#VALUE!</v>
      </c>
    </row>
    <row r="3338" spans="1:5" x14ac:dyDescent="0.2">
      <c r="A3338" s="28">
        <v>3337</v>
      </c>
      <c r="B3338" s="28" t="e">
        <f>interpola(#REF!,CURVA!$B$6:$B$20,CURVA!$G$6:$G$20)</f>
        <v>#VALUE!</v>
      </c>
      <c r="C3338" s="29" t="e">
        <f t="shared" si="52"/>
        <v>#VALUE!</v>
      </c>
      <c r="E3338" t="e">
        <f>cubic_spline(CURVA!$B$6:$B$20,CURVA!$G$6:$G$20,#REF!)</f>
        <v>#VALUE!</v>
      </c>
    </row>
    <row r="3339" spans="1:5" x14ac:dyDescent="0.2">
      <c r="A3339" s="28">
        <v>3338</v>
      </c>
      <c r="B3339" s="28" t="e">
        <f>interpola(#REF!,CURVA!$B$6:$B$20,CURVA!$G$6:$G$20)</f>
        <v>#VALUE!</v>
      </c>
      <c r="C3339" s="29" t="e">
        <f t="shared" si="52"/>
        <v>#VALUE!</v>
      </c>
      <c r="E3339" t="e">
        <f>cubic_spline(CURVA!$B$6:$B$20,CURVA!$G$6:$G$20,#REF!)</f>
        <v>#VALUE!</v>
      </c>
    </row>
    <row r="3340" spans="1:5" x14ac:dyDescent="0.2">
      <c r="A3340" s="28">
        <v>3339</v>
      </c>
      <c r="B3340" s="28" t="e">
        <f>interpola(#REF!,CURVA!$B$6:$B$20,CURVA!$G$6:$G$20)</f>
        <v>#VALUE!</v>
      </c>
      <c r="C3340" s="29" t="e">
        <f t="shared" si="52"/>
        <v>#VALUE!</v>
      </c>
      <c r="E3340" t="e">
        <f>cubic_spline(CURVA!$B$6:$B$20,CURVA!$G$6:$G$20,#REF!)</f>
        <v>#VALUE!</v>
      </c>
    </row>
    <row r="3341" spans="1:5" x14ac:dyDescent="0.2">
      <c r="A3341" s="28">
        <v>3340</v>
      </c>
      <c r="B3341" s="28" t="e">
        <f>interpola(#REF!,CURVA!$B$6:$B$20,CURVA!$G$6:$G$20)</f>
        <v>#VALUE!</v>
      </c>
      <c r="C3341" s="29" t="e">
        <f t="shared" si="52"/>
        <v>#VALUE!</v>
      </c>
      <c r="E3341" t="e">
        <f>cubic_spline(CURVA!$B$6:$B$20,CURVA!$G$6:$G$20,#REF!)</f>
        <v>#VALUE!</v>
      </c>
    </row>
    <row r="3342" spans="1:5" x14ac:dyDescent="0.2">
      <c r="A3342" s="28">
        <v>3341</v>
      </c>
      <c r="B3342" s="28" t="e">
        <f>interpola(#REF!,CURVA!$B$6:$B$20,CURVA!$G$6:$G$20)</f>
        <v>#VALUE!</v>
      </c>
      <c r="C3342" s="29" t="e">
        <f t="shared" si="52"/>
        <v>#VALUE!</v>
      </c>
      <c r="E3342" t="e">
        <f>cubic_spline(CURVA!$B$6:$B$20,CURVA!$G$6:$G$20,#REF!)</f>
        <v>#VALUE!</v>
      </c>
    </row>
    <row r="3343" spans="1:5" x14ac:dyDescent="0.2">
      <c r="A3343" s="28">
        <v>3342</v>
      </c>
      <c r="B3343" s="28" t="e">
        <f>interpola(#REF!,CURVA!$B$6:$B$20,CURVA!$G$6:$G$20)</f>
        <v>#VALUE!</v>
      </c>
      <c r="C3343" s="29" t="e">
        <f t="shared" si="52"/>
        <v>#VALUE!</v>
      </c>
      <c r="E3343" t="e">
        <f>cubic_spline(CURVA!$B$6:$B$20,CURVA!$G$6:$G$20,#REF!)</f>
        <v>#VALUE!</v>
      </c>
    </row>
    <row r="3344" spans="1:5" x14ac:dyDescent="0.2">
      <c r="A3344" s="28">
        <v>3343</v>
      </c>
      <c r="B3344" s="28" t="e">
        <f>interpola(#REF!,CURVA!$B$6:$B$20,CURVA!$G$6:$G$20)</f>
        <v>#VALUE!</v>
      </c>
      <c r="C3344" s="29" t="e">
        <f t="shared" si="52"/>
        <v>#VALUE!</v>
      </c>
      <c r="E3344" t="e">
        <f>cubic_spline(CURVA!$B$6:$B$20,CURVA!$G$6:$G$20,#REF!)</f>
        <v>#VALUE!</v>
      </c>
    </row>
    <row r="3345" spans="1:5" x14ac:dyDescent="0.2">
      <c r="A3345" s="28">
        <v>3344</v>
      </c>
      <c r="B3345" s="28" t="e">
        <f>interpola(#REF!,CURVA!$B$6:$B$20,CURVA!$G$6:$G$20)</f>
        <v>#VALUE!</v>
      </c>
      <c r="C3345" s="29" t="e">
        <f t="shared" si="52"/>
        <v>#VALUE!</v>
      </c>
      <c r="E3345" t="e">
        <f>cubic_spline(CURVA!$B$6:$B$20,CURVA!$G$6:$G$20,#REF!)</f>
        <v>#VALUE!</v>
      </c>
    </row>
    <row r="3346" spans="1:5" x14ac:dyDescent="0.2">
      <c r="A3346" s="28">
        <v>3345</v>
      </c>
      <c r="B3346" s="28" t="e">
        <f>interpola(#REF!,CURVA!$B$6:$B$20,CURVA!$G$6:$G$20)</f>
        <v>#VALUE!</v>
      </c>
      <c r="C3346" s="29" t="e">
        <f t="shared" si="52"/>
        <v>#VALUE!</v>
      </c>
      <c r="E3346" t="e">
        <f>cubic_spline(CURVA!$B$6:$B$20,CURVA!$G$6:$G$20,#REF!)</f>
        <v>#VALUE!</v>
      </c>
    </row>
    <row r="3347" spans="1:5" x14ac:dyDescent="0.2">
      <c r="A3347" s="28">
        <v>3346</v>
      </c>
      <c r="B3347" s="28" t="e">
        <f>interpola(#REF!,CURVA!$B$6:$B$20,CURVA!$G$6:$G$20)</f>
        <v>#VALUE!</v>
      </c>
      <c r="C3347" s="29" t="e">
        <f t="shared" si="52"/>
        <v>#VALUE!</v>
      </c>
      <c r="E3347" t="e">
        <f>cubic_spline(CURVA!$B$6:$B$20,CURVA!$G$6:$G$20,#REF!)</f>
        <v>#VALUE!</v>
      </c>
    </row>
    <row r="3348" spans="1:5" x14ac:dyDescent="0.2">
      <c r="A3348" s="28">
        <v>3347</v>
      </c>
      <c r="B3348" s="28" t="e">
        <f>interpola(#REF!,CURVA!$B$6:$B$20,CURVA!$G$6:$G$20)</f>
        <v>#VALUE!</v>
      </c>
      <c r="C3348" s="29" t="e">
        <f t="shared" si="52"/>
        <v>#VALUE!</v>
      </c>
      <c r="E3348" t="e">
        <f>cubic_spline(CURVA!$B$6:$B$20,CURVA!$G$6:$G$20,#REF!)</f>
        <v>#VALUE!</v>
      </c>
    </row>
    <row r="3349" spans="1:5" x14ac:dyDescent="0.2">
      <c r="A3349" s="28">
        <v>3348</v>
      </c>
      <c r="B3349" s="28" t="e">
        <f>interpola(#REF!,CURVA!$B$6:$B$20,CURVA!$G$6:$G$20)</f>
        <v>#VALUE!</v>
      </c>
      <c r="C3349" s="29" t="e">
        <f t="shared" si="52"/>
        <v>#VALUE!</v>
      </c>
      <c r="E3349" t="e">
        <f>cubic_spline(CURVA!$B$6:$B$20,CURVA!$G$6:$G$20,#REF!)</f>
        <v>#VALUE!</v>
      </c>
    </row>
    <row r="3350" spans="1:5" x14ac:dyDescent="0.2">
      <c r="A3350" s="28">
        <v>3349</v>
      </c>
      <c r="B3350" s="28" t="e">
        <f>interpola(#REF!,CURVA!$B$6:$B$20,CURVA!$G$6:$G$20)</f>
        <v>#VALUE!</v>
      </c>
      <c r="C3350" s="29" t="e">
        <f t="shared" si="52"/>
        <v>#VALUE!</v>
      </c>
      <c r="E3350" t="e">
        <f>cubic_spline(CURVA!$B$6:$B$20,CURVA!$G$6:$G$20,#REF!)</f>
        <v>#VALUE!</v>
      </c>
    </row>
    <row r="3351" spans="1:5" x14ac:dyDescent="0.2">
      <c r="A3351" s="28">
        <v>3350</v>
      </c>
      <c r="B3351" s="28" t="e">
        <f>interpola(#REF!,CURVA!$B$6:$B$20,CURVA!$G$6:$G$20)</f>
        <v>#VALUE!</v>
      </c>
      <c r="C3351" s="29" t="e">
        <f t="shared" si="52"/>
        <v>#VALUE!</v>
      </c>
      <c r="E3351" t="e">
        <f>cubic_spline(CURVA!$B$6:$B$20,CURVA!$G$6:$G$20,#REF!)</f>
        <v>#VALUE!</v>
      </c>
    </row>
    <row r="3352" spans="1:5" x14ac:dyDescent="0.2">
      <c r="A3352" s="28">
        <v>3351</v>
      </c>
      <c r="B3352" s="28" t="e">
        <f>interpola(#REF!,CURVA!$B$6:$B$20,CURVA!$G$6:$G$20)</f>
        <v>#VALUE!</v>
      </c>
      <c r="C3352" s="29" t="e">
        <f t="shared" si="52"/>
        <v>#VALUE!</v>
      </c>
      <c r="E3352" t="e">
        <f>cubic_spline(CURVA!$B$6:$B$20,CURVA!$G$6:$G$20,#REF!)</f>
        <v>#VALUE!</v>
      </c>
    </row>
    <row r="3353" spans="1:5" x14ac:dyDescent="0.2">
      <c r="A3353" s="28">
        <v>3352</v>
      </c>
      <c r="B3353" s="28" t="e">
        <f>interpola(#REF!,CURVA!$B$6:$B$20,CURVA!$G$6:$G$20)</f>
        <v>#VALUE!</v>
      </c>
      <c r="C3353" s="29" t="e">
        <f t="shared" si="52"/>
        <v>#VALUE!</v>
      </c>
      <c r="E3353" t="e">
        <f>cubic_spline(CURVA!$B$6:$B$20,CURVA!$G$6:$G$20,#REF!)</f>
        <v>#VALUE!</v>
      </c>
    </row>
    <row r="3354" spans="1:5" x14ac:dyDescent="0.2">
      <c r="A3354" s="28">
        <v>3353</v>
      </c>
      <c r="B3354" s="28" t="e">
        <f>interpola(#REF!,CURVA!$B$6:$B$20,CURVA!$G$6:$G$20)</f>
        <v>#VALUE!</v>
      </c>
      <c r="C3354" s="29" t="e">
        <f t="shared" si="52"/>
        <v>#VALUE!</v>
      </c>
      <c r="E3354" t="e">
        <f>cubic_spline(CURVA!$B$6:$B$20,CURVA!$G$6:$G$20,#REF!)</f>
        <v>#VALUE!</v>
      </c>
    </row>
    <row r="3355" spans="1:5" x14ac:dyDescent="0.2">
      <c r="A3355" s="28">
        <v>3354</v>
      </c>
      <c r="B3355" s="28" t="e">
        <f>interpola(#REF!,CURVA!$B$6:$B$20,CURVA!$G$6:$G$20)</f>
        <v>#VALUE!</v>
      </c>
      <c r="C3355" s="29" t="e">
        <f t="shared" si="52"/>
        <v>#VALUE!</v>
      </c>
      <c r="E3355" t="e">
        <f>cubic_spline(CURVA!$B$6:$B$20,CURVA!$G$6:$G$20,#REF!)</f>
        <v>#VALUE!</v>
      </c>
    </row>
    <row r="3356" spans="1:5" x14ac:dyDescent="0.2">
      <c r="A3356" s="28">
        <v>3355</v>
      </c>
      <c r="B3356" s="28" t="e">
        <f>interpola(#REF!,CURVA!$B$6:$B$20,CURVA!$G$6:$G$20)</f>
        <v>#VALUE!</v>
      </c>
      <c r="C3356" s="29" t="e">
        <f t="shared" si="52"/>
        <v>#VALUE!</v>
      </c>
      <c r="E3356" t="e">
        <f>cubic_spline(CURVA!$B$6:$B$20,CURVA!$G$6:$G$20,#REF!)</f>
        <v>#VALUE!</v>
      </c>
    </row>
    <row r="3357" spans="1:5" x14ac:dyDescent="0.2">
      <c r="A3357" s="28">
        <v>3356</v>
      </c>
      <c r="B3357" s="28" t="e">
        <f>interpola(#REF!,CURVA!$B$6:$B$20,CURVA!$G$6:$G$20)</f>
        <v>#VALUE!</v>
      </c>
      <c r="C3357" s="29" t="e">
        <f t="shared" si="52"/>
        <v>#VALUE!</v>
      </c>
      <c r="E3357" t="e">
        <f>cubic_spline(CURVA!$B$6:$B$20,CURVA!$G$6:$G$20,#REF!)</f>
        <v>#VALUE!</v>
      </c>
    </row>
    <row r="3358" spans="1:5" x14ac:dyDescent="0.2">
      <c r="A3358" s="28">
        <v>3357</v>
      </c>
      <c r="B3358" s="28" t="e">
        <f>interpola(#REF!,CURVA!$B$6:$B$20,CURVA!$G$6:$G$20)</f>
        <v>#VALUE!</v>
      </c>
      <c r="C3358" s="29" t="e">
        <f t="shared" si="52"/>
        <v>#VALUE!</v>
      </c>
      <c r="E3358" t="e">
        <f>cubic_spline(CURVA!$B$6:$B$20,CURVA!$G$6:$G$20,#REF!)</f>
        <v>#VALUE!</v>
      </c>
    </row>
    <row r="3359" spans="1:5" x14ac:dyDescent="0.2">
      <c r="A3359" s="28">
        <v>3358</v>
      </c>
      <c r="B3359" s="28" t="e">
        <f>interpola(#REF!,CURVA!$B$6:$B$20,CURVA!$G$6:$G$20)</f>
        <v>#VALUE!</v>
      </c>
      <c r="C3359" s="29" t="e">
        <f t="shared" si="52"/>
        <v>#VALUE!</v>
      </c>
      <c r="E3359" t="e">
        <f>cubic_spline(CURVA!$B$6:$B$20,CURVA!$G$6:$G$20,#REF!)</f>
        <v>#VALUE!</v>
      </c>
    </row>
    <row r="3360" spans="1:5" x14ac:dyDescent="0.2">
      <c r="A3360" s="28">
        <v>3359</v>
      </c>
      <c r="B3360" s="28" t="e">
        <f>interpola(#REF!,CURVA!$B$6:$B$20,CURVA!$G$6:$G$20)</f>
        <v>#VALUE!</v>
      </c>
      <c r="C3360" s="29" t="e">
        <f t="shared" si="52"/>
        <v>#VALUE!</v>
      </c>
      <c r="E3360" t="e">
        <f>cubic_spline(CURVA!$B$6:$B$20,CURVA!$G$6:$G$20,#REF!)</f>
        <v>#VALUE!</v>
      </c>
    </row>
    <row r="3361" spans="1:5" x14ac:dyDescent="0.2">
      <c r="A3361" s="28">
        <v>3360</v>
      </c>
      <c r="B3361" s="28" t="e">
        <f>interpola(#REF!,CURVA!$B$6:$B$20,CURVA!$G$6:$G$20)</f>
        <v>#VALUE!</v>
      </c>
      <c r="C3361" s="29" t="e">
        <f t="shared" si="52"/>
        <v>#VALUE!</v>
      </c>
      <c r="E3361" t="e">
        <f>cubic_spline(CURVA!$B$6:$B$20,CURVA!$G$6:$G$20,#REF!)</f>
        <v>#VALUE!</v>
      </c>
    </row>
    <row r="3362" spans="1:5" x14ac:dyDescent="0.2">
      <c r="A3362" s="28">
        <v>3361</v>
      </c>
      <c r="B3362" s="28" t="e">
        <f>interpola(#REF!,CURVA!$B$6:$B$20,CURVA!$G$6:$G$20)</f>
        <v>#VALUE!</v>
      </c>
      <c r="C3362" s="29" t="e">
        <f t="shared" si="52"/>
        <v>#VALUE!</v>
      </c>
      <c r="E3362" t="e">
        <f>cubic_spline(CURVA!$B$6:$B$20,CURVA!$G$6:$G$20,#REF!)</f>
        <v>#VALUE!</v>
      </c>
    </row>
    <row r="3363" spans="1:5" x14ac:dyDescent="0.2">
      <c r="A3363" s="28">
        <v>3362</v>
      </c>
      <c r="B3363" s="28" t="e">
        <f>interpola(#REF!,CURVA!$B$6:$B$20,CURVA!$G$6:$G$20)</f>
        <v>#VALUE!</v>
      </c>
      <c r="C3363" s="29" t="e">
        <f t="shared" si="52"/>
        <v>#VALUE!</v>
      </c>
      <c r="E3363" t="e">
        <f>cubic_spline(CURVA!$B$6:$B$20,CURVA!$G$6:$G$20,#REF!)</f>
        <v>#VALUE!</v>
      </c>
    </row>
    <row r="3364" spans="1:5" x14ac:dyDescent="0.2">
      <c r="A3364" s="28">
        <v>3363</v>
      </c>
      <c r="B3364" s="28" t="e">
        <f>interpola(#REF!,CURVA!$B$6:$B$20,CURVA!$G$6:$G$20)</f>
        <v>#VALUE!</v>
      </c>
      <c r="C3364" s="29" t="e">
        <f t="shared" si="52"/>
        <v>#VALUE!</v>
      </c>
      <c r="E3364" t="e">
        <f>cubic_spline(CURVA!$B$6:$B$20,CURVA!$G$6:$G$20,#REF!)</f>
        <v>#VALUE!</v>
      </c>
    </row>
    <row r="3365" spans="1:5" x14ac:dyDescent="0.2">
      <c r="A3365" s="28">
        <v>3364</v>
      </c>
      <c r="B3365" s="28" t="e">
        <f>interpola(#REF!,CURVA!$B$6:$B$20,CURVA!$G$6:$G$20)</f>
        <v>#VALUE!</v>
      </c>
      <c r="C3365" s="29" t="e">
        <f t="shared" si="52"/>
        <v>#VALUE!</v>
      </c>
      <c r="E3365" t="e">
        <f>cubic_spline(CURVA!$B$6:$B$20,CURVA!$G$6:$G$20,#REF!)</f>
        <v>#VALUE!</v>
      </c>
    </row>
    <row r="3366" spans="1:5" x14ac:dyDescent="0.2">
      <c r="A3366" s="28">
        <v>3365</v>
      </c>
      <c r="B3366" s="28" t="e">
        <f>interpola(#REF!,CURVA!$B$6:$B$20,CURVA!$G$6:$G$20)</f>
        <v>#VALUE!</v>
      </c>
      <c r="C3366" s="29" t="e">
        <f t="shared" si="52"/>
        <v>#VALUE!</v>
      </c>
      <c r="E3366" t="e">
        <f>cubic_spline(CURVA!$B$6:$B$20,CURVA!$G$6:$G$20,#REF!)</f>
        <v>#VALUE!</v>
      </c>
    </row>
    <row r="3367" spans="1:5" x14ac:dyDescent="0.2">
      <c r="A3367" s="28">
        <v>3366</v>
      </c>
      <c r="B3367" s="28" t="e">
        <f>interpola(#REF!,CURVA!$B$6:$B$20,CURVA!$G$6:$G$20)</f>
        <v>#VALUE!</v>
      </c>
      <c r="C3367" s="29" t="e">
        <f t="shared" si="52"/>
        <v>#VALUE!</v>
      </c>
      <c r="E3367" t="e">
        <f>cubic_spline(CURVA!$B$6:$B$20,CURVA!$G$6:$G$20,#REF!)</f>
        <v>#VALUE!</v>
      </c>
    </row>
    <row r="3368" spans="1:5" x14ac:dyDescent="0.2">
      <c r="A3368" s="28">
        <v>3367</v>
      </c>
      <c r="B3368" s="28" t="e">
        <f>interpola(#REF!,CURVA!$B$6:$B$20,CURVA!$G$6:$G$20)</f>
        <v>#VALUE!</v>
      </c>
      <c r="C3368" s="29" t="e">
        <f t="shared" si="52"/>
        <v>#VALUE!</v>
      </c>
      <c r="E3368" t="e">
        <f>cubic_spline(CURVA!$B$6:$B$20,CURVA!$G$6:$G$20,#REF!)</f>
        <v>#VALUE!</v>
      </c>
    </row>
    <row r="3369" spans="1:5" x14ac:dyDescent="0.2">
      <c r="A3369" s="28">
        <v>3368</v>
      </c>
      <c r="B3369" s="28" t="e">
        <f>interpola(#REF!,CURVA!$B$6:$B$20,CURVA!$G$6:$G$20)</f>
        <v>#VALUE!</v>
      </c>
      <c r="C3369" s="29" t="e">
        <f t="shared" si="52"/>
        <v>#VALUE!</v>
      </c>
      <c r="E3369" t="e">
        <f>cubic_spline(CURVA!$B$6:$B$20,CURVA!$G$6:$G$20,#REF!)</f>
        <v>#VALUE!</v>
      </c>
    </row>
    <row r="3370" spans="1:5" x14ac:dyDescent="0.2">
      <c r="A3370" s="28">
        <v>3369</v>
      </c>
      <c r="B3370" s="28" t="e">
        <f>interpola(#REF!,CURVA!$B$6:$B$20,CURVA!$G$6:$G$20)</f>
        <v>#VALUE!</v>
      </c>
      <c r="C3370" s="29" t="e">
        <f t="shared" si="52"/>
        <v>#VALUE!</v>
      </c>
      <c r="E3370" t="e">
        <f>cubic_spline(CURVA!$B$6:$B$20,CURVA!$G$6:$G$20,#REF!)</f>
        <v>#VALUE!</v>
      </c>
    </row>
    <row r="3371" spans="1:5" x14ac:dyDescent="0.2">
      <c r="A3371" s="28">
        <v>3370</v>
      </c>
      <c r="B3371" s="28" t="e">
        <f>interpola(#REF!,CURVA!$B$6:$B$20,CURVA!$G$6:$G$20)</f>
        <v>#VALUE!</v>
      </c>
      <c r="C3371" s="29" t="e">
        <f t="shared" si="52"/>
        <v>#VALUE!</v>
      </c>
      <c r="E3371" t="e">
        <f>cubic_spline(CURVA!$B$6:$B$20,CURVA!$G$6:$G$20,#REF!)</f>
        <v>#VALUE!</v>
      </c>
    </row>
    <row r="3372" spans="1:5" x14ac:dyDescent="0.2">
      <c r="A3372" s="28">
        <v>3371</v>
      </c>
      <c r="B3372" s="28" t="e">
        <f>interpola(#REF!,CURVA!$B$6:$B$20,CURVA!$G$6:$G$20)</f>
        <v>#VALUE!</v>
      </c>
      <c r="C3372" s="29" t="e">
        <f t="shared" si="52"/>
        <v>#VALUE!</v>
      </c>
      <c r="E3372" t="e">
        <f>cubic_spline(CURVA!$B$6:$B$20,CURVA!$G$6:$G$20,#REF!)</f>
        <v>#VALUE!</v>
      </c>
    </row>
    <row r="3373" spans="1:5" x14ac:dyDescent="0.2">
      <c r="A3373" s="28">
        <v>3372</v>
      </c>
      <c r="B3373" s="28" t="e">
        <f>interpola(#REF!,CURVA!$B$6:$B$20,CURVA!$G$6:$G$20)</f>
        <v>#VALUE!</v>
      </c>
      <c r="C3373" s="29" t="e">
        <f t="shared" si="52"/>
        <v>#VALUE!</v>
      </c>
      <c r="E3373" t="e">
        <f>cubic_spline(CURVA!$B$6:$B$20,CURVA!$G$6:$G$20,#REF!)</f>
        <v>#VALUE!</v>
      </c>
    </row>
    <row r="3374" spans="1:5" x14ac:dyDescent="0.2">
      <c r="A3374" s="28">
        <v>3373</v>
      </c>
      <c r="B3374" s="28" t="e">
        <f>interpola(#REF!,CURVA!$B$6:$B$20,CURVA!$G$6:$G$20)</f>
        <v>#VALUE!</v>
      </c>
      <c r="C3374" s="29" t="e">
        <f t="shared" si="52"/>
        <v>#VALUE!</v>
      </c>
      <c r="E3374" t="e">
        <f>cubic_spline(CURVA!$B$6:$B$20,CURVA!$G$6:$G$20,#REF!)</f>
        <v>#VALUE!</v>
      </c>
    </row>
    <row r="3375" spans="1:5" x14ac:dyDescent="0.2">
      <c r="A3375" s="28">
        <v>3374</v>
      </c>
      <c r="B3375" s="28" t="e">
        <f>interpola(#REF!,CURVA!$B$6:$B$20,CURVA!$G$6:$G$20)</f>
        <v>#VALUE!</v>
      </c>
      <c r="C3375" s="29" t="e">
        <f t="shared" si="52"/>
        <v>#VALUE!</v>
      </c>
      <c r="E3375" t="e">
        <f>cubic_spline(CURVA!$B$6:$B$20,CURVA!$G$6:$G$20,#REF!)</f>
        <v>#VALUE!</v>
      </c>
    </row>
    <row r="3376" spans="1:5" x14ac:dyDescent="0.2">
      <c r="A3376" s="28">
        <v>3375</v>
      </c>
      <c r="B3376" s="28" t="e">
        <f>interpola(#REF!,CURVA!$B$6:$B$20,CURVA!$G$6:$G$20)</f>
        <v>#VALUE!</v>
      </c>
      <c r="C3376" s="29" t="e">
        <f t="shared" si="52"/>
        <v>#VALUE!</v>
      </c>
      <c r="E3376" t="e">
        <f>cubic_spline(CURVA!$B$6:$B$20,CURVA!$G$6:$G$20,#REF!)</f>
        <v>#VALUE!</v>
      </c>
    </row>
    <row r="3377" spans="1:5" x14ac:dyDescent="0.2">
      <c r="A3377" s="28">
        <v>3376</v>
      </c>
      <c r="B3377" s="28" t="e">
        <f>interpola(#REF!,CURVA!$B$6:$B$20,CURVA!$G$6:$G$20)</f>
        <v>#VALUE!</v>
      </c>
      <c r="C3377" s="29" t="e">
        <f t="shared" si="52"/>
        <v>#VALUE!</v>
      </c>
      <c r="E3377" t="e">
        <f>cubic_spline(CURVA!$B$6:$B$20,CURVA!$G$6:$G$20,#REF!)</f>
        <v>#VALUE!</v>
      </c>
    </row>
    <row r="3378" spans="1:5" x14ac:dyDescent="0.2">
      <c r="A3378" s="28">
        <v>3377</v>
      </c>
      <c r="B3378" s="28" t="e">
        <f>interpola(#REF!,CURVA!$B$6:$B$20,CURVA!$G$6:$G$20)</f>
        <v>#VALUE!</v>
      </c>
      <c r="C3378" s="29" t="e">
        <f t="shared" si="52"/>
        <v>#VALUE!</v>
      </c>
      <c r="E3378" t="e">
        <f>cubic_spline(CURVA!$B$6:$B$20,CURVA!$G$6:$G$20,#REF!)</f>
        <v>#VALUE!</v>
      </c>
    </row>
    <row r="3379" spans="1:5" x14ac:dyDescent="0.2">
      <c r="A3379" s="28">
        <v>3378</v>
      </c>
      <c r="B3379" s="28" t="e">
        <f>interpola(#REF!,CURVA!$B$6:$B$20,CURVA!$G$6:$G$20)</f>
        <v>#VALUE!</v>
      </c>
      <c r="C3379" s="29" t="e">
        <f t="shared" si="52"/>
        <v>#VALUE!</v>
      </c>
      <c r="E3379" t="e">
        <f>cubic_spline(CURVA!$B$6:$B$20,CURVA!$G$6:$G$20,#REF!)</f>
        <v>#VALUE!</v>
      </c>
    </row>
    <row r="3380" spans="1:5" x14ac:dyDescent="0.2">
      <c r="A3380" s="28">
        <v>3379</v>
      </c>
      <c r="B3380" s="28" t="e">
        <f>interpola(#REF!,CURVA!$B$6:$B$20,CURVA!$G$6:$G$20)</f>
        <v>#VALUE!</v>
      </c>
      <c r="C3380" s="29" t="e">
        <f t="shared" si="52"/>
        <v>#VALUE!</v>
      </c>
      <c r="E3380" t="e">
        <f>cubic_spline(CURVA!$B$6:$B$20,CURVA!$G$6:$G$20,#REF!)</f>
        <v>#VALUE!</v>
      </c>
    </row>
    <row r="3381" spans="1:5" x14ac:dyDescent="0.2">
      <c r="A3381" s="28">
        <v>3380</v>
      </c>
      <c r="B3381" s="28" t="e">
        <f>interpola(#REF!,CURVA!$B$6:$B$20,CURVA!$G$6:$G$20)</f>
        <v>#VALUE!</v>
      </c>
      <c r="C3381" s="29" t="e">
        <f t="shared" si="52"/>
        <v>#VALUE!</v>
      </c>
      <c r="E3381" t="e">
        <f>cubic_spline(CURVA!$B$6:$B$20,CURVA!$G$6:$G$20,#REF!)</f>
        <v>#VALUE!</v>
      </c>
    </row>
    <row r="3382" spans="1:5" x14ac:dyDescent="0.2">
      <c r="A3382" s="28">
        <v>3381</v>
      </c>
      <c r="B3382" s="28" t="e">
        <f>interpola(#REF!,CURVA!$B$6:$B$20,CURVA!$G$6:$G$20)</f>
        <v>#VALUE!</v>
      </c>
      <c r="C3382" s="29" t="e">
        <f t="shared" si="52"/>
        <v>#VALUE!</v>
      </c>
      <c r="E3382" t="e">
        <f>cubic_spline(CURVA!$B$6:$B$20,CURVA!$G$6:$G$20,#REF!)</f>
        <v>#VALUE!</v>
      </c>
    </row>
    <row r="3383" spans="1:5" x14ac:dyDescent="0.2">
      <c r="A3383" s="28">
        <v>3382</v>
      </c>
      <c r="B3383" s="28" t="e">
        <f>interpola(#REF!,CURVA!$B$6:$B$20,CURVA!$G$6:$G$20)</f>
        <v>#VALUE!</v>
      </c>
      <c r="C3383" s="29" t="e">
        <f t="shared" si="52"/>
        <v>#VALUE!</v>
      </c>
      <c r="E3383" t="e">
        <f>cubic_spline(CURVA!$B$6:$B$20,CURVA!$G$6:$G$20,#REF!)</f>
        <v>#VALUE!</v>
      </c>
    </row>
    <row r="3384" spans="1:5" x14ac:dyDescent="0.2">
      <c r="A3384" s="28">
        <v>3383</v>
      </c>
      <c r="B3384" s="28" t="e">
        <f>interpola(#REF!,CURVA!$B$6:$B$20,CURVA!$G$6:$G$20)</f>
        <v>#VALUE!</v>
      </c>
      <c r="C3384" s="29" t="e">
        <f t="shared" si="52"/>
        <v>#VALUE!</v>
      </c>
      <c r="E3384" t="e">
        <f>cubic_spline(CURVA!$B$6:$B$20,CURVA!$G$6:$G$20,#REF!)</f>
        <v>#VALUE!</v>
      </c>
    </row>
    <row r="3385" spans="1:5" x14ac:dyDescent="0.2">
      <c r="A3385" s="28">
        <v>3384</v>
      </c>
      <c r="B3385" s="28" t="e">
        <f>interpola(#REF!,CURVA!$B$6:$B$20,CURVA!$G$6:$G$20)</f>
        <v>#VALUE!</v>
      </c>
      <c r="C3385" s="29" t="e">
        <f t="shared" si="52"/>
        <v>#VALUE!</v>
      </c>
      <c r="E3385" t="e">
        <f>cubic_spline(CURVA!$B$6:$B$20,CURVA!$G$6:$G$20,#REF!)</f>
        <v>#VALUE!</v>
      </c>
    </row>
    <row r="3386" spans="1:5" x14ac:dyDescent="0.2">
      <c r="A3386" s="28">
        <v>3385</v>
      </c>
      <c r="B3386" s="28" t="e">
        <f>interpola(#REF!,CURVA!$B$6:$B$20,CURVA!$G$6:$G$20)</f>
        <v>#VALUE!</v>
      </c>
      <c r="C3386" s="29" t="e">
        <f t="shared" si="52"/>
        <v>#VALUE!</v>
      </c>
      <c r="E3386" t="e">
        <f>cubic_spline(CURVA!$B$6:$B$20,CURVA!$G$6:$G$20,#REF!)</f>
        <v>#VALUE!</v>
      </c>
    </row>
    <row r="3387" spans="1:5" x14ac:dyDescent="0.2">
      <c r="A3387" s="28">
        <v>3386</v>
      </c>
      <c r="B3387" s="28" t="e">
        <f>interpola(#REF!,CURVA!$B$6:$B$20,CURVA!$G$6:$G$20)</f>
        <v>#VALUE!</v>
      </c>
      <c r="C3387" s="29" t="e">
        <f t="shared" si="52"/>
        <v>#VALUE!</v>
      </c>
      <c r="E3387" t="e">
        <f>cubic_spline(CURVA!$B$6:$B$20,CURVA!$G$6:$G$20,#REF!)</f>
        <v>#VALUE!</v>
      </c>
    </row>
    <row r="3388" spans="1:5" x14ac:dyDescent="0.2">
      <c r="A3388" s="28">
        <v>3387</v>
      </c>
      <c r="B3388" s="28" t="e">
        <f>interpola(#REF!,CURVA!$B$6:$B$20,CURVA!$G$6:$G$20)</f>
        <v>#VALUE!</v>
      </c>
      <c r="C3388" s="29" t="e">
        <f t="shared" si="52"/>
        <v>#VALUE!</v>
      </c>
      <c r="E3388" t="e">
        <f>cubic_spline(CURVA!$B$6:$B$20,CURVA!$G$6:$G$20,#REF!)</f>
        <v>#VALUE!</v>
      </c>
    </row>
    <row r="3389" spans="1:5" x14ac:dyDescent="0.2">
      <c r="A3389" s="28">
        <v>3388</v>
      </c>
      <c r="B3389" s="28" t="e">
        <f>interpola(#REF!,CURVA!$B$6:$B$20,CURVA!$G$6:$G$20)</f>
        <v>#VALUE!</v>
      </c>
      <c r="C3389" s="29" t="e">
        <f t="shared" si="52"/>
        <v>#VALUE!</v>
      </c>
      <c r="E3389" t="e">
        <f>cubic_spline(CURVA!$B$6:$B$20,CURVA!$G$6:$G$20,#REF!)</f>
        <v>#VALUE!</v>
      </c>
    </row>
    <row r="3390" spans="1:5" x14ac:dyDescent="0.2">
      <c r="A3390" s="28">
        <v>3389</v>
      </c>
      <c r="B3390" s="28" t="e">
        <f>interpola(#REF!,CURVA!$B$6:$B$20,CURVA!$G$6:$G$20)</f>
        <v>#VALUE!</v>
      </c>
      <c r="C3390" s="29" t="e">
        <f t="shared" si="52"/>
        <v>#VALUE!</v>
      </c>
      <c r="E3390" t="e">
        <f>cubic_spline(CURVA!$B$6:$B$20,CURVA!$G$6:$G$20,#REF!)</f>
        <v>#VALUE!</v>
      </c>
    </row>
    <row r="3391" spans="1:5" x14ac:dyDescent="0.2">
      <c r="A3391" s="28">
        <v>3390</v>
      </c>
      <c r="B3391" s="28" t="e">
        <f>interpola(#REF!,CURVA!$B$6:$B$20,CURVA!$G$6:$G$20)</f>
        <v>#VALUE!</v>
      </c>
      <c r="C3391" s="29" t="e">
        <f t="shared" si="52"/>
        <v>#VALUE!</v>
      </c>
      <c r="E3391" t="e">
        <f>cubic_spline(CURVA!$B$6:$B$20,CURVA!$G$6:$G$20,#REF!)</f>
        <v>#VALUE!</v>
      </c>
    </row>
    <row r="3392" spans="1:5" x14ac:dyDescent="0.2">
      <c r="A3392" s="28">
        <v>3391</v>
      </c>
      <c r="B3392" s="28" t="e">
        <f>interpola(#REF!,CURVA!$B$6:$B$20,CURVA!$G$6:$G$20)</f>
        <v>#VALUE!</v>
      </c>
      <c r="C3392" s="29" t="e">
        <f t="shared" si="52"/>
        <v>#VALUE!</v>
      </c>
      <c r="E3392" t="e">
        <f>cubic_spline(CURVA!$B$6:$B$20,CURVA!$G$6:$G$20,#REF!)</f>
        <v>#VALUE!</v>
      </c>
    </row>
    <row r="3393" spans="1:5" x14ac:dyDescent="0.2">
      <c r="A3393" s="28">
        <v>3392</v>
      </c>
      <c r="B3393" s="28" t="e">
        <f>interpola(#REF!,CURVA!$B$6:$B$20,CURVA!$G$6:$G$20)</f>
        <v>#VALUE!</v>
      </c>
      <c r="C3393" s="29" t="e">
        <f t="shared" si="52"/>
        <v>#VALUE!</v>
      </c>
      <c r="E3393" t="e">
        <f>cubic_spline(CURVA!$B$6:$B$20,CURVA!$G$6:$G$20,#REF!)</f>
        <v>#VALUE!</v>
      </c>
    </row>
    <row r="3394" spans="1:5" x14ac:dyDescent="0.2">
      <c r="A3394" s="28">
        <v>3393</v>
      </c>
      <c r="B3394" s="28" t="e">
        <f>interpola(#REF!,CURVA!$B$6:$B$20,CURVA!$G$6:$G$20)</f>
        <v>#VALUE!</v>
      </c>
      <c r="C3394" s="29" t="e">
        <f t="shared" ref="C3394:C3457" si="53">(EXP(B3394*A3394/360)-1)*360/A3394</f>
        <v>#VALUE!</v>
      </c>
      <c r="E3394" t="e">
        <f>cubic_spline(CURVA!$B$6:$B$20,CURVA!$G$6:$G$20,#REF!)</f>
        <v>#VALUE!</v>
      </c>
    </row>
    <row r="3395" spans="1:5" x14ac:dyDescent="0.2">
      <c r="A3395" s="28">
        <v>3394</v>
      </c>
      <c r="B3395" s="28" t="e">
        <f>interpola(#REF!,CURVA!$B$6:$B$20,CURVA!$G$6:$G$20)</f>
        <v>#VALUE!</v>
      </c>
      <c r="C3395" s="29" t="e">
        <f t="shared" si="53"/>
        <v>#VALUE!</v>
      </c>
      <c r="E3395" t="e">
        <f>cubic_spline(CURVA!$B$6:$B$20,CURVA!$G$6:$G$20,#REF!)</f>
        <v>#VALUE!</v>
      </c>
    </row>
    <row r="3396" spans="1:5" x14ac:dyDescent="0.2">
      <c r="A3396" s="28">
        <v>3395</v>
      </c>
      <c r="B3396" s="28" t="e">
        <f>interpola(#REF!,CURVA!$B$6:$B$20,CURVA!$G$6:$G$20)</f>
        <v>#VALUE!</v>
      </c>
      <c r="C3396" s="29" t="e">
        <f t="shared" si="53"/>
        <v>#VALUE!</v>
      </c>
      <c r="E3396" t="e">
        <f>cubic_spline(CURVA!$B$6:$B$20,CURVA!$G$6:$G$20,#REF!)</f>
        <v>#VALUE!</v>
      </c>
    </row>
    <row r="3397" spans="1:5" x14ac:dyDescent="0.2">
      <c r="A3397" s="28">
        <v>3396</v>
      </c>
      <c r="B3397" s="28" t="e">
        <f>interpola(#REF!,CURVA!$B$6:$B$20,CURVA!$G$6:$G$20)</f>
        <v>#VALUE!</v>
      </c>
      <c r="C3397" s="29" t="e">
        <f t="shared" si="53"/>
        <v>#VALUE!</v>
      </c>
      <c r="E3397" t="e">
        <f>cubic_spline(CURVA!$B$6:$B$20,CURVA!$G$6:$G$20,#REF!)</f>
        <v>#VALUE!</v>
      </c>
    </row>
    <row r="3398" spans="1:5" x14ac:dyDescent="0.2">
      <c r="A3398" s="28">
        <v>3397</v>
      </c>
      <c r="B3398" s="28" t="e">
        <f>interpola(#REF!,CURVA!$B$6:$B$20,CURVA!$G$6:$G$20)</f>
        <v>#VALUE!</v>
      </c>
      <c r="C3398" s="29" t="e">
        <f t="shared" si="53"/>
        <v>#VALUE!</v>
      </c>
      <c r="E3398" t="e">
        <f>cubic_spline(CURVA!$B$6:$B$20,CURVA!$G$6:$G$20,#REF!)</f>
        <v>#VALUE!</v>
      </c>
    </row>
    <row r="3399" spans="1:5" x14ac:dyDescent="0.2">
      <c r="A3399" s="28">
        <v>3398</v>
      </c>
      <c r="B3399" s="28" t="e">
        <f>interpola(#REF!,CURVA!$B$6:$B$20,CURVA!$G$6:$G$20)</f>
        <v>#VALUE!</v>
      </c>
      <c r="C3399" s="29" t="e">
        <f t="shared" si="53"/>
        <v>#VALUE!</v>
      </c>
      <c r="E3399" t="e">
        <f>cubic_spline(CURVA!$B$6:$B$20,CURVA!$G$6:$G$20,#REF!)</f>
        <v>#VALUE!</v>
      </c>
    </row>
    <row r="3400" spans="1:5" x14ac:dyDescent="0.2">
      <c r="A3400" s="28">
        <v>3399</v>
      </c>
      <c r="B3400" s="28" t="e">
        <f>interpola(#REF!,CURVA!$B$6:$B$20,CURVA!$G$6:$G$20)</f>
        <v>#VALUE!</v>
      </c>
      <c r="C3400" s="29" t="e">
        <f t="shared" si="53"/>
        <v>#VALUE!</v>
      </c>
      <c r="E3400" t="e">
        <f>cubic_spline(CURVA!$B$6:$B$20,CURVA!$G$6:$G$20,#REF!)</f>
        <v>#VALUE!</v>
      </c>
    </row>
    <row r="3401" spans="1:5" x14ac:dyDescent="0.2">
      <c r="A3401" s="28">
        <v>3400</v>
      </c>
      <c r="B3401" s="28" t="e">
        <f>interpola(#REF!,CURVA!$B$6:$B$20,CURVA!$G$6:$G$20)</f>
        <v>#VALUE!</v>
      </c>
      <c r="C3401" s="29" t="e">
        <f t="shared" si="53"/>
        <v>#VALUE!</v>
      </c>
      <c r="E3401" t="e">
        <f>cubic_spline(CURVA!$B$6:$B$20,CURVA!$G$6:$G$20,#REF!)</f>
        <v>#VALUE!</v>
      </c>
    </row>
    <row r="3402" spans="1:5" x14ac:dyDescent="0.2">
      <c r="A3402" s="28">
        <v>3401</v>
      </c>
      <c r="B3402" s="28" t="e">
        <f>interpola(#REF!,CURVA!$B$6:$B$20,CURVA!$G$6:$G$20)</f>
        <v>#VALUE!</v>
      </c>
      <c r="C3402" s="29" t="e">
        <f t="shared" si="53"/>
        <v>#VALUE!</v>
      </c>
      <c r="E3402" t="e">
        <f>cubic_spline(CURVA!$B$6:$B$20,CURVA!$G$6:$G$20,#REF!)</f>
        <v>#VALUE!</v>
      </c>
    </row>
    <row r="3403" spans="1:5" x14ac:dyDescent="0.2">
      <c r="A3403" s="28">
        <v>3402</v>
      </c>
      <c r="B3403" s="28" t="e">
        <f>interpola(#REF!,CURVA!$B$6:$B$20,CURVA!$G$6:$G$20)</f>
        <v>#VALUE!</v>
      </c>
      <c r="C3403" s="29" t="e">
        <f t="shared" si="53"/>
        <v>#VALUE!</v>
      </c>
      <c r="E3403" t="e">
        <f>cubic_spline(CURVA!$B$6:$B$20,CURVA!$G$6:$G$20,#REF!)</f>
        <v>#VALUE!</v>
      </c>
    </row>
    <row r="3404" spans="1:5" x14ac:dyDescent="0.2">
      <c r="A3404" s="28">
        <v>3403</v>
      </c>
      <c r="B3404" s="28" t="e">
        <f>interpola(#REF!,CURVA!$B$6:$B$20,CURVA!$G$6:$G$20)</f>
        <v>#VALUE!</v>
      </c>
      <c r="C3404" s="29" t="e">
        <f t="shared" si="53"/>
        <v>#VALUE!</v>
      </c>
      <c r="E3404" t="e">
        <f>cubic_spline(CURVA!$B$6:$B$20,CURVA!$G$6:$G$20,#REF!)</f>
        <v>#VALUE!</v>
      </c>
    </row>
    <row r="3405" spans="1:5" x14ac:dyDescent="0.2">
      <c r="A3405" s="28">
        <v>3404</v>
      </c>
      <c r="B3405" s="28" t="e">
        <f>interpola(#REF!,CURVA!$B$6:$B$20,CURVA!$G$6:$G$20)</f>
        <v>#VALUE!</v>
      </c>
      <c r="C3405" s="29" t="e">
        <f t="shared" si="53"/>
        <v>#VALUE!</v>
      </c>
      <c r="E3405" t="e">
        <f>cubic_spline(CURVA!$B$6:$B$20,CURVA!$G$6:$G$20,#REF!)</f>
        <v>#VALUE!</v>
      </c>
    </row>
    <row r="3406" spans="1:5" x14ac:dyDescent="0.2">
      <c r="A3406" s="28">
        <v>3405</v>
      </c>
      <c r="B3406" s="28" t="e">
        <f>interpola(#REF!,CURVA!$B$6:$B$20,CURVA!$G$6:$G$20)</f>
        <v>#VALUE!</v>
      </c>
      <c r="C3406" s="29" t="e">
        <f t="shared" si="53"/>
        <v>#VALUE!</v>
      </c>
      <c r="E3406" t="e">
        <f>cubic_spline(CURVA!$B$6:$B$20,CURVA!$G$6:$G$20,#REF!)</f>
        <v>#VALUE!</v>
      </c>
    </row>
    <row r="3407" spans="1:5" x14ac:dyDescent="0.2">
      <c r="A3407" s="28">
        <v>3406</v>
      </c>
      <c r="B3407" s="28" t="e">
        <f>interpola(#REF!,CURVA!$B$6:$B$20,CURVA!$G$6:$G$20)</f>
        <v>#VALUE!</v>
      </c>
      <c r="C3407" s="29" t="e">
        <f t="shared" si="53"/>
        <v>#VALUE!</v>
      </c>
      <c r="E3407" t="e">
        <f>cubic_spline(CURVA!$B$6:$B$20,CURVA!$G$6:$G$20,#REF!)</f>
        <v>#VALUE!</v>
      </c>
    </row>
    <row r="3408" spans="1:5" x14ac:dyDescent="0.2">
      <c r="A3408" s="28">
        <v>3407</v>
      </c>
      <c r="B3408" s="28" t="e">
        <f>interpola(#REF!,CURVA!$B$6:$B$20,CURVA!$G$6:$G$20)</f>
        <v>#VALUE!</v>
      </c>
      <c r="C3408" s="29" t="e">
        <f t="shared" si="53"/>
        <v>#VALUE!</v>
      </c>
      <c r="E3408" t="e">
        <f>cubic_spline(CURVA!$B$6:$B$20,CURVA!$G$6:$G$20,#REF!)</f>
        <v>#VALUE!</v>
      </c>
    </row>
    <row r="3409" spans="1:5" x14ac:dyDescent="0.2">
      <c r="A3409" s="28">
        <v>3408</v>
      </c>
      <c r="B3409" s="28" t="e">
        <f>interpola(#REF!,CURVA!$B$6:$B$20,CURVA!$G$6:$G$20)</f>
        <v>#VALUE!</v>
      </c>
      <c r="C3409" s="29" t="e">
        <f t="shared" si="53"/>
        <v>#VALUE!</v>
      </c>
      <c r="E3409" t="e">
        <f>cubic_spline(CURVA!$B$6:$B$20,CURVA!$G$6:$G$20,#REF!)</f>
        <v>#VALUE!</v>
      </c>
    </row>
    <row r="3410" spans="1:5" x14ac:dyDescent="0.2">
      <c r="A3410" s="28">
        <v>3409</v>
      </c>
      <c r="B3410" s="28" t="e">
        <f>interpola(#REF!,CURVA!$B$6:$B$20,CURVA!$G$6:$G$20)</f>
        <v>#VALUE!</v>
      </c>
      <c r="C3410" s="29" t="e">
        <f t="shared" si="53"/>
        <v>#VALUE!</v>
      </c>
      <c r="E3410" t="e">
        <f>cubic_spline(CURVA!$B$6:$B$20,CURVA!$G$6:$G$20,#REF!)</f>
        <v>#VALUE!</v>
      </c>
    </row>
    <row r="3411" spans="1:5" x14ac:dyDescent="0.2">
      <c r="A3411" s="28">
        <v>3410</v>
      </c>
      <c r="B3411" s="28" t="e">
        <f>interpola(#REF!,CURVA!$B$6:$B$20,CURVA!$G$6:$G$20)</f>
        <v>#VALUE!</v>
      </c>
      <c r="C3411" s="29" t="e">
        <f t="shared" si="53"/>
        <v>#VALUE!</v>
      </c>
      <c r="E3411" t="e">
        <f>cubic_spline(CURVA!$B$6:$B$20,CURVA!$G$6:$G$20,#REF!)</f>
        <v>#VALUE!</v>
      </c>
    </row>
    <row r="3412" spans="1:5" x14ac:dyDescent="0.2">
      <c r="A3412" s="28">
        <v>3411</v>
      </c>
      <c r="B3412" s="28" t="e">
        <f>interpola(#REF!,CURVA!$B$6:$B$20,CURVA!$G$6:$G$20)</f>
        <v>#VALUE!</v>
      </c>
      <c r="C3412" s="29" t="e">
        <f t="shared" si="53"/>
        <v>#VALUE!</v>
      </c>
      <c r="E3412" t="e">
        <f>cubic_spline(CURVA!$B$6:$B$20,CURVA!$G$6:$G$20,#REF!)</f>
        <v>#VALUE!</v>
      </c>
    </row>
    <row r="3413" spans="1:5" x14ac:dyDescent="0.2">
      <c r="A3413" s="28">
        <v>3412</v>
      </c>
      <c r="B3413" s="28" t="e">
        <f>interpola(#REF!,CURVA!$B$6:$B$20,CURVA!$G$6:$G$20)</f>
        <v>#VALUE!</v>
      </c>
      <c r="C3413" s="29" t="e">
        <f t="shared" si="53"/>
        <v>#VALUE!</v>
      </c>
      <c r="E3413" t="e">
        <f>cubic_spline(CURVA!$B$6:$B$20,CURVA!$G$6:$G$20,#REF!)</f>
        <v>#VALUE!</v>
      </c>
    </row>
    <row r="3414" spans="1:5" x14ac:dyDescent="0.2">
      <c r="A3414" s="28">
        <v>3413</v>
      </c>
      <c r="B3414" s="28" t="e">
        <f>interpola(#REF!,CURVA!$B$6:$B$20,CURVA!$G$6:$G$20)</f>
        <v>#VALUE!</v>
      </c>
      <c r="C3414" s="29" t="e">
        <f t="shared" si="53"/>
        <v>#VALUE!</v>
      </c>
      <c r="E3414" t="e">
        <f>cubic_spline(CURVA!$B$6:$B$20,CURVA!$G$6:$G$20,#REF!)</f>
        <v>#VALUE!</v>
      </c>
    </row>
    <row r="3415" spans="1:5" x14ac:dyDescent="0.2">
      <c r="A3415" s="28">
        <v>3414</v>
      </c>
      <c r="B3415" s="28" t="e">
        <f>interpola(#REF!,CURVA!$B$6:$B$20,CURVA!$G$6:$G$20)</f>
        <v>#VALUE!</v>
      </c>
      <c r="C3415" s="29" t="e">
        <f t="shared" si="53"/>
        <v>#VALUE!</v>
      </c>
      <c r="E3415" t="e">
        <f>cubic_spline(CURVA!$B$6:$B$20,CURVA!$G$6:$G$20,#REF!)</f>
        <v>#VALUE!</v>
      </c>
    </row>
    <row r="3416" spans="1:5" x14ac:dyDescent="0.2">
      <c r="A3416" s="28">
        <v>3415</v>
      </c>
      <c r="B3416" s="28" t="e">
        <f>interpola(#REF!,CURVA!$B$6:$B$20,CURVA!$G$6:$G$20)</f>
        <v>#VALUE!</v>
      </c>
      <c r="C3416" s="29" t="e">
        <f t="shared" si="53"/>
        <v>#VALUE!</v>
      </c>
      <c r="E3416" t="e">
        <f>cubic_spline(CURVA!$B$6:$B$20,CURVA!$G$6:$G$20,#REF!)</f>
        <v>#VALUE!</v>
      </c>
    </row>
    <row r="3417" spans="1:5" x14ac:dyDescent="0.2">
      <c r="A3417" s="28">
        <v>3416</v>
      </c>
      <c r="B3417" s="28" t="e">
        <f>interpola(#REF!,CURVA!$B$6:$B$20,CURVA!$G$6:$G$20)</f>
        <v>#VALUE!</v>
      </c>
      <c r="C3417" s="29" t="e">
        <f t="shared" si="53"/>
        <v>#VALUE!</v>
      </c>
      <c r="E3417" t="e">
        <f>cubic_spline(CURVA!$B$6:$B$20,CURVA!$G$6:$G$20,#REF!)</f>
        <v>#VALUE!</v>
      </c>
    </row>
    <row r="3418" spans="1:5" x14ac:dyDescent="0.2">
      <c r="A3418" s="28">
        <v>3417</v>
      </c>
      <c r="B3418" s="28" t="e">
        <f>interpola(#REF!,CURVA!$B$6:$B$20,CURVA!$G$6:$G$20)</f>
        <v>#VALUE!</v>
      </c>
      <c r="C3418" s="29" t="e">
        <f t="shared" si="53"/>
        <v>#VALUE!</v>
      </c>
      <c r="E3418" t="e">
        <f>cubic_spline(CURVA!$B$6:$B$20,CURVA!$G$6:$G$20,#REF!)</f>
        <v>#VALUE!</v>
      </c>
    </row>
    <row r="3419" spans="1:5" x14ac:dyDescent="0.2">
      <c r="A3419" s="28">
        <v>3418</v>
      </c>
      <c r="B3419" s="28" t="e">
        <f>interpola(#REF!,CURVA!$B$6:$B$20,CURVA!$G$6:$G$20)</f>
        <v>#VALUE!</v>
      </c>
      <c r="C3419" s="29" t="e">
        <f t="shared" si="53"/>
        <v>#VALUE!</v>
      </c>
      <c r="E3419" t="e">
        <f>cubic_spline(CURVA!$B$6:$B$20,CURVA!$G$6:$G$20,#REF!)</f>
        <v>#VALUE!</v>
      </c>
    </row>
    <row r="3420" spans="1:5" x14ac:dyDescent="0.2">
      <c r="A3420" s="28">
        <v>3419</v>
      </c>
      <c r="B3420" s="28" t="e">
        <f>interpola(#REF!,CURVA!$B$6:$B$20,CURVA!$G$6:$G$20)</f>
        <v>#VALUE!</v>
      </c>
      <c r="C3420" s="29" t="e">
        <f t="shared" si="53"/>
        <v>#VALUE!</v>
      </c>
      <c r="E3420" t="e">
        <f>cubic_spline(CURVA!$B$6:$B$20,CURVA!$G$6:$G$20,#REF!)</f>
        <v>#VALUE!</v>
      </c>
    </row>
    <row r="3421" spans="1:5" x14ac:dyDescent="0.2">
      <c r="A3421" s="28">
        <v>3420</v>
      </c>
      <c r="B3421" s="28" t="e">
        <f>interpola(#REF!,CURVA!$B$6:$B$20,CURVA!$G$6:$G$20)</f>
        <v>#VALUE!</v>
      </c>
      <c r="C3421" s="29" t="e">
        <f t="shared" si="53"/>
        <v>#VALUE!</v>
      </c>
      <c r="E3421" t="e">
        <f>cubic_spline(CURVA!$B$6:$B$20,CURVA!$G$6:$G$20,#REF!)</f>
        <v>#VALUE!</v>
      </c>
    </row>
    <row r="3422" spans="1:5" x14ac:dyDescent="0.2">
      <c r="A3422" s="28">
        <v>3421</v>
      </c>
      <c r="B3422" s="28" t="e">
        <f>interpola(#REF!,CURVA!$B$6:$B$20,CURVA!$G$6:$G$20)</f>
        <v>#VALUE!</v>
      </c>
      <c r="C3422" s="29" t="e">
        <f t="shared" si="53"/>
        <v>#VALUE!</v>
      </c>
      <c r="E3422" t="e">
        <f>cubic_spline(CURVA!$B$6:$B$20,CURVA!$G$6:$G$20,#REF!)</f>
        <v>#VALUE!</v>
      </c>
    </row>
    <row r="3423" spans="1:5" x14ac:dyDescent="0.2">
      <c r="A3423" s="28">
        <v>3422</v>
      </c>
      <c r="B3423" s="28" t="e">
        <f>interpola(#REF!,CURVA!$B$6:$B$20,CURVA!$G$6:$G$20)</f>
        <v>#VALUE!</v>
      </c>
      <c r="C3423" s="29" t="e">
        <f t="shared" si="53"/>
        <v>#VALUE!</v>
      </c>
      <c r="E3423" t="e">
        <f>cubic_spline(CURVA!$B$6:$B$20,CURVA!$G$6:$G$20,#REF!)</f>
        <v>#VALUE!</v>
      </c>
    </row>
    <row r="3424" spans="1:5" x14ac:dyDescent="0.2">
      <c r="A3424" s="28">
        <v>3423</v>
      </c>
      <c r="B3424" s="28" t="e">
        <f>interpola(#REF!,CURVA!$B$6:$B$20,CURVA!$G$6:$G$20)</f>
        <v>#VALUE!</v>
      </c>
      <c r="C3424" s="29" t="e">
        <f t="shared" si="53"/>
        <v>#VALUE!</v>
      </c>
      <c r="E3424" t="e">
        <f>cubic_spline(CURVA!$B$6:$B$20,CURVA!$G$6:$G$20,#REF!)</f>
        <v>#VALUE!</v>
      </c>
    </row>
    <row r="3425" spans="1:5" x14ac:dyDescent="0.2">
      <c r="A3425" s="28">
        <v>3424</v>
      </c>
      <c r="B3425" s="28" t="e">
        <f>interpola(#REF!,CURVA!$B$6:$B$20,CURVA!$G$6:$G$20)</f>
        <v>#VALUE!</v>
      </c>
      <c r="C3425" s="29" t="e">
        <f t="shared" si="53"/>
        <v>#VALUE!</v>
      </c>
      <c r="E3425" t="e">
        <f>cubic_spline(CURVA!$B$6:$B$20,CURVA!$G$6:$G$20,#REF!)</f>
        <v>#VALUE!</v>
      </c>
    </row>
    <row r="3426" spans="1:5" x14ac:dyDescent="0.2">
      <c r="A3426" s="28">
        <v>3425</v>
      </c>
      <c r="B3426" s="28" t="e">
        <f>interpola(#REF!,CURVA!$B$6:$B$20,CURVA!$G$6:$G$20)</f>
        <v>#VALUE!</v>
      </c>
      <c r="C3426" s="29" t="e">
        <f t="shared" si="53"/>
        <v>#VALUE!</v>
      </c>
      <c r="E3426" t="e">
        <f>cubic_spline(CURVA!$B$6:$B$20,CURVA!$G$6:$G$20,#REF!)</f>
        <v>#VALUE!</v>
      </c>
    </row>
    <row r="3427" spans="1:5" x14ac:dyDescent="0.2">
      <c r="A3427" s="28">
        <v>3426</v>
      </c>
      <c r="B3427" s="28" t="e">
        <f>interpola(#REF!,CURVA!$B$6:$B$20,CURVA!$G$6:$G$20)</f>
        <v>#VALUE!</v>
      </c>
      <c r="C3427" s="29" t="e">
        <f t="shared" si="53"/>
        <v>#VALUE!</v>
      </c>
      <c r="E3427" t="e">
        <f>cubic_spline(CURVA!$B$6:$B$20,CURVA!$G$6:$G$20,#REF!)</f>
        <v>#VALUE!</v>
      </c>
    </row>
    <row r="3428" spans="1:5" x14ac:dyDescent="0.2">
      <c r="A3428" s="28">
        <v>3427</v>
      </c>
      <c r="B3428" s="28" t="e">
        <f>interpola(#REF!,CURVA!$B$6:$B$20,CURVA!$G$6:$G$20)</f>
        <v>#VALUE!</v>
      </c>
      <c r="C3428" s="29" t="e">
        <f t="shared" si="53"/>
        <v>#VALUE!</v>
      </c>
      <c r="E3428" t="e">
        <f>cubic_spline(CURVA!$B$6:$B$20,CURVA!$G$6:$G$20,#REF!)</f>
        <v>#VALUE!</v>
      </c>
    </row>
    <row r="3429" spans="1:5" x14ac:dyDescent="0.2">
      <c r="A3429" s="28">
        <v>3428</v>
      </c>
      <c r="B3429" s="28" t="e">
        <f>interpola(#REF!,CURVA!$B$6:$B$20,CURVA!$G$6:$G$20)</f>
        <v>#VALUE!</v>
      </c>
      <c r="C3429" s="29" t="e">
        <f t="shared" si="53"/>
        <v>#VALUE!</v>
      </c>
      <c r="E3429" t="e">
        <f>cubic_spline(CURVA!$B$6:$B$20,CURVA!$G$6:$G$20,#REF!)</f>
        <v>#VALUE!</v>
      </c>
    </row>
    <row r="3430" spans="1:5" x14ac:dyDescent="0.2">
      <c r="A3430" s="28">
        <v>3429</v>
      </c>
      <c r="B3430" s="28" t="e">
        <f>interpola(#REF!,CURVA!$B$6:$B$20,CURVA!$G$6:$G$20)</f>
        <v>#VALUE!</v>
      </c>
      <c r="C3430" s="29" t="e">
        <f t="shared" si="53"/>
        <v>#VALUE!</v>
      </c>
      <c r="E3430" t="e">
        <f>cubic_spline(CURVA!$B$6:$B$20,CURVA!$G$6:$G$20,#REF!)</f>
        <v>#VALUE!</v>
      </c>
    </row>
    <row r="3431" spans="1:5" x14ac:dyDescent="0.2">
      <c r="A3431" s="28">
        <v>3430</v>
      </c>
      <c r="B3431" s="28" t="e">
        <f>interpola(#REF!,CURVA!$B$6:$B$20,CURVA!$G$6:$G$20)</f>
        <v>#VALUE!</v>
      </c>
      <c r="C3431" s="29" t="e">
        <f t="shared" si="53"/>
        <v>#VALUE!</v>
      </c>
      <c r="E3431" t="e">
        <f>cubic_spline(CURVA!$B$6:$B$20,CURVA!$G$6:$G$20,#REF!)</f>
        <v>#VALUE!</v>
      </c>
    </row>
    <row r="3432" spans="1:5" x14ac:dyDescent="0.2">
      <c r="A3432" s="28">
        <v>3431</v>
      </c>
      <c r="B3432" s="28" t="e">
        <f>interpola(#REF!,CURVA!$B$6:$B$20,CURVA!$G$6:$G$20)</f>
        <v>#VALUE!</v>
      </c>
      <c r="C3432" s="29" t="e">
        <f t="shared" si="53"/>
        <v>#VALUE!</v>
      </c>
      <c r="E3432" t="e">
        <f>cubic_spline(CURVA!$B$6:$B$20,CURVA!$G$6:$G$20,#REF!)</f>
        <v>#VALUE!</v>
      </c>
    </row>
    <row r="3433" spans="1:5" x14ac:dyDescent="0.2">
      <c r="A3433" s="28">
        <v>3432</v>
      </c>
      <c r="B3433" s="28" t="e">
        <f>interpola(#REF!,CURVA!$B$6:$B$20,CURVA!$G$6:$G$20)</f>
        <v>#VALUE!</v>
      </c>
      <c r="C3433" s="29" t="e">
        <f t="shared" si="53"/>
        <v>#VALUE!</v>
      </c>
      <c r="E3433" t="e">
        <f>cubic_spline(CURVA!$B$6:$B$20,CURVA!$G$6:$G$20,#REF!)</f>
        <v>#VALUE!</v>
      </c>
    </row>
    <row r="3434" spans="1:5" x14ac:dyDescent="0.2">
      <c r="A3434" s="28">
        <v>3433</v>
      </c>
      <c r="B3434" s="28" t="e">
        <f>interpola(#REF!,CURVA!$B$6:$B$20,CURVA!$G$6:$G$20)</f>
        <v>#VALUE!</v>
      </c>
      <c r="C3434" s="29" t="e">
        <f t="shared" si="53"/>
        <v>#VALUE!</v>
      </c>
      <c r="E3434" t="e">
        <f>cubic_spline(CURVA!$B$6:$B$20,CURVA!$G$6:$G$20,#REF!)</f>
        <v>#VALUE!</v>
      </c>
    </row>
    <row r="3435" spans="1:5" x14ac:dyDescent="0.2">
      <c r="A3435" s="28">
        <v>3434</v>
      </c>
      <c r="B3435" s="28" t="e">
        <f>interpola(#REF!,CURVA!$B$6:$B$20,CURVA!$G$6:$G$20)</f>
        <v>#VALUE!</v>
      </c>
      <c r="C3435" s="29" t="e">
        <f t="shared" si="53"/>
        <v>#VALUE!</v>
      </c>
      <c r="E3435" t="e">
        <f>cubic_spline(CURVA!$B$6:$B$20,CURVA!$G$6:$G$20,#REF!)</f>
        <v>#VALUE!</v>
      </c>
    </row>
    <row r="3436" spans="1:5" x14ac:dyDescent="0.2">
      <c r="A3436" s="28">
        <v>3435</v>
      </c>
      <c r="B3436" s="28" t="e">
        <f>interpola(#REF!,CURVA!$B$6:$B$20,CURVA!$G$6:$G$20)</f>
        <v>#VALUE!</v>
      </c>
      <c r="C3436" s="29" t="e">
        <f t="shared" si="53"/>
        <v>#VALUE!</v>
      </c>
      <c r="E3436" t="e">
        <f>cubic_spline(CURVA!$B$6:$B$20,CURVA!$G$6:$G$20,#REF!)</f>
        <v>#VALUE!</v>
      </c>
    </row>
    <row r="3437" spans="1:5" x14ac:dyDescent="0.2">
      <c r="A3437" s="28">
        <v>3436</v>
      </c>
      <c r="B3437" s="28" t="e">
        <f>interpola(#REF!,CURVA!$B$6:$B$20,CURVA!$G$6:$G$20)</f>
        <v>#VALUE!</v>
      </c>
      <c r="C3437" s="29" t="e">
        <f t="shared" si="53"/>
        <v>#VALUE!</v>
      </c>
      <c r="E3437" t="e">
        <f>cubic_spline(CURVA!$B$6:$B$20,CURVA!$G$6:$G$20,#REF!)</f>
        <v>#VALUE!</v>
      </c>
    </row>
    <row r="3438" spans="1:5" x14ac:dyDescent="0.2">
      <c r="A3438" s="28">
        <v>3437</v>
      </c>
      <c r="B3438" s="28" t="e">
        <f>interpola(#REF!,CURVA!$B$6:$B$20,CURVA!$G$6:$G$20)</f>
        <v>#VALUE!</v>
      </c>
      <c r="C3438" s="29" t="e">
        <f t="shared" si="53"/>
        <v>#VALUE!</v>
      </c>
      <c r="E3438" t="e">
        <f>cubic_spline(CURVA!$B$6:$B$20,CURVA!$G$6:$G$20,#REF!)</f>
        <v>#VALUE!</v>
      </c>
    </row>
    <row r="3439" spans="1:5" x14ac:dyDescent="0.2">
      <c r="A3439" s="28">
        <v>3438</v>
      </c>
      <c r="B3439" s="28" t="e">
        <f>interpola(#REF!,CURVA!$B$6:$B$20,CURVA!$G$6:$G$20)</f>
        <v>#VALUE!</v>
      </c>
      <c r="C3439" s="29" t="e">
        <f t="shared" si="53"/>
        <v>#VALUE!</v>
      </c>
      <c r="E3439" t="e">
        <f>cubic_spline(CURVA!$B$6:$B$20,CURVA!$G$6:$G$20,#REF!)</f>
        <v>#VALUE!</v>
      </c>
    </row>
    <row r="3440" spans="1:5" x14ac:dyDescent="0.2">
      <c r="A3440" s="28">
        <v>3439</v>
      </c>
      <c r="B3440" s="28" t="e">
        <f>interpola(#REF!,CURVA!$B$6:$B$20,CURVA!$G$6:$G$20)</f>
        <v>#VALUE!</v>
      </c>
      <c r="C3440" s="29" t="e">
        <f t="shared" si="53"/>
        <v>#VALUE!</v>
      </c>
      <c r="E3440" t="e">
        <f>cubic_spline(CURVA!$B$6:$B$20,CURVA!$G$6:$G$20,#REF!)</f>
        <v>#VALUE!</v>
      </c>
    </row>
    <row r="3441" spans="1:5" x14ac:dyDescent="0.2">
      <c r="A3441" s="28">
        <v>3440</v>
      </c>
      <c r="B3441" s="28" t="e">
        <f>interpola(#REF!,CURVA!$B$6:$B$20,CURVA!$G$6:$G$20)</f>
        <v>#VALUE!</v>
      </c>
      <c r="C3441" s="29" t="e">
        <f t="shared" si="53"/>
        <v>#VALUE!</v>
      </c>
      <c r="E3441" t="e">
        <f>cubic_spline(CURVA!$B$6:$B$20,CURVA!$G$6:$G$20,#REF!)</f>
        <v>#VALUE!</v>
      </c>
    </row>
    <row r="3442" spans="1:5" x14ac:dyDescent="0.2">
      <c r="A3442" s="28">
        <v>3441</v>
      </c>
      <c r="B3442" s="28" t="e">
        <f>interpola(#REF!,CURVA!$B$6:$B$20,CURVA!$G$6:$G$20)</f>
        <v>#VALUE!</v>
      </c>
      <c r="C3442" s="29" t="e">
        <f t="shared" si="53"/>
        <v>#VALUE!</v>
      </c>
      <c r="E3442" t="e">
        <f>cubic_spline(CURVA!$B$6:$B$20,CURVA!$G$6:$G$20,#REF!)</f>
        <v>#VALUE!</v>
      </c>
    </row>
    <row r="3443" spans="1:5" x14ac:dyDescent="0.2">
      <c r="A3443" s="28">
        <v>3442</v>
      </c>
      <c r="B3443" s="28" t="e">
        <f>interpola(#REF!,CURVA!$B$6:$B$20,CURVA!$G$6:$G$20)</f>
        <v>#VALUE!</v>
      </c>
      <c r="C3443" s="29" t="e">
        <f t="shared" si="53"/>
        <v>#VALUE!</v>
      </c>
      <c r="E3443" t="e">
        <f>cubic_spline(CURVA!$B$6:$B$20,CURVA!$G$6:$G$20,#REF!)</f>
        <v>#VALUE!</v>
      </c>
    </row>
    <row r="3444" spans="1:5" x14ac:dyDescent="0.2">
      <c r="A3444" s="28">
        <v>3443</v>
      </c>
      <c r="B3444" s="28" t="e">
        <f>interpola(#REF!,CURVA!$B$6:$B$20,CURVA!$G$6:$G$20)</f>
        <v>#VALUE!</v>
      </c>
      <c r="C3444" s="29" t="e">
        <f t="shared" si="53"/>
        <v>#VALUE!</v>
      </c>
      <c r="E3444" t="e">
        <f>cubic_spline(CURVA!$B$6:$B$20,CURVA!$G$6:$G$20,#REF!)</f>
        <v>#VALUE!</v>
      </c>
    </row>
    <row r="3445" spans="1:5" x14ac:dyDescent="0.2">
      <c r="A3445" s="28">
        <v>3444</v>
      </c>
      <c r="B3445" s="28" t="e">
        <f>interpola(#REF!,CURVA!$B$6:$B$20,CURVA!$G$6:$G$20)</f>
        <v>#VALUE!</v>
      </c>
      <c r="C3445" s="29" t="e">
        <f t="shared" si="53"/>
        <v>#VALUE!</v>
      </c>
      <c r="E3445" t="e">
        <f>cubic_spline(CURVA!$B$6:$B$20,CURVA!$G$6:$G$20,#REF!)</f>
        <v>#VALUE!</v>
      </c>
    </row>
    <row r="3446" spans="1:5" x14ac:dyDescent="0.2">
      <c r="A3446" s="28">
        <v>3445</v>
      </c>
      <c r="B3446" s="28" t="e">
        <f>interpola(#REF!,CURVA!$B$6:$B$20,CURVA!$G$6:$G$20)</f>
        <v>#VALUE!</v>
      </c>
      <c r="C3446" s="29" t="e">
        <f t="shared" si="53"/>
        <v>#VALUE!</v>
      </c>
      <c r="E3446" t="e">
        <f>cubic_spline(CURVA!$B$6:$B$20,CURVA!$G$6:$G$20,#REF!)</f>
        <v>#VALUE!</v>
      </c>
    </row>
    <row r="3447" spans="1:5" x14ac:dyDescent="0.2">
      <c r="A3447" s="28">
        <v>3446</v>
      </c>
      <c r="B3447" s="28" t="e">
        <f>interpola(#REF!,CURVA!$B$6:$B$20,CURVA!$G$6:$G$20)</f>
        <v>#VALUE!</v>
      </c>
      <c r="C3447" s="29" t="e">
        <f t="shared" si="53"/>
        <v>#VALUE!</v>
      </c>
      <c r="E3447" t="e">
        <f>cubic_spline(CURVA!$B$6:$B$20,CURVA!$G$6:$G$20,#REF!)</f>
        <v>#VALUE!</v>
      </c>
    </row>
    <row r="3448" spans="1:5" x14ac:dyDescent="0.2">
      <c r="A3448" s="28">
        <v>3447</v>
      </c>
      <c r="B3448" s="28" t="e">
        <f>interpola(#REF!,CURVA!$B$6:$B$20,CURVA!$G$6:$G$20)</f>
        <v>#VALUE!</v>
      </c>
      <c r="C3448" s="29" t="e">
        <f t="shared" si="53"/>
        <v>#VALUE!</v>
      </c>
      <c r="E3448" t="e">
        <f>cubic_spline(CURVA!$B$6:$B$20,CURVA!$G$6:$G$20,#REF!)</f>
        <v>#VALUE!</v>
      </c>
    </row>
    <row r="3449" spans="1:5" x14ac:dyDescent="0.2">
      <c r="A3449" s="28">
        <v>3448</v>
      </c>
      <c r="B3449" s="28" t="e">
        <f>interpola(#REF!,CURVA!$B$6:$B$20,CURVA!$G$6:$G$20)</f>
        <v>#VALUE!</v>
      </c>
      <c r="C3449" s="29" t="e">
        <f t="shared" si="53"/>
        <v>#VALUE!</v>
      </c>
      <c r="E3449" t="e">
        <f>cubic_spline(CURVA!$B$6:$B$20,CURVA!$G$6:$G$20,#REF!)</f>
        <v>#VALUE!</v>
      </c>
    </row>
    <row r="3450" spans="1:5" x14ac:dyDescent="0.2">
      <c r="A3450" s="28">
        <v>3449</v>
      </c>
      <c r="B3450" s="28" t="e">
        <f>interpola(#REF!,CURVA!$B$6:$B$20,CURVA!$G$6:$G$20)</f>
        <v>#VALUE!</v>
      </c>
      <c r="C3450" s="29" t="e">
        <f t="shared" si="53"/>
        <v>#VALUE!</v>
      </c>
      <c r="E3450" t="e">
        <f>cubic_spline(CURVA!$B$6:$B$20,CURVA!$G$6:$G$20,#REF!)</f>
        <v>#VALUE!</v>
      </c>
    </row>
    <row r="3451" spans="1:5" x14ac:dyDescent="0.2">
      <c r="A3451" s="28">
        <v>3450</v>
      </c>
      <c r="B3451" s="28" t="e">
        <f>interpola(#REF!,CURVA!$B$6:$B$20,CURVA!$G$6:$G$20)</f>
        <v>#VALUE!</v>
      </c>
      <c r="C3451" s="29" t="e">
        <f t="shared" si="53"/>
        <v>#VALUE!</v>
      </c>
      <c r="E3451" t="e">
        <f>cubic_spline(CURVA!$B$6:$B$20,CURVA!$G$6:$G$20,#REF!)</f>
        <v>#VALUE!</v>
      </c>
    </row>
    <row r="3452" spans="1:5" x14ac:dyDescent="0.2">
      <c r="A3452" s="28">
        <v>3451</v>
      </c>
      <c r="B3452" s="28" t="e">
        <f>interpola(#REF!,CURVA!$B$6:$B$20,CURVA!$G$6:$G$20)</f>
        <v>#VALUE!</v>
      </c>
      <c r="C3452" s="29" t="e">
        <f t="shared" si="53"/>
        <v>#VALUE!</v>
      </c>
      <c r="E3452" t="e">
        <f>cubic_spline(CURVA!$B$6:$B$20,CURVA!$G$6:$G$20,#REF!)</f>
        <v>#VALUE!</v>
      </c>
    </row>
    <row r="3453" spans="1:5" x14ac:dyDescent="0.2">
      <c r="A3453" s="28">
        <v>3452</v>
      </c>
      <c r="B3453" s="28" t="e">
        <f>interpola(#REF!,CURVA!$B$6:$B$20,CURVA!$G$6:$G$20)</f>
        <v>#VALUE!</v>
      </c>
      <c r="C3453" s="29" t="e">
        <f t="shared" si="53"/>
        <v>#VALUE!</v>
      </c>
      <c r="E3453" t="e">
        <f>cubic_spline(CURVA!$B$6:$B$20,CURVA!$G$6:$G$20,#REF!)</f>
        <v>#VALUE!</v>
      </c>
    </row>
    <row r="3454" spans="1:5" x14ac:dyDescent="0.2">
      <c r="A3454" s="28">
        <v>3453</v>
      </c>
      <c r="B3454" s="28" t="e">
        <f>interpola(#REF!,CURVA!$B$6:$B$20,CURVA!$G$6:$G$20)</f>
        <v>#VALUE!</v>
      </c>
      <c r="C3454" s="29" t="e">
        <f t="shared" si="53"/>
        <v>#VALUE!</v>
      </c>
      <c r="E3454" t="e">
        <f>cubic_spline(CURVA!$B$6:$B$20,CURVA!$G$6:$G$20,#REF!)</f>
        <v>#VALUE!</v>
      </c>
    </row>
    <row r="3455" spans="1:5" x14ac:dyDescent="0.2">
      <c r="A3455" s="28">
        <v>3454</v>
      </c>
      <c r="B3455" s="28" t="e">
        <f>interpola(#REF!,CURVA!$B$6:$B$20,CURVA!$G$6:$G$20)</f>
        <v>#VALUE!</v>
      </c>
      <c r="C3455" s="29" t="e">
        <f t="shared" si="53"/>
        <v>#VALUE!</v>
      </c>
      <c r="E3455" t="e">
        <f>cubic_spline(CURVA!$B$6:$B$20,CURVA!$G$6:$G$20,#REF!)</f>
        <v>#VALUE!</v>
      </c>
    </row>
    <row r="3456" spans="1:5" x14ac:dyDescent="0.2">
      <c r="A3456" s="28">
        <v>3455</v>
      </c>
      <c r="B3456" s="28" t="e">
        <f>interpola(#REF!,CURVA!$B$6:$B$20,CURVA!$G$6:$G$20)</f>
        <v>#VALUE!</v>
      </c>
      <c r="C3456" s="29" t="e">
        <f t="shared" si="53"/>
        <v>#VALUE!</v>
      </c>
      <c r="E3456" t="e">
        <f>cubic_spline(CURVA!$B$6:$B$20,CURVA!$G$6:$G$20,#REF!)</f>
        <v>#VALUE!</v>
      </c>
    </row>
    <row r="3457" spans="1:5" x14ac:dyDescent="0.2">
      <c r="A3457" s="28">
        <v>3456</v>
      </c>
      <c r="B3457" s="28" t="e">
        <f>interpola(#REF!,CURVA!$B$6:$B$20,CURVA!$G$6:$G$20)</f>
        <v>#VALUE!</v>
      </c>
      <c r="C3457" s="29" t="e">
        <f t="shared" si="53"/>
        <v>#VALUE!</v>
      </c>
      <c r="E3457" t="e">
        <f>cubic_spline(CURVA!$B$6:$B$20,CURVA!$G$6:$G$20,#REF!)</f>
        <v>#VALUE!</v>
      </c>
    </row>
    <row r="3458" spans="1:5" x14ac:dyDescent="0.2">
      <c r="A3458" s="28">
        <v>3457</v>
      </c>
      <c r="B3458" s="28" t="e">
        <f>interpola(#REF!,CURVA!$B$6:$B$20,CURVA!$G$6:$G$20)</f>
        <v>#VALUE!</v>
      </c>
      <c r="C3458" s="29" t="e">
        <f t="shared" ref="C3458:C3521" si="54">(EXP(B3458*A3458/360)-1)*360/A3458</f>
        <v>#VALUE!</v>
      </c>
      <c r="E3458" t="e">
        <f>cubic_spline(CURVA!$B$6:$B$20,CURVA!$G$6:$G$20,#REF!)</f>
        <v>#VALUE!</v>
      </c>
    </row>
    <row r="3459" spans="1:5" x14ac:dyDescent="0.2">
      <c r="A3459" s="28">
        <v>3458</v>
      </c>
      <c r="B3459" s="28" t="e">
        <f>interpola(#REF!,CURVA!$B$6:$B$20,CURVA!$G$6:$G$20)</f>
        <v>#VALUE!</v>
      </c>
      <c r="C3459" s="29" t="e">
        <f t="shared" si="54"/>
        <v>#VALUE!</v>
      </c>
      <c r="E3459" t="e">
        <f>cubic_spline(CURVA!$B$6:$B$20,CURVA!$G$6:$G$20,#REF!)</f>
        <v>#VALUE!</v>
      </c>
    </row>
    <row r="3460" spans="1:5" x14ac:dyDescent="0.2">
      <c r="A3460" s="28">
        <v>3459</v>
      </c>
      <c r="B3460" s="28" t="e">
        <f>interpola(#REF!,CURVA!$B$6:$B$20,CURVA!$G$6:$G$20)</f>
        <v>#VALUE!</v>
      </c>
      <c r="C3460" s="29" t="e">
        <f t="shared" si="54"/>
        <v>#VALUE!</v>
      </c>
      <c r="E3460" t="e">
        <f>cubic_spline(CURVA!$B$6:$B$20,CURVA!$G$6:$G$20,#REF!)</f>
        <v>#VALUE!</v>
      </c>
    </row>
    <row r="3461" spans="1:5" x14ac:dyDescent="0.2">
      <c r="A3461" s="28">
        <v>3460</v>
      </c>
      <c r="B3461" s="28" t="e">
        <f>interpola(#REF!,CURVA!$B$6:$B$20,CURVA!$G$6:$G$20)</f>
        <v>#VALUE!</v>
      </c>
      <c r="C3461" s="29" t="e">
        <f t="shared" si="54"/>
        <v>#VALUE!</v>
      </c>
      <c r="E3461" t="e">
        <f>cubic_spline(CURVA!$B$6:$B$20,CURVA!$G$6:$G$20,#REF!)</f>
        <v>#VALUE!</v>
      </c>
    </row>
    <row r="3462" spans="1:5" x14ac:dyDescent="0.2">
      <c r="A3462" s="28">
        <v>3461</v>
      </c>
      <c r="B3462" s="28" t="e">
        <f>interpola(#REF!,CURVA!$B$6:$B$20,CURVA!$G$6:$G$20)</f>
        <v>#VALUE!</v>
      </c>
      <c r="C3462" s="29" t="e">
        <f t="shared" si="54"/>
        <v>#VALUE!</v>
      </c>
      <c r="E3462" t="e">
        <f>cubic_spline(CURVA!$B$6:$B$20,CURVA!$G$6:$G$20,#REF!)</f>
        <v>#VALUE!</v>
      </c>
    </row>
    <row r="3463" spans="1:5" x14ac:dyDescent="0.2">
      <c r="A3463" s="28">
        <v>3462</v>
      </c>
      <c r="B3463" s="28" t="e">
        <f>interpola(#REF!,CURVA!$B$6:$B$20,CURVA!$G$6:$G$20)</f>
        <v>#VALUE!</v>
      </c>
      <c r="C3463" s="29" t="e">
        <f t="shared" si="54"/>
        <v>#VALUE!</v>
      </c>
      <c r="E3463" t="e">
        <f>cubic_spline(CURVA!$B$6:$B$20,CURVA!$G$6:$G$20,#REF!)</f>
        <v>#VALUE!</v>
      </c>
    </row>
    <row r="3464" spans="1:5" x14ac:dyDescent="0.2">
      <c r="A3464" s="28">
        <v>3463</v>
      </c>
      <c r="B3464" s="28" t="e">
        <f>interpola(#REF!,CURVA!$B$6:$B$20,CURVA!$G$6:$G$20)</f>
        <v>#VALUE!</v>
      </c>
      <c r="C3464" s="29" t="e">
        <f t="shared" si="54"/>
        <v>#VALUE!</v>
      </c>
      <c r="E3464" t="e">
        <f>cubic_spline(CURVA!$B$6:$B$20,CURVA!$G$6:$G$20,#REF!)</f>
        <v>#VALUE!</v>
      </c>
    </row>
    <row r="3465" spans="1:5" x14ac:dyDescent="0.2">
      <c r="A3465" s="28">
        <v>3464</v>
      </c>
      <c r="B3465" s="28" t="e">
        <f>interpola(#REF!,CURVA!$B$6:$B$20,CURVA!$G$6:$G$20)</f>
        <v>#VALUE!</v>
      </c>
      <c r="C3465" s="29" t="e">
        <f t="shared" si="54"/>
        <v>#VALUE!</v>
      </c>
      <c r="E3465" t="e">
        <f>cubic_spline(CURVA!$B$6:$B$20,CURVA!$G$6:$G$20,#REF!)</f>
        <v>#VALUE!</v>
      </c>
    </row>
    <row r="3466" spans="1:5" x14ac:dyDescent="0.2">
      <c r="A3466" s="28">
        <v>3465</v>
      </c>
      <c r="B3466" s="28" t="e">
        <f>interpola(#REF!,CURVA!$B$6:$B$20,CURVA!$G$6:$G$20)</f>
        <v>#VALUE!</v>
      </c>
      <c r="C3466" s="29" t="e">
        <f t="shared" si="54"/>
        <v>#VALUE!</v>
      </c>
      <c r="E3466" t="e">
        <f>cubic_spline(CURVA!$B$6:$B$20,CURVA!$G$6:$G$20,#REF!)</f>
        <v>#VALUE!</v>
      </c>
    </row>
    <row r="3467" spans="1:5" x14ac:dyDescent="0.2">
      <c r="A3467" s="28">
        <v>3466</v>
      </c>
      <c r="B3467" s="28" t="e">
        <f>interpola(#REF!,CURVA!$B$6:$B$20,CURVA!$G$6:$G$20)</f>
        <v>#VALUE!</v>
      </c>
      <c r="C3467" s="29" t="e">
        <f t="shared" si="54"/>
        <v>#VALUE!</v>
      </c>
      <c r="E3467" t="e">
        <f>cubic_spline(CURVA!$B$6:$B$20,CURVA!$G$6:$G$20,#REF!)</f>
        <v>#VALUE!</v>
      </c>
    </row>
    <row r="3468" spans="1:5" x14ac:dyDescent="0.2">
      <c r="A3468" s="28">
        <v>3467</v>
      </c>
      <c r="B3468" s="28" t="e">
        <f>interpola(#REF!,CURVA!$B$6:$B$20,CURVA!$G$6:$G$20)</f>
        <v>#VALUE!</v>
      </c>
      <c r="C3468" s="29" t="e">
        <f t="shared" si="54"/>
        <v>#VALUE!</v>
      </c>
      <c r="E3468" t="e">
        <f>cubic_spline(CURVA!$B$6:$B$20,CURVA!$G$6:$G$20,#REF!)</f>
        <v>#VALUE!</v>
      </c>
    </row>
    <row r="3469" spans="1:5" x14ac:dyDescent="0.2">
      <c r="A3469" s="28">
        <v>3468</v>
      </c>
      <c r="B3469" s="28" t="e">
        <f>interpola(#REF!,CURVA!$B$6:$B$20,CURVA!$G$6:$G$20)</f>
        <v>#VALUE!</v>
      </c>
      <c r="C3469" s="29" t="e">
        <f t="shared" si="54"/>
        <v>#VALUE!</v>
      </c>
      <c r="E3469" t="e">
        <f>cubic_spline(CURVA!$B$6:$B$20,CURVA!$G$6:$G$20,#REF!)</f>
        <v>#VALUE!</v>
      </c>
    </row>
    <row r="3470" spans="1:5" x14ac:dyDescent="0.2">
      <c r="A3470" s="28">
        <v>3469</v>
      </c>
      <c r="B3470" s="28" t="e">
        <f>interpola(#REF!,CURVA!$B$6:$B$20,CURVA!$G$6:$G$20)</f>
        <v>#VALUE!</v>
      </c>
      <c r="C3470" s="29" t="e">
        <f t="shared" si="54"/>
        <v>#VALUE!</v>
      </c>
      <c r="E3470" t="e">
        <f>cubic_spline(CURVA!$B$6:$B$20,CURVA!$G$6:$G$20,#REF!)</f>
        <v>#VALUE!</v>
      </c>
    </row>
    <row r="3471" spans="1:5" x14ac:dyDescent="0.2">
      <c r="A3471" s="28">
        <v>3470</v>
      </c>
      <c r="B3471" s="28" t="e">
        <f>interpola(#REF!,CURVA!$B$6:$B$20,CURVA!$G$6:$G$20)</f>
        <v>#VALUE!</v>
      </c>
      <c r="C3471" s="29" t="e">
        <f t="shared" si="54"/>
        <v>#VALUE!</v>
      </c>
      <c r="E3471" t="e">
        <f>cubic_spline(CURVA!$B$6:$B$20,CURVA!$G$6:$G$20,#REF!)</f>
        <v>#VALUE!</v>
      </c>
    </row>
    <row r="3472" spans="1:5" x14ac:dyDescent="0.2">
      <c r="A3472" s="28">
        <v>3471</v>
      </c>
      <c r="B3472" s="28" t="e">
        <f>interpola(#REF!,CURVA!$B$6:$B$20,CURVA!$G$6:$G$20)</f>
        <v>#VALUE!</v>
      </c>
      <c r="C3472" s="29" t="e">
        <f t="shared" si="54"/>
        <v>#VALUE!</v>
      </c>
      <c r="E3472" t="e">
        <f>cubic_spline(CURVA!$B$6:$B$20,CURVA!$G$6:$G$20,#REF!)</f>
        <v>#VALUE!</v>
      </c>
    </row>
    <row r="3473" spans="1:5" x14ac:dyDescent="0.2">
      <c r="A3473" s="28">
        <v>3472</v>
      </c>
      <c r="B3473" s="28" t="e">
        <f>interpola(#REF!,CURVA!$B$6:$B$20,CURVA!$G$6:$G$20)</f>
        <v>#VALUE!</v>
      </c>
      <c r="C3473" s="29" t="e">
        <f t="shared" si="54"/>
        <v>#VALUE!</v>
      </c>
      <c r="E3473" t="e">
        <f>cubic_spline(CURVA!$B$6:$B$20,CURVA!$G$6:$G$20,#REF!)</f>
        <v>#VALUE!</v>
      </c>
    </row>
    <row r="3474" spans="1:5" x14ac:dyDescent="0.2">
      <c r="A3474" s="28">
        <v>3473</v>
      </c>
      <c r="B3474" s="28" t="e">
        <f>interpola(#REF!,CURVA!$B$6:$B$20,CURVA!$G$6:$G$20)</f>
        <v>#VALUE!</v>
      </c>
      <c r="C3474" s="29" t="e">
        <f t="shared" si="54"/>
        <v>#VALUE!</v>
      </c>
      <c r="E3474" t="e">
        <f>cubic_spline(CURVA!$B$6:$B$20,CURVA!$G$6:$G$20,#REF!)</f>
        <v>#VALUE!</v>
      </c>
    </row>
    <row r="3475" spans="1:5" x14ac:dyDescent="0.2">
      <c r="A3475" s="28">
        <v>3474</v>
      </c>
      <c r="B3475" s="28" t="e">
        <f>interpola(#REF!,CURVA!$B$6:$B$20,CURVA!$G$6:$G$20)</f>
        <v>#VALUE!</v>
      </c>
      <c r="C3475" s="29" t="e">
        <f t="shared" si="54"/>
        <v>#VALUE!</v>
      </c>
      <c r="E3475" t="e">
        <f>cubic_spline(CURVA!$B$6:$B$20,CURVA!$G$6:$G$20,#REF!)</f>
        <v>#VALUE!</v>
      </c>
    </row>
    <row r="3476" spans="1:5" x14ac:dyDescent="0.2">
      <c r="A3476" s="28">
        <v>3475</v>
      </c>
      <c r="B3476" s="28" t="e">
        <f>interpola(#REF!,CURVA!$B$6:$B$20,CURVA!$G$6:$G$20)</f>
        <v>#VALUE!</v>
      </c>
      <c r="C3476" s="29" t="e">
        <f t="shared" si="54"/>
        <v>#VALUE!</v>
      </c>
      <c r="E3476" t="e">
        <f>cubic_spline(CURVA!$B$6:$B$20,CURVA!$G$6:$G$20,#REF!)</f>
        <v>#VALUE!</v>
      </c>
    </row>
    <row r="3477" spans="1:5" x14ac:dyDescent="0.2">
      <c r="A3477" s="28">
        <v>3476</v>
      </c>
      <c r="B3477" s="28" t="e">
        <f>interpola(#REF!,CURVA!$B$6:$B$20,CURVA!$G$6:$G$20)</f>
        <v>#VALUE!</v>
      </c>
      <c r="C3477" s="29" t="e">
        <f t="shared" si="54"/>
        <v>#VALUE!</v>
      </c>
      <c r="E3477" t="e">
        <f>cubic_spline(CURVA!$B$6:$B$20,CURVA!$G$6:$G$20,#REF!)</f>
        <v>#VALUE!</v>
      </c>
    </row>
    <row r="3478" spans="1:5" x14ac:dyDescent="0.2">
      <c r="A3478" s="28">
        <v>3477</v>
      </c>
      <c r="B3478" s="28" t="e">
        <f>interpola(#REF!,CURVA!$B$6:$B$20,CURVA!$G$6:$G$20)</f>
        <v>#VALUE!</v>
      </c>
      <c r="C3478" s="29" t="e">
        <f t="shared" si="54"/>
        <v>#VALUE!</v>
      </c>
      <c r="E3478" t="e">
        <f>cubic_spline(CURVA!$B$6:$B$20,CURVA!$G$6:$G$20,#REF!)</f>
        <v>#VALUE!</v>
      </c>
    </row>
    <row r="3479" spans="1:5" x14ac:dyDescent="0.2">
      <c r="A3479" s="28">
        <v>3478</v>
      </c>
      <c r="B3479" s="28" t="e">
        <f>interpola(#REF!,CURVA!$B$6:$B$20,CURVA!$G$6:$G$20)</f>
        <v>#VALUE!</v>
      </c>
      <c r="C3479" s="29" t="e">
        <f t="shared" si="54"/>
        <v>#VALUE!</v>
      </c>
      <c r="E3479" t="e">
        <f>cubic_spline(CURVA!$B$6:$B$20,CURVA!$G$6:$G$20,#REF!)</f>
        <v>#VALUE!</v>
      </c>
    </row>
    <row r="3480" spans="1:5" x14ac:dyDescent="0.2">
      <c r="A3480" s="28">
        <v>3479</v>
      </c>
      <c r="B3480" s="28" t="e">
        <f>interpola(#REF!,CURVA!$B$6:$B$20,CURVA!$G$6:$G$20)</f>
        <v>#VALUE!</v>
      </c>
      <c r="C3480" s="29" t="e">
        <f t="shared" si="54"/>
        <v>#VALUE!</v>
      </c>
      <c r="E3480" t="e">
        <f>cubic_spline(CURVA!$B$6:$B$20,CURVA!$G$6:$G$20,#REF!)</f>
        <v>#VALUE!</v>
      </c>
    </row>
    <row r="3481" spans="1:5" x14ac:dyDescent="0.2">
      <c r="A3481" s="28">
        <v>3480</v>
      </c>
      <c r="B3481" s="28" t="e">
        <f>interpola(#REF!,CURVA!$B$6:$B$20,CURVA!$G$6:$G$20)</f>
        <v>#VALUE!</v>
      </c>
      <c r="C3481" s="29" t="e">
        <f t="shared" si="54"/>
        <v>#VALUE!</v>
      </c>
      <c r="E3481" t="e">
        <f>cubic_spline(CURVA!$B$6:$B$20,CURVA!$G$6:$G$20,#REF!)</f>
        <v>#VALUE!</v>
      </c>
    </row>
    <row r="3482" spans="1:5" x14ac:dyDescent="0.2">
      <c r="A3482" s="28">
        <v>3481</v>
      </c>
      <c r="B3482" s="28" t="e">
        <f>interpola(#REF!,CURVA!$B$6:$B$20,CURVA!$G$6:$G$20)</f>
        <v>#VALUE!</v>
      </c>
      <c r="C3482" s="29" t="e">
        <f t="shared" si="54"/>
        <v>#VALUE!</v>
      </c>
      <c r="E3482" t="e">
        <f>cubic_spline(CURVA!$B$6:$B$20,CURVA!$G$6:$G$20,#REF!)</f>
        <v>#VALUE!</v>
      </c>
    </row>
    <row r="3483" spans="1:5" x14ac:dyDescent="0.2">
      <c r="A3483" s="28">
        <v>3482</v>
      </c>
      <c r="B3483" s="28" t="e">
        <f>interpola(#REF!,CURVA!$B$6:$B$20,CURVA!$G$6:$G$20)</f>
        <v>#VALUE!</v>
      </c>
      <c r="C3483" s="29" t="e">
        <f t="shared" si="54"/>
        <v>#VALUE!</v>
      </c>
      <c r="E3483" t="e">
        <f>cubic_spline(CURVA!$B$6:$B$20,CURVA!$G$6:$G$20,#REF!)</f>
        <v>#VALUE!</v>
      </c>
    </row>
    <row r="3484" spans="1:5" x14ac:dyDescent="0.2">
      <c r="A3484" s="28">
        <v>3483</v>
      </c>
      <c r="B3484" s="28" t="e">
        <f>interpola(#REF!,CURVA!$B$6:$B$20,CURVA!$G$6:$G$20)</f>
        <v>#VALUE!</v>
      </c>
      <c r="C3484" s="29" t="e">
        <f t="shared" si="54"/>
        <v>#VALUE!</v>
      </c>
      <c r="E3484" t="e">
        <f>cubic_spline(CURVA!$B$6:$B$20,CURVA!$G$6:$G$20,#REF!)</f>
        <v>#VALUE!</v>
      </c>
    </row>
    <row r="3485" spans="1:5" x14ac:dyDescent="0.2">
      <c r="A3485" s="28">
        <v>3484</v>
      </c>
      <c r="B3485" s="28" t="e">
        <f>interpola(#REF!,CURVA!$B$6:$B$20,CURVA!$G$6:$G$20)</f>
        <v>#VALUE!</v>
      </c>
      <c r="C3485" s="29" t="e">
        <f t="shared" si="54"/>
        <v>#VALUE!</v>
      </c>
      <c r="E3485" t="e">
        <f>cubic_spline(CURVA!$B$6:$B$20,CURVA!$G$6:$G$20,#REF!)</f>
        <v>#VALUE!</v>
      </c>
    </row>
    <row r="3486" spans="1:5" x14ac:dyDescent="0.2">
      <c r="A3486" s="28">
        <v>3485</v>
      </c>
      <c r="B3486" s="28" t="e">
        <f>interpola(#REF!,CURVA!$B$6:$B$20,CURVA!$G$6:$G$20)</f>
        <v>#VALUE!</v>
      </c>
      <c r="C3486" s="29" t="e">
        <f t="shared" si="54"/>
        <v>#VALUE!</v>
      </c>
      <c r="E3486" t="e">
        <f>cubic_spline(CURVA!$B$6:$B$20,CURVA!$G$6:$G$20,#REF!)</f>
        <v>#VALUE!</v>
      </c>
    </row>
    <row r="3487" spans="1:5" x14ac:dyDescent="0.2">
      <c r="A3487" s="28">
        <v>3486</v>
      </c>
      <c r="B3487" s="28" t="e">
        <f>interpola(#REF!,CURVA!$B$6:$B$20,CURVA!$G$6:$G$20)</f>
        <v>#VALUE!</v>
      </c>
      <c r="C3487" s="29" t="e">
        <f t="shared" si="54"/>
        <v>#VALUE!</v>
      </c>
      <c r="E3487" t="e">
        <f>cubic_spline(CURVA!$B$6:$B$20,CURVA!$G$6:$G$20,#REF!)</f>
        <v>#VALUE!</v>
      </c>
    </row>
    <row r="3488" spans="1:5" x14ac:dyDescent="0.2">
      <c r="A3488" s="28">
        <v>3487</v>
      </c>
      <c r="B3488" s="28" t="e">
        <f>interpola(#REF!,CURVA!$B$6:$B$20,CURVA!$G$6:$G$20)</f>
        <v>#VALUE!</v>
      </c>
      <c r="C3488" s="29" t="e">
        <f t="shared" si="54"/>
        <v>#VALUE!</v>
      </c>
      <c r="E3488" t="e">
        <f>cubic_spline(CURVA!$B$6:$B$20,CURVA!$G$6:$G$20,#REF!)</f>
        <v>#VALUE!</v>
      </c>
    </row>
    <row r="3489" spans="1:5" x14ac:dyDescent="0.2">
      <c r="A3489" s="28">
        <v>3488</v>
      </c>
      <c r="B3489" s="28" t="e">
        <f>interpola(#REF!,CURVA!$B$6:$B$20,CURVA!$G$6:$G$20)</f>
        <v>#VALUE!</v>
      </c>
      <c r="C3489" s="29" t="e">
        <f t="shared" si="54"/>
        <v>#VALUE!</v>
      </c>
      <c r="E3489" t="e">
        <f>cubic_spline(CURVA!$B$6:$B$20,CURVA!$G$6:$G$20,#REF!)</f>
        <v>#VALUE!</v>
      </c>
    </row>
    <row r="3490" spans="1:5" x14ac:dyDescent="0.2">
      <c r="A3490" s="28">
        <v>3489</v>
      </c>
      <c r="B3490" s="28" t="e">
        <f>interpola(#REF!,CURVA!$B$6:$B$20,CURVA!$G$6:$G$20)</f>
        <v>#VALUE!</v>
      </c>
      <c r="C3490" s="29" t="e">
        <f t="shared" si="54"/>
        <v>#VALUE!</v>
      </c>
      <c r="E3490" t="e">
        <f>cubic_spline(CURVA!$B$6:$B$20,CURVA!$G$6:$G$20,#REF!)</f>
        <v>#VALUE!</v>
      </c>
    </row>
    <row r="3491" spans="1:5" x14ac:dyDescent="0.2">
      <c r="A3491" s="28">
        <v>3490</v>
      </c>
      <c r="B3491" s="28" t="e">
        <f>interpola(#REF!,CURVA!$B$6:$B$20,CURVA!$G$6:$G$20)</f>
        <v>#VALUE!</v>
      </c>
      <c r="C3491" s="29" t="e">
        <f t="shared" si="54"/>
        <v>#VALUE!</v>
      </c>
      <c r="E3491" t="e">
        <f>cubic_spline(CURVA!$B$6:$B$20,CURVA!$G$6:$G$20,#REF!)</f>
        <v>#VALUE!</v>
      </c>
    </row>
    <row r="3492" spans="1:5" x14ac:dyDescent="0.2">
      <c r="A3492" s="28">
        <v>3491</v>
      </c>
      <c r="B3492" s="28" t="e">
        <f>interpola(#REF!,CURVA!$B$6:$B$20,CURVA!$G$6:$G$20)</f>
        <v>#VALUE!</v>
      </c>
      <c r="C3492" s="29" t="e">
        <f t="shared" si="54"/>
        <v>#VALUE!</v>
      </c>
      <c r="E3492" t="e">
        <f>cubic_spline(CURVA!$B$6:$B$20,CURVA!$G$6:$G$20,#REF!)</f>
        <v>#VALUE!</v>
      </c>
    </row>
    <row r="3493" spans="1:5" x14ac:dyDescent="0.2">
      <c r="A3493" s="28">
        <v>3492</v>
      </c>
      <c r="B3493" s="28" t="e">
        <f>interpola(#REF!,CURVA!$B$6:$B$20,CURVA!$G$6:$G$20)</f>
        <v>#VALUE!</v>
      </c>
      <c r="C3493" s="29" t="e">
        <f t="shared" si="54"/>
        <v>#VALUE!</v>
      </c>
      <c r="E3493" t="e">
        <f>cubic_spline(CURVA!$B$6:$B$20,CURVA!$G$6:$G$20,#REF!)</f>
        <v>#VALUE!</v>
      </c>
    </row>
    <row r="3494" spans="1:5" x14ac:dyDescent="0.2">
      <c r="A3494" s="28">
        <v>3493</v>
      </c>
      <c r="B3494" s="28" t="e">
        <f>interpola(#REF!,CURVA!$B$6:$B$20,CURVA!$G$6:$G$20)</f>
        <v>#VALUE!</v>
      </c>
      <c r="C3494" s="29" t="e">
        <f t="shared" si="54"/>
        <v>#VALUE!</v>
      </c>
      <c r="E3494" t="e">
        <f>cubic_spline(CURVA!$B$6:$B$20,CURVA!$G$6:$G$20,#REF!)</f>
        <v>#VALUE!</v>
      </c>
    </row>
    <row r="3495" spans="1:5" x14ac:dyDescent="0.2">
      <c r="A3495" s="28">
        <v>3494</v>
      </c>
      <c r="B3495" s="28" t="e">
        <f>interpola(#REF!,CURVA!$B$6:$B$20,CURVA!$G$6:$G$20)</f>
        <v>#VALUE!</v>
      </c>
      <c r="C3495" s="29" t="e">
        <f t="shared" si="54"/>
        <v>#VALUE!</v>
      </c>
      <c r="E3495" t="e">
        <f>cubic_spline(CURVA!$B$6:$B$20,CURVA!$G$6:$G$20,#REF!)</f>
        <v>#VALUE!</v>
      </c>
    </row>
    <row r="3496" spans="1:5" x14ac:dyDescent="0.2">
      <c r="A3496" s="28">
        <v>3495</v>
      </c>
      <c r="B3496" s="28" t="e">
        <f>interpola(#REF!,CURVA!$B$6:$B$20,CURVA!$G$6:$G$20)</f>
        <v>#VALUE!</v>
      </c>
      <c r="C3496" s="29" t="e">
        <f t="shared" si="54"/>
        <v>#VALUE!</v>
      </c>
      <c r="E3496" t="e">
        <f>cubic_spline(CURVA!$B$6:$B$20,CURVA!$G$6:$G$20,#REF!)</f>
        <v>#VALUE!</v>
      </c>
    </row>
    <row r="3497" spans="1:5" x14ac:dyDescent="0.2">
      <c r="A3497" s="28">
        <v>3496</v>
      </c>
      <c r="B3497" s="28" t="e">
        <f>interpola(#REF!,CURVA!$B$6:$B$20,CURVA!$G$6:$G$20)</f>
        <v>#VALUE!</v>
      </c>
      <c r="C3497" s="29" t="e">
        <f t="shared" si="54"/>
        <v>#VALUE!</v>
      </c>
      <c r="E3497" t="e">
        <f>cubic_spline(CURVA!$B$6:$B$20,CURVA!$G$6:$G$20,#REF!)</f>
        <v>#VALUE!</v>
      </c>
    </row>
    <row r="3498" spans="1:5" x14ac:dyDescent="0.2">
      <c r="A3498" s="28">
        <v>3497</v>
      </c>
      <c r="B3498" s="28" t="e">
        <f>interpola(#REF!,CURVA!$B$6:$B$20,CURVA!$G$6:$G$20)</f>
        <v>#VALUE!</v>
      </c>
      <c r="C3498" s="29" t="e">
        <f t="shared" si="54"/>
        <v>#VALUE!</v>
      </c>
      <c r="E3498" t="e">
        <f>cubic_spline(CURVA!$B$6:$B$20,CURVA!$G$6:$G$20,#REF!)</f>
        <v>#VALUE!</v>
      </c>
    </row>
    <row r="3499" spans="1:5" x14ac:dyDescent="0.2">
      <c r="A3499" s="28">
        <v>3498</v>
      </c>
      <c r="B3499" s="28" t="e">
        <f>interpola(#REF!,CURVA!$B$6:$B$20,CURVA!$G$6:$G$20)</f>
        <v>#VALUE!</v>
      </c>
      <c r="C3499" s="29" t="e">
        <f t="shared" si="54"/>
        <v>#VALUE!</v>
      </c>
      <c r="E3499" t="e">
        <f>cubic_spline(CURVA!$B$6:$B$20,CURVA!$G$6:$G$20,#REF!)</f>
        <v>#VALUE!</v>
      </c>
    </row>
    <row r="3500" spans="1:5" x14ac:dyDescent="0.2">
      <c r="A3500" s="28">
        <v>3499</v>
      </c>
      <c r="B3500" s="28" t="e">
        <f>interpola(#REF!,CURVA!$B$6:$B$20,CURVA!$G$6:$G$20)</f>
        <v>#VALUE!</v>
      </c>
      <c r="C3500" s="29" t="e">
        <f t="shared" si="54"/>
        <v>#VALUE!</v>
      </c>
      <c r="E3500" t="e">
        <f>cubic_spline(CURVA!$B$6:$B$20,CURVA!$G$6:$G$20,#REF!)</f>
        <v>#VALUE!</v>
      </c>
    </row>
    <row r="3501" spans="1:5" x14ac:dyDescent="0.2">
      <c r="A3501" s="28">
        <v>3500</v>
      </c>
      <c r="B3501" s="28" t="e">
        <f>interpola(#REF!,CURVA!$B$6:$B$20,CURVA!$G$6:$G$20)</f>
        <v>#VALUE!</v>
      </c>
      <c r="C3501" s="29" t="e">
        <f t="shared" si="54"/>
        <v>#VALUE!</v>
      </c>
      <c r="E3501" t="e">
        <f>cubic_spline(CURVA!$B$6:$B$20,CURVA!$G$6:$G$20,#REF!)</f>
        <v>#VALUE!</v>
      </c>
    </row>
    <row r="3502" spans="1:5" x14ac:dyDescent="0.2">
      <c r="A3502" s="28">
        <v>3501</v>
      </c>
      <c r="B3502" s="28" t="e">
        <f>interpola(#REF!,CURVA!$B$6:$B$20,CURVA!$G$6:$G$20)</f>
        <v>#VALUE!</v>
      </c>
      <c r="C3502" s="29" t="e">
        <f t="shared" si="54"/>
        <v>#VALUE!</v>
      </c>
      <c r="E3502" t="e">
        <f>cubic_spline(CURVA!$B$6:$B$20,CURVA!$G$6:$G$20,#REF!)</f>
        <v>#VALUE!</v>
      </c>
    </row>
    <row r="3503" spans="1:5" x14ac:dyDescent="0.2">
      <c r="A3503" s="28">
        <v>3502</v>
      </c>
      <c r="B3503" s="28" t="e">
        <f>interpola(#REF!,CURVA!$B$6:$B$20,CURVA!$G$6:$G$20)</f>
        <v>#VALUE!</v>
      </c>
      <c r="C3503" s="29" t="e">
        <f t="shared" si="54"/>
        <v>#VALUE!</v>
      </c>
      <c r="E3503" t="e">
        <f>cubic_spline(CURVA!$B$6:$B$20,CURVA!$G$6:$G$20,#REF!)</f>
        <v>#VALUE!</v>
      </c>
    </row>
    <row r="3504" spans="1:5" x14ac:dyDescent="0.2">
      <c r="A3504" s="28">
        <v>3503</v>
      </c>
      <c r="B3504" s="28" t="e">
        <f>interpola(#REF!,CURVA!$B$6:$B$20,CURVA!$G$6:$G$20)</f>
        <v>#VALUE!</v>
      </c>
      <c r="C3504" s="29" t="e">
        <f t="shared" si="54"/>
        <v>#VALUE!</v>
      </c>
      <c r="E3504" t="e">
        <f>cubic_spline(CURVA!$B$6:$B$20,CURVA!$G$6:$G$20,#REF!)</f>
        <v>#VALUE!</v>
      </c>
    </row>
    <row r="3505" spans="1:5" x14ac:dyDescent="0.2">
      <c r="A3505" s="28">
        <v>3504</v>
      </c>
      <c r="B3505" s="28" t="e">
        <f>interpola(#REF!,CURVA!$B$6:$B$20,CURVA!$G$6:$G$20)</f>
        <v>#VALUE!</v>
      </c>
      <c r="C3505" s="29" t="e">
        <f t="shared" si="54"/>
        <v>#VALUE!</v>
      </c>
      <c r="E3505" t="e">
        <f>cubic_spline(CURVA!$B$6:$B$20,CURVA!$G$6:$G$20,#REF!)</f>
        <v>#VALUE!</v>
      </c>
    </row>
    <row r="3506" spans="1:5" x14ac:dyDescent="0.2">
      <c r="A3506" s="28">
        <v>3505</v>
      </c>
      <c r="B3506" s="28" t="e">
        <f>interpola(#REF!,CURVA!$B$6:$B$20,CURVA!$G$6:$G$20)</f>
        <v>#VALUE!</v>
      </c>
      <c r="C3506" s="29" t="e">
        <f t="shared" si="54"/>
        <v>#VALUE!</v>
      </c>
      <c r="E3506" t="e">
        <f>cubic_spline(CURVA!$B$6:$B$20,CURVA!$G$6:$G$20,#REF!)</f>
        <v>#VALUE!</v>
      </c>
    </row>
    <row r="3507" spans="1:5" x14ac:dyDescent="0.2">
      <c r="A3507" s="28">
        <v>3506</v>
      </c>
      <c r="B3507" s="28" t="e">
        <f>interpola(#REF!,CURVA!$B$6:$B$20,CURVA!$G$6:$G$20)</f>
        <v>#VALUE!</v>
      </c>
      <c r="C3507" s="29" t="e">
        <f t="shared" si="54"/>
        <v>#VALUE!</v>
      </c>
      <c r="E3507" t="e">
        <f>cubic_spline(CURVA!$B$6:$B$20,CURVA!$G$6:$G$20,#REF!)</f>
        <v>#VALUE!</v>
      </c>
    </row>
    <row r="3508" spans="1:5" x14ac:dyDescent="0.2">
      <c r="A3508" s="28">
        <v>3507</v>
      </c>
      <c r="B3508" s="28" t="e">
        <f>interpola(#REF!,CURVA!$B$6:$B$20,CURVA!$G$6:$G$20)</f>
        <v>#VALUE!</v>
      </c>
      <c r="C3508" s="29" t="e">
        <f t="shared" si="54"/>
        <v>#VALUE!</v>
      </c>
      <c r="E3508" t="e">
        <f>cubic_spline(CURVA!$B$6:$B$20,CURVA!$G$6:$G$20,#REF!)</f>
        <v>#VALUE!</v>
      </c>
    </row>
    <row r="3509" spans="1:5" x14ac:dyDescent="0.2">
      <c r="A3509" s="28">
        <v>3508</v>
      </c>
      <c r="B3509" s="28" t="e">
        <f>interpola(#REF!,CURVA!$B$6:$B$20,CURVA!$G$6:$G$20)</f>
        <v>#VALUE!</v>
      </c>
      <c r="C3509" s="29" t="e">
        <f t="shared" si="54"/>
        <v>#VALUE!</v>
      </c>
      <c r="E3509" t="e">
        <f>cubic_spline(CURVA!$B$6:$B$20,CURVA!$G$6:$G$20,#REF!)</f>
        <v>#VALUE!</v>
      </c>
    </row>
    <row r="3510" spans="1:5" x14ac:dyDescent="0.2">
      <c r="A3510" s="28">
        <v>3509</v>
      </c>
      <c r="B3510" s="28" t="e">
        <f>interpola(#REF!,CURVA!$B$6:$B$20,CURVA!$G$6:$G$20)</f>
        <v>#VALUE!</v>
      </c>
      <c r="C3510" s="29" t="e">
        <f t="shared" si="54"/>
        <v>#VALUE!</v>
      </c>
      <c r="E3510" t="e">
        <f>cubic_spline(CURVA!$B$6:$B$20,CURVA!$G$6:$G$20,#REF!)</f>
        <v>#VALUE!</v>
      </c>
    </row>
    <row r="3511" spans="1:5" x14ac:dyDescent="0.2">
      <c r="A3511" s="28">
        <v>3510</v>
      </c>
      <c r="B3511" s="28" t="e">
        <f>interpola(#REF!,CURVA!$B$6:$B$20,CURVA!$G$6:$G$20)</f>
        <v>#VALUE!</v>
      </c>
      <c r="C3511" s="29" t="e">
        <f t="shared" si="54"/>
        <v>#VALUE!</v>
      </c>
      <c r="E3511" t="e">
        <f>cubic_spline(CURVA!$B$6:$B$20,CURVA!$G$6:$G$20,#REF!)</f>
        <v>#VALUE!</v>
      </c>
    </row>
    <row r="3512" spans="1:5" x14ac:dyDescent="0.2">
      <c r="A3512" s="28">
        <v>3511</v>
      </c>
      <c r="B3512" s="28" t="e">
        <f>interpola(#REF!,CURVA!$B$6:$B$20,CURVA!$G$6:$G$20)</f>
        <v>#VALUE!</v>
      </c>
      <c r="C3512" s="29" t="e">
        <f t="shared" si="54"/>
        <v>#VALUE!</v>
      </c>
      <c r="E3512" t="e">
        <f>cubic_spline(CURVA!$B$6:$B$20,CURVA!$G$6:$G$20,#REF!)</f>
        <v>#VALUE!</v>
      </c>
    </row>
    <row r="3513" spans="1:5" x14ac:dyDescent="0.2">
      <c r="A3513" s="28">
        <v>3512</v>
      </c>
      <c r="B3513" s="28" t="e">
        <f>interpola(#REF!,CURVA!$B$6:$B$20,CURVA!$G$6:$G$20)</f>
        <v>#VALUE!</v>
      </c>
      <c r="C3513" s="29" t="e">
        <f t="shared" si="54"/>
        <v>#VALUE!</v>
      </c>
      <c r="E3513" t="e">
        <f>cubic_spline(CURVA!$B$6:$B$20,CURVA!$G$6:$G$20,#REF!)</f>
        <v>#VALUE!</v>
      </c>
    </row>
    <row r="3514" spans="1:5" x14ac:dyDescent="0.2">
      <c r="A3514" s="28">
        <v>3513</v>
      </c>
      <c r="B3514" s="28" t="e">
        <f>interpola(#REF!,CURVA!$B$6:$B$20,CURVA!$G$6:$G$20)</f>
        <v>#VALUE!</v>
      </c>
      <c r="C3514" s="29" t="e">
        <f t="shared" si="54"/>
        <v>#VALUE!</v>
      </c>
      <c r="E3514" t="e">
        <f>cubic_spline(CURVA!$B$6:$B$20,CURVA!$G$6:$G$20,#REF!)</f>
        <v>#VALUE!</v>
      </c>
    </row>
    <row r="3515" spans="1:5" x14ac:dyDescent="0.2">
      <c r="A3515" s="28">
        <v>3514</v>
      </c>
      <c r="B3515" s="28" t="e">
        <f>interpola(#REF!,CURVA!$B$6:$B$20,CURVA!$G$6:$G$20)</f>
        <v>#VALUE!</v>
      </c>
      <c r="C3515" s="29" t="e">
        <f t="shared" si="54"/>
        <v>#VALUE!</v>
      </c>
      <c r="E3515" t="e">
        <f>cubic_spline(CURVA!$B$6:$B$20,CURVA!$G$6:$G$20,#REF!)</f>
        <v>#VALUE!</v>
      </c>
    </row>
    <row r="3516" spans="1:5" x14ac:dyDescent="0.2">
      <c r="A3516" s="28">
        <v>3515</v>
      </c>
      <c r="B3516" s="28" t="e">
        <f>interpola(#REF!,CURVA!$B$6:$B$20,CURVA!$G$6:$G$20)</f>
        <v>#VALUE!</v>
      </c>
      <c r="C3516" s="29" t="e">
        <f t="shared" si="54"/>
        <v>#VALUE!</v>
      </c>
      <c r="E3516" t="e">
        <f>cubic_spline(CURVA!$B$6:$B$20,CURVA!$G$6:$G$20,#REF!)</f>
        <v>#VALUE!</v>
      </c>
    </row>
    <row r="3517" spans="1:5" x14ac:dyDescent="0.2">
      <c r="A3517" s="28">
        <v>3516</v>
      </c>
      <c r="B3517" s="28" t="e">
        <f>interpola(#REF!,CURVA!$B$6:$B$20,CURVA!$G$6:$G$20)</f>
        <v>#VALUE!</v>
      </c>
      <c r="C3517" s="29" t="e">
        <f t="shared" si="54"/>
        <v>#VALUE!</v>
      </c>
      <c r="E3517" t="e">
        <f>cubic_spline(CURVA!$B$6:$B$20,CURVA!$G$6:$G$20,#REF!)</f>
        <v>#VALUE!</v>
      </c>
    </row>
    <row r="3518" spans="1:5" x14ac:dyDescent="0.2">
      <c r="A3518" s="28">
        <v>3517</v>
      </c>
      <c r="B3518" s="28" t="e">
        <f>interpola(#REF!,CURVA!$B$6:$B$20,CURVA!$G$6:$G$20)</f>
        <v>#VALUE!</v>
      </c>
      <c r="C3518" s="29" t="e">
        <f t="shared" si="54"/>
        <v>#VALUE!</v>
      </c>
      <c r="E3518" t="e">
        <f>cubic_spline(CURVA!$B$6:$B$20,CURVA!$G$6:$G$20,#REF!)</f>
        <v>#VALUE!</v>
      </c>
    </row>
    <row r="3519" spans="1:5" x14ac:dyDescent="0.2">
      <c r="A3519" s="28">
        <v>3518</v>
      </c>
      <c r="B3519" s="28" t="e">
        <f>interpola(#REF!,CURVA!$B$6:$B$20,CURVA!$G$6:$G$20)</f>
        <v>#VALUE!</v>
      </c>
      <c r="C3519" s="29" t="e">
        <f t="shared" si="54"/>
        <v>#VALUE!</v>
      </c>
      <c r="E3519" t="e">
        <f>cubic_spline(CURVA!$B$6:$B$20,CURVA!$G$6:$G$20,#REF!)</f>
        <v>#VALUE!</v>
      </c>
    </row>
    <row r="3520" spans="1:5" x14ac:dyDescent="0.2">
      <c r="A3520" s="28">
        <v>3519</v>
      </c>
      <c r="B3520" s="28" t="e">
        <f>interpola(#REF!,CURVA!$B$6:$B$20,CURVA!$G$6:$G$20)</f>
        <v>#VALUE!</v>
      </c>
      <c r="C3520" s="29" t="e">
        <f t="shared" si="54"/>
        <v>#VALUE!</v>
      </c>
      <c r="E3520" t="e">
        <f>cubic_spline(CURVA!$B$6:$B$20,CURVA!$G$6:$G$20,#REF!)</f>
        <v>#VALUE!</v>
      </c>
    </row>
    <row r="3521" spans="1:5" x14ac:dyDescent="0.2">
      <c r="A3521" s="28">
        <v>3520</v>
      </c>
      <c r="B3521" s="28" t="e">
        <f>interpola(#REF!,CURVA!$B$6:$B$20,CURVA!$G$6:$G$20)</f>
        <v>#VALUE!</v>
      </c>
      <c r="C3521" s="29" t="e">
        <f t="shared" si="54"/>
        <v>#VALUE!</v>
      </c>
      <c r="E3521" t="e">
        <f>cubic_spline(CURVA!$B$6:$B$20,CURVA!$G$6:$G$20,#REF!)</f>
        <v>#VALUE!</v>
      </c>
    </row>
    <row r="3522" spans="1:5" x14ac:dyDescent="0.2">
      <c r="A3522" s="28">
        <v>3521</v>
      </c>
      <c r="B3522" s="28" t="e">
        <f>interpola(#REF!,CURVA!$B$6:$B$20,CURVA!$G$6:$G$20)</f>
        <v>#VALUE!</v>
      </c>
      <c r="C3522" s="29" t="e">
        <f t="shared" ref="C3522:C3585" si="55">(EXP(B3522*A3522/360)-1)*360/A3522</f>
        <v>#VALUE!</v>
      </c>
      <c r="E3522" t="e">
        <f>cubic_spline(CURVA!$B$6:$B$20,CURVA!$G$6:$G$20,#REF!)</f>
        <v>#VALUE!</v>
      </c>
    </row>
    <row r="3523" spans="1:5" x14ac:dyDescent="0.2">
      <c r="A3523" s="28">
        <v>3522</v>
      </c>
      <c r="B3523" s="28" t="e">
        <f>interpola(#REF!,CURVA!$B$6:$B$20,CURVA!$G$6:$G$20)</f>
        <v>#VALUE!</v>
      </c>
      <c r="C3523" s="29" t="e">
        <f t="shared" si="55"/>
        <v>#VALUE!</v>
      </c>
      <c r="E3523" t="e">
        <f>cubic_spline(CURVA!$B$6:$B$20,CURVA!$G$6:$G$20,#REF!)</f>
        <v>#VALUE!</v>
      </c>
    </row>
    <row r="3524" spans="1:5" x14ac:dyDescent="0.2">
      <c r="A3524" s="28">
        <v>3523</v>
      </c>
      <c r="B3524" s="28" t="e">
        <f>interpola(#REF!,CURVA!$B$6:$B$20,CURVA!$G$6:$G$20)</f>
        <v>#VALUE!</v>
      </c>
      <c r="C3524" s="29" t="e">
        <f t="shared" si="55"/>
        <v>#VALUE!</v>
      </c>
      <c r="E3524" t="e">
        <f>cubic_spline(CURVA!$B$6:$B$20,CURVA!$G$6:$G$20,#REF!)</f>
        <v>#VALUE!</v>
      </c>
    </row>
    <row r="3525" spans="1:5" x14ac:dyDescent="0.2">
      <c r="A3525" s="28">
        <v>3524</v>
      </c>
      <c r="B3525" s="28" t="e">
        <f>interpola(#REF!,CURVA!$B$6:$B$20,CURVA!$G$6:$G$20)</f>
        <v>#VALUE!</v>
      </c>
      <c r="C3525" s="29" t="e">
        <f t="shared" si="55"/>
        <v>#VALUE!</v>
      </c>
      <c r="E3525" t="e">
        <f>cubic_spline(CURVA!$B$6:$B$20,CURVA!$G$6:$G$20,#REF!)</f>
        <v>#VALUE!</v>
      </c>
    </row>
    <row r="3526" spans="1:5" x14ac:dyDescent="0.2">
      <c r="A3526" s="28">
        <v>3525</v>
      </c>
      <c r="B3526" s="28" t="e">
        <f>interpola(#REF!,CURVA!$B$6:$B$20,CURVA!$G$6:$G$20)</f>
        <v>#VALUE!</v>
      </c>
      <c r="C3526" s="29" t="e">
        <f t="shared" si="55"/>
        <v>#VALUE!</v>
      </c>
      <c r="E3526" t="e">
        <f>cubic_spline(CURVA!$B$6:$B$20,CURVA!$G$6:$G$20,#REF!)</f>
        <v>#VALUE!</v>
      </c>
    </row>
    <row r="3527" spans="1:5" x14ac:dyDescent="0.2">
      <c r="A3527" s="28">
        <v>3526</v>
      </c>
      <c r="B3527" s="28" t="e">
        <f>interpola(#REF!,CURVA!$B$6:$B$20,CURVA!$G$6:$G$20)</f>
        <v>#VALUE!</v>
      </c>
      <c r="C3527" s="29" t="e">
        <f t="shared" si="55"/>
        <v>#VALUE!</v>
      </c>
      <c r="E3527" t="e">
        <f>cubic_spline(CURVA!$B$6:$B$20,CURVA!$G$6:$G$20,#REF!)</f>
        <v>#VALUE!</v>
      </c>
    </row>
    <row r="3528" spans="1:5" x14ac:dyDescent="0.2">
      <c r="A3528" s="28">
        <v>3527</v>
      </c>
      <c r="B3528" s="28" t="e">
        <f>interpola(#REF!,CURVA!$B$6:$B$20,CURVA!$G$6:$G$20)</f>
        <v>#VALUE!</v>
      </c>
      <c r="C3528" s="29" t="e">
        <f t="shared" si="55"/>
        <v>#VALUE!</v>
      </c>
      <c r="E3528" t="e">
        <f>cubic_spline(CURVA!$B$6:$B$20,CURVA!$G$6:$G$20,#REF!)</f>
        <v>#VALUE!</v>
      </c>
    </row>
    <row r="3529" spans="1:5" x14ac:dyDescent="0.2">
      <c r="A3529" s="28">
        <v>3528</v>
      </c>
      <c r="B3529" s="28" t="e">
        <f>interpola(#REF!,CURVA!$B$6:$B$20,CURVA!$G$6:$G$20)</f>
        <v>#VALUE!</v>
      </c>
      <c r="C3529" s="29" t="e">
        <f t="shared" si="55"/>
        <v>#VALUE!</v>
      </c>
      <c r="E3529" t="e">
        <f>cubic_spline(CURVA!$B$6:$B$20,CURVA!$G$6:$G$20,#REF!)</f>
        <v>#VALUE!</v>
      </c>
    </row>
    <row r="3530" spans="1:5" x14ac:dyDescent="0.2">
      <c r="A3530" s="28">
        <v>3529</v>
      </c>
      <c r="B3530" s="28" t="e">
        <f>interpola(#REF!,CURVA!$B$6:$B$20,CURVA!$G$6:$G$20)</f>
        <v>#VALUE!</v>
      </c>
      <c r="C3530" s="29" t="e">
        <f t="shared" si="55"/>
        <v>#VALUE!</v>
      </c>
      <c r="E3530" t="e">
        <f>cubic_spline(CURVA!$B$6:$B$20,CURVA!$G$6:$G$20,#REF!)</f>
        <v>#VALUE!</v>
      </c>
    </row>
    <row r="3531" spans="1:5" x14ac:dyDescent="0.2">
      <c r="A3531" s="28">
        <v>3530</v>
      </c>
      <c r="B3531" s="28" t="e">
        <f>interpola(#REF!,CURVA!$B$6:$B$20,CURVA!$G$6:$G$20)</f>
        <v>#VALUE!</v>
      </c>
      <c r="C3531" s="29" t="e">
        <f t="shared" si="55"/>
        <v>#VALUE!</v>
      </c>
      <c r="E3531" t="e">
        <f>cubic_spline(CURVA!$B$6:$B$20,CURVA!$G$6:$G$20,#REF!)</f>
        <v>#VALUE!</v>
      </c>
    </row>
    <row r="3532" spans="1:5" x14ac:dyDescent="0.2">
      <c r="A3532" s="28">
        <v>3531</v>
      </c>
      <c r="B3532" s="28" t="e">
        <f>interpola(#REF!,CURVA!$B$6:$B$20,CURVA!$G$6:$G$20)</f>
        <v>#VALUE!</v>
      </c>
      <c r="C3532" s="29" t="e">
        <f t="shared" si="55"/>
        <v>#VALUE!</v>
      </c>
      <c r="E3532" t="e">
        <f>cubic_spline(CURVA!$B$6:$B$20,CURVA!$G$6:$G$20,#REF!)</f>
        <v>#VALUE!</v>
      </c>
    </row>
    <row r="3533" spans="1:5" x14ac:dyDescent="0.2">
      <c r="A3533" s="28">
        <v>3532</v>
      </c>
      <c r="B3533" s="28" t="e">
        <f>interpola(#REF!,CURVA!$B$6:$B$20,CURVA!$G$6:$G$20)</f>
        <v>#VALUE!</v>
      </c>
      <c r="C3533" s="29" t="e">
        <f t="shared" si="55"/>
        <v>#VALUE!</v>
      </c>
      <c r="E3533" t="e">
        <f>cubic_spline(CURVA!$B$6:$B$20,CURVA!$G$6:$G$20,#REF!)</f>
        <v>#VALUE!</v>
      </c>
    </row>
    <row r="3534" spans="1:5" x14ac:dyDescent="0.2">
      <c r="A3534" s="28">
        <v>3533</v>
      </c>
      <c r="B3534" s="28" t="e">
        <f>interpola(#REF!,CURVA!$B$6:$B$20,CURVA!$G$6:$G$20)</f>
        <v>#VALUE!</v>
      </c>
      <c r="C3534" s="29" t="e">
        <f t="shared" si="55"/>
        <v>#VALUE!</v>
      </c>
      <c r="E3534" t="e">
        <f>cubic_spline(CURVA!$B$6:$B$20,CURVA!$G$6:$G$20,#REF!)</f>
        <v>#VALUE!</v>
      </c>
    </row>
    <row r="3535" spans="1:5" x14ac:dyDescent="0.2">
      <c r="A3535" s="28">
        <v>3534</v>
      </c>
      <c r="B3535" s="28" t="e">
        <f>interpola(#REF!,CURVA!$B$6:$B$20,CURVA!$G$6:$G$20)</f>
        <v>#VALUE!</v>
      </c>
      <c r="C3535" s="29" t="e">
        <f t="shared" si="55"/>
        <v>#VALUE!</v>
      </c>
      <c r="E3535" t="e">
        <f>cubic_spline(CURVA!$B$6:$B$20,CURVA!$G$6:$G$20,#REF!)</f>
        <v>#VALUE!</v>
      </c>
    </row>
    <row r="3536" spans="1:5" x14ac:dyDescent="0.2">
      <c r="A3536" s="28">
        <v>3535</v>
      </c>
      <c r="B3536" s="28" t="e">
        <f>interpola(#REF!,CURVA!$B$6:$B$20,CURVA!$G$6:$G$20)</f>
        <v>#VALUE!</v>
      </c>
      <c r="C3536" s="29" t="e">
        <f t="shared" si="55"/>
        <v>#VALUE!</v>
      </c>
      <c r="E3536" t="e">
        <f>cubic_spline(CURVA!$B$6:$B$20,CURVA!$G$6:$G$20,#REF!)</f>
        <v>#VALUE!</v>
      </c>
    </row>
    <row r="3537" spans="1:5" x14ac:dyDescent="0.2">
      <c r="A3537" s="28">
        <v>3536</v>
      </c>
      <c r="B3537" s="28" t="e">
        <f>interpola(#REF!,CURVA!$B$6:$B$20,CURVA!$G$6:$G$20)</f>
        <v>#VALUE!</v>
      </c>
      <c r="C3537" s="29" t="e">
        <f t="shared" si="55"/>
        <v>#VALUE!</v>
      </c>
      <c r="E3537" t="e">
        <f>cubic_spline(CURVA!$B$6:$B$20,CURVA!$G$6:$G$20,#REF!)</f>
        <v>#VALUE!</v>
      </c>
    </row>
    <row r="3538" spans="1:5" x14ac:dyDescent="0.2">
      <c r="A3538" s="28">
        <v>3537</v>
      </c>
      <c r="B3538" s="28" t="e">
        <f>interpola(#REF!,CURVA!$B$6:$B$20,CURVA!$G$6:$G$20)</f>
        <v>#VALUE!</v>
      </c>
      <c r="C3538" s="29" t="e">
        <f t="shared" si="55"/>
        <v>#VALUE!</v>
      </c>
      <c r="E3538" t="e">
        <f>cubic_spline(CURVA!$B$6:$B$20,CURVA!$G$6:$G$20,#REF!)</f>
        <v>#VALUE!</v>
      </c>
    </row>
    <row r="3539" spans="1:5" x14ac:dyDescent="0.2">
      <c r="A3539" s="28">
        <v>3538</v>
      </c>
      <c r="B3539" s="28" t="e">
        <f>interpola(#REF!,CURVA!$B$6:$B$20,CURVA!$G$6:$G$20)</f>
        <v>#VALUE!</v>
      </c>
      <c r="C3539" s="29" t="e">
        <f t="shared" si="55"/>
        <v>#VALUE!</v>
      </c>
      <c r="E3539" t="e">
        <f>cubic_spline(CURVA!$B$6:$B$20,CURVA!$G$6:$G$20,#REF!)</f>
        <v>#VALUE!</v>
      </c>
    </row>
    <row r="3540" spans="1:5" x14ac:dyDescent="0.2">
      <c r="A3540" s="28">
        <v>3539</v>
      </c>
      <c r="B3540" s="28" t="e">
        <f>interpola(#REF!,CURVA!$B$6:$B$20,CURVA!$G$6:$G$20)</f>
        <v>#VALUE!</v>
      </c>
      <c r="C3540" s="29" t="e">
        <f t="shared" si="55"/>
        <v>#VALUE!</v>
      </c>
      <c r="E3540" t="e">
        <f>cubic_spline(CURVA!$B$6:$B$20,CURVA!$G$6:$G$20,#REF!)</f>
        <v>#VALUE!</v>
      </c>
    </row>
    <row r="3541" spans="1:5" x14ac:dyDescent="0.2">
      <c r="A3541" s="28">
        <v>3540</v>
      </c>
      <c r="B3541" s="28" t="e">
        <f>interpola(#REF!,CURVA!$B$6:$B$20,CURVA!$G$6:$G$20)</f>
        <v>#VALUE!</v>
      </c>
      <c r="C3541" s="29" t="e">
        <f t="shared" si="55"/>
        <v>#VALUE!</v>
      </c>
      <c r="E3541" t="e">
        <f>cubic_spline(CURVA!$B$6:$B$20,CURVA!$G$6:$G$20,#REF!)</f>
        <v>#VALUE!</v>
      </c>
    </row>
    <row r="3542" spans="1:5" x14ac:dyDescent="0.2">
      <c r="A3542" s="28">
        <v>3541</v>
      </c>
      <c r="B3542" s="28" t="e">
        <f>interpola(#REF!,CURVA!$B$6:$B$20,CURVA!$G$6:$G$20)</f>
        <v>#VALUE!</v>
      </c>
      <c r="C3542" s="29" t="e">
        <f t="shared" si="55"/>
        <v>#VALUE!</v>
      </c>
      <c r="E3542" t="e">
        <f>cubic_spline(CURVA!$B$6:$B$20,CURVA!$G$6:$G$20,#REF!)</f>
        <v>#VALUE!</v>
      </c>
    </row>
    <row r="3543" spans="1:5" x14ac:dyDescent="0.2">
      <c r="A3543" s="28">
        <v>3542</v>
      </c>
      <c r="B3543" s="28" t="e">
        <f>interpola(#REF!,CURVA!$B$6:$B$20,CURVA!$G$6:$G$20)</f>
        <v>#VALUE!</v>
      </c>
      <c r="C3543" s="29" t="e">
        <f t="shared" si="55"/>
        <v>#VALUE!</v>
      </c>
      <c r="E3543" t="e">
        <f>cubic_spline(CURVA!$B$6:$B$20,CURVA!$G$6:$G$20,#REF!)</f>
        <v>#VALUE!</v>
      </c>
    </row>
    <row r="3544" spans="1:5" x14ac:dyDescent="0.2">
      <c r="A3544" s="28">
        <v>3543</v>
      </c>
      <c r="B3544" s="28" t="e">
        <f>interpola(#REF!,CURVA!$B$6:$B$20,CURVA!$G$6:$G$20)</f>
        <v>#VALUE!</v>
      </c>
      <c r="C3544" s="29" t="e">
        <f t="shared" si="55"/>
        <v>#VALUE!</v>
      </c>
      <c r="E3544" t="e">
        <f>cubic_spline(CURVA!$B$6:$B$20,CURVA!$G$6:$G$20,#REF!)</f>
        <v>#VALUE!</v>
      </c>
    </row>
    <row r="3545" spans="1:5" x14ac:dyDescent="0.2">
      <c r="A3545" s="28">
        <v>3544</v>
      </c>
      <c r="B3545" s="28" t="e">
        <f>interpola(#REF!,CURVA!$B$6:$B$20,CURVA!$G$6:$G$20)</f>
        <v>#VALUE!</v>
      </c>
      <c r="C3545" s="29" t="e">
        <f t="shared" si="55"/>
        <v>#VALUE!</v>
      </c>
      <c r="E3545" t="e">
        <f>cubic_spline(CURVA!$B$6:$B$20,CURVA!$G$6:$G$20,#REF!)</f>
        <v>#VALUE!</v>
      </c>
    </row>
    <row r="3546" spans="1:5" x14ac:dyDescent="0.2">
      <c r="A3546" s="28">
        <v>3545</v>
      </c>
      <c r="B3546" s="28" t="e">
        <f>interpola(#REF!,CURVA!$B$6:$B$20,CURVA!$G$6:$G$20)</f>
        <v>#VALUE!</v>
      </c>
      <c r="C3546" s="29" t="e">
        <f t="shared" si="55"/>
        <v>#VALUE!</v>
      </c>
      <c r="E3546" t="e">
        <f>cubic_spline(CURVA!$B$6:$B$20,CURVA!$G$6:$G$20,#REF!)</f>
        <v>#VALUE!</v>
      </c>
    </row>
    <row r="3547" spans="1:5" x14ac:dyDescent="0.2">
      <c r="A3547" s="28">
        <v>3546</v>
      </c>
      <c r="B3547" s="28" t="e">
        <f>interpola(#REF!,CURVA!$B$6:$B$20,CURVA!$G$6:$G$20)</f>
        <v>#VALUE!</v>
      </c>
      <c r="C3547" s="29" t="e">
        <f t="shared" si="55"/>
        <v>#VALUE!</v>
      </c>
      <c r="E3547" t="e">
        <f>cubic_spline(CURVA!$B$6:$B$20,CURVA!$G$6:$G$20,#REF!)</f>
        <v>#VALUE!</v>
      </c>
    </row>
    <row r="3548" spans="1:5" x14ac:dyDescent="0.2">
      <c r="A3548" s="28">
        <v>3547</v>
      </c>
      <c r="B3548" s="28" t="e">
        <f>interpola(#REF!,CURVA!$B$6:$B$20,CURVA!$G$6:$G$20)</f>
        <v>#VALUE!</v>
      </c>
      <c r="C3548" s="29" t="e">
        <f t="shared" si="55"/>
        <v>#VALUE!</v>
      </c>
      <c r="E3548" t="e">
        <f>cubic_spline(CURVA!$B$6:$B$20,CURVA!$G$6:$G$20,#REF!)</f>
        <v>#VALUE!</v>
      </c>
    </row>
    <row r="3549" spans="1:5" x14ac:dyDescent="0.2">
      <c r="A3549" s="28">
        <v>3548</v>
      </c>
      <c r="B3549" s="28" t="e">
        <f>interpola(#REF!,CURVA!$B$6:$B$20,CURVA!$G$6:$G$20)</f>
        <v>#VALUE!</v>
      </c>
      <c r="C3549" s="29" t="e">
        <f t="shared" si="55"/>
        <v>#VALUE!</v>
      </c>
      <c r="E3549" t="e">
        <f>cubic_spline(CURVA!$B$6:$B$20,CURVA!$G$6:$G$20,#REF!)</f>
        <v>#VALUE!</v>
      </c>
    </row>
    <row r="3550" spans="1:5" x14ac:dyDescent="0.2">
      <c r="A3550" s="28">
        <v>3549</v>
      </c>
      <c r="B3550" s="28" t="e">
        <f>interpola(#REF!,CURVA!$B$6:$B$20,CURVA!$G$6:$G$20)</f>
        <v>#VALUE!</v>
      </c>
      <c r="C3550" s="29" t="e">
        <f t="shared" si="55"/>
        <v>#VALUE!</v>
      </c>
      <c r="E3550" t="e">
        <f>cubic_spline(CURVA!$B$6:$B$20,CURVA!$G$6:$G$20,#REF!)</f>
        <v>#VALUE!</v>
      </c>
    </row>
    <row r="3551" spans="1:5" x14ac:dyDescent="0.2">
      <c r="A3551" s="28">
        <v>3550</v>
      </c>
      <c r="B3551" s="28" t="e">
        <f>interpola(#REF!,CURVA!$B$6:$B$20,CURVA!$G$6:$G$20)</f>
        <v>#VALUE!</v>
      </c>
      <c r="C3551" s="29" t="e">
        <f t="shared" si="55"/>
        <v>#VALUE!</v>
      </c>
      <c r="E3551" t="e">
        <f>cubic_spline(CURVA!$B$6:$B$20,CURVA!$G$6:$G$20,#REF!)</f>
        <v>#VALUE!</v>
      </c>
    </row>
    <row r="3552" spans="1:5" x14ac:dyDescent="0.2">
      <c r="A3552" s="28">
        <v>3551</v>
      </c>
      <c r="B3552" s="28" t="e">
        <f>interpola(#REF!,CURVA!$B$6:$B$20,CURVA!$G$6:$G$20)</f>
        <v>#VALUE!</v>
      </c>
      <c r="C3552" s="29" t="e">
        <f t="shared" si="55"/>
        <v>#VALUE!</v>
      </c>
      <c r="E3552" t="e">
        <f>cubic_spline(CURVA!$B$6:$B$20,CURVA!$G$6:$G$20,#REF!)</f>
        <v>#VALUE!</v>
      </c>
    </row>
    <row r="3553" spans="1:5" x14ac:dyDescent="0.2">
      <c r="A3553" s="28">
        <v>3552</v>
      </c>
      <c r="B3553" s="28" t="e">
        <f>interpola(#REF!,CURVA!$B$6:$B$20,CURVA!$G$6:$G$20)</f>
        <v>#VALUE!</v>
      </c>
      <c r="C3553" s="29" t="e">
        <f t="shared" si="55"/>
        <v>#VALUE!</v>
      </c>
      <c r="E3553" t="e">
        <f>cubic_spline(CURVA!$B$6:$B$20,CURVA!$G$6:$G$20,#REF!)</f>
        <v>#VALUE!</v>
      </c>
    </row>
    <row r="3554" spans="1:5" x14ac:dyDescent="0.2">
      <c r="A3554" s="28">
        <v>3553</v>
      </c>
      <c r="B3554" s="28" t="e">
        <f>interpola(#REF!,CURVA!$B$6:$B$20,CURVA!$G$6:$G$20)</f>
        <v>#VALUE!</v>
      </c>
      <c r="C3554" s="29" t="e">
        <f t="shared" si="55"/>
        <v>#VALUE!</v>
      </c>
      <c r="E3554" t="e">
        <f>cubic_spline(CURVA!$B$6:$B$20,CURVA!$G$6:$G$20,#REF!)</f>
        <v>#VALUE!</v>
      </c>
    </row>
    <row r="3555" spans="1:5" x14ac:dyDescent="0.2">
      <c r="A3555" s="28">
        <v>3554</v>
      </c>
      <c r="B3555" s="28" t="e">
        <f>interpola(#REF!,CURVA!$B$6:$B$20,CURVA!$G$6:$G$20)</f>
        <v>#VALUE!</v>
      </c>
      <c r="C3555" s="29" t="e">
        <f t="shared" si="55"/>
        <v>#VALUE!</v>
      </c>
      <c r="E3555" t="e">
        <f>cubic_spline(CURVA!$B$6:$B$20,CURVA!$G$6:$G$20,#REF!)</f>
        <v>#VALUE!</v>
      </c>
    </row>
    <row r="3556" spans="1:5" x14ac:dyDescent="0.2">
      <c r="A3556" s="28">
        <v>3555</v>
      </c>
      <c r="B3556" s="28" t="e">
        <f>interpola(#REF!,CURVA!$B$6:$B$20,CURVA!$G$6:$G$20)</f>
        <v>#VALUE!</v>
      </c>
      <c r="C3556" s="29" t="e">
        <f t="shared" si="55"/>
        <v>#VALUE!</v>
      </c>
      <c r="E3556" t="e">
        <f>cubic_spline(CURVA!$B$6:$B$20,CURVA!$G$6:$G$20,#REF!)</f>
        <v>#VALUE!</v>
      </c>
    </row>
    <row r="3557" spans="1:5" x14ac:dyDescent="0.2">
      <c r="A3557" s="28">
        <v>3556</v>
      </c>
      <c r="B3557" s="28" t="e">
        <f>interpola(#REF!,CURVA!$B$6:$B$20,CURVA!$G$6:$G$20)</f>
        <v>#VALUE!</v>
      </c>
      <c r="C3557" s="29" t="e">
        <f t="shared" si="55"/>
        <v>#VALUE!</v>
      </c>
      <c r="E3557" t="e">
        <f>cubic_spline(CURVA!$B$6:$B$20,CURVA!$G$6:$G$20,#REF!)</f>
        <v>#VALUE!</v>
      </c>
    </row>
    <row r="3558" spans="1:5" x14ac:dyDescent="0.2">
      <c r="A3558" s="28">
        <v>3557</v>
      </c>
      <c r="B3558" s="28" t="e">
        <f>interpola(#REF!,CURVA!$B$6:$B$20,CURVA!$G$6:$G$20)</f>
        <v>#VALUE!</v>
      </c>
      <c r="C3558" s="29" t="e">
        <f t="shared" si="55"/>
        <v>#VALUE!</v>
      </c>
      <c r="E3558" t="e">
        <f>cubic_spline(CURVA!$B$6:$B$20,CURVA!$G$6:$G$20,#REF!)</f>
        <v>#VALUE!</v>
      </c>
    </row>
    <row r="3559" spans="1:5" x14ac:dyDescent="0.2">
      <c r="A3559" s="28">
        <v>3558</v>
      </c>
      <c r="B3559" s="28" t="e">
        <f>interpola(#REF!,CURVA!$B$6:$B$20,CURVA!$G$6:$G$20)</f>
        <v>#VALUE!</v>
      </c>
      <c r="C3559" s="29" t="e">
        <f t="shared" si="55"/>
        <v>#VALUE!</v>
      </c>
      <c r="E3559" t="e">
        <f>cubic_spline(CURVA!$B$6:$B$20,CURVA!$G$6:$G$20,#REF!)</f>
        <v>#VALUE!</v>
      </c>
    </row>
    <row r="3560" spans="1:5" x14ac:dyDescent="0.2">
      <c r="A3560" s="28">
        <v>3559</v>
      </c>
      <c r="B3560" s="28" t="e">
        <f>interpola(#REF!,CURVA!$B$6:$B$20,CURVA!$G$6:$G$20)</f>
        <v>#VALUE!</v>
      </c>
      <c r="C3560" s="29" t="e">
        <f t="shared" si="55"/>
        <v>#VALUE!</v>
      </c>
      <c r="E3560" t="e">
        <f>cubic_spline(CURVA!$B$6:$B$20,CURVA!$G$6:$G$20,#REF!)</f>
        <v>#VALUE!</v>
      </c>
    </row>
    <row r="3561" spans="1:5" x14ac:dyDescent="0.2">
      <c r="A3561" s="28">
        <v>3560</v>
      </c>
      <c r="B3561" s="28" t="e">
        <f>interpola(#REF!,CURVA!$B$6:$B$20,CURVA!$G$6:$G$20)</f>
        <v>#VALUE!</v>
      </c>
      <c r="C3561" s="29" t="e">
        <f t="shared" si="55"/>
        <v>#VALUE!</v>
      </c>
      <c r="E3561" t="e">
        <f>cubic_spline(CURVA!$B$6:$B$20,CURVA!$G$6:$G$20,#REF!)</f>
        <v>#VALUE!</v>
      </c>
    </row>
    <row r="3562" spans="1:5" x14ac:dyDescent="0.2">
      <c r="A3562" s="28">
        <v>3561</v>
      </c>
      <c r="B3562" s="28" t="e">
        <f>interpola(#REF!,CURVA!$B$6:$B$20,CURVA!$G$6:$G$20)</f>
        <v>#VALUE!</v>
      </c>
      <c r="C3562" s="29" t="e">
        <f t="shared" si="55"/>
        <v>#VALUE!</v>
      </c>
      <c r="E3562" t="e">
        <f>cubic_spline(CURVA!$B$6:$B$20,CURVA!$G$6:$G$20,#REF!)</f>
        <v>#VALUE!</v>
      </c>
    </row>
    <row r="3563" spans="1:5" x14ac:dyDescent="0.2">
      <c r="A3563" s="28">
        <v>3562</v>
      </c>
      <c r="B3563" s="28" t="e">
        <f>interpola(#REF!,CURVA!$B$6:$B$20,CURVA!$G$6:$G$20)</f>
        <v>#VALUE!</v>
      </c>
      <c r="C3563" s="29" t="e">
        <f t="shared" si="55"/>
        <v>#VALUE!</v>
      </c>
      <c r="E3563" t="e">
        <f>cubic_spline(CURVA!$B$6:$B$20,CURVA!$G$6:$G$20,#REF!)</f>
        <v>#VALUE!</v>
      </c>
    </row>
    <row r="3564" spans="1:5" x14ac:dyDescent="0.2">
      <c r="A3564" s="28">
        <v>3563</v>
      </c>
      <c r="B3564" s="28" t="e">
        <f>interpola(#REF!,CURVA!$B$6:$B$20,CURVA!$G$6:$G$20)</f>
        <v>#VALUE!</v>
      </c>
      <c r="C3564" s="29" t="e">
        <f t="shared" si="55"/>
        <v>#VALUE!</v>
      </c>
      <c r="E3564" t="e">
        <f>cubic_spline(CURVA!$B$6:$B$20,CURVA!$G$6:$G$20,#REF!)</f>
        <v>#VALUE!</v>
      </c>
    </row>
    <row r="3565" spans="1:5" x14ac:dyDescent="0.2">
      <c r="A3565" s="28">
        <v>3564</v>
      </c>
      <c r="B3565" s="28" t="e">
        <f>interpola(#REF!,CURVA!$B$6:$B$20,CURVA!$G$6:$G$20)</f>
        <v>#VALUE!</v>
      </c>
      <c r="C3565" s="29" t="e">
        <f t="shared" si="55"/>
        <v>#VALUE!</v>
      </c>
      <c r="E3565" t="e">
        <f>cubic_spline(CURVA!$B$6:$B$20,CURVA!$G$6:$G$20,#REF!)</f>
        <v>#VALUE!</v>
      </c>
    </row>
    <row r="3566" spans="1:5" x14ac:dyDescent="0.2">
      <c r="A3566" s="28">
        <v>3565</v>
      </c>
      <c r="B3566" s="28" t="e">
        <f>interpola(#REF!,CURVA!$B$6:$B$20,CURVA!$G$6:$G$20)</f>
        <v>#VALUE!</v>
      </c>
      <c r="C3566" s="29" t="e">
        <f t="shared" si="55"/>
        <v>#VALUE!</v>
      </c>
      <c r="E3566" t="e">
        <f>cubic_spline(CURVA!$B$6:$B$20,CURVA!$G$6:$G$20,#REF!)</f>
        <v>#VALUE!</v>
      </c>
    </row>
    <row r="3567" spans="1:5" x14ac:dyDescent="0.2">
      <c r="A3567" s="28">
        <v>3566</v>
      </c>
      <c r="B3567" s="28" t="e">
        <f>interpola(#REF!,CURVA!$B$6:$B$20,CURVA!$G$6:$G$20)</f>
        <v>#VALUE!</v>
      </c>
      <c r="C3567" s="29" t="e">
        <f t="shared" si="55"/>
        <v>#VALUE!</v>
      </c>
      <c r="E3567" t="e">
        <f>cubic_spline(CURVA!$B$6:$B$20,CURVA!$G$6:$G$20,#REF!)</f>
        <v>#VALUE!</v>
      </c>
    </row>
    <row r="3568" spans="1:5" x14ac:dyDescent="0.2">
      <c r="A3568" s="28">
        <v>3567</v>
      </c>
      <c r="B3568" s="28" t="e">
        <f>interpola(#REF!,CURVA!$B$6:$B$20,CURVA!$G$6:$G$20)</f>
        <v>#VALUE!</v>
      </c>
      <c r="C3568" s="29" t="e">
        <f t="shared" si="55"/>
        <v>#VALUE!</v>
      </c>
      <c r="E3568" t="e">
        <f>cubic_spline(CURVA!$B$6:$B$20,CURVA!$G$6:$G$20,#REF!)</f>
        <v>#VALUE!</v>
      </c>
    </row>
    <row r="3569" spans="1:5" x14ac:dyDescent="0.2">
      <c r="A3569" s="28">
        <v>3568</v>
      </c>
      <c r="B3569" s="28" t="e">
        <f>interpola(#REF!,CURVA!$B$6:$B$20,CURVA!$G$6:$G$20)</f>
        <v>#VALUE!</v>
      </c>
      <c r="C3569" s="29" t="e">
        <f t="shared" si="55"/>
        <v>#VALUE!</v>
      </c>
      <c r="E3569" t="e">
        <f>cubic_spline(CURVA!$B$6:$B$20,CURVA!$G$6:$G$20,#REF!)</f>
        <v>#VALUE!</v>
      </c>
    </row>
    <row r="3570" spans="1:5" x14ac:dyDescent="0.2">
      <c r="A3570" s="28">
        <v>3569</v>
      </c>
      <c r="B3570" s="28" t="e">
        <f>interpola(#REF!,CURVA!$B$6:$B$20,CURVA!$G$6:$G$20)</f>
        <v>#VALUE!</v>
      </c>
      <c r="C3570" s="29" t="e">
        <f t="shared" si="55"/>
        <v>#VALUE!</v>
      </c>
      <c r="E3570" t="e">
        <f>cubic_spline(CURVA!$B$6:$B$20,CURVA!$G$6:$G$20,#REF!)</f>
        <v>#VALUE!</v>
      </c>
    </row>
    <row r="3571" spans="1:5" x14ac:dyDescent="0.2">
      <c r="A3571" s="28">
        <v>3570</v>
      </c>
      <c r="B3571" s="28" t="e">
        <f>interpola(#REF!,CURVA!$B$6:$B$20,CURVA!$G$6:$G$20)</f>
        <v>#VALUE!</v>
      </c>
      <c r="C3571" s="29" t="e">
        <f t="shared" si="55"/>
        <v>#VALUE!</v>
      </c>
      <c r="E3571" t="e">
        <f>cubic_spline(CURVA!$B$6:$B$20,CURVA!$G$6:$G$20,#REF!)</f>
        <v>#VALUE!</v>
      </c>
    </row>
    <row r="3572" spans="1:5" x14ac:dyDescent="0.2">
      <c r="A3572" s="28">
        <v>3571</v>
      </c>
      <c r="B3572" s="28" t="e">
        <f>interpola(#REF!,CURVA!$B$6:$B$20,CURVA!$G$6:$G$20)</f>
        <v>#VALUE!</v>
      </c>
      <c r="C3572" s="29" t="e">
        <f t="shared" si="55"/>
        <v>#VALUE!</v>
      </c>
      <c r="E3572" t="e">
        <f>cubic_spline(CURVA!$B$6:$B$20,CURVA!$G$6:$G$20,#REF!)</f>
        <v>#VALUE!</v>
      </c>
    </row>
    <row r="3573" spans="1:5" x14ac:dyDescent="0.2">
      <c r="A3573" s="28">
        <v>3572</v>
      </c>
      <c r="B3573" s="28" t="e">
        <f>interpola(#REF!,CURVA!$B$6:$B$20,CURVA!$G$6:$G$20)</f>
        <v>#VALUE!</v>
      </c>
      <c r="C3573" s="29" t="e">
        <f t="shared" si="55"/>
        <v>#VALUE!</v>
      </c>
      <c r="E3573" t="e">
        <f>cubic_spline(CURVA!$B$6:$B$20,CURVA!$G$6:$G$20,#REF!)</f>
        <v>#VALUE!</v>
      </c>
    </row>
    <row r="3574" spans="1:5" x14ac:dyDescent="0.2">
      <c r="A3574" s="28">
        <v>3573</v>
      </c>
      <c r="B3574" s="28" t="e">
        <f>interpola(#REF!,CURVA!$B$6:$B$20,CURVA!$G$6:$G$20)</f>
        <v>#VALUE!</v>
      </c>
      <c r="C3574" s="29" t="e">
        <f t="shared" si="55"/>
        <v>#VALUE!</v>
      </c>
      <c r="E3574" t="e">
        <f>cubic_spline(CURVA!$B$6:$B$20,CURVA!$G$6:$G$20,#REF!)</f>
        <v>#VALUE!</v>
      </c>
    </row>
    <row r="3575" spans="1:5" x14ac:dyDescent="0.2">
      <c r="A3575" s="28">
        <v>3574</v>
      </c>
      <c r="B3575" s="28" t="e">
        <f>interpola(#REF!,CURVA!$B$6:$B$20,CURVA!$G$6:$G$20)</f>
        <v>#VALUE!</v>
      </c>
      <c r="C3575" s="29" t="e">
        <f t="shared" si="55"/>
        <v>#VALUE!</v>
      </c>
      <c r="E3575" t="e">
        <f>cubic_spline(CURVA!$B$6:$B$20,CURVA!$G$6:$G$20,#REF!)</f>
        <v>#VALUE!</v>
      </c>
    </row>
    <row r="3576" spans="1:5" x14ac:dyDescent="0.2">
      <c r="A3576" s="28">
        <v>3575</v>
      </c>
      <c r="B3576" s="28" t="e">
        <f>interpola(#REF!,CURVA!$B$6:$B$20,CURVA!$G$6:$G$20)</f>
        <v>#VALUE!</v>
      </c>
      <c r="C3576" s="29" t="e">
        <f t="shared" si="55"/>
        <v>#VALUE!</v>
      </c>
      <c r="E3576" t="e">
        <f>cubic_spline(CURVA!$B$6:$B$20,CURVA!$G$6:$G$20,#REF!)</f>
        <v>#VALUE!</v>
      </c>
    </row>
    <row r="3577" spans="1:5" x14ac:dyDescent="0.2">
      <c r="A3577" s="28">
        <v>3576</v>
      </c>
      <c r="B3577" s="28" t="e">
        <f>interpola(#REF!,CURVA!$B$6:$B$20,CURVA!$G$6:$G$20)</f>
        <v>#VALUE!</v>
      </c>
      <c r="C3577" s="29" t="e">
        <f t="shared" si="55"/>
        <v>#VALUE!</v>
      </c>
      <c r="E3577" t="e">
        <f>cubic_spline(CURVA!$B$6:$B$20,CURVA!$G$6:$G$20,#REF!)</f>
        <v>#VALUE!</v>
      </c>
    </row>
    <row r="3578" spans="1:5" x14ac:dyDescent="0.2">
      <c r="A3578" s="28">
        <v>3577</v>
      </c>
      <c r="B3578" s="28" t="e">
        <f>interpola(#REF!,CURVA!$B$6:$B$20,CURVA!$G$6:$G$20)</f>
        <v>#VALUE!</v>
      </c>
      <c r="C3578" s="29" t="e">
        <f t="shared" si="55"/>
        <v>#VALUE!</v>
      </c>
      <c r="E3578" t="e">
        <f>cubic_spline(CURVA!$B$6:$B$20,CURVA!$G$6:$G$20,#REF!)</f>
        <v>#VALUE!</v>
      </c>
    </row>
    <row r="3579" spans="1:5" x14ac:dyDescent="0.2">
      <c r="A3579" s="28">
        <v>3578</v>
      </c>
      <c r="B3579" s="28" t="e">
        <f>interpola(#REF!,CURVA!$B$6:$B$20,CURVA!$G$6:$G$20)</f>
        <v>#VALUE!</v>
      </c>
      <c r="C3579" s="29" t="e">
        <f t="shared" si="55"/>
        <v>#VALUE!</v>
      </c>
      <c r="E3579" t="e">
        <f>cubic_spline(CURVA!$B$6:$B$20,CURVA!$G$6:$G$20,#REF!)</f>
        <v>#VALUE!</v>
      </c>
    </row>
    <row r="3580" spans="1:5" x14ac:dyDescent="0.2">
      <c r="A3580" s="28">
        <v>3579</v>
      </c>
      <c r="B3580" s="28" t="e">
        <f>interpola(#REF!,CURVA!$B$6:$B$20,CURVA!$G$6:$G$20)</f>
        <v>#VALUE!</v>
      </c>
      <c r="C3580" s="29" t="e">
        <f t="shared" si="55"/>
        <v>#VALUE!</v>
      </c>
      <c r="E3580" t="e">
        <f>cubic_spline(CURVA!$B$6:$B$20,CURVA!$G$6:$G$20,#REF!)</f>
        <v>#VALUE!</v>
      </c>
    </row>
    <row r="3581" spans="1:5" x14ac:dyDescent="0.2">
      <c r="A3581" s="28">
        <v>3580</v>
      </c>
      <c r="B3581" s="28" t="e">
        <f>interpola(#REF!,CURVA!$B$6:$B$20,CURVA!$G$6:$G$20)</f>
        <v>#VALUE!</v>
      </c>
      <c r="C3581" s="29" t="e">
        <f t="shared" si="55"/>
        <v>#VALUE!</v>
      </c>
      <c r="E3581" t="e">
        <f>cubic_spline(CURVA!$B$6:$B$20,CURVA!$G$6:$G$20,#REF!)</f>
        <v>#VALUE!</v>
      </c>
    </row>
    <row r="3582" spans="1:5" x14ac:dyDescent="0.2">
      <c r="A3582" s="28">
        <v>3581</v>
      </c>
      <c r="B3582" s="28" t="e">
        <f>interpola(#REF!,CURVA!$B$6:$B$20,CURVA!$G$6:$G$20)</f>
        <v>#VALUE!</v>
      </c>
      <c r="C3582" s="29" t="e">
        <f t="shared" si="55"/>
        <v>#VALUE!</v>
      </c>
      <c r="E3582" t="e">
        <f>cubic_spline(CURVA!$B$6:$B$20,CURVA!$G$6:$G$20,#REF!)</f>
        <v>#VALUE!</v>
      </c>
    </row>
    <row r="3583" spans="1:5" x14ac:dyDescent="0.2">
      <c r="A3583" s="28">
        <v>3582</v>
      </c>
      <c r="B3583" s="28" t="e">
        <f>interpola(#REF!,CURVA!$B$6:$B$20,CURVA!$G$6:$G$20)</f>
        <v>#VALUE!</v>
      </c>
      <c r="C3583" s="29" t="e">
        <f t="shared" si="55"/>
        <v>#VALUE!</v>
      </c>
      <c r="E3583" t="e">
        <f>cubic_spline(CURVA!$B$6:$B$20,CURVA!$G$6:$G$20,#REF!)</f>
        <v>#VALUE!</v>
      </c>
    </row>
    <row r="3584" spans="1:5" x14ac:dyDescent="0.2">
      <c r="A3584" s="28">
        <v>3583</v>
      </c>
      <c r="B3584" s="28" t="e">
        <f>interpola(#REF!,CURVA!$B$6:$B$20,CURVA!$G$6:$G$20)</f>
        <v>#VALUE!</v>
      </c>
      <c r="C3584" s="29" t="e">
        <f t="shared" si="55"/>
        <v>#VALUE!</v>
      </c>
      <c r="E3584" t="e">
        <f>cubic_spline(CURVA!$B$6:$B$20,CURVA!$G$6:$G$20,#REF!)</f>
        <v>#VALUE!</v>
      </c>
    </row>
    <row r="3585" spans="1:5" x14ac:dyDescent="0.2">
      <c r="A3585" s="28">
        <v>3584</v>
      </c>
      <c r="B3585" s="28" t="e">
        <f>interpola(#REF!,CURVA!$B$6:$B$20,CURVA!$G$6:$G$20)</f>
        <v>#VALUE!</v>
      </c>
      <c r="C3585" s="29" t="e">
        <f t="shared" si="55"/>
        <v>#VALUE!</v>
      </c>
      <c r="E3585" t="e">
        <f>cubic_spline(CURVA!$B$6:$B$20,CURVA!$G$6:$G$20,#REF!)</f>
        <v>#VALUE!</v>
      </c>
    </row>
    <row r="3586" spans="1:5" x14ac:dyDescent="0.2">
      <c r="A3586" s="28">
        <v>3585</v>
      </c>
      <c r="B3586" s="28" t="e">
        <f>interpola(#REF!,CURVA!$B$6:$B$20,CURVA!$G$6:$G$20)</f>
        <v>#VALUE!</v>
      </c>
      <c r="C3586" s="29" t="e">
        <f t="shared" ref="C3586:C3649" si="56">(EXP(B3586*A3586/360)-1)*360/A3586</f>
        <v>#VALUE!</v>
      </c>
      <c r="E3586" t="e">
        <f>cubic_spline(CURVA!$B$6:$B$20,CURVA!$G$6:$G$20,#REF!)</f>
        <v>#VALUE!</v>
      </c>
    </row>
    <row r="3587" spans="1:5" x14ac:dyDescent="0.2">
      <c r="A3587" s="28">
        <v>3586</v>
      </c>
      <c r="B3587" s="28" t="e">
        <f>interpola(#REF!,CURVA!$B$6:$B$20,CURVA!$G$6:$G$20)</f>
        <v>#VALUE!</v>
      </c>
      <c r="C3587" s="29" t="e">
        <f t="shared" si="56"/>
        <v>#VALUE!</v>
      </c>
      <c r="E3587" t="e">
        <f>cubic_spline(CURVA!$B$6:$B$20,CURVA!$G$6:$G$20,#REF!)</f>
        <v>#VALUE!</v>
      </c>
    </row>
    <row r="3588" spans="1:5" x14ac:dyDescent="0.2">
      <c r="A3588" s="28">
        <v>3587</v>
      </c>
      <c r="B3588" s="28" t="e">
        <f>interpola(#REF!,CURVA!$B$6:$B$20,CURVA!$G$6:$G$20)</f>
        <v>#VALUE!</v>
      </c>
      <c r="C3588" s="29" t="e">
        <f t="shared" si="56"/>
        <v>#VALUE!</v>
      </c>
      <c r="E3588" t="e">
        <f>cubic_spline(CURVA!$B$6:$B$20,CURVA!$G$6:$G$20,#REF!)</f>
        <v>#VALUE!</v>
      </c>
    </row>
    <row r="3589" spans="1:5" x14ac:dyDescent="0.2">
      <c r="A3589" s="28">
        <v>3588</v>
      </c>
      <c r="B3589" s="28" t="e">
        <f>interpola(#REF!,CURVA!$B$6:$B$20,CURVA!$G$6:$G$20)</f>
        <v>#VALUE!</v>
      </c>
      <c r="C3589" s="29" t="e">
        <f t="shared" si="56"/>
        <v>#VALUE!</v>
      </c>
      <c r="E3589" t="e">
        <f>cubic_spline(CURVA!$B$6:$B$20,CURVA!$G$6:$G$20,#REF!)</f>
        <v>#VALUE!</v>
      </c>
    </row>
    <row r="3590" spans="1:5" x14ac:dyDescent="0.2">
      <c r="A3590" s="28">
        <v>3589</v>
      </c>
      <c r="B3590" s="28" t="e">
        <f>interpola(#REF!,CURVA!$B$6:$B$20,CURVA!$G$6:$G$20)</f>
        <v>#VALUE!</v>
      </c>
      <c r="C3590" s="29" t="e">
        <f t="shared" si="56"/>
        <v>#VALUE!</v>
      </c>
      <c r="E3590" t="e">
        <f>cubic_spline(CURVA!$B$6:$B$20,CURVA!$G$6:$G$20,#REF!)</f>
        <v>#VALUE!</v>
      </c>
    </row>
    <row r="3591" spans="1:5" x14ac:dyDescent="0.2">
      <c r="A3591" s="28">
        <v>3590</v>
      </c>
      <c r="B3591" s="28" t="e">
        <f>interpola(#REF!,CURVA!$B$6:$B$20,CURVA!$G$6:$G$20)</f>
        <v>#VALUE!</v>
      </c>
      <c r="C3591" s="29" t="e">
        <f t="shared" si="56"/>
        <v>#VALUE!</v>
      </c>
      <c r="E3591" t="e">
        <f>cubic_spline(CURVA!$B$6:$B$20,CURVA!$G$6:$G$20,#REF!)</f>
        <v>#VALUE!</v>
      </c>
    </row>
    <row r="3592" spans="1:5" x14ac:dyDescent="0.2">
      <c r="A3592" s="28">
        <v>3591</v>
      </c>
      <c r="B3592" s="28" t="e">
        <f>interpola(#REF!,CURVA!$B$6:$B$20,CURVA!$G$6:$G$20)</f>
        <v>#VALUE!</v>
      </c>
      <c r="C3592" s="29" t="e">
        <f t="shared" si="56"/>
        <v>#VALUE!</v>
      </c>
      <c r="E3592" t="e">
        <f>cubic_spline(CURVA!$B$6:$B$20,CURVA!$G$6:$G$20,#REF!)</f>
        <v>#VALUE!</v>
      </c>
    </row>
    <row r="3593" spans="1:5" x14ac:dyDescent="0.2">
      <c r="A3593" s="28">
        <v>3592</v>
      </c>
      <c r="B3593" s="28" t="e">
        <f>interpola(#REF!,CURVA!$B$6:$B$20,CURVA!$G$6:$G$20)</f>
        <v>#VALUE!</v>
      </c>
      <c r="C3593" s="29" t="e">
        <f t="shared" si="56"/>
        <v>#VALUE!</v>
      </c>
      <c r="E3593" t="e">
        <f>cubic_spline(CURVA!$B$6:$B$20,CURVA!$G$6:$G$20,#REF!)</f>
        <v>#VALUE!</v>
      </c>
    </row>
    <row r="3594" spans="1:5" x14ac:dyDescent="0.2">
      <c r="A3594" s="28">
        <v>3593</v>
      </c>
      <c r="B3594" s="28" t="e">
        <f>interpola(#REF!,CURVA!$B$6:$B$20,CURVA!$G$6:$G$20)</f>
        <v>#VALUE!</v>
      </c>
      <c r="C3594" s="29" t="e">
        <f t="shared" si="56"/>
        <v>#VALUE!</v>
      </c>
      <c r="E3594" t="e">
        <f>cubic_spline(CURVA!$B$6:$B$20,CURVA!$G$6:$G$20,#REF!)</f>
        <v>#VALUE!</v>
      </c>
    </row>
    <row r="3595" spans="1:5" x14ac:dyDescent="0.2">
      <c r="A3595" s="28">
        <v>3594</v>
      </c>
      <c r="B3595" s="28" t="e">
        <f>interpola(#REF!,CURVA!$B$6:$B$20,CURVA!$G$6:$G$20)</f>
        <v>#VALUE!</v>
      </c>
      <c r="C3595" s="29" t="e">
        <f t="shared" si="56"/>
        <v>#VALUE!</v>
      </c>
      <c r="E3595" t="e">
        <f>cubic_spline(CURVA!$B$6:$B$20,CURVA!$G$6:$G$20,#REF!)</f>
        <v>#VALUE!</v>
      </c>
    </row>
    <row r="3596" spans="1:5" x14ac:dyDescent="0.2">
      <c r="A3596" s="28">
        <v>3595</v>
      </c>
      <c r="B3596" s="28" t="e">
        <f>interpola(#REF!,CURVA!$B$6:$B$20,CURVA!$G$6:$G$20)</f>
        <v>#VALUE!</v>
      </c>
      <c r="C3596" s="29" t="e">
        <f t="shared" si="56"/>
        <v>#VALUE!</v>
      </c>
      <c r="E3596" t="e">
        <f>cubic_spline(CURVA!$B$6:$B$20,CURVA!$G$6:$G$20,#REF!)</f>
        <v>#VALUE!</v>
      </c>
    </row>
    <row r="3597" spans="1:5" x14ac:dyDescent="0.2">
      <c r="A3597" s="28">
        <v>3596</v>
      </c>
      <c r="B3597" s="28" t="e">
        <f>interpola(#REF!,CURVA!$B$6:$B$20,CURVA!$G$6:$G$20)</f>
        <v>#VALUE!</v>
      </c>
      <c r="C3597" s="29" t="e">
        <f t="shared" si="56"/>
        <v>#VALUE!</v>
      </c>
      <c r="E3597" t="e">
        <f>cubic_spline(CURVA!$B$6:$B$20,CURVA!$G$6:$G$20,#REF!)</f>
        <v>#VALUE!</v>
      </c>
    </row>
    <row r="3598" spans="1:5" x14ac:dyDescent="0.2">
      <c r="A3598" s="28">
        <v>3597</v>
      </c>
      <c r="B3598" s="28" t="e">
        <f>interpola(#REF!,CURVA!$B$6:$B$20,CURVA!$G$6:$G$20)</f>
        <v>#VALUE!</v>
      </c>
      <c r="C3598" s="29" t="e">
        <f t="shared" si="56"/>
        <v>#VALUE!</v>
      </c>
      <c r="E3598" t="e">
        <f>cubic_spline(CURVA!$B$6:$B$20,CURVA!$G$6:$G$20,#REF!)</f>
        <v>#VALUE!</v>
      </c>
    </row>
    <row r="3599" spans="1:5" x14ac:dyDescent="0.2">
      <c r="A3599" s="28">
        <v>3598</v>
      </c>
      <c r="B3599" s="28" t="e">
        <f>interpola(#REF!,CURVA!$B$6:$B$20,CURVA!$G$6:$G$20)</f>
        <v>#VALUE!</v>
      </c>
      <c r="C3599" s="29" t="e">
        <f t="shared" si="56"/>
        <v>#VALUE!</v>
      </c>
      <c r="E3599" t="e">
        <f>cubic_spline(CURVA!$B$6:$B$20,CURVA!$G$6:$G$20,#REF!)</f>
        <v>#VALUE!</v>
      </c>
    </row>
    <row r="3600" spans="1:5" x14ac:dyDescent="0.2">
      <c r="A3600" s="28">
        <v>3599</v>
      </c>
      <c r="B3600" s="28" t="e">
        <f>interpola(#REF!,CURVA!$B$6:$B$20,CURVA!$G$6:$G$20)</f>
        <v>#VALUE!</v>
      </c>
      <c r="C3600" s="29" t="e">
        <f t="shared" si="56"/>
        <v>#VALUE!</v>
      </c>
      <c r="E3600" t="e">
        <f>cubic_spline(CURVA!$B$6:$B$20,CURVA!$G$6:$G$20,#REF!)</f>
        <v>#VALUE!</v>
      </c>
    </row>
    <row r="3601" spans="1:5" x14ac:dyDescent="0.2">
      <c r="A3601" s="28">
        <v>3600</v>
      </c>
      <c r="B3601" s="28" t="e">
        <f>interpola(#REF!,CURVA!$B$6:$B$20,CURVA!$G$6:$G$20)</f>
        <v>#VALUE!</v>
      </c>
      <c r="C3601" s="29" t="e">
        <f t="shared" si="56"/>
        <v>#VALUE!</v>
      </c>
      <c r="E3601" t="e">
        <f>cubic_spline(CURVA!$B$6:$B$20,CURVA!$G$6:$G$20,#REF!)</f>
        <v>#VALUE!</v>
      </c>
    </row>
    <row r="3602" spans="1:5" x14ac:dyDescent="0.2">
      <c r="A3602" s="28">
        <v>3601</v>
      </c>
      <c r="B3602" s="28" t="e">
        <f>interpola(#REF!,CURVA!$B$6:$B$20,CURVA!$G$6:$G$20)</f>
        <v>#VALUE!</v>
      </c>
      <c r="C3602" s="29" t="e">
        <f t="shared" si="56"/>
        <v>#VALUE!</v>
      </c>
      <c r="E3602" t="e">
        <f>cubic_spline(CURVA!$B$6:$B$20,CURVA!$G$6:$G$20,#REF!)</f>
        <v>#VALUE!</v>
      </c>
    </row>
    <row r="3603" spans="1:5" x14ac:dyDescent="0.2">
      <c r="A3603" s="28">
        <v>3602</v>
      </c>
      <c r="B3603" s="28" t="e">
        <f>interpola(#REF!,CURVA!$B$6:$B$20,CURVA!$G$6:$G$20)</f>
        <v>#VALUE!</v>
      </c>
      <c r="C3603" s="29" t="e">
        <f t="shared" si="56"/>
        <v>#VALUE!</v>
      </c>
      <c r="E3603" t="e">
        <f>cubic_spline(CURVA!$B$6:$B$20,CURVA!$G$6:$G$20,#REF!)</f>
        <v>#VALUE!</v>
      </c>
    </row>
    <row r="3604" spans="1:5" x14ac:dyDescent="0.2">
      <c r="A3604" s="28">
        <v>3603</v>
      </c>
      <c r="B3604" s="28" t="e">
        <f>interpola(#REF!,CURVA!$B$6:$B$20,CURVA!$G$6:$G$20)</f>
        <v>#VALUE!</v>
      </c>
      <c r="C3604" s="29" t="e">
        <f t="shared" si="56"/>
        <v>#VALUE!</v>
      </c>
      <c r="E3604" t="e">
        <f>cubic_spline(CURVA!$B$6:$B$20,CURVA!$G$6:$G$20,#REF!)</f>
        <v>#VALUE!</v>
      </c>
    </row>
    <row r="3605" spans="1:5" x14ac:dyDescent="0.2">
      <c r="A3605" s="28">
        <v>3604</v>
      </c>
      <c r="B3605" s="28" t="e">
        <f>interpola(#REF!,CURVA!$B$6:$B$20,CURVA!$G$6:$G$20)</f>
        <v>#VALUE!</v>
      </c>
      <c r="C3605" s="29" t="e">
        <f t="shared" si="56"/>
        <v>#VALUE!</v>
      </c>
      <c r="E3605" t="e">
        <f>cubic_spline(CURVA!$B$6:$B$20,CURVA!$G$6:$G$20,#REF!)</f>
        <v>#VALUE!</v>
      </c>
    </row>
    <row r="3606" spans="1:5" x14ac:dyDescent="0.2">
      <c r="A3606" s="28">
        <v>3605</v>
      </c>
      <c r="B3606" s="28" t="e">
        <f>interpola(#REF!,CURVA!$B$6:$B$20,CURVA!$G$6:$G$20)</f>
        <v>#VALUE!</v>
      </c>
      <c r="C3606" s="29" t="e">
        <f t="shared" si="56"/>
        <v>#VALUE!</v>
      </c>
      <c r="E3606" t="e">
        <f>cubic_spline(CURVA!$B$6:$B$20,CURVA!$G$6:$G$20,#REF!)</f>
        <v>#VALUE!</v>
      </c>
    </row>
    <row r="3607" spans="1:5" x14ac:dyDescent="0.2">
      <c r="A3607" s="28">
        <v>3606</v>
      </c>
      <c r="B3607" s="28" t="e">
        <f>interpola(#REF!,CURVA!$B$6:$B$20,CURVA!$G$6:$G$20)</f>
        <v>#VALUE!</v>
      </c>
      <c r="C3607" s="29" t="e">
        <f t="shared" si="56"/>
        <v>#VALUE!</v>
      </c>
      <c r="E3607" t="e">
        <f>cubic_spline(CURVA!$B$6:$B$20,CURVA!$G$6:$G$20,#REF!)</f>
        <v>#VALUE!</v>
      </c>
    </row>
    <row r="3608" spans="1:5" x14ac:dyDescent="0.2">
      <c r="A3608" s="28">
        <v>3607</v>
      </c>
      <c r="B3608" s="28" t="e">
        <f>interpola(#REF!,CURVA!$B$6:$B$20,CURVA!$G$6:$G$20)</f>
        <v>#VALUE!</v>
      </c>
      <c r="C3608" s="29" t="e">
        <f t="shared" si="56"/>
        <v>#VALUE!</v>
      </c>
      <c r="E3608" t="e">
        <f>cubic_spline(CURVA!$B$6:$B$20,CURVA!$G$6:$G$20,#REF!)</f>
        <v>#VALUE!</v>
      </c>
    </row>
    <row r="3609" spans="1:5" x14ac:dyDescent="0.2">
      <c r="A3609" s="28">
        <v>3608</v>
      </c>
      <c r="B3609" s="28" t="e">
        <f>interpola(#REF!,CURVA!$B$6:$B$20,CURVA!$G$6:$G$20)</f>
        <v>#VALUE!</v>
      </c>
      <c r="C3609" s="29" t="e">
        <f t="shared" si="56"/>
        <v>#VALUE!</v>
      </c>
      <c r="E3609" t="e">
        <f>cubic_spline(CURVA!$B$6:$B$20,CURVA!$G$6:$G$20,#REF!)</f>
        <v>#VALUE!</v>
      </c>
    </row>
    <row r="3610" spans="1:5" x14ac:dyDescent="0.2">
      <c r="A3610" s="28">
        <v>3609</v>
      </c>
      <c r="B3610" s="28" t="e">
        <f>interpola(#REF!,CURVA!$B$6:$B$20,CURVA!$G$6:$G$20)</f>
        <v>#VALUE!</v>
      </c>
      <c r="C3610" s="29" t="e">
        <f t="shared" si="56"/>
        <v>#VALUE!</v>
      </c>
      <c r="E3610" t="e">
        <f>cubic_spline(CURVA!$B$6:$B$20,CURVA!$G$6:$G$20,#REF!)</f>
        <v>#VALUE!</v>
      </c>
    </row>
    <row r="3611" spans="1:5" x14ac:dyDescent="0.2">
      <c r="A3611" s="28">
        <v>3610</v>
      </c>
      <c r="B3611" s="28" t="e">
        <f>interpola(#REF!,CURVA!$B$6:$B$20,CURVA!$G$6:$G$20)</f>
        <v>#VALUE!</v>
      </c>
      <c r="C3611" s="29" t="e">
        <f t="shared" si="56"/>
        <v>#VALUE!</v>
      </c>
      <c r="E3611" t="e">
        <f>cubic_spline(CURVA!$B$6:$B$20,CURVA!$G$6:$G$20,#REF!)</f>
        <v>#VALUE!</v>
      </c>
    </row>
    <row r="3612" spans="1:5" x14ac:dyDescent="0.2">
      <c r="A3612" s="28">
        <v>3611</v>
      </c>
      <c r="B3612" s="28" t="e">
        <f>interpola(#REF!,CURVA!$B$6:$B$20,CURVA!$G$6:$G$20)</f>
        <v>#VALUE!</v>
      </c>
      <c r="C3612" s="29" t="e">
        <f t="shared" si="56"/>
        <v>#VALUE!</v>
      </c>
      <c r="E3612" t="e">
        <f>cubic_spline(CURVA!$B$6:$B$20,CURVA!$G$6:$G$20,#REF!)</f>
        <v>#VALUE!</v>
      </c>
    </row>
    <row r="3613" spans="1:5" x14ac:dyDescent="0.2">
      <c r="A3613" s="28">
        <v>3612</v>
      </c>
      <c r="B3613" s="28" t="e">
        <f>interpola(#REF!,CURVA!$B$6:$B$20,CURVA!$G$6:$G$20)</f>
        <v>#VALUE!</v>
      </c>
      <c r="C3613" s="29" t="e">
        <f t="shared" si="56"/>
        <v>#VALUE!</v>
      </c>
      <c r="E3613" t="e">
        <f>cubic_spline(CURVA!$B$6:$B$20,CURVA!$G$6:$G$20,#REF!)</f>
        <v>#VALUE!</v>
      </c>
    </row>
    <row r="3614" spans="1:5" x14ac:dyDescent="0.2">
      <c r="A3614" s="28">
        <v>3613</v>
      </c>
      <c r="B3614" s="28" t="e">
        <f>interpola(#REF!,CURVA!$B$6:$B$20,CURVA!$G$6:$G$20)</f>
        <v>#VALUE!</v>
      </c>
      <c r="C3614" s="29" t="e">
        <f t="shared" si="56"/>
        <v>#VALUE!</v>
      </c>
      <c r="E3614" t="e">
        <f>cubic_spline(CURVA!$B$6:$B$20,CURVA!$G$6:$G$20,#REF!)</f>
        <v>#VALUE!</v>
      </c>
    </row>
    <row r="3615" spans="1:5" x14ac:dyDescent="0.2">
      <c r="A3615" s="28">
        <v>3614</v>
      </c>
      <c r="B3615" s="28" t="e">
        <f>interpola(#REF!,CURVA!$B$6:$B$20,CURVA!$G$6:$G$20)</f>
        <v>#VALUE!</v>
      </c>
      <c r="C3615" s="29" t="e">
        <f t="shared" si="56"/>
        <v>#VALUE!</v>
      </c>
      <c r="E3615" t="e">
        <f>cubic_spline(CURVA!$B$6:$B$20,CURVA!$G$6:$G$20,#REF!)</f>
        <v>#VALUE!</v>
      </c>
    </row>
    <row r="3616" spans="1:5" x14ac:dyDescent="0.2">
      <c r="A3616" s="28">
        <v>3615</v>
      </c>
      <c r="B3616" s="28" t="e">
        <f>interpola(#REF!,CURVA!$B$6:$B$20,CURVA!$G$6:$G$20)</f>
        <v>#VALUE!</v>
      </c>
      <c r="C3616" s="29" t="e">
        <f t="shared" si="56"/>
        <v>#VALUE!</v>
      </c>
      <c r="E3616" t="e">
        <f>cubic_spline(CURVA!$B$6:$B$20,CURVA!$G$6:$G$20,#REF!)</f>
        <v>#VALUE!</v>
      </c>
    </row>
    <row r="3617" spans="1:5" x14ac:dyDescent="0.2">
      <c r="A3617" s="28">
        <v>3616</v>
      </c>
      <c r="B3617" s="28" t="e">
        <f>interpola(#REF!,CURVA!$B$6:$B$20,CURVA!$G$6:$G$20)</f>
        <v>#VALUE!</v>
      </c>
      <c r="C3617" s="29" t="e">
        <f t="shared" si="56"/>
        <v>#VALUE!</v>
      </c>
      <c r="E3617" t="e">
        <f>cubic_spline(CURVA!$B$6:$B$20,CURVA!$G$6:$G$20,#REF!)</f>
        <v>#VALUE!</v>
      </c>
    </row>
    <row r="3618" spans="1:5" x14ac:dyDescent="0.2">
      <c r="A3618" s="28">
        <v>3617</v>
      </c>
      <c r="B3618" s="28" t="e">
        <f>interpola(#REF!,CURVA!$B$6:$B$20,CURVA!$G$6:$G$20)</f>
        <v>#VALUE!</v>
      </c>
      <c r="C3618" s="29" t="e">
        <f t="shared" si="56"/>
        <v>#VALUE!</v>
      </c>
      <c r="E3618" t="e">
        <f>cubic_spline(CURVA!$B$6:$B$20,CURVA!$G$6:$G$20,#REF!)</f>
        <v>#VALUE!</v>
      </c>
    </row>
    <row r="3619" spans="1:5" x14ac:dyDescent="0.2">
      <c r="A3619" s="28">
        <v>3618</v>
      </c>
      <c r="B3619" s="28" t="e">
        <f>interpola(#REF!,CURVA!$B$6:$B$20,CURVA!$G$6:$G$20)</f>
        <v>#VALUE!</v>
      </c>
      <c r="C3619" s="29" t="e">
        <f t="shared" si="56"/>
        <v>#VALUE!</v>
      </c>
      <c r="E3619" t="e">
        <f>cubic_spline(CURVA!$B$6:$B$20,CURVA!$G$6:$G$20,#REF!)</f>
        <v>#VALUE!</v>
      </c>
    </row>
    <row r="3620" spans="1:5" x14ac:dyDescent="0.2">
      <c r="A3620" s="28">
        <v>3619</v>
      </c>
      <c r="B3620" s="28" t="e">
        <f>interpola(#REF!,CURVA!$B$6:$B$20,CURVA!$G$6:$G$20)</f>
        <v>#VALUE!</v>
      </c>
      <c r="C3620" s="29" t="e">
        <f t="shared" si="56"/>
        <v>#VALUE!</v>
      </c>
      <c r="E3620" t="e">
        <f>cubic_spline(CURVA!$B$6:$B$20,CURVA!$G$6:$G$20,#REF!)</f>
        <v>#VALUE!</v>
      </c>
    </row>
    <row r="3621" spans="1:5" x14ac:dyDescent="0.2">
      <c r="A3621" s="28">
        <v>3620</v>
      </c>
      <c r="B3621" s="28" t="e">
        <f>interpola(#REF!,CURVA!$B$6:$B$20,CURVA!$G$6:$G$20)</f>
        <v>#VALUE!</v>
      </c>
      <c r="C3621" s="29" t="e">
        <f t="shared" si="56"/>
        <v>#VALUE!</v>
      </c>
      <c r="E3621" t="e">
        <f>cubic_spline(CURVA!$B$6:$B$20,CURVA!$G$6:$G$20,#REF!)</f>
        <v>#VALUE!</v>
      </c>
    </row>
    <row r="3622" spans="1:5" x14ac:dyDescent="0.2">
      <c r="A3622" s="28">
        <v>3621</v>
      </c>
      <c r="B3622" s="28" t="e">
        <f>interpola(#REF!,CURVA!$B$6:$B$20,CURVA!$G$6:$G$20)</f>
        <v>#VALUE!</v>
      </c>
      <c r="C3622" s="29" t="e">
        <f t="shared" si="56"/>
        <v>#VALUE!</v>
      </c>
      <c r="E3622" t="e">
        <f>cubic_spline(CURVA!$B$6:$B$20,CURVA!$G$6:$G$20,#REF!)</f>
        <v>#VALUE!</v>
      </c>
    </row>
    <row r="3623" spans="1:5" x14ac:dyDescent="0.2">
      <c r="A3623" s="28">
        <v>3622</v>
      </c>
      <c r="B3623" s="28" t="e">
        <f>interpola(#REF!,CURVA!$B$6:$B$20,CURVA!$G$6:$G$20)</f>
        <v>#VALUE!</v>
      </c>
      <c r="C3623" s="29" t="e">
        <f t="shared" si="56"/>
        <v>#VALUE!</v>
      </c>
      <c r="E3623" t="e">
        <f>cubic_spline(CURVA!$B$6:$B$20,CURVA!$G$6:$G$20,#REF!)</f>
        <v>#VALUE!</v>
      </c>
    </row>
    <row r="3624" spans="1:5" x14ac:dyDescent="0.2">
      <c r="A3624" s="28">
        <v>3623</v>
      </c>
      <c r="B3624" s="28" t="e">
        <f>interpola(#REF!,CURVA!$B$6:$B$20,CURVA!$G$6:$G$20)</f>
        <v>#VALUE!</v>
      </c>
      <c r="C3624" s="29" t="e">
        <f t="shared" si="56"/>
        <v>#VALUE!</v>
      </c>
      <c r="E3624" t="e">
        <f>cubic_spline(CURVA!$B$6:$B$20,CURVA!$G$6:$G$20,#REF!)</f>
        <v>#VALUE!</v>
      </c>
    </row>
    <row r="3625" spans="1:5" x14ac:dyDescent="0.2">
      <c r="A3625" s="28">
        <v>3624</v>
      </c>
      <c r="B3625" s="28" t="e">
        <f>interpola(#REF!,CURVA!$B$6:$B$20,CURVA!$G$6:$G$20)</f>
        <v>#VALUE!</v>
      </c>
      <c r="C3625" s="29" t="e">
        <f t="shared" si="56"/>
        <v>#VALUE!</v>
      </c>
      <c r="E3625" t="e">
        <f>cubic_spline(CURVA!$B$6:$B$20,CURVA!$G$6:$G$20,#REF!)</f>
        <v>#VALUE!</v>
      </c>
    </row>
    <row r="3626" spans="1:5" x14ac:dyDescent="0.2">
      <c r="A3626" s="28">
        <v>3625</v>
      </c>
      <c r="B3626" s="28" t="e">
        <f>interpola(#REF!,CURVA!$B$6:$B$20,CURVA!$G$6:$G$20)</f>
        <v>#VALUE!</v>
      </c>
      <c r="C3626" s="29" t="e">
        <f t="shared" si="56"/>
        <v>#VALUE!</v>
      </c>
      <c r="E3626" t="e">
        <f>cubic_spline(CURVA!$B$6:$B$20,CURVA!$G$6:$G$20,#REF!)</f>
        <v>#VALUE!</v>
      </c>
    </row>
    <row r="3627" spans="1:5" x14ac:dyDescent="0.2">
      <c r="A3627" s="28">
        <v>3626</v>
      </c>
      <c r="B3627" s="28" t="e">
        <f>interpola(#REF!,CURVA!$B$6:$B$20,CURVA!$G$6:$G$20)</f>
        <v>#VALUE!</v>
      </c>
      <c r="C3627" s="29" t="e">
        <f t="shared" si="56"/>
        <v>#VALUE!</v>
      </c>
      <c r="E3627" t="e">
        <f>cubic_spline(CURVA!$B$6:$B$20,CURVA!$G$6:$G$20,#REF!)</f>
        <v>#VALUE!</v>
      </c>
    </row>
    <row r="3628" spans="1:5" x14ac:dyDescent="0.2">
      <c r="A3628" s="28">
        <v>3627</v>
      </c>
      <c r="B3628" s="28" t="e">
        <f>interpola(#REF!,CURVA!$B$6:$B$20,CURVA!$G$6:$G$20)</f>
        <v>#VALUE!</v>
      </c>
      <c r="C3628" s="29" t="e">
        <f t="shared" si="56"/>
        <v>#VALUE!</v>
      </c>
      <c r="E3628" t="e">
        <f>cubic_spline(CURVA!$B$6:$B$20,CURVA!$G$6:$G$20,#REF!)</f>
        <v>#VALUE!</v>
      </c>
    </row>
    <row r="3629" spans="1:5" x14ac:dyDescent="0.2">
      <c r="A3629" s="28">
        <v>3628</v>
      </c>
      <c r="B3629" s="28" t="e">
        <f>interpola(#REF!,CURVA!$B$6:$B$20,CURVA!$G$6:$G$20)</f>
        <v>#VALUE!</v>
      </c>
      <c r="C3629" s="29" t="e">
        <f t="shared" si="56"/>
        <v>#VALUE!</v>
      </c>
      <c r="E3629" t="e">
        <f>cubic_spline(CURVA!$B$6:$B$20,CURVA!$G$6:$G$20,#REF!)</f>
        <v>#VALUE!</v>
      </c>
    </row>
    <row r="3630" spans="1:5" x14ac:dyDescent="0.2">
      <c r="A3630" s="28">
        <v>3629</v>
      </c>
      <c r="B3630" s="28" t="e">
        <f>interpola(#REF!,CURVA!$B$6:$B$20,CURVA!$G$6:$G$20)</f>
        <v>#VALUE!</v>
      </c>
      <c r="C3630" s="29" t="e">
        <f t="shared" si="56"/>
        <v>#VALUE!</v>
      </c>
      <c r="E3630" t="e">
        <f>cubic_spline(CURVA!$B$6:$B$20,CURVA!$G$6:$G$20,#REF!)</f>
        <v>#VALUE!</v>
      </c>
    </row>
    <row r="3631" spans="1:5" x14ac:dyDescent="0.2">
      <c r="A3631" s="28">
        <v>3630</v>
      </c>
      <c r="B3631" s="28" t="e">
        <f>interpola(#REF!,CURVA!$B$6:$B$20,CURVA!$G$6:$G$20)</f>
        <v>#VALUE!</v>
      </c>
      <c r="C3631" s="29" t="e">
        <f t="shared" si="56"/>
        <v>#VALUE!</v>
      </c>
      <c r="E3631" t="e">
        <f>cubic_spline(CURVA!$B$6:$B$20,CURVA!$G$6:$G$20,#REF!)</f>
        <v>#VALUE!</v>
      </c>
    </row>
    <row r="3632" spans="1:5" x14ac:dyDescent="0.2">
      <c r="A3632" s="28">
        <v>3631</v>
      </c>
      <c r="B3632" s="28" t="e">
        <f>interpola(#REF!,CURVA!$B$6:$B$20,CURVA!$G$6:$G$20)</f>
        <v>#VALUE!</v>
      </c>
      <c r="C3632" s="29" t="e">
        <f t="shared" si="56"/>
        <v>#VALUE!</v>
      </c>
      <c r="E3632" t="e">
        <f>cubic_spline(CURVA!$B$6:$B$20,CURVA!$G$6:$G$20,#REF!)</f>
        <v>#VALUE!</v>
      </c>
    </row>
    <row r="3633" spans="1:5" x14ac:dyDescent="0.2">
      <c r="A3633" s="28">
        <v>3632</v>
      </c>
      <c r="B3633" s="28" t="e">
        <f>interpola(#REF!,CURVA!$B$6:$B$20,CURVA!$G$6:$G$20)</f>
        <v>#VALUE!</v>
      </c>
      <c r="C3633" s="29" t="e">
        <f t="shared" si="56"/>
        <v>#VALUE!</v>
      </c>
      <c r="E3633" t="e">
        <f>cubic_spline(CURVA!$B$6:$B$20,CURVA!$G$6:$G$20,#REF!)</f>
        <v>#VALUE!</v>
      </c>
    </row>
    <row r="3634" spans="1:5" x14ac:dyDescent="0.2">
      <c r="A3634" s="28">
        <v>3633</v>
      </c>
      <c r="B3634" s="28" t="e">
        <f>interpola(#REF!,CURVA!$B$6:$B$20,CURVA!$G$6:$G$20)</f>
        <v>#VALUE!</v>
      </c>
      <c r="C3634" s="29" t="e">
        <f t="shared" si="56"/>
        <v>#VALUE!</v>
      </c>
      <c r="E3634" t="e">
        <f>cubic_spline(CURVA!$B$6:$B$20,CURVA!$G$6:$G$20,#REF!)</f>
        <v>#VALUE!</v>
      </c>
    </row>
    <row r="3635" spans="1:5" x14ac:dyDescent="0.2">
      <c r="A3635" s="28">
        <v>3634</v>
      </c>
      <c r="B3635" s="28" t="e">
        <f>interpola(#REF!,CURVA!$B$6:$B$20,CURVA!$G$6:$G$20)</f>
        <v>#VALUE!</v>
      </c>
      <c r="C3635" s="29" t="e">
        <f t="shared" si="56"/>
        <v>#VALUE!</v>
      </c>
      <c r="E3635" t="e">
        <f>cubic_spline(CURVA!$B$6:$B$20,CURVA!$G$6:$G$20,#REF!)</f>
        <v>#VALUE!</v>
      </c>
    </row>
    <row r="3636" spans="1:5" x14ac:dyDescent="0.2">
      <c r="A3636" s="28">
        <v>3635</v>
      </c>
      <c r="B3636" s="28" t="e">
        <f>interpola(#REF!,CURVA!$B$6:$B$20,CURVA!$G$6:$G$20)</f>
        <v>#VALUE!</v>
      </c>
      <c r="C3636" s="29" t="e">
        <f t="shared" si="56"/>
        <v>#VALUE!</v>
      </c>
      <c r="E3636" t="e">
        <f>cubic_spline(CURVA!$B$6:$B$20,CURVA!$G$6:$G$20,#REF!)</f>
        <v>#VALUE!</v>
      </c>
    </row>
    <row r="3637" spans="1:5" x14ac:dyDescent="0.2">
      <c r="A3637" s="28">
        <v>3636</v>
      </c>
      <c r="B3637" s="28" t="e">
        <f>interpola(#REF!,CURVA!$B$6:$B$20,CURVA!$G$6:$G$20)</f>
        <v>#VALUE!</v>
      </c>
      <c r="C3637" s="29" t="e">
        <f t="shared" si="56"/>
        <v>#VALUE!</v>
      </c>
      <c r="E3637" t="e">
        <f>cubic_spline(CURVA!$B$6:$B$20,CURVA!$G$6:$G$20,#REF!)</f>
        <v>#VALUE!</v>
      </c>
    </row>
    <row r="3638" spans="1:5" x14ac:dyDescent="0.2">
      <c r="A3638" s="28">
        <v>3637</v>
      </c>
      <c r="B3638" s="28" t="e">
        <f>interpola(#REF!,CURVA!$B$6:$B$20,CURVA!$G$6:$G$20)</f>
        <v>#VALUE!</v>
      </c>
      <c r="C3638" s="29" t="e">
        <f t="shared" si="56"/>
        <v>#VALUE!</v>
      </c>
      <c r="E3638" t="e">
        <f>cubic_spline(CURVA!$B$6:$B$20,CURVA!$G$6:$G$20,#REF!)</f>
        <v>#VALUE!</v>
      </c>
    </row>
    <row r="3639" spans="1:5" x14ac:dyDescent="0.2">
      <c r="A3639" s="28">
        <v>3638</v>
      </c>
      <c r="B3639" s="28" t="e">
        <f>interpola(#REF!,CURVA!$B$6:$B$20,CURVA!$G$6:$G$20)</f>
        <v>#VALUE!</v>
      </c>
      <c r="C3639" s="29" t="e">
        <f t="shared" si="56"/>
        <v>#VALUE!</v>
      </c>
      <c r="E3639" t="e">
        <f>cubic_spline(CURVA!$B$6:$B$20,CURVA!$G$6:$G$20,#REF!)</f>
        <v>#VALUE!</v>
      </c>
    </row>
    <row r="3640" spans="1:5" x14ac:dyDescent="0.2">
      <c r="A3640" s="28">
        <v>3639</v>
      </c>
      <c r="B3640" s="28" t="e">
        <f>interpola(#REF!,CURVA!$B$6:$B$20,CURVA!$G$6:$G$20)</f>
        <v>#VALUE!</v>
      </c>
      <c r="C3640" s="29" t="e">
        <f t="shared" si="56"/>
        <v>#VALUE!</v>
      </c>
      <c r="E3640" t="e">
        <f>cubic_spline(CURVA!$B$6:$B$20,CURVA!$G$6:$G$20,#REF!)</f>
        <v>#VALUE!</v>
      </c>
    </row>
    <row r="3641" spans="1:5" x14ac:dyDescent="0.2">
      <c r="A3641" s="28">
        <v>3640</v>
      </c>
      <c r="B3641" s="28" t="e">
        <f>interpola(#REF!,CURVA!$B$6:$B$20,CURVA!$G$6:$G$20)</f>
        <v>#VALUE!</v>
      </c>
      <c r="C3641" s="29" t="e">
        <f t="shared" si="56"/>
        <v>#VALUE!</v>
      </c>
      <c r="E3641" t="e">
        <f>cubic_spline(CURVA!$B$6:$B$20,CURVA!$G$6:$G$20,#REF!)</f>
        <v>#VALUE!</v>
      </c>
    </row>
    <row r="3642" spans="1:5" x14ac:dyDescent="0.2">
      <c r="A3642" s="28">
        <v>3641</v>
      </c>
      <c r="B3642" s="28" t="e">
        <f>interpola(#REF!,CURVA!$B$6:$B$20,CURVA!$G$6:$G$20)</f>
        <v>#VALUE!</v>
      </c>
      <c r="C3642" s="29" t="e">
        <f t="shared" si="56"/>
        <v>#VALUE!</v>
      </c>
      <c r="E3642" t="e">
        <f>cubic_spline(CURVA!$B$6:$B$20,CURVA!$G$6:$G$20,#REF!)</f>
        <v>#VALUE!</v>
      </c>
    </row>
    <row r="3643" spans="1:5" x14ac:dyDescent="0.2">
      <c r="A3643" s="28">
        <v>3642</v>
      </c>
      <c r="B3643" s="28" t="e">
        <f>interpola(#REF!,CURVA!$B$6:$B$20,CURVA!$G$6:$G$20)</f>
        <v>#VALUE!</v>
      </c>
      <c r="C3643" s="29" t="e">
        <f t="shared" si="56"/>
        <v>#VALUE!</v>
      </c>
      <c r="E3643" t="e">
        <f>cubic_spline(CURVA!$B$6:$B$20,CURVA!$G$6:$G$20,#REF!)</f>
        <v>#VALUE!</v>
      </c>
    </row>
    <row r="3644" spans="1:5" x14ac:dyDescent="0.2">
      <c r="A3644" s="28">
        <v>3643</v>
      </c>
      <c r="B3644" s="28" t="e">
        <f>interpola(#REF!,CURVA!$B$6:$B$20,CURVA!$G$6:$G$20)</f>
        <v>#VALUE!</v>
      </c>
      <c r="C3644" s="29" t="e">
        <f t="shared" si="56"/>
        <v>#VALUE!</v>
      </c>
      <c r="E3644" t="e">
        <f>cubic_spline(CURVA!$B$6:$B$20,CURVA!$G$6:$G$20,#REF!)</f>
        <v>#VALUE!</v>
      </c>
    </row>
    <row r="3645" spans="1:5" x14ac:dyDescent="0.2">
      <c r="A3645" s="28">
        <v>3644</v>
      </c>
      <c r="B3645" s="28" t="e">
        <f>interpola(#REF!,CURVA!$B$6:$B$20,CURVA!$G$6:$G$20)</f>
        <v>#VALUE!</v>
      </c>
      <c r="C3645" s="29" t="e">
        <f t="shared" si="56"/>
        <v>#VALUE!</v>
      </c>
      <c r="E3645" t="e">
        <f>cubic_spline(CURVA!$B$6:$B$20,CURVA!$G$6:$G$20,#REF!)</f>
        <v>#VALUE!</v>
      </c>
    </row>
    <row r="3646" spans="1:5" x14ac:dyDescent="0.2">
      <c r="A3646" s="28">
        <v>3645</v>
      </c>
      <c r="B3646" s="28" t="e">
        <f>interpola(#REF!,CURVA!$B$6:$B$20,CURVA!$G$6:$G$20)</f>
        <v>#VALUE!</v>
      </c>
      <c r="C3646" s="29" t="e">
        <f t="shared" si="56"/>
        <v>#VALUE!</v>
      </c>
      <c r="E3646" t="e">
        <f>cubic_spline(CURVA!$B$6:$B$20,CURVA!$G$6:$G$20,#REF!)</f>
        <v>#VALUE!</v>
      </c>
    </row>
    <row r="3647" spans="1:5" x14ac:dyDescent="0.2">
      <c r="A3647" s="28">
        <v>3646</v>
      </c>
      <c r="B3647" s="28" t="e">
        <f>interpola(#REF!,CURVA!$B$6:$B$20,CURVA!$G$6:$G$20)</f>
        <v>#VALUE!</v>
      </c>
      <c r="C3647" s="29" t="e">
        <f t="shared" si="56"/>
        <v>#VALUE!</v>
      </c>
      <c r="E3647" t="e">
        <f>cubic_spline(CURVA!$B$6:$B$20,CURVA!$G$6:$G$20,#REF!)</f>
        <v>#VALUE!</v>
      </c>
    </row>
    <row r="3648" spans="1:5" x14ac:dyDescent="0.2">
      <c r="A3648" s="28">
        <v>3647</v>
      </c>
      <c r="B3648" s="28" t="e">
        <f>interpola(#REF!,CURVA!$B$6:$B$20,CURVA!$G$6:$G$20)</f>
        <v>#VALUE!</v>
      </c>
      <c r="C3648" s="29" t="e">
        <f t="shared" si="56"/>
        <v>#VALUE!</v>
      </c>
      <c r="E3648" t="e">
        <f>cubic_spline(CURVA!$B$6:$B$20,CURVA!$G$6:$G$20,#REF!)</f>
        <v>#VALUE!</v>
      </c>
    </row>
    <row r="3649" spans="1:5" x14ac:dyDescent="0.2">
      <c r="A3649" s="28">
        <v>3648</v>
      </c>
      <c r="B3649" s="28" t="e">
        <f>interpola(#REF!,CURVA!$B$6:$B$20,CURVA!$G$6:$G$20)</f>
        <v>#VALUE!</v>
      </c>
      <c r="C3649" s="29" t="e">
        <f t="shared" si="56"/>
        <v>#VALUE!</v>
      </c>
      <c r="E3649" t="e">
        <f>cubic_spline(CURVA!$B$6:$B$20,CURVA!$G$6:$G$20,#REF!)</f>
        <v>#VALUE!</v>
      </c>
    </row>
    <row r="3650" spans="1:5" x14ac:dyDescent="0.2">
      <c r="A3650" s="28">
        <v>3649</v>
      </c>
      <c r="B3650" s="28" t="e">
        <f>interpola(#REF!,CURVA!$B$6:$B$20,CURVA!$G$6:$G$20)</f>
        <v>#VALUE!</v>
      </c>
      <c r="C3650" s="29" t="e">
        <f t="shared" ref="C3650:C3713" si="57">(EXP(B3650*A3650/360)-1)*360/A3650</f>
        <v>#VALUE!</v>
      </c>
      <c r="E3650" t="e">
        <f>cubic_spline(CURVA!$B$6:$B$20,CURVA!$G$6:$G$20,#REF!)</f>
        <v>#VALUE!</v>
      </c>
    </row>
    <row r="3651" spans="1:5" x14ac:dyDescent="0.2">
      <c r="A3651" s="28">
        <v>3650</v>
      </c>
      <c r="B3651" s="28" t="e">
        <f>interpola(#REF!,CURVA!$B$6:$B$20,CURVA!$G$6:$G$20)</f>
        <v>#VALUE!</v>
      </c>
      <c r="C3651" s="29" t="e">
        <f t="shared" si="57"/>
        <v>#VALUE!</v>
      </c>
      <c r="E3651" t="e">
        <f>cubic_spline(CURVA!$B$6:$B$20,CURVA!$G$6:$G$20,#REF!)</f>
        <v>#VALUE!</v>
      </c>
    </row>
    <row r="3652" spans="1:5" x14ac:dyDescent="0.2">
      <c r="A3652" s="28">
        <v>3651</v>
      </c>
      <c r="B3652" s="28" t="e">
        <f>interpola(#REF!,CURVA!$B$6:$B$20,CURVA!$G$6:$G$20)</f>
        <v>#VALUE!</v>
      </c>
      <c r="C3652" s="29" t="e">
        <f t="shared" si="57"/>
        <v>#VALUE!</v>
      </c>
      <c r="E3652" t="e">
        <f>cubic_spline(CURVA!$B$6:$B$20,CURVA!$G$6:$G$20,#REF!)</f>
        <v>#VALUE!</v>
      </c>
    </row>
    <row r="3653" spans="1:5" x14ac:dyDescent="0.2">
      <c r="A3653" s="28">
        <v>3652</v>
      </c>
      <c r="B3653" s="28" t="e">
        <f>interpola(#REF!,CURVA!$B$6:$B$20,CURVA!$G$6:$G$20)</f>
        <v>#VALUE!</v>
      </c>
      <c r="C3653" s="29" t="e">
        <f t="shared" si="57"/>
        <v>#VALUE!</v>
      </c>
      <c r="E3653" t="e">
        <f>cubic_spline(CURVA!$B$6:$B$20,CURVA!$G$6:$G$20,#REF!)</f>
        <v>#VALUE!</v>
      </c>
    </row>
    <row r="3654" spans="1:5" x14ac:dyDescent="0.2">
      <c r="A3654" s="28">
        <v>3653</v>
      </c>
      <c r="B3654" s="28" t="e">
        <f>interpola(#REF!,CURVA!$B$6:$B$20,CURVA!$G$6:$G$20)</f>
        <v>#VALUE!</v>
      </c>
      <c r="C3654" s="29" t="e">
        <f t="shared" si="57"/>
        <v>#VALUE!</v>
      </c>
      <c r="E3654" t="e">
        <f>cubic_spline(CURVA!$B$6:$B$20,CURVA!$G$6:$G$20,#REF!)</f>
        <v>#VALUE!</v>
      </c>
    </row>
    <row r="3655" spans="1:5" x14ac:dyDescent="0.2">
      <c r="A3655" s="28">
        <v>3654</v>
      </c>
      <c r="B3655" s="28" t="e">
        <f>interpola(#REF!,CURVA!$B$6:$B$20,CURVA!$G$6:$G$20)</f>
        <v>#VALUE!</v>
      </c>
      <c r="C3655" s="29" t="e">
        <f t="shared" si="57"/>
        <v>#VALUE!</v>
      </c>
      <c r="E3655" t="e">
        <f>cubic_spline(CURVA!$B$6:$B$20,CURVA!$G$6:$G$20,#REF!)</f>
        <v>#VALUE!</v>
      </c>
    </row>
    <row r="3656" spans="1:5" x14ac:dyDescent="0.2">
      <c r="A3656" s="28">
        <v>3655</v>
      </c>
      <c r="B3656" s="28" t="e">
        <f>interpola(#REF!,CURVA!$B$6:$B$20,CURVA!$G$6:$G$20)</f>
        <v>#VALUE!</v>
      </c>
      <c r="C3656" s="29" t="e">
        <f t="shared" si="57"/>
        <v>#VALUE!</v>
      </c>
      <c r="E3656" t="e">
        <f>cubic_spline(CURVA!$B$6:$B$20,CURVA!$G$6:$G$20,#REF!)</f>
        <v>#VALUE!</v>
      </c>
    </row>
    <row r="3657" spans="1:5" x14ac:dyDescent="0.2">
      <c r="A3657" s="28">
        <v>3656</v>
      </c>
      <c r="B3657" s="28" t="e">
        <f>interpola(#REF!,CURVA!$B$6:$B$20,CURVA!$G$6:$G$20)</f>
        <v>#VALUE!</v>
      </c>
      <c r="C3657" s="29" t="e">
        <f t="shared" si="57"/>
        <v>#VALUE!</v>
      </c>
      <c r="E3657" t="e">
        <f>cubic_spline(CURVA!$B$6:$B$20,CURVA!$G$6:$G$20,#REF!)</f>
        <v>#VALUE!</v>
      </c>
    </row>
    <row r="3658" spans="1:5" x14ac:dyDescent="0.2">
      <c r="A3658" s="28">
        <v>3657</v>
      </c>
      <c r="B3658" s="28" t="e">
        <f>interpola(#REF!,CURVA!$B$6:$B$20,CURVA!$G$6:$G$20)</f>
        <v>#VALUE!</v>
      </c>
      <c r="C3658" s="29" t="e">
        <f t="shared" si="57"/>
        <v>#VALUE!</v>
      </c>
      <c r="E3658" t="e">
        <f>cubic_spline(CURVA!$B$6:$B$20,CURVA!$G$6:$G$20,#REF!)</f>
        <v>#VALUE!</v>
      </c>
    </row>
    <row r="3659" spans="1:5" x14ac:dyDescent="0.2">
      <c r="A3659" s="28">
        <v>3658</v>
      </c>
      <c r="B3659" s="28" t="e">
        <f>interpola(#REF!,CURVA!$B$6:$B$20,CURVA!$G$6:$G$20)</f>
        <v>#VALUE!</v>
      </c>
      <c r="C3659" s="29" t="e">
        <f t="shared" si="57"/>
        <v>#VALUE!</v>
      </c>
      <c r="E3659" t="e">
        <f>cubic_spline(CURVA!$B$6:$B$20,CURVA!$G$6:$G$20,#REF!)</f>
        <v>#VALUE!</v>
      </c>
    </row>
    <row r="3660" spans="1:5" x14ac:dyDescent="0.2">
      <c r="A3660" s="28">
        <v>3659</v>
      </c>
      <c r="B3660" s="28" t="e">
        <f>interpola(#REF!,CURVA!$B$6:$B$20,CURVA!$G$6:$G$20)</f>
        <v>#VALUE!</v>
      </c>
      <c r="C3660" s="29" t="e">
        <f t="shared" si="57"/>
        <v>#VALUE!</v>
      </c>
      <c r="E3660" t="e">
        <f>cubic_spline(CURVA!$B$6:$B$20,CURVA!$G$6:$G$20,#REF!)</f>
        <v>#VALUE!</v>
      </c>
    </row>
    <row r="3661" spans="1:5" x14ac:dyDescent="0.2">
      <c r="A3661" s="28">
        <v>3660</v>
      </c>
      <c r="B3661" s="28" t="e">
        <f>interpola(#REF!,CURVA!$B$6:$B$20,CURVA!$G$6:$G$20)</f>
        <v>#VALUE!</v>
      </c>
      <c r="C3661" s="29" t="e">
        <f t="shared" si="57"/>
        <v>#VALUE!</v>
      </c>
      <c r="E3661" t="e">
        <f>cubic_spline(CURVA!$B$6:$B$20,CURVA!$G$6:$G$20,#REF!)</f>
        <v>#VALUE!</v>
      </c>
    </row>
    <row r="3662" spans="1:5" x14ac:dyDescent="0.2">
      <c r="A3662" s="28">
        <v>3661</v>
      </c>
      <c r="B3662" s="28" t="e">
        <f>interpola(#REF!,CURVA!$B$6:$B$20,CURVA!$G$6:$G$20)</f>
        <v>#VALUE!</v>
      </c>
      <c r="C3662" s="29" t="e">
        <f t="shared" si="57"/>
        <v>#VALUE!</v>
      </c>
      <c r="E3662" t="e">
        <f>cubic_spline(CURVA!$B$6:$B$20,CURVA!$G$6:$G$20,#REF!)</f>
        <v>#VALUE!</v>
      </c>
    </row>
    <row r="3663" spans="1:5" x14ac:dyDescent="0.2">
      <c r="A3663" s="28">
        <v>3662</v>
      </c>
      <c r="B3663" s="28" t="e">
        <f>interpola(#REF!,CURVA!$B$6:$B$20,CURVA!$G$6:$G$20)</f>
        <v>#VALUE!</v>
      </c>
      <c r="C3663" s="29" t="e">
        <f t="shared" si="57"/>
        <v>#VALUE!</v>
      </c>
      <c r="E3663" t="e">
        <f>cubic_spline(CURVA!$B$6:$B$20,CURVA!$G$6:$G$20,#REF!)</f>
        <v>#VALUE!</v>
      </c>
    </row>
    <row r="3664" spans="1:5" x14ac:dyDescent="0.2">
      <c r="A3664" s="28">
        <v>3663</v>
      </c>
      <c r="B3664" s="28" t="e">
        <f>interpola(#REF!,CURVA!$B$6:$B$20,CURVA!$G$6:$G$20)</f>
        <v>#VALUE!</v>
      </c>
      <c r="C3664" s="29" t="e">
        <f t="shared" si="57"/>
        <v>#VALUE!</v>
      </c>
      <c r="E3664" t="e">
        <f>cubic_spline(CURVA!$B$6:$B$20,CURVA!$G$6:$G$20,#REF!)</f>
        <v>#VALUE!</v>
      </c>
    </row>
    <row r="3665" spans="1:5" x14ac:dyDescent="0.2">
      <c r="A3665" s="28">
        <v>3664</v>
      </c>
      <c r="B3665" s="28" t="e">
        <f>interpola(#REF!,CURVA!$B$6:$B$20,CURVA!$G$6:$G$20)</f>
        <v>#VALUE!</v>
      </c>
      <c r="C3665" s="29" t="e">
        <f t="shared" si="57"/>
        <v>#VALUE!</v>
      </c>
      <c r="E3665" t="e">
        <f>cubic_spline(CURVA!$B$6:$B$20,CURVA!$G$6:$G$20,#REF!)</f>
        <v>#VALUE!</v>
      </c>
    </row>
    <row r="3666" spans="1:5" x14ac:dyDescent="0.2">
      <c r="A3666" s="28">
        <v>3665</v>
      </c>
      <c r="B3666" s="28" t="e">
        <f>interpola(#REF!,CURVA!$B$6:$B$20,CURVA!$G$6:$G$20)</f>
        <v>#VALUE!</v>
      </c>
      <c r="C3666" s="29" t="e">
        <f t="shared" si="57"/>
        <v>#VALUE!</v>
      </c>
      <c r="E3666" t="e">
        <f>cubic_spline(CURVA!$B$6:$B$20,CURVA!$G$6:$G$20,#REF!)</f>
        <v>#VALUE!</v>
      </c>
    </row>
    <row r="3667" spans="1:5" x14ac:dyDescent="0.2">
      <c r="A3667" s="28">
        <v>3666</v>
      </c>
      <c r="B3667" s="28" t="e">
        <f>interpola(#REF!,CURVA!$B$6:$B$20,CURVA!$G$6:$G$20)</f>
        <v>#VALUE!</v>
      </c>
      <c r="C3667" s="29" t="e">
        <f t="shared" si="57"/>
        <v>#VALUE!</v>
      </c>
      <c r="E3667" t="e">
        <f>cubic_spline(CURVA!$B$6:$B$20,CURVA!$G$6:$G$20,#REF!)</f>
        <v>#VALUE!</v>
      </c>
    </row>
    <row r="3668" spans="1:5" x14ac:dyDescent="0.2">
      <c r="A3668" s="28">
        <v>3667</v>
      </c>
      <c r="B3668" s="28" t="e">
        <f>interpola(#REF!,CURVA!$B$6:$B$20,CURVA!$G$6:$G$20)</f>
        <v>#VALUE!</v>
      </c>
      <c r="C3668" s="29" t="e">
        <f t="shared" si="57"/>
        <v>#VALUE!</v>
      </c>
      <c r="E3668" t="e">
        <f>cubic_spline(CURVA!$B$6:$B$20,CURVA!$G$6:$G$20,#REF!)</f>
        <v>#VALUE!</v>
      </c>
    </row>
    <row r="3669" spans="1:5" x14ac:dyDescent="0.2">
      <c r="A3669" s="28">
        <v>3668</v>
      </c>
      <c r="B3669" s="28" t="e">
        <f>interpola(#REF!,CURVA!$B$6:$B$20,CURVA!$G$6:$G$20)</f>
        <v>#VALUE!</v>
      </c>
      <c r="C3669" s="29" t="e">
        <f t="shared" si="57"/>
        <v>#VALUE!</v>
      </c>
      <c r="E3669" t="e">
        <f>cubic_spline(CURVA!$B$6:$B$20,CURVA!$G$6:$G$20,#REF!)</f>
        <v>#VALUE!</v>
      </c>
    </row>
    <row r="3670" spans="1:5" x14ac:dyDescent="0.2">
      <c r="A3670" s="28">
        <v>3669</v>
      </c>
      <c r="B3670" s="28" t="e">
        <f>interpola(#REF!,CURVA!$B$6:$B$20,CURVA!$G$6:$G$20)</f>
        <v>#VALUE!</v>
      </c>
      <c r="C3670" s="29" t="e">
        <f t="shared" si="57"/>
        <v>#VALUE!</v>
      </c>
      <c r="E3670" t="e">
        <f>cubic_spline(CURVA!$B$6:$B$20,CURVA!$G$6:$G$20,#REF!)</f>
        <v>#VALUE!</v>
      </c>
    </row>
    <row r="3671" spans="1:5" x14ac:dyDescent="0.2">
      <c r="A3671" s="28">
        <v>3670</v>
      </c>
      <c r="B3671" s="28" t="e">
        <f>interpola(#REF!,CURVA!$B$6:$B$20,CURVA!$G$6:$G$20)</f>
        <v>#VALUE!</v>
      </c>
      <c r="C3671" s="29" t="e">
        <f t="shared" si="57"/>
        <v>#VALUE!</v>
      </c>
      <c r="E3671" t="e">
        <f>cubic_spline(CURVA!$B$6:$B$20,CURVA!$G$6:$G$20,#REF!)</f>
        <v>#VALUE!</v>
      </c>
    </row>
    <row r="3672" spans="1:5" x14ac:dyDescent="0.2">
      <c r="A3672" s="28">
        <v>3671</v>
      </c>
      <c r="B3672" s="28" t="e">
        <f>interpola(#REF!,CURVA!$B$6:$B$20,CURVA!$G$6:$G$20)</f>
        <v>#VALUE!</v>
      </c>
      <c r="C3672" s="29" t="e">
        <f t="shared" si="57"/>
        <v>#VALUE!</v>
      </c>
      <c r="E3672" t="e">
        <f>cubic_spline(CURVA!$B$6:$B$20,CURVA!$G$6:$G$20,#REF!)</f>
        <v>#VALUE!</v>
      </c>
    </row>
    <row r="3673" spans="1:5" x14ac:dyDescent="0.2">
      <c r="A3673" s="28">
        <v>3672</v>
      </c>
      <c r="B3673" s="28" t="e">
        <f>interpola(#REF!,CURVA!$B$6:$B$20,CURVA!$G$6:$G$20)</f>
        <v>#VALUE!</v>
      </c>
      <c r="C3673" s="29" t="e">
        <f t="shared" si="57"/>
        <v>#VALUE!</v>
      </c>
      <c r="E3673" t="e">
        <f>cubic_spline(CURVA!$B$6:$B$20,CURVA!$G$6:$G$20,#REF!)</f>
        <v>#VALUE!</v>
      </c>
    </row>
    <row r="3674" spans="1:5" x14ac:dyDescent="0.2">
      <c r="A3674" s="28">
        <v>3673</v>
      </c>
      <c r="B3674" s="28" t="e">
        <f>interpola(#REF!,CURVA!$B$6:$B$20,CURVA!$G$6:$G$20)</f>
        <v>#VALUE!</v>
      </c>
      <c r="C3674" s="29" t="e">
        <f t="shared" si="57"/>
        <v>#VALUE!</v>
      </c>
      <c r="E3674" t="e">
        <f>cubic_spline(CURVA!$B$6:$B$20,CURVA!$G$6:$G$20,#REF!)</f>
        <v>#VALUE!</v>
      </c>
    </row>
    <row r="3675" spans="1:5" x14ac:dyDescent="0.2">
      <c r="A3675" s="28">
        <v>3674</v>
      </c>
      <c r="B3675" s="28" t="e">
        <f>interpola(#REF!,CURVA!$B$6:$B$20,CURVA!$G$6:$G$20)</f>
        <v>#VALUE!</v>
      </c>
      <c r="C3675" s="29" t="e">
        <f t="shared" si="57"/>
        <v>#VALUE!</v>
      </c>
      <c r="E3675" t="e">
        <f>cubic_spline(CURVA!$B$6:$B$20,CURVA!$G$6:$G$20,#REF!)</f>
        <v>#VALUE!</v>
      </c>
    </row>
    <row r="3676" spans="1:5" x14ac:dyDescent="0.2">
      <c r="A3676" s="28">
        <v>3675</v>
      </c>
      <c r="B3676" s="28" t="e">
        <f>interpola(#REF!,CURVA!$B$6:$B$20,CURVA!$G$6:$G$20)</f>
        <v>#VALUE!</v>
      </c>
      <c r="C3676" s="29" t="e">
        <f t="shared" si="57"/>
        <v>#VALUE!</v>
      </c>
      <c r="E3676" t="e">
        <f>cubic_spline(CURVA!$B$6:$B$20,CURVA!$G$6:$G$20,#REF!)</f>
        <v>#VALUE!</v>
      </c>
    </row>
    <row r="3677" spans="1:5" x14ac:dyDescent="0.2">
      <c r="A3677" s="28">
        <v>3676</v>
      </c>
      <c r="B3677" s="28" t="e">
        <f>interpola(#REF!,CURVA!$B$6:$B$20,CURVA!$G$6:$G$20)</f>
        <v>#VALUE!</v>
      </c>
      <c r="C3677" s="29" t="e">
        <f t="shared" si="57"/>
        <v>#VALUE!</v>
      </c>
      <c r="E3677" t="e">
        <f>cubic_spline(CURVA!$B$6:$B$20,CURVA!$G$6:$G$20,#REF!)</f>
        <v>#VALUE!</v>
      </c>
    </row>
    <row r="3678" spans="1:5" x14ac:dyDescent="0.2">
      <c r="A3678" s="28">
        <v>3677</v>
      </c>
      <c r="B3678" s="28" t="e">
        <f>interpola(#REF!,CURVA!$B$6:$B$20,CURVA!$G$6:$G$20)</f>
        <v>#VALUE!</v>
      </c>
      <c r="C3678" s="29" t="e">
        <f t="shared" si="57"/>
        <v>#VALUE!</v>
      </c>
      <c r="E3678" t="e">
        <f>cubic_spline(CURVA!$B$6:$B$20,CURVA!$G$6:$G$20,#REF!)</f>
        <v>#VALUE!</v>
      </c>
    </row>
    <row r="3679" spans="1:5" x14ac:dyDescent="0.2">
      <c r="A3679" s="28">
        <v>3678</v>
      </c>
      <c r="B3679" s="28" t="e">
        <f>interpola(#REF!,CURVA!$B$6:$B$20,CURVA!$G$6:$G$20)</f>
        <v>#VALUE!</v>
      </c>
      <c r="C3679" s="29" t="e">
        <f t="shared" si="57"/>
        <v>#VALUE!</v>
      </c>
      <c r="E3679" t="e">
        <f>cubic_spline(CURVA!$B$6:$B$20,CURVA!$G$6:$G$20,#REF!)</f>
        <v>#VALUE!</v>
      </c>
    </row>
    <row r="3680" spans="1:5" x14ac:dyDescent="0.2">
      <c r="A3680" s="28">
        <v>3679</v>
      </c>
      <c r="B3680" s="28" t="e">
        <f>interpola(#REF!,CURVA!$B$6:$B$20,CURVA!$G$6:$G$20)</f>
        <v>#VALUE!</v>
      </c>
      <c r="C3680" s="29" t="e">
        <f t="shared" si="57"/>
        <v>#VALUE!</v>
      </c>
      <c r="E3680" t="e">
        <f>cubic_spline(CURVA!$B$6:$B$20,CURVA!$G$6:$G$20,#REF!)</f>
        <v>#VALUE!</v>
      </c>
    </row>
    <row r="3681" spans="1:5" x14ac:dyDescent="0.2">
      <c r="A3681" s="28">
        <v>3680</v>
      </c>
      <c r="B3681" s="28" t="e">
        <f>interpola(#REF!,CURVA!$B$6:$B$20,CURVA!$G$6:$G$20)</f>
        <v>#VALUE!</v>
      </c>
      <c r="C3681" s="29" t="e">
        <f t="shared" si="57"/>
        <v>#VALUE!</v>
      </c>
      <c r="E3681" t="e">
        <f>cubic_spline(CURVA!$B$6:$B$20,CURVA!$G$6:$G$20,#REF!)</f>
        <v>#VALUE!</v>
      </c>
    </row>
    <row r="3682" spans="1:5" x14ac:dyDescent="0.2">
      <c r="A3682" s="28">
        <v>3681</v>
      </c>
      <c r="B3682" s="28" t="e">
        <f>interpola(#REF!,CURVA!$B$6:$B$20,CURVA!$G$6:$G$20)</f>
        <v>#VALUE!</v>
      </c>
      <c r="C3682" s="29" t="e">
        <f t="shared" si="57"/>
        <v>#VALUE!</v>
      </c>
      <c r="E3682" t="e">
        <f>cubic_spline(CURVA!$B$6:$B$20,CURVA!$G$6:$G$20,#REF!)</f>
        <v>#VALUE!</v>
      </c>
    </row>
    <row r="3683" spans="1:5" x14ac:dyDescent="0.2">
      <c r="A3683" s="28">
        <v>3682</v>
      </c>
      <c r="B3683" s="28" t="e">
        <f>interpola(#REF!,CURVA!$B$6:$B$20,CURVA!$G$6:$G$20)</f>
        <v>#VALUE!</v>
      </c>
      <c r="C3683" s="29" t="e">
        <f t="shared" si="57"/>
        <v>#VALUE!</v>
      </c>
      <c r="E3683" t="e">
        <f>cubic_spline(CURVA!$B$6:$B$20,CURVA!$G$6:$G$20,#REF!)</f>
        <v>#VALUE!</v>
      </c>
    </row>
    <row r="3684" spans="1:5" x14ac:dyDescent="0.2">
      <c r="A3684" s="28">
        <v>3683</v>
      </c>
      <c r="B3684" s="28" t="e">
        <f>interpola(#REF!,CURVA!$B$6:$B$20,CURVA!$G$6:$G$20)</f>
        <v>#VALUE!</v>
      </c>
      <c r="C3684" s="29" t="e">
        <f t="shared" si="57"/>
        <v>#VALUE!</v>
      </c>
      <c r="E3684" t="e">
        <f>cubic_spline(CURVA!$B$6:$B$20,CURVA!$G$6:$G$20,#REF!)</f>
        <v>#VALUE!</v>
      </c>
    </row>
    <row r="3685" spans="1:5" x14ac:dyDescent="0.2">
      <c r="A3685" s="28">
        <v>3684</v>
      </c>
      <c r="B3685" s="28" t="e">
        <f>interpola(#REF!,CURVA!$B$6:$B$20,CURVA!$G$6:$G$20)</f>
        <v>#VALUE!</v>
      </c>
      <c r="C3685" s="29" t="e">
        <f t="shared" si="57"/>
        <v>#VALUE!</v>
      </c>
      <c r="E3685" t="e">
        <f>cubic_spline(CURVA!$B$6:$B$20,CURVA!$G$6:$G$20,#REF!)</f>
        <v>#VALUE!</v>
      </c>
    </row>
    <row r="3686" spans="1:5" x14ac:dyDescent="0.2">
      <c r="A3686" s="28">
        <v>3685</v>
      </c>
      <c r="B3686" s="28" t="e">
        <f>interpola(#REF!,CURVA!$B$6:$B$20,CURVA!$G$6:$G$20)</f>
        <v>#VALUE!</v>
      </c>
      <c r="C3686" s="29" t="e">
        <f t="shared" si="57"/>
        <v>#VALUE!</v>
      </c>
      <c r="E3686" t="e">
        <f>cubic_spline(CURVA!$B$6:$B$20,CURVA!$G$6:$G$20,#REF!)</f>
        <v>#VALUE!</v>
      </c>
    </row>
    <row r="3687" spans="1:5" x14ac:dyDescent="0.2">
      <c r="A3687" s="28">
        <v>3686</v>
      </c>
      <c r="B3687" s="28" t="e">
        <f>interpola(#REF!,CURVA!$B$6:$B$20,CURVA!$G$6:$G$20)</f>
        <v>#VALUE!</v>
      </c>
      <c r="C3687" s="29" t="e">
        <f t="shared" si="57"/>
        <v>#VALUE!</v>
      </c>
      <c r="E3687" t="e">
        <f>cubic_spline(CURVA!$B$6:$B$20,CURVA!$G$6:$G$20,#REF!)</f>
        <v>#VALUE!</v>
      </c>
    </row>
    <row r="3688" spans="1:5" x14ac:dyDescent="0.2">
      <c r="A3688" s="28">
        <v>3687</v>
      </c>
      <c r="B3688" s="28" t="e">
        <f>interpola(#REF!,CURVA!$B$6:$B$20,CURVA!$G$6:$G$20)</f>
        <v>#VALUE!</v>
      </c>
      <c r="C3688" s="29" t="e">
        <f t="shared" si="57"/>
        <v>#VALUE!</v>
      </c>
      <c r="E3688" t="e">
        <f>cubic_spline(CURVA!$B$6:$B$20,CURVA!$G$6:$G$20,#REF!)</f>
        <v>#VALUE!</v>
      </c>
    </row>
    <row r="3689" spans="1:5" x14ac:dyDescent="0.2">
      <c r="A3689" s="28">
        <v>3688</v>
      </c>
      <c r="B3689" s="28" t="e">
        <f>interpola(#REF!,CURVA!$B$6:$B$20,CURVA!$G$6:$G$20)</f>
        <v>#VALUE!</v>
      </c>
      <c r="C3689" s="29" t="e">
        <f t="shared" si="57"/>
        <v>#VALUE!</v>
      </c>
      <c r="E3689" t="e">
        <f>cubic_spline(CURVA!$B$6:$B$20,CURVA!$G$6:$G$20,#REF!)</f>
        <v>#VALUE!</v>
      </c>
    </row>
    <row r="3690" spans="1:5" x14ac:dyDescent="0.2">
      <c r="A3690" s="28">
        <v>3689</v>
      </c>
      <c r="B3690" s="28" t="e">
        <f>interpola(#REF!,CURVA!$B$6:$B$20,CURVA!$G$6:$G$20)</f>
        <v>#VALUE!</v>
      </c>
      <c r="C3690" s="29" t="e">
        <f t="shared" si="57"/>
        <v>#VALUE!</v>
      </c>
      <c r="E3690" t="e">
        <f>cubic_spline(CURVA!$B$6:$B$20,CURVA!$G$6:$G$20,#REF!)</f>
        <v>#VALUE!</v>
      </c>
    </row>
    <row r="3691" spans="1:5" x14ac:dyDescent="0.2">
      <c r="A3691" s="28">
        <v>3690</v>
      </c>
      <c r="B3691" s="28" t="e">
        <f>interpola(#REF!,CURVA!$B$6:$B$20,CURVA!$G$6:$G$20)</f>
        <v>#VALUE!</v>
      </c>
      <c r="C3691" s="29" t="e">
        <f t="shared" si="57"/>
        <v>#VALUE!</v>
      </c>
      <c r="E3691" t="e">
        <f>cubic_spline(CURVA!$B$6:$B$20,CURVA!$G$6:$G$20,#REF!)</f>
        <v>#VALUE!</v>
      </c>
    </row>
    <row r="3692" spans="1:5" x14ac:dyDescent="0.2">
      <c r="A3692" s="28">
        <v>3691</v>
      </c>
      <c r="B3692" s="28" t="e">
        <f>interpola(#REF!,CURVA!$B$6:$B$20,CURVA!$G$6:$G$20)</f>
        <v>#VALUE!</v>
      </c>
      <c r="C3692" s="29" t="e">
        <f t="shared" si="57"/>
        <v>#VALUE!</v>
      </c>
      <c r="E3692" t="e">
        <f>cubic_spline(CURVA!$B$6:$B$20,CURVA!$G$6:$G$20,#REF!)</f>
        <v>#VALUE!</v>
      </c>
    </row>
    <row r="3693" spans="1:5" x14ac:dyDescent="0.2">
      <c r="A3693" s="28">
        <v>3692</v>
      </c>
      <c r="B3693" s="28" t="e">
        <f>interpola(#REF!,CURVA!$B$6:$B$20,CURVA!$G$6:$G$20)</f>
        <v>#VALUE!</v>
      </c>
      <c r="C3693" s="29" t="e">
        <f t="shared" si="57"/>
        <v>#VALUE!</v>
      </c>
      <c r="E3693" t="e">
        <f>cubic_spline(CURVA!$B$6:$B$20,CURVA!$G$6:$G$20,#REF!)</f>
        <v>#VALUE!</v>
      </c>
    </row>
    <row r="3694" spans="1:5" x14ac:dyDescent="0.2">
      <c r="A3694" s="28">
        <v>3693</v>
      </c>
      <c r="B3694" s="28" t="e">
        <f>interpola(#REF!,CURVA!$B$6:$B$20,CURVA!$G$6:$G$20)</f>
        <v>#VALUE!</v>
      </c>
      <c r="C3694" s="29" t="e">
        <f t="shared" si="57"/>
        <v>#VALUE!</v>
      </c>
      <c r="E3694" t="e">
        <f>cubic_spline(CURVA!$B$6:$B$20,CURVA!$G$6:$G$20,#REF!)</f>
        <v>#VALUE!</v>
      </c>
    </row>
    <row r="3695" spans="1:5" x14ac:dyDescent="0.2">
      <c r="A3695" s="28">
        <v>3694</v>
      </c>
      <c r="B3695" s="28" t="e">
        <f>interpola(#REF!,CURVA!$B$6:$B$20,CURVA!$G$6:$G$20)</f>
        <v>#VALUE!</v>
      </c>
      <c r="C3695" s="29" t="e">
        <f t="shared" si="57"/>
        <v>#VALUE!</v>
      </c>
      <c r="E3695" t="e">
        <f>cubic_spline(CURVA!$B$6:$B$20,CURVA!$G$6:$G$20,#REF!)</f>
        <v>#VALUE!</v>
      </c>
    </row>
    <row r="3696" spans="1:5" x14ac:dyDescent="0.2">
      <c r="A3696" s="28">
        <v>3695</v>
      </c>
      <c r="B3696" s="28" t="e">
        <f>interpola(#REF!,CURVA!$B$6:$B$20,CURVA!$G$6:$G$20)</f>
        <v>#VALUE!</v>
      </c>
      <c r="C3696" s="29" t="e">
        <f t="shared" si="57"/>
        <v>#VALUE!</v>
      </c>
      <c r="E3696" t="e">
        <f>cubic_spline(CURVA!$B$6:$B$20,CURVA!$G$6:$G$20,#REF!)</f>
        <v>#VALUE!</v>
      </c>
    </row>
    <row r="3697" spans="1:5" x14ac:dyDescent="0.2">
      <c r="A3697" s="28">
        <v>3696</v>
      </c>
      <c r="B3697" s="28" t="e">
        <f>interpola(#REF!,CURVA!$B$6:$B$20,CURVA!$G$6:$G$20)</f>
        <v>#VALUE!</v>
      </c>
      <c r="C3697" s="29" t="e">
        <f t="shared" si="57"/>
        <v>#VALUE!</v>
      </c>
      <c r="E3697" t="e">
        <f>cubic_spline(CURVA!$B$6:$B$20,CURVA!$G$6:$G$20,#REF!)</f>
        <v>#VALUE!</v>
      </c>
    </row>
    <row r="3698" spans="1:5" x14ac:dyDescent="0.2">
      <c r="A3698" s="28">
        <v>3697</v>
      </c>
      <c r="B3698" s="28" t="e">
        <f>interpola(#REF!,CURVA!$B$6:$B$20,CURVA!$G$6:$G$20)</f>
        <v>#VALUE!</v>
      </c>
      <c r="C3698" s="29" t="e">
        <f t="shared" si="57"/>
        <v>#VALUE!</v>
      </c>
      <c r="E3698" t="e">
        <f>cubic_spline(CURVA!$B$6:$B$20,CURVA!$G$6:$G$20,#REF!)</f>
        <v>#VALUE!</v>
      </c>
    </row>
    <row r="3699" spans="1:5" x14ac:dyDescent="0.2">
      <c r="A3699" s="28">
        <v>3698</v>
      </c>
      <c r="B3699" s="28" t="e">
        <f>interpola(#REF!,CURVA!$B$6:$B$20,CURVA!$G$6:$G$20)</f>
        <v>#VALUE!</v>
      </c>
      <c r="C3699" s="29" t="e">
        <f t="shared" si="57"/>
        <v>#VALUE!</v>
      </c>
      <c r="E3699" t="e">
        <f>cubic_spline(CURVA!$B$6:$B$20,CURVA!$G$6:$G$20,#REF!)</f>
        <v>#VALUE!</v>
      </c>
    </row>
    <row r="3700" spans="1:5" x14ac:dyDescent="0.2">
      <c r="A3700" s="28">
        <v>3699</v>
      </c>
      <c r="B3700" s="28" t="e">
        <f>interpola(#REF!,CURVA!$B$6:$B$20,CURVA!$G$6:$G$20)</f>
        <v>#VALUE!</v>
      </c>
      <c r="C3700" s="29" t="e">
        <f t="shared" si="57"/>
        <v>#VALUE!</v>
      </c>
      <c r="E3700" t="e">
        <f>cubic_spline(CURVA!$B$6:$B$20,CURVA!$G$6:$G$20,#REF!)</f>
        <v>#VALUE!</v>
      </c>
    </row>
    <row r="3701" spans="1:5" x14ac:dyDescent="0.2">
      <c r="A3701" s="28">
        <v>3700</v>
      </c>
      <c r="B3701" s="28" t="e">
        <f>interpola(#REF!,CURVA!$B$6:$B$20,CURVA!$G$6:$G$20)</f>
        <v>#VALUE!</v>
      </c>
      <c r="C3701" s="29" t="e">
        <f t="shared" si="57"/>
        <v>#VALUE!</v>
      </c>
      <c r="E3701" t="e">
        <f>cubic_spline(CURVA!$B$6:$B$20,CURVA!$G$6:$G$20,#REF!)</f>
        <v>#VALUE!</v>
      </c>
    </row>
    <row r="3702" spans="1:5" x14ac:dyDescent="0.2">
      <c r="A3702" s="28">
        <v>3701</v>
      </c>
      <c r="B3702" s="28" t="e">
        <f>interpola(#REF!,CURVA!$B$6:$B$20,CURVA!$G$6:$G$20)</f>
        <v>#VALUE!</v>
      </c>
      <c r="C3702" s="29" t="e">
        <f t="shared" si="57"/>
        <v>#VALUE!</v>
      </c>
      <c r="E3702" t="e">
        <f>cubic_spline(CURVA!$B$6:$B$20,CURVA!$G$6:$G$20,#REF!)</f>
        <v>#VALUE!</v>
      </c>
    </row>
    <row r="3703" spans="1:5" x14ac:dyDescent="0.2">
      <c r="A3703" s="28">
        <v>3702</v>
      </c>
      <c r="B3703" s="28" t="e">
        <f>interpola(#REF!,CURVA!$B$6:$B$20,CURVA!$G$6:$G$20)</f>
        <v>#VALUE!</v>
      </c>
      <c r="C3703" s="29" t="e">
        <f t="shared" si="57"/>
        <v>#VALUE!</v>
      </c>
      <c r="E3703" t="e">
        <f>cubic_spline(CURVA!$B$6:$B$20,CURVA!$G$6:$G$20,#REF!)</f>
        <v>#VALUE!</v>
      </c>
    </row>
    <row r="3704" spans="1:5" x14ac:dyDescent="0.2">
      <c r="A3704" s="28">
        <v>3703</v>
      </c>
      <c r="B3704" s="28" t="e">
        <f>interpola(#REF!,CURVA!$B$6:$B$20,CURVA!$G$6:$G$20)</f>
        <v>#VALUE!</v>
      </c>
      <c r="C3704" s="29" t="e">
        <f t="shared" si="57"/>
        <v>#VALUE!</v>
      </c>
      <c r="E3704" t="e">
        <f>cubic_spline(CURVA!$B$6:$B$20,CURVA!$G$6:$G$20,#REF!)</f>
        <v>#VALUE!</v>
      </c>
    </row>
    <row r="3705" spans="1:5" x14ac:dyDescent="0.2">
      <c r="A3705" s="28">
        <v>3704</v>
      </c>
      <c r="B3705" s="28" t="e">
        <f>interpola(#REF!,CURVA!$B$6:$B$20,CURVA!$G$6:$G$20)</f>
        <v>#VALUE!</v>
      </c>
      <c r="C3705" s="29" t="e">
        <f t="shared" si="57"/>
        <v>#VALUE!</v>
      </c>
      <c r="E3705" t="e">
        <f>cubic_spline(CURVA!$B$6:$B$20,CURVA!$G$6:$G$20,#REF!)</f>
        <v>#VALUE!</v>
      </c>
    </row>
    <row r="3706" spans="1:5" x14ac:dyDescent="0.2">
      <c r="A3706" s="28">
        <v>3705</v>
      </c>
      <c r="B3706" s="28" t="e">
        <f>interpola(#REF!,CURVA!$B$6:$B$20,CURVA!$G$6:$G$20)</f>
        <v>#VALUE!</v>
      </c>
      <c r="C3706" s="29" t="e">
        <f t="shared" si="57"/>
        <v>#VALUE!</v>
      </c>
      <c r="E3706" t="e">
        <f>cubic_spline(CURVA!$B$6:$B$20,CURVA!$G$6:$G$20,#REF!)</f>
        <v>#VALUE!</v>
      </c>
    </row>
    <row r="3707" spans="1:5" x14ac:dyDescent="0.2">
      <c r="A3707" s="28">
        <v>3706</v>
      </c>
      <c r="B3707" s="28" t="e">
        <f>interpola(#REF!,CURVA!$B$6:$B$20,CURVA!$G$6:$G$20)</f>
        <v>#VALUE!</v>
      </c>
      <c r="C3707" s="29" t="e">
        <f t="shared" si="57"/>
        <v>#VALUE!</v>
      </c>
      <c r="E3707" t="e">
        <f>cubic_spline(CURVA!$B$6:$B$20,CURVA!$G$6:$G$20,#REF!)</f>
        <v>#VALUE!</v>
      </c>
    </row>
    <row r="3708" spans="1:5" x14ac:dyDescent="0.2">
      <c r="A3708" s="28">
        <v>3707</v>
      </c>
      <c r="B3708" s="28" t="e">
        <f>interpola(#REF!,CURVA!$B$6:$B$20,CURVA!$G$6:$G$20)</f>
        <v>#VALUE!</v>
      </c>
      <c r="C3708" s="29" t="e">
        <f t="shared" si="57"/>
        <v>#VALUE!</v>
      </c>
      <c r="E3708" t="e">
        <f>cubic_spline(CURVA!$B$6:$B$20,CURVA!$G$6:$G$20,#REF!)</f>
        <v>#VALUE!</v>
      </c>
    </row>
    <row r="3709" spans="1:5" x14ac:dyDescent="0.2">
      <c r="A3709" s="28">
        <v>3708</v>
      </c>
      <c r="B3709" s="28" t="e">
        <f>interpola(#REF!,CURVA!$B$6:$B$20,CURVA!$G$6:$G$20)</f>
        <v>#VALUE!</v>
      </c>
      <c r="C3709" s="29" t="e">
        <f t="shared" si="57"/>
        <v>#VALUE!</v>
      </c>
      <c r="E3709" t="e">
        <f>cubic_spline(CURVA!$B$6:$B$20,CURVA!$G$6:$G$20,#REF!)</f>
        <v>#VALUE!</v>
      </c>
    </row>
    <row r="3710" spans="1:5" x14ac:dyDescent="0.2">
      <c r="A3710" s="28">
        <v>3709</v>
      </c>
      <c r="B3710" s="28" t="e">
        <f>interpola(#REF!,CURVA!$B$6:$B$20,CURVA!$G$6:$G$20)</f>
        <v>#VALUE!</v>
      </c>
      <c r="C3710" s="29" t="e">
        <f t="shared" si="57"/>
        <v>#VALUE!</v>
      </c>
      <c r="E3710" t="e">
        <f>cubic_spline(CURVA!$B$6:$B$20,CURVA!$G$6:$G$20,#REF!)</f>
        <v>#VALUE!</v>
      </c>
    </row>
    <row r="3711" spans="1:5" x14ac:dyDescent="0.2">
      <c r="A3711" s="28">
        <v>3710</v>
      </c>
      <c r="B3711" s="28" t="e">
        <f>interpola(#REF!,CURVA!$B$6:$B$20,CURVA!$G$6:$G$20)</f>
        <v>#VALUE!</v>
      </c>
      <c r="C3711" s="29" t="e">
        <f t="shared" si="57"/>
        <v>#VALUE!</v>
      </c>
      <c r="E3711" t="e">
        <f>cubic_spline(CURVA!$B$6:$B$20,CURVA!$G$6:$G$20,#REF!)</f>
        <v>#VALUE!</v>
      </c>
    </row>
    <row r="3712" spans="1:5" x14ac:dyDescent="0.2">
      <c r="A3712" s="28">
        <v>3711</v>
      </c>
      <c r="B3712" s="28" t="e">
        <f>interpola(#REF!,CURVA!$B$6:$B$20,CURVA!$G$6:$G$20)</f>
        <v>#VALUE!</v>
      </c>
      <c r="C3712" s="29" t="e">
        <f t="shared" si="57"/>
        <v>#VALUE!</v>
      </c>
      <c r="E3712" t="e">
        <f>cubic_spline(CURVA!$B$6:$B$20,CURVA!$G$6:$G$20,#REF!)</f>
        <v>#VALUE!</v>
      </c>
    </row>
    <row r="3713" spans="1:5" x14ac:dyDescent="0.2">
      <c r="A3713" s="28">
        <v>3712</v>
      </c>
      <c r="B3713" s="28" t="e">
        <f>interpola(#REF!,CURVA!$B$6:$B$20,CURVA!$G$6:$G$20)</f>
        <v>#VALUE!</v>
      </c>
      <c r="C3713" s="29" t="e">
        <f t="shared" si="57"/>
        <v>#VALUE!</v>
      </c>
      <c r="E3713" t="e">
        <f>cubic_spline(CURVA!$B$6:$B$20,CURVA!$G$6:$G$20,#REF!)</f>
        <v>#VALUE!</v>
      </c>
    </row>
    <row r="3714" spans="1:5" x14ac:dyDescent="0.2">
      <c r="A3714" s="28">
        <v>3713</v>
      </c>
      <c r="B3714" s="28" t="e">
        <f>interpola(#REF!,CURVA!$B$6:$B$20,CURVA!$G$6:$G$20)</f>
        <v>#VALUE!</v>
      </c>
      <c r="C3714" s="29" t="e">
        <f t="shared" ref="C3714:C3777" si="58">(EXP(B3714*A3714/360)-1)*360/A3714</f>
        <v>#VALUE!</v>
      </c>
      <c r="E3714" t="e">
        <f>cubic_spline(CURVA!$B$6:$B$20,CURVA!$G$6:$G$20,#REF!)</f>
        <v>#VALUE!</v>
      </c>
    </row>
    <row r="3715" spans="1:5" x14ac:dyDescent="0.2">
      <c r="A3715" s="28">
        <v>3714</v>
      </c>
      <c r="B3715" s="28" t="e">
        <f>interpola(#REF!,CURVA!$B$6:$B$20,CURVA!$G$6:$G$20)</f>
        <v>#VALUE!</v>
      </c>
      <c r="C3715" s="29" t="e">
        <f t="shared" si="58"/>
        <v>#VALUE!</v>
      </c>
      <c r="E3715" t="e">
        <f>cubic_spline(CURVA!$B$6:$B$20,CURVA!$G$6:$G$20,#REF!)</f>
        <v>#VALUE!</v>
      </c>
    </row>
    <row r="3716" spans="1:5" x14ac:dyDescent="0.2">
      <c r="A3716" s="28">
        <v>3715</v>
      </c>
      <c r="B3716" s="28" t="e">
        <f>interpola(#REF!,CURVA!$B$6:$B$20,CURVA!$G$6:$G$20)</f>
        <v>#VALUE!</v>
      </c>
      <c r="C3716" s="29" t="e">
        <f t="shared" si="58"/>
        <v>#VALUE!</v>
      </c>
      <c r="E3716" t="e">
        <f>cubic_spline(CURVA!$B$6:$B$20,CURVA!$G$6:$G$20,#REF!)</f>
        <v>#VALUE!</v>
      </c>
    </row>
    <row r="3717" spans="1:5" x14ac:dyDescent="0.2">
      <c r="A3717" s="28">
        <v>3716</v>
      </c>
      <c r="B3717" s="28" t="e">
        <f>interpola(#REF!,CURVA!$B$6:$B$20,CURVA!$G$6:$G$20)</f>
        <v>#VALUE!</v>
      </c>
      <c r="C3717" s="29" t="e">
        <f t="shared" si="58"/>
        <v>#VALUE!</v>
      </c>
      <c r="E3717" t="e">
        <f>cubic_spline(CURVA!$B$6:$B$20,CURVA!$G$6:$G$20,#REF!)</f>
        <v>#VALUE!</v>
      </c>
    </row>
    <row r="3718" spans="1:5" x14ac:dyDescent="0.2">
      <c r="A3718" s="28">
        <v>3717</v>
      </c>
      <c r="B3718" s="28" t="e">
        <f>interpola(#REF!,CURVA!$B$6:$B$20,CURVA!$G$6:$G$20)</f>
        <v>#VALUE!</v>
      </c>
      <c r="C3718" s="29" t="e">
        <f t="shared" si="58"/>
        <v>#VALUE!</v>
      </c>
      <c r="E3718" t="e">
        <f>cubic_spline(CURVA!$B$6:$B$20,CURVA!$G$6:$G$20,#REF!)</f>
        <v>#VALUE!</v>
      </c>
    </row>
    <row r="3719" spans="1:5" x14ac:dyDescent="0.2">
      <c r="A3719" s="28">
        <v>3718</v>
      </c>
      <c r="B3719" s="28" t="e">
        <f>interpola(#REF!,CURVA!$B$6:$B$20,CURVA!$G$6:$G$20)</f>
        <v>#VALUE!</v>
      </c>
      <c r="C3719" s="29" t="e">
        <f t="shared" si="58"/>
        <v>#VALUE!</v>
      </c>
      <c r="E3719" t="e">
        <f>cubic_spline(CURVA!$B$6:$B$20,CURVA!$G$6:$G$20,#REF!)</f>
        <v>#VALUE!</v>
      </c>
    </row>
    <row r="3720" spans="1:5" x14ac:dyDescent="0.2">
      <c r="A3720" s="28">
        <v>3719</v>
      </c>
      <c r="B3720" s="28" t="e">
        <f>interpola(#REF!,CURVA!$B$6:$B$20,CURVA!$G$6:$G$20)</f>
        <v>#VALUE!</v>
      </c>
      <c r="C3720" s="29" t="e">
        <f t="shared" si="58"/>
        <v>#VALUE!</v>
      </c>
      <c r="E3720" t="e">
        <f>cubic_spline(CURVA!$B$6:$B$20,CURVA!$G$6:$G$20,#REF!)</f>
        <v>#VALUE!</v>
      </c>
    </row>
    <row r="3721" spans="1:5" x14ac:dyDescent="0.2">
      <c r="A3721" s="28">
        <v>3720</v>
      </c>
      <c r="B3721" s="28" t="e">
        <f>interpola(#REF!,CURVA!$B$6:$B$20,CURVA!$G$6:$G$20)</f>
        <v>#VALUE!</v>
      </c>
      <c r="C3721" s="29" t="e">
        <f t="shared" si="58"/>
        <v>#VALUE!</v>
      </c>
      <c r="E3721" t="e">
        <f>cubic_spline(CURVA!$B$6:$B$20,CURVA!$G$6:$G$20,#REF!)</f>
        <v>#VALUE!</v>
      </c>
    </row>
    <row r="3722" spans="1:5" x14ac:dyDescent="0.2">
      <c r="A3722" s="28">
        <v>3721</v>
      </c>
      <c r="B3722" s="28" t="e">
        <f>interpola(#REF!,CURVA!$B$6:$B$20,CURVA!$G$6:$G$20)</f>
        <v>#VALUE!</v>
      </c>
      <c r="C3722" s="29" t="e">
        <f t="shared" si="58"/>
        <v>#VALUE!</v>
      </c>
      <c r="E3722" t="e">
        <f>cubic_spline(CURVA!$B$6:$B$20,CURVA!$G$6:$G$20,#REF!)</f>
        <v>#VALUE!</v>
      </c>
    </row>
    <row r="3723" spans="1:5" x14ac:dyDescent="0.2">
      <c r="A3723" s="28">
        <v>3722</v>
      </c>
      <c r="B3723" s="28" t="e">
        <f>interpola(#REF!,CURVA!$B$6:$B$20,CURVA!$G$6:$G$20)</f>
        <v>#VALUE!</v>
      </c>
      <c r="C3723" s="29" t="e">
        <f t="shared" si="58"/>
        <v>#VALUE!</v>
      </c>
      <c r="E3723" t="e">
        <f>cubic_spline(CURVA!$B$6:$B$20,CURVA!$G$6:$G$20,#REF!)</f>
        <v>#VALUE!</v>
      </c>
    </row>
    <row r="3724" spans="1:5" x14ac:dyDescent="0.2">
      <c r="A3724" s="28">
        <v>3723</v>
      </c>
      <c r="B3724" s="28" t="e">
        <f>interpola(#REF!,CURVA!$B$6:$B$20,CURVA!$G$6:$G$20)</f>
        <v>#VALUE!</v>
      </c>
      <c r="C3724" s="29" t="e">
        <f t="shared" si="58"/>
        <v>#VALUE!</v>
      </c>
      <c r="E3724" t="e">
        <f>cubic_spline(CURVA!$B$6:$B$20,CURVA!$G$6:$G$20,#REF!)</f>
        <v>#VALUE!</v>
      </c>
    </row>
    <row r="3725" spans="1:5" x14ac:dyDescent="0.2">
      <c r="A3725" s="28">
        <v>3724</v>
      </c>
      <c r="B3725" s="28" t="e">
        <f>interpola(#REF!,CURVA!$B$6:$B$20,CURVA!$G$6:$G$20)</f>
        <v>#VALUE!</v>
      </c>
      <c r="C3725" s="29" t="e">
        <f t="shared" si="58"/>
        <v>#VALUE!</v>
      </c>
      <c r="E3725" t="e">
        <f>cubic_spline(CURVA!$B$6:$B$20,CURVA!$G$6:$G$20,#REF!)</f>
        <v>#VALUE!</v>
      </c>
    </row>
    <row r="3726" spans="1:5" x14ac:dyDescent="0.2">
      <c r="A3726" s="28">
        <v>3725</v>
      </c>
      <c r="B3726" s="28" t="e">
        <f>interpola(#REF!,CURVA!$B$6:$B$20,CURVA!$G$6:$G$20)</f>
        <v>#VALUE!</v>
      </c>
      <c r="C3726" s="29" t="e">
        <f t="shared" si="58"/>
        <v>#VALUE!</v>
      </c>
      <c r="E3726" t="e">
        <f>cubic_spline(CURVA!$B$6:$B$20,CURVA!$G$6:$G$20,#REF!)</f>
        <v>#VALUE!</v>
      </c>
    </row>
    <row r="3727" spans="1:5" x14ac:dyDescent="0.2">
      <c r="A3727" s="28">
        <v>3726</v>
      </c>
      <c r="B3727" s="28" t="e">
        <f>interpola(#REF!,CURVA!$B$6:$B$20,CURVA!$G$6:$G$20)</f>
        <v>#VALUE!</v>
      </c>
      <c r="C3727" s="29" t="e">
        <f t="shared" si="58"/>
        <v>#VALUE!</v>
      </c>
      <c r="E3727" t="e">
        <f>cubic_spline(CURVA!$B$6:$B$20,CURVA!$G$6:$G$20,#REF!)</f>
        <v>#VALUE!</v>
      </c>
    </row>
    <row r="3728" spans="1:5" x14ac:dyDescent="0.2">
      <c r="A3728" s="28">
        <v>3727</v>
      </c>
      <c r="B3728" s="28" t="e">
        <f>interpola(#REF!,CURVA!$B$6:$B$20,CURVA!$G$6:$G$20)</f>
        <v>#VALUE!</v>
      </c>
      <c r="C3728" s="29" t="e">
        <f t="shared" si="58"/>
        <v>#VALUE!</v>
      </c>
      <c r="E3728" t="e">
        <f>cubic_spline(CURVA!$B$6:$B$20,CURVA!$G$6:$G$20,#REF!)</f>
        <v>#VALUE!</v>
      </c>
    </row>
    <row r="3729" spans="1:5" x14ac:dyDescent="0.2">
      <c r="A3729" s="28">
        <v>3728</v>
      </c>
      <c r="B3729" s="28" t="e">
        <f>interpola(#REF!,CURVA!$B$6:$B$20,CURVA!$G$6:$G$20)</f>
        <v>#VALUE!</v>
      </c>
      <c r="C3729" s="29" t="e">
        <f t="shared" si="58"/>
        <v>#VALUE!</v>
      </c>
      <c r="E3729" t="e">
        <f>cubic_spline(CURVA!$B$6:$B$20,CURVA!$G$6:$G$20,#REF!)</f>
        <v>#VALUE!</v>
      </c>
    </row>
    <row r="3730" spans="1:5" x14ac:dyDescent="0.2">
      <c r="A3730" s="28">
        <v>3729</v>
      </c>
      <c r="B3730" s="28" t="e">
        <f>interpola(#REF!,CURVA!$B$6:$B$20,CURVA!$G$6:$G$20)</f>
        <v>#VALUE!</v>
      </c>
      <c r="C3730" s="29" t="e">
        <f t="shared" si="58"/>
        <v>#VALUE!</v>
      </c>
      <c r="E3730" t="e">
        <f>cubic_spline(CURVA!$B$6:$B$20,CURVA!$G$6:$G$20,#REF!)</f>
        <v>#VALUE!</v>
      </c>
    </row>
    <row r="3731" spans="1:5" x14ac:dyDescent="0.2">
      <c r="A3731" s="28">
        <v>3730</v>
      </c>
      <c r="B3731" s="28" t="e">
        <f>interpola(#REF!,CURVA!$B$6:$B$20,CURVA!$G$6:$G$20)</f>
        <v>#VALUE!</v>
      </c>
      <c r="C3731" s="29" t="e">
        <f t="shared" si="58"/>
        <v>#VALUE!</v>
      </c>
      <c r="E3731" t="e">
        <f>cubic_spline(CURVA!$B$6:$B$20,CURVA!$G$6:$G$20,#REF!)</f>
        <v>#VALUE!</v>
      </c>
    </row>
    <row r="3732" spans="1:5" x14ac:dyDescent="0.2">
      <c r="A3732" s="28">
        <v>3731</v>
      </c>
      <c r="B3732" s="28" t="e">
        <f>interpola(#REF!,CURVA!$B$6:$B$20,CURVA!$G$6:$G$20)</f>
        <v>#VALUE!</v>
      </c>
      <c r="C3732" s="29" t="e">
        <f t="shared" si="58"/>
        <v>#VALUE!</v>
      </c>
      <c r="E3732" t="e">
        <f>cubic_spline(CURVA!$B$6:$B$20,CURVA!$G$6:$G$20,#REF!)</f>
        <v>#VALUE!</v>
      </c>
    </row>
    <row r="3733" spans="1:5" x14ac:dyDescent="0.2">
      <c r="A3733" s="28">
        <v>3732</v>
      </c>
      <c r="B3733" s="28" t="e">
        <f>interpola(#REF!,CURVA!$B$6:$B$20,CURVA!$G$6:$G$20)</f>
        <v>#VALUE!</v>
      </c>
      <c r="C3733" s="29" t="e">
        <f t="shared" si="58"/>
        <v>#VALUE!</v>
      </c>
      <c r="E3733" t="e">
        <f>cubic_spline(CURVA!$B$6:$B$20,CURVA!$G$6:$G$20,#REF!)</f>
        <v>#VALUE!</v>
      </c>
    </row>
    <row r="3734" spans="1:5" x14ac:dyDescent="0.2">
      <c r="A3734" s="28">
        <v>3733</v>
      </c>
      <c r="B3734" s="28" t="e">
        <f>interpola(#REF!,CURVA!$B$6:$B$20,CURVA!$G$6:$G$20)</f>
        <v>#VALUE!</v>
      </c>
      <c r="C3734" s="29" t="e">
        <f t="shared" si="58"/>
        <v>#VALUE!</v>
      </c>
      <c r="E3734" t="e">
        <f>cubic_spline(CURVA!$B$6:$B$20,CURVA!$G$6:$G$20,#REF!)</f>
        <v>#VALUE!</v>
      </c>
    </row>
    <row r="3735" spans="1:5" x14ac:dyDescent="0.2">
      <c r="A3735" s="28">
        <v>3734</v>
      </c>
      <c r="B3735" s="28" t="e">
        <f>interpola(#REF!,CURVA!$B$6:$B$20,CURVA!$G$6:$G$20)</f>
        <v>#VALUE!</v>
      </c>
      <c r="C3735" s="29" t="e">
        <f t="shared" si="58"/>
        <v>#VALUE!</v>
      </c>
      <c r="E3735" t="e">
        <f>cubic_spline(CURVA!$B$6:$B$20,CURVA!$G$6:$G$20,#REF!)</f>
        <v>#VALUE!</v>
      </c>
    </row>
    <row r="3736" spans="1:5" x14ac:dyDescent="0.2">
      <c r="A3736" s="28">
        <v>3735</v>
      </c>
      <c r="B3736" s="28" t="e">
        <f>interpola(#REF!,CURVA!$B$6:$B$20,CURVA!$G$6:$G$20)</f>
        <v>#VALUE!</v>
      </c>
      <c r="C3736" s="29" t="e">
        <f t="shared" si="58"/>
        <v>#VALUE!</v>
      </c>
      <c r="E3736" t="e">
        <f>cubic_spline(CURVA!$B$6:$B$20,CURVA!$G$6:$G$20,#REF!)</f>
        <v>#VALUE!</v>
      </c>
    </row>
    <row r="3737" spans="1:5" x14ac:dyDescent="0.2">
      <c r="A3737" s="28">
        <v>3736</v>
      </c>
      <c r="B3737" s="28" t="e">
        <f>interpola(#REF!,CURVA!$B$6:$B$20,CURVA!$G$6:$G$20)</f>
        <v>#VALUE!</v>
      </c>
      <c r="C3737" s="29" t="e">
        <f t="shared" si="58"/>
        <v>#VALUE!</v>
      </c>
      <c r="E3737" t="e">
        <f>cubic_spline(CURVA!$B$6:$B$20,CURVA!$G$6:$G$20,#REF!)</f>
        <v>#VALUE!</v>
      </c>
    </row>
    <row r="3738" spans="1:5" x14ac:dyDescent="0.2">
      <c r="A3738" s="28">
        <v>3737</v>
      </c>
      <c r="B3738" s="28" t="e">
        <f>interpola(#REF!,CURVA!$B$6:$B$20,CURVA!$G$6:$G$20)</f>
        <v>#VALUE!</v>
      </c>
      <c r="C3738" s="29" t="e">
        <f t="shared" si="58"/>
        <v>#VALUE!</v>
      </c>
      <c r="E3738" t="e">
        <f>cubic_spline(CURVA!$B$6:$B$20,CURVA!$G$6:$G$20,#REF!)</f>
        <v>#VALUE!</v>
      </c>
    </row>
    <row r="3739" spans="1:5" x14ac:dyDescent="0.2">
      <c r="A3739" s="28">
        <v>3738</v>
      </c>
      <c r="B3739" s="28" t="e">
        <f>interpola(#REF!,CURVA!$B$6:$B$20,CURVA!$G$6:$G$20)</f>
        <v>#VALUE!</v>
      </c>
      <c r="C3739" s="29" t="e">
        <f t="shared" si="58"/>
        <v>#VALUE!</v>
      </c>
      <c r="E3739" t="e">
        <f>cubic_spline(CURVA!$B$6:$B$20,CURVA!$G$6:$G$20,#REF!)</f>
        <v>#VALUE!</v>
      </c>
    </row>
    <row r="3740" spans="1:5" x14ac:dyDescent="0.2">
      <c r="A3740" s="28">
        <v>3739</v>
      </c>
      <c r="B3740" s="28" t="e">
        <f>interpola(#REF!,CURVA!$B$6:$B$20,CURVA!$G$6:$G$20)</f>
        <v>#VALUE!</v>
      </c>
      <c r="C3740" s="29" t="e">
        <f t="shared" si="58"/>
        <v>#VALUE!</v>
      </c>
      <c r="E3740" t="e">
        <f>cubic_spline(CURVA!$B$6:$B$20,CURVA!$G$6:$G$20,#REF!)</f>
        <v>#VALUE!</v>
      </c>
    </row>
    <row r="3741" spans="1:5" x14ac:dyDescent="0.2">
      <c r="A3741" s="28">
        <v>3740</v>
      </c>
      <c r="B3741" s="28" t="e">
        <f>interpola(#REF!,CURVA!$B$6:$B$20,CURVA!$G$6:$G$20)</f>
        <v>#VALUE!</v>
      </c>
      <c r="C3741" s="29" t="e">
        <f t="shared" si="58"/>
        <v>#VALUE!</v>
      </c>
      <c r="E3741" t="e">
        <f>cubic_spline(CURVA!$B$6:$B$20,CURVA!$G$6:$G$20,#REF!)</f>
        <v>#VALUE!</v>
      </c>
    </row>
    <row r="3742" spans="1:5" x14ac:dyDescent="0.2">
      <c r="A3742" s="28">
        <v>3741</v>
      </c>
      <c r="B3742" s="28" t="e">
        <f>interpola(#REF!,CURVA!$B$6:$B$20,CURVA!$G$6:$G$20)</f>
        <v>#VALUE!</v>
      </c>
      <c r="C3742" s="29" t="e">
        <f t="shared" si="58"/>
        <v>#VALUE!</v>
      </c>
      <c r="E3742" t="e">
        <f>cubic_spline(CURVA!$B$6:$B$20,CURVA!$G$6:$G$20,#REF!)</f>
        <v>#VALUE!</v>
      </c>
    </row>
    <row r="3743" spans="1:5" x14ac:dyDescent="0.2">
      <c r="A3743" s="28">
        <v>3742</v>
      </c>
      <c r="B3743" s="28" t="e">
        <f>interpola(#REF!,CURVA!$B$6:$B$20,CURVA!$G$6:$G$20)</f>
        <v>#VALUE!</v>
      </c>
      <c r="C3743" s="29" t="e">
        <f t="shared" si="58"/>
        <v>#VALUE!</v>
      </c>
      <c r="E3743" t="e">
        <f>cubic_spline(CURVA!$B$6:$B$20,CURVA!$G$6:$G$20,#REF!)</f>
        <v>#VALUE!</v>
      </c>
    </row>
    <row r="3744" spans="1:5" x14ac:dyDescent="0.2">
      <c r="A3744" s="28">
        <v>3743</v>
      </c>
      <c r="B3744" s="28" t="e">
        <f>interpola(#REF!,CURVA!$B$6:$B$20,CURVA!$G$6:$G$20)</f>
        <v>#VALUE!</v>
      </c>
      <c r="C3744" s="29" t="e">
        <f t="shared" si="58"/>
        <v>#VALUE!</v>
      </c>
      <c r="E3744" t="e">
        <f>cubic_spline(CURVA!$B$6:$B$20,CURVA!$G$6:$G$20,#REF!)</f>
        <v>#VALUE!</v>
      </c>
    </row>
    <row r="3745" spans="1:5" x14ac:dyDescent="0.2">
      <c r="A3745" s="28">
        <v>3744</v>
      </c>
      <c r="B3745" s="28" t="e">
        <f>interpola(#REF!,CURVA!$B$6:$B$20,CURVA!$G$6:$G$20)</f>
        <v>#VALUE!</v>
      </c>
      <c r="C3745" s="29" t="e">
        <f t="shared" si="58"/>
        <v>#VALUE!</v>
      </c>
      <c r="E3745" t="e">
        <f>cubic_spline(CURVA!$B$6:$B$20,CURVA!$G$6:$G$20,#REF!)</f>
        <v>#VALUE!</v>
      </c>
    </row>
    <row r="3746" spans="1:5" x14ac:dyDescent="0.2">
      <c r="A3746" s="28">
        <v>3745</v>
      </c>
      <c r="B3746" s="28" t="e">
        <f>interpola(#REF!,CURVA!$B$6:$B$20,CURVA!$G$6:$G$20)</f>
        <v>#VALUE!</v>
      </c>
      <c r="C3746" s="29" t="e">
        <f t="shared" si="58"/>
        <v>#VALUE!</v>
      </c>
      <c r="E3746" t="e">
        <f>cubic_spline(CURVA!$B$6:$B$20,CURVA!$G$6:$G$20,#REF!)</f>
        <v>#VALUE!</v>
      </c>
    </row>
    <row r="3747" spans="1:5" x14ac:dyDescent="0.2">
      <c r="A3747" s="28">
        <v>3746</v>
      </c>
      <c r="B3747" s="28" t="e">
        <f>interpola(#REF!,CURVA!$B$6:$B$20,CURVA!$G$6:$G$20)</f>
        <v>#VALUE!</v>
      </c>
      <c r="C3747" s="29" t="e">
        <f t="shared" si="58"/>
        <v>#VALUE!</v>
      </c>
      <c r="E3747" t="e">
        <f>cubic_spline(CURVA!$B$6:$B$20,CURVA!$G$6:$G$20,#REF!)</f>
        <v>#VALUE!</v>
      </c>
    </row>
    <row r="3748" spans="1:5" x14ac:dyDescent="0.2">
      <c r="A3748" s="28">
        <v>3747</v>
      </c>
      <c r="B3748" s="28" t="e">
        <f>interpola(#REF!,CURVA!$B$6:$B$20,CURVA!$G$6:$G$20)</f>
        <v>#VALUE!</v>
      </c>
      <c r="C3748" s="29" t="e">
        <f t="shared" si="58"/>
        <v>#VALUE!</v>
      </c>
      <c r="E3748" t="e">
        <f>cubic_spline(CURVA!$B$6:$B$20,CURVA!$G$6:$G$20,#REF!)</f>
        <v>#VALUE!</v>
      </c>
    </row>
    <row r="3749" spans="1:5" x14ac:dyDescent="0.2">
      <c r="A3749" s="28">
        <v>3748</v>
      </c>
      <c r="B3749" s="28" t="e">
        <f>interpola(#REF!,CURVA!$B$6:$B$20,CURVA!$G$6:$G$20)</f>
        <v>#VALUE!</v>
      </c>
      <c r="C3749" s="29" t="e">
        <f t="shared" si="58"/>
        <v>#VALUE!</v>
      </c>
      <c r="E3749" t="e">
        <f>cubic_spline(CURVA!$B$6:$B$20,CURVA!$G$6:$G$20,#REF!)</f>
        <v>#VALUE!</v>
      </c>
    </row>
    <row r="3750" spans="1:5" x14ac:dyDescent="0.2">
      <c r="A3750" s="28">
        <v>3749</v>
      </c>
      <c r="B3750" s="28" t="e">
        <f>interpola(#REF!,CURVA!$B$6:$B$20,CURVA!$G$6:$G$20)</f>
        <v>#VALUE!</v>
      </c>
      <c r="C3750" s="29" t="e">
        <f t="shared" si="58"/>
        <v>#VALUE!</v>
      </c>
      <c r="E3750" t="e">
        <f>cubic_spline(CURVA!$B$6:$B$20,CURVA!$G$6:$G$20,#REF!)</f>
        <v>#VALUE!</v>
      </c>
    </row>
    <row r="3751" spans="1:5" x14ac:dyDescent="0.2">
      <c r="A3751" s="28">
        <v>3750</v>
      </c>
      <c r="B3751" s="28" t="e">
        <f>interpola(#REF!,CURVA!$B$6:$B$20,CURVA!$G$6:$G$20)</f>
        <v>#VALUE!</v>
      </c>
      <c r="C3751" s="29" t="e">
        <f t="shared" si="58"/>
        <v>#VALUE!</v>
      </c>
      <c r="E3751" t="e">
        <f>cubic_spline(CURVA!$B$6:$B$20,CURVA!$G$6:$G$20,#REF!)</f>
        <v>#VALUE!</v>
      </c>
    </row>
    <row r="3752" spans="1:5" x14ac:dyDescent="0.2">
      <c r="A3752" s="28">
        <v>3751</v>
      </c>
      <c r="B3752" s="28" t="e">
        <f>interpola(#REF!,CURVA!$B$6:$B$20,CURVA!$G$6:$G$20)</f>
        <v>#VALUE!</v>
      </c>
      <c r="C3752" s="29" t="e">
        <f t="shared" si="58"/>
        <v>#VALUE!</v>
      </c>
      <c r="E3752" t="e">
        <f>cubic_spline(CURVA!$B$6:$B$20,CURVA!$G$6:$G$20,#REF!)</f>
        <v>#VALUE!</v>
      </c>
    </row>
    <row r="3753" spans="1:5" x14ac:dyDescent="0.2">
      <c r="A3753" s="28">
        <v>3752</v>
      </c>
      <c r="B3753" s="28" t="e">
        <f>interpola(#REF!,CURVA!$B$6:$B$20,CURVA!$G$6:$G$20)</f>
        <v>#VALUE!</v>
      </c>
      <c r="C3753" s="29" t="e">
        <f t="shared" si="58"/>
        <v>#VALUE!</v>
      </c>
      <c r="E3753" t="e">
        <f>cubic_spline(CURVA!$B$6:$B$20,CURVA!$G$6:$G$20,#REF!)</f>
        <v>#VALUE!</v>
      </c>
    </row>
    <row r="3754" spans="1:5" x14ac:dyDescent="0.2">
      <c r="A3754" s="28">
        <v>3753</v>
      </c>
      <c r="B3754" s="28" t="e">
        <f>interpola(#REF!,CURVA!$B$6:$B$20,CURVA!$G$6:$G$20)</f>
        <v>#VALUE!</v>
      </c>
      <c r="C3754" s="29" t="e">
        <f t="shared" si="58"/>
        <v>#VALUE!</v>
      </c>
      <c r="E3754" t="e">
        <f>cubic_spline(CURVA!$B$6:$B$20,CURVA!$G$6:$G$20,#REF!)</f>
        <v>#VALUE!</v>
      </c>
    </row>
    <row r="3755" spans="1:5" x14ac:dyDescent="0.2">
      <c r="A3755" s="28">
        <v>3754</v>
      </c>
      <c r="B3755" s="28" t="e">
        <f>interpola(#REF!,CURVA!$B$6:$B$20,CURVA!$G$6:$G$20)</f>
        <v>#VALUE!</v>
      </c>
      <c r="C3755" s="29" t="e">
        <f t="shared" si="58"/>
        <v>#VALUE!</v>
      </c>
      <c r="E3755" t="e">
        <f>cubic_spline(CURVA!$B$6:$B$20,CURVA!$G$6:$G$20,#REF!)</f>
        <v>#VALUE!</v>
      </c>
    </row>
    <row r="3756" spans="1:5" x14ac:dyDescent="0.2">
      <c r="A3756" s="28">
        <v>3755</v>
      </c>
      <c r="B3756" s="28" t="e">
        <f>interpola(#REF!,CURVA!$B$6:$B$20,CURVA!$G$6:$G$20)</f>
        <v>#VALUE!</v>
      </c>
      <c r="C3756" s="29" t="e">
        <f t="shared" si="58"/>
        <v>#VALUE!</v>
      </c>
      <c r="E3756" t="e">
        <f>cubic_spline(CURVA!$B$6:$B$20,CURVA!$G$6:$G$20,#REF!)</f>
        <v>#VALUE!</v>
      </c>
    </row>
    <row r="3757" spans="1:5" x14ac:dyDescent="0.2">
      <c r="A3757" s="28">
        <v>3756</v>
      </c>
      <c r="B3757" s="28" t="e">
        <f>interpola(#REF!,CURVA!$B$6:$B$20,CURVA!$G$6:$G$20)</f>
        <v>#VALUE!</v>
      </c>
      <c r="C3757" s="29" t="e">
        <f t="shared" si="58"/>
        <v>#VALUE!</v>
      </c>
      <c r="E3757" t="e">
        <f>cubic_spline(CURVA!$B$6:$B$20,CURVA!$G$6:$G$20,#REF!)</f>
        <v>#VALUE!</v>
      </c>
    </row>
    <row r="3758" spans="1:5" x14ac:dyDescent="0.2">
      <c r="A3758" s="28">
        <v>3757</v>
      </c>
      <c r="B3758" s="28" t="e">
        <f>interpola(#REF!,CURVA!$B$6:$B$20,CURVA!$G$6:$G$20)</f>
        <v>#VALUE!</v>
      </c>
      <c r="C3758" s="29" t="e">
        <f t="shared" si="58"/>
        <v>#VALUE!</v>
      </c>
      <c r="E3758" t="e">
        <f>cubic_spline(CURVA!$B$6:$B$20,CURVA!$G$6:$G$20,#REF!)</f>
        <v>#VALUE!</v>
      </c>
    </row>
    <row r="3759" spans="1:5" x14ac:dyDescent="0.2">
      <c r="A3759" s="28">
        <v>3758</v>
      </c>
      <c r="B3759" s="28" t="e">
        <f>interpola(#REF!,CURVA!$B$6:$B$20,CURVA!$G$6:$G$20)</f>
        <v>#VALUE!</v>
      </c>
      <c r="C3759" s="29" t="e">
        <f t="shared" si="58"/>
        <v>#VALUE!</v>
      </c>
      <c r="E3759" t="e">
        <f>cubic_spline(CURVA!$B$6:$B$20,CURVA!$G$6:$G$20,#REF!)</f>
        <v>#VALUE!</v>
      </c>
    </row>
    <row r="3760" spans="1:5" x14ac:dyDescent="0.2">
      <c r="A3760" s="28">
        <v>3759</v>
      </c>
      <c r="B3760" s="28" t="e">
        <f>interpola(#REF!,CURVA!$B$6:$B$20,CURVA!$G$6:$G$20)</f>
        <v>#VALUE!</v>
      </c>
      <c r="C3760" s="29" t="e">
        <f t="shared" si="58"/>
        <v>#VALUE!</v>
      </c>
      <c r="E3760" t="e">
        <f>cubic_spline(CURVA!$B$6:$B$20,CURVA!$G$6:$G$20,#REF!)</f>
        <v>#VALUE!</v>
      </c>
    </row>
    <row r="3761" spans="1:5" x14ac:dyDescent="0.2">
      <c r="A3761" s="28">
        <v>3760</v>
      </c>
      <c r="B3761" s="28" t="e">
        <f>interpola(#REF!,CURVA!$B$6:$B$20,CURVA!$G$6:$G$20)</f>
        <v>#VALUE!</v>
      </c>
      <c r="C3761" s="29" t="e">
        <f t="shared" si="58"/>
        <v>#VALUE!</v>
      </c>
      <c r="E3761" t="e">
        <f>cubic_spline(CURVA!$B$6:$B$20,CURVA!$G$6:$G$20,#REF!)</f>
        <v>#VALUE!</v>
      </c>
    </row>
    <row r="3762" spans="1:5" x14ac:dyDescent="0.2">
      <c r="A3762" s="28">
        <v>3761</v>
      </c>
      <c r="B3762" s="28" t="e">
        <f>interpola(#REF!,CURVA!$B$6:$B$20,CURVA!$G$6:$G$20)</f>
        <v>#VALUE!</v>
      </c>
      <c r="C3762" s="29" t="e">
        <f t="shared" si="58"/>
        <v>#VALUE!</v>
      </c>
      <c r="E3762" t="e">
        <f>cubic_spline(CURVA!$B$6:$B$20,CURVA!$G$6:$G$20,#REF!)</f>
        <v>#VALUE!</v>
      </c>
    </row>
    <row r="3763" spans="1:5" x14ac:dyDescent="0.2">
      <c r="A3763" s="28">
        <v>3762</v>
      </c>
      <c r="B3763" s="28" t="e">
        <f>interpola(#REF!,CURVA!$B$6:$B$20,CURVA!$G$6:$G$20)</f>
        <v>#VALUE!</v>
      </c>
      <c r="C3763" s="29" t="e">
        <f t="shared" si="58"/>
        <v>#VALUE!</v>
      </c>
      <c r="E3763" t="e">
        <f>cubic_spline(CURVA!$B$6:$B$20,CURVA!$G$6:$G$20,#REF!)</f>
        <v>#VALUE!</v>
      </c>
    </row>
    <row r="3764" spans="1:5" x14ac:dyDescent="0.2">
      <c r="A3764" s="28">
        <v>3763</v>
      </c>
      <c r="B3764" s="28" t="e">
        <f>interpola(#REF!,CURVA!$B$6:$B$20,CURVA!$G$6:$G$20)</f>
        <v>#VALUE!</v>
      </c>
      <c r="C3764" s="29" t="e">
        <f t="shared" si="58"/>
        <v>#VALUE!</v>
      </c>
      <c r="E3764" t="e">
        <f>cubic_spline(CURVA!$B$6:$B$20,CURVA!$G$6:$G$20,#REF!)</f>
        <v>#VALUE!</v>
      </c>
    </row>
    <row r="3765" spans="1:5" x14ac:dyDescent="0.2">
      <c r="A3765" s="28">
        <v>3764</v>
      </c>
      <c r="B3765" s="28" t="e">
        <f>interpola(#REF!,CURVA!$B$6:$B$20,CURVA!$G$6:$G$20)</f>
        <v>#VALUE!</v>
      </c>
      <c r="C3765" s="29" t="e">
        <f t="shared" si="58"/>
        <v>#VALUE!</v>
      </c>
      <c r="E3765" t="e">
        <f>cubic_spline(CURVA!$B$6:$B$20,CURVA!$G$6:$G$20,#REF!)</f>
        <v>#VALUE!</v>
      </c>
    </row>
    <row r="3766" spans="1:5" x14ac:dyDescent="0.2">
      <c r="A3766" s="28">
        <v>3765</v>
      </c>
      <c r="B3766" s="28" t="e">
        <f>interpola(#REF!,CURVA!$B$6:$B$20,CURVA!$G$6:$G$20)</f>
        <v>#VALUE!</v>
      </c>
      <c r="C3766" s="29" t="e">
        <f t="shared" si="58"/>
        <v>#VALUE!</v>
      </c>
      <c r="E3766" t="e">
        <f>cubic_spline(CURVA!$B$6:$B$20,CURVA!$G$6:$G$20,#REF!)</f>
        <v>#VALUE!</v>
      </c>
    </row>
    <row r="3767" spans="1:5" x14ac:dyDescent="0.2">
      <c r="A3767" s="28">
        <v>3766</v>
      </c>
      <c r="B3767" s="28" t="e">
        <f>interpola(#REF!,CURVA!$B$6:$B$20,CURVA!$G$6:$G$20)</f>
        <v>#VALUE!</v>
      </c>
      <c r="C3767" s="29" t="e">
        <f t="shared" si="58"/>
        <v>#VALUE!</v>
      </c>
      <c r="E3767" t="e">
        <f>cubic_spline(CURVA!$B$6:$B$20,CURVA!$G$6:$G$20,#REF!)</f>
        <v>#VALUE!</v>
      </c>
    </row>
    <row r="3768" spans="1:5" x14ac:dyDescent="0.2">
      <c r="A3768" s="28">
        <v>3767</v>
      </c>
      <c r="B3768" s="28" t="e">
        <f>interpola(#REF!,CURVA!$B$6:$B$20,CURVA!$G$6:$G$20)</f>
        <v>#VALUE!</v>
      </c>
      <c r="C3768" s="29" t="e">
        <f t="shared" si="58"/>
        <v>#VALUE!</v>
      </c>
      <c r="E3768" t="e">
        <f>cubic_spline(CURVA!$B$6:$B$20,CURVA!$G$6:$G$20,#REF!)</f>
        <v>#VALUE!</v>
      </c>
    </row>
    <row r="3769" spans="1:5" x14ac:dyDescent="0.2">
      <c r="A3769" s="28">
        <v>3768</v>
      </c>
      <c r="B3769" s="28" t="e">
        <f>interpola(#REF!,CURVA!$B$6:$B$20,CURVA!$G$6:$G$20)</f>
        <v>#VALUE!</v>
      </c>
      <c r="C3769" s="29" t="e">
        <f t="shared" si="58"/>
        <v>#VALUE!</v>
      </c>
      <c r="E3769" t="e">
        <f>cubic_spline(CURVA!$B$6:$B$20,CURVA!$G$6:$G$20,#REF!)</f>
        <v>#VALUE!</v>
      </c>
    </row>
    <row r="3770" spans="1:5" x14ac:dyDescent="0.2">
      <c r="A3770" s="28">
        <v>3769</v>
      </c>
      <c r="B3770" s="28" t="e">
        <f>interpola(#REF!,CURVA!$B$6:$B$20,CURVA!$G$6:$G$20)</f>
        <v>#VALUE!</v>
      </c>
      <c r="C3770" s="29" t="e">
        <f t="shared" si="58"/>
        <v>#VALUE!</v>
      </c>
      <c r="E3770" t="e">
        <f>cubic_spline(CURVA!$B$6:$B$20,CURVA!$G$6:$G$20,#REF!)</f>
        <v>#VALUE!</v>
      </c>
    </row>
    <row r="3771" spans="1:5" x14ac:dyDescent="0.2">
      <c r="A3771" s="28">
        <v>3770</v>
      </c>
      <c r="B3771" s="28" t="e">
        <f>interpola(#REF!,CURVA!$B$6:$B$20,CURVA!$G$6:$G$20)</f>
        <v>#VALUE!</v>
      </c>
      <c r="C3771" s="29" t="e">
        <f t="shared" si="58"/>
        <v>#VALUE!</v>
      </c>
      <c r="E3771" t="e">
        <f>cubic_spline(CURVA!$B$6:$B$20,CURVA!$G$6:$G$20,#REF!)</f>
        <v>#VALUE!</v>
      </c>
    </row>
    <row r="3772" spans="1:5" x14ac:dyDescent="0.2">
      <c r="A3772" s="28">
        <v>3771</v>
      </c>
      <c r="B3772" s="28" t="e">
        <f>interpola(#REF!,CURVA!$B$6:$B$20,CURVA!$G$6:$G$20)</f>
        <v>#VALUE!</v>
      </c>
      <c r="C3772" s="29" t="e">
        <f t="shared" si="58"/>
        <v>#VALUE!</v>
      </c>
      <c r="E3772" t="e">
        <f>cubic_spline(CURVA!$B$6:$B$20,CURVA!$G$6:$G$20,#REF!)</f>
        <v>#VALUE!</v>
      </c>
    </row>
    <row r="3773" spans="1:5" x14ac:dyDescent="0.2">
      <c r="A3773" s="28">
        <v>3772</v>
      </c>
      <c r="B3773" s="28" t="e">
        <f>interpola(#REF!,CURVA!$B$6:$B$20,CURVA!$G$6:$G$20)</f>
        <v>#VALUE!</v>
      </c>
      <c r="C3773" s="29" t="e">
        <f t="shared" si="58"/>
        <v>#VALUE!</v>
      </c>
      <c r="E3773" t="e">
        <f>cubic_spline(CURVA!$B$6:$B$20,CURVA!$G$6:$G$20,#REF!)</f>
        <v>#VALUE!</v>
      </c>
    </row>
    <row r="3774" spans="1:5" x14ac:dyDescent="0.2">
      <c r="A3774" s="28">
        <v>3773</v>
      </c>
      <c r="B3774" s="28" t="e">
        <f>interpola(#REF!,CURVA!$B$6:$B$20,CURVA!$G$6:$G$20)</f>
        <v>#VALUE!</v>
      </c>
      <c r="C3774" s="29" t="e">
        <f t="shared" si="58"/>
        <v>#VALUE!</v>
      </c>
      <c r="E3774" t="e">
        <f>cubic_spline(CURVA!$B$6:$B$20,CURVA!$G$6:$G$20,#REF!)</f>
        <v>#VALUE!</v>
      </c>
    </row>
    <row r="3775" spans="1:5" x14ac:dyDescent="0.2">
      <c r="A3775" s="28">
        <v>3774</v>
      </c>
      <c r="B3775" s="28" t="e">
        <f>interpola(#REF!,CURVA!$B$6:$B$20,CURVA!$G$6:$G$20)</f>
        <v>#VALUE!</v>
      </c>
      <c r="C3775" s="29" t="e">
        <f t="shared" si="58"/>
        <v>#VALUE!</v>
      </c>
      <c r="E3775" t="e">
        <f>cubic_spline(CURVA!$B$6:$B$20,CURVA!$G$6:$G$20,#REF!)</f>
        <v>#VALUE!</v>
      </c>
    </row>
    <row r="3776" spans="1:5" x14ac:dyDescent="0.2">
      <c r="A3776" s="28">
        <v>3775</v>
      </c>
      <c r="B3776" s="28" t="e">
        <f>interpola(#REF!,CURVA!$B$6:$B$20,CURVA!$G$6:$G$20)</f>
        <v>#VALUE!</v>
      </c>
      <c r="C3776" s="29" t="e">
        <f t="shared" si="58"/>
        <v>#VALUE!</v>
      </c>
      <c r="E3776" t="e">
        <f>cubic_spline(CURVA!$B$6:$B$20,CURVA!$G$6:$G$20,#REF!)</f>
        <v>#VALUE!</v>
      </c>
    </row>
    <row r="3777" spans="1:5" x14ac:dyDescent="0.2">
      <c r="A3777" s="28">
        <v>3776</v>
      </c>
      <c r="B3777" s="28" t="e">
        <f>interpola(#REF!,CURVA!$B$6:$B$20,CURVA!$G$6:$G$20)</f>
        <v>#VALUE!</v>
      </c>
      <c r="C3777" s="29" t="e">
        <f t="shared" si="58"/>
        <v>#VALUE!</v>
      </c>
      <c r="E3777" t="e">
        <f>cubic_spline(CURVA!$B$6:$B$20,CURVA!$G$6:$G$20,#REF!)</f>
        <v>#VALUE!</v>
      </c>
    </row>
    <row r="3778" spans="1:5" x14ac:dyDescent="0.2">
      <c r="A3778" s="28">
        <v>3777</v>
      </c>
      <c r="B3778" s="28" t="e">
        <f>interpola(#REF!,CURVA!$B$6:$B$20,CURVA!$G$6:$G$20)</f>
        <v>#VALUE!</v>
      </c>
      <c r="C3778" s="29" t="e">
        <f t="shared" ref="C3778:C3841" si="59">(EXP(B3778*A3778/360)-1)*360/A3778</f>
        <v>#VALUE!</v>
      </c>
      <c r="E3778" t="e">
        <f>cubic_spline(CURVA!$B$6:$B$20,CURVA!$G$6:$G$20,#REF!)</f>
        <v>#VALUE!</v>
      </c>
    </row>
    <row r="3779" spans="1:5" x14ac:dyDescent="0.2">
      <c r="A3779" s="28">
        <v>3778</v>
      </c>
      <c r="B3779" s="28" t="e">
        <f>interpola(#REF!,CURVA!$B$6:$B$20,CURVA!$G$6:$G$20)</f>
        <v>#VALUE!</v>
      </c>
      <c r="C3779" s="29" t="e">
        <f t="shared" si="59"/>
        <v>#VALUE!</v>
      </c>
      <c r="E3779" t="e">
        <f>cubic_spline(CURVA!$B$6:$B$20,CURVA!$G$6:$G$20,#REF!)</f>
        <v>#VALUE!</v>
      </c>
    </row>
    <row r="3780" spans="1:5" x14ac:dyDescent="0.2">
      <c r="A3780" s="28">
        <v>3779</v>
      </c>
      <c r="B3780" s="28" t="e">
        <f>interpola(#REF!,CURVA!$B$6:$B$20,CURVA!$G$6:$G$20)</f>
        <v>#VALUE!</v>
      </c>
      <c r="C3780" s="29" t="e">
        <f t="shared" si="59"/>
        <v>#VALUE!</v>
      </c>
      <c r="E3780" t="e">
        <f>cubic_spline(CURVA!$B$6:$B$20,CURVA!$G$6:$G$20,#REF!)</f>
        <v>#VALUE!</v>
      </c>
    </row>
    <row r="3781" spans="1:5" x14ac:dyDescent="0.2">
      <c r="A3781" s="28">
        <v>3780</v>
      </c>
      <c r="B3781" s="28" t="e">
        <f>interpola(#REF!,CURVA!$B$6:$B$20,CURVA!$G$6:$G$20)</f>
        <v>#VALUE!</v>
      </c>
      <c r="C3781" s="29" t="e">
        <f t="shared" si="59"/>
        <v>#VALUE!</v>
      </c>
      <c r="E3781" t="e">
        <f>cubic_spline(CURVA!$B$6:$B$20,CURVA!$G$6:$G$20,#REF!)</f>
        <v>#VALUE!</v>
      </c>
    </row>
    <row r="3782" spans="1:5" x14ac:dyDescent="0.2">
      <c r="A3782" s="28">
        <v>3781</v>
      </c>
      <c r="B3782" s="28" t="e">
        <f>interpola(#REF!,CURVA!$B$6:$B$20,CURVA!$G$6:$G$20)</f>
        <v>#VALUE!</v>
      </c>
      <c r="C3782" s="29" t="e">
        <f t="shared" si="59"/>
        <v>#VALUE!</v>
      </c>
      <c r="E3782" t="e">
        <f>cubic_spline(CURVA!$B$6:$B$20,CURVA!$G$6:$G$20,#REF!)</f>
        <v>#VALUE!</v>
      </c>
    </row>
    <row r="3783" spans="1:5" x14ac:dyDescent="0.2">
      <c r="A3783" s="28">
        <v>3782</v>
      </c>
      <c r="B3783" s="28" t="e">
        <f>interpola(#REF!,CURVA!$B$6:$B$20,CURVA!$G$6:$G$20)</f>
        <v>#VALUE!</v>
      </c>
      <c r="C3783" s="29" t="e">
        <f t="shared" si="59"/>
        <v>#VALUE!</v>
      </c>
      <c r="E3783" t="e">
        <f>cubic_spline(CURVA!$B$6:$B$20,CURVA!$G$6:$G$20,#REF!)</f>
        <v>#VALUE!</v>
      </c>
    </row>
    <row r="3784" spans="1:5" x14ac:dyDescent="0.2">
      <c r="A3784" s="28">
        <v>3783</v>
      </c>
      <c r="B3784" s="28" t="e">
        <f>interpola(#REF!,CURVA!$B$6:$B$20,CURVA!$G$6:$G$20)</f>
        <v>#VALUE!</v>
      </c>
      <c r="C3784" s="29" t="e">
        <f t="shared" si="59"/>
        <v>#VALUE!</v>
      </c>
      <c r="E3784" t="e">
        <f>cubic_spline(CURVA!$B$6:$B$20,CURVA!$G$6:$G$20,#REF!)</f>
        <v>#VALUE!</v>
      </c>
    </row>
    <row r="3785" spans="1:5" x14ac:dyDescent="0.2">
      <c r="A3785" s="28">
        <v>3784</v>
      </c>
      <c r="B3785" s="28" t="e">
        <f>interpola(#REF!,CURVA!$B$6:$B$20,CURVA!$G$6:$G$20)</f>
        <v>#VALUE!</v>
      </c>
      <c r="C3785" s="29" t="e">
        <f t="shared" si="59"/>
        <v>#VALUE!</v>
      </c>
      <c r="E3785" t="e">
        <f>cubic_spline(CURVA!$B$6:$B$20,CURVA!$G$6:$G$20,#REF!)</f>
        <v>#VALUE!</v>
      </c>
    </row>
    <row r="3786" spans="1:5" x14ac:dyDescent="0.2">
      <c r="A3786" s="28">
        <v>3785</v>
      </c>
      <c r="B3786" s="28" t="e">
        <f>interpola(#REF!,CURVA!$B$6:$B$20,CURVA!$G$6:$G$20)</f>
        <v>#VALUE!</v>
      </c>
      <c r="C3786" s="29" t="e">
        <f t="shared" si="59"/>
        <v>#VALUE!</v>
      </c>
      <c r="E3786" t="e">
        <f>cubic_spline(CURVA!$B$6:$B$20,CURVA!$G$6:$G$20,#REF!)</f>
        <v>#VALUE!</v>
      </c>
    </row>
    <row r="3787" spans="1:5" x14ac:dyDescent="0.2">
      <c r="A3787" s="28">
        <v>3786</v>
      </c>
      <c r="B3787" s="28" t="e">
        <f>interpola(#REF!,CURVA!$B$6:$B$20,CURVA!$G$6:$G$20)</f>
        <v>#VALUE!</v>
      </c>
      <c r="C3787" s="29" t="e">
        <f t="shared" si="59"/>
        <v>#VALUE!</v>
      </c>
      <c r="E3787" t="e">
        <f>cubic_spline(CURVA!$B$6:$B$20,CURVA!$G$6:$G$20,#REF!)</f>
        <v>#VALUE!</v>
      </c>
    </row>
    <row r="3788" spans="1:5" x14ac:dyDescent="0.2">
      <c r="A3788" s="28">
        <v>3787</v>
      </c>
      <c r="B3788" s="28" t="e">
        <f>interpola(#REF!,CURVA!$B$6:$B$20,CURVA!$G$6:$G$20)</f>
        <v>#VALUE!</v>
      </c>
      <c r="C3788" s="29" t="e">
        <f t="shared" si="59"/>
        <v>#VALUE!</v>
      </c>
      <c r="E3788" t="e">
        <f>cubic_spline(CURVA!$B$6:$B$20,CURVA!$G$6:$G$20,#REF!)</f>
        <v>#VALUE!</v>
      </c>
    </row>
    <row r="3789" spans="1:5" x14ac:dyDescent="0.2">
      <c r="A3789" s="28">
        <v>3788</v>
      </c>
      <c r="B3789" s="28" t="e">
        <f>interpola(#REF!,CURVA!$B$6:$B$20,CURVA!$G$6:$G$20)</f>
        <v>#VALUE!</v>
      </c>
      <c r="C3789" s="29" t="e">
        <f t="shared" si="59"/>
        <v>#VALUE!</v>
      </c>
      <c r="E3789" t="e">
        <f>cubic_spline(CURVA!$B$6:$B$20,CURVA!$G$6:$G$20,#REF!)</f>
        <v>#VALUE!</v>
      </c>
    </row>
    <row r="3790" spans="1:5" x14ac:dyDescent="0.2">
      <c r="A3790" s="28">
        <v>3789</v>
      </c>
      <c r="B3790" s="28" t="e">
        <f>interpola(#REF!,CURVA!$B$6:$B$20,CURVA!$G$6:$G$20)</f>
        <v>#VALUE!</v>
      </c>
      <c r="C3790" s="29" t="e">
        <f t="shared" si="59"/>
        <v>#VALUE!</v>
      </c>
      <c r="E3790" t="e">
        <f>cubic_spline(CURVA!$B$6:$B$20,CURVA!$G$6:$G$20,#REF!)</f>
        <v>#VALUE!</v>
      </c>
    </row>
    <row r="3791" spans="1:5" x14ac:dyDescent="0.2">
      <c r="A3791" s="28">
        <v>3790</v>
      </c>
      <c r="B3791" s="28" t="e">
        <f>interpola(#REF!,CURVA!$B$6:$B$20,CURVA!$G$6:$G$20)</f>
        <v>#VALUE!</v>
      </c>
      <c r="C3791" s="29" t="e">
        <f t="shared" si="59"/>
        <v>#VALUE!</v>
      </c>
      <c r="E3791" t="e">
        <f>cubic_spline(CURVA!$B$6:$B$20,CURVA!$G$6:$G$20,#REF!)</f>
        <v>#VALUE!</v>
      </c>
    </row>
    <row r="3792" spans="1:5" x14ac:dyDescent="0.2">
      <c r="A3792" s="28">
        <v>3791</v>
      </c>
      <c r="B3792" s="28" t="e">
        <f>interpola(#REF!,CURVA!$B$6:$B$20,CURVA!$G$6:$G$20)</f>
        <v>#VALUE!</v>
      </c>
      <c r="C3792" s="29" t="e">
        <f t="shared" si="59"/>
        <v>#VALUE!</v>
      </c>
      <c r="E3792" t="e">
        <f>cubic_spline(CURVA!$B$6:$B$20,CURVA!$G$6:$G$20,#REF!)</f>
        <v>#VALUE!</v>
      </c>
    </row>
    <row r="3793" spans="1:5" x14ac:dyDescent="0.2">
      <c r="A3793" s="28">
        <v>3792</v>
      </c>
      <c r="B3793" s="28" t="e">
        <f>interpola(#REF!,CURVA!$B$6:$B$20,CURVA!$G$6:$G$20)</f>
        <v>#VALUE!</v>
      </c>
      <c r="C3793" s="29" t="e">
        <f t="shared" si="59"/>
        <v>#VALUE!</v>
      </c>
      <c r="E3793" t="e">
        <f>cubic_spline(CURVA!$B$6:$B$20,CURVA!$G$6:$G$20,#REF!)</f>
        <v>#VALUE!</v>
      </c>
    </row>
    <row r="3794" spans="1:5" x14ac:dyDescent="0.2">
      <c r="A3794" s="28">
        <v>3793</v>
      </c>
      <c r="B3794" s="28" t="e">
        <f>interpola(#REF!,CURVA!$B$6:$B$20,CURVA!$G$6:$G$20)</f>
        <v>#VALUE!</v>
      </c>
      <c r="C3794" s="29" t="e">
        <f t="shared" si="59"/>
        <v>#VALUE!</v>
      </c>
      <c r="E3794" t="e">
        <f>cubic_spline(CURVA!$B$6:$B$20,CURVA!$G$6:$G$20,#REF!)</f>
        <v>#VALUE!</v>
      </c>
    </row>
    <row r="3795" spans="1:5" x14ac:dyDescent="0.2">
      <c r="A3795" s="28">
        <v>3794</v>
      </c>
      <c r="B3795" s="28" t="e">
        <f>interpola(#REF!,CURVA!$B$6:$B$20,CURVA!$G$6:$G$20)</f>
        <v>#VALUE!</v>
      </c>
      <c r="C3795" s="29" t="e">
        <f t="shared" si="59"/>
        <v>#VALUE!</v>
      </c>
      <c r="E3795" t="e">
        <f>cubic_spline(CURVA!$B$6:$B$20,CURVA!$G$6:$G$20,#REF!)</f>
        <v>#VALUE!</v>
      </c>
    </row>
    <row r="3796" spans="1:5" x14ac:dyDescent="0.2">
      <c r="A3796" s="28">
        <v>3795</v>
      </c>
      <c r="B3796" s="28" t="e">
        <f>interpola(#REF!,CURVA!$B$6:$B$20,CURVA!$G$6:$G$20)</f>
        <v>#VALUE!</v>
      </c>
      <c r="C3796" s="29" t="e">
        <f t="shared" si="59"/>
        <v>#VALUE!</v>
      </c>
      <c r="E3796" t="e">
        <f>cubic_spline(CURVA!$B$6:$B$20,CURVA!$G$6:$G$20,#REF!)</f>
        <v>#VALUE!</v>
      </c>
    </row>
    <row r="3797" spans="1:5" x14ac:dyDescent="0.2">
      <c r="A3797" s="28">
        <v>3796</v>
      </c>
      <c r="B3797" s="28" t="e">
        <f>interpola(#REF!,CURVA!$B$6:$B$20,CURVA!$G$6:$G$20)</f>
        <v>#VALUE!</v>
      </c>
      <c r="C3797" s="29" t="e">
        <f t="shared" si="59"/>
        <v>#VALUE!</v>
      </c>
      <c r="E3797" t="e">
        <f>cubic_spline(CURVA!$B$6:$B$20,CURVA!$G$6:$G$20,#REF!)</f>
        <v>#VALUE!</v>
      </c>
    </row>
    <row r="3798" spans="1:5" x14ac:dyDescent="0.2">
      <c r="A3798" s="28">
        <v>3797</v>
      </c>
      <c r="B3798" s="28" t="e">
        <f>interpola(#REF!,CURVA!$B$6:$B$20,CURVA!$G$6:$G$20)</f>
        <v>#VALUE!</v>
      </c>
      <c r="C3798" s="29" t="e">
        <f t="shared" si="59"/>
        <v>#VALUE!</v>
      </c>
      <c r="E3798" t="e">
        <f>cubic_spline(CURVA!$B$6:$B$20,CURVA!$G$6:$G$20,#REF!)</f>
        <v>#VALUE!</v>
      </c>
    </row>
    <row r="3799" spans="1:5" x14ac:dyDescent="0.2">
      <c r="A3799" s="28">
        <v>3798</v>
      </c>
      <c r="B3799" s="28" t="e">
        <f>interpola(#REF!,CURVA!$B$6:$B$20,CURVA!$G$6:$G$20)</f>
        <v>#VALUE!</v>
      </c>
      <c r="C3799" s="29" t="e">
        <f t="shared" si="59"/>
        <v>#VALUE!</v>
      </c>
      <c r="E3799" t="e">
        <f>cubic_spline(CURVA!$B$6:$B$20,CURVA!$G$6:$G$20,#REF!)</f>
        <v>#VALUE!</v>
      </c>
    </row>
    <row r="3800" spans="1:5" x14ac:dyDescent="0.2">
      <c r="A3800" s="28">
        <v>3799</v>
      </c>
      <c r="B3800" s="28" t="e">
        <f>interpola(#REF!,CURVA!$B$6:$B$20,CURVA!$G$6:$G$20)</f>
        <v>#VALUE!</v>
      </c>
      <c r="C3800" s="29" t="e">
        <f t="shared" si="59"/>
        <v>#VALUE!</v>
      </c>
      <c r="E3800" t="e">
        <f>cubic_spline(CURVA!$B$6:$B$20,CURVA!$G$6:$G$20,#REF!)</f>
        <v>#VALUE!</v>
      </c>
    </row>
    <row r="3801" spans="1:5" x14ac:dyDescent="0.2">
      <c r="A3801" s="28">
        <v>3800</v>
      </c>
      <c r="B3801" s="28" t="e">
        <f>interpola(#REF!,CURVA!$B$6:$B$20,CURVA!$G$6:$G$20)</f>
        <v>#VALUE!</v>
      </c>
      <c r="C3801" s="29" t="e">
        <f t="shared" si="59"/>
        <v>#VALUE!</v>
      </c>
      <c r="E3801" t="e">
        <f>cubic_spline(CURVA!$B$6:$B$20,CURVA!$G$6:$G$20,#REF!)</f>
        <v>#VALUE!</v>
      </c>
    </row>
    <row r="3802" spans="1:5" x14ac:dyDescent="0.2">
      <c r="A3802" s="28">
        <v>3801</v>
      </c>
      <c r="B3802" s="28" t="e">
        <f>interpola(#REF!,CURVA!$B$6:$B$20,CURVA!$G$6:$G$20)</f>
        <v>#VALUE!</v>
      </c>
      <c r="C3802" s="29" t="e">
        <f t="shared" si="59"/>
        <v>#VALUE!</v>
      </c>
      <c r="E3802" t="e">
        <f>cubic_spline(CURVA!$B$6:$B$20,CURVA!$G$6:$G$20,#REF!)</f>
        <v>#VALUE!</v>
      </c>
    </row>
    <row r="3803" spans="1:5" x14ac:dyDescent="0.2">
      <c r="A3803" s="28">
        <v>3802</v>
      </c>
      <c r="B3803" s="28" t="e">
        <f>interpola(#REF!,CURVA!$B$6:$B$20,CURVA!$G$6:$G$20)</f>
        <v>#VALUE!</v>
      </c>
      <c r="C3803" s="29" t="e">
        <f t="shared" si="59"/>
        <v>#VALUE!</v>
      </c>
      <c r="E3803" t="e">
        <f>cubic_spline(CURVA!$B$6:$B$20,CURVA!$G$6:$G$20,#REF!)</f>
        <v>#VALUE!</v>
      </c>
    </row>
    <row r="3804" spans="1:5" x14ac:dyDescent="0.2">
      <c r="A3804" s="28">
        <v>3803</v>
      </c>
      <c r="B3804" s="28" t="e">
        <f>interpola(#REF!,CURVA!$B$6:$B$20,CURVA!$G$6:$G$20)</f>
        <v>#VALUE!</v>
      </c>
      <c r="C3804" s="29" t="e">
        <f t="shared" si="59"/>
        <v>#VALUE!</v>
      </c>
      <c r="E3804" t="e">
        <f>cubic_spline(CURVA!$B$6:$B$20,CURVA!$G$6:$G$20,#REF!)</f>
        <v>#VALUE!</v>
      </c>
    </row>
    <row r="3805" spans="1:5" x14ac:dyDescent="0.2">
      <c r="A3805" s="28">
        <v>3804</v>
      </c>
      <c r="B3805" s="28" t="e">
        <f>interpola(#REF!,CURVA!$B$6:$B$20,CURVA!$G$6:$G$20)</f>
        <v>#VALUE!</v>
      </c>
      <c r="C3805" s="29" t="e">
        <f t="shared" si="59"/>
        <v>#VALUE!</v>
      </c>
      <c r="E3805" t="e">
        <f>cubic_spline(CURVA!$B$6:$B$20,CURVA!$G$6:$G$20,#REF!)</f>
        <v>#VALUE!</v>
      </c>
    </row>
    <row r="3806" spans="1:5" x14ac:dyDescent="0.2">
      <c r="A3806" s="28">
        <v>3805</v>
      </c>
      <c r="B3806" s="28" t="e">
        <f>interpola(#REF!,CURVA!$B$6:$B$20,CURVA!$G$6:$G$20)</f>
        <v>#VALUE!</v>
      </c>
      <c r="C3806" s="29" t="e">
        <f t="shared" si="59"/>
        <v>#VALUE!</v>
      </c>
      <c r="E3806" t="e">
        <f>cubic_spline(CURVA!$B$6:$B$20,CURVA!$G$6:$G$20,#REF!)</f>
        <v>#VALUE!</v>
      </c>
    </row>
    <row r="3807" spans="1:5" x14ac:dyDescent="0.2">
      <c r="A3807" s="28">
        <v>3806</v>
      </c>
      <c r="B3807" s="28" t="e">
        <f>interpola(#REF!,CURVA!$B$6:$B$20,CURVA!$G$6:$G$20)</f>
        <v>#VALUE!</v>
      </c>
      <c r="C3807" s="29" t="e">
        <f t="shared" si="59"/>
        <v>#VALUE!</v>
      </c>
      <c r="E3807" t="e">
        <f>cubic_spline(CURVA!$B$6:$B$20,CURVA!$G$6:$G$20,#REF!)</f>
        <v>#VALUE!</v>
      </c>
    </row>
    <row r="3808" spans="1:5" x14ac:dyDescent="0.2">
      <c r="A3808" s="28">
        <v>3807</v>
      </c>
      <c r="B3808" s="28" t="e">
        <f>interpola(#REF!,CURVA!$B$6:$B$20,CURVA!$G$6:$G$20)</f>
        <v>#VALUE!</v>
      </c>
      <c r="C3808" s="29" t="e">
        <f t="shared" si="59"/>
        <v>#VALUE!</v>
      </c>
      <c r="E3808" t="e">
        <f>cubic_spline(CURVA!$B$6:$B$20,CURVA!$G$6:$G$20,#REF!)</f>
        <v>#VALUE!</v>
      </c>
    </row>
    <row r="3809" spans="1:5" x14ac:dyDescent="0.2">
      <c r="A3809" s="28">
        <v>3808</v>
      </c>
      <c r="B3809" s="28" t="e">
        <f>interpola(#REF!,CURVA!$B$6:$B$20,CURVA!$G$6:$G$20)</f>
        <v>#VALUE!</v>
      </c>
      <c r="C3809" s="29" t="e">
        <f t="shared" si="59"/>
        <v>#VALUE!</v>
      </c>
      <c r="E3809" t="e">
        <f>cubic_spline(CURVA!$B$6:$B$20,CURVA!$G$6:$G$20,#REF!)</f>
        <v>#VALUE!</v>
      </c>
    </row>
    <row r="3810" spans="1:5" x14ac:dyDescent="0.2">
      <c r="A3810" s="28">
        <v>3809</v>
      </c>
      <c r="B3810" s="28" t="e">
        <f>interpola(#REF!,CURVA!$B$6:$B$20,CURVA!$G$6:$G$20)</f>
        <v>#VALUE!</v>
      </c>
      <c r="C3810" s="29" t="e">
        <f t="shared" si="59"/>
        <v>#VALUE!</v>
      </c>
      <c r="E3810" t="e">
        <f>cubic_spline(CURVA!$B$6:$B$20,CURVA!$G$6:$G$20,#REF!)</f>
        <v>#VALUE!</v>
      </c>
    </row>
    <row r="3811" spans="1:5" x14ac:dyDescent="0.2">
      <c r="A3811" s="28">
        <v>3810</v>
      </c>
      <c r="B3811" s="28" t="e">
        <f>interpola(#REF!,CURVA!$B$6:$B$20,CURVA!$G$6:$G$20)</f>
        <v>#VALUE!</v>
      </c>
      <c r="C3811" s="29" t="e">
        <f t="shared" si="59"/>
        <v>#VALUE!</v>
      </c>
      <c r="E3811" t="e">
        <f>cubic_spline(CURVA!$B$6:$B$20,CURVA!$G$6:$G$20,#REF!)</f>
        <v>#VALUE!</v>
      </c>
    </row>
    <row r="3812" spans="1:5" x14ac:dyDescent="0.2">
      <c r="A3812" s="28">
        <v>3811</v>
      </c>
      <c r="B3812" s="28" t="e">
        <f>interpola(#REF!,CURVA!$B$6:$B$20,CURVA!$G$6:$G$20)</f>
        <v>#VALUE!</v>
      </c>
      <c r="C3812" s="29" t="e">
        <f t="shared" si="59"/>
        <v>#VALUE!</v>
      </c>
      <c r="E3812" t="e">
        <f>cubic_spline(CURVA!$B$6:$B$20,CURVA!$G$6:$G$20,#REF!)</f>
        <v>#VALUE!</v>
      </c>
    </row>
    <row r="3813" spans="1:5" x14ac:dyDescent="0.2">
      <c r="A3813" s="28">
        <v>3812</v>
      </c>
      <c r="B3813" s="28" t="e">
        <f>interpola(#REF!,CURVA!$B$6:$B$20,CURVA!$G$6:$G$20)</f>
        <v>#VALUE!</v>
      </c>
      <c r="C3813" s="29" t="e">
        <f t="shared" si="59"/>
        <v>#VALUE!</v>
      </c>
      <c r="E3813" t="e">
        <f>cubic_spline(CURVA!$B$6:$B$20,CURVA!$G$6:$G$20,#REF!)</f>
        <v>#VALUE!</v>
      </c>
    </row>
    <row r="3814" spans="1:5" x14ac:dyDescent="0.2">
      <c r="A3814" s="28">
        <v>3813</v>
      </c>
      <c r="B3814" s="28" t="e">
        <f>interpola(#REF!,CURVA!$B$6:$B$20,CURVA!$G$6:$G$20)</f>
        <v>#VALUE!</v>
      </c>
      <c r="C3814" s="29" t="e">
        <f t="shared" si="59"/>
        <v>#VALUE!</v>
      </c>
      <c r="E3814" t="e">
        <f>cubic_spline(CURVA!$B$6:$B$20,CURVA!$G$6:$G$20,#REF!)</f>
        <v>#VALUE!</v>
      </c>
    </row>
    <row r="3815" spans="1:5" x14ac:dyDescent="0.2">
      <c r="A3815" s="28">
        <v>3814</v>
      </c>
      <c r="B3815" s="28" t="e">
        <f>interpola(#REF!,CURVA!$B$6:$B$20,CURVA!$G$6:$G$20)</f>
        <v>#VALUE!</v>
      </c>
      <c r="C3815" s="29" t="e">
        <f t="shared" si="59"/>
        <v>#VALUE!</v>
      </c>
      <c r="E3815" t="e">
        <f>cubic_spline(CURVA!$B$6:$B$20,CURVA!$G$6:$G$20,#REF!)</f>
        <v>#VALUE!</v>
      </c>
    </row>
    <row r="3816" spans="1:5" x14ac:dyDescent="0.2">
      <c r="A3816" s="28">
        <v>3815</v>
      </c>
      <c r="B3816" s="28" t="e">
        <f>interpola(#REF!,CURVA!$B$6:$B$20,CURVA!$G$6:$G$20)</f>
        <v>#VALUE!</v>
      </c>
      <c r="C3816" s="29" t="e">
        <f t="shared" si="59"/>
        <v>#VALUE!</v>
      </c>
      <c r="E3816" t="e">
        <f>cubic_spline(CURVA!$B$6:$B$20,CURVA!$G$6:$G$20,#REF!)</f>
        <v>#VALUE!</v>
      </c>
    </row>
    <row r="3817" spans="1:5" x14ac:dyDescent="0.2">
      <c r="A3817" s="28">
        <v>3816</v>
      </c>
      <c r="B3817" s="28" t="e">
        <f>interpola(#REF!,CURVA!$B$6:$B$20,CURVA!$G$6:$G$20)</f>
        <v>#VALUE!</v>
      </c>
      <c r="C3817" s="29" t="e">
        <f t="shared" si="59"/>
        <v>#VALUE!</v>
      </c>
      <c r="E3817" t="e">
        <f>cubic_spline(CURVA!$B$6:$B$20,CURVA!$G$6:$G$20,#REF!)</f>
        <v>#VALUE!</v>
      </c>
    </row>
    <row r="3818" spans="1:5" x14ac:dyDescent="0.2">
      <c r="A3818" s="28">
        <v>3817</v>
      </c>
      <c r="B3818" s="28" t="e">
        <f>interpola(#REF!,CURVA!$B$6:$B$20,CURVA!$G$6:$G$20)</f>
        <v>#VALUE!</v>
      </c>
      <c r="C3818" s="29" t="e">
        <f t="shared" si="59"/>
        <v>#VALUE!</v>
      </c>
      <c r="E3818" t="e">
        <f>cubic_spline(CURVA!$B$6:$B$20,CURVA!$G$6:$G$20,#REF!)</f>
        <v>#VALUE!</v>
      </c>
    </row>
    <row r="3819" spans="1:5" x14ac:dyDescent="0.2">
      <c r="A3819" s="28">
        <v>3818</v>
      </c>
      <c r="B3819" s="28" t="e">
        <f>interpola(#REF!,CURVA!$B$6:$B$20,CURVA!$G$6:$G$20)</f>
        <v>#VALUE!</v>
      </c>
      <c r="C3819" s="29" t="e">
        <f t="shared" si="59"/>
        <v>#VALUE!</v>
      </c>
      <c r="E3819" t="e">
        <f>cubic_spline(CURVA!$B$6:$B$20,CURVA!$G$6:$G$20,#REF!)</f>
        <v>#VALUE!</v>
      </c>
    </row>
    <row r="3820" spans="1:5" x14ac:dyDescent="0.2">
      <c r="A3820" s="28">
        <v>3819</v>
      </c>
      <c r="B3820" s="28" t="e">
        <f>interpola(#REF!,CURVA!$B$6:$B$20,CURVA!$G$6:$G$20)</f>
        <v>#VALUE!</v>
      </c>
      <c r="C3820" s="29" t="e">
        <f t="shared" si="59"/>
        <v>#VALUE!</v>
      </c>
      <c r="E3820" t="e">
        <f>cubic_spline(CURVA!$B$6:$B$20,CURVA!$G$6:$G$20,#REF!)</f>
        <v>#VALUE!</v>
      </c>
    </row>
    <row r="3821" spans="1:5" x14ac:dyDescent="0.2">
      <c r="A3821" s="28">
        <v>3820</v>
      </c>
      <c r="B3821" s="28" t="e">
        <f>interpola(#REF!,CURVA!$B$6:$B$20,CURVA!$G$6:$G$20)</f>
        <v>#VALUE!</v>
      </c>
      <c r="C3821" s="29" t="e">
        <f t="shared" si="59"/>
        <v>#VALUE!</v>
      </c>
      <c r="E3821" t="e">
        <f>cubic_spline(CURVA!$B$6:$B$20,CURVA!$G$6:$G$20,#REF!)</f>
        <v>#VALUE!</v>
      </c>
    </row>
    <row r="3822" spans="1:5" x14ac:dyDescent="0.2">
      <c r="A3822" s="28">
        <v>3821</v>
      </c>
      <c r="B3822" s="28" t="e">
        <f>interpola(#REF!,CURVA!$B$6:$B$20,CURVA!$G$6:$G$20)</f>
        <v>#VALUE!</v>
      </c>
      <c r="C3822" s="29" t="e">
        <f t="shared" si="59"/>
        <v>#VALUE!</v>
      </c>
      <c r="E3822" t="e">
        <f>cubic_spline(CURVA!$B$6:$B$20,CURVA!$G$6:$G$20,#REF!)</f>
        <v>#VALUE!</v>
      </c>
    </row>
    <row r="3823" spans="1:5" x14ac:dyDescent="0.2">
      <c r="A3823" s="28">
        <v>3822</v>
      </c>
      <c r="B3823" s="28" t="e">
        <f>interpola(#REF!,CURVA!$B$6:$B$20,CURVA!$G$6:$G$20)</f>
        <v>#VALUE!</v>
      </c>
      <c r="C3823" s="29" t="e">
        <f t="shared" si="59"/>
        <v>#VALUE!</v>
      </c>
      <c r="E3823" t="e">
        <f>cubic_spline(CURVA!$B$6:$B$20,CURVA!$G$6:$G$20,#REF!)</f>
        <v>#VALUE!</v>
      </c>
    </row>
    <row r="3824" spans="1:5" x14ac:dyDescent="0.2">
      <c r="A3824" s="28">
        <v>3823</v>
      </c>
      <c r="B3824" s="28" t="e">
        <f>interpola(#REF!,CURVA!$B$6:$B$20,CURVA!$G$6:$G$20)</f>
        <v>#VALUE!</v>
      </c>
      <c r="C3824" s="29" t="e">
        <f t="shared" si="59"/>
        <v>#VALUE!</v>
      </c>
      <c r="E3824" t="e">
        <f>cubic_spline(CURVA!$B$6:$B$20,CURVA!$G$6:$G$20,#REF!)</f>
        <v>#VALUE!</v>
      </c>
    </row>
    <row r="3825" spans="1:5" x14ac:dyDescent="0.2">
      <c r="A3825" s="28">
        <v>3824</v>
      </c>
      <c r="B3825" s="28" t="e">
        <f>interpola(#REF!,CURVA!$B$6:$B$20,CURVA!$G$6:$G$20)</f>
        <v>#VALUE!</v>
      </c>
      <c r="C3825" s="29" t="e">
        <f t="shared" si="59"/>
        <v>#VALUE!</v>
      </c>
      <c r="E3825" t="e">
        <f>cubic_spline(CURVA!$B$6:$B$20,CURVA!$G$6:$G$20,#REF!)</f>
        <v>#VALUE!</v>
      </c>
    </row>
    <row r="3826" spans="1:5" x14ac:dyDescent="0.2">
      <c r="A3826" s="28">
        <v>3825</v>
      </c>
      <c r="B3826" s="28" t="e">
        <f>interpola(#REF!,CURVA!$B$6:$B$20,CURVA!$G$6:$G$20)</f>
        <v>#VALUE!</v>
      </c>
      <c r="C3826" s="29" t="e">
        <f t="shared" si="59"/>
        <v>#VALUE!</v>
      </c>
      <c r="E3826" t="e">
        <f>cubic_spline(CURVA!$B$6:$B$20,CURVA!$G$6:$G$20,#REF!)</f>
        <v>#VALUE!</v>
      </c>
    </row>
    <row r="3827" spans="1:5" x14ac:dyDescent="0.2">
      <c r="A3827" s="28">
        <v>3826</v>
      </c>
      <c r="B3827" s="28" t="e">
        <f>interpola(#REF!,CURVA!$B$6:$B$20,CURVA!$G$6:$G$20)</f>
        <v>#VALUE!</v>
      </c>
      <c r="C3827" s="29" t="e">
        <f t="shared" si="59"/>
        <v>#VALUE!</v>
      </c>
      <c r="E3827" t="e">
        <f>cubic_spline(CURVA!$B$6:$B$20,CURVA!$G$6:$G$20,#REF!)</f>
        <v>#VALUE!</v>
      </c>
    </row>
    <row r="3828" spans="1:5" x14ac:dyDescent="0.2">
      <c r="A3828" s="28">
        <v>3827</v>
      </c>
      <c r="B3828" s="28" t="e">
        <f>interpola(#REF!,CURVA!$B$6:$B$20,CURVA!$G$6:$G$20)</f>
        <v>#VALUE!</v>
      </c>
      <c r="C3828" s="29" t="e">
        <f t="shared" si="59"/>
        <v>#VALUE!</v>
      </c>
      <c r="E3828" t="e">
        <f>cubic_spline(CURVA!$B$6:$B$20,CURVA!$G$6:$G$20,#REF!)</f>
        <v>#VALUE!</v>
      </c>
    </row>
    <row r="3829" spans="1:5" x14ac:dyDescent="0.2">
      <c r="A3829" s="28">
        <v>3828</v>
      </c>
      <c r="B3829" s="28" t="e">
        <f>interpola(#REF!,CURVA!$B$6:$B$20,CURVA!$G$6:$G$20)</f>
        <v>#VALUE!</v>
      </c>
      <c r="C3829" s="29" t="e">
        <f t="shared" si="59"/>
        <v>#VALUE!</v>
      </c>
      <c r="E3829" t="e">
        <f>cubic_spline(CURVA!$B$6:$B$20,CURVA!$G$6:$G$20,#REF!)</f>
        <v>#VALUE!</v>
      </c>
    </row>
    <row r="3830" spans="1:5" x14ac:dyDescent="0.2">
      <c r="A3830" s="28">
        <v>3829</v>
      </c>
      <c r="B3830" s="28" t="e">
        <f>interpola(#REF!,CURVA!$B$6:$B$20,CURVA!$G$6:$G$20)</f>
        <v>#VALUE!</v>
      </c>
      <c r="C3830" s="29" t="e">
        <f t="shared" si="59"/>
        <v>#VALUE!</v>
      </c>
      <c r="E3830" t="e">
        <f>cubic_spline(CURVA!$B$6:$B$20,CURVA!$G$6:$G$20,#REF!)</f>
        <v>#VALUE!</v>
      </c>
    </row>
    <row r="3831" spans="1:5" x14ac:dyDescent="0.2">
      <c r="A3831" s="28">
        <v>3830</v>
      </c>
      <c r="B3831" s="28" t="e">
        <f>interpola(#REF!,CURVA!$B$6:$B$20,CURVA!$G$6:$G$20)</f>
        <v>#VALUE!</v>
      </c>
      <c r="C3831" s="29" t="e">
        <f t="shared" si="59"/>
        <v>#VALUE!</v>
      </c>
      <c r="E3831" t="e">
        <f>cubic_spline(CURVA!$B$6:$B$20,CURVA!$G$6:$G$20,#REF!)</f>
        <v>#VALUE!</v>
      </c>
    </row>
    <row r="3832" spans="1:5" x14ac:dyDescent="0.2">
      <c r="A3832" s="28">
        <v>3831</v>
      </c>
      <c r="B3832" s="28" t="e">
        <f>interpola(#REF!,CURVA!$B$6:$B$20,CURVA!$G$6:$G$20)</f>
        <v>#VALUE!</v>
      </c>
      <c r="C3832" s="29" t="e">
        <f t="shared" si="59"/>
        <v>#VALUE!</v>
      </c>
      <c r="E3832" t="e">
        <f>cubic_spline(CURVA!$B$6:$B$20,CURVA!$G$6:$G$20,#REF!)</f>
        <v>#VALUE!</v>
      </c>
    </row>
    <row r="3833" spans="1:5" x14ac:dyDescent="0.2">
      <c r="A3833" s="28">
        <v>3832</v>
      </c>
      <c r="B3833" s="28" t="e">
        <f>interpola(#REF!,CURVA!$B$6:$B$20,CURVA!$G$6:$G$20)</f>
        <v>#VALUE!</v>
      </c>
      <c r="C3833" s="29" t="e">
        <f t="shared" si="59"/>
        <v>#VALUE!</v>
      </c>
      <c r="E3833" t="e">
        <f>cubic_spline(CURVA!$B$6:$B$20,CURVA!$G$6:$G$20,#REF!)</f>
        <v>#VALUE!</v>
      </c>
    </row>
    <row r="3834" spans="1:5" x14ac:dyDescent="0.2">
      <c r="A3834" s="28">
        <v>3833</v>
      </c>
      <c r="B3834" s="28" t="e">
        <f>interpola(#REF!,CURVA!$B$6:$B$20,CURVA!$G$6:$G$20)</f>
        <v>#VALUE!</v>
      </c>
      <c r="C3834" s="29" t="e">
        <f t="shared" si="59"/>
        <v>#VALUE!</v>
      </c>
      <c r="E3834" t="e">
        <f>cubic_spline(CURVA!$B$6:$B$20,CURVA!$G$6:$G$20,#REF!)</f>
        <v>#VALUE!</v>
      </c>
    </row>
    <row r="3835" spans="1:5" x14ac:dyDescent="0.2">
      <c r="A3835" s="28">
        <v>3834</v>
      </c>
      <c r="B3835" s="28" t="e">
        <f>interpola(#REF!,CURVA!$B$6:$B$20,CURVA!$G$6:$G$20)</f>
        <v>#VALUE!</v>
      </c>
      <c r="C3835" s="29" t="e">
        <f t="shared" si="59"/>
        <v>#VALUE!</v>
      </c>
      <c r="E3835" t="e">
        <f>cubic_spline(CURVA!$B$6:$B$20,CURVA!$G$6:$G$20,#REF!)</f>
        <v>#VALUE!</v>
      </c>
    </row>
    <row r="3836" spans="1:5" x14ac:dyDescent="0.2">
      <c r="A3836" s="28">
        <v>3835</v>
      </c>
      <c r="B3836" s="28" t="e">
        <f>interpola(#REF!,CURVA!$B$6:$B$20,CURVA!$G$6:$G$20)</f>
        <v>#VALUE!</v>
      </c>
      <c r="C3836" s="29" t="e">
        <f t="shared" si="59"/>
        <v>#VALUE!</v>
      </c>
      <c r="E3836" t="e">
        <f>cubic_spline(CURVA!$B$6:$B$20,CURVA!$G$6:$G$20,#REF!)</f>
        <v>#VALUE!</v>
      </c>
    </row>
    <row r="3837" spans="1:5" x14ac:dyDescent="0.2">
      <c r="A3837" s="28">
        <v>3836</v>
      </c>
      <c r="B3837" s="28" t="e">
        <f>interpola(#REF!,CURVA!$B$6:$B$20,CURVA!$G$6:$G$20)</f>
        <v>#VALUE!</v>
      </c>
      <c r="C3837" s="29" t="e">
        <f t="shared" si="59"/>
        <v>#VALUE!</v>
      </c>
      <c r="E3837" t="e">
        <f>cubic_spline(CURVA!$B$6:$B$20,CURVA!$G$6:$G$20,#REF!)</f>
        <v>#VALUE!</v>
      </c>
    </row>
    <row r="3838" spans="1:5" x14ac:dyDescent="0.2">
      <c r="A3838" s="28">
        <v>3837</v>
      </c>
      <c r="B3838" s="28" t="e">
        <f>interpola(#REF!,CURVA!$B$6:$B$20,CURVA!$G$6:$G$20)</f>
        <v>#VALUE!</v>
      </c>
      <c r="C3838" s="29" t="e">
        <f t="shared" si="59"/>
        <v>#VALUE!</v>
      </c>
      <c r="E3838" t="e">
        <f>cubic_spline(CURVA!$B$6:$B$20,CURVA!$G$6:$G$20,#REF!)</f>
        <v>#VALUE!</v>
      </c>
    </row>
    <row r="3839" spans="1:5" x14ac:dyDescent="0.2">
      <c r="A3839" s="28">
        <v>3838</v>
      </c>
      <c r="B3839" s="28" t="e">
        <f>interpola(#REF!,CURVA!$B$6:$B$20,CURVA!$G$6:$G$20)</f>
        <v>#VALUE!</v>
      </c>
      <c r="C3839" s="29" t="e">
        <f t="shared" si="59"/>
        <v>#VALUE!</v>
      </c>
      <c r="E3839" t="e">
        <f>cubic_spline(CURVA!$B$6:$B$20,CURVA!$G$6:$G$20,#REF!)</f>
        <v>#VALUE!</v>
      </c>
    </row>
    <row r="3840" spans="1:5" x14ac:dyDescent="0.2">
      <c r="A3840" s="28">
        <v>3839</v>
      </c>
      <c r="B3840" s="28" t="e">
        <f>interpola(#REF!,CURVA!$B$6:$B$20,CURVA!$G$6:$G$20)</f>
        <v>#VALUE!</v>
      </c>
      <c r="C3840" s="29" t="e">
        <f t="shared" si="59"/>
        <v>#VALUE!</v>
      </c>
      <c r="E3840" t="e">
        <f>cubic_spline(CURVA!$B$6:$B$20,CURVA!$G$6:$G$20,#REF!)</f>
        <v>#VALUE!</v>
      </c>
    </row>
    <row r="3841" spans="1:5" x14ac:dyDescent="0.2">
      <c r="A3841" s="28">
        <v>3840</v>
      </c>
      <c r="B3841" s="28" t="e">
        <f>interpola(#REF!,CURVA!$B$6:$B$20,CURVA!$G$6:$G$20)</f>
        <v>#VALUE!</v>
      </c>
      <c r="C3841" s="29" t="e">
        <f t="shared" si="59"/>
        <v>#VALUE!</v>
      </c>
      <c r="E3841" t="e">
        <f>cubic_spline(CURVA!$B$6:$B$20,CURVA!$G$6:$G$20,#REF!)</f>
        <v>#VALUE!</v>
      </c>
    </row>
    <row r="3842" spans="1:5" x14ac:dyDescent="0.2">
      <c r="A3842" s="28">
        <v>3841</v>
      </c>
      <c r="B3842" s="28" t="e">
        <f>interpola(#REF!,CURVA!$B$6:$B$20,CURVA!$G$6:$G$20)</f>
        <v>#VALUE!</v>
      </c>
      <c r="C3842" s="29" t="e">
        <f t="shared" ref="C3842:C3905" si="60">(EXP(B3842*A3842/360)-1)*360/A3842</f>
        <v>#VALUE!</v>
      </c>
      <c r="E3842" t="e">
        <f>cubic_spline(CURVA!$B$6:$B$20,CURVA!$G$6:$G$20,#REF!)</f>
        <v>#VALUE!</v>
      </c>
    </row>
    <row r="3843" spans="1:5" x14ac:dyDescent="0.2">
      <c r="A3843" s="28">
        <v>3842</v>
      </c>
      <c r="B3843" s="28" t="e">
        <f>interpola(#REF!,CURVA!$B$6:$B$20,CURVA!$G$6:$G$20)</f>
        <v>#VALUE!</v>
      </c>
      <c r="C3843" s="29" t="e">
        <f t="shared" si="60"/>
        <v>#VALUE!</v>
      </c>
      <c r="E3843" t="e">
        <f>cubic_spline(CURVA!$B$6:$B$20,CURVA!$G$6:$G$20,#REF!)</f>
        <v>#VALUE!</v>
      </c>
    </row>
    <row r="3844" spans="1:5" x14ac:dyDescent="0.2">
      <c r="A3844" s="28">
        <v>3843</v>
      </c>
      <c r="B3844" s="28" t="e">
        <f>interpola(#REF!,CURVA!$B$6:$B$20,CURVA!$G$6:$G$20)</f>
        <v>#VALUE!</v>
      </c>
      <c r="C3844" s="29" t="e">
        <f t="shared" si="60"/>
        <v>#VALUE!</v>
      </c>
      <c r="E3844" t="e">
        <f>cubic_spline(CURVA!$B$6:$B$20,CURVA!$G$6:$G$20,#REF!)</f>
        <v>#VALUE!</v>
      </c>
    </row>
    <row r="3845" spans="1:5" x14ac:dyDescent="0.2">
      <c r="A3845" s="28">
        <v>3844</v>
      </c>
      <c r="B3845" s="28" t="e">
        <f>interpola(#REF!,CURVA!$B$6:$B$20,CURVA!$G$6:$G$20)</f>
        <v>#VALUE!</v>
      </c>
      <c r="C3845" s="29" t="e">
        <f t="shared" si="60"/>
        <v>#VALUE!</v>
      </c>
      <c r="E3845" t="e">
        <f>cubic_spline(CURVA!$B$6:$B$20,CURVA!$G$6:$G$20,#REF!)</f>
        <v>#VALUE!</v>
      </c>
    </row>
    <row r="3846" spans="1:5" x14ac:dyDescent="0.2">
      <c r="A3846" s="28">
        <v>3845</v>
      </c>
      <c r="B3846" s="28" t="e">
        <f>interpola(#REF!,CURVA!$B$6:$B$20,CURVA!$G$6:$G$20)</f>
        <v>#VALUE!</v>
      </c>
      <c r="C3846" s="29" t="e">
        <f t="shared" si="60"/>
        <v>#VALUE!</v>
      </c>
      <c r="E3846" t="e">
        <f>cubic_spline(CURVA!$B$6:$B$20,CURVA!$G$6:$G$20,#REF!)</f>
        <v>#VALUE!</v>
      </c>
    </row>
    <row r="3847" spans="1:5" x14ac:dyDescent="0.2">
      <c r="A3847" s="28">
        <v>3846</v>
      </c>
      <c r="B3847" s="28" t="e">
        <f>interpola(#REF!,CURVA!$B$6:$B$20,CURVA!$G$6:$G$20)</f>
        <v>#VALUE!</v>
      </c>
      <c r="C3847" s="29" t="e">
        <f t="shared" si="60"/>
        <v>#VALUE!</v>
      </c>
      <c r="E3847" t="e">
        <f>cubic_spline(CURVA!$B$6:$B$20,CURVA!$G$6:$G$20,#REF!)</f>
        <v>#VALUE!</v>
      </c>
    </row>
    <row r="3848" spans="1:5" x14ac:dyDescent="0.2">
      <c r="A3848" s="28">
        <v>3847</v>
      </c>
      <c r="B3848" s="28" t="e">
        <f>interpola(#REF!,CURVA!$B$6:$B$20,CURVA!$G$6:$G$20)</f>
        <v>#VALUE!</v>
      </c>
      <c r="C3848" s="29" t="e">
        <f t="shared" si="60"/>
        <v>#VALUE!</v>
      </c>
      <c r="E3848" t="e">
        <f>cubic_spline(CURVA!$B$6:$B$20,CURVA!$G$6:$G$20,#REF!)</f>
        <v>#VALUE!</v>
      </c>
    </row>
    <row r="3849" spans="1:5" x14ac:dyDescent="0.2">
      <c r="A3849" s="28">
        <v>3848</v>
      </c>
      <c r="B3849" s="28" t="e">
        <f>interpola(#REF!,CURVA!$B$6:$B$20,CURVA!$G$6:$G$20)</f>
        <v>#VALUE!</v>
      </c>
      <c r="C3849" s="29" t="e">
        <f t="shared" si="60"/>
        <v>#VALUE!</v>
      </c>
      <c r="E3849" t="e">
        <f>cubic_spline(CURVA!$B$6:$B$20,CURVA!$G$6:$G$20,#REF!)</f>
        <v>#VALUE!</v>
      </c>
    </row>
    <row r="3850" spans="1:5" x14ac:dyDescent="0.2">
      <c r="A3850" s="28">
        <v>3849</v>
      </c>
      <c r="B3850" s="28" t="e">
        <f>interpola(#REF!,CURVA!$B$6:$B$20,CURVA!$G$6:$G$20)</f>
        <v>#VALUE!</v>
      </c>
      <c r="C3850" s="29" t="e">
        <f t="shared" si="60"/>
        <v>#VALUE!</v>
      </c>
      <c r="E3850" t="e">
        <f>cubic_spline(CURVA!$B$6:$B$20,CURVA!$G$6:$G$20,#REF!)</f>
        <v>#VALUE!</v>
      </c>
    </row>
    <row r="3851" spans="1:5" x14ac:dyDescent="0.2">
      <c r="A3851" s="28">
        <v>3850</v>
      </c>
      <c r="B3851" s="28" t="e">
        <f>interpola(#REF!,CURVA!$B$6:$B$20,CURVA!$G$6:$G$20)</f>
        <v>#VALUE!</v>
      </c>
      <c r="C3851" s="29" t="e">
        <f t="shared" si="60"/>
        <v>#VALUE!</v>
      </c>
      <c r="E3851" t="e">
        <f>cubic_spline(CURVA!$B$6:$B$20,CURVA!$G$6:$G$20,#REF!)</f>
        <v>#VALUE!</v>
      </c>
    </row>
    <row r="3852" spans="1:5" x14ac:dyDescent="0.2">
      <c r="A3852" s="28">
        <v>3851</v>
      </c>
      <c r="B3852" s="28" t="e">
        <f>interpola(#REF!,CURVA!$B$6:$B$20,CURVA!$G$6:$G$20)</f>
        <v>#VALUE!</v>
      </c>
      <c r="C3852" s="29" t="e">
        <f t="shared" si="60"/>
        <v>#VALUE!</v>
      </c>
      <c r="E3852" t="e">
        <f>cubic_spline(CURVA!$B$6:$B$20,CURVA!$G$6:$G$20,#REF!)</f>
        <v>#VALUE!</v>
      </c>
    </row>
    <row r="3853" spans="1:5" x14ac:dyDescent="0.2">
      <c r="A3853" s="28">
        <v>3852</v>
      </c>
      <c r="B3853" s="28" t="e">
        <f>interpola(#REF!,CURVA!$B$6:$B$20,CURVA!$G$6:$G$20)</f>
        <v>#VALUE!</v>
      </c>
      <c r="C3853" s="29" t="e">
        <f t="shared" si="60"/>
        <v>#VALUE!</v>
      </c>
      <c r="E3853" t="e">
        <f>cubic_spline(CURVA!$B$6:$B$20,CURVA!$G$6:$G$20,#REF!)</f>
        <v>#VALUE!</v>
      </c>
    </row>
    <row r="3854" spans="1:5" x14ac:dyDescent="0.2">
      <c r="A3854" s="28">
        <v>3853</v>
      </c>
      <c r="B3854" s="28" t="e">
        <f>interpola(#REF!,CURVA!$B$6:$B$20,CURVA!$G$6:$G$20)</f>
        <v>#VALUE!</v>
      </c>
      <c r="C3854" s="29" t="e">
        <f t="shared" si="60"/>
        <v>#VALUE!</v>
      </c>
      <c r="E3854" t="e">
        <f>cubic_spline(CURVA!$B$6:$B$20,CURVA!$G$6:$G$20,#REF!)</f>
        <v>#VALUE!</v>
      </c>
    </row>
    <row r="3855" spans="1:5" x14ac:dyDescent="0.2">
      <c r="A3855" s="28">
        <v>3854</v>
      </c>
      <c r="B3855" s="28" t="e">
        <f>interpola(#REF!,CURVA!$B$6:$B$20,CURVA!$G$6:$G$20)</f>
        <v>#VALUE!</v>
      </c>
      <c r="C3855" s="29" t="e">
        <f t="shared" si="60"/>
        <v>#VALUE!</v>
      </c>
      <c r="E3855" t="e">
        <f>cubic_spline(CURVA!$B$6:$B$20,CURVA!$G$6:$G$20,#REF!)</f>
        <v>#VALUE!</v>
      </c>
    </row>
    <row r="3856" spans="1:5" x14ac:dyDescent="0.2">
      <c r="A3856" s="28">
        <v>3855</v>
      </c>
      <c r="B3856" s="28" t="e">
        <f>interpola(#REF!,CURVA!$B$6:$B$20,CURVA!$G$6:$G$20)</f>
        <v>#VALUE!</v>
      </c>
      <c r="C3856" s="29" t="e">
        <f t="shared" si="60"/>
        <v>#VALUE!</v>
      </c>
      <c r="E3856" t="e">
        <f>cubic_spline(CURVA!$B$6:$B$20,CURVA!$G$6:$G$20,#REF!)</f>
        <v>#VALUE!</v>
      </c>
    </row>
    <row r="3857" spans="1:5" x14ac:dyDescent="0.2">
      <c r="A3857" s="28">
        <v>3856</v>
      </c>
      <c r="B3857" s="28" t="e">
        <f>interpola(#REF!,CURVA!$B$6:$B$20,CURVA!$G$6:$G$20)</f>
        <v>#VALUE!</v>
      </c>
      <c r="C3857" s="29" t="e">
        <f t="shared" si="60"/>
        <v>#VALUE!</v>
      </c>
      <c r="E3857" t="e">
        <f>cubic_spline(CURVA!$B$6:$B$20,CURVA!$G$6:$G$20,#REF!)</f>
        <v>#VALUE!</v>
      </c>
    </row>
    <row r="3858" spans="1:5" x14ac:dyDescent="0.2">
      <c r="A3858" s="28">
        <v>3857</v>
      </c>
      <c r="B3858" s="28" t="e">
        <f>interpola(#REF!,CURVA!$B$6:$B$20,CURVA!$G$6:$G$20)</f>
        <v>#VALUE!</v>
      </c>
      <c r="C3858" s="29" t="e">
        <f t="shared" si="60"/>
        <v>#VALUE!</v>
      </c>
      <c r="E3858" t="e">
        <f>cubic_spline(CURVA!$B$6:$B$20,CURVA!$G$6:$G$20,#REF!)</f>
        <v>#VALUE!</v>
      </c>
    </row>
    <row r="3859" spans="1:5" x14ac:dyDescent="0.2">
      <c r="A3859" s="28">
        <v>3858</v>
      </c>
      <c r="B3859" s="28" t="e">
        <f>interpola(#REF!,CURVA!$B$6:$B$20,CURVA!$G$6:$G$20)</f>
        <v>#VALUE!</v>
      </c>
      <c r="C3859" s="29" t="e">
        <f t="shared" si="60"/>
        <v>#VALUE!</v>
      </c>
      <c r="E3859" t="e">
        <f>cubic_spline(CURVA!$B$6:$B$20,CURVA!$G$6:$G$20,#REF!)</f>
        <v>#VALUE!</v>
      </c>
    </row>
    <row r="3860" spans="1:5" x14ac:dyDescent="0.2">
      <c r="A3860" s="28">
        <v>3859</v>
      </c>
      <c r="B3860" s="28" t="e">
        <f>interpola(#REF!,CURVA!$B$6:$B$20,CURVA!$G$6:$G$20)</f>
        <v>#VALUE!</v>
      </c>
      <c r="C3860" s="29" t="e">
        <f t="shared" si="60"/>
        <v>#VALUE!</v>
      </c>
      <c r="E3860" t="e">
        <f>cubic_spline(CURVA!$B$6:$B$20,CURVA!$G$6:$G$20,#REF!)</f>
        <v>#VALUE!</v>
      </c>
    </row>
    <row r="3861" spans="1:5" x14ac:dyDescent="0.2">
      <c r="A3861" s="28">
        <v>3860</v>
      </c>
      <c r="B3861" s="28" t="e">
        <f>interpola(#REF!,CURVA!$B$6:$B$20,CURVA!$G$6:$G$20)</f>
        <v>#VALUE!</v>
      </c>
      <c r="C3861" s="29" t="e">
        <f t="shared" si="60"/>
        <v>#VALUE!</v>
      </c>
      <c r="E3861" t="e">
        <f>cubic_spline(CURVA!$B$6:$B$20,CURVA!$G$6:$G$20,#REF!)</f>
        <v>#VALUE!</v>
      </c>
    </row>
    <row r="3862" spans="1:5" x14ac:dyDescent="0.2">
      <c r="A3862" s="28">
        <v>3861</v>
      </c>
      <c r="B3862" s="28" t="e">
        <f>interpola(#REF!,CURVA!$B$6:$B$20,CURVA!$G$6:$G$20)</f>
        <v>#VALUE!</v>
      </c>
      <c r="C3862" s="29" t="e">
        <f t="shared" si="60"/>
        <v>#VALUE!</v>
      </c>
      <c r="E3862" t="e">
        <f>cubic_spline(CURVA!$B$6:$B$20,CURVA!$G$6:$G$20,#REF!)</f>
        <v>#VALUE!</v>
      </c>
    </row>
    <row r="3863" spans="1:5" x14ac:dyDescent="0.2">
      <c r="A3863" s="28">
        <v>3862</v>
      </c>
      <c r="B3863" s="28" t="e">
        <f>interpola(#REF!,CURVA!$B$6:$B$20,CURVA!$G$6:$G$20)</f>
        <v>#VALUE!</v>
      </c>
      <c r="C3863" s="29" t="e">
        <f t="shared" si="60"/>
        <v>#VALUE!</v>
      </c>
      <c r="E3863" t="e">
        <f>cubic_spline(CURVA!$B$6:$B$20,CURVA!$G$6:$G$20,#REF!)</f>
        <v>#VALUE!</v>
      </c>
    </row>
    <row r="3864" spans="1:5" x14ac:dyDescent="0.2">
      <c r="A3864" s="28">
        <v>3863</v>
      </c>
      <c r="B3864" s="28" t="e">
        <f>interpola(#REF!,CURVA!$B$6:$B$20,CURVA!$G$6:$G$20)</f>
        <v>#VALUE!</v>
      </c>
      <c r="C3864" s="29" t="e">
        <f t="shared" si="60"/>
        <v>#VALUE!</v>
      </c>
      <c r="E3864" t="e">
        <f>cubic_spline(CURVA!$B$6:$B$20,CURVA!$G$6:$G$20,#REF!)</f>
        <v>#VALUE!</v>
      </c>
    </row>
    <row r="3865" spans="1:5" x14ac:dyDescent="0.2">
      <c r="A3865" s="28">
        <v>3864</v>
      </c>
      <c r="B3865" s="28" t="e">
        <f>interpola(#REF!,CURVA!$B$6:$B$20,CURVA!$G$6:$G$20)</f>
        <v>#VALUE!</v>
      </c>
      <c r="C3865" s="29" t="e">
        <f t="shared" si="60"/>
        <v>#VALUE!</v>
      </c>
      <c r="E3865" t="e">
        <f>cubic_spline(CURVA!$B$6:$B$20,CURVA!$G$6:$G$20,#REF!)</f>
        <v>#VALUE!</v>
      </c>
    </row>
    <row r="3866" spans="1:5" x14ac:dyDescent="0.2">
      <c r="A3866" s="28">
        <v>3865</v>
      </c>
      <c r="B3866" s="28" t="e">
        <f>interpola(#REF!,CURVA!$B$6:$B$20,CURVA!$G$6:$G$20)</f>
        <v>#VALUE!</v>
      </c>
      <c r="C3866" s="29" t="e">
        <f t="shared" si="60"/>
        <v>#VALUE!</v>
      </c>
      <c r="E3866" t="e">
        <f>cubic_spline(CURVA!$B$6:$B$20,CURVA!$G$6:$G$20,#REF!)</f>
        <v>#VALUE!</v>
      </c>
    </row>
    <row r="3867" spans="1:5" x14ac:dyDescent="0.2">
      <c r="A3867" s="28">
        <v>3866</v>
      </c>
      <c r="B3867" s="28" t="e">
        <f>interpola(#REF!,CURVA!$B$6:$B$20,CURVA!$G$6:$G$20)</f>
        <v>#VALUE!</v>
      </c>
      <c r="C3867" s="29" t="e">
        <f t="shared" si="60"/>
        <v>#VALUE!</v>
      </c>
      <c r="E3867" t="e">
        <f>cubic_spline(CURVA!$B$6:$B$20,CURVA!$G$6:$G$20,#REF!)</f>
        <v>#VALUE!</v>
      </c>
    </row>
    <row r="3868" spans="1:5" x14ac:dyDescent="0.2">
      <c r="A3868" s="28">
        <v>3867</v>
      </c>
      <c r="B3868" s="28" t="e">
        <f>interpola(#REF!,CURVA!$B$6:$B$20,CURVA!$G$6:$G$20)</f>
        <v>#VALUE!</v>
      </c>
      <c r="C3868" s="29" t="e">
        <f t="shared" si="60"/>
        <v>#VALUE!</v>
      </c>
      <c r="E3868" t="e">
        <f>cubic_spline(CURVA!$B$6:$B$20,CURVA!$G$6:$G$20,#REF!)</f>
        <v>#VALUE!</v>
      </c>
    </row>
    <row r="3869" spans="1:5" x14ac:dyDescent="0.2">
      <c r="A3869" s="28">
        <v>3868</v>
      </c>
      <c r="B3869" s="28" t="e">
        <f>interpola(#REF!,CURVA!$B$6:$B$20,CURVA!$G$6:$G$20)</f>
        <v>#VALUE!</v>
      </c>
      <c r="C3869" s="29" t="e">
        <f t="shared" si="60"/>
        <v>#VALUE!</v>
      </c>
      <c r="E3869" t="e">
        <f>cubic_spline(CURVA!$B$6:$B$20,CURVA!$G$6:$G$20,#REF!)</f>
        <v>#VALUE!</v>
      </c>
    </row>
    <row r="3870" spans="1:5" x14ac:dyDescent="0.2">
      <c r="A3870" s="28">
        <v>3869</v>
      </c>
      <c r="B3870" s="28" t="e">
        <f>interpola(#REF!,CURVA!$B$6:$B$20,CURVA!$G$6:$G$20)</f>
        <v>#VALUE!</v>
      </c>
      <c r="C3870" s="29" t="e">
        <f t="shared" si="60"/>
        <v>#VALUE!</v>
      </c>
      <c r="E3870" t="e">
        <f>cubic_spline(CURVA!$B$6:$B$20,CURVA!$G$6:$G$20,#REF!)</f>
        <v>#VALUE!</v>
      </c>
    </row>
    <row r="3871" spans="1:5" x14ac:dyDescent="0.2">
      <c r="A3871" s="28">
        <v>3870</v>
      </c>
      <c r="B3871" s="28" t="e">
        <f>interpola(#REF!,CURVA!$B$6:$B$20,CURVA!$G$6:$G$20)</f>
        <v>#VALUE!</v>
      </c>
      <c r="C3871" s="29" t="e">
        <f t="shared" si="60"/>
        <v>#VALUE!</v>
      </c>
      <c r="E3871" t="e">
        <f>cubic_spline(CURVA!$B$6:$B$20,CURVA!$G$6:$G$20,#REF!)</f>
        <v>#VALUE!</v>
      </c>
    </row>
    <row r="3872" spans="1:5" x14ac:dyDescent="0.2">
      <c r="A3872" s="28">
        <v>3871</v>
      </c>
      <c r="B3872" s="28" t="e">
        <f>interpola(#REF!,CURVA!$B$6:$B$20,CURVA!$G$6:$G$20)</f>
        <v>#VALUE!</v>
      </c>
      <c r="C3872" s="29" t="e">
        <f t="shared" si="60"/>
        <v>#VALUE!</v>
      </c>
      <c r="E3872" t="e">
        <f>cubic_spline(CURVA!$B$6:$B$20,CURVA!$G$6:$G$20,#REF!)</f>
        <v>#VALUE!</v>
      </c>
    </row>
    <row r="3873" spans="1:5" x14ac:dyDescent="0.2">
      <c r="A3873" s="28">
        <v>3872</v>
      </c>
      <c r="B3873" s="28" t="e">
        <f>interpola(#REF!,CURVA!$B$6:$B$20,CURVA!$G$6:$G$20)</f>
        <v>#VALUE!</v>
      </c>
      <c r="C3873" s="29" t="e">
        <f t="shared" si="60"/>
        <v>#VALUE!</v>
      </c>
      <c r="E3873" t="e">
        <f>cubic_spline(CURVA!$B$6:$B$20,CURVA!$G$6:$G$20,#REF!)</f>
        <v>#VALUE!</v>
      </c>
    </row>
    <row r="3874" spans="1:5" x14ac:dyDescent="0.2">
      <c r="A3874" s="28">
        <v>3873</v>
      </c>
      <c r="B3874" s="28" t="e">
        <f>interpola(#REF!,CURVA!$B$6:$B$20,CURVA!$G$6:$G$20)</f>
        <v>#VALUE!</v>
      </c>
      <c r="C3874" s="29" t="e">
        <f t="shared" si="60"/>
        <v>#VALUE!</v>
      </c>
      <c r="E3874" t="e">
        <f>cubic_spline(CURVA!$B$6:$B$20,CURVA!$G$6:$G$20,#REF!)</f>
        <v>#VALUE!</v>
      </c>
    </row>
    <row r="3875" spans="1:5" x14ac:dyDescent="0.2">
      <c r="A3875" s="28">
        <v>3874</v>
      </c>
      <c r="B3875" s="28" t="e">
        <f>interpola(#REF!,CURVA!$B$6:$B$20,CURVA!$G$6:$G$20)</f>
        <v>#VALUE!</v>
      </c>
      <c r="C3875" s="29" t="e">
        <f t="shared" si="60"/>
        <v>#VALUE!</v>
      </c>
      <c r="E3875" t="e">
        <f>cubic_spline(CURVA!$B$6:$B$20,CURVA!$G$6:$G$20,#REF!)</f>
        <v>#VALUE!</v>
      </c>
    </row>
    <row r="3876" spans="1:5" x14ac:dyDescent="0.2">
      <c r="A3876" s="28">
        <v>3875</v>
      </c>
      <c r="B3876" s="28" t="e">
        <f>interpola(#REF!,CURVA!$B$6:$B$20,CURVA!$G$6:$G$20)</f>
        <v>#VALUE!</v>
      </c>
      <c r="C3876" s="29" t="e">
        <f t="shared" si="60"/>
        <v>#VALUE!</v>
      </c>
      <c r="E3876" t="e">
        <f>cubic_spline(CURVA!$B$6:$B$20,CURVA!$G$6:$G$20,#REF!)</f>
        <v>#VALUE!</v>
      </c>
    </row>
    <row r="3877" spans="1:5" x14ac:dyDescent="0.2">
      <c r="A3877" s="28">
        <v>3876</v>
      </c>
      <c r="B3877" s="28" t="e">
        <f>interpola(#REF!,CURVA!$B$6:$B$20,CURVA!$G$6:$G$20)</f>
        <v>#VALUE!</v>
      </c>
      <c r="C3877" s="29" t="e">
        <f t="shared" si="60"/>
        <v>#VALUE!</v>
      </c>
      <c r="E3877" t="e">
        <f>cubic_spline(CURVA!$B$6:$B$20,CURVA!$G$6:$G$20,#REF!)</f>
        <v>#VALUE!</v>
      </c>
    </row>
    <row r="3878" spans="1:5" x14ac:dyDescent="0.2">
      <c r="A3878" s="28">
        <v>3877</v>
      </c>
      <c r="B3878" s="28" t="e">
        <f>interpola(#REF!,CURVA!$B$6:$B$20,CURVA!$G$6:$G$20)</f>
        <v>#VALUE!</v>
      </c>
      <c r="C3878" s="29" t="e">
        <f t="shared" si="60"/>
        <v>#VALUE!</v>
      </c>
      <c r="E3878" t="e">
        <f>cubic_spline(CURVA!$B$6:$B$20,CURVA!$G$6:$G$20,#REF!)</f>
        <v>#VALUE!</v>
      </c>
    </row>
    <row r="3879" spans="1:5" x14ac:dyDescent="0.2">
      <c r="A3879" s="28">
        <v>3878</v>
      </c>
      <c r="B3879" s="28" t="e">
        <f>interpola(#REF!,CURVA!$B$6:$B$20,CURVA!$G$6:$G$20)</f>
        <v>#VALUE!</v>
      </c>
      <c r="C3879" s="29" t="e">
        <f t="shared" si="60"/>
        <v>#VALUE!</v>
      </c>
      <c r="E3879" t="e">
        <f>cubic_spline(CURVA!$B$6:$B$20,CURVA!$G$6:$G$20,#REF!)</f>
        <v>#VALUE!</v>
      </c>
    </row>
    <row r="3880" spans="1:5" x14ac:dyDescent="0.2">
      <c r="A3880" s="28">
        <v>3879</v>
      </c>
      <c r="B3880" s="28" t="e">
        <f>interpola(#REF!,CURVA!$B$6:$B$20,CURVA!$G$6:$G$20)</f>
        <v>#VALUE!</v>
      </c>
      <c r="C3880" s="29" t="e">
        <f t="shared" si="60"/>
        <v>#VALUE!</v>
      </c>
      <c r="E3880" t="e">
        <f>cubic_spline(CURVA!$B$6:$B$20,CURVA!$G$6:$G$20,#REF!)</f>
        <v>#VALUE!</v>
      </c>
    </row>
    <row r="3881" spans="1:5" x14ac:dyDescent="0.2">
      <c r="A3881" s="28">
        <v>3880</v>
      </c>
      <c r="B3881" s="28" t="e">
        <f>interpola(#REF!,CURVA!$B$6:$B$20,CURVA!$G$6:$G$20)</f>
        <v>#VALUE!</v>
      </c>
      <c r="C3881" s="29" t="e">
        <f t="shared" si="60"/>
        <v>#VALUE!</v>
      </c>
      <c r="E3881" t="e">
        <f>cubic_spline(CURVA!$B$6:$B$20,CURVA!$G$6:$G$20,#REF!)</f>
        <v>#VALUE!</v>
      </c>
    </row>
    <row r="3882" spans="1:5" x14ac:dyDescent="0.2">
      <c r="A3882" s="28">
        <v>3881</v>
      </c>
      <c r="B3882" s="28" t="e">
        <f>interpola(#REF!,CURVA!$B$6:$B$20,CURVA!$G$6:$G$20)</f>
        <v>#VALUE!</v>
      </c>
      <c r="C3882" s="29" t="e">
        <f t="shared" si="60"/>
        <v>#VALUE!</v>
      </c>
      <c r="E3882" t="e">
        <f>cubic_spline(CURVA!$B$6:$B$20,CURVA!$G$6:$G$20,#REF!)</f>
        <v>#VALUE!</v>
      </c>
    </row>
    <row r="3883" spans="1:5" x14ac:dyDescent="0.2">
      <c r="A3883" s="28">
        <v>3882</v>
      </c>
      <c r="B3883" s="28" t="e">
        <f>interpola(#REF!,CURVA!$B$6:$B$20,CURVA!$G$6:$G$20)</f>
        <v>#VALUE!</v>
      </c>
      <c r="C3883" s="29" t="e">
        <f t="shared" si="60"/>
        <v>#VALUE!</v>
      </c>
      <c r="E3883" t="e">
        <f>cubic_spline(CURVA!$B$6:$B$20,CURVA!$G$6:$G$20,#REF!)</f>
        <v>#VALUE!</v>
      </c>
    </row>
    <row r="3884" spans="1:5" x14ac:dyDescent="0.2">
      <c r="A3884" s="28">
        <v>3883</v>
      </c>
      <c r="B3884" s="28" t="e">
        <f>interpola(#REF!,CURVA!$B$6:$B$20,CURVA!$G$6:$G$20)</f>
        <v>#VALUE!</v>
      </c>
      <c r="C3884" s="29" t="e">
        <f t="shared" si="60"/>
        <v>#VALUE!</v>
      </c>
      <c r="E3884" t="e">
        <f>cubic_spline(CURVA!$B$6:$B$20,CURVA!$G$6:$G$20,#REF!)</f>
        <v>#VALUE!</v>
      </c>
    </row>
    <row r="3885" spans="1:5" x14ac:dyDescent="0.2">
      <c r="A3885" s="28">
        <v>3884</v>
      </c>
      <c r="B3885" s="28" t="e">
        <f>interpola(#REF!,CURVA!$B$6:$B$20,CURVA!$G$6:$G$20)</f>
        <v>#VALUE!</v>
      </c>
      <c r="C3885" s="29" t="e">
        <f t="shared" si="60"/>
        <v>#VALUE!</v>
      </c>
      <c r="E3885" t="e">
        <f>cubic_spline(CURVA!$B$6:$B$20,CURVA!$G$6:$G$20,#REF!)</f>
        <v>#VALUE!</v>
      </c>
    </row>
    <row r="3886" spans="1:5" x14ac:dyDescent="0.2">
      <c r="A3886" s="28">
        <v>3885</v>
      </c>
      <c r="B3886" s="28" t="e">
        <f>interpola(#REF!,CURVA!$B$6:$B$20,CURVA!$G$6:$G$20)</f>
        <v>#VALUE!</v>
      </c>
      <c r="C3886" s="29" t="e">
        <f t="shared" si="60"/>
        <v>#VALUE!</v>
      </c>
      <c r="E3886" t="e">
        <f>cubic_spline(CURVA!$B$6:$B$20,CURVA!$G$6:$G$20,#REF!)</f>
        <v>#VALUE!</v>
      </c>
    </row>
    <row r="3887" spans="1:5" x14ac:dyDescent="0.2">
      <c r="A3887" s="28">
        <v>3886</v>
      </c>
      <c r="B3887" s="28" t="e">
        <f>interpola(#REF!,CURVA!$B$6:$B$20,CURVA!$G$6:$G$20)</f>
        <v>#VALUE!</v>
      </c>
      <c r="C3887" s="29" t="e">
        <f t="shared" si="60"/>
        <v>#VALUE!</v>
      </c>
      <c r="E3887" t="e">
        <f>cubic_spline(CURVA!$B$6:$B$20,CURVA!$G$6:$G$20,#REF!)</f>
        <v>#VALUE!</v>
      </c>
    </row>
    <row r="3888" spans="1:5" x14ac:dyDescent="0.2">
      <c r="A3888" s="28">
        <v>3887</v>
      </c>
      <c r="B3888" s="28" t="e">
        <f>interpola(#REF!,CURVA!$B$6:$B$20,CURVA!$G$6:$G$20)</f>
        <v>#VALUE!</v>
      </c>
      <c r="C3888" s="29" t="e">
        <f t="shared" si="60"/>
        <v>#VALUE!</v>
      </c>
      <c r="E3888" t="e">
        <f>cubic_spline(CURVA!$B$6:$B$20,CURVA!$G$6:$G$20,#REF!)</f>
        <v>#VALUE!</v>
      </c>
    </row>
    <row r="3889" spans="1:5" x14ac:dyDescent="0.2">
      <c r="A3889" s="28">
        <v>3888</v>
      </c>
      <c r="B3889" s="28" t="e">
        <f>interpola(#REF!,CURVA!$B$6:$B$20,CURVA!$G$6:$G$20)</f>
        <v>#VALUE!</v>
      </c>
      <c r="C3889" s="29" t="e">
        <f t="shared" si="60"/>
        <v>#VALUE!</v>
      </c>
      <c r="E3889" t="e">
        <f>cubic_spline(CURVA!$B$6:$B$20,CURVA!$G$6:$G$20,#REF!)</f>
        <v>#VALUE!</v>
      </c>
    </row>
    <row r="3890" spans="1:5" x14ac:dyDescent="0.2">
      <c r="A3890" s="28">
        <v>3889</v>
      </c>
      <c r="B3890" s="28" t="e">
        <f>interpola(#REF!,CURVA!$B$6:$B$20,CURVA!$G$6:$G$20)</f>
        <v>#VALUE!</v>
      </c>
      <c r="C3890" s="29" t="e">
        <f t="shared" si="60"/>
        <v>#VALUE!</v>
      </c>
      <c r="E3890" t="e">
        <f>cubic_spline(CURVA!$B$6:$B$20,CURVA!$G$6:$G$20,#REF!)</f>
        <v>#VALUE!</v>
      </c>
    </row>
    <row r="3891" spans="1:5" x14ac:dyDescent="0.2">
      <c r="A3891" s="28">
        <v>3890</v>
      </c>
      <c r="B3891" s="28" t="e">
        <f>interpola(#REF!,CURVA!$B$6:$B$20,CURVA!$G$6:$G$20)</f>
        <v>#VALUE!</v>
      </c>
      <c r="C3891" s="29" t="e">
        <f t="shared" si="60"/>
        <v>#VALUE!</v>
      </c>
      <c r="E3891" t="e">
        <f>cubic_spline(CURVA!$B$6:$B$20,CURVA!$G$6:$G$20,#REF!)</f>
        <v>#VALUE!</v>
      </c>
    </row>
    <row r="3892" spans="1:5" x14ac:dyDescent="0.2">
      <c r="A3892" s="28">
        <v>3891</v>
      </c>
      <c r="B3892" s="28" t="e">
        <f>interpola(#REF!,CURVA!$B$6:$B$20,CURVA!$G$6:$G$20)</f>
        <v>#VALUE!</v>
      </c>
      <c r="C3892" s="29" t="e">
        <f t="shared" si="60"/>
        <v>#VALUE!</v>
      </c>
      <c r="E3892" t="e">
        <f>cubic_spline(CURVA!$B$6:$B$20,CURVA!$G$6:$G$20,#REF!)</f>
        <v>#VALUE!</v>
      </c>
    </row>
    <row r="3893" spans="1:5" x14ac:dyDescent="0.2">
      <c r="A3893" s="28">
        <v>3892</v>
      </c>
      <c r="B3893" s="28" t="e">
        <f>interpola(#REF!,CURVA!$B$6:$B$20,CURVA!$G$6:$G$20)</f>
        <v>#VALUE!</v>
      </c>
      <c r="C3893" s="29" t="e">
        <f t="shared" si="60"/>
        <v>#VALUE!</v>
      </c>
      <c r="E3893" t="e">
        <f>cubic_spline(CURVA!$B$6:$B$20,CURVA!$G$6:$G$20,#REF!)</f>
        <v>#VALUE!</v>
      </c>
    </row>
    <row r="3894" spans="1:5" x14ac:dyDescent="0.2">
      <c r="A3894" s="28">
        <v>3893</v>
      </c>
      <c r="B3894" s="28" t="e">
        <f>interpola(#REF!,CURVA!$B$6:$B$20,CURVA!$G$6:$G$20)</f>
        <v>#VALUE!</v>
      </c>
      <c r="C3894" s="29" t="e">
        <f t="shared" si="60"/>
        <v>#VALUE!</v>
      </c>
      <c r="E3894" t="e">
        <f>cubic_spline(CURVA!$B$6:$B$20,CURVA!$G$6:$G$20,#REF!)</f>
        <v>#VALUE!</v>
      </c>
    </row>
    <row r="3895" spans="1:5" x14ac:dyDescent="0.2">
      <c r="A3895" s="28">
        <v>3894</v>
      </c>
      <c r="B3895" s="28" t="e">
        <f>interpola(#REF!,CURVA!$B$6:$B$20,CURVA!$G$6:$G$20)</f>
        <v>#VALUE!</v>
      </c>
      <c r="C3895" s="29" t="e">
        <f t="shared" si="60"/>
        <v>#VALUE!</v>
      </c>
      <c r="E3895" t="e">
        <f>cubic_spline(CURVA!$B$6:$B$20,CURVA!$G$6:$G$20,#REF!)</f>
        <v>#VALUE!</v>
      </c>
    </row>
    <row r="3896" spans="1:5" x14ac:dyDescent="0.2">
      <c r="A3896" s="28">
        <v>3895</v>
      </c>
      <c r="B3896" s="28" t="e">
        <f>interpola(#REF!,CURVA!$B$6:$B$20,CURVA!$G$6:$G$20)</f>
        <v>#VALUE!</v>
      </c>
      <c r="C3896" s="29" t="e">
        <f t="shared" si="60"/>
        <v>#VALUE!</v>
      </c>
      <c r="E3896" t="e">
        <f>cubic_spline(CURVA!$B$6:$B$20,CURVA!$G$6:$G$20,#REF!)</f>
        <v>#VALUE!</v>
      </c>
    </row>
    <row r="3897" spans="1:5" x14ac:dyDescent="0.2">
      <c r="A3897" s="28">
        <v>3896</v>
      </c>
      <c r="B3897" s="28" t="e">
        <f>interpola(#REF!,CURVA!$B$6:$B$20,CURVA!$G$6:$G$20)</f>
        <v>#VALUE!</v>
      </c>
      <c r="C3897" s="29" t="e">
        <f t="shared" si="60"/>
        <v>#VALUE!</v>
      </c>
      <c r="E3897" t="e">
        <f>cubic_spline(CURVA!$B$6:$B$20,CURVA!$G$6:$G$20,#REF!)</f>
        <v>#VALUE!</v>
      </c>
    </row>
    <row r="3898" spans="1:5" x14ac:dyDescent="0.2">
      <c r="A3898" s="28">
        <v>3897</v>
      </c>
      <c r="B3898" s="28" t="e">
        <f>interpola(#REF!,CURVA!$B$6:$B$20,CURVA!$G$6:$G$20)</f>
        <v>#VALUE!</v>
      </c>
      <c r="C3898" s="29" t="e">
        <f t="shared" si="60"/>
        <v>#VALUE!</v>
      </c>
      <c r="E3898" t="e">
        <f>cubic_spline(CURVA!$B$6:$B$20,CURVA!$G$6:$G$20,#REF!)</f>
        <v>#VALUE!</v>
      </c>
    </row>
    <row r="3899" spans="1:5" x14ac:dyDescent="0.2">
      <c r="A3899" s="28">
        <v>3898</v>
      </c>
      <c r="B3899" s="28" t="e">
        <f>interpola(#REF!,CURVA!$B$6:$B$20,CURVA!$G$6:$G$20)</f>
        <v>#VALUE!</v>
      </c>
      <c r="C3899" s="29" t="e">
        <f t="shared" si="60"/>
        <v>#VALUE!</v>
      </c>
      <c r="E3899" t="e">
        <f>cubic_spline(CURVA!$B$6:$B$20,CURVA!$G$6:$G$20,#REF!)</f>
        <v>#VALUE!</v>
      </c>
    </row>
    <row r="3900" spans="1:5" x14ac:dyDescent="0.2">
      <c r="A3900" s="28">
        <v>3899</v>
      </c>
      <c r="B3900" s="28" t="e">
        <f>interpola(#REF!,CURVA!$B$6:$B$20,CURVA!$G$6:$G$20)</f>
        <v>#VALUE!</v>
      </c>
      <c r="C3900" s="29" t="e">
        <f t="shared" si="60"/>
        <v>#VALUE!</v>
      </c>
      <c r="E3900" t="e">
        <f>cubic_spline(CURVA!$B$6:$B$20,CURVA!$G$6:$G$20,#REF!)</f>
        <v>#VALUE!</v>
      </c>
    </row>
    <row r="3901" spans="1:5" x14ac:dyDescent="0.2">
      <c r="A3901" s="28">
        <v>3900</v>
      </c>
      <c r="B3901" s="28" t="e">
        <f>interpola(#REF!,CURVA!$B$6:$B$20,CURVA!$G$6:$G$20)</f>
        <v>#VALUE!</v>
      </c>
      <c r="C3901" s="29" t="e">
        <f t="shared" si="60"/>
        <v>#VALUE!</v>
      </c>
      <c r="E3901" t="e">
        <f>cubic_spline(CURVA!$B$6:$B$20,CURVA!$G$6:$G$20,#REF!)</f>
        <v>#VALUE!</v>
      </c>
    </row>
    <row r="3902" spans="1:5" x14ac:dyDescent="0.2">
      <c r="A3902" s="28">
        <v>3901</v>
      </c>
      <c r="B3902" s="28" t="e">
        <f>interpola(#REF!,CURVA!$B$6:$B$20,CURVA!$G$6:$G$20)</f>
        <v>#VALUE!</v>
      </c>
      <c r="C3902" s="29" t="e">
        <f t="shared" si="60"/>
        <v>#VALUE!</v>
      </c>
      <c r="E3902" t="e">
        <f>cubic_spline(CURVA!$B$6:$B$20,CURVA!$G$6:$G$20,#REF!)</f>
        <v>#VALUE!</v>
      </c>
    </row>
    <row r="3903" spans="1:5" x14ac:dyDescent="0.2">
      <c r="A3903" s="28">
        <v>3902</v>
      </c>
      <c r="B3903" s="28" t="e">
        <f>interpola(#REF!,CURVA!$B$6:$B$20,CURVA!$G$6:$G$20)</f>
        <v>#VALUE!</v>
      </c>
      <c r="C3903" s="29" t="e">
        <f t="shared" si="60"/>
        <v>#VALUE!</v>
      </c>
      <c r="E3903" t="e">
        <f>cubic_spline(CURVA!$B$6:$B$20,CURVA!$G$6:$G$20,#REF!)</f>
        <v>#VALUE!</v>
      </c>
    </row>
    <row r="3904" spans="1:5" x14ac:dyDescent="0.2">
      <c r="A3904" s="28">
        <v>3903</v>
      </c>
      <c r="B3904" s="28" t="e">
        <f>interpola(#REF!,CURVA!$B$6:$B$20,CURVA!$G$6:$G$20)</f>
        <v>#VALUE!</v>
      </c>
      <c r="C3904" s="29" t="e">
        <f t="shared" si="60"/>
        <v>#VALUE!</v>
      </c>
      <c r="E3904" t="e">
        <f>cubic_spline(CURVA!$B$6:$B$20,CURVA!$G$6:$G$20,#REF!)</f>
        <v>#VALUE!</v>
      </c>
    </row>
    <row r="3905" spans="1:5" x14ac:dyDescent="0.2">
      <c r="A3905" s="28">
        <v>3904</v>
      </c>
      <c r="B3905" s="28" t="e">
        <f>interpola(#REF!,CURVA!$B$6:$B$20,CURVA!$G$6:$G$20)</f>
        <v>#VALUE!</v>
      </c>
      <c r="C3905" s="29" t="e">
        <f t="shared" si="60"/>
        <v>#VALUE!</v>
      </c>
      <c r="E3905" t="e">
        <f>cubic_spline(CURVA!$B$6:$B$20,CURVA!$G$6:$G$20,#REF!)</f>
        <v>#VALUE!</v>
      </c>
    </row>
    <row r="3906" spans="1:5" x14ac:dyDescent="0.2">
      <c r="A3906" s="28">
        <v>3905</v>
      </c>
      <c r="B3906" s="28" t="e">
        <f>interpola(#REF!,CURVA!$B$6:$B$20,CURVA!$G$6:$G$20)</f>
        <v>#VALUE!</v>
      </c>
      <c r="C3906" s="29" t="e">
        <f t="shared" ref="C3906:C3969" si="61">(EXP(B3906*A3906/360)-1)*360/A3906</f>
        <v>#VALUE!</v>
      </c>
      <c r="E3906" t="e">
        <f>cubic_spline(CURVA!$B$6:$B$20,CURVA!$G$6:$G$20,#REF!)</f>
        <v>#VALUE!</v>
      </c>
    </row>
    <row r="3907" spans="1:5" x14ac:dyDescent="0.2">
      <c r="A3907" s="28">
        <v>3906</v>
      </c>
      <c r="B3907" s="28" t="e">
        <f>interpola(#REF!,CURVA!$B$6:$B$20,CURVA!$G$6:$G$20)</f>
        <v>#VALUE!</v>
      </c>
      <c r="C3907" s="29" t="e">
        <f t="shared" si="61"/>
        <v>#VALUE!</v>
      </c>
      <c r="E3907" t="e">
        <f>cubic_spline(CURVA!$B$6:$B$20,CURVA!$G$6:$G$20,#REF!)</f>
        <v>#VALUE!</v>
      </c>
    </row>
    <row r="3908" spans="1:5" x14ac:dyDescent="0.2">
      <c r="A3908" s="28">
        <v>3907</v>
      </c>
      <c r="B3908" s="28" t="e">
        <f>interpola(#REF!,CURVA!$B$6:$B$20,CURVA!$G$6:$G$20)</f>
        <v>#VALUE!</v>
      </c>
      <c r="C3908" s="29" t="e">
        <f t="shared" si="61"/>
        <v>#VALUE!</v>
      </c>
      <c r="E3908" t="e">
        <f>cubic_spline(CURVA!$B$6:$B$20,CURVA!$G$6:$G$20,#REF!)</f>
        <v>#VALUE!</v>
      </c>
    </row>
    <row r="3909" spans="1:5" x14ac:dyDescent="0.2">
      <c r="A3909" s="28">
        <v>3908</v>
      </c>
      <c r="B3909" s="28" t="e">
        <f>interpola(#REF!,CURVA!$B$6:$B$20,CURVA!$G$6:$G$20)</f>
        <v>#VALUE!</v>
      </c>
      <c r="C3909" s="29" t="e">
        <f t="shared" si="61"/>
        <v>#VALUE!</v>
      </c>
      <c r="E3909" t="e">
        <f>cubic_spline(CURVA!$B$6:$B$20,CURVA!$G$6:$G$20,#REF!)</f>
        <v>#VALUE!</v>
      </c>
    </row>
    <row r="3910" spans="1:5" x14ac:dyDescent="0.2">
      <c r="A3910" s="28">
        <v>3909</v>
      </c>
      <c r="B3910" s="28" t="e">
        <f>interpola(#REF!,CURVA!$B$6:$B$20,CURVA!$G$6:$G$20)</f>
        <v>#VALUE!</v>
      </c>
      <c r="C3910" s="29" t="e">
        <f t="shared" si="61"/>
        <v>#VALUE!</v>
      </c>
      <c r="E3910" t="e">
        <f>cubic_spline(CURVA!$B$6:$B$20,CURVA!$G$6:$G$20,#REF!)</f>
        <v>#VALUE!</v>
      </c>
    </row>
    <row r="3911" spans="1:5" x14ac:dyDescent="0.2">
      <c r="A3911" s="28">
        <v>3910</v>
      </c>
      <c r="B3911" s="28" t="e">
        <f>interpola(#REF!,CURVA!$B$6:$B$20,CURVA!$G$6:$G$20)</f>
        <v>#VALUE!</v>
      </c>
      <c r="C3911" s="29" t="e">
        <f t="shared" si="61"/>
        <v>#VALUE!</v>
      </c>
      <c r="E3911" t="e">
        <f>cubic_spline(CURVA!$B$6:$B$20,CURVA!$G$6:$G$20,#REF!)</f>
        <v>#VALUE!</v>
      </c>
    </row>
    <row r="3912" spans="1:5" x14ac:dyDescent="0.2">
      <c r="A3912" s="28">
        <v>3911</v>
      </c>
      <c r="B3912" s="28" t="e">
        <f>interpola(#REF!,CURVA!$B$6:$B$20,CURVA!$G$6:$G$20)</f>
        <v>#VALUE!</v>
      </c>
      <c r="C3912" s="29" t="e">
        <f t="shared" si="61"/>
        <v>#VALUE!</v>
      </c>
      <c r="E3912" t="e">
        <f>cubic_spline(CURVA!$B$6:$B$20,CURVA!$G$6:$G$20,#REF!)</f>
        <v>#VALUE!</v>
      </c>
    </row>
    <row r="3913" spans="1:5" x14ac:dyDescent="0.2">
      <c r="A3913" s="28">
        <v>3912</v>
      </c>
      <c r="B3913" s="28" t="e">
        <f>interpola(#REF!,CURVA!$B$6:$B$20,CURVA!$G$6:$G$20)</f>
        <v>#VALUE!</v>
      </c>
      <c r="C3913" s="29" t="e">
        <f t="shared" si="61"/>
        <v>#VALUE!</v>
      </c>
      <c r="E3913" t="e">
        <f>cubic_spline(CURVA!$B$6:$B$20,CURVA!$G$6:$G$20,#REF!)</f>
        <v>#VALUE!</v>
      </c>
    </row>
    <row r="3914" spans="1:5" x14ac:dyDescent="0.2">
      <c r="A3914" s="28">
        <v>3913</v>
      </c>
      <c r="B3914" s="28" t="e">
        <f>interpola(#REF!,CURVA!$B$6:$B$20,CURVA!$G$6:$G$20)</f>
        <v>#VALUE!</v>
      </c>
      <c r="C3914" s="29" t="e">
        <f t="shared" si="61"/>
        <v>#VALUE!</v>
      </c>
      <c r="E3914" t="e">
        <f>cubic_spline(CURVA!$B$6:$B$20,CURVA!$G$6:$G$20,#REF!)</f>
        <v>#VALUE!</v>
      </c>
    </row>
    <row r="3915" spans="1:5" x14ac:dyDescent="0.2">
      <c r="A3915" s="28">
        <v>3914</v>
      </c>
      <c r="B3915" s="28" t="e">
        <f>interpola(#REF!,CURVA!$B$6:$B$20,CURVA!$G$6:$G$20)</f>
        <v>#VALUE!</v>
      </c>
      <c r="C3915" s="29" t="e">
        <f t="shared" si="61"/>
        <v>#VALUE!</v>
      </c>
      <c r="E3915" t="e">
        <f>cubic_spline(CURVA!$B$6:$B$20,CURVA!$G$6:$G$20,#REF!)</f>
        <v>#VALUE!</v>
      </c>
    </row>
    <row r="3916" spans="1:5" x14ac:dyDescent="0.2">
      <c r="A3916" s="28">
        <v>3915</v>
      </c>
      <c r="B3916" s="28" t="e">
        <f>interpola(#REF!,CURVA!$B$6:$B$20,CURVA!$G$6:$G$20)</f>
        <v>#VALUE!</v>
      </c>
      <c r="C3916" s="29" t="e">
        <f t="shared" si="61"/>
        <v>#VALUE!</v>
      </c>
      <c r="E3916" t="e">
        <f>cubic_spline(CURVA!$B$6:$B$20,CURVA!$G$6:$G$20,#REF!)</f>
        <v>#VALUE!</v>
      </c>
    </row>
    <row r="3917" spans="1:5" x14ac:dyDescent="0.2">
      <c r="A3917" s="28">
        <v>3916</v>
      </c>
      <c r="B3917" s="28" t="e">
        <f>interpola(#REF!,CURVA!$B$6:$B$20,CURVA!$G$6:$G$20)</f>
        <v>#VALUE!</v>
      </c>
      <c r="C3917" s="29" t="e">
        <f t="shared" si="61"/>
        <v>#VALUE!</v>
      </c>
      <c r="E3917" t="e">
        <f>cubic_spline(CURVA!$B$6:$B$20,CURVA!$G$6:$G$20,#REF!)</f>
        <v>#VALUE!</v>
      </c>
    </row>
    <row r="3918" spans="1:5" x14ac:dyDescent="0.2">
      <c r="A3918" s="28">
        <v>3917</v>
      </c>
      <c r="B3918" s="28" t="e">
        <f>interpola(#REF!,CURVA!$B$6:$B$20,CURVA!$G$6:$G$20)</f>
        <v>#VALUE!</v>
      </c>
      <c r="C3918" s="29" t="e">
        <f t="shared" si="61"/>
        <v>#VALUE!</v>
      </c>
      <c r="E3918" t="e">
        <f>cubic_spline(CURVA!$B$6:$B$20,CURVA!$G$6:$G$20,#REF!)</f>
        <v>#VALUE!</v>
      </c>
    </row>
    <row r="3919" spans="1:5" x14ac:dyDescent="0.2">
      <c r="A3919" s="28">
        <v>3918</v>
      </c>
      <c r="B3919" s="28" t="e">
        <f>interpola(#REF!,CURVA!$B$6:$B$20,CURVA!$G$6:$G$20)</f>
        <v>#VALUE!</v>
      </c>
      <c r="C3919" s="29" t="e">
        <f t="shared" si="61"/>
        <v>#VALUE!</v>
      </c>
      <c r="E3919" t="e">
        <f>cubic_spline(CURVA!$B$6:$B$20,CURVA!$G$6:$G$20,#REF!)</f>
        <v>#VALUE!</v>
      </c>
    </row>
    <row r="3920" spans="1:5" x14ac:dyDescent="0.2">
      <c r="A3920" s="28">
        <v>3919</v>
      </c>
      <c r="B3920" s="28" t="e">
        <f>interpola(#REF!,CURVA!$B$6:$B$20,CURVA!$G$6:$G$20)</f>
        <v>#VALUE!</v>
      </c>
      <c r="C3920" s="29" t="e">
        <f t="shared" si="61"/>
        <v>#VALUE!</v>
      </c>
      <c r="E3920" t="e">
        <f>cubic_spline(CURVA!$B$6:$B$20,CURVA!$G$6:$G$20,#REF!)</f>
        <v>#VALUE!</v>
      </c>
    </row>
    <row r="3921" spans="1:5" x14ac:dyDescent="0.2">
      <c r="A3921" s="28">
        <v>3920</v>
      </c>
      <c r="B3921" s="28" t="e">
        <f>interpola(#REF!,CURVA!$B$6:$B$20,CURVA!$G$6:$G$20)</f>
        <v>#VALUE!</v>
      </c>
      <c r="C3921" s="29" t="e">
        <f t="shared" si="61"/>
        <v>#VALUE!</v>
      </c>
      <c r="E3921" t="e">
        <f>cubic_spline(CURVA!$B$6:$B$20,CURVA!$G$6:$G$20,#REF!)</f>
        <v>#VALUE!</v>
      </c>
    </row>
    <row r="3922" spans="1:5" x14ac:dyDescent="0.2">
      <c r="A3922" s="28">
        <v>3921</v>
      </c>
      <c r="B3922" s="28" t="e">
        <f>interpola(#REF!,CURVA!$B$6:$B$20,CURVA!$G$6:$G$20)</f>
        <v>#VALUE!</v>
      </c>
      <c r="C3922" s="29" t="e">
        <f t="shared" si="61"/>
        <v>#VALUE!</v>
      </c>
      <c r="E3922" t="e">
        <f>cubic_spline(CURVA!$B$6:$B$20,CURVA!$G$6:$G$20,#REF!)</f>
        <v>#VALUE!</v>
      </c>
    </row>
    <row r="3923" spans="1:5" x14ac:dyDescent="0.2">
      <c r="A3923" s="28">
        <v>3922</v>
      </c>
      <c r="B3923" s="28" t="e">
        <f>interpola(#REF!,CURVA!$B$6:$B$20,CURVA!$G$6:$G$20)</f>
        <v>#VALUE!</v>
      </c>
      <c r="C3923" s="29" t="e">
        <f t="shared" si="61"/>
        <v>#VALUE!</v>
      </c>
      <c r="E3923" t="e">
        <f>cubic_spline(CURVA!$B$6:$B$20,CURVA!$G$6:$G$20,#REF!)</f>
        <v>#VALUE!</v>
      </c>
    </row>
    <row r="3924" spans="1:5" x14ac:dyDescent="0.2">
      <c r="A3924" s="28">
        <v>3923</v>
      </c>
      <c r="B3924" s="28" t="e">
        <f>interpola(#REF!,CURVA!$B$6:$B$20,CURVA!$G$6:$G$20)</f>
        <v>#VALUE!</v>
      </c>
      <c r="C3924" s="29" t="e">
        <f t="shared" si="61"/>
        <v>#VALUE!</v>
      </c>
      <c r="E3924" t="e">
        <f>cubic_spline(CURVA!$B$6:$B$20,CURVA!$G$6:$G$20,#REF!)</f>
        <v>#VALUE!</v>
      </c>
    </row>
    <row r="3925" spans="1:5" x14ac:dyDescent="0.2">
      <c r="A3925" s="28">
        <v>3924</v>
      </c>
      <c r="B3925" s="28" t="e">
        <f>interpola(#REF!,CURVA!$B$6:$B$20,CURVA!$G$6:$G$20)</f>
        <v>#VALUE!</v>
      </c>
      <c r="C3925" s="29" t="e">
        <f t="shared" si="61"/>
        <v>#VALUE!</v>
      </c>
      <c r="E3925" t="e">
        <f>cubic_spline(CURVA!$B$6:$B$20,CURVA!$G$6:$G$20,#REF!)</f>
        <v>#VALUE!</v>
      </c>
    </row>
    <row r="3926" spans="1:5" x14ac:dyDescent="0.2">
      <c r="A3926" s="28">
        <v>3925</v>
      </c>
      <c r="B3926" s="28" t="e">
        <f>interpola(#REF!,CURVA!$B$6:$B$20,CURVA!$G$6:$G$20)</f>
        <v>#VALUE!</v>
      </c>
      <c r="C3926" s="29" t="e">
        <f t="shared" si="61"/>
        <v>#VALUE!</v>
      </c>
      <c r="E3926" t="e">
        <f>cubic_spline(CURVA!$B$6:$B$20,CURVA!$G$6:$G$20,#REF!)</f>
        <v>#VALUE!</v>
      </c>
    </row>
    <row r="3927" spans="1:5" x14ac:dyDescent="0.2">
      <c r="A3927" s="28">
        <v>3926</v>
      </c>
      <c r="B3927" s="28" t="e">
        <f>interpola(#REF!,CURVA!$B$6:$B$20,CURVA!$G$6:$G$20)</f>
        <v>#VALUE!</v>
      </c>
      <c r="C3927" s="29" t="e">
        <f t="shared" si="61"/>
        <v>#VALUE!</v>
      </c>
      <c r="E3927" t="e">
        <f>cubic_spline(CURVA!$B$6:$B$20,CURVA!$G$6:$G$20,#REF!)</f>
        <v>#VALUE!</v>
      </c>
    </row>
    <row r="3928" spans="1:5" x14ac:dyDescent="0.2">
      <c r="A3928" s="28">
        <v>3927</v>
      </c>
      <c r="B3928" s="28" t="e">
        <f>interpola(#REF!,CURVA!$B$6:$B$20,CURVA!$G$6:$G$20)</f>
        <v>#VALUE!</v>
      </c>
      <c r="C3928" s="29" t="e">
        <f t="shared" si="61"/>
        <v>#VALUE!</v>
      </c>
      <c r="E3928" t="e">
        <f>cubic_spline(CURVA!$B$6:$B$20,CURVA!$G$6:$G$20,#REF!)</f>
        <v>#VALUE!</v>
      </c>
    </row>
    <row r="3929" spans="1:5" x14ac:dyDescent="0.2">
      <c r="A3929" s="28">
        <v>3928</v>
      </c>
      <c r="B3929" s="28" t="e">
        <f>interpola(#REF!,CURVA!$B$6:$B$20,CURVA!$G$6:$G$20)</f>
        <v>#VALUE!</v>
      </c>
      <c r="C3929" s="29" t="e">
        <f t="shared" si="61"/>
        <v>#VALUE!</v>
      </c>
      <c r="E3929" t="e">
        <f>cubic_spline(CURVA!$B$6:$B$20,CURVA!$G$6:$G$20,#REF!)</f>
        <v>#VALUE!</v>
      </c>
    </row>
    <row r="3930" spans="1:5" x14ac:dyDescent="0.2">
      <c r="A3930" s="28">
        <v>3929</v>
      </c>
      <c r="B3930" s="28" t="e">
        <f>interpola(#REF!,CURVA!$B$6:$B$20,CURVA!$G$6:$G$20)</f>
        <v>#VALUE!</v>
      </c>
      <c r="C3930" s="29" t="e">
        <f t="shared" si="61"/>
        <v>#VALUE!</v>
      </c>
      <c r="E3930" t="e">
        <f>cubic_spline(CURVA!$B$6:$B$20,CURVA!$G$6:$G$20,#REF!)</f>
        <v>#VALUE!</v>
      </c>
    </row>
    <row r="3931" spans="1:5" x14ac:dyDescent="0.2">
      <c r="A3931" s="28">
        <v>3930</v>
      </c>
      <c r="B3931" s="28" t="e">
        <f>interpola(#REF!,CURVA!$B$6:$B$20,CURVA!$G$6:$G$20)</f>
        <v>#VALUE!</v>
      </c>
      <c r="C3931" s="29" t="e">
        <f t="shared" si="61"/>
        <v>#VALUE!</v>
      </c>
      <c r="E3931" t="e">
        <f>cubic_spline(CURVA!$B$6:$B$20,CURVA!$G$6:$G$20,#REF!)</f>
        <v>#VALUE!</v>
      </c>
    </row>
    <row r="3932" spans="1:5" x14ac:dyDescent="0.2">
      <c r="A3932" s="28">
        <v>3931</v>
      </c>
      <c r="B3932" s="28" t="e">
        <f>interpola(#REF!,CURVA!$B$6:$B$20,CURVA!$G$6:$G$20)</f>
        <v>#VALUE!</v>
      </c>
      <c r="C3932" s="29" t="e">
        <f t="shared" si="61"/>
        <v>#VALUE!</v>
      </c>
      <c r="E3932" t="e">
        <f>cubic_spline(CURVA!$B$6:$B$20,CURVA!$G$6:$G$20,#REF!)</f>
        <v>#VALUE!</v>
      </c>
    </row>
    <row r="3933" spans="1:5" x14ac:dyDescent="0.2">
      <c r="A3933" s="28">
        <v>3932</v>
      </c>
      <c r="B3933" s="28" t="e">
        <f>interpola(#REF!,CURVA!$B$6:$B$20,CURVA!$G$6:$G$20)</f>
        <v>#VALUE!</v>
      </c>
      <c r="C3933" s="29" t="e">
        <f t="shared" si="61"/>
        <v>#VALUE!</v>
      </c>
      <c r="E3933" t="e">
        <f>cubic_spline(CURVA!$B$6:$B$20,CURVA!$G$6:$G$20,#REF!)</f>
        <v>#VALUE!</v>
      </c>
    </row>
    <row r="3934" spans="1:5" x14ac:dyDescent="0.2">
      <c r="A3934" s="28">
        <v>3933</v>
      </c>
      <c r="B3934" s="28" t="e">
        <f>interpola(#REF!,CURVA!$B$6:$B$20,CURVA!$G$6:$G$20)</f>
        <v>#VALUE!</v>
      </c>
      <c r="C3934" s="29" t="e">
        <f t="shared" si="61"/>
        <v>#VALUE!</v>
      </c>
      <c r="E3934" t="e">
        <f>cubic_spline(CURVA!$B$6:$B$20,CURVA!$G$6:$G$20,#REF!)</f>
        <v>#VALUE!</v>
      </c>
    </row>
    <row r="3935" spans="1:5" x14ac:dyDescent="0.2">
      <c r="A3935" s="28">
        <v>3934</v>
      </c>
      <c r="B3935" s="28" t="e">
        <f>interpola(#REF!,CURVA!$B$6:$B$20,CURVA!$G$6:$G$20)</f>
        <v>#VALUE!</v>
      </c>
      <c r="C3935" s="29" t="e">
        <f t="shared" si="61"/>
        <v>#VALUE!</v>
      </c>
      <c r="E3935" t="e">
        <f>cubic_spline(CURVA!$B$6:$B$20,CURVA!$G$6:$G$20,#REF!)</f>
        <v>#VALUE!</v>
      </c>
    </row>
    <row r="3936" spans="1:5" x14ac:dyDescent="0.2">
      <c r="A3936" s="28">
        <v>3935</v>
      </c>
      <c r="B3936" s="28" t="e">
        <f>interpola(#REF!,CURVA!$B$6:$B$20,CURVA!$G$6:$G$20)</f>
        <v>#VALUE!</v>
      </c>
      <c r="C3936" s="29" t="e">
        <f t="shared" si="61"/>
        <v>#VALUE!</v>
      </c>
      <c r="E3936" t="e">
        <f>cubic_spline(CURVA!$B$6:$B$20,CURVA!$G$6:$G$20,#REF!)</f>
        <v>#VALUE!</v>
      </c>
    </row>
    <row r="3937" spans="1:5" x14ac:dyDescent="0.2">
      <c r="A3937" s="28">
        <v>3936</v>
      </c>
      <c r="B3937" s="28" t="e">
        <f>interpola(#REF!,CURVA!$B$6:$B$20,CURVA!$G$6:$G$20)</f>
        <v>#VALUE!</v>
      </c>
      <c r="C3937" s="29" t="e">
        <f t="shared" si="61"/>
        <v>#VALUE!</v>
      </c>
      <c r="E3937" t="e">
        <f>cubic_spline(CURVA!$B$6:$B$20,CURVA!$G$6:$G$20,#REF!)</f>
        <v>#VALUE!</v>
      </c>
    </row>
    <row r="3938" spans="1:5" x14ac:dyDescent="0.2">
      <c r="A3938" s="28">
        <v>3937</v>
      </c>
      <c r="B3938" s="28" t="e">
        <f>interpola(#REF!,CURVA!$B$6:$B$20,CURVA!$G$6:$G$20)</f>
        <v>#VALUE!</v>
      </c>
      <c r="C3938" s="29" t="e">
        <f t="shared" si="61"/>
        <v>#VALUE!</v>
      </c>
      <c r="E3938" t="e">
        <f>cubic_spline(CURVA!$B$6:$B$20,CURVA!$G$6:$G$20,#REF!)</f>
        <v>#VALUE!</v>
      </c>
    </row>
    <row r="3939" spans="1:5" x14ac:dyDescent="0.2">
      <c r="A3939" s="28">
        <v>3938</v>
      </c>
      <c r="B3939" s="28" t="e">
        <f>interpola(#REF!,CURVA!$B$6:$B$20,CURVA!$G$6:$G$20)</f>
        <v>#VALUE!</v>
      </c>
      <c r="C3939" s="29" t="e">
        <f t="shared" si="61"/>
        <v>#VALUE!</v>
      </c>
      <c r="E3939" t="e">
        <f>cubic_spline(CURVA!$B$6:$B$20,CURVA!$G$6:$G$20,#REF!)</f>
        <v>#VALUE!</v>
      </c>
    </row>
    <row r="3940" spans="1:5" x14ac:dyDescent="0.2">
      <c r="A3940" s="28">
        <v>3939</v>
      </c>
      <c r="B3940" s="28" t="e">
        <f>interpola(#REF!,CURVA!$B$6:$B$20,CURVA!$G$6:$G$20)</f>
        <v>#VALUE!</v>
      </c>
      <c r="C3940" s="29" t="e">
        <f t="shared" si="61"/>
        <v>#VALUE!</v>
      </c>
      <c r="E3940" t="e">
        <f>cubic_spline(CURVA!$B$6:$B$20,CURVA!$G$6:$G$20,#REF!)</f>
        <v>#VALUE!</v>
      </c>
    </row>
    <row r="3941" spans="1:5" x14ac:dyDescent="0.2">
      <c r="A3941" s="28">
        <v>3940</v>
      </c>
      <c r="B3941" s="28" t="e">
        <f>interpola(#REF!,CURVA!$B$6:$B$20,CURVA!$G$6:$G$20)</f>
        <v>#VALUE!</v>
      </c>
      <c r="C3941" s="29" t="e">
        <f t="shared" si="61"/>
        <v>#VALUE!</v>
      </c>
      <c r="E3941" t="e">
        <f>cubic_spline(CURVA!$B$6:$B$20,CURVA!$G$6:$G$20,#REF!)</f>
        <v>#VALUE!</v>
      </c>
    </row>
    <row r="3942" spans="1:5" x14ac:dyDescent="0.2">
      <c r="A3942" s="28">
        <v>3941</v>
      </c>
      <c r="B3942" s="28" t="e">
        <f>interpola(#REF!,CURVA!$B$6:$B$20,CURVA!$G$6:$G$20)</f>
        <v>#VALUE!</v>
      </c>
      <c r="C3942" s="29" t="e">
        <f t="shared" si="61"/>
        <v>#VALUE!</v>
      </c>
      <c r="E3942" t="e">
        <f>cubic_spline(CURVA!$B$6:$B$20,CURVA!$G$6:$G$20,#REF!)</f>
        <v>#VALUE!</v>
      </c>
    </row>
    <row r="3943" spans="1:5" x14ac:dyDescent="0.2">
      <c r="A3943" s="28">
        <v>3942</v>
      </c>
      <c r="B3943" s="28" t="e">
        <f>interpola(#REF!,CURVA!$B$6:$B$20,CURVA!$G$6:$G$20)</f>
        <v>#VALUE!</v>
      </c>
      <c r="C3943" s="29" t="e">
        <f t="shared" si="61"/>
        <v>#VALUE!</v>
      </c>
      <c r="E3943" t="e">
        <f>cubic_spline(CURVA!$B$6:$B$20,CURVA!$G$6:$G$20,#REF!)</f>
        <v>#VALUE!</v>
      </c>
    </row>
    <row r="3944" spans="1:5" x14ac:dyDescent="0.2">
      <c r="A3944" s="28">
        <v>3943</v>
      </c>
      <c r="B3944" s="28" t="e">
        <f>interpola(#REF!,CURVA!$B$6:$B$20,CURVA!$G$6:$G$20)</f>
        <v>#VALUE!</v>
      </c>
      <c r="C3944" s="29" t="e">
        <f t="shared" si="61"/>
        <v>#VALUE!</v>
      </c>
      <c r="E3944" t="e">
        <f>cubic_spline(CURVA!$B$6:$B$20,CURVA!$G$6:$G$20,#REF!)</f>
        <v>#VALUE!</v>
      </c>
    </row>
    <row r="3945" spans="1:5" x14ac:dyDescent="0.2">
      <c r="A3945" s="28">
        <v>3944</v>
      </c>
      <c r="B3945" s="28" t="e">
        <f>interpola(#REF!,CURVA!$B$6:$B$20,CURVA!$G$6:$G$20)</f>
        <v>#VALUE!</v>
      </c>
      <c r="C3945" s="29" t="e">
        <f t="shared" si="61"/>
        <v>#VALUE!</v>
      </c>
      <c r="E3945" t="e">
        <f>cubic_spline(CURVA!$B$6:$B$20,CURVA!$G$6:$G$20,#REF!)</f>
        <v>#VALUE!</v>
      </c>
    </row>
    <row r="3946" spans="1:5" x14ac:dyDescent="0.2">
      <c r="A3946" s="28">
        <v>3945</v>
      </c>
      <c r="B3946" s="28" t="e">
        <f>interpola(#REF!,CURVA!$B$6:$B$20,CURVA!$G$6:$G$20)</f>
        <v>#VALUE!</v>
      </c>
      <c r="C3946" s="29" t="e">
        <f t="shared" si="61"/>
        <v>#VALUE!</v>
      </c>
      <c r="E3946" t="e">
        <f>cubic_spline(CURVA!$B$6:$B$20,CURVA!$G$6:$G$20,#REF!)</f>
        <v>#VALUE!</v>
      </c>
    </row>
    <row r="3947" spans="1:5" x14ac:dyDescent="0.2">
      <c r="A3947" s="28">
        <v>3946</v>
      </c>
      <c r="B3947" s="28" t="e">
        <f>interpola(#REF!,CURVA!$B$6:$B$20,CURVA!$G$6:$G$20)</f>
        <v>#VALUE!</v>
      </c>
      <c r="C3947" s="29" t="e">
        <f t="shared" si="61"/>
        <v>#VALUE!</v>
      </c>
      <c r="E3947" t="e">
        <f>cubic_spline(CURVA!$B$6:$B$20,CURVA!$G$6:$G$20,#REF!)</f>
        <v>#VALUE!</v>
      </c>
    </row>
    <row r="3948" spans="1:5" x14ac:dyDescent="0.2">
      <c r="A3948" s="28">
        <v>3947</v>
      </c>
      <c r="B3948" s="28" t="e">
        <f>interpola(#REF!,CURVA!$B$6:$B$20,CURVA!$G$6:$G$20)</f>
        <v>#VALUE!</v>
      </c>
      <c r="C3948" s="29" t="e">
        <f t="shared" si="61"/>
        <v>#VALUE!</v>
      </c>
      <c r="E3948" t="e">
        <f>cubic_spline(CURVA!$B$6:$B$20,CURVA!$G$6:$G$20,#REF!)</f>
        <v>#VALUE!</v>
      </c>
    </row>
    <row r="3949" spans="1:5" x14ac:dyDescent="0.2">
      <c r="A3949" s="28">
        <v>3948</v>
      </c>
      <c r="B3949" s="28" t="e">
        <f>interpola(#REF!,CURVA!$B$6:$B$20,CURVA!$G$6:$G$20)</f>
        <v>#VALUE!</v>
      </c>
      <c r="C3949" s="29" t="e">
        <f t="shared" si="61"/>
        <v>#VALUE!</v>
      </c>
      <c r="E3949" t="e">
        <f>cubic_spline(CURVA!$B$6:$B$20,CURVA!$G$6:$G$20,#REF!)</f>
        <v>#VALUE!</v>
      </c>
    </row>
    <row r="3950" spans="1:5" x14ac:dyDescent="0.2">
      <c r="A3950" s="28">
        <v>3949</v>
      </c>
      <c r="B3950" s="28" t="e">
        <f>interpola(#REF!,CURVA!$B$6:$B$20,CURVA!$G$6:$G$20)</f>
        <v>#VALUE!</v>
      </c>
      <c r="C3950" s="29" t="e">
        <f t="shared" si="61"/>
        <v>#VALUE!</v>
      </c>
      <c r="E3950" t="e">
        <f>cubic_spline(CURVA!$B$6:$B$20,CURVA!$G$6:$G$20,#REF!)</f>
        <v>#VALUE!</v>
      </c>
    </row>
    <row r="3951" spans="1:5" x14ac:dyDescent="0.2">
      <c r="A3951" s="28">
        <v>3950</v>
      </c>
      <c r="B3951" s="28" t="e">
        <f>interpola(#REF!,CURVA!$B$6:$B$20,CURVA!$G$6:$G$20)</f>
        <v>#VALUE!</v>
      </c>
      <c r="C3951" s="29" t="e">
        <f t="shared" si="61"/>
        <v>#VALUE!</v>
      </c>
      <c r="E3951" t="e">
        <f>cubic_spline(CURVA!$B$6:$B$20,CURVA!$G$6:$G$20,#REF!)</f>
        <v>#VALUE!</v>
      </c>
    </row>
    <row r="3952" spans="1:5" x14ac:dyDescent="0.2">
      <c r="A3952" s="28">
        <v>3951</v>
      </c>
      <c r="B3952" s="28" t="e">
        <f>interpola(#REF!,CURVA!$B$6:$B$20,CURVA!$G$6:$G$20)</f>
        <v>#VALUE!</v>
      </c>
      <c r="C3952" s="29" t="e">
        <f t="shared" si="61"/>
        <v>#VALUE!</v>
      </c>
      <c r="E3952" t="e">
        <f>cubic_spline(CURVA!$B$6:$B$20,CURVA!$G$6:$G$20,#REF!)</f>
        <v>#VALUE!</v>
      </c>
    </row>
    <row r="3953" spans="1:5" x14ac:dyDescent="0.2">
      <c r="A3953" s="28">
        <v>3952</v>
      </c>
      <c r="B3953" s="28" t="e">
        <f>interpola(#REF!,CURVA!$B$6:$B$20,CURVA!$G$6:$G$20)</f>
        <v>#VALUE!</v>
      </c>
      <c r="C3953" s="29" t="e">
        <f t="shared" si="61"/>
        <v>#VALUE!</v>
      </c>
      <c r="E3953" t="e">
        <f>cubic_spline(CURVA!$B$6:$B$20,CURVA!$G$6:$G$20,#REF!)</f>
        <v>#VALUE!</v>
      </c>
    </row>
    <row r="3954" spans="1:5" x14ac:dyDescent="0.2">
      <c r="A3954" s="28">
        <v>3953</v>
      </c>
      <c r="B3954" s="28" t="e">
        <f>interpola(#REF!,CURVA!$B$6:$B$20,CURVA!$G$6:$G$20)</f>
        <v>#VALUE!</v>
      </c>
      <c r="C3954" s="29" t="e">
        <f t="shared" si="61"/>
        <v>#VALUE!</v>
      </c>
      <c r="E3954" t="e">
        <f>cubic_spline(CURVA!$B$6:$B$20,CURVA!$G$6:$G$20,#REF!)</f>
        <v>#VALUE!</v>
      </c>
    </row>
    <row r="3955" spans="1:5" x14ac:dyDescent="0.2">
      <c r="A3955" s="28">
        <v>3954</v>
      </c>
      <c r="B3955" s="28" t="e">
        <f>interpola(#REF!,CURVA!$B$6:$B$20,CURVA!$G$6:$G$20)</f>
        <v>#VALUE!</v>
      </c>
      <c r="C3955" s="29" t="e">
        <f t="shared" si="61"/>
        <v>#VALUE!</v>
      </c>
      <c r="E3955" t="e">
        <f>cubic_spline(CURVA!$B$6:$B$20,CURVA!$G$6:$G$20,#REF!)</f>
        <v>#VALUE!</v>
      </c>
    </row>
    <row r="3956" spans="1:5" x14ac:dyDescent="0.2">
      <c r="A3956" s="28">
        <v>3955</v>
      </c>
      <c r="B3956" s="28" t="e">
        <f>interpola(#REF!,CURVA!$B$6:$B$20,CURVA!$G$6:$G$20)</f>
        <v>#VALUE!</v>
      </c>
      <c r="C3956" s="29" t="e">
        <f t="shared" si="61"/>
        <v>#VALUE!</v>
      </c>
      <c r="E3956" t="e">
        <f>cubic_spline(CURVA!$B$6:$B$20,CURVA!$G$6:$G$20,#REF!)</f>
        <v>#VALUE!</v>
      </c>
    </row>
    <row r="3957" spans="1:5" x14ac:dyDescent="0.2">
      <c r="A3957" s="28">
        <v>3956</v>
      </c>
      <c r="B3957" s="28" t="e">
        <f>interpola(#REF!,CURVA!$B$6:$B$20,CURVA!$G$6:$G$20)</f>
        <v>#VALUE!</v>
      </c>
      <c r="C3957" s="29" t="e">
        <f t="shared" si="61"/>
        <v>#VALUE!</v>
      </c>
      <c r="E3957" t="e">
        <f>cubic_spline(CURVA!$B$6:$B$20,CURVA!$G$6:$G$20,#REF!)</f>
        <v>#VALUE!</v>
      </c>
    </row>
    <row r="3958" spans="1:5" x14ac:dyDescent="0.2">
      <c r="A3958" s="28">
        <v>3957</v>
      </c>
      <c r="B3958" s="28" t="e">
        <f>interpola(#REF!,CURVA!$B$6:$B$20,CURVA!$G$6:$G$20)</f>
        <v>#VALUE!</v>
      </c>
      <c r="C3958" s="29" t="e">
        <f t="shared" si="61"/>
        <v>#VALUE!</v>
      </c>
      <c r="E3958" t="e">
        <f>cubic_spline(CURVA!$B$6:$B$20,CURVA!$G$6:$G$20,#REF!)</f>
        <v>#VALUE!</v>
      </c>
    </row>
    <row r="3959" spans="1:5" x14ac:dyDescent="0.2">
      <c r="A3959" s="28">
        <v>3958</v>
      </c>
      <c r="B3959" s="28" t="e">
        <f>interpola(#REF!,CURVA!$B$6:$B$20,CURVA!$G$6:$G$20)</f>
        <v>#VALUE!</v>
      </c>
      <c r="C3959" s="29" t="e">
        <f t="shared" si="61"/>
        <v>#VALUE!</v>
      </c>
      <c r="E3959" t="e">
        <f>cubic_spline(CURVA!$B$6:$B$20,CURVA!$G$6:$G$20,#REF!)</f>
        <v>#VALUE!</v>
      </c>
    </row>
    <row r="3960" spans="1:5" x14ac:dyDescent="0.2">
      <c r="A3960" s="28">
        <v>3959</v>
      </c>
      <c r="B3960" s="28" t="e">
        <f>interpola(#REF!,CURVA!$B$6:$B$20,CURVA!$G$6:$G$20)</f>
        <v>#VALUE!</v>
      </c>
      <c r="C3960" s="29" t="e">
        <f t="shared" si="61"/>
        <v>#VALUE!</v>
      </c>
      <c r="E3960" t="e">
        <f>cubic_spline(CURVA!$B$6:$B$20,CURVA!$G$6:$G$20,#REF!)</f>
        <v>#VALUE!</v>
      </c>
    </row>
    <row r="3961" spans="1:5" x14ac:dyDescent="0.2">
      <c r="A3961" s="28">
        <v>3960</v>
      </c>
      <c r="B3961" s="28" t="e">
        <f>interpola(#REF!,CURVA!$B$6:$B$20,CURVA!$G$6:$G$20)</f>
        <v>#VALUE!</v>
      </c>
      <c r="C3961" s="29" t="e">
        <f t="shared" si="61"/>
        <v>#VALUE!</v>
      </c>
      <c r="E3961" t="e">
        <f>cubic_spline(CURVA!$B$6:$B$20,CURVA!$G$6:$G$20,#REF!)</f>
        <v>#VALUE!</v>
      </c>
    </row>
    <row r="3962" spans="1:5" x14ac:dyDescent="0.2">
      <c r="A3962" s="28">
        <v>3961</v>
      </c>
      <c r="B3962" s="28" t="e">
        <f>interpola(#REF!,CURVA!$B$6:$B$20,CURVA!$G$6:$G$20)</f>
        <v>#VALUE!</v>
      </c>
      <c r="C3962" s="29" t="e">
        <f t="shared" si="61"/>
        <v>#VALUE!</v>
      </c>
      <c r="E3962" t="e">
        <f>cubic_spline(CURVA!$B$6:$B$20,CURVA!$G$6:$G$20,#REF!)</f>
        <v>#VALUE!</v>
      </c>
    </row>
    <row r="3963" spans="1:5" x14ac:dyDescent="0.2">
      <c r="A3963" s="28">
        <v>3962</v>
      </c>
      <c r="B3963" s="28" t="e">
        <f>interpola(#REF!,CURVA!$B$6:$B$20,CURVA!$G$6:$G$20)</f>
        <v>#VALUE!</v>
      </c>
      <c r="C3963" s="29" t="e">
        <f t="shared" si="61"/>
        <v>#VALUE!</v>
      </c>
      <c r="E3963" t="e">
        <f>cubic_spline(CURVA!$B$6:$B$20,CURVA!$G$6:$G$20,#REF!)</f>
        <v>#VALUE!</v>
      </c>
    </row>
    <row r="3964" spans="1:5" x14ac:dyDescent="0.2">
      <c r="A3964" s="28">
        <v>3963</v>
      </c>
      <c r="B3964" s="28" t="e">
        <f>interpola(#REF!,CURVA!$B$6:$B$20,CURVA!$G$6:$G$20)</f>
        <v>#VALUE!</v>
      </c>
      <c r="C3964" s="29" t="e">
        <f t="shared" si="61"/>
        <v>#VALUE!</v>
      </c>
      <c r="E3964" t="e">
        <f>cubic_spline(CURVA!$B$6:$B$20,CURVA!$G$6:$G$20,#REF!)</f>
        <v>#VALUE!</v>
      </c>
    </row>
    <row r="3965" spans="1:5" x14ac:dyDescent="0.2">
      <c r="A3965" s="28">
        <v>3964</v>
      </c>
      <c r="B3965" s="28" t="e">
        <f>interpola(#REF!,CURVA!$B$6:$B$20,CURVA!$G$6:$G$20)</f>
        <v>#VALUE!</v>
      </c>
      <c r="C3965" s="29" t="e">
        <f t="shared" si="61"/>
        <v>#VALUE!</v>
      </c>
      <c r="E3965" t="e">
        <f>cubic_spline(CURVA!$B$6:$B$20,CURVA!$G$6:$G$20,#REF!)</f>
        <v>#VALUE!</v>
      </c>
    </row>
    <row r="3966" spans="1:5" x14ac:dyDescent="0.2">
      <c r="A3966" s="28">
        <v>3965</v>
      </c>
      <c r="B3966" s="28" t="e">
        <f>interpola(#REF!,CURVA!$B$6:$B$20,CURVA!$G$6:$G$20)</f>
        <v>#VALUE!</v>
      </c>
      <c r="C3966" s="29" t="e">
        <f t="shared" si="61"/>
        <v>#VALUE!</v>
      </c>
      <c r="E3966" t="e">
        <f>cubic_spline(CURVA!$B$6:$B$20,CURVA!$G$6:$G$20,#REF!)</f>
        <v>#VALUE!</v>
      </c>
    </row>
    <row r="3967" spans="1:5" x14ac:dyDescent="0.2">
      <c r="A3967" s="28">
        <v>3966</v>
      </c>
      <c r="B3967" s="28" t="e">
        <f>interpola(#REF!,CURVA!$B$6:$B$20,CURVA!$G$6:$G$20)</f>
        <v>#VALUE!</v>
      </c>
      <c r="C3967" s="29" t="e">
        <f t="shared" si="61"/>
        <v>#VALUE!</v>
      </c>
      <c r="E3967" t="e">
        <f>cubic_spline(CURVA!$B$6:$B$20,CURVA!$G$6:$G$20,#REF!)</f>
        <v>#VALUE!</v>
      </c>
    </row>
    <row r="3968" spans="1:5" x14ac:dyDescent="0.2">
      <c r="A3968" s="28">
        <v>3967</v>
      </c>
      <c r="B3968" s="28" t="e">
        <f>interpola(#REF!,CURVA!$B$6:$B$20,CURVA!$G$6:$G$20)</f>
        <v>#VALUE!</v>
      </c>
      <c r="C3968" s="29" t="e">
        <f t="shared" si="61"/>
        <v>#VALUE!</v>
      </c>
      <c r="E3968" t="e">
        <f>cubic_spline(CURVA!$B$6:$B$20,CURVA!$G$6:$G$20,#REF!)</f>
        <v>#VALUE!</v>
      </c>
    </row>
    <row r="3969" spans="1:5" x14ac:dyDescent="0.2">
      <c r="A3969" s="28">
        <v>3968</v>
      </c>
      <c r="B3969" s="28" t="e">
        <f>interpola(#REF!,CURVA!$B$6:$B$20,CURVA!$G$6:$G$20)</f>
        <v>#VALUE!</v>
      </c>
      <c r="C3969" s="29" t="e">
        <f t="shared" si="61"/>
        <v>#VALUE!</v>
      </c>
      <c r="E3969" t="e">
        <f>cubic_spline(CURVA!$B$6:$B$20,CURVA!$G$6:$G$20,#REF!)</f>
        <v>#VALUE!</v>
      </c>
    </row>
    <row r="3970" spans="1:5" x14ac:dyDescent="0.2">
      <c r="A3970" s="28">
        <v>3969</v>
      </c>
      <c r="B3970" s="28" t="e">
        <f>interpola(#REF!,CURVA!$B$6:$B$20,CURVA!$G$6:$G$20)</f>
        <v>#VALUE!</v>
      </c>
      <c r="C3970" s="29" t="e">
        <f t="shared" ref="C3970:C4033" si="62">(EXP(B3970*A3970/360)-1)*360/A3970</f>
        <v>#VALUE!</v>
      </c>
      <c r="E3970" t="e">
        <f>cubic_spline(CURVA!$B$6:$B$20,CURVA!$G$6:$G$20,#REF!)</f>
        <v>#VALUE!</v>
      </c>
    </row>
    <row r="3971" spans="1:5" x14ac:dyDescent="0.2">
      <c r="A3971" s="28">
        <v>3970</v>
      </c>
      <c r="B3971" s="28" t="e">
        <f>interpola(#REF!,CURVA!$B$6:$B$20,CURVA!$G$6:$G$20)</f>
        <v>#VALUE!</v>
      </c>
      <c r="C3971" s="29" t="e">
        <f t="shared" si="62"/>
        <v>#VALUE!</v>
      </c>
      <c r="E3971" t="e">
        <f>cubic_spline(CURVA!$B$6:$B$20,CURVA!$G$6:$G$20,#REF!)</f>
        <v>#VALUE!</v>
      </c>
    </row>
    <row r="3972" spans="1:5" x14ac:dyDescent="0.2">
      <c r="A3972" s="28">
        <v>3971</v>
      </c>
      <c r="B3972" s="28" t="e">
        <f>interpola(#REF!,CURVA!$B$6:$B$20,CURVA!$G$6:$G$20)</f>
        <v>#VALUE!</v>
      </c>
      <c r="C3972" s="29" t="e">
        <f t="shared" si="62"/>
        <v>#VALUE!</v>
      </c>
      <c r="E3972" t="e">
        <f>cubic_spline(CURVA!$B$6:$B$20,CURVA!$G$6:$G$20,#REF!)</f>
        <v>#VALUE!</v>
      </c>
    </row>
    <row r="3973" spans="1:5" x14ac:dyDescent="0.2">
      <c r="A3973" s="28">
        <v>3972</v>
      </c>
      <c r="B3973" s="28" t="e">
        <f>interpola(#REF!,CURVA!$B$6:$B$20,CURVA!$G$6:$G$20)</f>
        <v>#VALUE!</v>
      </c>
      <c r="C3973" s="29" t="e">
        <f t="shared" si="62"/>
        <v>#VALUE!</v>
      </c>
      <c r="E3973" t="e">
        <f>cubic_spline(CURVA!$B$6:$B$20,CURVA!$G$6:$G$20,#REF!)</f>
        <v>#VALUE!</v>
      </c>
    </row>
    <row r="3974" spans="1:5" x14ac:dyDescent="0.2">
      <c r="A3974" s="28">
        <v>3973</v>
      </c>
      <c r="B3974" s="28" t="e">
        <f>interpola(#REF!,CURVA!$B$6:$B$20,CURVA!$G$6:$G$20)</f>
        <v>#VALUE!</v>
      </c>
      <c r="C3974" s="29" t="e">
        <f t="shared" si="62"/>
        <v>#VALUE!</v>
      </c>
      <c r="E3974" t="e">
        <f>cubic_spline(CURVA!$B$6:$B$20,CURVA!$G$6:$G$20,#REF!)</f>
        <v>#VALUE!</v>
      </c>
    </row>
    <row r="3975" spans="1:5" x14ac:dyDescent="0.2">
      <c r="A3975" s="28">
        <v>3974</v>
      </c>
      <c r="B3975" s="28" t="e">
        <f>interpola(#REF!,CURVA!$B$6:$B$20,CURVA!$G$6:$G$20)</f>
        <v>#VALUE!</v>
      </c>
      <c r="C3975" s="29" t="e">
        <f t="shared" si="62"/>
        <v>#VALUE!</v>
      </c>
      <c r="E3975" t="e">
        <f>cubic_spline(CURVA!$B$6:$B$20,CURVA!$G$6:$G$20,#REF!)</f>
        <v>#VALUE!</v>
      </c>
    </row>
    <row r="3976" spans="1:5" x14ac:dyDescent="0.2">
      <c r="A3976" s="28">
        <v>3975</v>
      </c>
      <c r="B3976" s="28" t="e">
        <f>interpola(#REF!,CURVA!$B$6:$B$20,CURVA!$G$6:$G$20)</f>
        <v>#VALUE!</v>
      </c>
      <c r="C3976" s="29" t="e">
        <f t="shared" si="62"/>
        <v>#VALUE!</v>
      </c>
      <c r="E3976" t="e">
        <f>cubic_spline(CURVA!$B$6:$B$20,CURVA!$G$6:$G$20,#REF!)</f>
        <v>#VALUE!</v>
      </c>
    </row>
    <row r="3977" spans="1:5" x14ac:dyDescent="0.2">
      <c r="A3977" s="28">
        <v>3976</v>
      </c>
      <c r="B3977" s="28" t="e">
        <f>interpola(#REF!,CURVA!$B$6:$B$20,CURVA!$G$6:$G$20)</f>
        <v>#VALUE!</v>
      </c>
      <c r="C3977" s="29" t="e">
        <f t="shared" si="62"/>
        <v>#VALUE!</v>
      </c>
      <c r="E3977" t="e">
        <f>cubic_spline(CURVA!$B$6:$B$20,CURVA!$G$6:$G$20,#REF!)</f>
        <v>#VALUE!</v>
      </c>
    </row>
    <row r="3978" spans="1:5" x14ac:dyDescent="0.2">
      <c r="A3978" s="28">
        <v>3977</v>
      </c>
      <c r="B3978" s="28" t="e">
        <f>interpola(#REF!,CURVA!$B$6:$B$20,CURVA!$G$6:$G$20)</f>
        <v>#VALUE!</v>
      </c>
      <c r="C3978" s="29" t="e">
        <f t="shared" si="62"/>
        <v>#VALUE!</v>
      </c>
      <c r="E3978" t="e">
        <f>cubic_spline(CURVA!$B$6:$B$20,CURVA!$G$6:$G$20,#REF!)</f>
        <v>#VALUE!</v>
      </c>
    </row>
    <row r="3979" spans="1:5" x14ac:dyDescent="0.2">
      <c r="A3979" s="28">
        <v>3978</v>
      </c>
      <c r="B3979" s="28" t="e">
        <f>interpola(#REF!,CURVA!$B$6:$B$20,CURVA!$G$6:$G$20)</f>
        <v>#VALUE!</v>
      </c>
      <c r="C3979" s="29" t="e">
        <f t="shared" si="62"/>
        <v>#VALUE!</v>
      </c>
      <c r="E3979" t="e">
        <f>cubic_spline(CURVA!$B$6:$B$20,CURVA!$G$6:$G$20,#REF!)</f>
        <v>#VALUE!</v>
      </c>
    </row>
    <row r="3980" spans="1:5" x14ac:dyDescent="0.2">
      <c r="A3980" s="28">
        <v>3979</v>
      </c>
      <c r="B3980" s="28" t="e">
        <f>interpola(#REF!,CURVA!$B$6:$B$20,CURVA!$G$6:$G$20)</f>
        <v>#VALUE!</v>
      </c>
      <c r="C3980" s="29" t="e">
        <f t="shared" si="62"/>
        <v>#VALUE!</v>
      </c>
      <c r="E3980" t="e">
        <f>cubic_spline(CURVA!$B$6:$B$20,CURVA!$G$6:$G$20,#REF!)</f>
        <v>#VALUE!</v>
      </c>
    </row>
    <row r="3981" spans="1:5" x14ac:dyDescent="0.2">
      <c r="A3981" s="28">
        <v>3980</v>
      </c>
      <c r="B3981" s="28" t="e">
        <f>interpola(#REF!,CURVA!$B$6:$B$20,CURVA!$G$6:$G$20)</f>
        <v>#VALUE!</v>
      </c>
      <c r="C3981" s="29" t="e">
        <f t="shared" si="62"/>
        <v>#VALUE!</v>
      </c>
      <c r="E3981" t="e">
        <f>cubic_spline(CURVA!$B$6:$B$20,CURVA!$G$6:$G$20,#REF!)</f>
        <v>#VALUE!</v>
      </c>
    </row>
    <row r="3982" spans="1:5" x14ac:dyDescent="0.2">
      <c r="A3982" s="28">
        <v>3981</v>
      </c>
      <c r="B3982" s="28" t="e">
        <f>interpola(#REF!,CURVA!$B$6:$B$20,CURVA!$G$6:$G$20)</f>
        <v>#VALUE!</v>
      </c>
      <c r="C3982" s="29" t="e">
        <f t="shared" si="62"/>
        <v>#VALUE!</v>
      </c>
      <c r="E3982" t="e">
        <f>cubic_spline(CURVA!$B$6:$B$20,CURVA!$G$6:$G$20,#REF!)</f>
        <v>#VALUE!</v>
      </c>
    </row>
    <row r="3983" spans="1:5" x14ac:dyDescent="0.2">
      <c r="A3983" s="28">
        <v>3982</v>
      </c>
      <c r="B3983" s="28" t="e">
        <f>interpola(#REF!,CURVA!$B$6:$B$20,CURVA!$G$6:$G$20)</f>
        <v>#VALUE!</v>
      </c>
      <c r="C3983" s="29" t="e">
        <f t="shared" si="62"/>
        <v>#VALUE!</v>
      </c>
      <c r="E3983" t="e">
        <f>cubic_spline(CURVA!$B$6:$B$20,CURVA!$G$6:$G$20,#REF!)</f>
        <v>#VALUE!</v>
      </c>
    </row>
    <row r="3984" spans="1:5" x14ac:dyDescent="0.2">
      <c r="A3984" s="28">
        <v>3983</v>
      </c>
      <c r="B3984" s="28" t="e">
        <f>interpola(#REF!,CURVA!$B$6:$B$20,CURVA!$G$6:$G$20)</f>
        <v>#VALUE!</v>
      </c>
      <c r="C3984" s="29" t="e">
        <f t="shared" si="62"/>
        <v>#VALUE!</v>
      </c>
      <c r="E3984" t="e">
        <f>cubic_spline(CURVA!$B$6:$B$20,CURVA!$G$6:$G$20,#REF!)</f>
        <v>#VALUE!</v>
      </c>
    </row>
    <row r="3985" spans="1:5" x14ac:dyDescent="0.2">
      <c r="A3985" s="28">
        <v>3984</v>
      </c>
      <c r="B3985" s="28" t="e">
        <f>interpola(#REF!,CURVA!$B$6:$B$20,CURVA!$G$6:$G$20)</f>
        <v>#VALUE!</v>
      </c>
      <c r="C3985" s="29" t="e">
        <f t="shared" si="62"/>
        <v>#VALUE!</v>
      </c>
      <c r="E3985" t="e">
        <f>cubic_spline(CURVA!$B$6:$B$20,CURVA!$G$6:$G$20,#REF!)</f>
        <v>#VALUE!</v>
      </c>
    </row>
    <row r="3986" spans="1:5" x14ac:dyDescent="0.2">
      <c r="A3986" s="28">
        <v>3985</v>
      </c>
      <c r="B3986" s="28" t="e">
        <f>interpola(#REF!,CURVA!$B$6:$B$20,CURVA!$G$6:$G$20)</f>
        <v>#VALUE!</v>
      </c>
      <c r="C3986" s="29" t="e">
        <f t="shared" si="62"/>
        <v>#VALUE!</v>
      </c>
      <c r="E3986" t="e">
        <f>cubic_spline(CURVA!$B$6:$B$20,CURVA!$G$6:$G$20,#REF!)</f>
        <v>#VALUE!</v>
      </c>
    </row>
    <row r="3987" spans="1:5" x14ac:dyDescent="0.2">
      <c r="A3987" s="28">
        <v>3986</v>
      </c>
      <c r="B3987" s="28" t="e">
        <f>interpola(#REF!,CURVA!$B$6:$B$20,CURVA!$G$6:$G$20)</f>
        <v>#VALUE!</v>
      </c>
      <c r="C3987" s="29" t="e">
        <f t="shared" si="62"/>
        <v>#VALUE!</v>
      </c>
      <c r="E3987" t="e">
        <f>cubic_spline(CURVA!$B$6:$B$20,CURVA!$G$6:$G$20,#REF!)</f>
        <v>#VALUE!</v>
      </c>
    </row>
    <row r="3988" spans="1:5" x14ac:dyDescent="0.2">
      <c r="A3988" s="28">
        <v>3987</v>
      </c>
      <c r="B3988" s="28" t="e">
        <f>interpola(#REF!,CURVA!$B$6:$B$20,CURVA!$G$6:$G$20)</f>
        <v>#VALUE!</v>
      </c>
      <c r="C3988" s="29" t="e">
        <f t="shared" si="62"/>
        <v>#VALUE!</v>
      </c>
      <c r="E3988" t="e">
        <f>cubic_spline(CURVA!$B$6:$B$20,CURVA!$G$6:$G$20,#REF!)</f>
        <v>#VALUE!</v>
      </c>
    </row>
    <row r="3989" spans="1:5" x14ac:dyDescent="0.2">
      <c r="A3989" s="28">
        <v>3988</v>
      </c>
      <c r="B3989" s="28" t="e">
        <f>interpola(#REF!,CURVA!$B$6:$B$20,CURVA!$G$6:$G$20)</f>
        <v>#VALUE!</v>
      </c>
      <c r="C3989" s="29" t="e">
        <f t="shared" si="62"/>
        <v>#VALUE!</v>
      </c>
      <c r="E3989" t="e">
        <f>cubic_spline(CURVA!$B$6:$B$20,CURVA!$G$6:$G$20,#REF!)</f>
        <v>#VALUE!</v>
      </c>
    </row>
    <row r="3990" spans="1:5" x14ac:dyDescent="0.2">
      <c r="A3990" s="28">
        <v>3989</v>
      </c>
      <c r="B3990" s="28" t="e">
        <f>interpola(#REF!,CURVA!$B$6:$B$20,CURVA!$G$6:$G$20)</f>
        <v>#VALUE!</v>
      </c>
      <c r="C3990" s="29" t="e">
        <f t="shared" si="62"/>
        <v>#VALUE!</v>
      </c>
      <c r="E3990" t="e">
        <f>cubic_spline(CURVA!$B$6:$B$20,CURVA!$G$6:$G$20,#REF!)</f>
        <v>#VALUE!</v>
      </c>
    </row>
    <row r="3991" spans="1:5" x14ac:dyDescent="0.2">
      <c r="A3991" s="28">
        <v>3990</v>
      </c>
      <c r="B3991" s="28" t="e">
        <f>interpola(#REF!,CURVA!$B$6:$B$20,CURVA!$G$6:$G$20)</f>
        <v>#VALUE!</v>
      </c>
      <c r="C3991" s="29" t="e">
        <f t="shared" si="62"/>
        <v>#VALUE!</v>
      </c>
      <c r="E3991" t="e">
        <f>cubic_spline(CURVA!$B$6:$B$20,CURVA!$G$6:$G$20,#REF!)</f>
        <v>#VALUE!</v>
      </c>
    </row>
    <row r="3992" spans="1:5" x14ac:dyDescent="0.2">
      <c r="A3992" s="28">
        <v>3991</v>
      </c>
      <c r="B3992" s="28" t="e">
        <f>interpola(#REF!,CURVA!$B$6:$B$20,CURVA!$G$6:$G$20)</f>
        <v>#VALUE!</v>
      </c>
      <c r="C3992" s="29" t="e">
        <f t="shared" si="62"/>
        <v>#VALUE!</v>
      </c>
      <c r="E3992" t="e">
        <f>cubic_spline(CURVA!$B$6:$B$20,CURVA!$G$6:$G$20,#REF!)</f>
        <v>#VALUE!</v>
      </c>
    </row>
    <row r="3993" spans="1:5" x14ac:dyDescent="0.2">
      <c r="A3993" s="28">
        <v>3992</v>
      </c>
      <c r="B3993" s="28" t="e">
        <f>interpola(#REF!,CURVA!$B$6:$B$20,CURVA!$G$6:$G$20)</f>
        <v>#VALUE!</v>
      </c>
      <c r="C3993" s="29" t="e">
        <f t="shared" si="62"/>
        <v>#VALUE!</v>
      </c>
      <c r="E3993" t="e">
        <f>cubic_spline(CURVA!$B$6:$B$20,CURVA!$G$6:$G$20,#REF!)</f>
        <v>#VALUE!</v>
      </c>
    </row>
    <row r="3994" spans="1:5" x14ac:dyDescent="0.2">
      <c r="A3994" s="28">
        <v>3993</v>
      </c>
      <c r="B3994" s="28" t="e">
        <f>interpola(#REF!,CURVA!$B$6:$B$20,CURVA!$G$6:$G$20)</f>
        <v>#VALUE!</v>
      </c>
      <c r="C3994" s="29" t="e">
        <f t="shared" si="62"/>
        <v>#VALUE!</v>
      </c>
      <c r="E3994" t="e">
        <f>cubic_spline(CURVA!$B$6:$B$20,CURVA!$G$6:$G$20,#REF!)</f>
        <v>#VALUE!</v>
      </c>
    </row>
    <row r="3995" spans="1:5" x14ac:dyDescent="0.2">
      <c r="A3995" s="28">
        <v>3994</v>
      </c>
      <c r="B3995" s="28" t="e">
        <f>interpola(#REF!,CURVA!$B$6:$B$20,CURVA!$G$6:$G$20)</f>
        <v>#VALUE!</v>
      </c>
      <c r="C3995" s="29" t="e">
        <f t="shared" si="62"/>
        <v>#VALUE!</v>
      </c>
      <c r="E3995" t="e">
        <f>cubic_spline(CURVA!$B$6:$B$20,CURVA!$G$6:$G$20,#REF!)</f>
        <v>#VALUE!</v>
      </c>
    </row>
    <row r="3996" spans="1:5" x14ac:dyDescent="0.2">
      <c r="A3996" s="28">
        <v>3995</v>
      </c>
      <c r="B3996" s="28" t="e">
        <f>interpola(#REF!,CURVA!$B$6:$B$20,CURVA!$G$6:$G$20)</f>
        <v>#VALUE!</v>
      </c>
      <c r="C3996" s="29" t="e">
        <f t="shared" si="62"/>
        <v>#VALUE!</v>
      </c>
      <c r="E3996" t="e">
        <f>cubic_spline(CURVA!$B$6:$B$20,CURVA!$G$6:$G$20,#REF!)</f>
        <v>#VALUE!</v>
      </c>
    </row>
    <row r="3997" spans="1:5" x14ac:dyDescent="0.2">
      <c r="A3997" s="28">
        <v>3996</v>
      </c>
      <c r="B3997" s="28" t="e">
        <f>interpola(#REF!,CURVA!$B$6:$B$20,CURVA!$G$6:$G$20)</f>
        <v>#VALUE!</v>
      </c>
      <c r="C3997" s="29" t="e">
        <f t="shared" si="62"/>
        <v>#VALUE!</v>
      </c>
      <c r="E3997" t="e">
        <f>cubic_spline(CURVA!$B$6:$B$20,CURVA!$G$6:$G$20,#REF!)</f>
        <v>#VALUE!</v>
      </c>
    </row>
    <row r="3998" spans="1:5" x14ac:dyDescent="0.2">
      <c r="A3998" s="28">
        <v>3997</v>
      </c>
      <c r="B3998" s="28" t="e">
        <f>interpola(#REF!,CURVA!$B$6:$B$20,CURVA!$G$6:$G$20)</f>
        <v>#VALUE!</v>
      </c>
      <c r="C3998" s="29" t="e">
        <f t="shared" si="62"/>
        <v>#VALUE!</v>
      </c>
      <c r="E3998" t="e">
        <f>cubic_spline(CURVA!$B$6:$B$20,CURVA!$G$6:$G$20,#REF!)</f>
        <v>#VALUE!</v>
      </c>
    </row>
    <row r="3999" spans="1:5" x14ac:dyDescent="0.2">
      <c r="A3999" s="28">
        <v>3998</v>
      </c>
      <c r="B3999" s="28" t="e">
        <f>interpola(#REF!,CURVA!$B$6:$B$20,CURVA!$G$6:$G$20)</f>
        <v>#VALUE!</v>
      </c>
      <c r="C3999" s="29" t="e">
        <f t="shared" si="62"/>
        <v>#VALUE!</v>
      </c>
      <c r="E3999" t="e">
        <f>cubic_spline(CURVA!$B$6:$B$20,CURVA!$G$6:$G$20,#REF!)</f>
        <v>#VALUE!</v>
      </c>
    </row>
    <row r="4000" spans="1:5" x14ac:dyDescent="0.2">
      <c r="A4000" s="28">
        <v>3999</v>
      </c>
      <c r="B4000" s="28" t="e">
        <f>interpola(#REF!,CURVA!$B$6:$B$20,CURVA!$G$6:$G$20)</f>
        <v>#VALUE!</v>
      </c>
      <c r="C4000" s="29" t="e">
        <f t="shared" si="62"/>
        <v>#VALUE!</v>
      </c>
      <c r="E4000" t="e">
        <f>cubic_spline(CURVA!$B$6:$B$20,CURVA!$G$6:$G$20,#REF!)</f>
        <v>#VALUE!</v>
      </c>
    </row>
    <row r="4001" spans="1:5" x14ac:dyDescent="0.2">
      <c r="A4001" s="28">
        <v>4000</v>
      </c>
      <c r="B4001" s="28" t="e">
        <f>interpola(#REF!,CURVA!$B$6:$B$20,CURVA!$G$6:$G$20)</f>
        <v>#VALUE!</v>
      </c>
      <c r="C4001" s="29" t="e">
        <f t="shared" si="62"/>
        <v>#VALUE!</v>
      </c>
      <c r="E4001" t="e">
        <f>cubic_spline(CURVA!$B$6:$B$20,CURVA!$G$6:$G$20,#REF!)</f>
        <v>#VALUE!</v>
      </c>
    </row>
    <row r="4002" spans="1:5" x14ac:dyDescent="0.2">
      <c r="A4002" s="28">
        <v>4001</v>
      </c>
      <c r="B4002" s="28" t="e">
        <f>interpola(#REF!,CURVA!$B$6:$B$20,CURVA!$G$6:$G$20)</f>
        <v>#VALUE!</v>
      </c>
      <c r="C4002" s="29" t="e">
        <f t="shared" si="62"/>
        <v>#VALUE!</v>
      </c>
      <c r="E4002" t="e">
        <f>cubic_spline(CURVA!$B$6:$B$20,CURVA!$G$6:$G$20,#REF!)</f>
        <v>#VALUE!</v>
      </c>
    </row>
    <row r="4003" spans="1:5" x14ac:dyDescent="0.2">
      <c r="A4003" s="28">
        <v>4002</v>
      </c>
      <c r="B4003" s="28" t="e">
        <f>interpola(#REF!,CURVA!$B$6:$B$20,CURVA!$G$6:$G$20)</f>
        <v>#VALUE!</v>
      </c>
      <c r="C4003" s="29" t="e">
        <f t="shared" si="62"/>
        <v>#VALUE!</v>
      </c>
      <c r="E4003" t="e">
        <f>cubic_spline(CURVA!$B$6:$B$20,CURVA!$G$6:$G$20,#REF!)</f>
        <v>#VALUE!</v>
      </c>
    </row>
    <row r="4004" spans="1:5" x14ac:dyDescent="0.2">
      <c r="A4004" s="28">
        <v>4003</v>
      </c>
      <c r="B4004" s="28" t="e">
        <f>interpola(#REF!,CURVA!$B$6:$B$20,CURVA!$G$6:$G$20)</f>
        <v>#VALUE!</v>
      </c>
      <c r="C4004" s="29" t="e">
        <f t="shared" si="62"/>
        <v>#VALUE!</v>
      </c>
      <c r="E4004" t="e">
        <f>cubic_spline(CURVA!$B$6:$B$20,CURVA!$G$6:$G$20,#REF!)</f>
        <v>#VALUE!</v>
      </c>
    </row>
    <row r="4005" spans="1:5" x14ac:dyDescent="0.2">
      <c r="A4005" s="28">
        <v>4004</v>
      </c>
      <c r="B4005" s="28" t="e">
        <f>interpola(#REF!,CURVA!$B$6:$B$20,CURVA!$G$6:$G$20)</f>
        <v>#VALUE!</v>
      </c>
      <c r="C4005" s="29" t="e">
        <f t="shared" si="62"/>
        <v>#VALUE!</v>
      </c>
      <c r="E4005" t="e">
        <f>cubic_spline(CURVA!$B$6:$B$20,CURVA!$G$6:$G$20,#REF!)</f>
        <v>#VALUE!</v>
      </c>
    </row>
    <row r="4006" spans="1:5" x14ac:dyDescent="0.2">
      <c r="A4006" s="28">
        <v>4005</v>
      </c>
      <c r="B4006" s="28" t="e">
        <f>interpola(#REF!,CURVA!$B$6:$B$20,CURVA!$G$6:$G$20)</f>
        <v>#VALUE!</v>
      </c>
      <c r="C4006" s="29" t="e">
        <f t="shared" si="62"/>
        <v>#VALUE!</v>
      </c>
      <c r="E4006" t="e">
        <f>cubic_spline(CURVA!$B$6:$B$20,CURVA!$G$6:$G$20,#REF!)</f>
        <v>#VALUE!</v>
      </c>
    </row>
    <row r="4007" spans="1:5" x14ac:dyDescent="0.2">
      <c r="A4007" s="28">
        <v>4006</v>
      </c>
      <c r="B4007" s="28" t="e">
        <f>interpola(#REF!,CURVA!$B$6:$B$20,CURVA!$G$6:$G$20)</f>
        <v>#VALUE!</v>
      </c>
      <c r="C4007" s="29" t="e">
        <f t="shared" si="62"/>
        <v>#VALUE!</v>
      </c>
      <c r="E4007" t="e">
        <f>cubic_spline(CURVA!$B$6:$B$20,CURVA!$G$6:$G$20,#REF!)</f>
        <v>#VALUE!</v>
      </c>
    </row>
    <row r="4008" spans="1:5" x14ac:dyDescent="0.2">
      <c r="A4008" s="28">
        <v>4007</v>
      </c>
      <c r="B4008" s="28" t="e">
        <f>interpola(#REF!,CURVA!$B$6:$B$20,CURVA!$G$6:$G$20)</f>
        <v>#VALUE!</v>
      </c>
      <c r="C4008" s="29" t="e">
        <f t="shared" si="62"/>
        <v>#VALUE!</v>
      </c>
      <c r="E4008" t="e">
        <f>cubic_spline(CURVA!$B$6:$B$20,CURVA!$G$6:$G$20,#REF!)</f>
        <v>#VALUE!</v>
      </c>
    </row>
    <row r="4009" spans="1:5" x14ac:dyDescent="0.2">
      <c r="A4009" s="28">
        <v>4008</v>
      </c>
      <c r="B4009" s="28" t="e">
        <f>interpola(#REF!,CURVA!$B$6:$B$20,CURVA!$G$6:$G$20)</f>
        <v>#VALUE!</v>
      </c>
      <c r="C4009" s="29" t="e">
        <f t="shared" si="62"/>
        <v>#VALUE!</v>
      </c>
      <c r="E4009" t="e">
        <f>cubic_spline(CURVA!$B$6:$B$20,CURVA!$G$6:$G$20,#REF!)</f>
        <v>#VALUE!</v>
      </c>
    </row>
    <row r="4010" spans="1:5" x14ac:dyDescent="0.2">
      <c r="A4010" s="28">
        <v>4009</v>
      </c>
      <c r="B4010" s="28" t="e">
        <f>interpola(#REF!,CURVA!$B$6:$B$20,CURVA!$G$6:$G$20)</f>
        <v>#VALUE!</v>
      </c>
      <c r="C4010" s="29" t="e">
        <f t="shared" si="62"/>
        <v>#VALUE!</v>
      </c>
      <c r="E4010" t="e">
        <f>cubic_spline(CURVA!$B$6:$B$20,CURVA!$G$6:$G$20,#REF!)</f>
        <v>#VALUE!</v>
      </c>
    </row>
    <row r="4011" spans="1:5" x14ac:dyDescent="0.2">
      <c r="A4011" s="28">
        <v>4010</v>
      </c>
      <c r="B4011" s="28" t="e">
        <f>interpola(#REF!,CURVA!$B$6:$B$20,CURVA!$G$6:$G$20)</f>
        <v>#VALUE!</v>
      </c>
      <c r="C4011" s="29" t="e">
        <f t="shared" si="62"/>
        <v>#VALUE!</v>
      </c>
      <c r="E4011" t="e">
        <f>cubic_spline(CURVA!$B$6:$B$20,CURVA!$G$6:$G$20,#REF!)</f>
        <v>#VALUE!</v>
      </c>
    </row>
    <row r="4012" spans="1:5" x14ac:dyDescent="0.2">
      <c r="A4012" s="28">
        <v>4011</v>
      </c>
      <c r="B4012" s="28" t="e">
        <f>interpola(#REF!,CURVA!$B$6:$B$20,CURVA!$G$6:$G$20)</f>
        <v>#VALUE!</v>
      </c>
      <c r="C4012" s="29" t="e">
        <f t="shared" si="62"/>
        <v>#VALUE!</v>
      </c>
      <c r="E4012" t="e">
        <f>cubic_spline(CURVA!$B$6:$B$20,CURVA!$G$6:$G$20,#REF!)</f>
        <v>#VALUE!</v>
      </c>
    </row>
    <row r="4013" spans="1:5" x14ac:dyDescent="0.2">
      <c r="A4013" s="28">
        <v>4012</v>
      </c>
      <c r="B4013" s="28" t="e">
        <f>interpola(#REF!,CURVA!$B$6:$B$20,CURVA!$G$6:$G$20)</f>
        <v>#VALUE!</v>
      </c>
      <c r="C4013" s="29" t="e">
        <f t="shared" si="62"/>
        <v>#VALUE!</v>
      </c>
      <c r="E4013" t="e">
        <f>cubic_spline(CURVA!$B$6:$B$20,CURVA!$G$6:$G$20,#REF!)</f>
        <v>#VALUE!</v>
      </c>
    </row>
    <row r="4014" spans="1:5" x14ac:dyDescent="0.2">
      <c r="A4014" s="28">
        <v>4013</v>
      </c>
      <c r="B4014" s="28" t="e">
        <f>interpola(#REF!,CURVA!$B$6:$B$20,CURVA!$G$6:$G$20)</f>
        <v>#VALUE!</v>
      </c>
      <c r="C4014" s="29" t="e">
        <f t="shared" si="62"/>
        <v>#VALUE!</v>
      </c>
      <c r="E4014" t="e">
        <f>cubic_spline(CURVA!$B$6:$B$20,CURVA!$G$6:$G$20,#REF!)</f>
        <v>#VALUE!</v>
      </c>
    </row>
    <row r="4015" spans="1:5" x14ac:dyDescent="0.2">
      <c r="A4015" s="28">
        <v>4014</v>
      </c>
      <c r="B4015" s="28" t="e">
        <f>interpola(#REF!,CURVA!$B$6:$B$20,CURVA!$G$6:$G$20)</f>
        <v>#VALUE!</v>
      </c>
      <c r="C4015" s="29" t="e">
        <f t="shared" si="62"/>
        <v>#VALUE!</v>
      </c>
      <c r="E4015" t="e">
        <f>cubic_spline(CURVA!$B$6:$B$20,CURVA!$G$6:$G$20,#REF!)</f>
        <v>#VALUE!</v>
      </c>
    </row>
    <row r="4016" spans="1:5" x14ac:dyDescent="0.2">
      <c r="A4016" s="28">
        <v>4015</v>
      </c>
      <c r="B4016" s="28" t="e">
        <f>interpola(#REF!,CURVA!$B$6:$B$20,CURVA!$G$6:$G$20)</f>
        <v>#VALUE!</v>
      </c>
      <c r="C4016" s="29" t="e">
        <f t="shared" si="62"/>
        <v>#VALUE!</v>
      </c>
      <c r="E4016" t="e">
        <f>cubic_spline(CURVA!$B$6:$B$20,CURVA!$G$6:$G$20,#REF!)</f>
        <v>#VALUE!</v>
      </c>
    </row>
    <row r="4017" spans="1:5" x14ac:dyDescent="0.2">
      <c r="A4017" s="28">
        <v>4016</v>
      </c>
      <c r="B4017" s="28" t="e">
        <f>interpola(#REF!,CURVA!$B$6:$B$20,CURVA!$G$6:$G$20)</f>
        <v>#VALUE!</v>
      </c>
      <c r="C4017" s="29" t="e">
        <f t="shared" si="62"/>
        <v>#VALUE!</v>
      </c>
      <c r="E4017" t="e">
        <f>cubic_spline(CURVA!$B$6:$B$20,CURVA!$G$6:$G$20,#REF!)</f>
        <v>#VALUE!</v>
      </c>
    </row>
    <row r="4018" spans="1:5" x14ac:dyDescent="0.2">
      <c r="A4018" s="28">
        <v>4017</v>
      </c>
      <c r="B4018" s="28" t="e">
        <f>interpola(#REF!,CURVA!$B$6:$B$20,CURVA!$G$6:$G$20)</f>
        <v>#VALUE!</v>
      </c>
      <c r="C4018" s="29" t="e">
        <f t="shared" si="62"/>
        <v>#VALUE!</v>
      </c>
      <c r="E4018" t="e">
        <f>cubic_spline(CURVA!$B$6:$B$20,CURVA!$G$6:$G$20,#REF!)</f>
        <v>#VALUE!</v>
      </c>
    </row>
    <row r="4019" spans="1:5" x14ac:dyDescent="0.2">
      <c r="A4019" s="28">
        <v>4018</v>
      </c>
      <c r="B4019" s="28" t="e">
        <f>interpola(#REF!,CURVA!$B$6:$B$20,CURVA!$G$6:$G$20)</f>
        <v>#VALUE!</v>
      </c>
      <c r="C4019" s="29" t="e">
        <f t="shared" si="62"/>
        <v>#VALUE!</v>
      </c>
      <c r="E4019" t="e">
        <f>cubic_spline(CURVA!$B$6:$B$20,CURVA!$G$6:$G$20,#REF!)</f>
        <v>#VALUE!</v>
      </c>
    </row>
    <row r="4020" spans="1:5" x14ac:dyDescent="0.2">
      <c r="A4020" s="28">
        <v>4019</v>
      </c>
      <c r="B4020" s="28" t="e">
        <f>interpola(#REF!,CURVA!$B$6:$B$20,CURVA!$G$6:$G$20)</f>
        <v>#VALUE!</v>
      </c>
      <c r="C4020" s="29" t="e">
        <f t="shared" si="62"/>
        <v>#VALUE!</v>
      </c>
      <c r="E4020" t="e">
        <f>cubic_spline(CURVA!$B$6:$B$20,CURVA!$G$6:$G$20,#REF!)</f>
        <v>#VALUE!</v>
      </c>
    </row>
    <row r="4021" spans="1:5" x14ac:dyDescent="0.2">
      <c r="A4021" s="28">
        <v>4020</v>
      </c>
      <c r="B4021" s="28" t="e">
        <f>interpola(#REF!,CURVA!$B$6:$B$20,CURVA!$G$6:$G$20)</f>
        <v>#VALUE!</v>
      </c>
      <c r="C4021" s="29" t="e">
        <f t="shared" si="62"/>
        <v>#VALUE!</v>
      </c>
      <c r="E4021" t="e">
        <f>cubic_spline(CURVA!$B$6:$B$20,CURVA!$G$6:$G$20,#REF!)</f>
        <v>#VALUE!</v>
      </c>
    </row>
    <row r="4022" spans="1:5" x14ac:dyDescent="0.2">
      <c r="A4022" s="28">
        <v>4021</v>
      </c>
      <c r="B4022" s="28" t="e">
        <f>interpola(#REF!,CURVA!$B$6:$B$20,CURVA!$G$6:$G$20)</f>
        <v>#VALUE!</v>
      </c>
      <c r="C4022" s="29" t="e">
        <f t="shared" si="62"/>
        <v>#VALUE!</v>
      </c>
      <c r="E4022" t="e">
        <f>cubic_spline(CURVA!$B$6:$B$20,CURVA!$G$6:$G$20,#REF!)</f>
        <v>#VALUE!</v>
      </c>
    </row>
    <row r="4023" spans="1:5" x14ac:dyDescent="0.2">
      <c r="A4023" s="28">
        <v>4022</v>
      </c>
      <c r="B4023" s="28" t="e">
        <f>interpola(#REF!,CURVA!$B$6:$B$20,CURVA!$G$6:$G$20)</f>
        <v>#VALUE!</v>
      </c>
      <c r="C4023" s="29" t="e">
        <f t="shared" si="62"/>
        <v>#VALUE!</v>
      </c>
      <c r="E4023" t="e">
        <f>cubic_spline(CURVA!$B$6:$B$20,CURVA!$G$6:$G$20,#REF!)</f>
        <v>#VALUE!</v>
      </c>
    </row>
    <row r="4024" spans="1:5" x14ac:dyDescent="0.2">
      <c r="A4024" s="28">
        <v>4023</v>
      </c>
      <c r="B4024" s="28" t="e">
        <f>interpola(#REF!,CURVA!$B$6:$B$20,CURVA!$G$6:$G$20)</f>
        <v>#VALUE!</v>
      </c>
      <c r="C4024" s="29" t="e">
        <f t="shared" si="62"/>
        <v>#VALUE!</v>
      </c>
      <c r="E4024" t="e">
        <f>cubic_spline(CURVA!$B$6:$B$20,CURVA!$G$6:$G$20,#REF!)</f>
        <v>#VALUE!</v>
      </c>
    </row>
    <row r="4025" spans="1:5" x14ac:dyDescent="0.2">
      <c r="A4025" s="28">
        <v>4024</v>
      </c>
      <c r="B4025" s="28" t="e">
        <f>interpola(#REF!,CURVA!$B$6:$B$20,CURVA!$G$6:$G$20)</f>
        <v>#VALUE!</v>
      </c>
      <c r="C4025" s="29" t="e">
        <f t="shared" si="62"/>
        <v>#VALUE!</v>
      </c>
      <c r="E4025" t="e">
        <f>cubic_spline(CURVA!$B$6:$B$20,CURVA!$G$6:$G$20,#REF!)</f>
        <v>#VALUE!</v>
      </c>
    </row>
    <row r="4026" spans="1:5" x14ac:dyDescent="0.2">
      <c r="A4026" s="28">
        <v>4025</v>
      </c>
      <c r="B4026" s="28" t="e">
        <f>interpola(#REF!,CURVA!$B$6:$B$20,CURVA!$G$6:$G$20)</f>
        <v>#VALUE!</v>
      </c>
      <c r="C4026" s="29" t="e">
        <f t="shared" si="62"/>
        <v>#VALUE!</v>
      </c>
      <c r="E4026" t="e">
        <f>cubic_spline(CURVA!$B$6:$B$20,CURVA!$G$6:$G$20,#REF!)</f>
        <v>#VALUE!</v>
      </c>
    </row>
    <row r="4027" spans="1:5" x14ac:dyDescent="0.2">
      <c r="A4027" s="28">
        <v>4026</v>
      </c>
      <c r="B4027" s="28" t="e">
        <f>interpola(#REF!,CURVA!$B$6:$B$20,CURVA!$G$6:$G$20)</f>
        <v>#VALUE!</v>
      </c>
      <c r="C4027" s="29" t="e">
        <f t="shared" si="62"/>
        <v>#VALUE!</v>
      </c>
      <c r="E4027" t="e">
        <f>cubic_spline(CURVA!$B$6:$B$20,CURVA!$G$6:$G$20,#REF!)</f>
        <v>#VALUE!</v>
      </c>
    </row>
    <row r="4028" spans="1:5" x14ac:dyDescent="0.2">
      <c r="A4028" s="28">
        <v>4027</v>
      </c>
      <c r="B4028" s="28" t="e">
        <f>interpola(#REF!,CURVA!$B$6:$B$20,CURVA!$G$6:$G$20)</f>
        <v>#VALUE!</v>
      </c>
      <c r="C4028" s="29" t="e">
        <f t="shared" si="62"/>
        <v>#VALUE!</v>
      </c>
      <c r="E4028" t="e">
        <f>cubic_spline(CURVA!$B$6:$B$20,CURVA!$G$6:$G$20,#REF!)</f>
        <v>#VALUE!</v>
      </c>
    </row>
    <row r="4029" spans="1:5" x14ac:dyDescent="0.2">
      <c r="A4029" s="28">
        <v>4028</v>
      </c>
      <c r="B4029" s="28" t="e">
        <f>interpola(#REF!,CURVA!$B$6:$B$20,CURVA!$G$6:$G$20)</f>
        <v>#VALUE!</v>
      </c>
      <c r="C4029" s="29" t="e">
        <f t="shared" si="62"/>
        <v>#VALUE!</v>
      </c>
      <c r="E4029" t="e">
        <f>cubic_spline(CURVA!$B$6:$B$20,CURVA!$G$6:$G$20,#REF!)</f>
        <v>#VALUE!</v>
      </c>
    </row>
    <row r="4030" spans="1:5" x14ac:dyDescent="0.2">
      <c r="A4030" s="28">
        <v>4029</v>
      </c>
      <c r="B4030" s="28" t="e">
        <f>interpola(#REF!,CURVA!$B$6:$B$20,CURVA!$G$6:$G$20)</f>
        <v>#VALUE!</v>
      </c>
      <c r="C4030" s="29" t="e">
        <f t="shared" si="62"/>
        <v>#VALUE!</v>
      </c>
      <c r="E4030" t="e">
        <f>cubic_spline(CURVA!$B$6:$B$20,CURVA!$G$6:$G$20,#REF!)</f>
        <v>#VALUE!</v>
      </c>
    </row>
    <row r="4031" spans="1:5" x14ac:dyDescent="0.2">
      <c r="A4031" s="28">
        <v>4030</v>
      </c>
      <c r="B4031" s="28" t="e">
        <f>interpola(#REF!,CURVA!$B$6:$B$20,CURVA!$G$6:$G$20)</f>
        <v>#VALUE!</v>
      </c>
      <c r="C4031" s="29" t="e">
        <f t="shared" si="62"/>
        <v>#VALUE!</v>
      </c>
      <c r="E4031" t="e">
        <f>cubic_spline(CURVA!$B$6:$B$20,CURVA!$G$6:$G$20,#REF!)</f>
        <v>#VALUE!</v>
      </c>
    </row>
    <row r="4032" spans="1:5" x14ac:dyDescent="0.2">
      <c r="A4032" s="28">
        <v>4031</v>
      </c>
      <c r="B4032" s="28" t="e">
        <f>interpola(#REF!,CURVA!$B$6:$B$20,CURVA!$G$6:$G$20)</f>
        <v>#VALUE!</v>
      </c>
      <c r="C4032" s="29" t="e">
        <f t="shared" si="62"/>
        <v>#VALUE!</v>
      </c>
      <c r="E4032" t="e">
        <f>cubic_spline(CURVA!$B$6:$B$20,CURVA!$G$6:$G$20,#REF!)</f>
        <v>#VALUE!</v>
      </c>
    </row>
    <row r="4033" spans="1:5" x14ac:dyDescent="0.2">
      <c r="A4033" s="28">
        <v>4032</v>
      </c>
      <c r="B4033" s="28" t="e">
        <f>interpola(#REF!,CURVA!$B$6:$B$20,CURVA!$G$6:$G$20)</f>
        <v>#VALUE!</v>
      </c>
      <c r="C4033" s="29" t="e">
        <f t="shared" si="62"/>
        <v>#VALUE!</v>
      </c>
      <c r="E4033" t="e">
        <f>cubic_spline(CURVA!$B$6:$B$20,CURVA!$G$6:$G$20,#REF!)</f>
        <v>#VALUE!</v>
      </c>
    </row>
    <row r="4034" spans="1:5" x14ac:dyDescent="0.2">
      <c r="A4034" s="28">
        <v>4033</v>
      </c>
      <c r="B4034" s="28" t="e">
        <f>interpola(#REF!,CURVA!$B$6:$B$20,CURVA!$G$6:$G$20)</f>
        <v>#VALUE!</v>
      </c>
      <c r="C4034" s="29" t="e">
        <f t="shared" ref="C4034:C4097" si="63">(EXP(B4034*A4034/360)-1)*360/A4034</f>
        <v>#VALUE!</v>
      </c>
      <c r="E4034" t="e">
        <f>cubic_spline(CURVA!$B$6:$B$20,CURVA!$G$6:$G$20,#REF!)</f>
        <v>#VALUE!</v>
      </c>
    </row>
    <row r="4035" spans="1:5" x14ac:dyDescent="0.2">
      <c r="A4035" s="28">
        <v>4034</v>
      </c>
      <c r="B4035" s="28" t="e">
        <f>interpola(#REF!,CURVA!$B$6:$B$20,CURVA!$G$6:$G$20)</f>
        <v>#VALUE!</v>
      </c>
      <c r="C4035" s="29" t="e">
        <f t="shared" si="63"/>
        <v>#VALUE!</v>
      </c>
      <c r="E4035" t="e">
        <f>cubic_spline(CURVA!$B$6:$B$20,CURVA!$G$6:$G$20,#REF!)</f>
        <v>#VALUE!</v>
      </c>
    </row>
    <row r="4036" spans="1:5" x14ac:dyDescent="0.2">
      <c r="A4036" s="28">
        <v>4035</v>
      </c>
      <c r="B4036" s="28" t="e">
        <f>interpola(#REF!,CURVA!$B$6:$B$20,CURVA!$G$6:$G$20)</f>
        <v>#VALUE!</v>
      </c>
      <c r="C4036" s="29" t="e">
        <f t="shared" si="63"/>
        <v>#VALUE!</v>
      </c>
      <c r="E4036" t="e">
        <f>cubic_spline(CURVA!$B$6:$B$20,CURVA!$G$6:$G$20,#REF!)</f>
        <v>#VALUE!</v>
      </c>
    </row>
    <row r="4037" spans="1:5" x14ac:dyDescent="0.2">
      <c r="A4037" s="28">
        <v>4036</v>
      </c>
      <c r="B4037" s="28" t="e">
        <f>interpola(#REF!,CURVA!$B$6:$B$20,CURVA!$G$6:$G$20)</f>
        <v>#VALUE!</v>
      </c>
      <c r="C4037" s="29" t="e">
        <f t="shared" si="63"/>
        <v>#VALUE!</v>
      </c>
      <c r="E4037" t="e">
        <f>cubic_spline(CURVA!$B$6:$B$20,CURVA!$G$6:$G$20,#REF!)</f>
        <v>#VALUE!</v>
      </c>
    </row>
    <row r="4038" spans="1:5" x14ac:dyDescent="0.2">
      <c r="A4038" s="28">
        <v>4037</v>
      </c>
      <c r="B4038" s="28" t="e">
        <f>interpola(#REF!,CURVA!$B$6:$B$20,CURVA!$G$6:$G$20)</f>
        <v>#VALUE!</v>
      </c>
      <c r="C4038" s="29" t="e">
        <f t="shared" si="63"/>
        <v>#VALUE!</v>
      </c>
      <c r="E4038" t="e">
        <f>cubic_spline(CURVA!$B$6:$B$20,CURVA!$G$6:$G$20,#REF!)</f>
        <v>#VALUE!</v>
      </c>
    </row>
    <row r="4039" spans="1:5" x14ac:dyDescent="0.2">
      <c r="A4039" s="28">
        <v>4038</v>
      </c>
      <c r="B4039" s="28" t="e">
        <f>interpola(#REF!,CURVA!$B$6:$B$20,CURVA!$G$6:$G$20)</f>
        <v>#VALUE!</v>
      </c>
      <c r="C4039" s="29" t="e">
        <f t="shared" si="63"/>
        <v>#VALUE!</v>
      </c>
      <c r="E4039" t="e">
        <f>cubic_spline(CURVA!$B$6:$B$20,CURVA!$G$6:$G$20,#REF!)</f>
        <v>#VALUE!</v>
      </c>
    </row>
    <row r="4040" spans="1:5" x14ac:dyDescent="0.2">
      <c r="A4040" s="28">
        <v>4039</v>
      </c>
      <c r="B4040" s="28" t="e">
        <f>interpola(#REF!,CURVA!$B$6:$B$20,CURVA!$G$6:$G$20)</f>
        <v>#VALUE!</v>
      </c>
      <c r="C4040" s="29" t="e">
        <f t="shared" si="63"/>
        <v>#VALUE!</v>
      </c>
      <c r="E4040" t="e">
        <f>cubic_spline(CURVA!$B$6:$B$20,CURVA!$G$6:$G$20,#REF!)</f>
        <v>#VALUE!</v>
      </c>
    </row>
    <row r="4041" spans="1:5" x14ac:dyDescent="0.2">
      <c r="A4041" s="28">
        <v>4040</v>
      </c>
      <c r="B4041" s="28" t="e">
        <f>interpola(#REF!,CURVA!$B$6:$B$20,CURVA!$G$6:$G$20)</f>
        <v>#VALUE!</v>
      </c>
      <c r="C4041" s="29" t="e">
        <f t="shared" si="63"/>
        <v>#VALUE!</v>
      </c>
      <c r="E4041" t="e">
        <f>cubic_spline(CURVA!$B$6:$B$20,CURVA!$G$6:$G$20,#REF!)</f>
        <v>#VALUE!</v>
      </c>
    </row>
    <row r="4042" spans="1:5" x14ac:dyDescent="0.2">
      <c r="A4042" s="28">
        <v>4041</v>
      </c>
      <c r="B4042" s="28" t="e">
        <f>interpola(#REF!,CURVA!$B$6:$B$20,CURVA!$G$6:$G$20)</f>
        <v>#VALUE!</v>
      </c>
      <c r="C4042" s="29" t="e">
        <f t="shared" si="63"/>
        <v>#VALUE!</v>
      </c>
      <c r="E4042" t="e">
        <f>cubic_spline(CURVA!$B$6:$B$20,CURVA!$G$6:$G$20,#REF!)</f>
        <v>#VALUE!</v>
      </c>
    </row>
    <row r="4043" spans="1:5" x14ac:dyDescent="0.2">
      <c r="A4043" s="28">
        <v>4042</v>
      </c>
      <c r="B4043" s="28" t="e">
        <f>interpola(#REF!,CURVA!$B$6:$B$20,CURVA!$G$6:$G$20)</f>
        <v>#VALUE!</v>
      </c>
      <c r="C4043" s="29" t="e">
        <f t="shared" si="63"/>
        <v>#VALUE!</v>
      </c>
      <c r="E4043" t="e">
        <f>cubic_spline(CURVA!$B$6:$B$20,CURVA!$G$6:$G$20,#REF!)</f>
        <v>#VALUE!</v>
      </c>
    </row>
    <row r="4044" spans="1:5" x14ac:dyDescent="0.2">
      <c r="A4044" s="28">
        <v>4043</v>
      </c>
      <c r="B4044" s="28" t="e">
        <f>interpola(#REF!,CURVA!$B$6:$B$20,CURVA!$G$6:$G$20)</f>
        <v>#VALUE!</v>
      </c>
      <c r="C4044" s="29" t="e">
        <f t="shared" si="63"/>
        <v>#VALUE!</v>
      </c>
      <c r="E4044" t="e">
        <f>cubic_spline(CURVA!$B$6:$B$20,CURVA!$G$6:$G$20,#REF!)</f>
        <v>#VALUE!</v>
      </c>
    </row>
    <row r="4045" spans="1:5" x14ac:dyDescent="0.2">
      <c r="A4045" s="28">
        <v>4044</v>
      </c>
      <c r="B4045" s="28" t="e">
        <f>interpola(#REF!,CURVA!$B$6:$B$20,CURVA!$G$6:$G$20)</f>
        <v>#VALUE!</v>
      </c>
      <c r="C4045" s="29" t="e">
        <f t="shared" si="63"/>
        <v>#VALUE!</v>
      </c>
      <c r="E4045" t="e">
        <f>cubic_spline(CURVA!$B$6:$B$20,CURVA!$G$6:$G$20,#REF!)</f>
        <v>#VALUE!</v>
      </c>
    </row>
    <row r="4046" spans="1:5" x14ac:dyDescent="0.2">
      <c r="A4046" s="28">
        <v>4045</v>
      </c>
      <c r="B4046" s="28" t="e">
        <f>interpola(#REF!,CURVA!$B$6:$B$20,CURVA!$G$6:$G$20)</f>
        <v>#VALUE!</v>
      </c>
      <c r="C4046" s="29" t="e">
        <f t="shared" si="63"/>
        <v>#VALUE!</v>
      </c>
      <c r="E4046" t="e">
        <f>cubic_spline(CURVA!$B$6:$B$20,CURVA!$G$6:$G$20,#REF!)</f>
        <v>#VALUE!</v>
      </c>
    </row>
    <row r="4047" spans="1:5" x14ac:dyDescent="0.2">
      <c r="A4047" s="28">
        <v>4046</v>
      </c>
      <c r="B4047" s="28" t="e">
        <f>interpola(#REF!,CURVA!$B$6:$B$20,CURVA!$G$6:$G$20)</f>
        <v>#VALUE!</v>
      </c>
      <c r="C4047" s="29" t="e">
        <f t="shared" si="63"/>
        <v>#VALUE!</v>
      </c>
      <c r="E4047" t="e">
        <f>cubic_spline(CURVA!$B$6:$B$20,CURVA!$G$6:$G$20,#REF!)</f>
        <v>#VALUE!</v>
      </c>
    </row>
    <row r="4048" spans="1:5" x14ac:dyDescent="0.2">
      <c r="A4048" s="28">
        <v>4047</v>
      </c>
      <c r="B4048" s="28" t="e">
        <f>interpola(#REF!,CURVA!$B$6:$B$20,CURVA!$G$6:$G$20)</f>
        <v>#VALUE!</v>
      </c>
      <c r="C4048" s="29" t="e">
        <f t="shared" si="63"/>
        <v>#VALUE!</v>
      </c>
      <c r="E4048" t="e">
        <f>cubic_spline(CURVA!$B$6:$B$20,CURVA!$G$6:$G$20,#REF!)</f>
        <v>#VALUE!</v>
      </c>
    </row>
    <row r="4049" spans="1:5" x14ac:dyDescent="0.2">
      <c r="A4049" s="28">
        <v>4048</v>
      </c>
      <c r="B4049" s="28" t="e">
        <f>interpola(#REF!,CURVA!$B$6:$B$20,CURVA!$G$6:$G$20)</f>
        <v>#VALUE!</v>
      </c>
      <c r="C4049" s="29" t="e">
        <f t="shared" si="63"/>
        <v>#VALUE!</v>
      </c>
      <c r="E4049" t="e">
        <f>cubic_spline(CURVA!$B$6:$B$20,CURVA!$G$6:$G$20,#REF!)</f>
        <v>#VALUE!</v>
      </c>
    </row>
    <row r="4050" spans="1:5" x14ac:dyDescent="0.2">
      <c r="A4050" s="28">
        <v>4049</v>
      </c>
      <c r="B4050" s="28" t="e">
        <f>interpola(#REF!,CURVA!$B$6:$B$20,CURVA!$G$6:$G$20)</f>
        <v>#VALUE!</v>
      </c>
      <c r="C4050" s="29" t="e">
        <f t="shared" si="63"/>
        <v>#VALUE!</v>
      </c>
      <c r="E4050" t="e">
        <f>cubic_spline(CURVA!$B$6:$B$20,CURVA!$G$6:$G$20,#REF!)</f>
        <v>#VALUE!</v>
      </c>
    </row>
    <row r="4051" spans="1:5" x14ac:dyDescent="0.2">
      <c r="A4051" s="28">
        <v>4050</v>
      </c>
      <c r="B4051" s="28" t="e">
        <f>interpola(#REF!,CURVA!$B$6:$B$20,CURVA!$G$6:$G$20)</f>
        <v>#VALUE!</v>
      </c>
      <c r="C4051" s="29" t="e">
        <f t="shared" si="63"/>
        <v>#VALUE!</v>
      </c>
      <c r="E4051" t="e">
        <f>cubic_spline(CURVA!$B$6:$B$20,CURVA!$G$6:$G$20,#REF!)</f>
        <v>#VALUE!</v>
      </c>
    </row>
    <row r="4052" spans="1:5" x14ac:dyDescent="0.2">
      <c r="A4052" s="28">
        <v>4051</v>
      </c>
      <c r="B4052" s="28" t="e">
        <f>interpola(#REF!,CURVA!$B$6:$B$20,CURVA!$G$6:$G$20)</f>
        <v>#VALUE!</v>
      </c>
      <c r="C4052" s="29" t="e">
        <f t="shared" si="63"/>
        <v>#VALUE!</v>
      </c>
      <c r="E4052" t="e">
        <f>cubic_spline(CURVA!$B$6:$B$20,CURVA!$G$6:$G$20,#REF!)</f>
        <v>#VALUE!</v>
      </c>
    </row>
    <row r="4053" spans="1:5" x14ac:dyDescent="0.2">
      <c r="A4053" s="28">
        <v>4052</v>
      </c>
      <c r="B4053" s="28" t="e">
        <f>interpola(#REF!,CURVA!$B$6:$B$20,CURVA!$G$6:$G$20)</f>
        <v>#VALUE!</v>
      </c>
      <c r="C4053" s="29" t="e">
        <f t="shared" si="63"/>
        <v>#VALUE!</v>
      </c>
      <c r="E4053" t="e">
        <f>cubic_spline(CURVA!$B$6:$B$20,CURVA!$G$6:$G$20,#REF!)</f>
        <v>#VALUE!</v>
      </c>
    </row>
    <row r="4054" spans="1:5" x14ac:dyDescent="0.2">
      <c r="A4054" s="28">
        <v>4053</v>
      </c>
      <c r="B4054" s="28" t="e">
        <f>interpola(#REF!,CURVA!$B$6:$B$20,CURVA!$G$6:$G$20)</f>
        <v>#VALUE!</v>
      </c>
      <c r="C4054" s="29" t="e">
        <f t="shared" si="63"/>
        <v>#VALUE!</v>
      </c>
      <c r="E4054" t="e">
        <f>cubic_spline(CURVA!$B$6:$B$20,CURVA!$G$6:$G$20,#REF!)</f>
        <v>#VALUE!</v>
      </c>
    </row>
    <row r="4055" spans="1:5" x14ac:dyDescent="0.2">
      <c r="A4055" s="28">
        <v>4054</v>
      </c>
      <c r="B4055" s="28" t="e">
        <f>interpola(#REF!,CURVA!$B$6:$B$20,CURVA!$G$6:$G$20)</f>
        <v>#VALUE!</v>
      </c>
      <c r="C4055" s="29" t="e">
        <f t="shared" si="63"/>
        <v>#VALUE!</v>
      </c>
      <c r="E4055" t="e">
        <f>cubic_spline(CURVA!$B$6:$B$20,CURVA!$G$6:$G$20,#REF!)</f>
        <v>#VALUE!</v>
      </c>
    </row>
    <row r="4056" spans="1:5" x14ac:dyDescent="0.2">
      <c r="A4056" s="28">
        <v>4055</v>
      </c>
      <c r="B4056" s="28" t="e">
        <f>interpola(#REF!,CURVA!$B$6:$B$20,CURVA!$G$6:$G$20)</f>
        <v>#VALUE!</v>
      </c>
      <c r="C4056" s="29" t="e">
        <f t="shared" si="63"/>
        <v>#VALUE!</v>
      </c>
      <c r="E4056" t="e">
        <f>cubic_spline(CURVA!$B$6:$B$20,CURVA!$G$6:$G$20,#REF!)</f>
        <v>#VALUE!</v>
      </c>
    </row>
    <row r="4057" spans="1:5" x14ac:dyDescent="0.2">
      <c r="A4057" s="28">
        <v>4056</v>
      </c>
      <c r="B4057" s="28" t="e">
        <f>interpola(#REF!,CURVA!$B$6:$B$20,CURVA!$G$6:$G$20)</f>
        <v>#VALUE!</v>
      </c>
      <c r="C4057" s="29" t="e">
        <f t="shared" si="63"/>
        <v>#VALUE!</v>
      </c>
      <c r="E4057" t="e">
        <f>cubic_spline(CURVA!$B$6:$B$20,CURVA!$G$6:$G$20,#REF!)</f>
        <v>#VALUE!</v>
      </c>
    </row>
    <row r="4058" spans="1:5" x14ac:dyDescent="0.2">
      <c r="A4058" s="28">
        <v>4057</v>
      </c>
      <c r="B4058" s="28" t="e">
        <f>interpola(#REF!,CURVA!$B$6:$B$20,CURVA!$G$6:$G$20)</f>
        <v>#VALUE!</v>
      </c>
      <c r="C4058" s="29" t="e">
        <f t="shared" si="63"/>
        <v>#VALUE!</v>
      </c>
      <c r="E4058" t="e">
        <f>cubic_spline(CURVA!$B$6:$B$20,CURVA!$G$6:$G$20,#REF!)</f>
        <v>#VALUE!</v>
      </c>
    </row>
    <row r="4059" spans="1:5" x14ac:dyDescent="0.2">
      <c r="A4059" s="28">
        <v>4058</v>
      </c>
      <c r="B4059" s="28" t="e">
        <f>interpola(#REF!,CURVA!$B$6:$B$20,CURVA!$G$6:$G$20)</f>
        <v>#VALUE!</v>
      </c>
      <c r="C4059" s="29" t="e">
        <f t="shared" si="63"/>
        <v>#VALUE!</v>
      </c>
      <c r="E4059" t="e">
        <f>cubic_spline(CURVA!$B$6:$B$20,CURVA!$G$6:$G$20,#REF!)</f>
        <v>#VALUE!</v>
      </c>
    </row>
    <row r="4060" spans="1:5" x14ac:dyDescent="0.2">
      <c r="A4060" s="28">
        <v>4059</v>
      </c>
      <c r="B4060" s="28" t="e">
        <f>interpola(#REF!,CURVA!$B$6:$B$20,CURVA!$G$6:$G$20)</f>
        <v>#VALUE!</v>
      </c>
      <c r="C4060" s="29" t="e">
        <f t="shared" si="63"/>
        <v>#VALUE!</v>
      </c>
      <c r="E4060" t="e">
        <f>cubic_spline(CURVA!$B$6:$B$20,CURVA!$G$6:$G$20,#REF!)</f>
        <v>#VALUE!</v>
      </c>
    </row>
    <row r="4061" spans="1:5" x14ac:dyDescent="0.2">
      <c r="A4061" s="28">
        <v>4060</v>
      </c>
      <c r="B4061" s="28" t="e">
        <f>interpola(#REF!,CURVA!$B$6:$B$20,CURVA!$G$6:$G$20)</f>
        <v>#VALUE!</v>
      </c>
      <c r="C4061" s="29" t="e">
        <f t="shared" si="63"/>
        <v>#VALUE!</v>
      </c>
      <c r="E4061" t="e">
        <f>cubic_spline(CURVA!$B$6:$B$20,CURVA!$G$6:$G$20,#REF!)</f>
        <v>#VALUE!</v>
      </c>
    </row>
    <row r="4062" spans="1:5" x14ac:dyDescent="0.2">
      <c r="A4062" s="28">
        <v>4061</v>
      </c>
      <c r="B4062" s="28" t="e">
        <f>interpola(#REF!,CURVA!$B$6:$B$20,CURVA!$G$6:$G$20)</f>
        <v>#VALUE!</v>
      </c>
      <c r="C4062" s="29" t="e">
        <f t="shared" si="63"/>
        <v>#VALUE!</v>
      </c>
      <c r="E4062" t="e">
        <f>cubic_spline(CURVA!$B$6:$B$20,CURVA!$G$6:$G$20,#REF!)</f>
        <v>#VALUE!</v>
      </c>
    </row>
    <row r="4063" spans="1:5" x14ac:dyDescent="0.2">
      <c r="A4063" s="28">
        <v>4062</v>
      </c>
      <c r="B4063" s="28" t="e">
        <f>interpola(#REF!,CURVA!$B$6:$B$20,CURVA!$G$6:$G$20)</f>
        <v>#VALUE!</v>
      </c>
      <c r="C4063" s="29" t="e">
        <f t="shared" si="63"/>
        <v>#VALUE!</v>
      </c>
      <c r="E4063" t="e">
        <f>cubic_spline(CURVA!$B$6:$B$20,CURVA!$G$6:$G$20,#REF!)</f>
        <v>#VALUE!</v>
      </c>
    </row>
    <row r="4064" spans="1:5" x14ac:dyDescent="0.2">
      <c r="A4064" s="28">
        <v>4063</v>
      </c>
      <c r="B4064" s="28" t="e">
        <f>interpola(#REF!,CURVA!$B$6:$B$20,CURVA!$G$6:$G$20)</f>
        <v>#VALUE!</v>
      </c>
      <c r="C4064" s="29" t="e">
        <f t="shared" si="63"/>
        <v>#VALUE!</v>
      </c>
      <c r="E4064" t="e">
        <f>cubic_spline(CURVA!$B$6:$B$20,CURVA!$G$6:$G$20,#REF!)</f>
        <v>#VALUE!</v>
      </c>
    </row>
    <row r="4065" spans="1:5" x14ac:dyDescent="0.2">
      <c r="A4065" s="28">
        <v>4064</v>
      </c>
      <c r="B4065" s="28" t="e">
        <f>interpola(#REF!,CURVA!$B$6:$B$20,CURVA!$G$6:$G$20)</f>
        <v>#VALUE!</v>
      </c>
      <c r="C4065" s="29" t="e">
        <f t="shared" si="63"/>
        <v>#VALUE!</v>
      </c>
      <c r="E4065" t="e">
        <f>cubic_spline(CURVA!$B$6:$B$20,CURVA!$G$6:$G$20,#REF!)</f>
        <v>#VALUE!</v>
      </c>
    </row>
    <row r="4066" spans="1:5" x14ac:dyDescent="0.2">
      <c r="A4066" s="28">
        <v>4065</v>
      </c>
      <c r="B4066" s="28" t="e">
        <f>interpola(#REF!,CURVA!$B$6:$B$20,CURVA!$G$6:$G$20)</f>
        <v>#VALUE!</v>
      </c>
      <c r="C4066" s="29" t="e">
        <f t="shared" si="63"/>
        <v>#VALUE!</v>
      </c>
      <c r="E4066" t="e">
        <f>cubic_spline(CURVA!$B$6:$B$20,CURVA!$G$6:$G$20,#REF!)</f>
        <v>#VALUE!</v>
      </c>
    </row>
    <row r="4067" spans="1:5" x14ac:dyDescent="0.2">
      <c r="A4067" s="28">
        <v>4066</v>
      </c>
      <c r="B4067" s="28" t="e">
        <f>interpola(#REF!,CURVA!$B$6:$B$20,CURVA!$G$6:$G$20)</f>
        <v>#VALUE!</v>
      </c>
      <c r="C4067" s="29" t="e">
        <f t="shared" si="63"/>
        <v>#VALUE!</v>
      </c>
      <c r="E4067" t="e">
        <f>cubic_spline(CURVA!$B$6:$B$20,CURVA!$G$6:$G$20,#REF!)</f>
        <v>#VALUE!</v>
      </c>
    </row>
    <row r="4068" spans="1:5" x14ac:dyDescent="0.2">
      <c r="A4068" s="28">
        <v>4067</v>
      </c>
      <c r="B4068" s="28" t="e">
        <f>interpola(#REF!,CURVA!$B$6:$B$20,CURVA!$G$6:$G$20)</f>
        <v>#VALUE!</v>
      </c>
      <c r="C4068" s="29" t="e">
        <f t="shared" si="63"/>
        <v>#VALUE!</v>
      </c>
      <c r="E4068" t="e">
        <f>cubic_spline(CURVA!$B$6:$B$20,CURVA!$G$6:$G$20,#REF!)</f>
        <v>#VALUE!</v>
      </c>
    </row>
    <row r="4069" spans="1:5" x14ac:dyDescent="0.2">
      <c r="A4069" s="28">
        <v>4068</v>
      </c>
      <c r="B4069" s="28" t="e">
        <f>interpola(#REF!,CURVA!$B$6:$B$20,CURVA!$G$6:$G$20)</f>
        <v>#VALUE!</v>
      </c>
      <c r="C4069" s="29" t="e">
        <f t="shared" si="63"/>
        <v>#VALUE!</v>
      </c>
      <c r="E4069" t="e">
        <f>cubic_spline(CURVA!$B$6:$B$20,CURVA!$G$6:$G$20,#REF!)</f>
        <v>#VALUE!</v>
      </c>
    </row>
    <row r="4070" spans="1:5" x14ac:dyDescent="0.2">
      <c r="A4070" s="28">
        <v>4069</v>
      </c>
      <c r="B4070" s="28" t="e">
        <f>interpola(#REF!,CURVA!$B$6:$B$20,CURVA!$G$6:$G$20)</f>
        <v>#VALUE!</v>
      </c>
      <c r="C4070" s="29" t="e">
        <f t="shared" si="63"/>
        <v>#VALUE!</v>
      </c>
      <c r="E4070" t="e">
        <f>cubic_spline(CURVA!$B$6:$B$20,CURVA!$G$6:$G$20,#REF!)</f>
        <v>#VALUE!</v>
      </c>
    </row>
    <row r="4071" spans="1:5" x14ac:dyDescent="0.2">
      <c r="A4071" s="28">
        <v>4070</v>
      </c>
      <c r="B4071" s="28" t="e">
        <f>interpola(#REF!,CURVA!$B$6:$B$20,CURVA!$G$6:$G$20)</f>
        <v>#VALUE!</v>
      </c>
      <c r="C4071" s="29" t="e">
        <f t="shared" si="63"/>
        <v>#VALUE!</v>
      </c>
      <c r="E4071" t="e">
        <f>cubic_spline(CURVA!$B$6:$B$20,CURVA!$G$6:$G$20,#REF!)</f>
        <v>#VALUE!</v>
      </c>
    </row>
    <row r="4072" spans="1:5" x14ac:dyDescent="0.2">
      <c r="A4072" s="28">
        <v>4071</v>
      </c>
      <c r="B4072" s="28" t="e">
        <f>interpola(#REF!,CURVA!$B$6:$B$20,CURVA!$G$6:$G$20)</f>
        <v>#VALUE!</v>
      </c>
      <c r="C4072" s="29" t="e">
        <f t="shared" si="63"/>
        <v>#VALUE!</v>
      </c>
      <c r="E4072" t="e">
        <f>cubic_spline(CURVA!$B$6:$B$20,CURVA!$G$6:$G$20,#REF!)</f>
        <v>#VALUE!</v>
      </c>
    </row>
    <row r="4073" spans="1:5" x14ac:dyDescent="0.2">
      <c r="A4073" s="28">
        <v>4072</v>
      </c>
      <c r="B4073" s="28" t="e">
        <f>interpola(#REF!,CURVA!$B$6:$B$20,CURVA!$G$6:$G$20)</f>
        <v>#VALUE!</v>
      </c>
      <c r="C4073" s="29" t="e">
        <f t="shared" si="63"/>
        <v>#VALUE!</v>
      </c>
      <c r="E4073" t="e">
        <f>cubic_spline(CURVA!$B$6:$B$20,CURVA!$G$6:$G$20,#REF!)</f>
        <v>#VALUE!</v>
      </c>
    </row>
    <row r="4074" spans="1:5" x14ac:dyDescent="0.2">
      <c r="A4074" s="28">
        <v>4073</v>
      </c>
      <c r="B4074" s="28" t="e">
        <f>interpola(#REF!,CURVA!$B$6:$B$20,CURVA!$G$6:$G$20)</f>
        <v>#VALUE!</v>
      </c>
      <c r="C4074" s="29" t="e">
        <f t="shared" si="63"/>
        <v>#VALUE!</v>
      </c>
      <c r="E4074" t="e">
        <f>cubic_spline(CURVA!$B$6:$B$20,CURVA!$G$6:$G$20,#REF!)</f>
        <v>#VALUE!</v>
      </c>
    </row>
    <row r="4075" spans="1:5" x14ac:dyDescent="0.2">
      <c r="A4075" s="28">
        <v>4074</v>
      </c>
      <c r="B4075" s="28" t="e">
        <f>interpola(#REF!,CURVA!$B$6:$B$20,CURVA!$G$6:$G$20)</f>
        <v>#VALUE!</v>
      </c>
      <c r="C4075" s="29" t="e">
        <f t="shared" si="63"/>
        <v>#VALUE!</v>
      </c>
      <c r="E4075" t="e">
        <f>cubic_spline(CURVA!$B$6:$B$20,CURVA!$G$6:$G$20,#REF!)</f>
        <v>#VALUE!</v>
      </c>
    </row>
    <row r="4076" spans="1:5" x14ac:dyDescent="0.2">
      <c r="A4076" s="28">
        <v>4075</v>
      </c>
      <c r="B4076" s="28" t="e">
        <f>interpola(#REF!,CURVA!$B$6:$B$20,CURVA!$G$6:$G$20)</f>
        <v>#VALUE!</v>
      </c>
      <c r="C4076" s="29" t="e">
        <f t="shared" si="63"/>
        <v>#VALUE!</v>
      </c>
      <c r="E4076" t="e">
        <f>cubic_spline(CURVA!$B$6:$B$20,CURVA!$G$6:$G$20,#REF!)</f>
        <v>#VALUE!</v>
      </c>
    </row>
    <row r="4077" spans="1:5" x14ac:dyDescent="0.2">
      <c r="A4077" s="28">
        <v>4076</v>
      </c>
      <c r="B4077" s="28" t="e">
        <f>interpola(#REF!,CURVA!$B$6:$B$20,CURVA!$G$6:$G$20)</f>
        <v>#VALUE!</v>
      </c>
      <c r="C4077" s="29" t="e">
        <f t="shared" si="63"/>
        <v>#VALUE!</v>
      </c>
      <c r="E4077" t="e">
        <f>cubic_spline(CURVA!$B$6:$B$20,CURVA!$G$6:$G$20,#REF!)</f>
        <v>#VALUE!</v>
      </c>
    </row>
    <row r="4078" spans="1:5" x14ac:dyDescent="0.2">
      <c r="A4078" s="28">
        <v>4077</v>
      </c>
      <c r="B4078" s="28" t="e">
        <f>interpola(#REF!,CURVA!$B$6:$B$20,CURVA!$G$6:$G$20)</f>
        <v>#VALUE!</v>
      </c>
      <c r="C4078" s="29" t="e">
        <f t="shared" si="63"/>
        <v>#VALUE!</v>
      </c>
      <c r="E4078" t="e">
        <f>cubic_spline(CURVA!$B$6:$B$20,CURVA!$G$6:$G$20,#REF!)</f>
        <v>#VALUE!</v>
      </c>
    </row>
    <row r="4079" spans="1:5" x14ac:dyDescent="0.2">
      <c r="A4079" s="28">
        <v>4078</v>
      </c>
      <c r="B4079" s="28" t="e">
        <f>interpola(#REF!,CURVA!$B$6:$B$20,CURVA!$G$6:$G$20)</f>
        <v>#VALUE!</v>
      </c>
      <c r="C4079" s="29" t="e">
        <f t="shared" si="63"/>
        <v>#VALUE!</v>
      </c>
      <c r="E4079" t="e">
        <f>cubic_spline(CURVA!$B$6:$B$20,CURVA!$G$6:$G$20,#REF!)</f>
        <v>#VALUE!</v>
      </c>
    </row>
    <row r="4080" spans="1:5" x14ac:dyDescent="0.2">
      <c r="A4080" s="28">
        <v>4079</v>
      </c>
      <c r="B4080" s="28" t="e">
        <f>interpola(#REF!,CURVA!$B$6:$B$20,CURVA!$G$6:$G$20)</f>
        <v>#VALUE!</v>
      </c>
      <c r="C4080" s="29" t="e">
        <f t="shared" si="63"/>
        <v>#VALUE!</v>
      </c>
      <c r="E4080" t="e">
        <f>cubic_spline(CURVA!$B$6:$B$20,CURVA!$G$6:$G$20,#REF!)</f>
        <v>#VALUE!</v>
      </c>
    </row>
    <row r="4081" spans="1:5" x14ac:dyDescent="0.2">
      <c r="A4081" s="28">
        <v>4080</v>
      </c>
      <c r="B4081" s="28" t="e">
        <f>interpola(#REF!,CURVA!$B$6:$B$20,CURVA!$G$6:$G$20)</f>
        <v>#VALUE!</v>
      </c>
      <c r="C4081" s="29" t="e">
        <f t="shared" si="63"/>
        <v>#VALUE!</v>
      </c>
      <c r="E4081" t="e">
        <f>cubic_spline(CURVA!$B$6:$B$20,CURVA!$G$6:$G$20,#REF!)</f>
        <v>#VALUE!</v>
      </c>
    </row>
    <row r="4082" spans="1:5" x14ac:dyDescent="0.2">
      <c r="A4082" s="28">
        <v>4081</v>
      </c>
      <c r="B4082" s="28" t="e">
        <f>interpola(#REF!,CURVA!$B$6:$B$20,CURVA!$G$6:$G$20)</f>
        <v>#VALUE!</v>
      </c>
      <c r="C4082" s="29" t="e">
        <f t="shared" si="63"/>
        <v>#VALUE!</v>
      </c>
      <c r="E4082" t="e">
        <f>cubic_spline(CURVA!$B$6:$B$20,CURVA!$G$6:$G$20,#REF!)</f>
        <v>#VALUE!</v>
      </c>
    </row>
    <row r="4083" spans="1:5" x14ac:dyDescent="0.2">
      <c r="A4083" s="28">
        <v>4082</v>
      </c>
      <c r="B4083" s="28" t="e">
        <f>interpola(#REF!,CURVA!$B$6:$B$20,CURVA!$G$6:$G$20)</f>
        <v>#VALUE!</v>
      </c>
      <c r="C4083" s="29" t="e">
        <f t="shared" si="63"/>
        <v>#VALUE!</v>
      </c>
      <c r="E4083" t="e">
        <f>cubic_spline(CURVA!$B$6:$B$20,CURVA!$G$6:$G$20,#REF!)</f>
        <v>#VALUE!</v>
      </c>
    </row>
    <row r="4084" spans="1:5" x14ac:dyDescent="0.2">
      <c r="A4084" s="28">
        <v>4083</v>
      </c>
      <c r="B4084" s="28" t="e">
        <f>interpola(#REF!,CURVA!$B$6:$B$20,CURVA!$G$6:$G$20)</f>
        <v>#VALUE!</v>
      </c>
      <c r="C4084" s="29" t="e">
        <f t="shared" si="63"/>
        <v>#VALUE!</v>
      </c>
      <c r="E4084" t="e">
        <f>cubic_spline(CURVA!$B$6:$B$20,CURVA!$G$6:$G$20,#REF!)</f>
        <v>#VALUE!</v>
      </c>
    </row>
    <row r="4085" spans="1:5" x14ac:dyDescent="0.2">
      <c r="A4085" s="28">
        <v>4084</v>
      </c>
      <c r="B4085" s="28" t="e">
        <f>interpola(#REF!,CURVA!$B$6:$B$20,CURVA!$G$6:$G$20)</f>
        <v>#VALUE!</v>
      </c>
      <c r="C4085" s="29" t="e">
        <f t="shared" si="63"/>
        <v>#VALUE!</v>
      </c>
      <c r="E4085" t="e">
        <f>cubic_spline(CURVA!$B$6:$B$20,CURVA!$G$6:$G$20,#REF!)</f>
        <v>#VALUE!</v>
      </c>
    </row>
    <row r="4086" spans="1:5" x14ac:dyDescent="0.2">
      <c r="A4086" s="28">
        <v>4085</v>
      </c>
      <c r="B4086" s="28" t="e">
        <f>interpola(#REF!,CURVA!$B$6:$B$20,CURVA!$G$6:$G$20)</f>
        <v>#VALUE!</v>
      </c>
      <c r="C4086" s="29" t="e">
        <f t="shared" si="63"/>
        <v>#VALUE!</v>
      </c>
      <c r="E4086" t="e">
        <f>cubic_spline(CURVA!$B$6:$B$20,CURVA!$G$6:$G$20,#REF!)</f>
        <v>#VALUE!</v>
      </c>
    </row>
    <row r="4087" spans="1:5" x14ac:dyDescent="0.2">
      <c r="A4087" s="28">
        <v>4086</v>
      </c>
      <c r="B4087" s="28" t="e">
        <f>interpola(#REF!,CURVA!$B$6:$B$20,CURVA!$G$6:$G$20)</f>
        <v>#VALUE!</v>
      </c>
      <c r="C4087" s="29" t="e">
        <f t="shared" si="63"/>
        <v>#VALUE!</v>
      </c>
      <c r="E4087" t="e">
        <f>cubic_spline(CURVA!$B$6:$B$20,CURVA!$G$6:$G$20,#REF!)</f>
        <v>#VALUE!</v>
      </c>
    </row>
    <row r="4088" spans="1:5" x14ac:dyDescent="0.2">
      <c r="A4088" s="28">
        <v>4087</v>
      </c>
      <c r="B4088" s="28" t="e">
        <f>interpola(#REF!,CURVA!$B$6:$B$20,CURVA!$G$6:$G$20)</f>
        <v>#VALUE!</v>
      </c>
      <c r="C4088" s="29" t="e">
        <f t="shared" si="63"/>
        <v>#VALUE!</v>
      </c>
      <c r="E4088" t="e">
        <f>cubic_spline(CURVA!$B$6:$B$20,CURVA!$G$6:$G$20,#REF!)</f>
        <v>#VALUE!</v>
      </c>
    </row>
    <row r="4089" spans="1:5" x14ac:dyDescent="0.2">
      <c r="A4089" s="28">
        <v>4088</v>
      </c>
      <c r="B4089" s="28" t="e">
        <f>interpola(#REF!,CURVA!$B$6:$B$20,CURVA!$G$6:$G$20)</f>
        <v>#VALUE!</v>
      </c>
      <c r="C4089" s="29" t="e">
        <f t="shared" si="63"/>
        <v>#VALUE!</v>
      </c>
      <c r="E4089" t="e">
        <f>cubic_spline(CURVA!$B$6:$B$20,CURVA!$G$6:$G$20,#REF!)</f>
        <v>#VALUE!</v>
      </c>
    </row>
    <row r="4090" spans="1:5" x14ac:dyDescent="0.2">
      <c r="A4090" s="28">
        <v>4089</v>
      </c>
      <c r="B4090" s="28" t="e">
        <f>interpola(#REF!,CURVA!$B$6:$B$20,CURVA!$G$6:$G$20)</f>
        <v>#VALUE!</v>
      </c>
      <c r="C4090" s="29" t="e">
        <f t="shared" si="63"/>
        <v>#VALUE!</v>
      </c>
      <c r="E4090" t="e">
        <f>cubic_spline(CURVA!$B$6:$B$20,CURVA!$G$6:$G$20,#REF!)</f>
        <v>#VALUE!</v>
      </c>
    </row>
    <row r="4091" spans="1:5" x14ac:dyDescent="0.2">
      <c r="A4091" s="28">
        <v>4090</v>
      </c>
      <c r="B4091" s="28" t="e">
        <f>interpola(#REF!,CURVA!$B$6:$B$20,CURVA!$G$6:$G$20)</f>
        <v>#VALUE!</v>
      </c>
      <c r="C4091" s="29" t="e">
        <f t="shared" si="63"/>
        <v>#VALUE!</v>
      </c>
      <c r="E4091" t="e">
        <f>cubic_spline(CURVA!$B$6:$B$20,CURVA!$G$6:$G$20,#REF!)</f>
        <v>#VALUE!</v>
      </c>
    </row>
    <row r="4092" spans="1:5" x14ac:dyDescent="0.2">
      <c r="A4092" s="28">
        <v>4091</v>
      </c>
      <c r="B4092" s="28" t="e">
        <f>interpola(#REF!,CURVA!$B$6:$B$20,CURVA!$G$6:$G$20)</f>
        <v>#VALUE!</v>
      </c>
      <c r="C4092" s="29" t="e">
        <f t="shared" si="63"/>
        <v>#VALUE!</v>
      </c>
      <c r="E4092" t="e">
        <f>cubic_spline(CURVA!$B$6:$B$20,CURVA!$G$6:$G$20,#REF!)</f>
        <v>#VALUE!</v>
      </c>
    </row>
    <row r="4093" spans="1:5" x14ac:dyDescent="0.2">
      <c r="A4093" s="28">
        <v>4092</v>
      </c>
      <c r="B4093" s="28" t="e">
        <f>interpola(#REF!,CURVA!$B$6:$B$20,CURVA!$G$6:$G$20)</f>
        <v>#VALUE!</v>
      </c>
      <c r="C4093" s="29" t="e">
        <f t="shared" si="63"/>
        <v>#VALUE!</v>
      </c>
      <c r="E4093" t="e">
        <f>cubic_spline(CURVA!$B$6:$B$20,CURVA!$G$6:$G$20,#REF!)</f>
        <v>#VALUE!</v>
      </c>
    </row>
    <row r="4094" spans="1:5" x14ac:dyDescent="0.2">
      <c r="A4094" s="28">
        <v>4093</v>
      </c>
      <c r="B4094" s="28" t="e">
        <f>interpola(#REF!,CURVA!$B$6:$B$20,CURVA!$G$6:$G$20)</f>
        <v>#VALUE!</v>
      </c>
      <c r="C4094" s="29" t="e">
        <f t="shared" si="63"/>
        <v>#VALUE!</v>
      </c>
      <c r="E4094" t="e">
        <f>cubic_spline(CURVA!$B$6:$B$20,CURVA!$G$6:$G$20,#REF!)</f>
        <v>#VALUE!</v>
      </c>
    </row>
    <row r="4095" spans="1:5" x14ac:dyDescent="0.2">
      <c r="A4095" s="28">
        <v>4094</v>
      </c>
      <c r="B4095" s="28" t="e">
        <f>interpola(#REF!,CURVA!$B$6:$B$20,CURVA!$G$6:$G$20)</f>
        <v>#VALUE!</v>
      </c>
      <c r="C4095" s="29" t="e">
        <f t="shared" si="63"/>
        <v>#VALUE!</v>
      </c>
      <c r="E4095" t="e">
        <f>cubic_spline(CURVA!$B$6:$B$20,CURVA!$G$6:$G$20,#REF!)</f>
        <v>#VALUE!</v>
      </c>
    </row>
    <row r="4096" spans="1:5" x14ac:dyDescent="0.2">
      <c r="A4096" s="28">
        <v>4095</v>
      </c>
      <c r="B4096" s="28" t="e">
        <f>interpola(#REF!,CURVA!$B$6:$B$20,CURVA!$G$6:$G$20)</f>
        <v>#VALUE!</v>
      </c>
      <c r="C4096" s="29" t="e">
        <f t="shared" si="63"/>
        <v>#VALUE!</v>
      </c>
      <c r="E4096" t="e">
        <f>cubic_spline(CURVA!$B$6:$B$20,CURVA!$G$6:$G$20,#REF!)</f>
        <v>#VALUE!</v>
      </c>
    </row>
    <row r="4097" spans="1:5" x14ac:dyDescent="0.2">
      <c r="A4097" s="28">
        <v>4096</v>
      </c>
      <c r="B4097" s="28" t="e">
        <f>interpola(#REF!,CURVA!$B$6:$B$20,CURVA!$G$6:$G$20)</f>
        <v>#VALUE!</v>
      </c>
      <c r="C4097" s="29" t="e">
        <f t="shared" si="63"/>
        <v>#VALUE!</v>
      </c>
      <c r="E4097" t="e">
        <f>cubic_spline(CURVA!$B$6:$B$20,CURVA!$G$6:$G$20,#REF!)</f>
        <v>#VALUE!</v>
      </c>
    </row>
    <row r="4098" spans="1:5" x14ac:dyDescent="0.2">
      <c r="A4098" s="28">
        <v>4097</v>
      </c>
      <c r="B4098" s="28" t="e">
        <f>interpola(#REF!,CURVA!$B$6:$B$20,CURVA!$G$6:$G$20)</f>
        <v>#VALUE!</v>
      </c>
      <c r="C4098" s="29" t="e">
        <f t="shared" ref="C4098:C4161" si="64">(EXP(B4098*A4098/360)-1)*360/A4098</f>
        <v>#VALUE!</v>
      </c>
      <c r="E4098" t="e">
        <f>cubic_spline(CURVA!$B$6:$B$20,CURVA!$G$6:$G$20,#REF!)</f>
        <v>#VALUE!</v>
      </c>
    </row>
    <row r="4099" spans="1:5" x14ac:dyDescent="0.2">
      <c r="A4099" s="28">
        <v>4098</v>
      </c>
      <c r="B4099" s="28" t="e">
        <f>interpola(#REF!,CURVA!$B$6:$B$20,CURVA!$G$6:$G$20)</f>
        <v>#VALUE!</v>
      </c>
      <c r="C4099" s="29" t="e">
        <f t="shared" si="64"/>
        <v>#VALUE!</v>
      </c>
      <c r="E4099" t="e">
        <f>cubic_spline(CURVA!$B$6:$B$20,CURVA!$G$6:$G$20,#REF!)</f>
        <v>#VALUE!</v>
      </c>
    </row>
    <row r="4100" spans="1:5" x14ac:dyDescent="0.2">
      <c r="A4100" s="28">
        <v>4099</v>
      </c>
      <c r="B4100" s="28" t="e">
        <f>interpola(#REF!,CURVA!$B$6:$B$20,CURVA!$G$6:$G$20)</f>
        <v>#VALUE!</v>
      </c>
      <c r="C4100" s="29" t="e">
        <f t="shared" si="64"/>
        <v>#VALUE!</v>
      </c>
      <c r="E4100" t="e">
        <f>cubic_spline(CURVA!$B$6:$B$20,CURVA!$G$6:$G$20,#REF!)</f>
        <v>#VALUE!</v>
      </c>
    </row>
    <row r="4101" spans="1:5" x14ac:dyDescent="0.2">
      <c r="A4101" s="28">
        <v>4100</v>
      </c>
      <c r="B4101" s="28" t="e">
        <f>interpola(#REF!,CURVA!$B$6:$B$20,CURVA!$G$6:$G$20)</f>
        <v>#VALUE!</v>
      </c>
      <c r="C4101" s="29" t="e">
        <f t="shared" si="64"/>
        <v>#VALUE!</v>
      </c>
      <c r="E4101" t="e">
        <f>cubic_spline(CURVA!$B$6:$B$20,CURVA!$G$6:$G$20,#REF!)</f>
        <v>#VALUE!</v>
      </c>
    </row>
    <row r="4102" spans="1:5" x14ac:dyDescent="0.2">
      <c r="A4102" s="28">
        <v>4101</v>
      </c>
      <c r="B4102" s="28" t="e">
        <f>interpola(#REF!,CURVA!$B$6:$B$20,CURVA!$G$6:$G$20)</f>
        <v>#VALUE!</v>
      </c>
      <c r="C4102" s="29" t="e">
        <f t="shared" si="64"/>
        <v>#VALUE!</v>
      </c>
      <c r="E4102" t="e">
        <f>cubic_spline(CURVA!$B$6:$B$20,CURVA!$G$6:$G$20,#REF!)</f>
        <v>#VALUE!</v>
      </c>
    </row>
    <row r="4103" spans="1:5" x14ac:dyDescent="0.2">
      <c r="A4103" s="28">
        <v>4102</v>
      </c>
      <c r="B4103" s="28" t="e">
        <f>interpola(#REF!,CURVA!$B$6:$B$20,CURVA!$G$6:$G$20)</f>
        <v>#VALUE!</v>
      </c>
      <c r="C4103" s="29" t="e">
        <f t="shared" si="64"/>
        <v>#VALUE!</v>
      </c>
      <c r="E4103" t="e">
        <f>cubic_spline(CURVA!$B$6:$B$20,CURVA!$G$6:$G$20,#REF!)</f>
        <v>#VALUE!</v>
      </c>
    </row>
    <row r="4104" spans="1:5" x14ac:dyDescent="0.2">
      <c r="A4104" s="28">
        <v>4103</v>
      </c>
      <c r="B4104" s="28" t="e">
        <f>interpola(#REF!,CURVA!$B$6:$B$20,CURVA!$G$6:$G$20)</f>
        <v>#VALUE!</v>
      </c>
      <c r="C4104" s="29" t="e">
        <f t="shared" si="64"/>
        <v>#VALUE!</v>
      </c>
      <c r="E4104" t="e">
        <f>cubic_spline(CURVA!$B$6:$B$20,CURVA!$G$6:$G$20,#REF!)</f>
        <v>#VALUE!</v>
      </c>
    </row>
    <row r="4105" spans="1:5" x14ac:dyDescent="0.2">
      <c r="A4105" s="28">
        <v>4104</v>
      </c>
      <c r="B4105" s="28" t="e">
        <f>interpola(#REF!,CURVA!$B$6:$B$20,CURVA!$G$6:$G$20)</f>
        <v>#VALUE!</v>
      </c>
      <c r="C4105" s="29" t="e">
        <f t="shared" si="64"/>
        <v>#VALUE!</v>
      </c>
      <c r="E4105" t="e">
        <f>cubic_spline(CURVA!$B$6:$B$20,CURVA!$G$6:$G$20,#REF!)</f>
        <v>#VALUE!</v>
      </c>
    </row>
    <row r="4106" spans="1:5" x14ac:dyDescent="0.2">
      <c r="A4106" s="28">
        <v>4105</v>
      </c>
      <c r="B4106" s="28" t="e">
        <f>interpola(#REF!,CURVA!$B$6:$B$20,CURVA!$G$6:$G$20)</f>
        <v>#VALUE!</v>
      </c>
      <c r="C4106" s="29" t="e">
        <f t="shared" si="64"/>
        <v>#VALUE!</v>
      </c>
      <c r="E4106" t="e">
        <f>cubic_spline(CURVA!$B$6:$B$20,CURVA!$G$6:$G$20,#REF!)</f>
        <v>#VALUE!</v>
      </c>
    </row>
    <row r="4107" spans="1:5" x14ac:dyDescent="0.2">
      <c r="A4107" s="28">
        <v>4106</v>
      </c>
      <c r="B4107" s="28" t="e">
        <f>interpola(#REF!,CURVA!$B$6:$B$20,CURVA!$G$6:$G$20)</f>
        <v>#VALUE!</v>
      </c>
      <c r="C4107" s="29" t="e">
        <f t="shared" si="64"/>
        <v>#VALUE!</v>
      </c>
      <c r="E4107" t="e">
        <f>cubic_spline(CURVA!$B$6:$B$20,CURVA!$G$6:$G$20,#REF!)</f>
        <v>#VALUE!</v>
      </c>
    </row>
    <row r="4108" spans="1:5" x14ac:dyDescent="0.2">
      <c r="A4108" s="28">
        <v>4107</v>
      </c>
      <c r="B4108" s="28" t="e">
        <f>interpola(#REF!,CURVA!$B$6:$B$20,CURVA!$G$6:$G$20)</f>
        <v>#VALUE!</v>
      </c>
      <c r="C4108" s="29" t="e">
        <f t="shared" si="64"/>
        <v>#VALUE!</v>
      </c>
      <c r="E4108" t="e">
        <f>cubic_spline(CURVA!$B$6:$B$20,CURVA!$G$6:$G$20,#REF!)</f>
        <v>#VALUE!</v>
      </c>
    </row>
    <row r="4109" spans="1:5" x14ac:dyDescent="0.2">
      <c r="A4109" s="28">
        <v>4108</v>
      </c>
      <c r="B4109" s="28" t="e">
        <f>interpola(#REF!,CURVA!$B$6:$B$20,CURVA!$G$6:$G$20)</f>
        <v>#VALUE!</v>
      </c>
      <c r="C4109" s="29" t="e">
        <f t="shared" si="64"/>
        <v>#VALUE!</v>
      </c>
      <c r="E4109" t="e">
        <f>cubic_spline(CURVA!$B$6:$B$20,CURVA!$G$6:$G$20,#REF!)</f>
        <v>#VALUE!</v>
      </c>
    </row>
    <row r="4110" spans="1:5" x14ac:dyDescent="0.2">
      <c r="A4110" s="28">
        <v>4109</v>
      </c>
      <c r="B4110" s="28" t="e">
        <f>interpola(#REF!,CURVA!$B$6:$B$20,CURVA!$G$6:$G$20)</f>
        <v>#VALUE!</v>
      </c>
      <c r="C4110" s="29" t="e">
        <f t="shared" si="64"/>
        <v>#VALUE!</v>
      </c>
      <c r="E4110" t="e">
        <f>cubic_spline(CURVA!$B$6:$B$20,CURVA!$G$6:$G$20,#REF!)</f>
        <v>#VALUE!</v>
      </c>
    </row>
    <row r="4111" spans="1:5" x14ac:dyDescent="0.2">
      <c r="A4111" s="28">
        <v>4110</v>
      </c>
      <c r="B4111" s="28" t="e">
        <f>interpola(#REF!,CURVA!$B$6:$B$20,CURVA!$G$6:$G$20)</f>
        <v>#VALUE!</v>
      </c>
      <c r="C4111" s="29" t="e">
        <f t="shared" si="64"/>
        <v>#VALUE!</v>
      </c>
      <c r="E4111" t="e">
        <f>cubic_spline(CURVA!$B$6:$B$20,CURVA!$G$6:$G$20,#REF!)</f>
        <v>#VALUE!</v>
      </c>
    </row>
    <row r="4112" spans="1:5" x14ac:dyDescent="0.2">
      <c r="A4112" s="28">
        <v>4111</v>
      </c>
      <c r="B4112" s="28" t="e">
        <f>interpola(#REF!,CURVA!$B$6:$B$20,CURVA!$G$6:$G$20)</f>
        <v>#VALUE!</v>
      </c>
      <c r="C4112" s="29" t="e">
        <f t="shared" si="64"/>
        <v>#VALUE!</v>
      </c>
      <c r="E4112" t="e">
        <f>cubic_spline(CURVA!$B$6:$B$20,CURVA!$G$6:$G$20,#REF!)</f>
        <v>#VALUE!</v>
      </c>
    </row>
    <row r="4113" spans="1:5" x14ac:dyDescent="0.2">
      <c r="A4113" s="28">
        <v>4112</v>
      </c>
      <c r="B4113" s="28" t="e">
        <f>interpola(#REF!,CURVA!$B$6:$B$20,CURVA!$G$6:$G$20)</f>
        <v>#VALUE!</v>
      </c>
      <c r="C4113" s="29" t="e">
        <f t="shared" si="64"/>
        <v>#VALUE!</v>
      </c>
      <c r="E4113" t="e">
        <f>cubic_spline(CURVA!$B$6:$B$20,CURVA!$G$6:$G$20,#REF!)</f>
        <v>#VALUE!</v>
      </c>
    </row>
    <row r="4114" spans="1:5" x14ac:dyDescent="0.2">
      <c r="A4114" s="28">
        <v>4113</v>
      </c>
      <c r="B4114" s="28" t="e">
        <f>interpola(#REF!,CURVA!$B$6:$B$20,CURVA!$G$6:$G$20)</f>
        <v>#VALUE!</v>
      </c>
      <c r="C4114" s="29" t="e">
        <f t="shared" si="64"/>
        <v>#VALUE!</v>
      </c>
      <c r="E4114" t="e">
        <f>cubic_spline(CURVA!$B$6:$B$20,CURVA!$G$6:$G$20,#REF!)</f>
        <v>#VALUE!</v>
      </c>
    </row>
    <row r="4115" spans="1:5" x14ac:dyDescent="0.2">
      <c r="A4115" s="28">
        <v>4114</v>
      </c>
      <c r="B4115" s="28" t="e">
        <f>interpola(#REF!,CURVA!$B$6:$B$20,CURVA!$G$6:$G$20)</f>
        <v>#VALUE!</v>
      </c>
      <c r="C4115" s="29" t="e">
        <f t="shared" si="64"/>
        <v>#VALUE!</v>
      </c>
      <c r="E4115" t="e">
        <f>cubic_spline(CURVA!$B$6:$B$20,CURVA!$G$6:$G$20,#REF!)</f>
        <v>#VALUE!</v>
      </c>
    </row>
    <row r="4116" spans="1:5" x14ac:dyDescent="0.2">
      <c r="A4116" s="28">
        <v>4115</v>
      </c>
      <c r="B4116" s="28" t="e">
        <f>interpola(#REF!,CURVA!$B$6:$B$20,CURVA!$G$6:$G$20)</f>
        <v>#VALUE!</v>
      </c>
      <c r="C4116" s="29" t="e">
        <f t="shared" si="64"/>
        <v>#VALUE!</v>
      </c>
      <c r="E4116" t="e">
        <f>cubic_spline(CURVA!$B$6:$B$20,CURVA!$G$6:$G$20,#REF!)</f>
        <v>#VALUE!</v>
      </c>
    </row>
    <row r="4117" spans="1:5" x14ac:dyDescent="0.2">
      <c r="A4117" s="28">
        <v>4116</v>
      </c>
      <c r="B4117" s="28" t="e">
        <f>interpola(#REF!,CURVA!$B$6:$B$20,CURVA!$G$6:$G$20)</f>
        <v>#VALUE!</v>
      </c>
      <c r="C4117" s="29" t="e">
        <f t="shared" si="64"/>
        <v>#VALUE!</v>
      </c>
      <c r="E4117" t="e">
        <f>cubic_spline(CURVA!$B$6:$B$20,CURVA!$G$6:$G$20,#REF!)</f>
        <v>#VALUE!</v>
      </c>
    </row>
    <row r="4118" spans="1:5" x14ac:dyDescent="0.2">
      <c r="A4118" s="28">
        <v>4117</v>
      </c>
      <c r="B4118" s="28" t="e">
        <f>interpola(#REF!,CURVA!$B$6:$B$20,CURVA!$G$6:$G$20)</f>
        <v>#VALUE!</v>
      </c>
      <c r="C4118" s="29" t="e">
        <f t="shared" si="64"/>
        <v>#VALUE!</v>
      </c>
      <c r="E4118" t="e">
        <f>cubic_spline(CURVA!$B$6:$B$20,CURVA!$G$6:$G$20,#REF!)</f>
        <v>#VALUE!</v>
      </c>
    </row>
    <row r="4119" spans="1:5" x14ac:dyDescent="0.2">
      <c r="A4119" s="28">
        <v>4118</v>
      </c>
      <c r="B4119" s="28" t="e">
        <f>interpola(#REF!,CURVA!$B$6:$B$20,CURVA!$G$6:$G$20)</f>
        <v>#VALUE!</v>
      </c>
      <c r="C4119" s="29" t="e">
        <f t="shared" si="64"/>
        <v>#VALUE!</v>
      </c>
      <c r="E4119" t="e">
        <f>cubic_spline(CURVA!$B$6:$B$20,CURVA!$G$6:$G$20,#REF!)</f>
        <v>#VALUE!</v>
      </c>
    </row>
    <row r="4120" spans="1:5" x14ac:dyDescent="0.2">
      <c r="A4120" s="28">
        <v>4119</v>
      </c>
      <c r="B4120" s="28" t="e">
        <f>interpola(#REF!,CURVA!$B$6:$B$20,CURVA!$G$6:$G$20)</f>
        <v>#VALUE!</v>
      </c>
      <c r="C4120" s="29" t="e">
        <f t="shared" si="64"/>
        <v>#VALUE!</v>
      </c>
      <c r="E4120" t="e">
        <f>cubic_spline(CURVA!$B$6:$B$20,CURVA!$G$6:$G$20,#REF!)</f>
        <v>#VALUE!</v>
      </c>
    </row>
    <row r="4121" spans="1:5" x14ac:dyDescent="0.2">
      <c r="A4121" s="28">
        <v>4120</v>
      </c>
      <c r="B4121" s="28" t="e">
        <f>interpola(#REF!,CURVA!$B$6:$B$20,CURVA!$G$6:$G$20)</f>
        <v>#VALUE!</v>
      </c>
      <c r="C4121" s="29" t="e">
        <f t="shared" si="64"/>
        <v>#VALUE!</v>
      </c>
      <c r="E4121" t="e">
        <f>cubic_spline(CURVA!$B$6:$B$20,CURVA!$G$6:$G$20,#REF!)</f>
        <v>#VALUE!</v>
      </c>
    </row>
    <row r="4122" spans="1:5" x14ac:dyDescent="0.2">
      <c r="A4122" s="28">
        <v>4121</v>
      </c>
      <c r="B4122" s="28" t="e">
        <f>interpola(#REF!,CURVA!$B$6:$B$20,CURVA!$G$6:$G$20)</f>
        <v>#VALUE!</v>
      </c>
      <c r="C4122" s="29" t="e">
        <f t="shared" si="64"/>
        <v>#VALUE!</v>
      </c>
      <c r="E4122" t="e">
        <f>cubic_spline(CURVA!$B$6:$B$20,CURVA!$G$6:$G$20,#REF!)</f>
        <v>#VALUE!</v>
      </c>
    </row>
    <row r="4123" spans="1:5" x14ac:dyDescent="0.2">
      <c r="A4123" s="28">
        <v>4122</v>
      </c>
      <c r="B4123" s="28" t="e">
        <f>interpola(#REF!,CURVA!$B$6:$B$20,CURVA!$G$6:$G$20)</f>
        <v>#VALUE!</v>
      </c>
      <c r="C4123" s="29" t="e">
        <f t="shared" si="64"/>
        <v>#VALUE!</v>
      </c>
      <c r="E4123" t="e">
        <f>cubic_spline(CURVA!$B$6:$B$20,CURVA!$G$6:$G$20,#REF!)</f>
        <v>#VALUE!</v>
      </c>
    </row>
    <row r="4124" spans="1:5" x14ac:dyDescent="0.2">
      <c r="A4124" s="28">
        <v>4123</v>
      </c>
      <c r="B4124" s="28" t="e">
        <f>interpola(#REF!,CURVA!$B$6:$B$20,CURVA!$G$6:$G$20)</f>
        <v>#VALUE!</v>
      </c>
      <c r="C4124" s="29" t="e">
        <f t="shared" si="64"/>
        <v>#VALUE!</v>
      </c>
      <c r="E4124" t="e">
        <f>cubic_spline(CURVA!$B$6:$B$20,CURVA!$G$6:$G$20,#REF!)</f>
        <v>#VALUE!</v>
      </c>
    </row>
    <row r="4125" spans="1:5" x14ac:dyDescent="0.2">
      <c r="A4125" s="28">
        <v>4124</v>
      </c>
      <c r="B4125" s="28" t="e">
        <f>interpola(#REF!,CURVA!$B$6:$B$20,CURVA!$G$6:$G$20)</f>
        <v>#VALUE!</v>
      </c>
      <c r="C4125" s="29" t="e">
        <f t="shared" si="64"/>
        <v>#VALUE!</v>
      </c>
      <c r="E4125" t="e">
        <f>cubic_spline(CURVA!$B$6:$B$20,CURVA!$G$6:$G$20,#REF!)</f>
        <v>#VALUE!</v>
      </c>
    </row>
    <row r="4126" spans="1:5" x14ac:dyDescent="0.2">
      <c r="A4126" s="28">
        <v>4125</v>
      </c>
      <c r="B4126" s="28" t="e">
        <f>interpola(#REF!,CURVA!$B$6:$B$20,CURVA!$G$6:$G$20)</f>
        <v>#VALUE!</v>
      </c>
      <c r="C4126" s="29" t="e">
        <f t="shared" si="64"/>
        <v>#VALUE!</v>
      </c>
      <c r="E4126" t="e">
        <f>cubic_spline(CURVA!$B$6:$B$20,CURVA!$G$6:$G$20,#REF!)</f>
        <v>#VALUE!</v>
      </c>
    </row>
    <row r="4127" spans="1:5" x14ac:dyDescent="0.2">
      <c r="A4127" s="28">
        <v>4126</v>
      </c>
      <c r="B4127" s="28" t="e">
        <f>interpola(#REF!,CURVA!$B$6:$B$20,CURVA!$G$6:$G$20)</f>
        <v>#VALUE!</v>
      </c>
      <c r="C4127" s="29" t="e">
        <f t="shared" si="64"/>
        <v>#VALUE!</v>
      </c>
      <c r="E4127" t="e">
        <f>cubic_spline(CURVA!$B$6:$B$20,CURVA!$G$6:$G$20,#REF!)</f>
        <v>#VALUE!</v>
      </c>
    </row>
    <row r="4128" spans="1:5" x14ac:dyDescent="0.2">
      <c r="A4128" s="28">
        <v>4127</v>
      </c>
      <c r="B4128" s="28" t="e">
        <f>interpola(#REF!,CURVA!$B$6:$B$20,CURVA!$G$6:$G$20)</f>
        <v>#VALUE!</v>
      </c>
      <c r="C4128" s="29" t="e">
        <f t="shared" si="64"/>
        <v>#VALUE!</v>
      </c>
      <c r="E4128" t="e">
        <f>cubic_spline(CURVA!$B$6:$B$20,CURVA!$G$6:$G$20,#REF!)</f>
        <v>#VALUE!</v>
      </c>
    </row>
    <row r="4129" spans="1:5" x14ac:dyDescent="0.2">
      <c r="A4129" s="28">
        <v>4128</v>
      </c>
      <c r="B4129" s="28" t="e">
        <f>interpola(#REF!,CURVA!$B$6:$B$20,CURVA!$G$6:$G$20)</f>
        <v>#VALUE!</v>
      </c>
      <c r="C4129" s="29" t="e">
        <f t="shared" si="64"/>
        <v>#VALUE!</v>
      </c>
      <c r="E4129" t="e">
        <f>cubic_spline(CURVA!$B$6:$B$20,CURVA!$G$6:$G$20,#REF!)</f>
        <v>#VALUE!</v>
      </c>
    </row>
    <row r="4130" spans="1:5" x14ac:dyDescent="0.2">
      <c r="A4130" s="28">
        <v>4129</v>
      </c>
      <c r="B4130" s="28" t="e">
        <f>interpola(#REF!,CURVA!$B$6:$B$20,CURVA!$G$6:$G$20)</f>
        <v>#VALUE!</v>
      </c>
      <c r="C4130" s="29" t="e">
        <f t="shared" si="64"/>
        <v>#VALUE!</v>
      </c>
      <c r="E4130" t="e">
        <f>cubic_spline(CURVA!$B$6:$B$20,CURVA!$G$6:$G$20,#REF!)</f>
        <v>#VALUE!</v>
      </c>
    </row>
    <row r="4131" spans="1:5" x14ac:dyDescent="0.2">
      <c r="A4131" s="28">
        <v>4130</v>
      </c>
      <c r="B4131" s="28" t="e">
        <f>interpola(#REF!,CURVA!$B$6:$B$20,CURVA!$G$6:$G$20)</f>
        <v>#VALUE!</v>
      </c>
      <c r="C4131" s="29" t="e">
        <f t="shared" si="64"/>
        <v>#VALUE!</v>
      </c>
      <c r="E4131" t="e">
        <f>cubic_spline(CURVA!$B$6:$B$20,CURVA!$G$6:$G$20,#REF!)</f>
        <v>#VALUE!</v>
      </c>
    </row>
    <row r="4132" spans="1:5" x14ac:dyDescent="0.2">
      <c r="A4132" s="28">
        <v>4131</v>
      </c>
      <c r="B4132" s="28" t="e">
        <f>interpola(#REF!,CURVA!$B$6:$B$20,CURVA!$G$6:$G$20)</f>
        <v>#VALUE!</v>
      </c>
      <c r="C4132" s="29" t="e">
        <f t="shared" si="64"/>
        <v>#VALUE!</v>
      </c>
      <c r="E4132" t="e">
        <f>cubic_spline(CURVA!$B$6:$B$20,CURVA!$G$6:$G$20,#REF!)</f>
        <v>#VALUE!</v>
      </c>
    </row>
    <row r="4133" spans="1:5" x14ac:dyDescent="0.2">
      <c r="A4133" s="28">
        <v>4132</v>
      </c>
      <c r="B4133" s="28" t="e">
        <f>interpola(#REF!,CURVA!$B$6:$B$20,CURVA!$G$6:$G$20)</f>
        <v>#VALUE!</v>
      </c>
      <c r="C4133" s="29" t="e">
        <f t="shared" si="64"/>
        <v>#VALUE!</v>
      </c>
      <c r="E4133" t="e">
        <f>cubic_spline(CURVA!$B$6:$B$20,CURVA!$G$6:$G$20,#REF!)</f>
        <v>#VALUE!</v>
      </c>
    </row>
    <row r="4134" spans="1:5" x14ac:dyDescent="0.2">
      <c r="A4134" s="28">
        <v>4133</v>
      </c>
      <c r="B4134" s="28" t="e">
        <f>interpola(#REF!,CURVA!$B$6:$B$20,CURVA!$G$6:$G$20)</f>
        <v>#VALUE!</v>
      </c>
      <c r="C4134" s="29" t="e">
        <f t="shared" si="64"/>
        <v>#VALUE!</v>
      </c>
      <c r="E4134" t="e">
        <f>cubic_spline(CURVA!$B$6:$B$20,CURVA!$G$6:$G$20,#REF!)</f>
        <v>#VALUE!</v>
      </c>
    </row>
    <row r="4135" spans="1:5" x14ac:dyDescent="0.2">
      <c r="A4135" s="28">
        <v>4134</v>
      </c>
      <c r="B4135" s="28" t="e">
        <f>interpola(#REF!,CURVA!$B$6:$B$20,CURVA!$G$6:$G$20)</f>
        <v>#VALUE!</v>
      </c>
      <c r="C4135" s="29" t="e">
        <f t="shared" si="64"/>
        <v>#VALUE!</v>
      </c>
      <c r="E4135" t="e">
        <f>cubic_spline(CURVA!$B$6:$B$20,CURVA!$G$6:$G$20,#REF!)</f>
        <v>#VALUE!</v>
      </c>
    </row>
    <row r="4136" spans="1:5" x14ac:dyDescent="0.2">
      <c r="A4136" s="28">
        <v>4135</v>
      </c>
      <c r="B4136" s="28" t="e">
        <f>interpola(#REF!,CURVA!$B$6:$B$20,CURVA!$G$6:$G$20)</f>
        <v>#VALUE!</v>
      </c>
      <c r="C4136" s="29" t="e">
        <f t="shared" si="64"/>
        <v>#VALUE!</v>
      </c>
      <c r="E4136" t="e">
        <f>cubic_spline(CURVA!$B$6:$B$20,CURVA!$G$6:$G$20,#REF!)</f>
        <v>#VALUE!</v>
      </c>
    </row>
    <row r="4137" spans="1:5" x14ac:dyDescent="0.2">
      <c r="A4137" s="28">
        <v>4136</v>
      </c>
      <c r="B4137" s="28" t="e">
        <f>interpola(#REF!,CURVA!$B$6:$B$20,CURVA!$G$6:$G$20)</f>
        <v>#VALUE!</v>
      </c>
      <c r="C4137" s="29" t="e">
        <f t="shared" si="64"/>
        <v>#VALUE!</v>
      </c>
      <c r="E4137" t="e">
        <f>cubic_spline(CURVA!$B$6:$B$20,CURVA!$G$6:$G$20,#REF!)</f>
        <v>#VALUE!</v>
      </c>
    </row>
    <row r="4138" spans="1:5" x14ac:dyDescent="0.2">
      <c r="A4138" s="28">
        <v>4137</v>
      </c>
      <c r="B4138" s="28" t="e">
        <f>interpola(#REF!,CURVA!$B$6:$B$20,CURVA!$G$6:$G$20)</f>
        <v>#VALUE!</v>
      </c>
      <c r="C4138" s="29" t="e">
        <f t="shared" si="64"/>
        <v>#VALUE!</v>
      </c>
      <c r="E4138" t="e">
        <f>cubic_spline(CURVA!$B$6:$B$20,CURVA!$G$6:$G$20,#REF!)</f>
        <v>#VALUE!</v>
      </c>
    </row>
    <row r="4139" spans="1:5" x14ac:dyDescent="0.2">
      <c r="A4139" s="28">
        <v>4138</v>
      </c>
      <c r="B4139" s="28" t="e">
        <f>interpola(#REF!,CURVA!$B$6:$B$20,CURVA!$G$6:$G$20)</f>
        <v>#VALUE!</v>
      </c>
      <c r="C4139" s="29" t="e">
        <f t="shared" si="64"/>
        <v>#VALUE!</v>
      </c>
      <c r="E4139" t="e">
        <f>cubic_spline(CURVA!$B$6:$B$20,CURVA!$G$6:$G$20,#REF!)</f>
        <v>#VALUE!</v>
      </c>
    </row>
    <row r="4140" spans="1:5" x14ac:dyDescent="0.2">
      <c r="A4140" s="28">
        <v>4139</v>
      </c>
      <c r="B4140" s="28" t="e">
        <f>interpola(#REF!,CURVA!$B$6:$B$20,CURVA!$G$6:$G$20)</f>
        <v>#VALUE!</v>
      </c>
      <c r="C4140" s="29" t="e">
        <f t="shared" si="64"/>
        <v>#VALUE!</v>
      </c>
      <c r="E4140" t="e">
        <f>cubic_spline(CURVA!$B$6:$B$20,CURVA!$G$6:$G$20,#REF!)</f>
        <v>#VALUE!</v>
      </c>
    </row>
    <row r="4141" spans="1:5" x14ac:dyDescent="0.2">
      <c r="A4141" s="28">
        <v>4140</v>
      </c>
      <c r="B4141" s="28" t="e">
        <f>interpola(#REF!,CURVA!$B$6:$B$20,CURVA!$G$6:$G$20)</f>
        <v>#VALUE!</v>
      </c>
      <c r="C4141" s="29" t="e">
        <f t="shared" si="64"/>
        <v>#VALUE!</v>
      </c>
      <c r="E4141" t="e">
        <f>cubic_spline(CURVA!$B$6:$B$20,CURVA!$G$6:$G$20,#REF!)</f>
        <v>#VALUE!</v>
      </c>
    </row>
    <row r="4142" spans="1:5" x14ac:dyDescent="0.2">
      <c r="A4142" s="28">
        <v>4141</v>
      </c>
      <c r="B4142" s="28" t="e">
        <f>interpola(#REF!,CURVA!$B$6:$B$20,CURVA!$G$6:$G$20)</f>
        <v>#VALUE!</v>
      </c>
      <c r="C4142" s="29" t="e">
        <f t="shared" si="64"/>
        <v>#VALUE!</v>
      </c>
      <c r="E4142" t="e">
        <f>cubic_spline(CURVA!$B$6:$B$20,CURVA!$G$6:$G$20,#REF!)</f>
        <v>#VALUE!</v>
      </c>
    </row>
    <row r="4143" spans="1:5" x14ac:dyDescent="0.2">
      <c r="A4143" s="28">
        <v>4142</v>
      </c>
      <c r="B4143" s="28" t="e">
        <f>interpola(#REF!,CURVA!$B$6:$B$20,CURVA!$G$6:$G$20)</f>
        <v>#VALUE!</v>
      </c>
      <c r="C4143" s="29" t="e">
        <f t="shared" si="64"/>
        <v>#VALUE!</v>
      </c>
      <c r="E4143" t="e">
        <f>cubic_spline(CURVA!$B$6:$B$20,CURVA!$G$6:$G$20,#REF!)</f>
        <v>#VALUE!</v>
      </c>
    </row>
    <row r="4144" spans="1:5" x14ac:dyDescent="0.2">
      <c r="A4144" s="28">
        <v>4143</v>
      </c>
      <c r="B4144" s="28" t="e">
        <f>interpola(#REF!,CURVA!$B$6:$B$20,CURVA!$G$6:$G$20)</f>
        <v>#VALUE!</v>
      </c>
      <c r="C4144" s="29" t="e">
        <f t="shared" si="64"/>
        <v>#VALUE!</v>
      </c>
      <c r="E4144" t="e">
        <f>cubic_spline(CURVA!$B$6:$B$20,CURVA!$G$6:$G$20,#REF!)</f>
        <v>#VALUE!</v>
      </c>
    </row>
    <row r="4145" spans="1:5" x14ac:dyDescent="0.2">
      <c r="A4145" s="28">
        <v>4144</v>
      </c>
      <c r="B4145" s="28" t="e">
        <f>interpola(#REF!,CURVA!$B$6:$B$20,CURVA!$G$6:$G$20)</f>
        <v>#VALUE!</v>
      </c>
      <c r="C4145" s="29" t="e">
        <f t="shared" si="64"/>
        <v>#VALUE!</v>
      </c>
      <c r="E4145" t="e">
        <f>cubic_spline(CURVA!$B$6:$B$20,CURVA!$G$6:$G$20,#REF!)</f>
        <v>#VALUE!</v>
      </c>
    </row>
    <row r="4146" spans="1:5" x14ac:dyDescent="0.2">
      <c r="A4146" s="28">
        <v>4145</v>
      </c>
      <c r="B4146" s="28" t="e">
        <f>interpola(#REF!,CURVA!$B$6:$B$20,CURVA!$G$6:$G$20)</f>
        <v>#VALUE!</v>
      </c>
      <c r="C4146" s="29" t="e">
        <f t="shared" si="64"/>
        <v>#VALUE!</v>
      </c>
      <c r="E4146" t="e">
        <f>cubic_spline(CURVA!$B$6:$B$20,CURVA!$G$6:$G$20,#REF!)</f>
        <v>#VALUE!</v>
      </c>
    </row>
    <row r="4147" spans="1:5" x14ac:dyDescent="0.2">
      <c r="A4147" s="28">
        <v>4146</v>
      </c>
      <c r="B4147" s="28" t="e">
        <f>interpola(#REF!,CURVA!$B$6:$B$20,CURVA!$G$6:$G$20)</f>
        <v>#VALUE!</v>
      </c>
      <c r="C4147" s="29" t="e">
        <f t="shared" si="64"/>
        <v>#VALUE!</v>
      </c>
      <c r="E4147" t="e">
        <f>cubic_spline(CURVA!$B$6:$B$20,CURVA!$G$6:$G$20,#REF!)</f>
        <v>#VALUE!</v>
      </c>
    </row>
    <row r="4148" spans="1:5" x14ac:dyDescent="0.2">
      <c r="A4148" s="28">
        <v>4147</v>
      </c>
      <c r="B4148" s="28" t="e">
        <f>interpola(#REF!,CURVA!$B$6:$B$20,CURVA!$G$6:$G$20)</f>
        <v>#VALUE!</v>
      </c>
      <c r="C4148" s="29" t="e">
        <f t="shared" si="64"/>
        <v>#VALUE!</v>
      </c>
      <c r="E4148" t="e">
        <f>cubic_spline(CURVA!$B$6:$B$20,CURVA!$G$6:$G$20,#REF!)</f>
        <v>#VALUE!</v>
      </c>
    </row>
    <row r="4149" spans="1:5" x14ac:dyDescent="0.2">
      <c r="A4149" s="28">
        <v>4148</v>
      </c>
      <c r="B4149" s="28" t="e">
        <f>interpola(#REF!,CURVA!$B$6:$B$20,CURVA!$G$6:$G$20)</f>
        <v>#VALUE!</v>
      </c>
      <c r="C4149" s="29" t="e">
        <f t="shared" si="64"/>
        <v>#VALUE!</v>
      </c>
      <c r="E4149" t="e">
        <f>cubic_spline(CURVA!$B$6:$B$20,CURVA!$G$6:$G$20,#REF!)</f>
        <v>#VALUE!</v>
      </c>
    </row>
    <row r="4150" spans="1:5" x14ac:dyDescent="0.2">
      <c r="A4150" s="28">
        <v>4149</v>
      </c>
      <c r="B4150" s="28" t="e">
        <f>interpola(#REF!,CURVA!$B$6:$B$20,CURVA!$G$6:$G$20)</f>
        <v>#VALUE!</v>
      </c>
      <c r="C4150" s="29" t="e">
        <f t="shared" si="64"/>
        <v>#VALUE!</v>
      </c>
      <c r="E4150" t="e">
        <f>cubic_spline(CURVA!$B$6:$B$20,CURVA!$G$6:$G$20,#REF!)</f>
        <v>#VALUE!</v>
      </c>
    </row>
    <row r="4151" spans="1:5" x14ac:dyDescent="0.2">
      <c r="A4151" s="28">
        <v>4150</v>
      </c>
      <c r="B4151" s="28" t="e">
        <f>interpola(#REF!,CURVA!$B$6:$B$20,CURVA!$G$6:$G$20)</f>
        <v>#VALUE!</v>
      </c>
      <c r="C4151" s="29" t="e">
        <f t="shared" si="64"/>
        <v>#VALUE!</v>
      </c>
      <c r="E4151" t="e">
        <f>cubic_spline(CURVA!$B$6:$B$20,CURVA!$G$6:$G$20,#REF!)</f>
        <v>#VALUE!</v>
      </c>
    </row>
    <row r="4152" spans="1:5" x14ac:dyDescent="0.2">
      <c r="A4152" s="28">
        <v>4151</v>
      </c>
      <c r="B4152" s="28" t="e">
        <f>interpola(#REF!,CURVA!$B$6:$B$20,CURVA!$G$6:$G$20)</f>
        <v>#VALUE!</v>
      </c>
      <c r="C4152" s="29" t="e">
        <f t="shared" si="64"/>
        <v>#VALUE!</v>
      </c>
      <c r="E4152" t="e">
        <f>cubic_spline(CURVA!$B$6:$B$20,CURVA!$G$6:$G$20,#REF!)</f>
        <v>#VALUE!</v>
      </c>
    </row>
    <row r="4153" spans="1:5" x14ac:dyDescent="0.2">
      <c r="A4153" s="28">
        <v>4152</v>
      </c>
      <c r="B4153" s="28" t="e">
        <f>interpola(#REF!,CURVA!$B$6:$B$20,CURVA!$G$6:$G$20)</f>
        <v>#VALUE!</v>
      </c>
      <c r="C4153" s="29" t="e">
        <f t="shared" si="64"/>
        <v>#VALUE!</v>
      </c>
      <c r="E4153" t="e">
        <f>cubic_spline(CURVA!$B$6:$B$20,CURVA!$G$6:$G$20,#REF!)</f>
        <v>#VALUE!</v>
      </c>
    </row>
    <row r="4154" spans="1:5" x14ac:dyDescent="0.2">
      <c r="A4154" s="28">
        <v>4153</v>
      </c>
      <c r="B4154" s="28" t="e">
        <f>interpola(#REF!,CURVA!$B$6:$B$20,CURVA!$G$6:$G$20)</f>
        <v>#VALUE!</v>
      </c>
      <c r="C4154" s="29" t="e">
        <f t="shared" si="64"/>
        <v>#VALUE!</v>
      </c>
      <c r="E4154" t="e">
        <f>cubic_spline(CURVA!$B$6:$B$20,CURVA!$G$6:$G$20,#REF!)</f>
        <v>#VALUE!</v>
      </c>
    </row>
    <row r="4155" spans="1:5" x14ac:dyDescent="0.2">
      <c r="A4155" s="28">
        <v>4154</v>
      </c>
      <c r="B4155" s="28" t="e">
        <f>interpola(#REF!,CURVA!$B$6:$B$20,CURVA!$G$6:$G$20)</f>
        <v>#VALUE!</v>
      </c>
      <c r="C4155" s="29" t="e">
        <f t="shared" si="64"/>
        <v>#VALUE!</v>
      </c>
      <c r="E4155" t="e">
        <f>cubic_spline(CURVA!$B$6:$B$20,CURVA!$G$6:$G$20,#REF!)</f>
        <v>#VALUE!</v>
      </c>
    </row>
    <row r="4156" spans="1:5" x14ac:dyDescent="0.2">
      <c r="A4156" s="28">
        <v>4155</v>
      </c>
      <c r="B4156" s="28" t="e">
        <f>interpola(#REF!,CURVA!$B$6:$B$20,CURVA!$G$6:$G$20)</f>
        <v>#VALUE!</v>
      </c>
      <c r="C4156" s="29" t="e">
        <f t="shared" si="64"/>
        <v>#VALUE!</v>
      </c>
      <c r="E4156" t="e">
        <f>cubic_spline(CURVA!$B$6:$B$20,CURVA!$G$6:$G$20,#REF!)</f>
        <v>#VALUE!</v>
      </c>
    </row>
    <row r="4157" spans="1:5" x14ac:dyDescent="0.2">
      <c r="A4157" s="28">
        <v>4156</v>
      </c>
      <c r="B4157" s="28" t="e">
        <f>interpola(#REF!,CURVA!$B$6:$B$20,CURVA!$G$6:$G$20)</f>
        <v>#VALUE!</v>
      </c>
      <c r="C4157" s="29" t="e">
        <f t="shared" si="64"/>
        <v>#VALUE!</v>
      </c>
      <c r="E4157" t="e">
        <f>cubic_spline(CURVA!$B$6:$B$20,CURVA!$G$6:$G$20,#REF!)</f>
        <v>#VALUE!</v>
      </c>
    </row>
    <row r="4158" spans="1:5" x14ac:dyDescent="0.2">
      <c r="A4158" s="28">
        <v>4157</v>
      </c>
      <c r="B4158" s="28" t="e">
        <f>interpola(#REF!,CURVA!$B$6:$B$20,CURVA!$G$6:$G$20)</f>
        <v>#VALUE!</v>
      </c>
      <c r="C4158" s="29" t="e">
        <f t="shared" si="64"/>
        <v>#VALUE!</v>
      </c>
      <c r="E4158" t="e">
        <f>cubic_spline(CURVA!$B$6:$B$20,CURVA!$G$6:$G$20,#REF!)</f>
        <v>#VALUE!</v>
      </c>
    </row>
    <row r="4159" spans="1:5" x14ac:dyDescent="0.2">
      <c r="A4159" s="28">
        <v>4158</v>
      </c>
      <c r="B4159" s="28" t="e">
        <f>interpola(#REF!,CURVA!$B$6:$B$20,CURVA!$G$6:$G$20)</f>
        <v>#VALUE!</v>
      </c>
      <c r="C4159" s="29" t="e">
        <f t="shared" si="64"/>
        <v>#VALUE!</v>
      </c>
      <c r="E4159" t="e">
        <f>cubic_spline(CURVA!$B$6:$B$20,CURVA!$G$6:$G$20,#REF!)</f>
        <v>#VALUE!</v>
      </c>
    </row>
    <row r="4160" spans="1:5" x14ac:dyDescent="0.2">
      <c r="A4160" s="28">
        <v>4159</v>
      </c>
      <c r="B4160" s="28" t="e">
        <f>interpola(#REF!,CURVA!$B$6:$B$20,CURVA!$G$6:$G$20)</f>
        <v>#VALUE!</v>
      </c>
      <c r="C4160" s="29" t="e">
        <f t="shared" si="64"/>
        <v>#VALUE!</v>
      </c>
      <c r="E4160" t="e">
        <f>cubic_spline(CURVA!$B$6:$B$20,CURVA!$G$6:$G$20,#REF!)</f>
        <v>#VALUE!</v>
      </c>
    </row>
    <row r="4161" spans="1:5" x14ac:dyDescent="0.2">
      <c r="A4161" s="28">
        <v>4160</v>
      </c>
      <c r="B4161" s="28" t="e">
        <f>interpola(#REF!,CURVA!$B$6:$B$20,CURVA!$G$6:$G$20)</f>
        <v>#VALUE!</v>
      </c>
      <c r="C4161" s="29" t="e">
        <f t="shared" si="64"/>
        <v>#VALUE!</v>
      </c>
      <c r="E4161" t="e">
        <f>cubic_spline(CURVA!$B$6:$B$20,CURVA!$G$6:$G$20,#REF!)</f>
        <v>#VALUE!</v>
      </c>
    </row>
    <row r="4162" spans="1:5" x14ac:dyDescent="0.2">
      <c r="A4162" s="28">
        <v>4161</v>
      </c>
      <c r="B4162" s="28" t="e">
        <f>interpola(#REF!,CURVA!$B$6:$B$20,CURVA!$G$6:$G$20)</f>
        <v>#VALUE!</v>
      </c>
      <c r="C4162" s="29" t="e">
        <f t="shared" ref="C4162:C4225" si="65">(EXP(B4162*A4162/360)-1)*360/A4162</f>
        <v>#VALUE!</v>
      </c>
      <c r="E4162" t="e">
        <f>cubic_spline(CURVA!$B$6:$B$20,CURVA!$G$6:$G$20,#REF!)</f>
        <v>#VALUE!</v>
      </c>
    </row>
    <row r="4163" spans="1:5" x14ac:dyDescent="0.2">
      <c r="A4163" s="28">
        <v>4162</v>
      </c>
      <c r="B4163" s="28" t="e">
        <f>interpola(#REF!,CURVA!$B$6:$B$20,CURVA!$G$6:$G$20)</f>
        <v>#VALUE!</v>
      </c>
      <c r="C4163" s="29" t="e">
        <f t="shared" si="65"/>
        <v>#VALUE!</v>
      </c>
      <c r="E4163" t="e">
        <f>cubic_spline(CURVA!$B$6:$B$20,CURVA!$G$6:$G$20,#REF!)</f>
        <v>#VALUE!</v>
      </c>
    </row>
    <row r="4164" spans="1:5" x14ac:dyDescent="0.2">
      <c r="A4164" s="28">
        <v>4163</v>
      </c>
      <c r="B4164" s="28" t="e">
        <f>interpola(#REF!,CURVA!$B$6:$B$20,CURVA!$G$6:$G$20)</f>
        <v>#VALUE!</v>
      </c>
      <c r="C4164" s="29" t="e">
        <f t="shared" si="65"/>
        <v>#VALUE!</v>
      </c>
      <c r="E4164" t="e">
        <f>cubic_spline(CURVA!$B$6:$B$20,CURVA!$G$6:$G$20,#REF!)</f>
        <v>#VALUE!</v>
      </c>
    </row>
    <row r="4165" spans="1:5" x14ac:dyDescent="0.2">
      <c r="A4165" s="28">
        <v>4164</v>
      </c>
      <c r="B4165" s="28" t="e">
        <f>interpola(#REF!,CURVA!$B$6:$B$20,CURVA!$G$6:$G$20)</f>
        <v>#VALUE!</v>
      </c>
      <c r="C4165" s="29" t="e">
        <f t="shared" si="65"/>
        <v>#VALUE!</v>
      </c>
      <c r="E4165" t="e">
        <f>cubic_spline(CURVA!$B$6:$B$20,CURVA!$G$6:$G$20,#REF!)</f>
        <v>#VALUE!</v>
      </c>
    </row>
    <row r="4166" spans="1:5" x14ac:dyDescent="0.2">
      <c r="A4166" s="28">
        <v>4165</v>
      </c>
      <c r="B4166" s="28" t="e">
        <f>interpola(#REF!,CURVA!$B$6:$B$20,CURVA!$G$6:$G$20)</f>
        <v>#VALUE!</v>
      </c>
      <c r="C4166" s="29" t="e">
        <f t="shared" si="65"/>
        <v>#VALUE!</v>
      </c>
      <c r="E4166" t="e">
        <f>cubic_spline(CURVA!$B$6:$B$20,CURVA!$G$6:$G$20,#REF!)</f>
        <v>#VALUE!</v>
      </c>
    </row>
    <row r="4167" spans="1:5" x14ac:dyDescent="0.2">
      <c r="A4167" s="28">
        <v>4166</v>
      </c>
      <c r="B4167" s="28" t="e">
        <f>interpola(#REF!,CURVA!$B$6:$B$20,CURVA!$G$6:$G$20)</f>
        <v>#VALUE!</v>
      </c>
      <c r="C4167" s="29" t="e">
        <f t="shared" si="65"/>
        <v>#VALUE!</v>
      </c>
      <c r="E4167" t="e">
        <f>cubic_spline(CURVA!$B$6:$B$20,CURVA!$G$6:$G$20,#REF!)</f>
        <v>#VALUE!</v>
      </c>
    </row>
    <row r="4168" spans="1:5" x14ac:dyDescent="0.2">
      <c r="A4168" s="28">
        <v>4167</v>
      </c>
      <c r="B4168" s="28" t="e">
        <f>interpola(#REF!,CURVA!$B$6:$B$20,CURVA!$G$6:$G$20)</f>
        <v>#VALUE!</v>
      </c>
      <c r="C4168" s="29" t="e">
        <f t="shared" si="65"/>
        <v>#VALUE!</v>
      </c>
      <c r="E4168" t="e">
        <f>cubic_spline(CURVA!$B$6:$B$20,CURVA!$G$6:$G$20,#REF!)</f>
        <v>#VALUE!</v>
      </c>
    </row>
    <row r="4169" spans="1:5" x14ac:dyDescent="0.2">
      <c r="A4169" s="28">
        <v>4168</v>
      </c>
      <c r="B4169" s="28" t="e">
        <f>interpola(#REF!,CURVA!$B$6:$B$20,CURVA!$G$6:$G$20)</f>
        <v>#VALUE!</v>
      </c>
      <c r="C4169" s="29" t="e">
        <f t="shared" si="65"/>
        <v>#VALUE!</v>
      </c>
      <c r="E4169" t="e">
        <f>cubic_spline(CURVA!$B$6:$B$20,CURVA!$G$6:$G$20,#REF!)</f>
        <v>#VALUE!</v>
      </c>
    </row>
    <row r="4170" spans="1:5" x14ac:dyDescent="0.2">
      <c r="A4170" s="28">
        <v>4169</v>
      </c>
      <c r="B4170" s="28" t="e">
        <f>interpola(#REF!,CURVA!$B$6:$B$20,CURVA!$G$6:$G$20)</f>
        <v>#VALUE!</v>
      </c>
      <c r="C4170" s="29" t="e">
        <f t="shared" si="65"/>
        <v>#VALUE!</v>
      </c>
      <c r="E4170" t="e">
        <f>cubic_spline(CURVA!$B$6:$B$20,CURVA!$G$6:$G$20,#REF!)</f>
        <v>#VALUE!</v>
      </c>
    </row>
    <row r="4171" spans="1:5" x14ac:dyDescent="0.2">
      <c r="A4171" s="28">
        <v>4170</v>
      </c>
      <c r="B4171" s="28" t="e">
        <f>interpola(#REF!,CURVA!$B$6:$B$20,CURVA!$G$6:$G$20)</f>
        <v>#VALUE!</v>
      </c>
      <c r="C4171" s="29" t="e">
        <f t="shared" si="65"/>
        <v>#VALUE!</v>
      </c>
      <c r="E4171" t="e">
        <f>cubic_spline(CURVA!$B$6:$B$20,CURVA!$G$6:$G$20,#REF!)</f>
        <v>#VALUE!</v>
      </c>
    </row>
    <row r="4172" spans="1:5" x14ac:dyDescent="0.2">
      <c r="A4172" s="28">
        <v>4171</v>
      </c>
      <c r="B4172" s="28" t="e">
        <f>interpola(#REF!,CURVA!$B$6:$B$20,CURVA!$G$6:$G$20)</f>
        <v>#VALUE!</v>
      </c>
      <c r="C4172" s="29" t="e">
        <f t="shared" si="65"/>
        <v>#VALUE!</v>
      </c>
      <c r="E4172" t="e">
        <f>cubic_spline(CURVA!$B$6:$B$20,CURVA!$G$6:$G$20,#REF!)</f>
        <v>#VALUE!</v>
      </c>
    </row>
    <row r="4173" spans="1:5" x14ac:dyDescent="0.2">
      <c r="A4173" s="28">
        <v>4172</v>
      </c>
      <c r="B4173" s="28" t="e">
        <f>interpola(#REF!,CURVA!$B$6:$B$20,CURVA!$G$6:$G$20)</f>
        <v>#VALUE!</v>
      </c>
      <c r="C4173" s="29" t="e">
        <f t="shared" si="65"/>
        <v>#VALUE!</v>
      </c>
      <c r="E4173" t="e">
        <f>cubic_spline(CURVA!$B$6:$B$20,CURVA!$G$6:$G$20,#REF!)</f>
        <v>#VALUE!</v>
      </c>
    </row>
    <row r="4174" spans="1:5" x14ac:dyDescent="0.2">
      <c r="A4174" s="28">
        <v>4173</v>
      </c>
      <c r="B4174" s="28" t="e">
        <f>interpola(#REF!,CURVA!$B$6:$B$20,CURVA!$G$6:$G$20)</f>
        <v>#VALUE!</v>
      </c>
      <c r="C4174" s="29" t="e">
        <f t="shared" si="65"/>
        <v>#VALUE!</v>
      </c>
      <c r="E4174" t="e">
        <f>cubic_spline(CURVA!$B$6:$B$20,CURVA!$G$6:$G$20,#REF!)</f>
        <v>#VALUE!</v>
      </c>
    </row>
    <row r="4175" spans="1:5" x14ac:dyDescent="0.2">
      <c r="A4175" s="28">
        <v>4174</v>
      </c>
      <c r="B4175" s="28" t="e">
        <f>interpola(#REF!,CURVA!$B$6:$B$20,CURVA!$G$6:$G$20)</f>
        <v>#VALUE!</v>
      </c>
      <c r="C4175" s="29" t="e">
        <f t="shared" si="65"/>
        <v>#VALUE!</v>
      </c>
      <c r="E4175" t="e">
        <f>cubic_spline(CURVA!$B$6:$B$20,CURVA!$G$6:$G$20,#REF!)</f>
        <v>#VALUE!</v>
      </c>
    </row>
    <row r="4176" spans="1:5" x14ac:dyDescent="0.2">
      <c r="A4176" s="28">
        <v>4175</v>
      </c>
      <c r="B4176" s="28" t="e">
        <f>interpola(#REF!,CURVA!$B$6:$B$20,CURVA!$G$6:$G$20)</f>
        <v>#VALUE!</v>
      </c>
      <c r="C4176" s="29" t="e">
        <f t="shared" si="65"/>
        <v>#VALUE!</v>
      </c>
      <c r="E4176" t="e">
        <f>cubic_spline(CURVA!$B$6:$B$20,CURVA!$G$6:$G$20,#REF!)</f>
        <v>#VALUE!</v>
      </c>
    </row>
    <row r="4177" spans="1:5" x14ac:dyDescent="0.2">
      <c r="A4177" s="28">
        <v>4176</v>
      </c>
      <c r="B4177" s="28" t="e">
        <f>interpola(#REF!,CURVA!$B$6:$B$20,CURVA!$G$6:$G$20)</f>
        <v>#VALUE!</v>
      </c>
      <c r="C4177" s="29" t="e">
        <f t="shared" si="65"/>
        <v>#VALUE!</v>
      </c>
      <c r="E4177" t="e">
        <f>cubic_spline(CURVA!$B$6:$B$20,CURVA!$G$6:$G$20,#REF!)</f>
        <v>#VALUE!</v>
      </c>
    </row>
    <row r="4178" spans="1:5" x14ac:dyDescent="0.2">
      <c r="A4178" s="28">
        <v>4177</v>
      </c>
      <c r="B4178" s="28" t="e">
        <f>interpola(#REF!,CURVA!$B$6:$B$20,CURVA!$G$6:$G$20)</f>
        <v>#VALUE!</v>
      </c>
      <c r="C4178" s="29" t="e">
        <f t="shared" si="65"/>
        <v>#VALUE!</v>
      </c>
      <c r="E4178" t="e">
        <f>cubic_spline(CURVA!$B$6:$B$20,CURVA!$G$6:$G$20,#REF!)</f>
        <v>#VALUE!</v>
      </c>
    </row>
    <row r="4179" spans="1:5" x14ac:dyDescent="0.2">
      <c r="A4179" s="28">
        <v>4178</v>
      </c>
      <c r="B4179" s="28" t="e">
        <f>interpola(#REF!,CURVA!$B$6:$B$20,CURVA!$G$6:$G$20)</f>
        <v>#VALUE!</v>
      </c>
      <c r="C4179" s="29" t="e">
        <f t="shared" si="65"/>
        <v>#VALUE!</v>
      </c>
      <c r="E4179" t="e">
        <f>cubic_spline(CURVA!$B$6:$B$20,CURVA!$G$6:$G$20,#REF!)</f>
        <v>#VALUE!</v>
      </c>
    </row>
    <row r="4180" spans="1:5" x14ac:dyDescent="0.2">
      <c r="A4180" s="28">
        <v>4179</v>
      </c>
      <c r="B4180" s="28" t="e">
        <f>interpola(#REF!,CURVA!$B$6:$B$20,CURVA!$G$6:$G$20)</f>
        <v>#VALUE!</v>
      </c>
      <c r="C4180" s="29" t="e">
        <f t="shared" si="65"/>
        <v>#VALUE!</v>
      </c>
      <c r="E4180" t="e">
        <f>cubic_spline(CURVA!$B$6:$B$20,CURVA!$G$6:$G$20,#REF!)</f>
        <v>#VALUE!</v>
      </c>
    </row>
    <row r="4181" spans="1:5" x14ac:dyDescent="0.2">
      <c r="A4181" s="28">
        <v>4180</v>
      </c>
      <c r="B4181" s="28" t="e">
        <f>interpola(#REF!,CURVA!$B$6:$B$20,CURVA!$G$6:$G$20)</f>
        <v>#VALUE!</v>
      </c>
      <c r="C4181" s="29" t="e">
        <f t="shared" si="65"/>
        <v>#VALUE!</v>
      </c>
      <c r="E4181" t="e">
        <f>cubic_spline(CURVA!$B$6:$B$20,CURVA!$G$6:$G$20,#REF!)</f>
        <v>#VALUE!</v>
      </c>
    </row>
    <row r="4182" spans="1:5" x14ac:dyDescent="0.2">
      <c r="A4182" s="28">
        <v>4181</v>
      </c>
      <c r="B4182" s="28" t="e">
        <f>interpola(#REF!,CURVA!$B$6:$B$20,CURVA!$G$6:$G$20)</f>
        <v>#VALUE!</v>
      </c>
      <c r="C4182" s="29" t="e">
        <f t="shared" si="65"/>
        <v>#VALUE!</v>
      </c>
      <c r="E4182" t="e">
        <f>cubic_spline(CURVA!$B$6:$B$20,CURVA!$G$6:$G$20,#REF!)</f>
        <v>#VALUE!</v>
      </c>
    </row>
    <row r="4183" spans="1:5" x14ac:dyDescent="0.2">
      <c r="A4183" s="28">
        <v>4182</v>
      </c>
      <c r="B4183" s="28" t="e">
        <f>interpola(#REF!,CURVA!$B$6:$B$20,CURVA!$G$6:$G$20)</f>
        <v>#VALUE!</v>
      </c>
      <c r="C4183" s="29" t="e">
        <f t="shared" si="65"/>
        <v>#VALUE!</v>
      </c>
      <c r="E4183" t="e">
        <f>cubic_spline(CURVA!$B$6:$B$20,CURVA!$G$6:$G$20,#REF!)</f>
        <v>#VALUE!</v>
      </c>
    </row>
    <row r="4184" spans="1:5" x14ac:dyDescent="0.2">
      <c r="A4184" s="28">
        <v>4183</v>
      </c>
      <c r="B4184" s="28" t="e">
        <f>interpola(#REF!,CURVA!$B$6:$B$20,CURVA!$G$6:$G$20)</f>
        <v>#VALUE!</v>
      </c>
      <c r="C4184" s="29" t="e">
        <f t="shared" si="65"/>
        <v>#VALUE!</v>
      </c>
      <c r="E4184" t="e">
        <f>cubic_spline(CURVA!$B$6:$B$20,CURVA!$G$6:$G$20,#REF!)</f>
        <v>#VALUE!</v>
      </c>
    </row>
    <row r="4185" spans="1:5" x14ac:dyDescent="0.2">
      <c r="A4185" s="28">
        <v>4184</v>
      </c>
      <c r="B4185" s="28" t="e">
        <f>interpola(#REF!,CURVA!$B$6:$B$20,CURVA!$G$6:$G$20)</f>
        <v>#VALUE!</v>
      </c>
      <c r="C4185" s="29" t="e">
        <f t="shared" si="65"/>
        <v>#VALUE!</v>
      </c>
      <c r="E4185" t="e">
        <f>cubic_spline(CURVA!$B$6:$B$20,CURVA!$G$6:$G$20,#REF!)</f>
        <v>#VALUE!</v>
      </c>
    </row>
    <row r="4186" spans="1:5" x14ac:dyDescent="0.2">
      <c r="A4186" s="28">
        <v>4185</v>
      </c>
      <c r="B4186" s="28" t="e">
        <f>interpola(#REF!,CURVA!$B$6:$B$20,CURVA!$G$6:$G$20)</f>
        <v>#VALUE!</v>
      </c>
      <c r="C4186" s="29" t="e">
        <f t="shared" si="65"/>
        <v>#VALUE!</v>
      </c>
      <c r="E4186" t="e">
        <f>cubic_spline(CURVA!$B$6:$B$20,CURVA!$G$6:$G$20,#REF!)</f>
        <v>#VALUE!</v>
      </c>
    </row>
    <row r="4187" spans="1:5" x14ac:dyDescent="0.2">
      <c r="A4187" s="28">
        <v>4186</v>
      </c>
      <c r="B4187" s="28" t="e">
        <f>interpola(#REF!,CURVA!$B$6:$B$20,CURVA!$G$6:$G$20)</f>
        <v>#VALUE!</v>
      </c>
      <c r="C4187" s="29" t="e">
        <f t="shared" si="65"/>
        <v>#VALUE!</v>
      </c>
      <c r="E4187" t="e">
        <f>cubic_spline(CURVA!$B$6:$B$20,CURVA!$G$6:$G$20,#REF!)</f>
        <v>#VALUE!</v>
      </c>
    </row>
    <row r="4188" spans="1:5" x14ac:dyDescent="0.2">
      <c r="A4188" s="28">
        <v>4187</v>
      </c>
      <c r="B4188" s="28" t="e">
        <f>interpola(#REF!,CURVA!$B$6:$B$20,CURVA!$G$6:$G$20)</f>
        <v>#VALUE!</v>
      </c>
      <c r="C4188" s="29" t="e">
        <f t="shared" si="65"/>
        <v>#VALUE!</v>
      </c>
      <c r="E4188" t="e">
        <f>cubic_spline(CURVA!$B$6:$B$20,CURVA!$G$6:$G$20,#REF!)</f>
        <v>#VALUE!</v>
      </c>
    </row>
    <row r="4189" spans="1:5" x14ac:dyDescent="0.2">
      <c r="A4189" s="28">
        <v>4188</v>
      </c>
      <c r="B4189" s="28" t="e">
        <f>interpola(#REF!,CURVA!$B$6:$B$20,CURVA!$G$6:$G$20)</f>
        <v>#VALUE!</v>
      </c>
      <c r="C4189" s="29" t="e">
        <f t="shared" si="65"/>
        <v>#VALUE!</v>
      </c>
      <c r="E4189" t="e">
        <f>cubic_spline(CURVA!$B$6:$B$20,CURVA!$G$6:$G$20,#REF!)</f>
        <v>#VALUE!</v>
      </c>
    </row>
    <row r="4190" spans="1:5" x14ac:dyDescent="0.2">
      <c r="A4190" s="28">
        <v>4189</v>
      </c>
      <c r="B4190" s="28" t="e">
        <f>interpola(#REF!,CURVA!$B$6:$B$20,CURVA!$G$6:$G$20)</f>
        <v>#VALUE!</v>
      </c>
      <c r="C4190" s="29" t="e">
        <f t="shared" si="65"/>
        <v>#VALUE!</v>
      </c>
      <c r="E4190" t="e">
        <f>cubic_spline(CURVA!$B$6:$B$20,CURVA!$G$6:$G$20,#REF!)</f>
        <v>#VALUE!</v>
      </c>
    </row>
    <row r="4191" spans="1:5" x14ac:dyDescent="0.2">
      <c r="A4191" s="28">
        <v>4190</v>
      </c>
      <c r="B4191" s="28" t="e">
        <f>interpola(#REF!,CURVA!$B$6:$B$20,CURVA!$G$6:$G$20)</f>
        <v>#VALUE!</v>
      </c>
      <c r="C4191" s="29" t="e">
        <f t="shared" si="65"/>
        <v>#VALUE!</v>
      </c>
      <c r="E4191" t="e">
        <f>cubic_spline(CURVA!$B$6:$B$20,CURVA!$G$6:$G$20,#REF!)</f>
        <v>#VALUE!</v>
      </c>
    </row>
    <row r="4192" spans="1:5" x14ac:dyDescent="0.2">
      <c r="A4192" s="28">
        <v>4191</v>
      </c>
      <c r="B4192" s="28" t="e">
        <f>interpola(#REF!,CURVA!$B$6:$B$20,CURVA!$G$6:$G$20)</f>
        <v>#VALUE!</v>
      </c>
      <c r="C4192" s="29" t="e">
        <f t="shared" si="65"/>
        <v>#VALUE!</v>
      </c>
      <c r="E4192" t="e">
        <f>cubic_spline(CURVA!$B$6:$B$20,CURVA!$G$6:$G$20,#REF!)</f>
        <v>#VALUE!</v>
      </c>
    </row>
    <row r="4193" spans="1:5" x14ac:dyDescent="0.2">
      <c r="A4193" s="28">
        <v>4192</v>
      </c>
      <c r="B4193" s="28" t="e">
        <f>interpola(#REF!,CURVA!$B$6:$B$20,CURVA!$G$6:$G$20)</f>
        <v>#VALUE!</v>
      </c>
      <c r="C4193" s="29" t="e">
        <f t="shared" si="65"/>
        <v>#VALUE!</v>
      </c>
      <c r="E4193" t="e">
        <f>cubic_spline(CURVA!$B$6:$B$20,CURVA!$G$6:$G$20,#REF!)</f>
        <v>#VALUE!</v>
      </c>
    </row>
    <row r="4194" spans="1:5" x14ac:dyDescent="0.2">
      <c r="A4194" s="28">
        <v>4193</v>
      </c>
      <c r="B4194" s="28" t="e">
        <f>interpola(#REF!,CURVA!$B$6:$B$20,CURVA!$G$6:$G$20)</f>
        <v>#VALUE!</v>
      </c>
      <c r="C4194" s="29" t="e">
        <f t="shared" si="65"/>
        <v>#VALUE!</v>
      </c>
      <c r="E4194" t="e">
        <f>cubic_spline(CURVA!$B$6:$B$20,CURVA!$G$6:$G$20,#REF!)</f>
        <v>#VALUE!</v>
      </c>
    </row>
    <row r="4195" spans="1:5" x14ac:dyDescent="0.2">
      <c r="A4195" s="28">
        <v>4194</v>
      </c>
      <c r="B4195" s="28" t="e">
        <f>interpola(#REF!,CURVA!$B$6:$B$20,CURVA!$G$6:$G$20)</f>
        <v>#VALUE!</v>
      </c>
      <c r="C4195" s="29" t="e">
        <f t="shared" si="65"/>
        <v>#VALUE!</v>
      </c>
      <c r="E4195" t="e">
        <f>cubic_spline(CURVA!$B$6:$B$20,CURVA!$G$6:$G$20,#REF!)</f>
        <v>#VALUE!</v>
      </c>
    </row>
    <row r="4196" spans="1:5" x14ac:dyDescent="0.2">
      <c r="A4196" s="28">
        <v>4195</v>
      </c>
      <c r="B4196" s="28" t="e">
        <f>interpola(#REF!,CURVA!$B$6:$B$20,CURVA!$G$6:$G$20)</f>
        <v>#VALUE!</v>
      </c>
      <c r="C4196" s="29" t="e">
        <f t="shared" si="65"/>
        <v>#VALUE!</v>
      </c>
      <c r="E4196" t="e">
        <f>cubic_spline(CURVA!$B$6:$B$20,CURVA!$G$6:$G$20,#REF!)</f>
        <v>#VALUE!</v>
      </c>
    </row>
    <row r="4197" spans="1:5" x14ac:dyDescent="0.2">
      <c r="A4197" s="28">
        <v>4196</v>
      </c>
      <c r="B4197" s="28" t="e">
        <f>interpola(#REF!,CURVA!$B$6:$B$20,CURVA!$G$6:$G$20)</f>
        <v>#VALUE!</v>
      </c>
      <c r="C4197" s="29" t="e">
        <f t="shared" si="65"/>
        <v>#VALUE!</v>
      </c>
      <c r="E4197" t="e">
        <f>cubic_spline(CURVA!$B$6:$B$20,CURVA!$G$6:$G$20,#REF!)</f>
        <v>#VALUE!</v>
      </c>
    </row>
    <row r="4198" spans="1:5" x14ac:dyDescent="0.2">
      <c r="A4198" s="28">
        <v>4197</v>
      </c>
      <c r="B4198" s="28" t="e">
        <f>interpola(#REF!,CURVA!$B$6:$B$20,CURVA!$G$6:$G$20)</f>
        <v>#VALUE!</v>
      </c>
      <c r="C4198" s="29" t="e">
        <f t="shared" si="65"/>
        <v>#VALUE!</v>
      </c>
      <c r="E4198" t="e">
        <f>cubic_spline(CURVA!$B$6:$B$20,CURVA!$G$6:$G$20,#REF!)</f>
        <v>#VALUE!</v>
      </c>
    </row>
    <row r="4199" spans="1:5" x14ac:dyDescent="0.2">
      <c r="A4199" s="28">
        <v>4198</v>
      </c>
      <c r="B4199" s="28" t="e">
        <f>interpola(#REF!,CURVA!$B$6:$B$20,CURVA!$G$6:$G$20)</f>
        <v>#VALUE!</v>
      </c>
      <c r="C4199" s="29" t="e">
        <f t="shared" si="65"/>
        <v>#VALUE!</v>
      </c>
      <c r="E4199" t="e">
        <f>cubic_spline(CURVA!$B$6:$B$20,CURVA!$G$6:$G$20,#REF!)</f>
        <v>#VALUE!</v>
      </c>
    </row>
    <row r="4200" spans="1:5" x14ac:dyDescent="0.2">
      <c r="A4200" s="28">
        <v>4199</v>
      </c>
      <c r="B4200" s="28" t="e">
        <f>interpola(#REF!,CURVA!$B$6:$B$20,CURVA!$G$6:$G$20)</f>
        <v>#VALUE!</v>
      </c>
      <c r="C4200" s="29" t="e">
        <f t="shared" si="65"/>
        <v>#VALUE!</v>
      </c>
      <c r="E4200" t="e">
        <f>cubic_spline(CURVA!$B$6:$B$20,CURVA!$G$6:$G$20,#REF!)</f>
        <v>#VALUE!</v>
      </c>
    </row>
    <row r="4201" spans="1:5" x14ac:dyDescent="0.2">
      <c r="A4201" s="28">
        <v>4200</v>
      </c>
      <c r="B4201" s="28" t="e">
        <f>interpola(#REF!,CURVA!$B$6:$B$20,CURVA!$G$6:$G$20)</f>
        <v>#VALUE!</v>
      </c>
      <c r="C4201" s="29" t="e">
        <f t="shared" si="65"/>
        <v>#VALUE!</v>
      </c>
      <c r="E4201" t="e">
        <f>cubic_spline(CURVA!$B$6:$B$20,CURVA!$G$6:$G$20,#REF!)</f>
        <v>#VALUE!</v>
      </c>
    </row>
    <row r="4202" spans="1:5" x14ac:dyDescent="0.2">
      <c r="A4202" s="28">
        <v>4201</v>
      </c>
      <c r="B4202" s="28" t="e">
        <f>interpola(#REF!,CURVA!$B$6:$B$20,CURVA!$G$6:$G$20)</f>
        <v>#VALUE!</v>
      </c>
      <c r="C4202" s="29" t="e">
        <f t="shared" si="65"/>
        <v>#VALUE!</v>
      </c>
      <c r="E4202" t="e">
        <f>cubic_spline(CURVA!$B$6:$B$20,CURVA!$G$6:$G$20,#REF!)</f>
        <v>#VALUE!</v>
      </c>
    </row>
    <row r="4203" spans="1:5" x14ac:dyDescent="0.2">
      <c r="A4203" s="28">
        <v>4202</v>
      </c>
      <c r="B4203" s="28" t="e">
        <f>interpola(#REF!,CURVA!$B$6:$B$20,CURVA!$G$6:$G$20)</f>
        <v>#VALUE!</v>
      </c>
      <c r="C4203" s="29" t="e">
        <f t="shared" si="65"/>
        <v>#VALUE!</v>
      </c>
      <c r="E4203" t="e">
        <f>cubic_spline(CURVA!$B$6:$B$20,CURVA!$G$6:$G$20,#REF!)</f>
        <v>#VALUE!</v>
      </c>
    </row>
    <row r="4204" spans="1:5" x14ac:dyDescent="0.2">
      <c r="A4204" s="28">
        <v>4203</v>
      </c>
      <c r="B4204" s="28" t="e">
        <f>interpola(#REF!,CURVA!$B$6:$B$20,CURVA!$G$6:$G$20)</f>
        <v>#VALUE!</v>
      </c>
      <c r="C4204" s="29" t="e">
        <f t="shared" si="65"/>
        <v>#VALUE!</v>
      </c>
      <c r="E4204" t="e">
        <f>cubic_spline(CURVA!$B$6:$B$20,CURVA!$G$6:$G$20,#REF!)</f>
        <v>#VALUE!</v>
      </c>
    </row>
    <row r="4205" spans="1:5" x14ac:dyDescent="0.2">
      <c r="A4205" s="28">
        <v>4204</v>
      </c>
      <c r="B4205" s="28" t="e">
        <f>interpola(#REF!,CURVA!$B$6:$B$20,CURVA!$G$6:$G$20)</f>
        <v>#VALUE!</v>
      </c>
      <c r="C4205" s="29" t="e">
        <f t="shared" si="65"/>
        <v>#VALUE!</v>
      </c>
      <c r="E4205" t="e">
        <f>cubic_spline(CURVA!$B$6:$B$20,CURVA!$G$6:$G$20,#REF!)</f>
        <v>#VALUE!</v>
      </c>
    </row>
    <row r="4206" spans="1:5" x14ac:dyDescent="0.2">
      <c r="A4206" s="28">
        <v>4205</v>
      </c>
      <c r="B4206" s="28" t="e">
        <f>interpola(#REF!,CURVA!$B$6:$B$20,CURVA!$G$6:$G$20)</f>
        <v>#VALUE!</v>
      </c>
      <c r="C4206" s="29" t="e">
        <f t="shared" si="65"/>
        <v>#VALUE!</v>
      </c>
      <c r="E4206" t="e">
        <f>cubic_spline(CURVA!$B$6:$B$20,CURVA!$G$6:$G$20,#REF!)</f>
        <v>#VALUE!</v>
      </c>
    </row>
    <row r="4207" spans="1:5" x14ac:dyDescent="0.2">
      <c r="A4207" s="28">
        <v>4206</v>
      </c>
      <c r="B4207" s="28" t="e">
        <f>interpola(#REF!,CURVA!$B$6:$B$20,CURVA!$G$6:$G$20)</f>
        <v>#VALUE!</v>
      </c>
      <c r="C4207" s="29" t="e">
        <f t="shared" si="65"/>
        <v>#VALUE!</v>
      </c>
      <c r="E4207" t="e">
        <f>cubic_spline(CURVA!$B$6:$B$20,CURVA!$G$6:$G$20,#REF!)</f>
        <v>#VALUE!</v>
      </c>
    </row>
    <row r="4208" spans="1:5" x14ac:dyDescent="0.2">
      <c r="A4208" s="28">
        <v>4207</v>
      </c>
      <c r="B4208" s="28" t="e">
        <f>interpola(#REF!,CURVA!$B$6:$B$20,CURVA!$G$6:$G$20)</f>
        <v>#VALUE!</v>
      </c>
      <c r="C4208" s="29" t="e">
        <f t="shared" si="65"/>
        <v>#VALUE!</v>
      </c>
      <c r="E4208" t="e">
        <f>cubic_spline(CURVA!$B$6:$B$20,CURVA!$G$6:$G$20,#REF!)</f>
        <v>#VALUE!</v>
      </c>
    </row>
    <row r="4209" spans="1:5" x14ac:dyDescent="0.2">
      <c r="A4209" s="28">
        <v>4208</v>
      </c>
      <c r="B4209" s="28" t="e">
        <f>interpola(#REF!,CURVA!$B$6:$B$20,CURVA!$G$6:$G$20)</f>
        <v>#VALUE!</v>
      </c>
      <c r="C4209" s="29" t="e">
        <f t="shared" si="65"/>
        <v>#VALUE!</v>
      </c>
      <c r="E4209" t="e">
        <f>cubic_spline(CURVA!$B$6:$B$20,CURVA!$G$6:$G$20,#REF!)</f>
        <v>#VALUE!</v>
      </c>
    </row>
    <row r="4210" spans="1:5" x14ac:dyDescent="0.2">
      <c r="A4210" s="28">
        <v>4209</v>
      </c>
      <c r="B4210" s="28" t="e">
        <f>interpola(#REF!,CURVA!$B$6:$B$20,CURVA!$G$6:$G$20)</f>
        <v>#VALUE!</v>
      </c>
      <c r="C4210" s="29" t="e">
        <f t="shared" si="65"/>
        <v>#VALUE!</v>
      </c>
      <c r="E4210" t="e">
        <f>cubic_spline(CURVA!$B$6:$B$20,CURVA!$G$6:$G$20,#REF!)</f>
        <v>#VALUE!</v>
      </c>
    </row>
    <row r="4211" spans="1:5" x14ac:dyDescent="0.2">
      <c r="A4211" s="28">
        <v>4210</v>
      </c>
      <c r="B4211" s="28" t="e">
        <f>interpola(#REF!,CURVA!$B$6:$B$20,CURVA!$G$6:$G$20)</f>
        <v>#VALUE!</v>
      </c>
      <c r="C4211" s="29" t="e">
        <f t="shared" si="65"/>
        <v>#VALUE!</v>
      </c>
      <c r="E4211" t="e">
        <f>cubic_spline(CURVA!$B$6:$B$20,CURVA!$G$6:$G$20,#REF!)</f>
        <v>#VALUE!</v>
      </c>
    </row>
    <row r="4212" spans="1:5" x14ac:dyDescent="0.2">
      <c r="A4212" s="28">
        <v>4211</v>
      </c>
      <c r="B4212" s="28" t="e">
        <f>interpola(#REF!,CURVA!$B$6:$B$20,CURVA!$G$6:$G$20)</f>
        <v>#VALUE!</v>
      </c>
      <c r="C4212" s="29" t="e">
        <f t="shared" si="65"/>
        <v>#VALUE!</v>
      </c>
      <c r="E4212" t="e">
        <f>cubic_spline(CURVA!$B$6:$B$20,CURVA!$G$6:$G$20,#REF!)</f>
        <v>#VALUE!</v>
      </c>
    </row>
    <row r="4213" spans="1:5" x14ac:dyDescent="0.2">
      <c r="A4213" s="28">
        <v>4212</v>
      </c>
      <c r="B4213" s="28" t="e">
        <f>interpola(#REF!,CURVA!$B$6:$B$20,CURVA!$G$6:$G$20)</f>
        <v>#VALUE!</v>
      </c>
      <c r="C4213" s="29" t="e">
        <f t="shared" si="65"/>
        <v>#VALUE!</v>
      </c>
      <c r="E4213" t="e">
        <f>cubic_spline(CURVA!$B$6:$B$20,CURVA!$G$6:$G$20,#REF!)</f>
        <v>#VALUE!</v>
      </c>
    </row>
    <row r="4214" spans="1:5" x14ac:dyDescent="0.2">
      <c r="A4214" s="28">
        <v>4213</v>
      </c>
      <c r="B4214" s="28" t="e">
        <f>interpola(#REF!,CURVA!$B$6:$B$20,CURVA!$G$6:$G$20)</f>
        <v>#VALUE!</v>
      </c>
      <c r="C4214" s="29" t="e">
        <f t="shared" si="65"/>
        <v>#VALUE!</v>
      </c>
      <c r="E4214" t="e">
        <f>cubic_spline(CURVA!$B$6:$B$20,CURVA!$G$6:$G$20,#REF!)</f>
        <v>#VALUE!</v>
      </c>
    </row>
    <row r="4215" spans="1:5" x14ac:dyDescent="0.2">
      <c r="A4215" s="28">
        <v>4214</v>
      </c>
      <c r="B4215" s="28" t="e">
        <f>interpola(#REF!,CURVA!$B$6:$B$20,CURVA!$G$6:$G$20)</f>
        <v>#VALUE!</v>
      </c>
      <c r="C4215" s="29" t="e">
        <f t="shared" si="65"/>
        <v>#VALUE!</v>
      </c>
      <c r="E4215" t="e">
        <f>cubic_spline(CURVA!$B$6:$B$20,CURVA!$G$6:$G$20,#REF!)</f>
        <v>#VALUE!</v>
      </c>
    </row>
    <row r="4216" spans="1:5" x14ac:dyDescent="0.2">
      <c r="A4216" s="28">
        <v>4215</v>
      </c>
      <c r="B4216" s="28" t="e">
        <f>interpola(#REF!,CURVA!$B$6:$B$20,CURVA!$G$6:$G$20)</f>
        <v>#VALUE!</v>
      </c>
      <c r="C4216" s="29" t="e">
        <f t="shared" si="65"/>
        <v>#VALUE!</v>
      </c>
      <c r="E4216" t="e">
        <f>cubic_spline(CURVA!$B$6:$B$20,CURVA!$G$6:$G$20,#REF!)</f>
        <v>#VALUE!</v>
      </c>
    </row>
    <row r="4217" spans="1:5" x14ac:dyDescent="0.2">
      <c r="A4217" s="28">
        <v>4216</v>
      </c>
      <c r="B4217" s="28" t="e">
        <f>interpola(#REF!,CURVA!$B$6:$B$20,CURVA!$G$6:$G$20)</f>
        <v>#VALUE!</v>
      </c>
      <c r="C4217" s="29" t="e">
        <f t="shared" si="65"/>
        <v>#VALUE!</v>
      </c>
      <c r="E4217" t="e">
        <f>cubic_spline(CURVA!$B$6:$B$20,CURVA!$G$6:$G$20,#REF!)</f>
        <v>#VALUE!</v>
      </c>
    </row>
    <row r="4218" spans="1:5" x14ac:dyDescent="0.2">
      <c r="A4218" s="28">
        <v>4217</v>
      </c>
      <c r="B4218" s="28" t="e">
        <f>interpola(#REF!,CURVA!$B$6:$B$20,CURVA!$G$6:$G$20)</f>
        <v>#VALUE!</v>
      </c>
      <c r="C4218" s="29" t="e">
        <f t="shared" si="65"/>
        <v>#VALUE!</v>
      </c>
      <c r="E4218" t="e">
        <f>cubic_spline(CURVA!$B$6:$B$20,CURVA!$G$6:$G$20,#REF!)</f>
        <v>#VALUE!</v>
      </c>
    </row>
    <row r="4219" spans="1:5" x14ac:dyDescent="0.2">
      <c r="A4219" s="28">
        <v>4218</v>
      </c>
      <c r="B4219" s="28" t="e">
        <f>interpola(#REF!,CURVA!$B$6:$B$20,CURVA!$G$6:$G$20)</f>
        <v>#VALUE!</v>
      </c>
      <c r="C4219" s="29" t="e">
        <f t="shared" si="65"/>
        <v>#VALUE!</v>
      </c>
      <c r="E4219" t="e">
        <f>cubic_spline(CURVA!$B$6:$B$20,CURVA!$G$6:$G$20,#REF!)</f>
        <v>#VALUE!</v>
      </c>
    </row>
    <row r="4220" spans="1:5" x14ac:dyDescent="0.2">
      <c r="A4220" s="28">
        <v>4219</v>
      </c>
      <c r="B4220" s="28" t="e">
        <f>interpola(#REF!,CURVA!$B$6:$B$20,CURVA!$G$6:$G$20)</f>
        <v>#VALUE!</v>
      </c>
      <c r="C4220" s="29" t="e">
        <f t="shared" si="65"/>
        <v>#VALUE!</v>
      </c>
      <c r="E4220" t="e">
        <f>cubic_spline(CURVA!$B$6:$B$20,CURVA!$G$6:$G$20,#REF!)</f>
        <v>#VALUE!</v>
      </c>
    </row>
    <row r="4221" spans="1:5" x14ac:dyDescent="0.2">
      <c r="A4221" s="28">
        <v>4220</v>
      </c>
      <c r="B4221" s="28" t="e">
        <f>interpola(#REF!,CURVA!$B$6:$B$20,CURVA!$G$6:$G$20)</f>
        <v>#VALUE!</v>
      </c>
      <c r="C4221" s="29" t="e">
        <f t="shared" si="65"/>
        <v>#VALUE!</v>
      </c>
      <c r="E4221" t="e">
        <f>cubic_spline(CURVA!$B$6:$B$20,CURVA!$G$6:$G$20,#REF!)</f>
        <v>#VALUE!</v>
      </c>
    </row>
    <row r="4222" spans="1:5" x14ac:dyDescent="0.2">
      <c r="A4222" s="28">
        <v>4221</v>
      </c>
      <c r="B4222" s="28" t="e">
        <f>interpola(#REF!,CURVA!$B$6:$B$20,CURVA!$G$6:$G$20)</f>
        <v>#VALUE!</v>
      </c>
      <c r="C4222" s="29" t="e">
        <f t="shared" si="65"/>
        <v>#VALUE!</v>
      </c>
      <c r="E4222" t="e">
        <f>cubic_spline(CURVA!$B$6:$B$20,CURVA!$G$6:$G$20,#REF!)</f>
        <v>#VALUE!</v>
      </c>
    </row>
    <row r="4223" spans="1:5" x14ac:dyDescent="0.2">
      <c r="A4223" s="28">
        <v>4222</v>
      </c>
      <c r="B4223" s="28" t="e">
        <f>interpola(#REF!,CURVA!$B$6:$B$20,CURVA!$G$6:$G$20)</f>
        <v>#VALUE!</v>
      </c>
      <c r="C4223" s="29" t="e">
        <f t="shared" si="65"/>
        <v>#VALUE!</v>
      </c>
      <c r="E4223" t="e">
        <f>cubic_spline(CURVA!$B$6:$B$20,CURVA!$G$6:$G$20,#REF!)</f>
        <v>#VALUE!</v>
      </c>
    </row>
    <row r="4224" spans="1:5" x14ac:dyDescent="0.2">
      <c r="A4224" s="28">
        <v>4223</v>
      </c>
      <c r="B4224" s="28" t="e">
        <f>interpola(#REF!,CURVA!$B$6:$B$20,CURVA!$G$6:$G$20)</f>
        <v>#VALUE!</v>
      </c>
      <c r="C4224" s="29" t="e">
        <f t="shared" si="65"/>
        <v>#VALUE!</v>
      </c>
      <c r="E4224" t="e">
        <f>cubic_spline(CURVA!$B$6:$B$20,CURVA!$G$6:$G$20,#REF!)</f>
        <v>#VALUE!</v>
      </c>
    </row>
    <row r="4225" spans="1:5" x14ac:dyDescent="0.2">
      <c r="A4225" s="28">
        <v>4224</v>
      </c>
      <c r="B4225" s="28" t="e">
        <f>interpola(#REF!,CURVA!$B$6:$B$20,CURVA!$G$6:$G$20)</f>
        <v>#VALUE!</v>
      </c>
      <c r="C4225" s="29" t="e">
        <f t="shared" si="65"/>
        <v>#VALUE!</v>
      </c>
      <c r="E4225" t="e">
        <f>cubic_spline(CURVA!$B$6:$B$20,CURVA!$G$6:$G$20,#REF!)</f>
        <v>#VALUE!</v>
      </c>
    </row>
    <row r="4226" spans="1:5" x14ac:dyDescent="0.2">
      <c r="A4226" s="28">
        <v>4225</v>
      </c>
      <c r="B4226" s="28" t="e">
        <f>interpola(#REF!,CURVA!$B$6:$B$20,CURVA!$G$6:$G$20)</f>
        <v>#VALUE!</v>
      </c>
      <c r="C4226" s="29" t="e">
        <f t="shared" ref="C4226:C4289" si="66">(EXP(B4226*A4226/360)-1)*360/A4226</f>
        <v>#VALUE!</v>
      </c>
      <c r="E4226" t="e">
        <f>cubic_spline(CURVA!$B$6:$B$20,CURVA!$G$6:$G$20,#REF!)</f>
        <v>#VALUE!</v>
      </c>
    </row>
    <row r="4227" spans="1:5" x14ac:dyDescent="0.2">
      <c r="A4227" s="28">
        <v>4226</v>
      </c>
      <c r="B4227" s="28" t="e">
        <f>interpola(#REF!,CURVA!$B$6:$B$20,CURVA!$G$6:$G$20)</f>
        <v>#VALUE!</v>
      </c>
      <c r="C4227" s="29" t="e">
        <f t="shared" si="66"/>
        <v>#VALUE!</v>
      </c>
      <c r="E4227" t="e">
        <f>cubic_spline(CURVA!$B$6:$B$20,CURVA!$G$6:$G$20,#REF!)</f>
        <v>#VALUE!</v>
      </c>
    </row>
    <row r="4228" spans="1:5" x14ac:dyDescent="0.2">
      <c r="A4228" s="28">
        <v>4227</v>
      </c>
      <c r="B4228" s="28" t="e">
        <f>interpola(#REF!,CURVA!$B$6:$B$20,CURVA!$G$6:$G$20)</f>
        <v>#VALUE!</v>
      </c>
      <c r="C4228" s="29" t="e">
        <f t="shared" si="66"/>
        <v>#VALUE!</v>
      </c>
      <c r="E4228" t="e">
        <f>cubic_spline(CURVA!$B$6:$B$20,CURVA!$G$6:$G$20,#REF!)</f>
        <v>#VALUE!</v>
      </c>
    </row>
    <row r="4229" spans="1:5" x14ac:dyDescent="0.2">
      <c r="A4229" s="28">
        <v>4228</v>
      </c>
      <c r="B4229" s="28" t="e">
        <f>interpola(#REF!,CURVA!$B$6:$B$20,CURVA!$G$6:$G$20)</f>
        <v>#VALUE!</v>
      </c>
      <c r="C4229" s="29" t="e">
        <f t="shared" si="66"/>
        <v>#VALUE!</v>
      </c>
      <c r="E4229" t="e">
        <f>cubic_spline(CURVA!$B$6:$B$20,CURVA!$G$6:$G$20,#REF!)</f>
        <v>#VALUE!</v>
      </c>
    </row>
    <row r="4230" spans="1:5" x14ac:dyDescent="0.2">
      <c r="A4230" s="28">
        <v>4229</v>
      </c>
      <c r="B4230" s="28" t="e">
        <f>interpola(#REF!,CURVA!$B$6:$B$20,CURVA!$G$6:$G$20)</f>
        <v>#VALUE!</v>
      </c>
      <c r="C4230" s="29" t="e">
        <f t="shared" si="66"/>
        <v>#VALUE!</v>
      </c>
      <c r="E4230" t="e">
        <f>cubic_spline(CURVA!$B$6:$B$20,CURVA!$G$6:$G$20,#REF!)</f>
        <v>#VALUE!</v>
      </c>
    </row>
    <row r="4231" spans="1:5" x14ac:dyDescent="0.2">
      <c r="A4231" s="28">
        <v>4230</v>
      </c>
      <c r="B4231" s="28" t="e">
        <f>interpola(#REF!,CURVA!$B$6:$B$20,CURVA!$G$6:$G$20)</f>
        <v>#VALUE!</v>
      </c>
      <c r="C4231" s="29" t="e">
        <f t="shared" si="66"/>
        <v>#VALUE!</v>
      </c>
      <c r="E4231" t="e">
        <f>cubic_spline(CURVA!$B$6:$B$20,CURVA!$G$6:$G$20,#REF!)</f>
        <v>#VALUE!</v>
      </c>
    </row>
    <row r="4232" spans="1:5" x14ac:dyDescent="0.2">
      <c r="A4232" s="28">
        <v>4231</v>
      </c>
      <c r="B4232" s="28" t="e">
        <f>interpola(#REF!,CURVA!$B$6:$B$20,CURVA!$G$6:$G$20)</f>
        <v>#VALUE!</v>
      </c>
      <c r="C4232" s="29" t="e">
        <f t="shared" si="66"/>
        <v>#VALUE!</v>
      </c>
      <c r="E4232" t="e">
        <f>cubic_spline(CURVA!$B$6:$B$20,CURVA!$G$6:$G$20,#REF!)</f>
        <v>#VALUE!</v>
      </c>
    </row>
    <row r="4233" spans="1:5" x14ac:dyDescent="0.2">
      <c r="A4233" s="28">
        <v>4232</v>
      </c>
      <c r="B4233" s="28" t="e">
        <f>interpola(#REF!,CURVA!$B$6:$B$20,CURVA!$G$6:$G$20)</f>
        <v>#VALUE!</v>
      </c>
      <c r="C4233" s="29" t="e">
        <f t="shared" si="66"/>
        <v>#VALUE!</v>
      </c>
      <c r="E4233" t="e">
        <f>cubic_spline(CURVA!$B$6:$B$20,CURVA!$G$6:$G$20,#REF!)</f>
        <v>#VALUE!</v>
      </c>
    </row>
    <row r="4234" spans="1:5" x14ac:dyDescent="0.2">
      <c r="A4234" s="28">
        <v>4233</v>
      </c>
      <c r="B4234" s="28" t="e">
        <f>interpola(#REF!,CURVA!$B$6:$B$20,CURVA!$G$6:$G$20)</f>
        <v>#VALUE!</v>
      </c>
      <c r="C4234" s="29" t="e">
        <f t="shared" si="66"/>
        <v>#VALUE!</v>
      </c>
      <c r="E4234" t="e">
        <f>cubic_spline(CURVA!$B$6:$B$20,CURVA!$G$6:$G$20,#REF!)</f>
        <v>#VALUE!</v>
      </c>
    </row>
    <row r="4235" spans="1:5" x14ac:dyDescent="0.2">
      <c r="A4235" s="28">
        <v>4234</v>
      </c>
      <c r="B4235" s="28" t="e">
        <f>interpola(#REF!,CURVA!$B$6:$B$20,CURVA!$G$6:$G$20)</f>
        <v>#VALUE!</v>
      </c>
      <c r="C4235" s="29" t="e">
        <f t="shared" si="66"/>
        <v>#VALUE!</v>
      </c>
      <c r="E4235" t="e">
        <f>cubic_spline(CURVA!$B$6:$B$20,CURVA!$G$6:$G$20,#REF!)</f>
        <v>#VALUE!</v>
      </c>
    </row>
    <row r="4236" spans="1:5" x14ac:dyDescent="0.2">
      <c r="A4236" s="28">
        <v>4235</v>
      </c>
      <c r="B4236" s="28" t="e">
        <f>interpola(#REF!,CURVA!$B$6:$B$20,CURVA!$G$6:$G$20)</f>
        <v>#VALUE!</v>
      </c>
      <c r="C4236" s="29" t="e">
        <f t="shared" si="66"/>
        <v>#VALUE!</v>
      </c>
      <c r="E4236" t="e">
        <f>cubic_spline(CURVA!$B$6:$B$20,CURVA!$G$6:$G$20,#REF!)</f>
        <v>#VALUE!</v>
      </c>
    </row>
    <row r="4237" spans="1:5" x14ac:dyDescent="0.2">
      <c r="A4237" s="28">
        <v>4236</v>
      </c>
      <c r="B4237" s="28" t="e">
        <f>interpola(#REF!,CURVA!$B$6:$B$20,CURVA!$G$6:$G$20)</f>
        <v>#VALUE!</v>
      </c>
      <c r="C4237" s="29" t="e">
        <f t="shared" si="66"/>
        <v>#VALUE!</v>
      </c>
      <c r="E4237" t="e">
        <f>cubic_spline(CURVA!$B$6:$B$20,CURVA!$G$6:$G$20,#REF!)</f>
        <v>#VALUE!</v>
      </c>
    </row>
    <row r="4238" spans="1:5" x14ac:dyDescent="0.2">
      <c r="A4238" s="28">
        <v>4237</v>
      </c>
      <c r="B4238" s="28" t="e">
        <f>interpola(#REF!,CURVA!$B$6:$B$20,CURVA!$G$6:$G$20)</f>
        <v>#VALUE!</v>
      </c>
      <c r="C4238" s="29" t="e">
        <f t="shared" si="66"/>
        <v>#VALUE!</v>
      </c>
      <c r="E4238" t="e">
        <f>cubic_spline(CURVA!$B$6:$B$20,CURVA!$G$6:$G$20,#REF!)</f>
        <v>#VALUE!</v>
      </c>
    </row>
    <row r="4239" spans="1:5" x14ac:dyDescent="0.2">
      <c r="A4239" s="28">
        <v>4238</v>
      </c>
      <c r="B4239" s="28" t="e">
        <f>interpola(#REF!,CURVA!$B$6:$B$20,CURVA!$G$6:$G$20)</f>
        <v>#VALUE!</v>
      </c>
      <c r="C4239" s="29" t="e">
        <f t="shared" si="66"/>
        <v>#VALUE!</v>
      </c>
      <c r="E4239" t="e">
        <f>cubic_spline(CURVA!$B$6:$B$20,CURVA!$G$6:$G$20,#REF!)</f>
        <v>#VALUE!</v>
      </c>
    </row>
    <row r="4240" spans="1:5" x14ac:dyDescent="0.2">
      <c r="A4240" s="28">
        <v>4239</v>
      </c>
      <c r="B4240" s="28" t="e">
        <f>interpola(#REF!,CURVA!$B$6:$B$20,CURVA!$G$6:$G$20)</f>
        <v>#VALUE!</v>
      </c>
      <c r="C4240" s="29" t="e">
        <f t="shared" si="66"/>
        <v>#VALUE!</v>
      </c>
      <c r="E4240" t="e">
        <f>cubic_spline(CURVA!$B$6:$B$20,CURVA!$G$6:$G$20,#REF!)</f>
        <v>#VALUE!</v>
      </c>
    </row>
    <row r="4241" spans="1:5" x14ac:dyDescent="0.2">
      <c r="A4241" s="28">
        <v>4240</v>
      </c>
      <c r="B4241" s="28" t="e">
        <f>interpola(#REF!,CURVA!$B$6:$B$20,CURVA!$G$6:$G$20)</f>
        <v>#VALUE!</v>
      </c>
      <c r="C4241" s="29" t="e">
        <f t="shared" si="66"/>
        <v>#VALUE!</v>
      </c>
      <c r="E4241" t="e">
        <f>cubic_spline(CURVA!$B$6:$B$20,CURVA!$G$6:$G$20,#REF!)</f>
        <v>#VALUE!</v>
      </c>
    </row>
    <row r="4242" spans="1:5" x14ac:dyDescent="0.2">
      <c r="A4242" s="28">
        <v>4241</v>
      </c>
      <c r="B4242" s="28" t="e">
        <f>interpola(#REF!,CURVA!$B$6:$B$20,CURVA!$G$6:$G$20)</f>
        <v>#VALUE!</v>
      </c>
      <c r="C4242" s="29" t="e">
        <f t="shared" si="66"/>
        <v>#VALUE!</v>
      </c>
      <c r="E4242" t="e">
        <f>cubic_spline(CURVA!$B$6:$B$20,CURVA!$G$6:$G$20,#REF!)</f>
        <v>#VALUE!</v>
      </c>
    </row>
    <row r="4243" spans="1:5" x14ac:dyDescent="0.2">
      <c r="A4243" s="28">
        <v>4242</v>
      </c>
      <c r="B4243" s="28" t="e">
        <f>interpola(#REF!,CURVA!$B$6:$B$20,CURVA!$G$6:$G$20)</f>
        <v>#VALUE!</v>
      </c>
      <c r="C4243" s="29" t="e">
        <f t="shared" si="66"/>
        <v>#VALUE!</v>
      </c>
      <c r="E4243" t="e">
        <f>cubic_spline(CURVA!$B$6:$B$20,CURVA!$G$6:$G$20,#REF!)</f>
        <v>#VALUE!</v>
      </c>
    </row>
    <row r="4244" spans="1:5" x14ac:dyDescent="0.2">
      <c r="A4244" s="28">
        <v>4243</v>
      </c>
      <c r="B4244" s="28" t="e">
        <f>interpola(#REF!,CURVA!$B$6:$B$20,CURVA!$G$6:$G$20)</f>
        <v>#VALUE!</v>
      </c>
      <c r="C4244" s="29" t="e">
        <f t="shared" si="66"/>
        <v>#VALUE!</v>
      </c>
      <c r="E4244" t="e">
        <f>cubic_spline(CURVA!$B$6:$B$20,CURVA!$G$6:$G$20,#REF!)</f>
        <v>#VALUE!</v>
      </c>
    </row>
    <row r="4245" spans="1:5" x14ac:dyDescent="0.2">
      <c r="A4245" s="28">
        <v>4244</v>
      </c>
      <c r="B4245" s="28" t="e">
        <f>interpola(#REF!,CURVA!$B$6:$B$20,CURVA!$G$6:$G$20)</f>
        <v>#VALUE!</v>
      </c>
      <c r="C4245" s="29" t="e">
        <f t="shared" si="66"/>
        <v>#VALUE!</v>
      </c>
      <c r="E4245" t="e">
        <f>cubic_spline(CURVA!$B$6:$B$20,CURVA!$G$6:$G$20,#REF!)</f>
        <v>#VALUE!</v>
      </c>
    </row>
    <row r="4246" spans="1:5" x14ac:dyDescent="0.2">
      <c r="A4246" s="28">
        <v>4245</v>
      </c>
      <c r="B4246" s="28" t="e">
        <f>interpola(#REF!,CURVA!$B$6:$B$20,CURVA!$G$6:$G$20)</f>
        <v>#VALUE!</v>
      </c>
      <c r="C4246" s="29" t="e">
        <f t="shared" si="66"/>
        <v>#VALUE!</v>
      </c>
      <c r="E4246" t="e">
        <f>cubic_spline(CURVA!$B$6:$B$20,CURVA!$G$6:$G$20,#REF!)</f>
        <v>#VALUE!</v>
      </c>
    </row>
    <row r="4247" spans="1:5" x14ac:dyDescent="0.2">
      <c r="A4247" s="28">
        <v>4246</v>
      </c>
      <c r="B4247" s="28" t="e">
        <f>interpola(#REF!,CURVA!$B$6:$B$20,CURVA!$G$6:$G$20)</f>
        <v>#VALUE!</v>
      </c>
      <c r="C4247" s="29" t="e">
        <f t="shared" si="66"/>
        <v>#VALUE!</v>
      </c>
      <c r="E4247" t="e">
        <f>cubic_spline(CURVA!$B$6:$B$20,CURVA!$G$6:$G$20,#REF!)</f>
        <v>#VALUE!</v>
      </c>
    </row>
    <row r="4248" spans="1:5" x14ac:dyDescent="0.2">
      <c r="A4248" s="28">
        <v>4247</v>
      </c>
      <c r="B4248" s="28" t="e">
        <f>interpola(#REF!,CURVA!$B$6:$B$20,CURVA!$G$6:$G$20)</f>
        <v>#VALUE!</v>
      </c>
      <c r="C4248" s="29" t="e">
        <f t="shared" si="66"/>
        <v>#VALUE!</v>
      </c>
      <c r="E4248" t="e">
        <f>cubic_spline(CURVA!$B$6:$B$20,CURVA!$G$6:$G$20,#REF!)</f>
        <v>#VALUE!</v>
      </c>
    </row>
    <row r="4249" spans="1:5" x14ac:dyDescent="0.2">
      <c r="A4249" s="28">
        <v>4248</v>
      </c>
      <c r="B4249" s="28" t="e">
        <f>interpola(#REF!,CURVA!$B$6:$B$20,CURVA!$G$6:$G$20)</f>
        <v>#VALUE!</v>
      </c>
      <c r="C4249" s="29" t="e">
        <f t="shared" si="66"/>
        <v>#VALUE!</v>
      </c>
      <c r="E4249" t="e">
        <f>cubic_spline(CURVA!$B$6:$B$20,CURVA!$G$6:$G$20,#REF!)</f>
        <v>#VALUE!</v>
      </c>
    </row>
    <row r="4250" spans="1:5" x14ac:dyDescent="0.2">
      <c r="A4250" s="28">
        <v>4249</v>
      </c>
      <c r="B4250" s="28" t="e">
        <f>interpola(#REF!,CURVA!$B$6:$B$20,CURVA!$G$6:$G$20)</f>
        <v>#VALUE!</v>
      </c>
      <c r="C4250" s="29" t="e">
        <f t="shared" si="66"/>
        <v>#VALUE!</v>
      </c>
      <c r="E4250" t="e">
        <f>cubic_spline(CURVA!$B$6:$B$20,CURVA!$G$6:$G$20,#REF!)</f>
        <v>#VALUE!</v>
      </c>
    </row>
    <row r="4251" spans="1:5" x14ac:dyDescent="0.2">
      <c r="A4251" s="28">
        <v>4250</v>
      </c>
      <c r="B4251" s="28" t="e">
        <f>interpola(#REF!,CURVA!$B$6:$B$20,CURVA!$G$6:$G$20)</f>
        <v>#VALUE!</v>
      </c>
      <c r="C4251" s="29" t="e">
        <f t="shared" si="66"/>
        <v>#VALUE!</v>
      </c>
      <c r="E4251" t="e">
        <f>cubic_spline(CURVA!$B$6:$B$20,CURVA!$G$6:$G$20,#REF!)</f>
        <v>#VALUE!</v>
      </c>
    </row>
    <row r="4252" spans="1:5" x14ac:dyDescent="0.2">
      <c r="A4252" s="28">
        <v>4251</v>
      </c>
      <c r="B4252" s="28" t="e">
        <f>interpola(#REF!,CURVA!$B$6:$B$20,CURVA!$G$6:$G$20)</f>
        <v>#VALUE!</v>
      </c>
      <c r="C4252" s="29" t="e">
        <f t="shared" si="66"/>
        <v>#VALUE!</v>
      </c>
      <c r="E4252" t="e">
        <f>cubic_spline(CURVA!$B$6:$B$20,CURVA!$G$6:$G$20,#REF!)</f>
        <v>#VALUE!</v>
      </c>
    </row>
    <row r="4253" spans="1:5" x14ac:dyDescent="0.2">
      <c r="A4253" s="28">
        <v>4252</v>
      </c>
      <c r="B4253" s="28" t="e">
        <f>interpola(#REF!,CURVA!$B$6:$B$20,CURVA!$G$6:$G$20)</f>
        <v>#VALUE!</v>
      </c>
      <c r="C4253" s="29" t="e">
        <f t="shared" si="66"/>
        <v>#VALUE!</v>
      </c>
      <c r="E4253" t="e">
        <f>cubic_spline(CURVA!$B$6:$B$20,CURVA!$G$6:$G$20,#REF!)</f>
        <v>#VALUE!</v>
      </c>
    </row>
    <row r="4254" spans="1:5" x14ac:dyDescent="0.2">
      <c r="A4254" s="28">
        <v>4253</v>
      </c>
      <c r="B4254" s="28" t="e">
        <f>interpola(#REF!,CURVA!$B$6:$B$20,CURVA!$G$6:$G$20)</f>
        <v>#VALUE!</v>
      </c>
      <c r="C4254" s="29" t="e">
        <f t="shared" si="66"/>
        <v>#VALUE!</v>
      </c>
      <c r="E4254" t="e">
        <f>cubic_spline(CURVA!$B$6:$B$20,CURVA!$G$6:$G$20,#REF!)</f>
        <v>#VALUE!</v>
      </c>
    </row>
    <row r="4255" spans="1:5" x14ac:dyDescent="0.2">
      <c r="A4255" s="28">
        <v>4254</v>
      </c>
      <c r="B4255" s="28" t="e">
        <f>interpola(#REF!,CURVA!$B$6:$B$20,CURVA!$G$6:$G$20)</f>
        <v>#VALUE!</v>
      </c>
      <c r="C4255" s="29" t="e">
        <f t="shared" si="66"/>
        <v>#VALUE!</v>
      </c>
      <c r="E4255" t="e">
        <f>cubic_spline(CURVA!$B$6:$B$20,CURVA!$G$6:$G$20,#REF!)</f>
        <v>#VALUE!</v>
      </c>
    </row>
    <row r="4256" spans="1:5" x14ac:dyDescent="0.2">
      <c r="A4256" s="28">
        <v>4255</v>
      </c>
      <c r="B4256" s="28" t="e">
        <f>interpola(#REF!,CURVA!$B$6:$B$20,CURVA!$G$6:$G$20)</f>
        <v>#VALUE!</v>
      </c>
      <c r="C4256" s="29" t="e">
        <f t="shared" si="66"/>
        <v>#VALUE!</v>
      </c>
      <c r="E4256" t="e">
        <f>cubic_spline(CURVA!$B$6:$B$20,CURVA!$G$6:$G$20,#REF!)</f>
        <v>#VALUE!</v>
      </c>
    </row>
    <row r="4257" spans="1:5" x14ac:dyDescent="0.2">
      <c r="A4257" s="28">
        <v>4256</v>
      </c>
      <c r="B4257" s="28" t="e">
        <f>interpola(#REF!,CURVA!$B$6:$B$20,CURVA!$G$6:$G$20)</f>
        <v>#VALUE!</v>
      </c>
      <c r="C4257" s="29" t="e">
        <f t="shared" si="66"/>
        <v>#VALUE!</v>
      </c>
      <c r="E4257" t="e">
        <f>cubic_spline(CURVA!$B$6:$B$20,CURVA!$G$6:$G$20,#REF!)</f>
        <v>#VALUE!</v>
      </c>
    </row>
    <row r="4258" spans="1:5" x14ac:dyDescent="0.2">
      <c r="A4258" s="28">
        <v>4257</v>
      </c>
      <c r="B4258" s="28" t="e">
        <f>interpola(#REF!,CURVA!$B$6:$B$20,CURVA!$G$6:$G$20)</f>
        <v>#VALUE!</v>
      </c>
      <c r="C4258" s="29" t="e">
        <f t="shared" si="66"/>
        <v>#VALUE!</v>
      </c>
      <c r="E4258" t="e">
        <f>cubic_spline(CURVA!$B$6:$B$20,CURVA!$G$6:$G$20,#REF!)</f>
        <v>#VALUE!</v>
      </c>
    </row>
    <row r="4259" spans="1:5" x14ac:dyDescent="0.2">
      <c r="A4259" s="28">
        <v>4258</v>
      </c>
      <c r="B4259" s="28" t="e">
        <f>interpola(#REF!,CURVA!$B$6:$B$20,CURVA!$G$6:$G$20)</f>
        <v>#VALUE!</v>
      </c>
      <c r="C4259" s="29" t="e">
        <f t="shared" si="66"/>
        <v>#VALUE!</v>
      </c>
      <c r="E4259" t="e">
        <f>cubic_spline(CURVA!$B$6:$B$20,CURVA!$G$6:$G$20,#REF!)</f>
        <v>#VALUE!</v>
      </c>
    </row>
    <row r="4260" spans="1:5" x14ac:dyDescent="0.2">
      <c r="A4260" s="28">
        <v>4259</v>
      </c>
      <c r="B4260" s="28" t="e">
        <f>interpola(#REF!,CURVA!$B$6:$B$20,CURVA!$G$6:$G$20)</f>
        <v>#VALUE!</v>
      </c>
      <c r="C4260" s="29" t="e">
        <f t="shared" si="66"/>
        <v>#VALUE!</v>
      </c>
      <c r="E4260" t="e">
        <f>cubic_spline(CURVA!$B$6:$B$20,CURVA!$G$6:$G$20,#REF!)</f>
        <v>#VALUE!</v>
      </c>
    </row>
    <row r="4261" spans="1:5" x14ac:dyDescent="0.2">
      <c r="A4261" s="28">
        <v>4260</v>
      </c>
      <c r="B4261" s="28" t="e">
        <f>interpola(#REF!,CURVA!$B$6:$B$20,CURVA!$G$6:$G$20)</f>
        <v>#VALUE!</v>
      </c>
      <c r="C4261" s="29" t="e">
        <f t="shared" si="66"/>
        <v>#VALUE!</v>
      </c>
      <c r="E4261" t="e">
        <f>cubic_spline(CURVA!$B$6:$B$20,CURVA!$G$6:$G$20,#REF!)</f>
        <v>#VALUE!</v>
      </c>
    </row>
    <row r="4262" spans="1:5" x14ac:dyDescent="0.2">
      <c r="A4262" s="28">
        <v>4261</v>
      </c>
      <c r="B4262" s="28" t="e">
        <f>interpola(#REF!,CURVA!$B$6:$B$20,CURVA!$G$6:$G$20)</f>
        <v>#VALUE!</v>
      </c>
      <c r="C4262" s="29" t="e">
        <f t="shared" si="66"/>
        <v>#VALUE!</v>
      </c>
      <c r="E4262" t="e">
        <f>cubic_spline(CURVA!$B$6:$B$20,CURVA!$G$6:$G$20,#REF!)</f>
        <v>#VALUE!</v>
      </c>
    </row>
    <row r="4263" spans="1:5" x14ac:dyDescent="0.2">
      <c r="A4263" s="28">
        <v>4262</v>
      </c>
      <c r="B4263" s="28" t="e">
        <f>interpola(#REF!,CURVA!$B$6:$B$20,CURVA!$G$6:$G$20)</f>
        <v>#VALUE!</v>
      </c>
      <c r="C4263" s="29" t="e">
        <f t="shared" si="66"/>
        <v>#VALUE!</v>
      </c>
      <c r="E4263" t="e">
        <f>cubic_spline(CURVA!$B$6:$B$20,CURVA!$G$6:$G$20,#REF!)</f>
        <v>#VALUE!</v>
      </c>
    </row>
    <row r="4264" spans="1:5" x14ac:dyDescent="0.2">
      <c r="A4264" s="28">
        <v>4263</v>
      </c>
      <c r="B4264" s="28" t="e">
        <f>interpola(#REF!,CURVA!$B$6:$B$20,CURVA!$G$6:$G$20)</f>
        <v>#VALUE!</v>
      </c>
      <c r="C4264" s="29" t="e">
        <f t="shared" si="66"/>
        <v>#VALUE!</v>
      </c>
      <c r="E4264" t="e">
        <f>cubic_spline(CURVA!$B$6:$B$20,CURVA!$G$6:$G$20,#REF!)</f>
        <v>#VALUE!</v>
      </c>
    </row>
    <row r="4265" spans="1:5" x14ac:dyDescent="0.2">
      <c r="A4265" s="28">
        <v>4264</v>
      </c>
      <c r="B4265" s="28" t="e">
        <f>interpola(#REF!,CURVA!$B$6:$B$20,CURVA!$G$6:$G$20)</f>
        <v>#VALUE!</v>
      </c>
      <c r="C4265" s="29" t="e">
        <f t="shared" si="66"/>
        <v>#VALUE!</v>
      </c>
      <c r="E4265" t="e">
        <f>cubic_spline(CURVA!$B$6:$B$20,CURVA!$G$6:$G$20,#REF!)</f>
        <v>#VALUE!</v>
      </c>
    </row>
    <row r="4266" spans="1:5" x14ac:dyDescent="0.2">
      <c r="A4266" s="28">
        <v>4265</v>
      </c>
      <c r="B4266" s="28" t="e">
        <f>interpola(#REF!,CURVA!$B$6:$B$20,CURVA!$G$6:$G$20)</f>
        <v>#VALUE!</v>
      </c>
      <c r="C4266" s="29" t="e">
        <f t="shared" si="66"/>
        <v>#VALUE!</v>
      </c>
      <c r="E4266" t="e">
        <f>cubic_spline(CURVA!$B$6:$B$20,CURVA!$G$6:$G$20,#REF!)</f>
        <v>#VALUE!</v>
      </c>
    </row>
    <row r="4267" spans="1:5" x14ac:dyDescent="0.2">
      <c r="A4267" s="28">
        <v>4266</v>
      </c>
      <c r="B4267" s="28" t="e">
        <f>interpola(#REF!,CURVA!$B$6:$B$20,CURVA!$G$6:$G$20)</f>
        <v>#VALUE!</v>
      </c>
      <c r="C4267" s="29" t="e">
        <f t="shared" si="66"/>
        <v>#VALUE!</v>
      </c>
      <c r="E4267" t="e">
        <f>cubic_spline(CURVA!$B$6:$B$20,CURVA!$G$6:$G$20,#REF!)</f>
        <v>#VALUE!</v>
      </c>
    </row>
    <row r="4268" spans="1:5" x14ac:dyDescent="0.2">
      <c r="A4268" s="28">
        <v>4267</v>
      </c>
      <c r="B4268" s="28" t="e">
        <f>interpola(#REF!,CURVA!$B$6:$B$20,CURVA!$G$6:$G$20)</f>
        <v>#VALUE!</v>
      </c>
      <c r="C4268" s="29" t="e">
        <f t="shared" si="66"/>
        <v>#VALUE!</v>
      </c>
      <c r="E4268" t="e">
        <f>cubic_spline(CURVA!$B$6:$B$20,CURVA!$G$6:$G$20,#REF!)</f>
        <v>#VALUE!</v>
      </c>
    </row>
    <row r="4269" spans="1:5" x14ac:dyDescent="0.2">
      <c r="A4269" s="28">
        <v>4268</v>
      </c>
      <c r="B4269" s="28" t="e">
        <f>interpola(#REF!,CURVA!$B$6:$B$20,CURVA!$G$6:$G$20)</f>
        <v>#VALUE!</v>
      </c>
      <c r="C4269" s="29" t="e">
        <f t="shared" si="66"/>
        <v>#VALUE!</v>
      </c>
      <c r="E4269" t="e">
        <f>cubic_spline(CURVA!$B$6:$B$20,CURVA!$G$6:$G$20,#REF!)</f>
        <v>#VALUE!</v>
      </c>
    </row>
    <row r="4270" spans="1:5" x14ac:dyDescent="0.2">
      <c r="A4270" s="28">
        <v>4269</v>
      </c>
      <c r="B4270" s="28" t="e">
        <f>interpola(#REF!,CURVA!$B$6:$B$20,CURVA!$G$6:$G$20)</f>
        <v>#VALUE!</v>
      </c>
      <c r="C4270" s="29" t="e">
        <f t="shared" si="66"/>
        <v>#VALUE!</v>
      </c>
      <c r="E4270" t="e">
        <f>cubic_spline(CURVA!$B$6:$B$20,CURVA!$G$6:$G$20,#REF!)</f>
        <v>#VALUE!</v>
      </c>
    </row>
    <row r="4271" spans="1:5" x14ac:dyDescent="0.2">
      <c r="A4271" s="28">
        <v>4270</v>
      </c>
      <c r="B4271" s="28" t="e">
        <f>interpola(#REF!,CURVA!$B$6:$B$20,CURVA!$G$6:$G$20)</f>
        <v>#VALUE!</v>
      </c>
      <c r="C4271" s="29" t="e">
        <f t="shared" si="66"/>
        <v>#VALUE!</v>
      </c>
      <c r="E4271" t="e">
        <f>cubic_spline(CURVA!$B$6:$B$20,CURVA!$G$6:$G$20,#REF!)</f>
        <v>#VALUE!</v>
      </c>
    </row>
    <row r="4272" spans="1:5" x14ac:dyDescent="0.2">
      <c r="A4272" s="28">
        <v>4271</v>
      </c>
      <c r="B4272" s="28" t="e">
        <f>interpola(#REF!,CURVA!$B$6:$B$20,CURVA!$G$6:$G$20)</f>
        <v>#VALUE!</v>
      </c>
      <c r="C4272" s="29" t="e">
        <f t="shared" si="66"/>
        <v>#VALUE!</v>
      </c>
      <c r="E4272" t="e">
        <f>cubic_spline(CURVA!$B$6:$B$20,CURVA!$G$6:$G$20,#REF!)</f>
        <v>#VALUE!</v>
      </c>
    </row>
    <row r="4273" spans="1:5" x14ac:dyDescent="0.2">
      <c r="A4273" s="28">
        <v>4272</v>
      </c>
      <c r="B4273" s="28" t="e">
        <f>interpola(#REF!,CURVA!$B$6:$B$20,CURVA!$G$6:$G$20)</f>
        <v>#VALUE!</v>
      </c>
      <c r="C4273" s="29" t="e">
        <f t="shared" si="66"/>
        <v>#VALUE!</v>
      </c>
      <c r="E4273" t="e">
        <f>cubic_spline(CURVA!$B$6:$B$20,CURVA!$G$6:$G$20,#REF!)</f>
        <v>#VALUE!</v>
      </c>
    </row>
    <row r="4274" spans="1:5" x14ac:dyDescent="0.2">
      <c r="A4274" s="28">
        <v>4273</v>
      </c>
      <c r="B4274" s="28" t="e">
        <f>interpola(#REF!,CURVA!$B$6:$B$20,CURVA!$G$6:$G$20)</f>
        <v>#VALUE!</v>
      </c>
      <c r="C4274" s="29" t="e">
        <f t="shared" si="66"/>
        <v>#VALUE!</v>
      </c>
      <c r="E4274" t="e">
        <f>cubic_spline(CURVA!$B$6:$B$20,CURVA!$G$6:$G$20,#REF!)</f>
        <v>#VALUE!</v>
      </c>
    </row>
    <row r="4275" spans="1:5" x14ac:dyDescent="0.2">
      <c r="A4275" s="28">
        <v>4274</v>
      </c>
      <c r="B4275" s="28" t="e">
        <f>interpola(#REF!,CURVA!$B$6:$B$20,CURVA!$G$6:$G$20)</f>
        <v>#VALUE!</v>
      </c>
      <c r="C4275" s="29" t="e">
        <f t="shared" si="66"/>
        <v>#VALUE!</v>
      </c>
      <c r="E4275" t="e">
        <f>cubic_spline(CURVA!$B$6:$B$20,CURVA!$G$6:$G$20,#REF!)</f>
        <v>#VALUE!</v>
      </c>
    </row>
    <row r="4276" spans="1:5" x14ac:dyDescent="0.2">
      <c r="A4276" s="28">
        <v>4275</v>
      </c>
      <c r="B4276" s="28" t="e">
        <f>interpola(#REF!,CURVA!$B$6:$B$20,CURVA!$G$6:$G$20)</f>
        <v>#VALUE!</v>
      </c>
      <c r="C4276" s="29" t="e">
        <f t="shared" si="66"/>
        <v>#VALUE!</v>
      </c>
      <c r="E4276" t="e">
        <f>cubic_spline(CURVA!$B$6:$B$20,CURVA!$G$6:$G$20,#REF!)</f>
        <v>#VALUE!</v>
      </c>
    </row>
    <row r="4277" spans="1:5" x14ac:dyDescent="0.2">
      <c r="A4277" s="28">
        <v>4276</v>
      </c>
      <c r="B4277" s="28" t="e">
        <f>interpola(#REF!,CURVA!$B$6:$B$20,CURVA!$G$6:$G$20)</f>
        <v>#VALUE!</v>
      </c>
      <c r="C4277" s="29" t="e">
        <f t="shared" si="66"/>
        <v>#VALUE!</v>
      </c>
      <c r="E4277" t="e">
        <f>cubic_spline(CURVA!$B$6:$B$20,CURVA!$G$6:$G$20,#REF!)</f>
        <v>#VALUE!</v>
      </c>
    </row>
    <row r="4278" spans="1:5" x14ac:dyDescent="0.2">
      <c r="A4278" s="28">
        <v>4277</v>
      </c>
      <c r="B4278" s="28" t="e">
        <f>interpola(#REF!,CURVA!$B$6:$B$20,CURVA!$G$6:$G$20)</f>
        <v>#VALUE!</v>
      </c>
      <c r="C4278" s="29" t="e">
        <f t="shared" si="66"/>
        <v>#VALUE!</v>
      </c>
      <c r="E4278" t="e">
        <f>cubic_spline(CURVA!$B$6:$B$20,CURVA!$G$6:$G$20,#REF!)</f>
        <v>#VALUE!</v>
      </c>
    </row>
    <row r="4279" spans="1:5" x14ac:dyDescent="0.2">
      <c r="A4279" s="28">
        <v>4278</v>
      </c>
      <c r="B4279" s="28" t="e">
        <f>interpola(#REF!,CURVA!$B$6:$B$20,CURVA!$G$6:$G$20)</f>
        <v>#VALUE!</v>
      </c>
      <c r="C4279" s="29" t="e">
        <f t="shared" si="66"/>
        <v>#VALUE!</v>
      </c>
      <c r="E4279" t="e">
        <f>cubic_spline(CURVA!$B$6:$B$20,CURVA!$G$6:$G$20,#REF!)</f>
        <v>#VALUE!</v>
      </c>
    </row>
    <row r="4280" spans="1:5" x14ac:dyDescent="0.2">
      <c r="A4280" s="28">
        <v>4279</v>
      </c>
      <c r="B4280" s="28" t="e">
        <f>interpola(#REF!,CURVA!$B$6:$B$20,CURVA!$G$6:$G$20)</f>
        <v>#VALUE!</v>
      </c>
      <c r="C4280" s="29" t="e">
        <f t="shared" si="66"/>
        <v>#VALUE!</v>
      </c>
      <c r="E4280" t="e">
        <f>cubic_spline(CURVA!$B$6:$B$20,CURVA!$G$6:$G$20,#REF!)</f>
        <v>#VALUE!</v>
      </c>
    </row>
    <row r="4281" spans="1:5" x14ac:dyDescent="0.2">
      <c r="A4281" s="28">
        <v>4280</v>
      </c>
      <c r="B4281" s="28" t="e">
        <f>interpola(#REF!,CURVA!$B$6:$B$20,CURVA!$G$6:$G$20)</f>
        <v>#VALUE!</v>
      </c>
      <c r="C4281" s="29" t="e">
        <f t="shared" si="66"/>
        <v>#VALUE!</v>
      </c>
      <c r="E4281" t="e">
        <f>cubic_spline(CURVA!$B$6:$B$20,CURVA!$G$6:$G$20,#REF!)</f>
        <v>#VALUE!</v>
      </c>
    </row>
    <row r="4282" spans="1:5" x14ac:dyDescent="0.2">
      <c r="A4282" s="28">
        <v>4281</v>
      </c>
      <c r="B4282" s="28" t="e">
        <f>interpola(#REF!,CURVA!$B$6:$B$20,CURVA!$G$6:$G$20)</f>
        <v>#VALUE!</v>
      </c>
      <c r="C4282" s="29" t="e">
        <f t="shared" si="66"/>
        <v>#VALUE!</v>
      </c>
      <c r="E4282" t="e">
        <f>cubic_spline(CURVA!$B$6:$B$20,CURVA!$G$6:$G$20,#REF!)</f>
        <v>#VALUE!</v>
      </c>
    </row>
    <row r="4283" spans="1:5" x14ac:dyDescent="0.2">
      <c r="A4283" s="28">
        <v>4282</v>
      </c>
      <c r="B4283" s="28" t="e">
        <f>interpola(#REF!,CURVA!$B$6:$B$20,CURVA!$G$6:$G$20)</f>
        <v>#VALUE!</v>
      </c>
      <c r="C4283" s="29" t="e">
        <f t="shared" si="66"/>
        <v>#VALUE!</v>
      </c>
      <c r="E4283" t="e">
        <f>cubic_spline(CURVA!$B$6:$B$20,CURVA!$G$6:$G$20,#REF!)</f>
        <v>#VALUE!</v>
      </c>
    </row>
    <row r="4284" spans="1:5" x14ac:dyDescent="0.2">
      <c r="A4284" s="28">
        <v>4283</v>
      </c>
      <c r="B4284" s="28" t="e">
        <f>interpola(#REF!,CURVA!$B$6:$B$20,CURVA!$G$6:$G$20)</f>
        <v>#VALUE!</v>
      </c>
      <c r="C4284" s="29" t="e">
        <f t="shared" si="66"/>
        <v>#VALUE!</v>
      </c>
      <c r="E4284" t="e">
        <f>cubic_spline(CURVA!$B$6:$B$20,CURVA!$G$6:$G$20,#REF!)</f>
        <v>#VALUE!</v>
      </c>
    </row>
    <row r="4285" spans="1:5" x14ac:dyDescent="0.2">
      <c r="A4285" s="28">
        <v>4284</v>
      </c>
      <c r="B4285" s="28" t="e">
        <f>interpola(#REF!,CURVA!$B$6:$B$20,CURVA!$G$6:$G$20)</f>
        <v>#VALUE!</v>
      </c>
      <c r="C4285" s="29" t="e">
        <f t="shared" si="66"/>
        <v>#VALUE!</v>
      </c>
      <c r="E4285" t="e">
        <f>cubic_spline(CURVA!$B$6:$B$20,CURVA!$G$6:$G$20,#REF!)</f>
        <v>#VALUE!</v>
      </c>
    </row>
    <row r="4286" spans="1:5" x14ac:dyDescent="0.2">
      <c r="A4286" s="28">
        <v>4285</v>
      </c>
      <c r="B4286" s="28" t="e">
        <f>interpola(#REF!,CURVA!$B$6:$B$20,CURVA!$G$6:$G$20)</f>
        <v>#VALUE!</v>
      </c>
      <c r="C4286" s="29" t="e">
        <f t="shared" si="66"/>
        <v>#VALUE!</v>
      </c>
      <c r="E4286" t="e">
        <f>cubic_spline(CURVA!$B$6:$B$20,CURVA!$G$6:$G$20,#REF!)</f>
        <v>#VALUE!</v>
      </c>
    </row>
    <row r="4287" spans="1:5" x14ac:dyDescent="0.2">
      <c r="A4287" s="28">
        <v>4286</v>
      </c>
      <c r="B4287" s="28" t="e">
        <f>interpola(#REF!,CURVA!$B$6:$B$20,CURVA!$G$6:$G$20)</f>
        <v>#VALUE!</v>
      </c>
      <c r="C4287" s="29" t="e">
        <f t="shared" si="66"/>
        <v>#VALUE!</v>
      </c>
      <c r="E4287" t="e">
        <f>cubic_spline(CURVA!$B$6:$B$20,CURVA!$G$6:$G$20,#REF!)</f>
        <v>#VALUE!</v>
      </c>
    </row>
    <row r="4288" spans="1:5" x14ac:dyDescent="0.2">
      <c r="A4288" s="28">
        <v>4287</v>
      </c>
      <c r="B4288" s="28" t="e">
        <f>interpola(#REF!,CURVA!$B$6:$B$20,CURVA!$G$6:$G$20)</f>
        <v>#VALUE!</v>
      </c>
      <c r="C4288" s="29" t="e">
        <f t="shared" si="66"/>
        <v>#VALUE!</v>
      </c>
      <c r="E4288" t="e">
        <f>cubic_spline(CURVA!$B$6:$B$20,CURVA!$G$6:$G$20,#REF!)</f>
        <v>#VALUE!</v>
      </c>
    </row>
    <row r="4289" spans="1:5" x14ac:dyDescent="0.2">
      <c r="A4289" s="28">
        <v>4288</v>
      </c>
      <c r="B4289" s="28" t="e">
        <f>interpola(#REF!,CURVA!$B$6:$B$20,CURVA!$G$6:$G$20)</f>
        <v>#VALUE!</v>
      </c>
      <c r="C4289" s="29" t="e">
        <f t="shared" si="66"/>
        <v>#VALUE!</v>
      </c>
      <c r="E4289" t="e">
        <f>cubic_spline(CURVA!$B$6:$B$20,CURVA!$G$6:$G$20,#REF!)</f>
        <v>#VALUE!</v>
      </c>
    </row>
    <row r="4290" spans="1:5" x14ac:dyDescent="0.2">
      <c r="A4290" s="28">
        <v>4289</v>
      </c>
      <c r="B4290" s="28" t="e">
        <f>interpola(#REF!,CURVA!$B$6:$B$20,CURVA!$G$6:$G$20)</f>
        <v>#VALUE!</v>
      </c>
      <c r="C4290" s="29" t="e">
        <f t="shared" ref="C4290:C4353" si="67">(EXP(B4290*A4290/360)-1)*360/A4290</f>
        <v>#VALUE!</v>
      </c>
      <c r="E4290" t="e">
        <f>cubic_spline(CURVA!$B$6:$B$20,CURVA!$G$6:$G$20,#REF!)</f>
        <v>#VALUE!</v>
      </c>
    </row>
    <row r="4291" spans="1:5" x14ac:dyDescent="0.2">
      <c r="A4291" s="28">
        <v>4290</v>
      </c>
      <c r="B4291" s="28" t="e">
        <f>interpola(#REF!,CURVA!$B$6:$B$20,CURVA!$G$6:$G$20)</f>
        <v>#VALUE!</v>
      </c>
      <c r="C4291" s="29" t="e">
        <f t="shared" si="67"/>
        <v>#VALUE!</v>
      </c>
      <c r="E4291" t="e">
        <f>cubic_spline(CURVA!$B$6:$B$20,CURVA!$G$6:$G$20,#REF!)</f>
        <v>#VALUE!</v>
      </c>
    </row>
    <row r="4292" spans="1:5" x14ac:dyDescent="0.2">
      <c r="A4292" s="28">
        <v>4291</v>
      </c>
      <c r="B4292" s="28" t="e">
        <f>interpola(#REF!,CURVA!$B$6:$B$20,CURVA!$G$6:$G$20)</f>
        <v>#VALUE!</v>
      </c>
      <c r="C4292" s="29" t="e">
        <f t="shared" si="67"/>
        <v>#VALUE!</v>
      </c>
      <c r="E4292" t="e">
        <f>cubic_spline(CURVA!$B$6:$B$20,CURVA!$G$6:$G$20,#REF!)</f>
        <v>#VALUE!</v>
      </c>
    </row>
    <row r="4293" spans="1:5" x14ac:dyDescent="0.2">
      <c r="A4293" s="28">
        <v>4292</v>
      </c>
      <c r="B4293" s="28" t="e">
        <f>interpola(#REF!,CURVA!$B$6:$B$20,CURVA!$G$6:$G$20)</f>
        <v>#VALUE!</v>
      </c>
      <c r="C4293" s="29" t="e">
        <f t="shared" si="67"/>
        <v>#VALUE!</v>
      </c>
      <c r="E4293" t="e">
        <f>cubic_spline(CURVA!$B$6:$B$20,CURVA!$G$6:$G$20,#REF!)</f>
        <v>#VALUE!</v>
      </c>
    </row>
    <row r="4294" spans="1:5" x14ac:dyDescent="0.2">
      <c r="A4294" s="28">
        <v>4293</v>
      </c>
      <c r="B4294" s="28" t="e">
        <f>interpola(#REF!,CURVA!$B$6:$B$20,CURVA!$G$6:$G$20)</f>
        <v>#VALUE!</v>
      </c>
      <c r="C4294" s="29" t="e">
        <f t="shared" si="67"/>
        <v>#VALUE!</v>
      </c>
      <c r="E4294" t="e">
        <f>cubic_spline(CURVA!$B$6:$B$20,CURVA!$G$6:$G$20,#REF!)</f>
        <v>#VALUE!</v>
      </c>
    </row>
    <row r="4295" spans="1:5" x14ac:dyDescent="0.2">
      <c r="A4295" s="28">
        <v>4294</v>
      </c>
      <c r="B4295" s="28" t="e">
        <f>interpola(#REF!,CURVA!$B$6:$B$20,CURVA!$G$6:$G$20)</f>
        <v>#VALUE!</v>
      </c>
      <c r="C4295" s="29" t="e">
        <f t="shared" si="67"/>
        <v>#VALUE!</v>
      </c>
      <c r="E4295" t="e">
        <f>cubic_spline(CURVA!$B$6:$B$20,CURVA!$G$6:$G$20,#REF!)</f>
        <v>#VALUE!</v>
      </c>
    </row>
    <row r="4296" spans="1:5" x14ac:dyDescent="0.2">
      <c r="A4296" s="28">
        <v>4295</v>
      </c>
      <c r="B4296" s="28" t="e">
        <f>interpola(#REF!,CURVA!$B$6:$B$20,CURVA!$G$6:$G$20)</f>
        <v>#VALUE!</v>
      </c>
      <c r="C4296" s="29" t="e">
        <f t="shared" si="67"/>
        <v>#VALUE!</v>
      </c>
      <c r="E4296" t="e">
        <f>cubic_spline(CURVA!$B$6:$B$20,CURVA!$G$6:$G$20,#REF!)</f>
        <v>#VALUE!</v>
      </c>
    </row>
    <row r="4297" spans="1:5" x14ac:dyDescent="0.2">
      <c r="A4297" s="28">
        <v>4296</v>
      </c>
      <c r="B4297" s="28" t="e">
        <f>interpola(#REF!,CURVA!$B$6:$B$20,CURVA!$G$6:$G$20)</f>
        <v>#VALUE!</v>
      </c>
      <c r="C4297" s="29" t="e">
        <f t="shared" si="67"/>
        <v>#VALUE!</v>
      </c>
      <c r="E4297" t="e">
        <f>cubic_spline(CURVA!$B$6:$B$20,CURVA!$G$6:$G$20,#REF!)</f>
        <v>#VALUE!</v>
      </c>
    </row>
    <row r="4298" spans="1:5" x14ac:dyDescent="0.2">
      <c r="A4298" s="28">
        <v>4297</v>
      </c>
      <c r="B4298" s="28" t="e">
        <f>interpola(#REF!,CURVA!$B$6:$B$20,CURVA!$G$6:$G$20)</f>
        <v>#VALUE!</v>
      </c>
      <c r="C4298" s="29" t="e">
        <f t="shared" si="67"/>
        <v>#VALUE!</v>
      </c>
      <c r="E4298" t="e">
        <f>cubic_spline(CURVA!$B$6:$B$20,CURVA!$G$6:$G$20,#REF!)</f>
        <v>#VALUE!</v>
      </c>
    </row>
    <row r="4299" spans="1:5" x14ac:dyDescent="0.2">
      <c r="A4299" s="28">
        <v>4298</v>
      </c>
      <c r="B4299" s="28" t="e">
        <f>interpola(#REF!,CURVA!$B$6:$B$20,CURVA!$G$6:$G$20)</f>
        <v>#VALUE!</v>
      </c>
      <c r="C4299" s="29" t="e">
        <f t="shared" si="67"/>
        <v>#VALUE!</v>
      </c>
      <c r="E4299" t="e">
        <f>cubic_spline(CURVA!$B$6:$B$20,CURVA!$G$6:$G$20,#REF!)</f>
        <v>#VALUE!</v>
      </c>
    </row>
    <row r="4300" spans="1:5" x14ac:dyDescent="0.2">
      <c r="A4300" s="28">
        <v>4299</v>
      </c>
      <c r="B4300" s="28" t="e">
        <f>interpola(#REF!,CURVA!$B$6:$B$20,CURVA!$G$6:$G$20)</f>
        <v>#VALUE!</v>
      </c>
      <c r="C4300" s="29" t="e">
        <f t="shared" si="67"/>
        <v>#VALUE!</v>
      </c>
      <c r="E4300" t="e">
        <f>cubic_spline(CURVA!$B$6:$B$20,CURVA!$G$6:$G$20,#REF!)</f>
        <v>#VALUE!</v>
      </c>
    </row>
    <row r="4301" spans="1:5" x14ac:dyDescent="0.2">
      <c r="A4301" s="28">
        <v>4300</v>
      </c>
      <c r="B4301" s="28" t="e">
        <f>interpola(#REF!,CURVA!$B$6:$B$20,CURVA!$G$6:$G$20)</f>
        <v>#VALUE!</v>
      </c>
      <c r="C4301" s="29" t="e">
        <f t="shared" si="67"/>
        <v>#VALUE!</v>
      </c>
      <c r="E4301" t="e">
        <f>cubic_spline(CURVA!$B$6:$B$20,CURVA!$G$6:$G$20,#REF!)</f>
        <v>#VALUE!</v>
      </c>
    </row>
    <row r="4302" spans="1:5" x14ac:dyDescent="0.2">
      <c r="A4302" s="28">
        <v>4301</v>
      </c>
      <c r="B4302" s="28" t="e">
        <f>interpola(#REF!,CURVA!$B$6:$B$20,CURVA!$G$6:$G$20)</f>
        <v>#VALUE!</v>
      </c>
      <c r="C4302" s="29" t="e">
        <f t="shared" si="67"/>
        <v>#VALUE!</v>
      </c>
      <c r="E4302" t="e">
        <f>cubic_spline(CURVA!$B$6:$B$20,CURVA!$G$6:$G$20,#REF!)</f>
        <v>#VALUE!</v>
      </c>
    </row>
    <row r="4303" spans="1:5" x14ac:dyDescent="0.2">
      <c r="A4303" s="28">
        <v>4302</v>
      </c>
      <c r="B4303" s="28" t="e">
        <f>interpola(#REF!,CURVA!$B$6:$B$20,CURVA!$G$6:$G$20)</f>
        <v>#VALUE!</v>
      </c>
      <c r="C4303" s="29" t="e">
        <f t="shared" si="67"/>
        <v>#VALUE!</v>
      </c>
      <c r="E4303" t="e">
        <f>cubic_spline(CURVA!$B$6:$B$20,CURVA!$G$6:$G$20,#REF!)</f>
        <v>#VALUE!</v>
      </c>
    </row>
    <row r="4304" spans="1:5" x14ac:dyDescent="0.2">
      <c r="A4304" s="28">
        <v>4303</v>
      </c>
      <c r="B4304" s="28" t="e">
        <f>interpola(#REF!,CURVA!$B$6:$B$20,CURVA!$G$6:$G$20)</f>
        <v>#VALUE!</v>
      </c>
      <c r="C4304" s="29" t="e">
        <f t="shared" si="67"/>
        <v>#VALUE!</v>
      </c>
      <c r="E4304" t="e">
        <f>cubic_spline(CURVA!$B$6:$B$20,CURVA!$G$6:$G$20,#REF!)</f>
        <v>#VALUE!</v>
      </c>
    </row>
    <row r="4305" spans="1:5" x14ac:dyDescent="0.2">
      <c r="A4305" s="28">
        <v>4304</v>
      </c>
      <c r="B4305" s="28" t="e">
        <f>interpola(#REF!,CURVA!$B$6:$B$20,CURVA!$G$6:$G$20)</f>
        <v>#VALUE!</v>
      </c>
      <c r="C4305" s="29" t="e">
        <f t="shared" si="67"/>
        <v>#VALUE!</v>
      </c>
      <c r="E4305" t="e">
        <f>cubic_spline(CURVA!$B$6:$B$20,CURVA!$G$6:$G$20,#REF!)</f>
        <v>#VALUE!</v>
      </c>
    </row>
    <row r="4306" spans="1:5" x14ac:dyDescent="0.2">
      <c r="A4306" s="28">
        <v>4305</v>
      </c>
      <c r="B4306" s="28" t="e">
        <f>interpola(#REF!,CURVA!$B$6:$B$20,CURVA!$G$6:$G$20)</f>
        <v>#VALUE!</v>
      </c>
      <c r="C4306" s="29" t="e">
        <f t="shared" si="67"/>
        <v>#VALUE!</v>
      </c>
      <c r="E4306" t="e">
        <f>cubic_spline(CURVA!$B$6:$B$20,CURVA!$G$6:$G$20,#REF!)</f>
        <v>#VALUE!</v>
      </c>
    </row>
    <row r="4307" spans="1:5" x14ac:dyDescent="0.2">
      <c r="A4307" s="28">
        <v>4306</v>
      </c>
      <c r="B4307" s="28" t="e">
        <f>interpola(#REF!,CURVA!$B$6:$B$20,CURVA!$G$6:$G$20)</f>
        <v>#VALUE!</v>
      </c>
      <c r="C4307" s="29" t="e">
        <f t="shared" si="67"/>
        <v>#VALUE!</v>
      </c>
      <c r="E4307" t="e">
        <f>cubic_spline(CURVA!$B$6:$B$20,CURVA!$G$6:$G$20,#REF!)</f>
        <v>#VALUE!</v>
      </c>
    </row>
    <row r="4308" spans="1:5" x14ac:dyDescent="0.2">
      <c r="A4308" s="28">
        <v>4307</v>
      </c>
      <c r="B4308" s="28" t="e">
        <f>interpola(#REF!,CURVA!$B$6:$B$20,CURVA!$G$6:$G$20)</f>
        <v>#VALUE!</v>
      </c>
      <c r="C4308" s="29" t="e">
        <f t="shared" si="67"/>
        <v>#VALUE!</v>
      </c>
      <c r="E4308" t="e">
        <f>cubic_spline(CURVA!$B$6:$B$20,CURVA!$G$6:$G$20,#REF!)</f>
        <v>#VALUE!</v>
      </c>
    </row>
    <row r="4309" spans="1:5" x14ac:dyDescent="0.2">
      <c r="A4309" s="28">
        <v>4308</v>
      </c>
      <c r="B4309" s="28" t="e">
        <f>interpola(#REF!,CURVA!$B$6:$B$20,CURVA!$G$6:$G$20)</f>
        <v>#VALUE!</v>
      </c>
      <c r="C4309" s="29" t="e">
        <f t="shared" si="67"/>
        <v>#VALUE!</v>
      </c>
      <c r="E4309" t="e">
        <f>cubic_spline(CURVA!$B$6:$B$20,CURVA!$G$6:$G$20,#REF!)</f>
        <v>#VALUE!</v>
      </c>
    </row>
    <row r="4310" spans="1:5" x14ac:dyDescent="0.2">
      <c r="A4310" s="28">
        <v>4309</v>
      </c>
      <c r="B4310" s="28" t="e">
        <f>interpola(#REF!,CURVA!$B$6:$B$20,CURVA!$G$6:$G$20)</f>
        <v>#VALUE!</v>
      </c>
      <c r="C4310" s="29" t="e">
        <f t="shared" si="67"/>
        <v>#VALUE!</v>
      </c>
      <c r="E4310" t="e">
        <f>cubic_spline(CURVA!$B$6:$B$20,CURVA!$G$6:$G$20,#REF!)</f>
        <v>#VALUE!</v>
      </c>
    </row>
    <row r="4311" spans="1:5" x14ac:dyDescent="0.2">
      <c r="A4311" s="28">
        <v>4310</v>
      </c>
      <c r="B4311" s="28" t="e">
        <f>interpola(#REF!,CURVA!$B$6:$B$20,CURVA!$G$6:$G$20)</f>
        <v>#VALUE!</v>
      </c>
      <c r="C4311" s="29" t="e">
        <f t="shared" si="67"/>
        <v>#VALUE!</v>
      </c>
      <c r="E4311" t="e">
        <f>cubic_spline(CURVA!$B$6:$B$20,CURVA!$G$6:$G$20,#REF!)</f>
        <v>#VALUE!</v>
      </c>
    </row>
    <row r="4312" spans="1:5" x14ac:dyDescent="0.2">
      <c r="A4312" s="28">
        <v>4311</v>
      </c>
      <c r="B4312" s="28" t="e">
        <f>interpola(#REF!,CURVA!$B$6:$B$20,CURVA!$G$6:$G$20)</f>
        <v>#VALUE!</v>
      </c>
      <c r="C4312" s="29" t="e">
        <f t="shared" si="67"/>
        <v>#VALUE!</v>
      </c>
      <c r="E4312" t="e">
        <f>cubic_spline(CURVA!$B$6:$B$20,CURVA!$G$6:$G$20,#REF!)</f>
        <v>#VALUE!</v>
      </c>
    </row>
    <row r="4313" spans="1:5" x14ac:dyDescent="0.2">
      <c r="A4313" s="28">
        <v>4312</v>
      </c>
      <c r="B4313" s="28" t="e">
        <f>interpola(#REF!,CURVA!$B$6:$B$20,CURVA!$G$6:$G$20)</f>
        <v>#VALUE!</v>
      </c>
      <c r="C4313" s="29" t="e">
        <f t="shared" si="67"/>
        <v>#VALUE!</v>
      </c>
      <c r="E4313" t="e">
        <f>cubic_spline(CURVA!$B$6:$B$20,CURVA!$G$6:$G$20,#REF!)</f>
        <v>#VALUE!</v>
      </c>
    </row>
    <row r="4314" spans="1:5" x14ac:dyDescent="0.2">
      <c r="A4314" s="28">
        <v>4313</v>
      </c>
      <c r="B4314" s="28" t="e">
        <f>interpola(#REF!,CURVA!$B$6:$B$20,CURVA!$G$6:$G$20)</f>
        <v>#VALUE!</v>
      </c>
      <c r="C4314" s="29" t="e">
        <f t="shared" si="67"/>
        <v>#VALUE!</v>
      </c>
      <c r="E4314" t="e">
        <f>cubic_spline(CURVA!$B$6:$B$20,CURVA!$G$6:$G$20,#REF!)</f>
        <v>#VALUE!</v>
      </c>
    </row>
    <row r="4315" spans="1:5" x14ac:dyDescent="0.2">
      <c r="A4315" s="28">
        <v>4314</v>
      </c>
      <c r="B4315" s="28" t="e">
        <f>interpola(#REF!,CURVA!$B$6:$B$20,CURVA!$G$6:$G$20)</f>
        <v>#VALUE!</v>
      </c>
      <c r="C4315" s="29" t="e">
        <f t="shared" si="67"/>
        <v>#VALUE!</v>
      </c>
      <c r="E4315" t="e">
        <f>cubic_spline(CURVA!$B$6:$B$20,CURVA!$G$6:$G$20,#REF!)</f>
        <v>#VALUE!</v>
      </c>
    </row>
    <row r="4316" spans="1:5" x14ac:dyDescent="0.2">
      <c r="A4316" s="28">
        <v>4315</v>
      </c>
      <c r="B4316" s="28" t="e">
        <f>interpola(#REF!,CURVA!$B$6:$B$20,CURVA!$G$6:$G$20)</f>
        <v>#VALUE!</v>
      </c>
      <c r="C4316" s="29" t="e">
        <f t="shared" si="67"/>
        <v>#VALUE!</v>
      </c>
      <c r="E4316" t="e">
        <f>cubic_spline(CURVA!$B$6:$B$20,CURVA!$G$6:$G$20,#REF!)</f>
        <v>#VALUE!</v>
      </c>
    </row>
    <row r="4317" spans="1:5" x14ac:dyDescent="0.2">
      <c r="A4317" s="28">
        <v>4316</v>
      </c>
      <c r="B4317" s="28" t="e">
        <f>interpola(#REF!,CURVA!$B$6:$B$20,CURVA!$G$6:$G$20)</f>
        <v>#VALUE!</v>
      </c>
      <c r="C4317" s="29" t="e">
        <f t="shared" si="67"/>
        <v>#VALUE!</v>
      </c>
      <c r="E4317" t="e">
        <f>cubic_spline(CURVA!$B$6:$B$20,CURVA!$G$6:$G$20,#REF!)</f>
        <v>#VALUE!</v>
      </c>
    </row>
    <row r="4318" spans="1:5" x14ac:dyDescent="0.2">
      <c r="A4318" s="28">
        <v>4317</v>
      </c>
      <c r="B4318" s="28" t="e">
        <f>interpola(#REF!,CURVA!$B$6:$B$20,CURVA!$G$6:$G$20)</f>
        <v>#VALUE!</v>
      </c>
      <c r="C4318" s="29" t="e">
        <f t="shared" si="67"/>
        <v>#VALUE!</v>
      </c>
      <c r="E4318" t="e">
        <f>cubic_spline(CURVA!$B$6:$B$20,CURVA!$G$6:$G$20,#REF!)</f>
        <v>#VALUE!</v>
      </c>
    </row>
    <row r="4319" spans="1:5" x14ac:dyDescent="0.2">
      <c r="A4319" s="28">
        <v>4318</v>
      </c>
      <c r="B4319" s="28" t="e">
        <f>interpola(#REF!,CURVA!$B$6:$B$20,CURVA!$G$6:$G$20)</f>
        <v>#VALUE!</v>
      </c>
      <c r="C4319" s="29" t="e">
        <f t="shared" si="67"/>
        <v>#VALUE!</v>
      </c>
      <c r="E4319" t="e">
        <f>cubic_spline(CURVA!$B$6:$B$20,CURVA!$G$6:$G$20,#REF!)</f>
        <v>#VALUE!</v>
      </c>
    </row>
    <row r="4320" spans="1:5" x14ac:dyDescent="0.2">
      <c r="A4320" s="28">
        <v>4319</v>
      </c>
      <c r="B4320" s="28" t="e">
        <f>interpola(#REF!,CURVA!$B$6:$B$20,CURVA!$G$6:$G$20)</f>
        <v>#VALUE!</v>
      </c>
      <c r="C4320" s="29" t="e">
        <f t="shared" si="67"/>
        <v>#VALUE!</v>
      </c>
      <c r="E4320" t="e">
        <f>cubic_spline(CURVA!$B$6:$B$20,CURVA!$G$6:$G$20,#REF!)</f>
        <v>#VALUE!</v>
      </c>
    </row>
    <row r="4321" spans="1:5" x14ac:dyDescent="0.2">
      <c r="A4321" s="28">
        <v>4320</v>
      </c>
      <c r="B4321" s="28" t="e">
        <f>interpola(#REF!,CURVA!$B$6:$B$20,CURVA!$G$6:$G$20)</f>
        <v>#VALUE!</v>
      </c>
      <c r="C4321" s="29" t="e">
        <f t="shared" si="67"/>
        <v>#VALUE!</v>
      </c>
      <c r="E4321" t="e">
        <f>cubic_spline(CURVA!$B$6:$B$20,CURVA!$G$6:$G$20,#REF!)</f>
        <v>#VALUE!</v>
      </c>
    </row>
    <row r="4322" spans="1:5" x14ac:dyDescent="0.2">
      <c r="A4322" s="28">
        <v>4321</v>
      </c>
      <c r="B4322" s="28" t="e">
        <f>interpola(#REF!,CURVA!$B$6:$B$20,CURVA!$G$6:$G$20)</f>
        <v>#VALUE!</v>
      </c>
      <c r="C4322" s="29" t="e">
        <f t="shared" si="67"/>
        <v>#VALUE!</v>
      </c>
      <c r="E4322" t="e">
        <f>cubic_spline(CURVA!$B$6:$B$20,CURVA!$G$6:$G$20,#REF!)</f>
        <v>#VALUE!</v>
      </c>
    </row>
    <row r="4323" spans="1:5" x14ac:dyDescent="0.2">
      <c r="A4323" s="28">
        <v>4322</v>
      </c>
      <c r="B4323" s="28" t="e">
        <f>interpola(#REF!,CURVA!$B$6:$B$20,CURVA!$G$6:$G$20)</f>
        <v>#VALUE!</v>
      </c>
      <c r="C4323" s="29" t="e">
        <f t="shared" si="67"/>
        <v>#VALUE!</v>
      </c>
      <c r="E4323" t="e">
        <f>cubic_spline(CURVA!$B$6:$B$20,CURVA!$G$6:$G$20,#REF!)</f>
        <v>#VALUE!</v>
      </c>
    </row>
    <row r="4324" spans="1:5" x14ac:dyDescent="0.2">
      <c r="A4324" s="28">
        <v>4323</v>
      </c>
      <c r="B4324" s="28" t="e">
        <f>interpola(#REF!,CURVA!$B$6:$B$20,CURVA!$G$6:$G$20)</f>
        <v>#VALUE!</v>
      </c>
      <c r="C4324" s="29" t="e">
        <f t="shared" si="67"/>
        <v>#VALUE!</v>
      </c>
      <c r="E4324" t="e">
        <f>cubic_spline(CURVA!$B$6:$B$20,CURVA!$G$6:$G$20,#REF!)</f>
        <v>#VALUE!</v>
      </c>
    </row>
    <row r="4325" spans="1:5" x14ac:dyDescent="0.2">
      <c r="A4325" s="28">
        <v>4324</v>
      </c>
      <c r="B4325" s="28" t="e">
        <f>interpola(#REF!,CURVA!$B$6:$B$20,CURVA!$G$6:$G$20)</f>
        <v>#VALUE!</v>
      </c>
      <c r="C4325" s="29" t="e">
        <f t="shared" si="67"/>
        <v>#VALUE!</v>
      </c>
      <c r="E4325" t="e">
        <f>cubic_spline(CURVA!$B$6:$B$20,CURVA!$G$6:$G$20,#REF!)</f>
        <v>#VALUE!</v>
      </c>
    </row>
    <row r="4326" spans="1:5" x14ac:dyDescent="0.2">
      <c r="A4326" s="28">
        <v>4325</v>
      </c>
      <c r="B4326" s="28" t="e">
        <f>interpola(#REF!,CURVA!$B$6:$B$20,CURVA!$G$6:$G$20)</f>
        <v>#VALUE!</v>
      </c>
      <c r="C4326" s="29" t="e">
        <f t="shared" si="67"/>
        <v>#VALUE!</v>
      </c>
      <c r="E4326" t="e">
        <f>cubic_spline(CURVA!$B$6:$B$20,CURVA!$G$6:$G$20,#REF!)</f>
        <v>#VALUE!</v>
      </c>
    </row>
    <row r="4327" spans="1:5" x14ac:dyDescent="0.2">
      <c r="A4327" s="28">
        <v>4326</v>
      </c>
      <c r="B4327" s="28" t="e">
        <f>interpola(#REF!,CURVA!$B$6:$B$20,CURVA!$G$6:$G$20)</f>
        <v>#VALUE!</v>
      </c>
      <c r="C4327" s="29" t="e">
        <f t="shared" si="67"/>
        <v>#VALUE!</v>
      </c>
      <c r="E4327" t="e">
        <f>cubic_spline(CURVA!$B$6:$B$20,CURVA!$G$6:$G$20,#REF!)</f>
        <v>#VALUE!</v>
      </c>
    </row>
    <row r="4328" spans="1:5" x14ac:dyDescent="0.2">
      <c r="A4328" s="28">
        <v>4327</v>
      </c>
      <c r="B4328" s="28" t="e">
        <f>interpola(#REF!,CURVA!$B$6:$B$20,CURVA!$G$6:$G$20)</f>
        <v>#VALUE!</v>
      </c>
      <c r="C4328" s="29" t="e">
        <f t="shared" si="67"/>
        <v>#VALUE!</v>
      </c>
      <c r="E4328" t="e">
        <f>cubic_spline(CURVA!$B$6:$B$20,CURVA!$G$6:$G$20,#REF!)</f>
        <v>#VALUE!</v>
      </c>
    </row>
    <row r="4329" spans="1:5" x14ac:dyDescent="0.2">
      <c r="A4329" s="28">
        <v>4328</v>
      </c>
      <c r="B4329" s="28" t="e">
        <f>interpola(#REF!,CURVA!$B$6:$B$20,CURVA!$G$6:$G$20)</f>
        <v>#VALUE!</v>
      </c>
      <c r="C4329" s="29" t="e">
        <f t="shared" si="67"/>
        <v>#VALUE!</v>
      </c>
      <c r="E4329" t="e">
        <f>cubic_spline(CURVA!$B$6:$B$20,CURVA!$G$6:$G$20,#REF!)</f>
        <v>#VALUE!</v>
      </c>
    </row>
    <row r="4330" spans="1:5" x14ac:dyDescent="0.2">
      <c r="A4330" s="28">
        <v>4329</v>
      </c>
      <c r="B4330" s="28" t="e">
        <f>interpola(#REF!,CURVA!$B$6:$B$20,CURVA!$G$6:$G$20)</f>
        <v>#VALUE!</v>
      </c>
      <c r="C4330" s="29" t="e">
        <f t="shared" si="67"/>
        <v>#VALUE!</v>
      </c>
      <c r="E4330" t="e">
        <f>cubic_spline(CURVA!$B$6:$B$20,CURVA!$G$6:$G$20,#REF!)</f>
        <v>#VALUE!</v>
      </c>
    </row>
    <row r="4331" spans="1:5" x14ac:dyDescent="0.2">
      <c r="A4331" s="28">
        <v>4330</v>
      </c>
      <c r="B4331" s="28" t="e">
        <f>interpola(#REF!,CURVA!$B$6:$B$20,CURVA!$G$6:$G$20)</f>
        <v>#VALUE!</v>
      </c>
      <c r="C4331" s="29" t="e">
        <f t="shared" si="67"/>
        <v>#VALUE!</v>
      </c>
      <c r="E4331" t="e">
        <f>cubic_spline(CURVA!$B$6:$B$20,CURVA!$G$6:$G$20,#REF!)</f>
        <v>#VALUE!</v>
      </c>
    </row>
    <row r="4332" spans="1:5" x14ac:dyDescent="0.2">
      <c r="A4332" s="28">
        <v>4331</v>
      </c>
      <c r="B4332" s="28" t="e">
        <f>interpola(#REF!,CURVA!$B$6:$B$20,CURVA!$G$6:$G$20)</f>
        <v>#VALUE!</v>
      </c>
      <c r="C4332" s="29" t="e">
        <f t="shared" si="67"/>
        <v>#VALUE!</v>
      </c>
      <c r="E4332" t="e">
        <f>cubic_spline(CURVA!$B$6:$B$20,CURVA!$G$6:$G$20,#REF!)</f>
        <v>#VALUE!</v>
      </c>
    </row>
    <row r="4333" spans="1:5" x14ac:dyDescent="0.2">
      <c r="A4333" s="28">
        <v>4332</v>
      </c>
      <c r="B4333" s="28" t="e">
        <f>interpola(#REF!,CURVA!$B$6:$B$20,CURVA!$G$6:$G$20)</f>
        <v>#VALUE!</v>
      </c>
      <c r="C4333" s="29" t="e">
        <f t="shared" si="67"/>
        <v>#VALUE!</v>
      </c>
      <c r="E4333" t="e">
        <f>cubic_spline(CURVA!$B$6:$B$20,CURVA!$G$6:$G$20,#REF!)</f>
        <v>#VALUE!</v>
      </c>
    </row>
    <row r="4334" spans="1:5" x14ac:dyDescent="0.2">
      <c r="A4334" s="28">
        <v>4333</v>
      </c>
      <c r="B4334" s="28" t="e">
        <f>interpola(#REF!,CURVA!$B$6:$B$20,CURVA!$G$6:$G$20)</f>
        <v>#VALUE!</v>
      </c>
      <c r="C4334" s="29" t="e">
        <f t="shared" si="67"/>
        <v>#VALUE!</v>
      </c>
      <c r="E4334" t="e">
        <f>cubic_spline(CURVA!$B$6:$B$20,CURVA!$G$6:$G$20,#REF!)</f>
        <v>#VALUE!</v>
      </c>
    </row>
    <row r="4335" spans="1:5" x14ac:dyDescent="0.2">
      <c r="A4335" s="28">
        <v>4334</v>
      </c>
      <c r="B4335" s="28" t="e">
        <f>interpola(#REF!,CURVA!$B$6:$B$20,CURVA!$G$6:$G$20)</f>
        <v>#VALUE!</v>
      </c>
      <c r="C4335" s="29" t="e">
        <f t="shared" si="67"/>
        <v>#VALUE!</v>
      </c>
      <c r="E4335" t="e">
        <f>cubic_spline(CURVA!$B$6:$B$20,CURVA!$G$6:$G$20,#REF!)</f>
        <v>#VALUE!</v>
      </c>
    </row>
    <row r="4336" spans="1:5" x14ac:dyDescent="0.2">
      <c r="A4336" s="28">
        <v>4335</v>
      </c>
      <c r="B4336" s="28" t="e">
        <f>interpola(#REF!,CURVA!$B$6:$B$20,CURVA!$G$6:$G$20)</f>
        <v>#VALUE!</v>
      </c>
      <c r="C4336" s="29" t="e">
        <f t="shared" si="67"/>
        <v>#VALUE!</v>
      </c>
      <c r="E4336" t="e">
        <f>cubic_spline(CURVA!$B$6:$B$20,CURVA!$G$6:$G$20,#REF!)</f>
        <v>#VALUE!</v>
      </c>
    </row>
    <row r="4337" spans="1:5" x14ac:dyDescent="0.2">
      <c r="A4337" s="28">
        <v>4336</v>
      </c>
      <c r="B4337" s="28" t="e">
        <f>interpola(#REF!,CURVA!$B$6:$B$20,CURVA!$G$6:$G$20)</f>
        <v>#VALUE!</v>
      </c>
      <c r="C4337" s="29" t="e">
        <f t="shared" si="67"/>
        <v>#VALUE!</v>
      </c>
      <c r="E4337" t="e">
        <f>cubic_spline(CURVA!$B$6:$B$20,CURVA!$G$6:$G$20,#REF!)</f>
        <v>#VALUE!</v>
      </c>
    </row>
    <row r="4338" spans="1:5" x14ac:dyDescent="0.2">
      <c r="A4338" s="28">
        <v>4337</v>
      </c>
      <c r="B4338" s="28" t="e">
        <f>interpola(#REF!,CURVA!$B$6:$B$20,CURVA!$G$6:$G$20)</f>
        <v>#VALUE!</v>
      </c>
      <c r="C4338" s="29" t="e">
        <f t="shared" si="67"/>
        <v>#VALUE!</v>
      </c>
      <c r="E4338" t="e">
        <f>cubic_spline(CURVA!$B$6:$B$20,CURVA!$G$6:$G$20,#REF!)</f>
        <v>#VALUE!</v>
      </c>
    </row>
    <row r="4339" spans="1:5" x14ac:dyDescent="0.2">
      <c r="A4339" s="28">
        <v>4338</v>
      </c>
      <c r="B4339" s="28" t="e">
        <f>interpola(#REF!,CURVA!$B$6:$B$20,CURVA!$G$6:$G$20)</f>
        <v>#VALUE!</v>
      </c>
      <c r="C4339" s="29" t="e">
        <f t="shared" si="67"/>
        <v>#VALUE!</v>
      </c>
      <c r="E4339" t="e">
        <f>cubic_spline(CURVA!$B$6:$B$20,CURVA!$G$6:$G$20,#REF!)</f>
        <v>#VALUE!</v>
      </c>
    </row>
    <row r="4340" spans="1:5" x14ac:dyDescent="0.2">
      <c r="A4340" s="28">
        <v>4339</v>
      </c>
      <c r="B4340" s="28" t="e">
        <f>interpola(#REF!,CURVA!$B$6:$B$20,CURVA!$G$6:$G$20)</f>
        <v>#VALUE!</v>
      </c>
      <c r="C4340" s="29" t="e">
        <f t="shared" si="67"/>
        <v>#VALUE!</v>
      </c>
      <c r="E4340" t="e">
        <f>cubic_spline(CURVA!$B$6:$B$20,CURVA!$G$6:$G$20,#REF!)</f>
        <v>#VALUE!</v>
      </c>
    </row>
    <row r="4341" spans="1:5" x14ac:dyDescent="0.2">
      <c r="A4341" s="28">
        <v>4340</v>
      </c>
      <c r="B4341" s="28" t="e">
        <f>interpola(#REF!,CURVA!$B$6:$B$20,CURVA!$G$6:$G$20)</f>
        <v>#VALUE!</v>
      </c>
      <c r="C4341" s="29" t="e">
        <f t="shared" si="67"/>
        <v>#VALUE!</v>
      </c>
      <c r="E4341" t="e">
        <f>cubic_spline(CURVA!$B$6:$B$20,CURVA!$G$6:$G$20,#REF!)</f>
        <v>#VALUE!</v>
      </c>
    </row>
    <row r="4342" spans="1:5" x14ac:dyDescent="0.2">
      <c r="A4342" s="28">
        <v>4341</v>
      </c>
      <c r="B4342" s="28" t="e">
        <f>interpola(#REF!,CURVA!$B$6:$B$20,CURVA!$G$6:$G$20)</f>
        <v>#VALUE!</v>
      </c>
      <c r="C4342" s="29" t="e">
        <f t="shared" si="67"/>
        <v>#VALUE!</v>
      </c>
      <c r="E4342" t="e">
        <f>cubic_spline(CURVA!$B$6:$B$20,CURVA!$G$6:$G$20,#REF!)</f>
        <v>#VALUE!</v>
      </c>
    </row>
    <row r="4343" spans="1:5" x14ac:dyDescent="0.2">
      <c r="A4343" s="28">
        <v>4342</v>
      </c>
      <c r="B4343" s="28" t="e">
        <f>interpola(#REF!,CURVA!$B$6:$B$20,CURVA!$G$6:$G$20)</f>
        <v>#VALUE!</v>
      </c>
      <c r="C4343" s="29" t="e">
        <f t="shared" si="67"/>
        <v>#VALUE!</v>
      </c>
      <c r="E4343" t="e">
        <f>cubic_spline(CURVA!$B$6:$B$20,CURVA!$G$6:$G$20,#REF!)</f>
        <v>#VALUE!</v>
      </c>
    </row>
    <row r="4344" spans="1:5" x14ac:dyDescent="0.2">
      <c r="A4344" s="28">
        <v>4343</v>
      </c>
      <c r="B4344" s="28" t="e">
        <f>interpola(#REF!,CURVA!$B$6:$B$20,CURVA!$G$6:$G$20)</f>
        <v>#VALUE!</v>
      </c>
      <c r="C4344" s="29" t="e">
        <f t="shared" si="67"/>
        <v>#VALUE!</v>
      </c>
      <c r="E4344" t="e">
        <f>cubic_spline(CURVA!$B$6:$B$20,CURVA!$G$6:$G$20,#REF!)</f>
        <v>#VALUE!</v>
      </c>
    </row>
    <row r="4345" spans="1:5" x14ac:dyDescent="0.2">
      <c r="A4345" s="28">
        <v>4344</v>
      </c>
      <c r="B4345" s="28" t="e">
        <f>interpola(#REF!,CURVA!$B$6:$B$20,CURVA!$G$6:$G$20)</f>
        <v>#VALUE!</v>
      </c>
      <c r="C4345" s="29" t="e">
        <f t="shared" si="67"/>
        <v>#VALUE!</v>
      </c>
      <c r="E4345" t="e">
        <f>cubic_spline(CURVA!$B$6:$B$20,CURVA!$G$6:$G$20,#REF!)</f>
        <v>#VALUE!</v>
      </c>
    </row>
    <row r="4346" spans="1:5" x14ac:dyDescent="0.2">
      <c r="A4346" s="28">
        <v>4345</v>
      </c>
      <c r="B4346" s="28" t="e">
        <f>interpola(#REF!,CURVA!$B$6:$B$20,CURVA!$G$6:$G$20)</f>
        <v>#VALUE!</v>
      </c>
      <c r="C4346" s="29" t="e">
        <f t="shared" si="67"/>
        <v>#VALUE!</v>
      </c>
      <c r="E4346" t="e">
        <f>cubic_spline(CURVA!$B$6:$B$20,CURVA!$G$6:$G$20,#REF!)</f>
        <v>#VALUE!</v>
      </c>
    </row>
    <row r="4347" spans="1:5" x14ac:dyDescent="0.2">
      <c r="A4347" s="28">
        <v>4346</v>
      </c>
      <c r="B4347" s="28" t="e">
        <f>interpola(#REF!,CURVA!$B$6:$B$20,CURVA!$G$6:$G$20)</f>
        <v>#VALUE!</v>
      </c>
      <c r="C4347" s="29" t="e">
        <f t="shared" si="67"/>
        <v>#VALUE!</v>
      </c>
      <c r="E4347" t="e">
        <f>cubic_spline(CURVA!$B$6:$B$20,CURVA!$G$6:$G$20,#REF!)</f>
        <v>#VALUE!</v>
      </c>
    </row>
    <row r="4348" spans="1:5" x14ac:dyDescent="0.2">
      <c r="A4348" s="28">
        <v>4347</v>
      </c>
      <c r="B4348" s="28" t="e">
        <f>interpola(#REF!,CURVA!$B$6:$B$20,CURVA!$G$6:$G$20)</f>
        <v>#VALUE!</v>
      </c>
      <c r="C4348" s="29" t="e">
        <f t="shared" si="67"/>
        <v>#VALUE!</v>
      </c>
      <c r="E4348" t="e">
        <f>cubic_spline(CURVA!$B$6:$B$20,CURVA!$G$6:$G$20,#REF!)</f>
        <v>#VALUE!</v>
      </c>
    </row>
    <row r="4349" spans="1:5" x14ac:dyDescent="0.2">
      <c r="A4349" s="28">
        <v>4348</v>
      </c>
      <c r="B4349" s="28" t="e">
        <f>interpola(#REF!,CURVA!$B$6:$B$20,CURVA!$G$6:$G$20)</f>
        <v>#VALUE!</v>
      </c>
      <c r="C4349" s="29" t="e">
        <f t="shared" si="67"/>
        <v>#VALUE!</v>
      </c>
      <c r="E4349" t="e">
        <f>cubic_spline(CURVA!$B$6:$B$20,CURVA!$G$6:$G$20,#REF!)</f>
        <v>#VALUE!</v>
      </c>
    </row>
    <row r="4350" spans="1:5" x14ac:dyDescent="0.2">
      <c r="A4350" s="28">
        <v>4349</v>
      </c>
      <c r="B4350" s="28" t="e">
        <f>interpola(#REF!,CURVA!$B$6:$B$20,CURVA!$G$6:$G$20)</f>
        <v>#VALUE!</v>
      </c>
      <c r="C4350" s="29" t="e">
        <f t="shared" si="67"/>
        <v>#VALUE!</v>
      </c>
      <c r="E4350" t="e">
        <f>cubic_spline(CURVA!$B$6:$B$20,CURVA!$G$6:$G$20,#REF!)</f>
        <v>#VALUE!</v>
      </c>
    </row>
    <row r="4351" spans="1:5" x14ac:dyDescent="0.2">
      <c r="A4351" s="28">
        <v>4350</v>
      </c>
      <c r="B4351" s="28" t="e">
        <f>interpola(#REF!,CURVA!$B$6:$B$20,CURVA!$G$6:$G$20)</f>
        <v>#VALUE!</v>
      </c>
      <c r="C4351" s="29" t="e">
        <f t="shared" si="67"/>
        <v>#VALUE!</v>
      </c>
      <c r="E4351" t="e">
        <f>cubic_spline(CURVA!$B$6:$B$20,CURVA!$G$6:$G$20,#REF!)</f>
        <v>#VALUE!</v>
      </c>
    </row>
    <row r="4352" spans="1:5" x14ac:dyDescent="0.2">
      <c r="A4352" s="28">
        <v>4351</v>
      </c>
      <c r="B4352" s="28" t="e">
        <f>interpola(#REF!,CURVA!$B$6:$B$20,CURVA!$G$6:$G$20)</f>
        <v>#VALUE!</v>
      </c>
      <c r="C4352" s="29" t="e">
        <f t="shared" si="67"/>
        <v>#VALUE!</v>
      </c>
      <c r="E4352" t="e">
        <f>cubic_spline(CURVA!$B$6:$B$20,CURVA!$G$6:$G$20,#REF!)</f>
        <v>#VALUE!</v>
      </c>
    </row>
    <row r="4353" spans="1:5" x14ac:dyDescent="0.2">
      <c r="A4353" s="28">
        <v>4352</v>
      </c>
      <c r="B4353" s="28" t="e">
        <f>interpola(#REF!,CURVA!$B$6:$B$20,CURVA!$G$6:$G$20)</f>
        <v>#VALUE!</v>
      </c>
      <c r="C4353" s="29" t="e">
        <f t="shared" si="67"/>
        <v>#VALUE!</v>
      </c>
      <c r="E4353" t="e">
        <f>cubic_spline(CURVA!$B$6:$B$20,CURVA!$G$6:$G$20,#REF!)</f>
        <v>#VALUE!</v>
      </c>
    </row>
    <row r="4354" spans="1:5" x14ac:dyDescent="0.2">
      <c r="A4354" s="28">
        <v>4353</v>
      </c>
      <c r="B4354" s="28" t="e">
        <f>interpola(#REF!,CURVA!$B$6:$B$20,CURVA!$G$6:$G$20)</f>
        <v>#VALUE!</v>
      </c>
      <c r="C4354" s="29" t="e">
        <f t="shared" ref="C4354:C4417" si="68">(EXP(B4354*A4354/360)-1)*360/A4354</f>
        <v>#VALUE!</v>
      </c>
      <c r="E4354" t="e">
        <f>cubic_spline(CURVA!$B$6:$B$20,CURVA!$G$6:$G$20,#REF!)</f>
        <v>#VALUE!</v>
      </c>
    </row>
    <row r="4355" spans="1:5" x14ac:dyDescent="0.2">
      <c r="A4355" s="28">
        <v>4354</v>
      </c>
      <c r="B4355" s="28" t="e">
        <f>interpola(#REF!,CURVA!$B$6:$B$20,CURVA!$G$6:$G$20)</f>
        <v>#VALUE!</v>
      </c>
      <c r="C4355" s="29" t="e">
        <f t="shared" si="68"/>
        <v>#VALUE!</v>
      </c>
      <c r="E4355" t="e">
        <f>cubic_spline(CURVA!$B$6:$B$20,CURVA!$G$6:$G$20,#REF!)</f>
        <v>#VALUE!</v>
      </c>
    </row>
    <row r="4356" spans="1:5" x14ac:dyDescent="0.2">
      <c r="A4356" s="28">
        <v>4355</v>
      </c>
      <c r="B4356" s="28" t="e">
        <f>interpola(#REF!,CURVA!$B$6:$B$20,CURVA!$G$6:$G$20)</f>
        <v>#VALUE!</v>
      </c>
      <c r="C4356" s="29" t="e">
        <f t="shared" si="68"/>
        <v>#VALUE!</v>
      </c>
      <c r="E4356" t="e">
        <f>cubic_spline(CURVA!$B$6:$B$20,CURVA!$G$6:$G$20,#REF!)</f>
        <v>#VALUE!</v>
      </c>
    </row>
    <row r="4357" spans="1:5" x14ac:dyDescent="0.2">
      <c r="A4357" s="28">
        <v>4356</v>
      </c>
      <c r="B4357" s="28" t="e">
        <f>interpola(#REF!,CURVA!$B$6:$B$20,CURVA!$G$6:$G$20)</f>
        <v>#VALUE!</v>
      </c>
      <c r="C4357" s="29" t="e">
        <f t="shared" si="68"/>
        <v>#VALUE!</v>
      </c>
      <c r="E4357" t="e">
        <f>cubic_spline(CURVA!$B$6:$B$20,CURVA!$G$6:$G$20,#REF!)</f>
        <v>#VALUE!</v>
      </c>
    </row>
    <row r="4358" spans="1:5" x14ac:dyDescent="0.2">
      <c r="A4358" s="28">
        <v>4357</v>
      </c>
      <c r="B4358" s="28" t="e">
        <f>interpola(#REF!,CURVA!$B$6:$B$20,CURVA!$G$6:$G$20)</f>
        <v>#VALUE!</v>
      </c>
      <c r="C4358" s="29" t="e">
        <f t="shared" si="68"/>
        <v>#VALUE!</v>
      </c>
      <c r="E4358" t="e">
        <f>cubic_spline(CURVA!$B$6:$B$20,CURVA!$G$6:$G$20,#REF!)</f>
        <v>#VALUE!</v>
      </c>
    </row>
    <row r="4359" spans="1:5" x14ac:dyDescent="0.2">
      <c r="A4359" s="28">
        <v>4358</v>
      </c>
      <c r="B4359" s="28" t="e">
        <f>interpola(#REF!,CURVA!$B$6:$B$20,CURVA!$G$6:$G$20)</f>
        <v>#VALUE!</v>
      </c>
      <c r="C4359" s="29" t="e">
        <f t="shared" si="68"/>
        <v>#VALUE!</v>
      </c>
      <c r="E4359" t="e">
        <f>cubic_spline(CURVA!$B$6:$B$20,CURVA!$G$6:$G$20,#REF!)</f>
        <v>#VALUE!</v>
      </c>
    </row>
    <row r="4360" spans="1:5" x14ac:dyDescent="0.2">
      <c r="A4360" s="28">
        <v>4359</v>
      </c>
      <c r="B4360" s="28" t="e">
        <f>interpola(#REF!,CURVA!$B$6:$B$20,CURVA!$G$6:$G$20)</f>
        <v>#VALUE!</v>
      </c>
      <c r="C4360" s="29" t="e">
        <f t="shared" si="68"/>
        <v>#VALUE!</v>
      </c>
      <c r="E4360" t="e">
        <f>cubic_spline(CURVA!$B$6:$B$20,CURVA!$G$6:$G$20,#REF!)</f>
        <v>#VALUE!</v>
      </c>
    </row>
    <row r="4361" spans="1:5" x14ac:dyDescent="0.2">
      <c r="A4361" s="28">
        <v>4360</v>
      </c>
      <c r="B4361" s="28" t="e">
        <f>interpola(#REF!,CURVA!$B$6:$B$20,CURVA!$G$6:$G$20)</f>
        <v>#VALUE!</v>
      </c>
      <c r="C4361" s="29" t="e">
        <f t="shared" si="68"/>
        <v>#VALUE!</v>
      </c>
      <c r="E4361" t="e">
        <f>cubic_spline(CURVA!$B$6:$B$20,CURVA!$G$6:$G$20,#REF!)</f>
        <v>#VALUE!</v>
      </c>
    </row>
    <row r="4362" spans="1:5" x14ac:dyDescent="0.2">
      <c r="A4362" s="28">
        <v>4361</v>
      </c>
      <c r="B4362" s="28" t="e">
        <f>interpola(#REF!,CURVA!$B$6:$B$20,CURVA!$G$6:$G$20)</f>
        <v>#VALUE!</v>
      </c>
      <c r="C4362" s="29" t="e">
        <f t="shared" si="68"/>
        <v>#VALUE!</v>
      </c>
      <c r="E4362" t="e">
        <f>cubic_spline(CURVA!$B$6:$B$20,CURVA!$G$6:$G$20,#REF!)</f>
        <v>#VALUE!</v>
      </c>
    </row>
    <row r="4363" spans="1:5" x14ac:dyDescent="0.2">
      <c r="A4363" s="28">
        <v>4362</v>
      </c>
      <c r="B4363" s="28" t="e">
        <f>interpola(#REF!,CURVA!$B$6:$B$20,CURVA!$G$6:$G$20)</f>
        <v>#VALUE!</v>
      </c>
      <c r="C4363" s="29" t="e">
        <f t="shared" si="68"/>
        <v>#VALUE!</v>
      </c>
      <c r="E4363" t="e">
        <f>cubic_spline(CURVA!$B$6:$B$20,CURVA!$G$6:$G$20,#REF!)</f>
        <v>#VALUE!</v>
      </c>
    </row>
    <row r="4364" spans="1:5" x14ac:dyDescent="0.2">
      <c r="A4364" s="28">
        <v>4363</v>
      </c>
      <c r="B4364" s="28" t="e">
        <f>interpola(#REF!,CURVA!$B$6:$B$20,CURVA!$G$6:$G$20)</f>
        <v>#VALUE!</v>
      </c>
      <c r="C4364" s="29" t="e">
        <f t="shared" si="68"/>
        <v>#VALUE!</v>
      </c>
      <c r="E4364" t="e">
        <f>cubic_spline(CURVA!$B$6:$B$20,CURVA!$G$6:$G$20,#REF!)</f>
        <v>#VALUE!</v>
      </c>
    </row>
    <row r="4365" spans="1:5" x14ac:dyDescent="0.2">
      <c r="A4365" s="28">
        <v>4364</v>
      </c>
      <c r="B4365" s="28" t="e">
        <f>interpola(#REF!,CURVA!$B$6:$B$20,CURVA!$G$6:$G$20)</f>
        <v>#VALUE!</v>
      </c>
      <c r="C4365" s="29" t="e">
        <f t="shared" si="68"/>
        <v>#VALUE!</v>
      </c>
      <c r="E4365" t="e">
        <f>cubic_spline(CURVA!$B$6:$B$20,CURVA!$G$6:$G$20,#REF!)</f>
        <v>#VALUE!</v>
      </c>
    </row>
    <row r="4366" spans="1:5" x14ac:dyDescent="0.2">
      <c r="A4366" s="28">
        <v>4365</v>
      </c>
      <c r="B4366" s="28" t="e">
        <f>interpola(#REF!,CURVA!$B$6:$B$20,CURVA!$G$6:$G$20)</f>
        <v>#VALUE!</v>
      </c>
      <c r="C4366" s="29" t="e">
        <f t="shared" si="68"/>
        <v>#VALUE!</v>
      </c>
      <c r="E4366" t="e">
        <f>cubic_spline(CURVA!$B$6:$B$20,CURVA!$G$6:$G$20,#REF!)</f>
        <v>#VALUE!</v>
      </c>
    </row>
    <row r="4367" spans="1:5" x14ac:dyDescent="0.2">
      <c r="A4367" s="28">
        <v>4366</v>
      </c>
      <c r="B4367" s="28" t="e">
        <f>interpola(#REF!,CURVA!$B$6:$B$20,CURVA!$G$6:$G$20)</f>
        <v>#VALUE!</v>
      </c>
      <c r="C4367" s="29" t="e">
        <f t="shared" si="68"/>
        <v>#VALUE!</v>
      </c>
      <c r="E4367" t="e">
        <f>cubic_spline(CURVA!$B$6:$B$20,CURVA!$G$6:$G$20,#REF!)</f>
        <v>#VALUE!</v>
      </c>
    </row>
    <row r="4368" spans="1:5" x14ac:dyDescent="0.2">
      <c r="A4368" s="28">
        <v>4367</v>
      </c>
      <c r="B4368" s="28" t="e">
        <f>interpola(#REF!,CURVA!$B$6:$B$20,CURVA!$G$6:$G$20)</f>
        <v>#VALUE!</v>
      </c>
      <c r="C4368" s="29" t="e">
        <f t="shared" si="68"/>
        <v>#VALUE!</v>
      </c>
      <c r="E4368" t="e">
        <f>cubic_spline(CURVA!$B$6:$B$20,CURVA!$G$6:$G$20,#REF!)</f>
        <v>#VALUE!</v>
      </c>
    </row>
    <row r="4369" spans="1:5" x14ac:dyDescent="0.2">
      <c r="A4369" s="28">
        <v>4368</v>
      </c>
      <c r="B4369" s="28" t="e">
        <f>interpola(#REF!,CURVA!$B$6:$B$20,CURVA!$G$6:$G$20)</f>
        <v>#VALUE!</v>
      </c>
      <c r="C4369" s="29" t="e">
        <f t="shared" si="68"/>
        <v>#VALUE!</v>
      </c>
      <c r="E4369" t="e">
        <f>cubic_spline(CURVA!$B$6:$B$20,CURVA!$G$6:$G$20,#REF!)</f>
        <v>#VALUE!</v>
      </c>
    </row>
    <row r="4370" spans="1:5" x14ac:dyDescent="0.2">
      <c r="A4370" s="28">
        <v>4369</v>
      </c>
      <c r="B4370" s="28" t="e">
        <f>interpola(#REF!,CURVA!$B$6:$B$20,CURVA!$G$6:$G$20)</f>
        <v>#VALUE!</v>
      </c>
      <c r="C4370" s="29" t="e">
        <f t="shared" si="68"/>
        <v>#VALUE!</v>
      </c>
      <c r="E4370" t="e">
        <f>cubic_spline(CURVA!$B$6:$B$20,CURVA!$G$6:$G$20,#REF!)</f>
        <v>#VALUE!</v>
      </c>
    </row>
    <row r="4371" spans="1:5" x14ac:dyDescent="0.2">
      <c r="A4371" s="28">
        <v>4370</v>
      </c>
      <c r="B4371" s="28" t="e">
        <f>interpola(#REF!,CURVA!$B$6:$B$20,CURVA!$G$6:$G$20)</f>
        <v>#VALUE!</v>
      </c>
      <c r="C4371" s="29" t="e">
        <f t="shared" si="68"/>
        <v>#VALUE!</v>
      </c>
      <c r="E4371" t="e">
        <f>cubic_spline(CURVA!$B$6:$B$20,CURVA!$G$6:$G$20,#REF!)</f>
        <v>#VALUE!</v>
      </c>
    </row>
    <row r="4372" spans="1:5" x14ac:dyDescent="0.2">
      <c r="A4372" s="28">
        <v>4371</v>
      </c>
      <c r="B4372" s="28" t="e">
        <f>interpola(#REF!,CURVA!$B$6:$B$20,CURVA!$G$6:$G$20)</f>
        <v>#VALUE!</v>
      </c>
      <c r="C4372" s="29" t="e">
        <f t="shared" si="68"/>
        <v>#VALUE!</v>
      </c>
      <c r="E4372" t="e">
        <f>cubic_spline(CURVA!$B$6:$B$20,CURVA!$G$6:$G$20,#REF!)</f>
        <v>#VALUE!</v>
      </c>
    </row>
    <row r="4373" spans="1:5" x14ac:dyDescent="0.2">
      <c r="A4373" s="28">
        <v>4372</v>
      </c>
      <c r="B4373" s="28" t="e">
        <f>interpola(#REF!,CURVA!$B$6:$B$20,CURVA!$G$6:$G$20)</f>
        <v>#VALUE!</v>
      </c>
      <c r="C4373" s="29" t="e">
        <f t="shared" si="68"/>
        <v>#VALUE!</v>
      </c>
      <c r="E4373" t="e">
        <f>cubic_spline(CURVA!$B$6:$B$20,CURVA!$G$6:$G$20,#REF!)</f>
        <v>#VALUE!</v>
      </c>
    </row>
    <row r="4374" spans="1:5" x14ac:dyDescent="0.2">
      <c r="A4374" s="28">
        <v>4373</v>
      </c>
      <c r="B4374" s="28" t="e">
        <f>interpola(#REF!,CURVA!$B$6:$B$20,CURVA!$G$6:$G$20)</f>
        <v>#VALUE!</v>
      </c>
      <c r="C4374" s="29" t="e">
        <f t="shared" si="68"/>
        <v>#VALUE!</v>
      </c>
      <c r="E4374" t="e">
        <f>cubic_spline(CURVA!$B$6:$B$20,CURVA!$G$6:$G$20,#REF!)</f>
        <v>#VALUE!</v>
      </c>
    </row>
    <row r="4375" spans="1:5" x14ac:dyDescent="0.2">
      <c r="A4375" s="28">
        <v>4374</v>
      </c>
      <c r="B4375" s="28" t="e">
        <f>interpola(#REF!,CURVA!$B$6:$B$20,CURVA!$G$6:$G$20)</f>
        <v>#VALUE!</v>
      </c>
      <c r="C4375" s="29" t="e">
        <f t="shared" si="68"/>
        <v>#VALUE!</v>
      </c>
      <c r="E4375" t="e">
        <f>cubic_spline(CURVA!$B$6:$B$20,CURVA!$G$6:$G$20,#REF!)</f>
        <v>#VALUE!</v>
      </c>
    </row>
    <row r="4376" spans="1:5" x14ac:dyDescent="0.2">
      <c r="A4376" s="28">
        <v>4375</v>
      </c>
      <c r="B4376" s="28" t="e">
        <f>interpola(#REF!,CURVA!$B$6:$B$20,CURVA!$G$6:$G$20)</f>
        <v>#VALUE!</v>
      </c>
      <c r="C4376" s="29" t="e">
        <f t="shared" si="68"/>
        <v>#VALUE!</v>
      </c>
      <c r="E4376" t="e">
        <f>cubic_spline(CURVA!$B$6:$B$20,CURVA!$G$6:$G$20,#REF!)</f>
        <v>#VALUE!</v>
      </c>
    </row>
    <row r="4377" spans="1:5" x14ac:dyDescent="0.2">
      <c r="A4377" s="28">
        <v>4376</v>
      </c>
      <c r="B4377" s="28" t="e">
        <f>interpola(#REF!,CURVA!$B$6:$B$20,CURVA!$G$6:$G$20)</f>
        <v>#VALUE!</v>
      </c>
      <c r="C4377" s="29" t="e">
        <f t="shared" si="68"/>
        <v>#VALUE!</v>
      </c>
      <c r="E4377" t="e">
        <f>cubic_spline(CURVA!$B$6:$B$20,CURVA!$G$6:$G$20,#REF!)</f>
        <v>#VALUE!</v>
      </c>
    </row>
    <row r="4378" spans="1:5" x14ac:dyDescent="0.2">
      <c r="A4378" s="28">
        <v>4377</v>
      </c>
      <c r="B4378" s="28" t="e">
        <f>interpola(#REF!,CURVA!$B$6:$B$20,CURVA!$G$6:$G$20)</f>
        <v>#VALUE!</v>
      </c>
      <c r="C4378" s="29" t="e">
        <f t="shared" si="68"/>
        <v>#VALUE!</v>
      </c>
      <c r="E4378" t="e">
        <f>cubic_spline(CURVA!$B$6:$B$20,CURVA!$G$6:$G$20,#REF!)</f>
        <v>#VALUE!</v>
      </c>
    </row>
    <row r="4379" spans="1:5" x14ac:dyDescent="0.2">
      <c r="A4379" s="28">
        <v>4378</v>
      </c>
      <c r="B4379" s="28" t="e">
        <f>interpola(#REF!,CURVA!$B$6:$B$20,CURVA!$G$6:$G$20)</f>
        <v>#VALUE!</v>
      </c>
      <c r="C4379" s="29" t="e">
        <f t="shared" si="68"/>
        <v>#VALUE!</v>
      </c>
      <c r="E4379" t="e">
        <f>cubic_spline(CURVA!$B$6:$B$20,CURVA!$G$6:$G$20,#REF!)</f>
        <v>#VALUE!</v>
      </c>
    </row>
    <row r="4380" spans="1:5" x14ac:dyDescent="0.2">
      <c r="A4380" s="28">
        <v>4379</v>
      </c>
      <c r="B4380" s="28" t="e">
        <f>interpola(#REF!,CURVA!$B$6:$B$20,CURVA!$G$6:$G$20)</f>
        <v>#VALUE!</v>
      </c>
      <c r="C4380" s="29" t="e">
        <f t="shared" si="68"/>
        <v>#VALUE!</v>
      </c>
      <c r="E4380" t="e">
        <f>cubic_spline(CURVA!$B$6:$B$20,CURVA!$G$6:$G$20,#REF!)</f>
        <v>#VALUE!</v>
      </c>
    </row>
    <row r="4381" spans="1:5" x14ac:dyDescent="0.2">
      <c r="A4381" s="28">
        <v>4380</v>
      </c>
      <c r="B4381" s="28" t="e">
        <f>interpola(#REF!,CURVA!$B$6:$B$20,CURVA!$G$6:$G$20)</f>
        <v>#VALUE!</v>
      </c>
      <c r="C4381" s="29" t="e">
        <f t="shared" si="68"/>
        <v>#VALUE!</v>
      </c>
      <c r="E4381" t="e">
        <f>cubic_spline(CURVA!$B$6:$B$20,CURVA!$G$6:$G$20,#REF!)</f>
        <v>#VALUE!</v>
      </c>
    </row>
    <row r="4382" spans="1:5" x14ac:dyDescent="0.2">
      <c r="A4382" s="28">
        <v>4381</v>
      </c>
      <c r="B4382" s="28" t="e">
        <f>interpola(#REF!,CURVA!$B$6:$B$20,CURVA!$G$6:$G$20)</f>
        <v>#VALUE!</v>
      </c>
      <c r="C4382" s="29" t="e">
        <f t="shared" si="68"/>
        <v>#VALUE!</v>
      </c>
      <c r="E4382" t="e">
        <f>cubic_spline(CURVA!$B$6:$B$20,CURVA!$G$6:$G$20,#REF!)</f>
        <v>#VALUE!</v>
      </c>
    </row>
    <row r="4383" spans="1:5" x14ac:dyDescent="0.2">
      <c r="A4383" s="28">
        <v>4382</v>
      </c>
      <c r="B4383" s="28" t="e">
        <f>interpola(#REF!,CURVA!$B$6:$B$20,CURVA!$G$6:$G$20)</f>
        <v>#VALUE!</v>
      </c>
      <c r="C4383" s="29" t="e">
        <f t="shared" si="68"/>
        <v>#VALUE!</v>
      </c>
      <c r="E4383" t="e">
        <f>cubic_spline(CURVA!$B$6:$B$20,CURVA!$G$6:$G$20,#REF!)</f>
        <v>#VALUE!</v>
      </c>
    </row>
    <row r="4384" spans="1:5" x14ac:dyDescent="0.2">
      <c r="A4384" s="28">
        <v>4383</v>
      </c>
      <c r="B4384" s="28" t="e">
        <f>interpola(#REF!,CURVA!$B$6:$B$20,CURVA!$G$6:$G$20)</f>
        <v>#VALUE!</v>
      </c>
      <c r="C4384" s="29" t="e">
        <f t="shared" si="68"/>
        <v>#VALUE!</v>
      </c>
      <c r="E4384" t="e">
        <f>cubic_spline(CURVA!$B$6:$B$20,CURVA!$G$6:$G$20,#REF!)</f>
        <v>#VALUE!</v>
      </c>
    </row>
    <row r="4385" spans="1:5" x14ac:dyDescent="0.2">
      <c r="A4385" s="28">
        <v>4384</v>
      </c>
      <c r="B4385" s="28" t="e">
        <f>interpola(#REF!,CURVA!$B$6:$B$20,CURVA!$G$6:$G$20)</f>
        <v>#VALUE!</v>
      </c>
      <c r="C4385" s="29" t="e">
        <f t="shared" si="68"/>
        <v>#VALUE!</v>
      </c>
      <c r="E4385" t="e">
        <f>cubic_spline(CURVA!$B$6:$B$20,CURVA!$G$6:$G$20,#REF!)</f>
        <v>#VALUE!</v>
      </c>
    </row>
    <row r="4386" spans="1:5" x14ac:dyDescent="0.2">
      <c r="A4386" s="28">
        <v>4385</v>
      </c>
      <c r="B4386" s="28" t="e">
        <f>interpola(#REF!,CURVA!$B$6:$B$20,CURVA!$G$6:$G$20)</f>
        <v>#VALUE!</v>
      </c>
      <c r="C4386" s="29" t="e">
        <f t="shared" si="68"/>
        <v>#VALUE!</v>
      </c>
      <c r="E4386" t="e">
        <f>cubic_spline(CURVA!$B$6:$B$20,CURVA!$G$6:$G$20,#REF!)</f>
        <v>#VALUE!</v>
      </c>
    </row>
    <row r="4387" spans="1:5" x14ac:dyDescent="0.2">
      <c r="A4387" s="28">
        <v>4386</v>
      </c>
      <c r="B4387" s="28" t="e">
        <f>interpola(#REF!,CURVA!$B$6:$B$20,CURVA!$G$6:$G$20)</f>
        <v>#VALUE!</v>
      </c>
      <c r="C4387" s="29" t="e">
        <f t="shared" si="68"/>
        <v>#VALUE!</v>
      </c>
      <c r="E4387" t="e">
        <f>cubic_spline(CURVA!$B$6:$B$20,CURVA!$G$6:$G$20,#REF!)</f>
        <v>#VALUE!</v>
      </c>
    </row>
    <row r="4388" spans="1:5" x14ac:dyDescent="0.2">
      <c r="A4388" s="28">
        <v>4387</v>
      </c>
      <c r="B4388" s="28" t="e">
        <f>interpola(#REF!,CURVA!$B$6:$B$20,CURVA!$G$6:$G$20)</f>
        <v>#VALUE!</v>
      </c>
      <c r="C4388" s="29" t="e">
        <f t="shared" si="68"/>
        <v>#VALUE!</v>
      </c>
      <c r="E4388" t="e">
        <f>cubic_spline(CURVA!$B$6:$B$20,CURVA!$G$6:$G$20,#REF!)</f>
        <v>#VALUE!</v>
      </c>
    </row>
    <row r="4389" spans="1:5" x14ac:dyDescent="0.2">
      <c r="A4389" s="28">
        <v>4388</v>
      </c>
      <c r="B4389" s="28" t="e">
        <f>interpola(#REF!,CURVA!$B$6:$B$20,CURVA!$G$6:$G$20)</f>
        <v>#VALUE!</v>
      </c>
      <c r="C4389" s="29" t="e">
        <f t="shared" si="68"/>
        <v>#VALUE!</v>
      </c>
      <c r="E4389" t="e">
        <f>cubic_spline(CURVA!$B$6:$B$20,CURVA!$G$6:$G$20,#REF!)</f>
        <v>#VALUE!</v>
      </c>
    </row>
    <row r="4390" spans="1:5" x14ac:dyDescent="0.2">
      <c r="A4390" s="28">
        <v>4389</v>
      </c>
      <c r="B4390" s="28" t="e">
        <f>interpola(#REF!,CURVA!$B$6:$B$20,CURVA!$G$6:$G$20)</f>
        <v>#VALUE!</v>
      </c>
      <c r="C4390" s="29" t="e">
        <f t="shared" si="68"/>
        <v>#VALUE!</v>
      </c>
      <c r="E4390" t="e">
        <f>cubic_spline(CURVA!$B$6:$B$20,CURVA!$G$6:$G$20,#REF!)</f>
        <v>#VALUE!</v>
      </c>
    </row>
    <row r="4391" spans="1:5" x14ac:dyDescent="0.2">
      <c r="A4391" s="28">
        <v>4390</v>
      </c>
      <c r="B4391" s="28" t="e">
        <f>interpola(#REF!,CURVA!$B$6:$B$20,CURVA!$G$6:$G$20)</f>
        <v>#VALUE!</v>
      </c>
      <c r="C4391" s="29" t="e">
        <f t="shared" si="68"/>
        <v>#VALUE!</v>
      </c>
      <c r="E4391" t="e">
        <f>cubic_spline(CURVA!$B$6:$B$20,CURVA!$G$6:$G$20,#REF!)</f>
        <v>#VALUE!</v>
      </c>
    </row>
    <row r="4392" spans="1:5" x14ac:dyDescent="0.2">
      <c r="A4392" s="28">
        <v>4391</v>
      </c>
      <c r="B4392" s="28" t="e">
        <f>interpola(#REF!,CURVA!$B$6:$B$20,CURVA!$G$6:$G$20)</f>
        <v>#VALUE!</v>
      </c>
      <c r="C4392" s="29" t="e">
        <f t="shared" si="68"/>
        <v>#VALUE!</v>
      </c>
      <c r="E4392" t="e">
        <f>cubic_spline(CURVA!$B$6:$B$20,CURVA!$G$6:$G$20,#REF!)</f>
        <v>#VALUE!</v>
      </c>
    </row>
    <row r="4393" spans="1:5" x14ac:dyDescent="0.2">
      <c r="A4393" s="28">
        <v>4392</v>
      </c>
      <c r="B4393" s="28" t="e">
        <f>interpola(#REF!,CURVA!$B$6:$B$20,CURVA!$G$6:$G$20)</f>
        <v>#VALUE!</v>
      </c>
      <c r="C4393" s="29" t="e">
        <f t="shared" si="68"/>
        <v>#VALUE!</v>
      </c>
      <c r="E4393" t="e">
        <f>cubic_spline(CURVA!$B$6:$B$20,CURVA!$G$6:$G$20,#REF!)</f>
        <v>#VALUE!</v>
      </c>
    </row>
    <row r="4394" spans="1:5" x14ac:dyDescent="0.2">
      <c r="A4394" s="28">
        <v>4393</v>
      </c>
      <c r="B4394" s="28" t="e">
        <f>interpola(#REF!,CURVA!$B$6:$B$20,CURVA!$G$6:$G$20)</f>
        <v>#VALUE!</v>
      </c>
      <c r="C4394" s="29" t="e">
        <f t="shared" si="68"/>
        <v>#VALUE!</v>
      </c>
      <c r="E4394" t="e">
        <f>cubic_spline(CURVA!$B$6:$B$20,CURVA!$G$6:$G$20,#REF!)</f>
        <v>#VALUE!</v>
      </c>
    </row>
    <row r="4395" spans="1:5" x14ac:dyDescent="0.2">
      <c r="A4395" s="28">
        <v>4394</v>
      </c>
      <c r="B4395" s="28" t="e">
        <f>interpola(#REF!,CURVA!$B$6:$B$20,CURVA!$G$6:$G$20)</f>
        <v>#VALUE!</v>
      </c>
      <c r="C4395" s="29" t="e">
        <f t="shared" si="68"/>
        <v>#VALUE!</v>
      </c>
      <c r="E4395" t="e">
        <f>cubic_spline(CURVA!$B$6:$B$20,CURVA!$G$6:$G$20,#REF!)</f>
        <v>#VALUE!</v>
      </c>
    </row>
    <row r="4396" spans="1:5" x14ac:dyDescent="0.2">
      <c r="A4396" s="28">
        <v>4395</v>
      </c>
      <c r="B4396" s="28" t="e">
        <f>interpola(#REF!,CURVA!$B$6:$B$20,CURVA!$G$6:$G$20)</f>
        <v>#VALUE!</v>
      </c>
      <c r="C4396" s="29" t="e">
        <f t="shared" si="68"/>
        <v>#VALUE!</v>
      </c>
      <c r="E4396" t="e">
        <f>cubic_spline(CURVA!$B$6:$B$20,CURVA!$G$6:$G$20,#REF!)</f>
        <v>#VALUE!</v>
      </c>
    </row>
    <row r="4397" spans="1:5" x14ac:dyDescent="0.2">
      <c r="A4397" s="28">
        <v>4396</v>
      </c>
      <c r="B4397" s="28" t="e">
        <f>interpola(#REF!,CURVA!$B$6:$B$20,CURVA!$G$6:$G$20)</f>
        <v>#VALUE!</v>
      </c>
      <c r="C4397" s="29" t="e">
        <f t="shared" si="68"/>
        <v>#VALUE!</v>
      </c>
      <c r="E4397" t="e">
        <f>cubic_spline(CURVA!$B$6:$B$20,CURVA!$G$6:$G$20,#REF!)</f>
        <v>#VALUE!</v>
      </c>
    </row>
    <row r="4398" spans="1:5" x14ac:dyDescent="0.2">
      <c r="A4398" s="28">
        <v>4397</v>
      </c>
      <c r="B4398" s="28" t="e">
        <f>interpola(#REF!,CURVA!$B$6:$B$20,CURVA!$G$6:$G$20)</f>
        <v>#VALUE!</v>
      </c>
      <c r="C4398" s="29" t="e">
        <f t="shared" si="68"/>
        <v>#VALUE!</v>
      </c>
      <c r="E4398" t="e">
        <f>cubic_spline(CURVA!$B$6:$B$20,CURVA!$G$6:$G$20,#REF!)</f>
        <v>#VALUE!</v>
      </c>
    </row>
    <row r="4399" spans="1:5" x14ac:dyDescent="0.2">
      <c r="A4399" s="28">
        <v>4398</v>
      </c>
      <c r="B4399" s="28" t="e">
        <f>interpola(#REF!,CURVA!$B$6:$B$20,CURVA!$G$6:$G$20)</f>
        <v>#VALUE!</v>
      </c>
      <c r="C4399" s="29" t="e">
        <f t="shared" si="68"/>
        <v>#VALUE!</v>
      </c>
      <c r="E4399" t="e">
        <f>cubic_spline(CURVA!$B$6:$B$20,CURVA!$G$6:$G$20,#REF!)</f>
        <v>#VALUE!</v>
      </c>
    </row>
    <row r="4400" spans="1:5" x14ac:dyDescent="0.2">
      <c r="A4400" s="28">
        <v>4399</v>
      </c>
      <c r="B4400" s="28" t="e">
        <f>interpola(#REF!,CURVA!$B$6:$B$20,CURVA!$G$6:$G$20)</f>
        <v>#VALUE!</v>
      </c>
      <c r="C4400" s="29" t="e">
        <f t="shared" si="68"/>
        <v>#VALUE!</v>
      </c>
      <c r="E4400" t="e">
        <f>cubic_spline(CURVA!$B$6:$B$20,CURVA!$G$6:$G$20,#REF!)</f>
        <v>#VALUE!</v>
      </c>
    </row>
    <row r="4401" spans="1:5" x14ac:dyDescent="0.2">
      <c r="A4401" s="28">
        <v>4400</v>
      </c>
      <c r="B4401" s="28" t="e">
        <f>interpola(#REF!,CURVA!$B$6:$B$20,CURVA!$G$6:$G$20)</f>
        <v>#VALUE!</v>
      </c>
      <c r="C4401" s="29" t="e">
        <f t="shared" si="68"/>
        <v>#VALUE!</v>
      </c>
      <c r="E4401" t="e">
        <f>cubic_spline(CURVA!$B$6:$B$20,CURVA!$G$6:$G$20,#REF!)</f>
        <v>#VALUE!</v>
      </c>
    </row>
    <row r="4402" spans="1:5" x14ac:dyDescent="0.2">
      <c r="A4402" s="28">
        <v>4401</v>
      </c>
      <c r="B4402" s="28" t="e">
        <f>interpola(#REF!,CURVA!$B$6:$B$20,CURVA!$G$6:$G$20)</f>
        <v>#VALUE!</v>
      </c>
      <c r="C4402" s="29" t="e">
        <f t="shared" si="68"/>
        <v>#VALUE!</v>
      </c>
      <c r="E4402" t="e">
        <f>cubic_spline(CURVA!$B$6:$B$20,CURVA!$G$6:$G$20,#REF!)</f>
        <v>#VALUE!</v>
      </c>
    </row>
    <row r="4403" spans="1:5" x14ac:dyDescent="0.2">
      <c r="A4403" s="28">
        <v>4402</v>
      </c>
      <c r="B4403" s="28" t="e">
        <f>interpola(#REF!,CURVA!$B$6:$B$20,CURVA!$G$6:$G$20)</f>
        <v>#VALUE!</v>
      </c>
      <c r="C4403" s="29" t="e">
        <f t="shared" si="68"/>
        <v>#VALUE!</v>
      </c>
      <c r="E4403" t="e">
        <f>cubic_spline(CURVA!$B$6:$B$20,CURVA!$G$6:$G$20,#REF!)</f>
        <v>#VALUE!</v>
      </c>
    </row>
    <row r="4404" spans="1:5" x14ac:dyDescent="0.2">
      <c r="A4404" s="28">
        <v>4403</v>
      </c>
      <c r="B4404" s="28" t="e">
        <f>interpola(#REF!,CURVA!$B$6:$B$20,CURVA!$G$6:$G$20)</f>
        <v>#VALUE!</v>
      </c>
      <c r="C4404" s="29" t="e">
        <f t="shared" si="68"/>
        <v>#VALUE!</v>
      </c>
      <c r="E4404" t="e">
        <f>cubic_spline(CURVA!$B$6:$B$20,CURVA!$G$6:$G$20,#REF!)</f>
        <v>#VALUE!</v>
      </c>
    </row>
    <row r="4405" spans="1:5" x14ac:dyDescent="0.2">
      <c r="A4405" s="28">
        <v>4404</v>
      </c>
      <c r="B4405" s="28" t="e">
        <f>interpola(#REF!,CURVA!$B$6:$B$20,CURVA!$G$6:$G$20)</f>
        <v>#VALUE!</v>
      </c>
      <c r="C4405" s="29" t="e">
        <f t="shared" si="68"/>
        <v>#VALUE!</v>
      </c>
      <c r="E4405" t="e">
        <f>cubic_spline(CURVA!$B$6:$B$20,CURVA!$G$6:$G$20,#REF!)</f>
        <v>#VALUE!</v>
      </c>
    </row>
    <row r="4406" spans="1:5" x14ac:dyDescent="0.2">
      <c r="A4406" s="28">
        <v>4405</v>
      </c>
      <c r="B4406" s="28" t="e">
        <f>interpola(#REF!,CURVA!$B$6:$B$20,CURVA!$G$6:$G$20)</f>
        <v>#VALUE!</v>
      </c>
      <c r="C4406" s="29" t="e">
        <f t="shared" si="68"/>
        <v>#VALUE!</v>
      </c>
      <c r="E4406" t="e">
        <f>cubic_spline(CURVA!$B$6:$B$20,CURVA!$G$6:$G$20,#REF!)</f>
        <v>#VALUE!</v>
      </c>
    </row>
    <row r="4407" spans="1:5" x14ac:dyDescent="0.2">
      <c r="A4407" s="28">
        <v>4406</v>
      </c>
      <c r="B4407" s="28" t="e">
        <f>interpola(#REF!,CURVA!$B$6:$B$20,CURVA!$G$6:$G$20)</f>
        <v>#VALUE!</v>
      </c>
      <c r="C4407" s="29" t="e">
        <f t="shared" si="68"/>
        <v>#VALUE!</v>
      </c>
      <c r="E4407" t="e">
        <f>cubic_spline(CURVA!$B$6:$B$20,CURVA!$G$6:$G$20,#REF!)</f>
        <v>#VALUE!</v>
      </c>
    </row>
    <row r="4408" spans="1:5" x14ac:dyDescent="0.2">
      <c r="A4408" s="28">
        <v>4407</v>
      </c>
      <c r="B4408" s="28" t="e">
        <f>interpola(#REF!,CURVA!$B$6:$B$20,CURVA!$G$6:$G$20)</f>
        <v>#VALUE!</v>
      </c>
      <c r="C4408" s="29" t="e">
        <f t="shared" si="68"/>
        <v>#VALUE!</v>
      </c>
      <c r="E4408" t="e">
        <f>cubic_spline(CURVA!$B$6:$B$20,CURVA!$G$6:$G$20,#REF!)</f>
        <v>#VALUE!</v>
      </c>
    </row>
    <row r="4409" spans="1:5" x14ac:dyDescent="0.2">
      <c r="A4409" s="28">
        <v>4408</v>
      </c>
      <c r="B4409" s="28" t="e">
        <f>interpola(#REF!,CURVA!$B$6:$B$20,CURVA!$G$6:$G$20)</f>
        <v>#VALUE!</v>
      </c>
      <c r="C4409" s="29" t="e">
        <f t="shared" si="68"/>
        <v>#VALUE!</v>
      </c>
      <c r="E4409" t="e">
        <f>cubic_spline(CURVA!$B$6:$B$20,CURVA!$G$6:$G$20,#REF!)</f>
        <v>#VALUE!</v>
      </c>
    </row>
    <row r="4410" spans="1:5" x14ac:dyDescent="0.2">
      <c r="A4410" s="28">
        <v>4409</v>
      </c>
      <c r="B4410" s="28" t="e">
        <f>interpola(#REF!,CURVA!$B$6:$B$20,CURVA!$G$6:$G$20)</f>
        <v>#VALUE!</v>
      </c>
      <c r="C4410" s="29" t="e">
        <f t="shared" si="68"/>
        <v>#VALUE!</v>
      </c>
      <c r="E4410" t="e">
        <f>cubic_spline(CURVA!$B$6:$B$20,CURVA!$G$6:$G$20,#REF!)</f>
        <v>#VALUE!</v>
      </c>
    </row>
    <row r="4411" spans="1:5" x14ac:dyDescent="0.2">
      <c r="A4411" s="28">
        <v>4410</v>
      </c>
      <c r="B4411" s="28" t="e">
        <f>interpola(#REF!,CURVA!$B$6:$B$20,CURVA!$G$6:$G$20)</f>
        <v>#VALUE!</v>
      </c>
      <c r="C4411" s="29" t="e">
        <f t="shared" si="68"/>
        <v>#VALUE!</v>
      </c>
      <c r="E4411" t="e">
        <f>cubic_spline(CURVA!$B$6:$B$20,CURVA!$G$6:$G$20,#REF!)</f>
        <v>#VALUE!</v>
      </c>
    </row>
    <row r="4412" spans="1:5" x14ac:dyDescent="0.2">
      <c r="A4412" s="28">
        <v>4411</v>
      </c>
      <c r="B4412" s="28" t="e">
        <f>interpola(#REF!,CURVA!$B$6:$B$20,CURVA!$G$6:$G$20)</f>
        <v>#VALUE!</v>
      </c>
      <c r="C4412" s="29" t="e">
        <f t="shared" si="68"/>
        <v>#VALUE!</v>
      </c>
      <c r="E4412" t="e">
        <f>cubic_spline(CURVA!$B$6:$B$20,CURVA!$G$6:$G$20,#REF!)</f>
        <v>#VALUE!</v>
      </c>
    </row>
    <row r="4413" spans="1:5" x14ac:dyDescent="0.2">
      <c r="A4413" s="28">
        <v>4412</v>
      </c>
      <c r="B4413" s="28" t="e">
        <f>interpola(#REF!,CURVA!$B$6:$B$20,CURVA!$G$6:$G$20)</f>
        <v>#VALUE!</v>
      </c>
      <c r="C4413" s="29" t="e">
        <f t="shared" si="68"/>
        <v>#VALUE!</v>
      </c>
      <c r="E4413" t="e">
        <f>cubic_spline(CURVA!$B$6:$B$20,CURVA!$G$6:$G$20,#REF!)</f>
        <v>#VALUE!</v>
      </c>
    </row>
    <row r="4414" spans="1:5" x14ac:dyDescent="0.2">
      <c r="A4414" s="28">
        <v>4413</v>
      </c>
      <c r="B4414" s="28" t="e">
        <f>interpola(#REF!,CURVA!$B$6:$B$20,CURVA!$G$6:$G$20)</f>
        <v>#VALUE!</v>
      </c>
      <c r="C4414" s="29" t="e">
        <f t="shared" si="68"/>
        <v>#VALUE!</v>
      </c>
      <c r="E4414" t="e">
        <f>cubic_spline(CURVA!$B$6:$B$20,CURVA!$G$6:$G$20,#REF!)</f>
        <v>#VALUE!</v>
      </c>
    </row>
    <row r="4415" spans="1:5" x14ac:dyDescent="0.2">
      <c r="A4415" s="28">
        <v>4414</v>
      </c>
      <c r="B4415" s="28" t="e">
        <f>interpola(#REF!,CURVA!$B$6:$B$20,CURVA!$G$6:$G$20)</f>
        <v>#VALUE!</v>
      </c>
      <c r="C4415" s="29" t="e">
        <f t="shared" si="68"/>
        <v>#VALUE!</v>
      </c>
      <c r="E4415" t="e">
        <f>cubic_spline(CURVA!$B$6:$B$20,CURVA!$G$6:$G$20,#REF!)</f>
        <v>#VALUE!</v>
      </c>
    </row>
    <row r="4416" spans="1:5" x14ac:dyDescent="0.2">
      <c r="A4416" s="28">
        <v>4415</v>
      </c>
      <c r="B4416" s="28" t="e">
        <f>interpola(#REF!,CURVA!$B$6:$B$20,CURVA!$G$6:$G$20)</f>
        <v>#VALUE!</v>
      </c>
      <c r="C4416" s="29" t="e">
        <f t="shared" si="68"/>
        <v>#VALUE!</v>
      </c>
      <c r="E4416" t="e">
        <f>cubic_spline(CURVA!$B$6:$B$20,CURVA!$G$6:$G$20,#REF!)</f>
        <v>#VALUE!</v>
      </c>
    </row>
    <row r="4417" spans="1:5" x14ac:dyDescent="0.2">
      <c r="A4417" s="28">
        <v>4416</v>
      </c>
      <c r="B4417" s="28" t="e">
        <f>interpola(#REF!,CURVA!$B$6:$B$20,CURVA!$G$6:$G$20)</f>
        <v>#VALUE!</v>
      </c>
      <c r="C4417" s="29" t="e">
        <f t="shared" si="68"/>
        <v>#VALUE!</v>
      </c>
      <c r="E4417" t="e">
        <f>cubic_spline(CURVA!$B$6:$B$20,CURVA!$G$6:$G$20,#REF!)</f>
        <v>#VALUE!</v>
      </c>
    </row>
    <row r="4418" spans="1:5" x14ac:dyDescent="0.2">
      <c r="A4418" s="28">
        <v>4417</v>
      </c>
      <c r="B4418" s="28" t="e">
        <f>interpola(#REF!,CURVA!$B$6:$B$20,CURVA!$G$6:$G$20)</f>
        <v>#VALUE!</v>
      </c>
      <c r="C4418" s="29" t="e">
        <f t="shared" ref="C4418:C4481" si="69">(EXP(B4418*A4418/360)-1)*360/A4418</f>
        <v>#VALUE!</v>
      </c>
      <c r="E4418" t="e">
        <f>cubic_spline(CURVA!$B$6:$B$20,CURVA!$G$6:$G$20,#REF!)</f>
        <v>#VALUE!</v>
      </c>
    </row>
    <row r="4419" spans="1:5" x14ac:dyDescent="0.2">
      <c r="A4419" s="28">
        <v>4418</v>
      </c>
      <c r="B4419" s="28" t="e">
        <f>interpola(#REF!,CURVA!$B$6:$B$20,CURVA!$G$6:$G$20)</f>
        <v>#VALUE!</v>
      </c>
      <c r="C4419" s="29" t="e">
        <f t="shared" si="69"/>
        <v>#VALUE!</v>
      </c>
      <c r="E4419" t="e">
        <f>cubic_spline(CURVA!$B$6:$B$20,CURVA!$G$6:$G$20,#REF!)</f>
        <v>#VALUE!</v>
      </c>
    </row>
    <row r="4420" spans="1:5" x14ac:dyDescent="0.2">
      <c r="A4420" s="28">
        <v>4419</v>
      </c>
      <c r="B4420" s="28" t="e">
        <f>interpola(#REF!,CURVA!$B$6:$B$20,CURVA!$G$6:$G$20)</f>
        <v>#VALUE!</v>
      </c>
      <c r="C4420" s="29" t="e">
        <f t="shared" si="69"/>
        <v>#VALUE!</v>
      </c>
      <c r="E4420" t="e">
        <f>cubic_spline(CURVA!$B$6:$B$20,CURVA!$G$6:$G$20,#REF!)</f>
        <v>#VALUE!</v>
      </c>
    </row>
    <row r="4421" spans="1:5" x14ac:dyDescent="0.2">
      <c r="A4421" s="28">
        <v>4420</v>
      </c>
      <c r="B4421" s="28" t="e">
        <f>interpola(#REF!,CURVA!$B$6:$B$20,CURVA!$G$6:$G$20)</f>
        <v>#VALUE!</v>
      </c>
      <c r="C4421" s="29" t="e">
        <f t="shared" si="69"/>
        <v>#VALUE!</v>
      </c>
      <c r="E4421" t="e">
        <f>cubic_spline(CURVA!$B$6:$B$20,CURVA!$G$6:$G$20,#REF!)</f>
        <v>#VALUE!</v>
      </c>
    </row>
    <row r="4422" spans="1:5" x14ac:dyDescent="0.2">
      <c r="A4422" s="28">
        <v>4421</v>
      </c>
      <c r="B4422" s="28" t="e">
        <f>interpola(#REF!,CURVA!$B$6:$B$20,CURVA!$G$6:$G$20)</f>
        <v>#VALUE!</v>
      </c>
      <c r="C4422" s="29" t="e">
        <f t="shared" si="69"/>
        <v>#VALUE!</v>
      </c>
      <c r="E4422" t="e">
        <f>cubic_spline(CURVA!$B$6:$B$20,CURVA!$G$6:$G$20,#REF!)</f>
        <v>#VALUE!</v>
      </c>
    </row>
    <row r="4423" spans="1:5" x14ac:dyDescent="0.2">
      <c r="A4423" s="28">
        <v>4422</v>
      </c>
      <c r="B4423" s="28" t="e">
        <f>interpola(#REF!,CURVA!$B$6:$B$20,CURVA!$G$6:$G$20)</f>
        <v>#VALUE!</v>
      </c>
      <c r="C4423" s="29" t="e">
        <f t="shared" si="69"/>
        <v>#VALUE!</v>
      </c>
      <c r="E4423" t="e">
        <f>cubic_spline(CURVA!$B$6:$B$20,CURVA!$G$6:$G$20,#REF!)</f>
        <v>#VALUE!</v>
      </c>
    </row>
    <row r="4424" spans="1:5" x14ac:dyDescent="0.2">
      <c r="A4424" s="28">
        <v>4423</v>
      </c>
      <c r="B4424" s="28" t="e">
        <f>interpola(#REF!,CURVA!$B$6:$B$20,CURVA!$G$6:$G$20)</f>
        <v>#VALUE!</v>
      </c>
      <c r="C4424" s="29" t="e">
        <f t="shared" si="69"/>
        <v>#VALUE!</v>
      </c>
      <c r="E4424" t="e">
        <f>cubic_spline(CURVA!$B$6:$B$20,CURVA!$G$6:$G$20,#REF!)</f>
        <v>#VALUE!</v>
      </c>
    </row>
    <row r="4425" spans="1:5" x14ac:dyDescent="0.2">
      <c r="A4425" s="28">
        <v>4424</v>
      </c>
      <c r="B4425" s="28" t="e">
        <f>interpola(#REF!,CURVA!$B$6:$B$20,CURVA!$G$6:$G$20)</f>
        <v>#VALUE!</v>
      </c>
      <c r="C4425" s="29" t="e">
        <f t="shared" si="69"/>
        <v>#VALUE!</v>
      </c>
      <c r="E4425" t="e">
        <f>cubic_spline(CURVA!$B$6:$B$20,CURVA!$G$6:$G$20,#REF!)</f>
        <v>#VALUE!</v>
      </c>
    </row>
    <row r="4426" spans="1:5" x14ac:dyDescent="0.2">
      <c r="A4426" s="28">
        <v>4425</v>
      </c>
      <c r="B4426" s="28" t="e">
        <f>interpola(#REF!,CURVA!$B$6:$B$20,CURVA!$G$6:$G$20)</f>
        <v>#VALUE!</v>
      </c>
      <c r="C4426" s="29" t="e">
        <f t="shared" si="69"/>
        <v>#VALUE!</v>
      </c>
      <c r="E4426" t="e">
        <f>cubic_spline(CURVA!$B$6:$B$20,CURVA!$G$6:$G$20,#REF!)</f>
        <v>#VALUE!</v>
      </c>
    </row>
    <row r="4427" spans="1:5" x14ac:dyDescent="0.2">
      <c r="A4427" s="28">
        <v>4426</v>
      </c>
      <c r="B4427" s="28" t="e">
        <f>interpola(#REF!,CURVA!$B$6:$B$20,CURVA!$G$6:$G$20)</f>
        <v>#VALUE!</v>
      </c>
      <c r="C4427" s="29" t="e">
        <f t="shared" si="69"/>
        <v>#VALUE!</v>
      </c>
      <c r="E4427" t="e">
        <f>cubic_spline(CURVA!$B$6:$B$20,CURVA!$G$6:$G$20,#REF!)</f>
        <v>#VALUE!</v>
      </c>
    </row>
    <row r="4428" spans="1:5" x14ac:dyDescent="0.2">
      <c r="A4428" s="28">
        <v>4427</v>
      </c>
      <c r="B4428" s="28" t="e">
        <f>interpola(#REF!,CURVA!$B$6:$B$20,CURVA!$G$6:$G$20)</f>
        <v>#VALUE!</v>
      </c>
      <c r="C4428" s="29" t="e">
        <f t="shared" si="69"/>
        <v>#VALUE!</v>
      </c>
      <c r="E4428" t="e">
        <f>cubic_spline(CURVA!$B$6:$B$20,CURVA!$G$6:$G$20,#REF!)</f>
        <v>#VALUE!</v>
      </c>
    </row>
    <row r="4429" spans="1:5" x14ac:dyDescent="0.2">
      <c r="A4429" s="28">
        <v>4428</v>
      </c>
      <c r="B4429" s="28" t="e">
        <f>interpola(#REF!,CURVA!$B$6:$B$20,CURVA!$G$6:$G$20)</f>
        <v>#VALUE!</v>
      </c>
      <c r="C4429" s="29" t="e">
        <f t="shared" si="69"/>
        <v>#VALUE!</v>
      </c>
      <c r="E4429" t="e">
        <f>cubic_spline(CURVA!$B$6:$B$20,CURVA!$G$6:$G$20,#REF!)</f>
        <v>#VALUE!</v>
      </c>
    </row>
    <row r="4430" spans="1:5" x14ac:dyDescent="0.2">
      <c r="A4430" s="28">
        <v>4429</v>
      </c>
      <c r="B4430" s="28" t="e">
        <f>interpola(#REF!,CURVA!$B$6:$B$20,CURVA!$G$6:$G$20)</f>
        <v>#VALUE!</v>
      </c>
      <c r="C4430" s="29" t="e">
        <f t="shared" si="69"/>
        <v>#VALUE!</v>
      </c>
      <c r="E4430" t="e">
        <f>cubic_spline(CURVA!$B$6:$B$20,CURVA!$G$6:$G$20,#REF!)</f>
        <v>#VALUE!</v>
      </c>
    </row>
    <row r="4431" spans="1:5" x14ac:dyDescent="0.2">
      <c r="A4431" s="28">
        <v>4430</v>
      </c>
      <c r="B4431" s="28" t="e">
        <f>interpola(#REF!,CURVA!$B$6:$B$20,CURVA!$G$6:$G$20)</f>
        <v>#VALUE!</v>
      </c>
      <c r="C4431" s="29" t="e">
        <f t="shared" si="69"/>
        <v>#VALUE!</v>
      </c>
      <c r="E4431" t="e">
        <f>cubic_spline(CURVA!$B$6:$B$20,CURVA!$G$6:$G$20,#REF!)</f>
        <v>#VALUE!</v>
      </c>
    </row>
    <row r="4432" spans="1:5" x14ac:dyDescent="0.2">
      <c r="A4432" s="28">
        <v>4431</v>
      </c>
      <c r="B4432" s="28" t="e">
        <f>interpola(#REF!,CURVA!$B$6:$B$20,CURVA!$G$6:$G$20)</f>
        <v>#VALUE!</v>
      </c>
      <c r="C4432" s="29" t="e">
        <f t="shared" si="69"/>
        <v>#VALUE!</v>
      </c>
      <c r="E4432" t="e">
        <f>cubic_spline(CURVA!$B$6:$B$20,CURVA!$G$6:$G$20,#REF!)</f>
        <v>#VALUE!</v>
      </c>
    </row>
    <row r="4433" spans="1:5" x14ac:dyDescent="0.2">
      <c r="A4433" s="28">
        <v>4432</v>
      </c>
      <c r="B4433" s="28" t="e">
        <f>interpola(#REF!,CURVA!$B$6:$B$20,CURVA!$G$6:$G$20)</f>
        <v>#VALUE!</v>
      </c>
      <c r="C4433" s="29" t="e">
        <f t="shared" si="69"/>
        <v>#VALUE!</v>
      </c>
      <c r="E4433" t="e">
        <f>cubic_spline(CURVA!$B$6:$B$20,CURVA!$G$6:$G$20,#REF!)</f>
        <v>#VALUE!</v>
      </c>
    </row>
    <row r="4434" spans="1:5" x14ac:dyDescent="0.2">
      <c r="A4434" s="28">
        <v>4433</v>
      </c>
      <c r="B4434" s="28" t="e">
        <f>interpola(#REF!,CURVA!$B$6:$B$20,CURVA!$G$6:$G$20)</f>
        <v>#VALUE!</v>
      </c>
      <c r="C4434" s="29" t="e">
        <f t="shared" si="69"/>
        <v>#VALUE!</v>
      </c>
      <c r="E4434" t="e">
        <f>cubic_spline(CURVA!$B$6:$B$20,CURVA!$G$6:$G$20,#REF!)</f>
        <v>#VALUE!</v>
      </c>
    </row>
    <row r="4435" spans="1:5" x14ac:dyDescent="0.2">
      <c r="A4435" s="28">
        <v>4434</v>
      </c>
      <c r="B4435" s="28" t="e">
        <f>interpola(#REF!,CURVA!$B$6:$B$20,CURVA!$G$6:$G$20)</f>
        <v>#VALUE!</v>
      </c>
      <c r="C4435" s="29" t="e">
        <f t="shared" si="69"/>
        <v>#VALUE!</v>
      </c>
      <c r="E4435" t="e">
        <f>cubic_spline(CURVA!$B$6:$B$20,CURVA!$G$6:$G$20,#REF!)</f>
        <v>#VALUE!</v>
      </c>
    </row>
    <row r="4436" spans="1:5" x14ac:dyDescent="0.2">
      <c r="A4436" s="28">
        <v>4435</v>
      </c>
      <c r="B4436" s="28" t="e">
        <f>interpola(#REF!,CURVA!$B$6:$B$20,CURVA!$G$6:$G$20)</f>
        <v>#VALUE!</v>
      </c>
      <c r="C4436" s="29" t="e">
        <f t="shared" si="69"/>
        <v>#VALUE!</v>
      </c>
      <c r="E4436" t="e">
        <f>cubic_spline(CURVA!$B$6:$B$20,CURVA!$G$6:$G$20,#REF!)</f>
        <v>#VALUE!</v>
      </c>
    </row>
    <row r="4437" spans="1:5" x14ac:dyDescent="0.2">
      <c r="A4437" s="28">
        <v>4436</v>
      </c>
      <c r="B4437" s="28" t="e">
        <f>interpola(#REF!,CURVA!$B$6:$B$20,CURVA!$G$6:$G$20)</f>
        <v>#VALUE!</v>
      </c>
      <c r="C4437" s="29" t="e">
        <f t="shared" si="69"/>
        <v>#VALUE!</v>
      </c>
      <c r="E4437" t="e">
        <f>cubic_spline(CURVA!$B$6:$B$20,CURVA!$G$6:$G$20,#REF!)</f>
        <v>#VALUE!</v>
      </c>
    </row>
    <row r="4438" spans="1:5" x14ac:dyDescent="0.2">
      <c r="A4438" s="28">
        <v>4437</v>
      </c>
      <c r="B4438" s="28" t="e">
        <f>interpola(#REF!,CURVA!$B$6:$B$20,CURVA!$G$6:$G$20)</f>
        <v>#VALUE!</v>
      </c>
      <c r="C4438" s="29" t="e">
        <f t="shared" si="69"/>
        <v>#VALUE!</v>
      </c>
      <c r="E4438" t="e">
        <f>cubic_spline(CURVA!$B$6:$B$20,CURVA!$G$6:$G$20,#REF!)</f>
        <v>#VALUE!</v>
      </c>
    </row>
    <row r="4439" spans="1:5" x14ac:dyDescent="0.2">
      <c r="A4439" s="28">
        <v>4438</v>
      </c>
      <c r="B4439" s="28" t="e">
        <f>interpola(#REF!,CURVA!$B$6:$B$20,CURVA!$G$6:$G$20)</f>
        <v>#VALUE!</v>
      </c>
      <c r="C4439" s="29" t="e">
        <f t="shared" si="69"/>
        <v>#VALUE!</v>
      </c>
      <c r="E4439" t="e">
        <f>cubic_spline(CURVA!$B$6:$B$20,CURVA!$G$6:$G$20,#REF!)</f>
        <v>#VALUE!</v>
      </c>
    </row>
    <row r="4440" spans="1:5" x14ac:dyDescent="0.2">
      <c r="A4440" s="28">
        <v>4439</v>
      </c>
      <c r="B4440" s="28" t="e">
        <f>interpola(#REF!,CURVA!$B$6:$B$20,CURVA!$G$6:$G$20)</f>
        <v>#VALUE!</v>
      </c>
      <c r="C4440" s="29" t="e">
        <f t="shared" si="69"/>
        <v>#VALUE!</v>
      </c>
      <c r="E4440" t="e">
        <f>cubic_spline(CURVA!$B$6:$B$20,CURVA!$G$6:$G$20,#REF!)</f>
        <v>#VALUE!</v>
      </c>
    </row>
    <row r="4441" spans="1:5" x14ac:dyDescent="0.2">
      <c r="A4441" s="28">
        <v>4440</v>
      </c>
      <c r="B4441" s="28" t="e">
        <f>interpola(#REF!,CURVA!$B$6:$B$20,CURVA!$G$6:$G$20)</f>
        <v>#VALUE!</v>
      </c>
      <c r="C4441" s="29" t="e">
        <f t="shared" si="69"/>
        <v>#VALUE!</v>
      </c>
      <c r="E4441" t="e">
        <f>cubic_spline(CURVA!$B$6:$B$20,CURVA!$G$6:$G$20,#REF!)</f>
        <v>#VALUE!</v>
      </c>
    </row>
    <row r="4442" spans="1:5" x14ac:dyDescent="0.2">
      <c r="A4442" s="28">
        <v>4441</v>
      </c>
      <c r="B4442" s="28" t="e">
        <f>interpola(#REF!,CURVA!$B$6:$B$20,CURVA!$G$6:$G$20)</f>
        <v>#VALUE!</v>
      </c>
      <c r="C4442" s="29" t="e">
        <f t="shared" si="69"/>
        <v>#VALUE!</v>
      </c>
      <c r="E4442" t="e">
        <f>cubic_spline(CURVA!$B$6:$B$20,CURVA!$G$6:$G$20,#REF!)</f>
        <v>#VALUE!</v>
      </c>
    </row>
    <row r="4443" spans="1:5" x14ac:dyDescent="0.2">
      <c r="A4443" s="28">
        <v>4442</v>
      </c>
      <c r="B4443" s="28" t="e">
        <f>interpola(#REF!,CURVA!$B$6:$B$20,CURVA!$G$6:$G$20)</f>
        <v>#VALUE!</v>
      </c>
      <c r="C4443" s="29" t="e">
        <f t="shared" si="69"/>
        <v>#VALUE!</v>
      </c>
      <c r="E4443" t="e">
        <f>cubic_spline(CURVA!$B$6:$B$20,CURVA!$G$6:$G$20,#REF!)</f>
        <v>#VALUE!</v>
      </c>
    </row>
    <row r="4444" spans="1:5" x14ac:dyDescent="0.2">
      <c r="A4444" s="28">
        <v>4443</v>
      </c>
      <c r="B4444" s="28" t="e">
        <f>interpola(#REF!,CURVA!$B$6:$B$20,CURVA!$G$6:$G$20)</f>
        <v>#VALUE!</v>
      </c>
      <c r="C4444" s="29" t="e">
        <f t="shared" si="69"/>
        <v>#VALUE!</v>
      </c>
      <c r="E4444" t="e">
        <f>cubic_spline(CURVA!$B$6:$B$20,CURVA!$G$6:$G$20,#REF!)</f>
        <v>#VALUE!</v>
      </c>
    </row>
    <row r="4445" spans="1:5" x14ac:dyDescent="0.2">
      <c r="A4445" s="28">
        <v>4444</v>
      </c>
      <c r="B4445" s="28" t="e">
        <f>interpola(#REF!,CURVA!$B$6:$B$20,CURVA!$G$6:$G$20)</f>
        <v>#VALUE!</v>
      </c>
      <c r="C4445" s="29" t="e">
        <f t="shared" si="69"/>
        <v>#VALUE!</v>
      </c>
      <c r="E4445" t="e">
        <f>cubic_spline(CURVA!$B$6:$B$20,CURVA!$G$6:$G$20,#REF!)</f>
        <v>#VALUE!</v>
      </c>
    </row>
    <row r="4446" spans="1:5" x14ac:dyDescent="0.2">
      <c r="A4446" s="28">
        <v>4445</v>
      </c>
      <c r="B4446" s="28" t="e">
        <f>interpola(#REF!,CURVA!$B$6:$B$20,CURVA!$G$6:$G$20)</f>
        <v>#VALUE!</v>
      </c>
      <c r="C4446" s="29" t="e">
        <f t="shared" si="69"/>
        <v>#VALUE!</v>
      </c>
      <c r="E4446" t="e">
        <f>cubic_spline(CURVA!$B$6:$B$20,CURVA!$G$6:$G$20,#REF!)</f>
        <v>#VALUE!</v>
      </c>
    </row>
    <row r="4447" spans="1:5" x14ac:dyDescent="0.2">
      <c r="A4447" s="28">
        <v>4446</v>
      </c>
      <c r="B4447" s="28" t="e">
        <f>interpola(#REF!,CURVA!$B$6:$B$20,CURVA!$G$6:$G$20)</f>
        <v>#VALUE!</v>
      </c>
      <c r="C4447" s="29" t="e">
        <f t="shared" si="69"/>
        <v>#VALUE!</v>
      </c>
      <c r="E4447" t="e">
        <f>cubic_spline(CURVA!$B$6:$B$20,CURVA!$G$6:$G$20,#REF!)</f>
        <v>#VALUE!</v>
      </c>
    </row>
    <row r="4448" spans="1:5" x14ac:dyDescent="0.2">
      <c r="A4448" s="28">
        <v>4447</v>
      </c>
      <c r="B4448" s="28" t="e">
        <f>interpola(#REF!,CURVA!$B$6:$B$20,CURVA!$G$6:$G$20)</f>
        <v>#VALUE!</v>
      </c>
      <c r="C4448" s="29" t="e">
        <f t="shared" si="69"/>
        <v>#VALUE!</v>
      </c>
      <c r="E4448" t="e">
        <f>cubic_spline(CURVA!$B$6:$B$20,CURVA!$G$6:$G$20,#REF!)</f>
        <v>#VALUE!</v>
      </c>
    </row>
    <row r="4449" spans="1:5" x14ac:dyDescent="0.2">
      <c r="A4449" s="28">
        <v>4448</v>
      </c>
      <c r="B4449" s="28" t="e">
        <f>interpola(#REF!,CURVA!$B$6:$B$20,CURVA!$G$6:$G$20)</f>
        <v>#VALUE!</v>
      </c>
      <c r="C4449" s="29" t="e">
        <f t="shared" si="69"/>
        <v>#VALUE!</v>
      </c>
      <c r="E4449" t="e">
        <f>cubic_spline(CURVA!$B$6:$B$20,CURVA!$G$6:$G$20,#REF!)</f>
        <v>#VALUE!</v>
      </c>
    </row>
    <row r="4450" spans="1:5" x14ac:dyDescent="0.2">
      <c r="A4450" s="28">
        <v>4449</v>
      </c>
      <c r="B4450" s="28" t="e">
        <f>interpola(#REF!,CURVA!$B$6:$B$20,CURVA!$G$6:$G$20)</f>
        <v>#VALUE!</v>
      </c>
      <c r="C4450" s="29" t="e">
        <f t="shared" si="69"/>
        <v>#VALUE!</v>
      </c>
      <c r="E4450" t="e">
        <f>cubic_spline(CURVA!$B$6:$B$20,CURVA!$G$6:$G$20,#REF!)</f>
        <v>#VALUE!</v>
      </c>
    </row>
    <row r="4451" spans="1:5" x14ac:dyDescent="0.2">
      <c r="A4451" s="28">
        <v>4450</v>
      </c>
      <c r="B4451" s="28" t="e">
        <f>interpola(#REF!,CURVA!$B$6:$B$20,CURVA!$G$6:$G$20)</f>
        <v>#VALUE!</v>
      </c>
      <c r="C4451" s="29" t="e">
        <f t="shared" si="69"/>
        <v>#VALUE!</v>
      </c>
      <c r="E4451" t="e">
        <f>cubic_spline(CURVA!$B$6:$B$20,CURVA!$G$6:$G$20,#REF!)</f>
        <v>#VALUE!</v>
      </c>
    </row>
    <row r="4452" spans="1:5" x14ac:dyDescent="0.2">
      <c r="A4452" s="28">
        <v>4451</v>
      </c>
      <c r="B4452" s="28" t="e">
        <f>interpola(#REF!,CURVA!$B$6:$B$20,CURVA!$G$6:$G$20)</f>
        <v>#VALUE!</v>
      </c>
      <c r="C4452" s="29" t="e">
        <f t="shared" si="69"/>
        <v>#VALUE!</v>
      </c>
      <c r="E4452" t="e">
        <f>cubic_spline(CURVA!$B$6:$B$20,CURVA!$G$6:$G$20,#REF!)</f>
        <v>#VALUE!</v>
      </c>
    </row>
    <row r="4453" spans="1:5" x14ac:dyDescent="0.2">
      <c r="A4453" s="28">
        <v>4452</v>
      </c>
      <c r="B4453" s="28" t="e">
        <f>interpola(#REF!,CURVA!$B$6:$B$20,CURVA!$G$6:$G$20)</f>
        <v>#VALUE!</v>
      </c>
      <c r="C4453" s="29" t="e">
        <f t="shared" si="69"/>
        <v>#VALUE!</v>
      </c>
      <c r="E4453" t="e">
        <f>cubic_spline(CURVA!$B$6:$B$20,CURVA!$G$6:$G$20,#REF!)</f>
        <v>#VALUE!</v>
      </c>
    </row>
    <row r="4454" spans="1:5" x14ac:dyDescent="0.2">
      <c r="A4454" s="28">
        <v>4453</v>
      </c>
      <c r="B4454" s="28" t="e">
        <f>interpola(#REF!,CURVA!$B$6:$B$20,CURVA!$G$6:$G$20)</f>
        <v>#VALUE!</v>
      </c>
      <c r="C4454" s="29" t="e">
        <f t="shared" si="69"/>
        <v>#VALUE!</v>
      </c>
      <c r="E4454" t="e">
        <f>cubic_spline(CURVA!$B$6:$B$20,CURVA!$G$6:$G$20,#REF!)</f>
        <v>#VALUE!</v>
      </c>
    </row>
    <row r="4455" spans="1:5" x14ac:dyDescent="0.2">
      <c r="A4455" s="28">
        <v>4454</v>
      </c>
      <c r="B4455" s="28" t="e">
        <f>interpola(#REF!,CURVA!$B$6:$B$20,CURVA!$G$6:$G$20)</f>
        <v>#VALUE!</v>
      </c>
      <c r="C4455" s="29" t="e">
        <f t="shared" si="69"/>
        <v>#VALUE!</v>
      </c>
      <c r="E4455" t="e">
        <f>cubic_spline(CURVA!$B$6:$B$20,CURVA!$G$6:$G$20,#REF!)</f>
        <v>#VALUE!</v>
      </c>
    </row>
    <row r="4456" spans="1:5" x14ac:dyDescent="0.2">
      <c r="A4456" s="28">
        <v>4455</v>
      </c>
      <c r="B4456" s="28" t="e">
        <f>interpola(#REF!,CURVA!$B$6:$B$20,CURVA!$G$6:$G$20)</f>
        <v>#VALUE!</v>
      </c>
      <c r="C4456" s="29" t="e">
        <f t="shared" si="69"/>
        <v>#VALUE!</v>
      </c>
      <c r="E4456" t="e">
        <f>cubic_spline(CURVA!$B$6:$B$20,CURVA!$G$6:$G$20,#REF!)</f>
        <v>#VALUE!</v>
      </c>
    </row>
    <row r="4457" spans="1:5" x14ac:dyDescent="0.2">
      <c r="A4457" s="28">
        <v>4456</v>
      </c>
      <c r="B4457" s="28" t="e">
        <f>interpola(#REF!,CURVA!$B$6:$B$20,CURVA!$G$6:$G$20)</f>
        <v>#VALUE!</v>
      </c>
      <c r="C4457" s="29" t="e">
        <f t="shared" si="69"/>
        <v>#VALUE!</v>
      </c>
      <c r="E4457" t="e">
        <f>cubic_spline(CURVA!$B$6:$B$20,CURVA!$G$6:$G$20,#REF!)</f>
        <v>#VALUE!</v>
      </c>
    </row>
    <row r="4458" spans="1:5" x14ac:dyDescent="0.2">
      <c r="A4458" s="28">
        <v>4457</v>
      </c>
      <c r="B4458" s="28" t="e">
        <f>interpola(#REF!,CURVA!$B$6:$B$20,CURVA!$G$6:$G$20)</f>
        <v>#VALUE!</v>
      </c>
      <c r="C4458" s="29" t="e">
        <f t="shared" si="69"/>
        <v>#VALUE!</v>
      </c>
      <c r="E4458" t="e">
        <f>cubic_spline(CURVA!$B$6:$B$20,CURVA!$G$6:$G$20,#REF!)</f>
        <v>#VALUE!</v>
      </c>
    </row>
    <row r="4459" spans="1:5" x14ac:dyDescent="0.2">
      <c r="A4459" s="28">
        <v>4458</v>
      </c>
      <c r="B4459" s="28" t="e">
        <f>interpola(#REF!,CURVA!$B$6:$B$20,CURVA!$G$6:$G$20)</f>
        <v>#VALUE!</v>
      </c>
      <c r="C4459" s="29" t="e">
        <f t="shared" si="69"/>
        <v>#VALUE!</v>
      </c>
      <c r="E4459" t="e">
        <f>cubic_spline(CURVA!$B$6:$B$20,CURVA!$G$6:$G$20,#REF!)</f>
        <v>#VALUE!</v>
      </c>
    </row>
    <row r="4460" spans="1:5" x14ac:dyDescent="0.2">
      <c r="A4460" s="28">
        <v>4459</v>
      </c>
      <c r="B4460" s="28" t="e">
        <f>interpola(#REF!,CURVA!$B$6:$B$20,CURVA!$G$6:$G$20)</f>
        <v>#VALUE!</v>
      </c>
      <c r="C4460" s="29" t="e">
        <f t="shared" si="69"/>
        <v>#VALUE!</v>
      </c>
      <c r="E4460" t="e">
        <f>cubic_spline(CURVA!$B$6:$B$20,CURVA!$G$6:$G$20,#REF!)</f>
        <v>#VALUE!</v>
      </c>
    </row>
    <row r="4461" spans="1:5" x14ac:dyDescent="0.2">
      <c r="A4461" s="28">
        <v>4460</v>
      </c>
      <c r="B4461" s="28" t="e">
        <f>interpola(#REF!,CURVA!$B$6:$B$20,CURVA!$G$6:$G$20)</f>
        <v>#VALUE!</v>
      </c>
      <c r="C4461" s="29" t="e">
        <f t="shared" si="69"/>
        <v>#VALUE!</v>
      </c>
      <c r="E4461" t="e">
        <f>cubic_spline(CURVA!$B$6:$B$20,CURVA!$G$6:$G$20,#REF!)</f>
        <v>#VALUE!</v>
      </c>
    </row>
    <row r="4462" spans="1:5" x14ac:dyDescent="0.2">
      <c r="A4462" s="28">
        <v>4461</v>
      </c>
      <c r="B4462" s="28" t="e">
        <f>interpola(#REF!,CURVA!$B$6:$B$20,CURVA!$G$6:$G$20)</f>
        <v>#VALUE!</v>
      </c>
      <c r="C4462" s="29" t="e">
        <f t="shared" si="69"/>
        <v>#VALUE!</v>
      </c>
      <c r="E4462" t="e">
        <f>cubic_spline(CURVA!$B$6:$B$20,CURVA!$G$6:$G$20,#REF!)</f>
        <v>#VALUE!</v>
      </c>
    </row>
    <row r="4463" spans="1:5" x14ac:dyDescent="0.2">
      <c r="A4463" s="28">
        <v>4462</v>
      </c>
      <c r="B4463" s="28" t="e">
        <f>interpola(#REF!,CURVA!$B$6:$B$20,CURVA!$G$6:$G$20)</f>
        <v>#VALUE!</v>
      </c>
      <c r="C4463" s="29" t="e">
        <f t="shared" si="69"/>
        <v>#VALUE!</v>
      </c>
      <c r="E4463" t="e">
        <f>cubic_spline(CURVA!$B$6:$B$20,CURVA!$G$6:$G$20,#REF!)</f>
        <v>#VALUE!</v>
      </c>
    </row>
    <row r="4464" spans="1:5" x14ac:dyDescent="0.2">
      <c r="A4464" s="28">
        <v>4463</v>
      </c>
      <c r="B4464" s="28" t="e">
        <f>interpola(#REF!,CURVA!$B$6:$B$20,CURVA!$G$6:$G$20)</f>
        <v>#VALUE!</v>
      </c>
      <c r="C4464" s="29" t="e">
        <f t="shared" si="69"/>
        <v>#VALUE!</v>
      </c>
      <c r="E4464" t="e">
        <f>cubic_spline(CURVA!$B$6:$B$20,CURVA!$G$6:$G$20,#REF!)</f>
        <v>#VALUE!</v>
      </c>
    </row>
    <row r="4465" spans="1:5" x14ac:dyDescent="0.2">
      <c r="A4465" s="28">
        <v>4464</v>
      </c>
      <c r="B4465" s="28" t="e">
        <f>interpola(#REF!,CURVA!$B$6:$B$20,CURVA!$G$6:$G$20)</f>
        <v>#VALUE!</v>
      </c>
      <c r="C4465" s="29" t="e">
        <f t="shared" si="69"/>
        <v>#VALUE!</v>
      </c>
      <c r="E4465" t="e">
        <f>cubic_spline(CURVA!$B$6:$B$20,CURVA!$G$6:$G$20,#REF!)</f>
        <v>#VALUE!</v>
      </c>
    </row>
    <row r="4466" spans="1:5" x14ac:dyDescent="0.2">
      <c r="A4466" s="28">
        <v>4465</v>
      </c>
      <c r="B4466" s="28" t="e">
        <f>interpola(#REF!,CURVA!$B$6:$B$20,CURVA!$G$6:$G$20)</f>
        <v>#VALUE!</v>
      </c>
      <c r="C4466" s="29" t="e">
        <f t="shared" si="69"/>
        <v>#VALUE!</v>
      </c>
      <c r="E4466" t="e">
        <f>cubic_spline(CURVA!$B$6:$B$20,CURVA!$G$6:$G$20,#REF!)</f>
        <v>#VALUE!</v>
      </c>
    </row>
    <row r="4467" spans="1:5" x14ac:dyDescent="0.2">
      <c r="A4467" s="28">
        <v>4466</v>
      </c>
      <c r="B4467" s="28" t="e">
        <f>interpola(#REF!,CURVA!$B$6:$B$20,CURVA!$G$6:$G$20)</f>
        <v>#VALUE!</v>
      </c>
      <c r="C4467" s="29" t="e">
        <f t="shared" si="69"/>
        <v>#VALUE!</v>
      </c>
      <c r="E4467" t="e">
        <f>cubic_spline(CURVA!$B$6:$B$20,CURVA!$G$6:$G$20,#REF!)</f>
        <v>#VALUE!</v>
      </c>
    </row>
    <row r="4468" spans="1:5" x14ac:dyDescent="0.2">
      <c r="A4468" s="28">
        <v>4467</v>
      </c>
      <c r="B4468" s="28" t="e">
        <f>interpola(#REF!,CURVA!$B$6:$B$20,CURVA!$G$6:$G$20)</f>
        <v>#VALUE!</v>
      </c>
      <c r="C4468" s="29" t="e">
        <f t="shared" si="69"/>
        <v>#VALUE!</v>
      </c>
      <c r="E4468" t="e">
        <f>cubic_spline(CURVA!$B$6:$B$20,CURVA!$G$6:$G$20,#REF!)</f>
        <v>#VALUE!</v>
      </c>
    </row>
    <row r="4469" spans="1:5" x14ac:dyDescent="0.2">
      <c r="A4469" s="28">
        <v>4468</v>
      </c>
      <c r="B4469" s="28" t="e">
        <f>interpola(#REF!,CURVA!$B$6:$B$20,CURVA!$G$6:$G$20)</f>
        <v>#VALUE!</v>
      </c>
      <c r="C4469" s="29" t="e">
        <f t="shared" si="69"/>
        <v>#VALUE!</v>
      </c>
      <c r="E4469" t="e">
        <f>cubic_spline(CURVA!$B$6:$B$20,CURVA!$G$6:$G$20,#REF!)</f>
        <v>#VALUE!</v>
      </c>
    </row>
    <row r="4470" spans="1:5" x14ac:dyDescent="0.2">
      <c r="A4470" s="28">
        <v>4469</v>
      </c>
      <c r="B4470" s="28" t="e">
        <f>interpola(#REF!,CURVA!$B$6:$B$20,CURVA!$G$6:$G$20)</f>
        <v>#VALUE!</v>
      </c>
      <c r="C4470" s="29" t="e">
        <f t="shared" si="69"/>
        <v>#VALUE!</v>
      </c>
      <c r="E4470" t="e">
        <f>cubic_spline(CURVA!$B$6:$B$20,CURVA!$G$6:$G$20,#REF!)</f>
        <v>#VALUE!</v>
      </c>
    </row>
    <row r="4471" spans="1:5" x14ac:dyDescent="0.2">
      <c r="A4471" s="28">
        <v>4470</v>
      </c>
      <c r="B4471" s="28" t="e">
        <f>interpola(#REF!,CURVA!$B$6:$B$20,CURVA!$G$6:$G$20)</f>
        <v>#VALUE!</v>
      </c>
      <c r="C4471" s="29" t="e">
        <f t="shared" si="69"/>
        <v>#VALUE!</v>
      </c>
      <c r="E4471" t="e">
        <f>cubic_spline(CURVA!$B$6:$B$20,CURVA!$G$6:$G$20,#REF!)</f>
        <v>#VALUE!</v>
      </c>
    </row>
    <row r="4472" spans="1:5" x14ac:dyDescent="0.2">
      <c r="A4472" s="28">
        <v>4471</v>
      </c>
      <c r="B4472" s="28" t="e">
        <f>interpola(#REF!,CURVA!$B$6:$B$20,CURVA!$G$6:$G$20)</f>
        <v>#VALUE!</v>
      </c>
      <c r="C4472" s="29" t="e">
        <f t="shared" si="69"/>
        <v>#VALUE!</v>
      </c>
      <c r="E4472" t="e">
        <f>cubic_spline(CURVA!$B$6:$B$20,CURVA!$G$6:$G$20,#REF!)</f>
        <v>#VALUE!</v>
      </c>
    </row>
    <row r="4473" spans="1:5" x14ac:dyDescent="0.2">
      <c r="A4473" s="28">
        <v>4472</v>
      </c>
      <c r="B4473" s="28" t="e">
        <f>interpola(#REF!,CURVA!$B$6:$B$20,CURVA!$G$6:$G$20)</f>
        <v>#VALUE!</v>
      </c>
      <c r="C4473" s="29" t="e">
        <f t="shared" si="69"/>
        <v>#VALUE!</v>
      </c>
      <c r="E4473" t="e">
        <f>cubic_spline(CURVA!$B$6:$B$20,CURVA!$G$6:$G$20,#REF!)</f>
        <v>#VALUE!</v>
      </c>
    </row>
    <row r="4474" spans="1:5" x14ac:dyDescent="0.2">
      <c r="A4474" s="28">
        <v>4473</v>
      </c>
      <c r="B4474" s="28" t="e">
        <f>interpola(#REF!,CURVA!$B$6:$B$20,CURVA!$G$6:$G$20)</f>
        <v>#VALUE!</v>
      </c>
      <c r="C4474" s="29" t="e">
        <f t="shared" si="69"/>
        <v>#VALUE!</v>
      </c>
      <c r="E4474" t="e">
        <f>cubic_spline(CURVA!$B$6:$B$20,CURVA!$G$6:$G$20,#REF!)</f>
        <v>#VALUE!</v>
      </c>
    </row>
    <row r="4475" spans="1:5" x14ac:dyDescent="0.2">
      <c r="A4475" s="28">
        <v>4474</v>
      </c>
      <c r="B4475" s="28" t="e">
        <f>interpola(#REF!,CURVA!$B$6:$B$20,CURVA!$G$6:$G$20)</f>
        <v>#VALUE!</v>
      </c>
      <c r="C4475" s="29" t="e">
        <f t="shared" si="69"/>
        <v>#VALUE!</v>
      </c>
      <c r="E4475" t="e">
        <f>cubic_spline(CURVA!$B$6:$B$20,CURVA!$G$6:$G$20,#REF!)</f>
        <v>#VALUE!</v>
      </c>
    </row>
    <row r="4476" spans="1:5" x14ac:dyDescent="0.2">
      <c r="A4476" s="28">
        <v>4475</v>
      </c>
      <c r="B4476" s="28" t="e">
        <f>interpola(#REF!,CURVA!$B$6:$B$20,CURVA!$G$6:$G$20)</f>
        <v>#VALUE!</v>
      </c>
      <c r="C4476" s="29" t="e">
        <f t="shared" si="69"/>
        <v>#VALUE!</v>
      </c>
      <c r="E4476" t="e">
        <f>cubic_spline(CURVA!$B$6:$B$20,CURVA!$G$6:$G$20,#REF!)</f>
        <v>#VALUE!</v>
      </c>
    </row>
    <row r="4477" spans="1:5" x14ac:dyDescent="0.2">
      <c r="A4477" s="28">
        <v>4476</v>
      </c>
      <c r="B4477" s="28" t="e">
        <f>interpola(#REF!,CURVA!$B$6:$B$20,CURVA!$G$6:$G$20)</f>
        <v>#VALUE!</v>
      </c>
      <c r="C4477" s="29" t="e">
        <f t="shared" si="69"/>
        <v>#VALUE!</v>
      </c>
      <c r="E4477" t="e">
        <f>cubic_spline(CURVA!$B$6:$B$20,CURVA!$G$6:$G$20,#REF!)</f>
        <v>#VALUE!</v>
      </c>
    </row>
    <row r="4478" spans="1:5" x14ac:dyDescent="0.2">
      <c r="A4478" s="28">
        <v>4477</v>
      </c>
      <c r="B4478" s="28" t="e">
        <f>interpola(#REF!,CURVA!$B$6:$B$20,CURVA!$G$6:$G$20)</f>
        <v>#VALUE!</v>
      </c>
      <c r="C4478" s="29" t="e">
        <f t="shared" si="69"/>
        <v>#VALUE!</v>
      </c>
      <c r="E4478" t="e">
        <f>cubic_spline(CURVA!$B$6:$B$20,CURVA!$G$6:$G$20,#REF!)</f>
        <v>#VALUE!</v>
      </c>
    </row>
    <row r="4479" spans="1:5" x14ac:dyDescent="0.2">
      <c r="A4479" s="28">
        <v>4478</v>
      </c>
      <c r="B4479" s="28" t="e">
        <f>interpola(#REF!,CURVA!$B$6:$B$20,CURVA!$G$6:$G$20)</f>
        <v>#VALUE!</v>
      </c>
      <c r="C4479" s="29" t="e">
        <f t="shared" si="69"/>
        <v>#VALUE!</v>
      </c>
      <c r="E4479" t="e">
        <f>cubic_spline(CURVA!$B$6:$B$20,CURVA!$G$6:$G$20,#REF!)</f>
        <v>#VALUE!</v>
      </c>
    </row>
    <row r="4480" spans="1:5" x14ac:dyDescent="0.2">
      <c r="A4480" s="28">
        <v>4479</v>
      </c>
      <c r="B4480" s="28" t="e">
        <f>interpola(#REF!,CURVA!$B$6:$B$20,CURVA!$G$6:$G$20)</f>
        <v>#VALUE!</v>
      </c>
      <c r="C4480" s="29" t="e">
        <f t="shared" si="69"/>
        <v>#VALUE!</v>
      </c>
      <c r="E4480" t="e">
        <f>cubic_spline(CURVA!$B$6:$B$20,CURVA!$G$6:$G$20,#REF!)</f>
        <v>#VALUE!</v>
      </c>
    </row>
    <row r="4481" spans="1:5" x14ac:dyDescent="0.2">
      <c r="A4481" s="28">
        <v>4480</v>
      </c>
      <c r="B4481" s="28" t="e">
        <f>interpola(#REF!,CURVA!$B$6:$B$20,CURVA!$G$6:$G$20)</f>
        <v>#VALUE!</v>
      </c>
      <c r="C4481" s="29" t="e">
        <f t="shared" si="69"/>
        <v>#VALUE!</v>
      </c>
      <c r="E4481" t="e">
        <f>cubic_spline(CURVA!$B$6:$B$20,CURVA!$G$6:$G$20,#REF!)</f>
        <v>#VALUE!</v>
      </c>
    </row>
    <row r="4482" spans="1:5" x14ac:dyDescent="0.2">
      <c r="A4482" s="28">
        <v>4481</v>
      </c>
      <c r="B4482" s="28" t="e">
        <f>interpola(#REF!,CURVA!$B$6:$B$20,CURVA!$G$6:$G$20)</f>
        <v>#VALUE!</v>
      </c>
      <c r="C4482" s="29" t="e">
        <f t="shared" ref="C4482:C4545" si="70">(EXP(B4482*A4482/360)-1)*360/A4482</f>
        <v>#VALUE!</v>
      </c>
      <c r="E4482" t="e">
        <f>cubic_spline(CURVA!$B$6:$B$20,CURVA!$G$6:$G$20,#REF!)</f>
        <v>#VALUE!</v>
      </c>
    </row>
    <row r="4483" spans="1:5" x14ac:dyDescent="0.2">
      <c r="A4483" s="28">
        <v>4482</v>
      </c>
      <c r="B4483" s="28" t="e">
        <f>interpola(#REF!,CURVA!$B$6:$B$20,CURVA!$G$6:$G$20)</f>
        <v>#VALUE!</v>
      </c>
      <c r="C4483" s="29" t="e">
        <f t="shared" si="70"/>
        <v>#VALUE!</v>
      </c>
      <c r="E4483" t="e">
        <f>cubic_spline(CURVA!$B$6:$B$20,CURVA!$G$6:$G$20,#REF!)</f>
        <v>#VALUE!</v>
      </c>
    </row>
    <row r="4484" spans="1:5" x14ac:dyDescent="0.2">
      <c r="A4484" s="28">
        <v>4483</v>
      </c>
      <c r="B4484" s="28" t="e">
        <f>interpola(#REF!,CURVA!$B$6:$B$20,CURVA!$G$6:$G$20)</f>
        <v>#VALUE!</v>
      </c>
      <c r="C4484" s="29" t="e">
        <f t="shared" si="70"/>
        <v>#VALUE!</v>
      </c>
      <c r="E4484" t="e">
        <f>cubic_spline(CURVA!$B$6:$B$20,CURVA!$G$6:$G$20,#REF!)</f>
        <v>#VALUE!</v>
      </c>
    </row>
    <row r="4485" spans="1:5" x14ac:dyDescent="0.2">
      <c r="A4485" s="28">
        <v>4484</v>
      </c>
      <c r="B4485" s="28" t="e">
        <f>interpola(#REF!,CURVA!$B$6:$B$20,CURVA!$G$6:$G$20)</f>
        <v>#VALUE!</v>
      </c>
      <c r="C4485" s="29" t="e">
        <f t="shared" si="70"/>
        <v>#VALUE!</v>
      </c>
      <c r="E4485" t="e">
        <f>cubic_spline(CURVA!$B$6:$B$20,CURVA!$G$6:$G$20,#REF!)</f>
        <v>#VALUE!</v>
      </c>
    </row>
    <row r="4486" spans="1:5" x14ac:dyDescent="0.2">
      <c r="A4486" s="28">
        <v>4485</v>
      </c>
      <c r="B4486" s="28" t="e">
        <f>interpola(#REF!,CURVA!$B$6:$B$20,CURVA!$G$6:$G$20)</f>
        <v>#VALUE!</v>
      </c>
      <c r="C4486" s="29" t="e">
        <f t="shared" si="70"/>
        <v>#VALUE!</v>
      </c>
      <c r="E4486" t="e">
        <f>cubic_spline(CURVA!$B$6:$B$20,CURVA!$G$6:$G$20,#REF!)</f>
        <v>#VALUE!</v>
      </c>
    </row>
    <row r="4487" spans="1:5" x14ac:dyDescent="0.2">
      <c r="A4487" s="28">
        <v>4486</v>
      </c>
      <c r="B4487" s="28" t="e">
        <f>interpola(#REF!,CURVA!$B$6:$B$20,CURVA!$G$6:$G$20)</f>
        <v>#VALUE!</v>
      </c>
      <c r="C4487" s="29" t="e">
        <f t="shared" si="70"/>
        <v>#VALUE!</v>
      </c>
      <c r="E4487" t="e">
        <f>cubic_spline(CURVA!$B$6:$B$20,CURVA!$G$6:$G$20,#REF!)</f>
        <v>#VALUE!</v>
      </c>
    </row>
    <row r="4488" spans="1:5" x14ac:dyDescent="0.2">
      <c r="A4488" s="28">
        <v>4487</v>
      </c>
      <c r="B4488" s="28" t="e">
        <f>interpola(#REF!,CURVA!$B$6:$B$20,CURVA!$G$6:$G$20)</f>
        <v>#VALUE!</v>
      </c>
      <c r="C4488" s="29" t="e">
        <f t="shared" si="70"/>
        <v>#VALUE!</v>
      </c>
      <c r="E4488" t="e">
        <f>cubic_spline(CURVA!$B$6:$B$20,CURVA!$G$6:$G$20,#REF!)</f>
        <v>#VALUE!</v>
      </c>
    </row>
    <row r="4489" spans="1:5" x14ac:dyDescent="0.2">
      <c r="A4489" s="28">
        <v>4488</v>
      </c>
      <c r="B4489" s="28" t="e">
        <f>interpola(#REF!,CURVA!$B$6:$B$20,CURVA!$G$6:$G$20)</f>
        <v>#VALUE!</v>
      </c>
      <c r="C4489" s="29" t="e">
        <f t="shared" si="70"/>
        <v>#VALUE!</v>
      </c>
      <c r="E4489" t="e">
        <f>cubic_spline(CURVA!$B$6:$B$20,CURVA!$G$6:$G$20,#REF!)</f>
        <v>#VALUE!</v>
      </c>
    </row>
    <row r="4490" spans="1:5" x14ac:dyDescent="0.2">
      <c r="A4490" s="28">
        <v>4489</v>
      </c>
      <c r="B4490" s="28" t="e">
        <f>interpola(#REF!,CURVA!$B$6:$B$20,CURVA!$G$6:$G$20)</f>
        <v>#VALUE!</v>
      </c>
      <c r="C4490" s="29" t="e">
        <f t="shared" si="70"/>
        <v>#VALUE!</v>
      </c>
      <c r="E4490" t="e">
        <f>cubic_spline(CURVA!$B$6:$B$20,CURVA!$G$6:$G$20,#REF!)</f>
        <v>#VALUE!</v>
      </c>
    </row>
    <row r="4491" spans="1:5" x14ac:dyDescent="0.2">
      <c r="A4491" s="28">
        <v>4490</v>
      </c>
      <c r="B4491" s="28" t="e">
        <f>interpola(#REF!,CURVA!$B$6:$B$20,CURVA!$G$6:$G$20)</f>
        <v>#VALUE!</v>
      </c>
      <c r="C4491" s="29" t="e">
        <f t="shared" si="70"/>
        <v>#VALUE!</v>
      </c>
      <c r="E4491" t="e">
        <f>cubic_spline(CURVA!$B$6:$B$20,CURVA!$G$6:$G$20,#REF!)</f>
        <v>#VALUE!</v>
      </c>
    </row>
    <row r="4492" spans="1:5" x14ac:dyDescent="0.2">
      <c r="A4492" s="28">
        <v>4491</v>
      </c>
      <c r="B4492" s="28" t="e">
        <f>interpola(#REF!,CURVA!$B$6:$B$20,CURVA!$G$6:$G$20)</f>
        <v>#VALUE!</v>
      </c>
      <c r="C4492" s="29" t="e">
        <f t="shared" si="70"/>
        <v>#VALUE!</v>
      </c>
      <c r="E4492" t="e">
        <f>cubic_spline(CURVA!$B$6:$B$20,CURVA!$G$6:$G$20,#REF!)</f>
        <v>#VALUE!</v>
      </c>
    </row>
    <row r="4493" spans="1:5" x14ac:dyDescent="0.2">
      <c r="A4493" s="28">
        <v>4492</v>
      </c>
      <c r="B4493" s="28" t="e">
        <f>interpola(#REF!,CURVA!$B$6:$B$20,CURVA!$G$6:$G$20)</f>
        <v>#VALUE!</v>
      </c>
      <c r="C4493" s="29" t="e">
        <f t="shared" si="70"/>
        <v>#VALUE!</v>
      </c>
      <c r="E4493" t="e">
        <f>cubic_spline(CURVA!$B$6:$B$20,CURVA!$G$6:$G$20,#REF!)</f>
        <v>#VALUE!</v>
      </c>
    </row>
    <row r="4494" spans="1:5" x14ac:dyDescent="0.2">
      <c r="A4494" s="28">
        <v>4493</v>
      </c>
      <c r="B4494" s="28" t="e">
        <f>interpola(#REF!,CURVA!$B$6:$B$20,CURVA!$G$6:$G$20)</f>
        <v>#VALUE!</v>
      </c>
      <c r="C4494" s="29" t="e">
        <f t="shared" si="70"/>
        <v>#VALUE!</v>
      </c>
      <c r="E4494" t="e">
        <f>cubic_spline(CURVA!$B$6:$B$20,CURVA!$G$6:$G$20,#REF!)</f>
        <v>#VALUE!</v>
      </c>
    </row>
    <row r="4495" spans="1:5" x14ac:dyDescent="0.2">
      <c r="A4495" s="28">
        <v>4494</v>
      </c>
      <c r="B4495" s="28" t="e">
        <f>interpola(#REF!,CURVA!$B$6:$B$20,CURVA!$G$6:$G$20)</f>
        <v>#VALUE!</v>
      </c>
      <c r="C4495" s="29" t="e">
        <f t="shared" si="70"/>
        <v>#VALUE!</v>
      </c>
      <c r="E4495" t="e">
        <f>cubic_spline(CURVA!$B$6:$B$20,CURVA!$G$6:$G$20,#REF!)</f>
        <v>#VALUE!</v>
      </c>
    </row>
    <row r="4496" spans="1:5" x14ac:dyDescent="0.2">
      <c r="A4496" s="28">
        <v>4495</v>
      </c>
      <c r="B4496" s="28" t="e">
        <f>interpola(#REF!,CURVA!$B$6:$B$20,CURVA!$G$6:$G$20)</f>
        <v>#VALUE!</v>
      </c>
      <c r="C4496" s="29" t="e">
        <f t="shared" si="70"/>
        <v>#VALUE!</v>
      </c>
      <c r="E4496" t="e">
        <f>cubic_spline(CURVA!$B$6:$B$20,CURVA!$G$6:$G$20,#REF!)</f>
        <v>#VALUE!</v>
      </c>
    </row>
    <row r="4497" spans="1:5" x14ac:dyDescent="0.2">
      <c r="A4497" s="28">
        <v>4496</v>
      </c>
      <c r="B4497" s="28" t="e">
        <f>interpola(#REF!,CURVA!$B$6:$B$20,CURVA!$G$6:$G$20)</f>
        <v>#VALUE!</v>
      </c>
      <c r="C4497" s="29" t="e">
        <f t="shared" si="70"/>
        <v>#VALUE!</v>
      </c>
      <c r="E4497" t="e">
        <f>cubic_spline(CURVA!$B$6:$B$20,CURVA!$G$6:$G$20,#REF!)</f>
        <v>#VALUE!</v>
      </c>
    </row>
    <row r="4498" spans="1:5" x14ac:dyDescent="0.2">
      <c r="A4498" s="28">
        <v>4497</v>
      </c>
      <c r="B4498" s="28" t="e">
        <f>interpola(#REF!,CURVA!$B$6:$B$20,CURVA!$G$6:$G$20)</f>
        <v>#VALUE!</v>
      </c>
      <c r="C4498" s="29" t="e">
        <f t="shared" si="70"/>
        <v>#VALUE!</v>
      </c>
      <c r="E4498" t="e">
        <f>cubic_spline(CURVA!$B$6:$B$20,CURVA!$G$6:$G$20,#REF!)</f>
        <v>#VALUE!</v>
      </c>
    </row>
    <row r="4499" spans="1:5" x14ac:dyDescent="0.2">
      <c r="A4499" s="28">
        <v>4498</v>
      </c>
      <c r="B4499" s="28" t="e">
        <f>interpola(#REF!,CURVA!$B$6:$B$20,CURVA!$G$6:$G$20)</f>
        <v>#VALUE!</v>
      </c>
      <c r="C4499" s="29" t="e">
        <f t="shared" si="70"/>
        <v>#VALUE!</v>
      </c>
      <c r="E4499" t="e">
        <f>cubic_spline(CURVA!$B$6:$B$20,CURVA!$G$6:$G$20,#REF!)</f>
        <v>#VALUE!</v>
      </c>
    </row>
    <row r="4500" spans="1:5" x14ac:dyDescent="0.2">
      <c r="A4500" s="28">
        <v>4499</v>
      </c>
      <c r="B4500" s="28" t="e">
        <f>interpola(#REF!,CURVA!$B$6:$B$20,CURVA!$G$6:$G$20)</f>
        <v>#VALUE!</v>
      </c>
      <c r="C4500" s="29" t="e">
        <f t="shared" si="70"/>
        <v>#VALUE!</v>
      </c>
      <c r="E4500" t="e">
        <f>cubic_spline(CURVA!$B$6:$B$20,CURVA!$G$6:$G$20,#REF!)</f>
        <v>#VALUE!</v>
      </c>
    </row>
    <row r="4501" spans="1:5" x14ac:dyDescent="0.2">
      <c r="A4501" s="28">
        <v>4500</v>
      </c>
      <c r="B4501" s="28" t="e">
        <f>interpola(#REF!,CURVA!$B$6:$B$20,CURVA!$G$6:$G$20)</f>
        <v>#VALUE!</v>
      </c>
      <c r="C4501" s="29" t="e">
        <f t="shared" si="70"/>
        <v>#VALUE!</v>
      </c>
      <c r="E4501" t="e">
        <f>cubic_spline(CURVA!$B$6:$B$20,CURVA!$G$6:$G$20,#REF!)</f>
        <v>#VALUE!</v>
      </c>
    </row>
    <row r="4502" spans="1:5" x14ac:dyDescent="0.2">
      <c r="A4502" s="28">
        <v>4501</v>
      </c>
      <c r="B4502" s="28" t="e">
        <f>interpola(#REF!,CURVA!$B$6:$B$20,CURVA!$G$6:$G$20)</f>
        <v>#VALUE!</v>
      </c>
      <c r="C4502" s="29" t="e">
        <f t="shared" si="70"/>
        <v>#VALUE!</v>
      </c>
      <c r="E4502" t="e">
        <f>cubic_spline(CURVA!$B$6:$B$20,CURVA!$G$6:$G$20,#REF!)</f>
        <v>#VALUE!</v>
      </c>
    </row>
    <row r="4503" spans="1:5" x14ac:dyDescent="0.2">
      <c r="A4503" s="28">
        <v>4502</v>
      </c>
      <c r="B4503" s="28" t="e">
        <f>interpola(#REF!,CURVA!$B$6:$B$20,CURVA!$G$6:$G$20)</f>
        <v>#VALUE!</v>
      </c>
      <c r="C4503" s="29" t="e">
        <f t="shared" si="70"/>
        <v>#VALUE!</v>
      </c>
      <c r="E4503" t="e">
        <f>cubic_spline(CURVA!$B$6:$B$20,CURVA!$G$6:$G$20,#REF!)</f>
        <v>#VALUE!</v>
      </c>
    </row>
    <row r="4504" spans="1:5" x14ac:dyDescent="0.2">
      <c r="A4504" s="28">
        <v>4503</v>
      </c>
      <c r="B4504" s="28" t="e">
        <f>interpola(#REF!,CURVA!$B$6:$B$20,CURVA!$G$6:$G$20)</f>
        <v>#VALUE!</v>
      </c>
      <c r="C4504" s="29" t="e">
        <f t="shared" si="70"/>
        <v>#VALUE!</v>
      </c>
      <c r="E4504" t="e">
        <f>cubic_spline(CURVA!$B$6:$B$20,CURVA!$G$6:$G$20,#REF!)</f>
        <v>#VALUE!</v>
      </c>
    </row>
    <row r="4505" spans="1:5" x14ac:dyDescent="0.2">
      <c r="A4505" s="28">
        <v>4504</v>
      </c>
      <c r="B4505" s="28" t="e">
        <f>interpola(#REF!,CURVA!$B$6:$B$20,CURVA!$G$6:$G$20)</f>
        <v>#VALUE!</v>
      </c>
      <c r="C4505" s="29" t="e">
        <f t="shared" si="70"/>
        <v>#VALUE!</v>
      </c>
      <c r="E4505" t="e">
        <f>cubic_spline(CURVA!$B$6:$B$20,CURVA!$G$6:$G$20,#REF!)</f>
        <v>#VALUE!</v>
      </c>
    </row>
    <row r="4506" spans="1:5" x14ac:dyDescent="0.2">
      <c r="A4506" s="28">
        <v>4505</v>
      </c>
      <c r="B4506" s="28" t="e">
        <f>interpola(#REF!,CURVA!$B$6:$B$20,CURVA!$G$6:$G$20)</f>
        <v>#VALUE!</v>
      </c>
      <c r="C4506" s="29" t="e">
        <f t="shared" si="70"/>
        <v>#VALUE!</v>
      </c>
      <c r="E4506" t="e">
        <f>cubic_spline(CURVA!$B$6:$B$20,CURVA!$G$6:$G$20,#REF!)</f>
        <v>#VALUE!</v>
      </c>
    </row>
    <row r="4507" spans="1:5" x14ac:dyDescent="0.2">
      <c r="A4507" s="28">
        <v>4506</v>
      </c>
      <c r="B4507" s="28" t="e">
        <f>interpola(#REF!,CURVA!$B$6:$B$20,CURVA!$G$6:$G$20)</f>
        <v>#VALUE!</v>
      </c>
      <c r="C4507" s="29" t="e">
        <f t="shared" si="70"/>
        <v>#VALUE!</v>
      </c>
      <c r="E4507" t="e">
        <f>cubic_spline(CURVA!$B$6:$B$20,CURVA!$G$6:$G$20,#REF!)</f>
        <v>#VALUE!</v>
      </c>
    </row>
    <row r="4508" spans="1:5" x14ac:dyDescent="0.2">
      <c r="A4508" s="28">
        <v>4507</v>
      </c>
      <c r="B4508" s="28" t="e">
        <f>interpola(#REF!,CURVA!$B$6:$B$20,CURVA!$G$6:$G$20)</f>
        <v>#VALUE!</v>
      </c>
      <c r="C4508" s="29" t="e">
        <f t="shared" si="70"/>
        <v>#VALUE!</v>
      </c>
      <c r="E4508" t="e">
        <f>cubic_spline(CURVA!$B$6:$B$20,CURVA!$G$6:$G$20,#REF!)</f>
        <v>#VALUE!</v>
      </c>
    </row>
    <row r="4509" spans="1:5" x14ac:dyDescent="0.2">
      <c r="A4509" s="28">
        <v>4508</v>
      </c>
      <c r="B4509" s="28" t="e">
        <f>interpola(#REF!,CURVA!$B$6:$B$20,CURVA!$G$6:$G$20)</f>
        <v>#VALUE!</v>
      </c>
      <c r="C4509" s="29" t="e">
        <f t="shared" si="70"/>
        <v>#VALUE!</v>
      </c>
      <c r="E4509" t="e">
        <f>cubic_spline(CURVA!$B$6:$B$20,CURVA!$G$6:$G$20,#REF!)</f>
        <v>#VALUE!</v>
      </c>
    </row>
    <row r="4510" spans="1:5" x14ac:dyDescent="0.2">
      <c r="A4510" s="28">
        <v>4509</v>
      </c>
      <c r="B4510" s="28" t="e">
        <f>interpola(#REF!,CURVA!$B$6:$B$20,CURVA!$G$6:$G$20)</f>
        <v>#VALUE!</v>
      </c>
      <c r="C4510" s="29" t="e">
        <f t="shared" si="70"/>
        <v>#VALUE!</v>
      </c>
      <c r="E4510" t="e">
        <f>cubic_spline(CURVA!$B$6:$B$20,CURVA!$G$6:$G$20,#REF!)</f>
        <v>#VALUE!</v>
      </c>
    </row>
    <row r="4511" spans="1:5" x14ac:dyDescent="0.2">
      <c r="A4511" s="28">
        <v>4510</v>
      </c>
      <c r="B4511" s="28" t="e">
        <f>interpola(#REF!,CURVA!$B$6:$B$20,CURVA!$G$6:$G$20)</f>
        <v>#VALUE!</v>
      </c>
      <c r="C4511" s="29" t="e">
        <f t="shared" si="70"/>
        <v>#VALUE!</v>
      </c>
      <c r="E4511" t="e">
        <f>cubic_spline(CURVA!$B$6:$B$20,CURVA!$G$6:$G$20,#REF!)</f>
        <v>#VALUE!</v>
      </c>
    </row>
    <row r="4512" spans="1:5" x14ac:dyDescent="0.2">
      <c r="A4512" s="28">
        <v>4511</v>
      </c>
      <c r="B4512" s="28" t="e">
        <f>interpola(#REF!,CURVA!$B$6:$B$20,CURVA!$G$6:$G$20)</f>
        <v>#VALUE!</v>
      </c>
      <c r="C4512" s="29" t="e">
        <f t="shared" si="70"/>
        <v>#VALUE!</v>
      </c>
      <c r="E4512" t="e">
        <f>cubic_spline(CURVA!$B$6:$B$20,CURVA!$G$6:$G$20,#REF!)</f>
        <v>#VALUE!</v>
      </c>
    </row>
    <row r="4513" spans="1:5" x14ac:dyDescent="0.2">
      <c r="A4513" s="28">
        <v>4512</v>
      </c>
      <c r="B4513" s="28" t="e">
        <f>interpola(#REF!,CURVA!$B$6:$B$20,CURVA!$G$6:$G$20)</f>
        <v>#VALUE!</v>
      </c>
      <c r="C4513" s="29" t="e">
        <f t="shared" si="70"/>
        <v>#VALUE!</v>
      </c>
      <c r="E4513" t="e">
        <f>cubic_spline(CURVA!$B$6:$B$20,CURVA!$G$6:$G$20,#REF!)</f>
        <v>#VALUE!</v>
      </c>
    </row>
    <row r="4514" spans="1:5" x14ac:dyDescent="0.2">
      <c r="A4514" s="28">
        <v>4513</v>
      </c>
      <c r="B4514" s="28" t="e">
        <f>interpola(#REF!,CURVA!$B$6:$B$20,CURVA!$G$6:$G$20)</f>
        <v>#VALUE!</v>
      </c>
      <c r="C4514" s="29" t="e">
        <f t="shared" si="70"/>
        <v>#VALUE!</v>
      </c>
      <c r="E4514" t="e">
        <f>cubic_spline(CURVA!$B$6:$B$20,CURVA!$G$6:$G$20,#REF!)</f>
        <v>#VALUE!</v>
      </c>
    </row>
    <row r="4515" spans="1:5" x14ac:dyDescent="0.2">
      <c r="A4515" s="28">
        <v>4514</v>
      </c>
      <c r="B4515" s="28" t="e">
        <f>interpola(#REF!,CURVA!$B$6:$B$20,CURVA!$G$6:$G$20)</f>
        <v>#VALUE!</v>
      </c>
      <c r="C4515" s="29" t="e">
        <f t="shared" si="70"/>
        <v>#VALUE!</v>
      </c>
      <c r="E4515" t="e">
        <f>cubic_spline(CURVA!$B$6:$B$20,CURVA!$G$6:$G$20,#REF!)</f>
        <v>#VALUE!</v>
      </c>
    </row>
    <row r="4516" spans="1:5" x14ac:dyDescent="0.2">
      <c r="A4516" s="28">
        <v>4515</v>
      </c>
      <c r="B4516" s="28" t="e">
        <f>interpola(#REF!,CURVA!$B$6:$B$20,CURVA!$G$6:$G$20)</f>
        <v>#VALUE!</v>
      </c>
      <c r="C4516" s="29" t="e">
        <f t="shared" si="70"/>
        <v>#VALUE!</v>
      </c>
      <c r="E4516" t="e">
        <f>cubic_spline(CURVA!$B$6:$B$20,CURVA!$G$6:$G$20,#REF!)</f>
        <v>#VALUE!</v>
      </c>
    </row>
    <row r="4517" spans="1:5" x14ac:dyDescent="0.2">
      <c r="A4517" s="28">
        <v>4516</v>
      </c>
      <c r="B4517" s="28" t="e">
        <f>interpola(#REF!,CURVA!$B$6:$B$20,CURVA!$G$6:$G$20)</f>
        <v>#VALUE!</v>
      </c>
      <c r="C4517" s="29" t="e">
        <f t="shared" si="70"/>
        <v>#VALUE!</v>
      </c>
      <c r="E4517" t="e">
        <f>cubic_spline(CURVA!$B$6:$B$20,CURVA!$G$6:$G$20,#REF!)</f>
        <v>#VALUE!</v>
      </c>
    </row>
    <row r="4518" spans="1:5" x14ac:dyDescent="0.2">
      <c r="A4518" s="28">
        <v>4517</v>
      </c>
      <c r="B4518" s="28" t="e">
        <f>interpola(#REF!,CURVA!$B$6:$B$20,CURVA!$G$6:$G$20)</f>
        <v>#VALUE!</v>
      </c>
      <c r="C4518" s="29" t="e">
        <f t="shared" si="70"/>
        <v>#VALUE!</v>
      </c>
      <c r="E4518" t="e">
        <f>cubic_spline(CURVA!$B$6:$B$20,CURVA!$G$6:$G$20,#REF!)</f>
        <v>#VALUE!</v>
      </c>
    </row>
    <row r="4519" spans="1:5" x14ac:dyDescent="0.2">
      <c r="A4519" s="28">
        <v>4518</v>
      </c>
      <c r="B4519" s="28" t="e">
        <f>interpola(#REF!,CURVA!$B$6:$B$20,CURVA!$G$6:$G$20)</f>
        <v>#VALUE!</v>
      </c>
      <c r="C4519" s="29" t="e">
        <f t="shared" si="70"/>
        <v>#VALUE!</v>
      </c>
      <c r="E4519" t="e">
        <f>cubic_spline(CURVA!$B$6:$B$20,CURVA!$G$6:$G$20,#REF!)</f>
        <v>#VALUE!</v>
      </c>
    </row>
    <row r="4520" spans="1:5" x14ac:dyDescent="0.2">
      <c r="A4520" s="28">
        <v>4519</v>
      </c>
      <c r="B4520" s="28" t="e">
        <f>interpola(#REF!,CURVA!$B$6:$B$20,CURVA!$G$6:$G$20)</f>
        <v>#VALUE!</v>
      </c>
      <c r="C4520" s="29" t="e">
        <f t="shared" si="70"/>
        <v>#VALUE!</v>
      </c>
      <c r="E4520" t="e">
        <f>cubic_spline(CURVA!$B$6:$B$20,CURVA!$G$6:$G$20,#REF!)</f>
        <v>#VALUE!</v>
      </c>
    </row>
    <row r="4521" spans="1:5" x14ac:dyDescent="0.2">
      <c r="A4521" s="28">
        <v>4520</v>
      </c>
      <c r="B4521" s="28" t="e">
        <f>interpola(#REF!,CURVA!$B$6:$B$20,CURVA!$G$6:$G$20)</f>
        <v>#VALUE!</v>
      </c>
      <c r="C4521" s="29" t="e">
        <f t="shared" si="70"/>
        <v>#VALUE!</v>
      </c>
      <c r="E4521" t="e">
        <f>cubic_spline(CURVA!$B$6:$B$20,CURVA!$G$6:$G$20,#REF!)</f>
        <v>#VALUE!</v>
      </c>
    </row>
    <row r="4522" spans="1:5" x14ac:dyDescent="0.2">
      <c r="A4522" s="28">
        <v>4521</v>
      </c>
      <c r="B4522" s="28" t="e">
        <f>interpola(#REF!,CURVA!$B$6:$B$20,CURVA!$G$6:$G$20)</f>
        <v>#VALUE!</v>
      </c>
      <c r="C4522" s="29" t="e">
        <f t="shared" si="70"/>
        <v>#VALUE!</v>
      </c>
      <c r="E4522" t="e">
        <f>cubic_spline(CURVA!$B$6:$B$20,CURVA!$G$6:$G$20,#REF!)</f>
        <v>#VALUE!</v>
      </c>
    </row>
    <row r="4523" spans="1:5" x14ac:dyDescent="0.2">
      <c r="A4523" s="28">
        <v>4522</v>
      </c>
      <c r="B4523" s="28" t="e">
        <f>interpola(#REF!,CURVA!$B$6:$B$20,CURVA!$G$6:$G$20)</f>
        <v>#VALUE!</v>
      </c>
      <c r="C4523" s="29" t="e">
        <f t="shared" si="70"/>
        <v>#VALUE!</v>
      </c>
      <c r="E4523" t="e">
        <f>cubic_spline(CURVA!$B$6:$B$20,CURVA!$G$6:$G$20,#REF!)</f>
        <v>#VALUE!</v>
      </c>
    </row>
    <row r="4524" spans="1:5" x14ac:dyDescent="0.2">
      <c r="A4524" s="28">
        <v>4523</v>
      </c>
      <c r="B4524" s="28" t="e">
        <f>interpola(#REF!,CURVA!$B$6:$B$20,CURVA!$G$6:$G$20)</f>
        <v>#VALUE!</v>
      </c>
      <c r="C4524" s="29" t="e">
        <f t="shared" si="70"/>
        <v>#VALUE!</v>
      </c>
      <c r="E4524" t="e">
        <f>cubic_spline(CURVA!$B$6:$B$20,CURVA!$G$6:$G$20,#REF!)</f>
        <v>#VALUE!</v>
      </c>
    </row>
    <row r="4525" spans="1:5" x14ac:dyDescent="0.2">
      <c r="A4525" s="28">
        <v>4524</v>
      </c>
      <c r="B4525" s="28" t="e">
        <f>interpola(#REF!,CURVA!$B$6:$B$20,CURVA!$G$6:$G$20)</f>
        <v>#VALUE!</v>
      </c>
      <c r="C4525" s="29" t="e">
        <f t="shared" si="70"/>
        <v>#VALUE!</v>
      </c>
      <c r="E4525" t="e">
        <f>cubic_spline(CURVA!$B$6:$B$20,CURVA!$G$6:$G$20,#REF!)</f>
        <v>#VALUE!</v>
      </c>
    </row>
    <row r="4526" spans="1:5" x14ac:dyDescent="0.2">
      <c r="A4526" s="28">
        <v>4525</v>
      </c>
      <c r="B4526" s="28" t="e">
        <f>interpola(#REF!,CURVA!$B$6:$B$20,CURVA!$G$6:$G$20)</f>
        <v>#VALUE!</v>
      </c>
      <c r="C4526" s="29" t="e">
        <f t="shared" si="70"/>
        <v>#VALUE!</v>
      </c>
      <c r="E4526" t="e">
        <f>cubic_spline(CURVA!$B$6:$B$20,CURVA!$G$6:$G$20,#REF!)</f>
        <v>#VALUE!</v>
      </c>
    </row>
    <row r="4527" spans="1:5" x14ac:dyDescent="0.2">
      <c r="A4527" s="28">
        <v>4526</v>
      </c>
      <c r="B4527" s="28" t="e">
        <f>interpola(#REF!,CURVA!$B$6:$B$20,CURVA!$G$6:$G$20)</f>
        <v>#VALUE!</v>
      </c>
      <c r="C4527" s="29" t="e">
        <f t="shared" si="70"/>
        <v>#VALUE!</v>
      </c>
      <c r="E4527" t="e">
        <f>cubic_spline(CURVA!$B$6:$B$20,CURVA!$G$6:$G$20,#REF!)</f>
        <v>#VALUE!</v>
      </c>
    </row>
    <row r="4528" spans="1:5" x14ac:dyDescent="0.2">
      <c r="A4528" s="28">
        <v>4527</v>
      </c>
      <c r="B4528" s="28" t="e">
        <f>interpola(#REF!,CURVA!$B$6:$B$20,CURVA!$G$6:$G$20)</f>
        <v>#VALUE!</v>
      </c>
      <c r="C4528" s="29" t="e">
        <f t="shared" si="70"/>
        <v>#VALUE!</v>
      </c>
      <c r="E4528" t="e">
        <f>cubic_spline(CURVA!$B$6:$B$20,CURVA!$G$6:$G$20,#REF!)</f>
        <v>#VALUE!</v>
      </c>
    </row>
    <row r="4529" spans="1:5" x14ac:dyDescent="0.2">
      <c r="A4529" s="28">
        <v>4528</v>
      </c>
      <c r="B4529" s="28" t="e">
        <f>interpola(#REF!,CURVA!$B$6:$B$20,CURVA!$G$6:$G$20)</f>
        <v>#VALUE!</v>
      </c>
      <c r="C4529" s="29" t="e">
        <f t="shared" si="70"/>
        <v>#VALUE!</v>
      </c>
      <c r="E4529" t="e">
        <f>cubic_spline(CURVA!$B$6:$B$20,CURVA!$G$6:$G$20,#REF!)</f>
        <v>#VALUE!</v>
      </c>
    </row>
    <row r="4530" spans="1:5" x14ac:dyDescent="0.2">
      <c r="A4530" s="28">
        <v>4529</v>
      </c>
      <c r="B4530" s="28" t="e">
        <f>interpola(#REF!,CURVA!$B$6:$B$20,CURVA!$G$6:$G$20)</f>
        <v>#VALUE!</v>
      </c>
      <c r="C4530" s="29" t="e">
        <f t="shared" si="70"/>
        <v>#VALUE!</v>
      </c>
      <c r="E4530" t="e">
        <f>cubic_spline(CURVA!$B$6:$B$20,CURVA!$G$6:$G$20,#REF!)</f>
        <v>#VALUE!</v>
      </c>
    </row>
    <row r="4531" spans="1:5" x14ac:dyDescent="0.2">
      <c r="A4531" s="28">
        <v>4530</v>
      </c>
      <c r="B4531" s="28" t="e">
        <f>interpola(#REF!,CURVA!$B$6:$B$20,CURVA!$G$6:$G$20)</f>
        <v>#VALUE!</v>
      </c>
      <c r="C4531" s="29" t="e">
        <f t="shared" si="70"/>
        <v>#VALUE!</v>
      </c>
      <c r="E4531" t="e">
        <f>cubic_spline(CURVA!$B$6:$B$20,CURVA!$G$6:$G$20,#REF!)</f>
        <v>#VALUE!</v>
      </c>
    </row>
    <row r="4532" spans="1:5" x14ac:dyDescent="0.2">
      <c r="A4532" s="28">
        <v>4531</v>
      </c>
      <c r="B4532" s="28" t="e">
        <f>interpola(#REF!,CURVA!$B$6:$B$20,CURVA!$G$6:$G$20)</f>
        <v>#VALUE!</v>
      </c>
      <c r="C4532" s="29" t="e">
        <f t="shared" si="70"/>
        <v>#VALUE!</v>
      </c>
      <c r="E4532" t="e">
        <f>cubic_spline(CURVA!$B$6:$B$20,CURVA!$G$6:$G$20,#REF!)</f>
        <v>#VALUE!</v>
      </c>
    </row>
    <row r="4533" spans="1:5" x14ac:dyDescent="0.2">
      <c r="A4533" s="28">
        <v>4532</v>
      </c>
      <c r="B4533" s="28" t="e">
        <f>interpola(#REF!,CURVA!$B$6:$B$20,CURVA!$G$6:$G$20)</f>
        <v>#VALUE!</v>
      </c>
      <c r="C4533" s="29" t="e">
        <f t="shared" si="70"/>
        <v>#VALUE!</v>
      </c>
      <c r="E4533" t="e">
        <f>cubic_spline(CURVA!$B$6:$B$20,CURVA!$G$6:$G$20,#REF!)</f>
        <v>#VALUE!</v>
      </c>
    </row>
    <row r="4534" spans="1:5" x14ac:dyDescent="0.2">
      <c r="A4534" s="28">
        <v>4533</v>
      </c>
      <c r="B4534" s="28" t="e">
        <f>interpola(#REF!,CURVA!$B$6:$B$20,CURVA!$G$6:$G$20)</f>
        <v>#VALUE!</v>
      </c>
      <c r="C4534" s="29" t="e">
        <f t="shared" si="70"/>
        <v>#VALUE!</v>
      </c>
      <c r="E4534" t="e">
        <f>cubic_spline(CURVA!$B$6:$B$20,CURVA!$G$6:$G$20,#REF!)</f>
        <v>#VALUE!</v>
      </c>
    </row>
    <row r="4535" spans="1:5" x14ac:dyDescent="0.2">
      <c r="A4535" s="28">
        <v>4534</v>
      </c>
      <c r="B4535" s="28" t="e">
        <f>interpola(#REF!,CURVA!$B$6:$B$20,CURVA!$G$6:$G$20)</f>
        <v>#VALUE!</v>
      </c>
      <c r="C4535" s="29" t="e">
        <f t="shared" si="70"/>
        <v>#VALUE!</v>
      </c>
      <c r="E4535" t="e">
        <f>cubic_spline(CURVA!$B$6:$B$20,CURVA!$G$6:$G$20,#REF!)</f>
        <v>#VALUE!</v>
      </c>
    </row>
    <row r="4536" spans="1:5" x14ac:dyDescent="0.2">
      <c r="A4536" s="28">
        <v>4535</v>
      </c>
      <c r="B4536" s="28" t="e">
        <f>interpola(#REF!,CURVA!$B$6:$B$20,CURVA!$G$6:$G$20)</f>
        <v>#VALUE!</v>
      </c>
      <c r="C4536" s="29" t="e">
        <f t="shared" si="70"/>
        <v>#VALUE!</v>
      </c>
      <c r="E4536" t="e">
        <f>cubic_spline(CURVA!$B$6:$B$20,CURVA!$G$6:$G$20,#REF!)</f>
        <v>#VALUE!</v>
      </c>
    </row>
    <row r="4537" spans="1:5" x14ac:dyDescent="0.2">
      <c r="A4537" s="28">
        <v>4536</v>
      </c>
      <c r="B4537" s="28" t="e">
        <f>interpola(#REF!,CURVA!$B$6:$B$20,CURVA!$G$6:$G$20)</f>
        <v>#VALUE!</v>
      </c>
      <c r="C4537" s="29" t="e">
        <f t="shared" si="70"/>
        <v>#VALUE!</v>
      </c>
      <c r="E4537" t="e">
        <f>cubic_spline(CURVA!$B$6:$B$20,CURVA!$G$6:$G$20,#REF!)</f>
        <v>#VALUE!</v>
      </c>
    </row>
    <row r="4538" spans="1:5" x14ac:dyDescent="0.2">
      <c r="A4538" s="28">
        <v>4537</v>
      </c>
      <c r="B4538" s="28" t="e">
        <f>interpola(#REF!,CURVA!$B$6:$B$20,CURVA!$G$6:$G$20)</f>
        <v>#VALUE!</v>
      </c>
      <c r="C4538" s="29" t="e">
        <f t="shared" si="70"/>
        <v>#VALUE!</v>
      </c>
      <c r="E4538" t="e">
        <f>cubic_spline(CURVA!$B$6:$B$20,CURVA!$G$6:$G$20,#REF!)</f>
        <v>#VALUE!</v>
      </c>
    </row>
    <row r="4539" spans="1:5" x14ac:dyDescent="0.2">
      <c r="A4539" s="28">
        <v>4538</v>
      </c>
      <c r="B4539" s="28" t="e">
        <f>interpola(#REF!,CURVA!$B$6:$B$20,CURVA!$G$6:$G$20)</f>
        <v>#VALUE!</v>
      </c>
      <c r="C4539" s="29" t="e">
        <f t="shared" si="70"/>
        <v>#VALUE!</v>
      </c>
      <c r="E4539" t="e">
        <f>cubic_spline(CURVA!$B$6:$B$20,CURVA!$G$6:$G$20,#REF!)</f>
        <v>#VALUE!</v>
      </c>
    </row>
    <row r="4540" spans="1:5" x14ac:dyDescent="0.2">
      <c r="A4540" s="28">
        <v>4539</v>
      </c>
      <c r="B4540" s="28" t="e">
        <f>interpola(#REF!,CURVA!$B$6:$B$20,CURVA!$G$6:$G$20)</f>
        <v>#VALUE!</v>
      </c>
      <c r="C4540" s="29" t="e">
        <f t="shared" si="70"/>
        <v>#VALUE!</v>
      </c>
      <c r="E4540" t="e">
        <f>cubic_spline(CURVA!$B$6:$B$20,CURVA!$G$6:$G$20,#REF!)</f>
        <v>#VALUE!</v>
      </c>
    </row>
    <row r="4541" spans="1:5" x14ac:dyDescent="0.2">
      <c r="A4541" s="28">
        <v>4540</v>
      </c>
      <c r="B4541" s="28" t="e">
        <f>interpola(#REF!,CURVA!$B$6:$B$20,CURVA!$G$6:$G$20)</f>
        <v>#VALUE!</v>
      </c>
      <c r="C4541" s="29" t="e">
        <f t="shared" si="70"/>
        <v>#VALUE!</v>
      </c>
      <c r="E4541" t="e">
        <f>cubic_spline(CURVA!$B$6:$B$20,CURVA!$G$6:$G$20,#REF!)</f>
        <v>#VALUE!</v>
      </c>
    </row>
    <row r="4542" spans="1:5" x14ac:dyDescent="0.2">
      <c r="A4542" s="28">
        <v>4541</v>
      </c>
      <c r="B4542" s="28" t="e">
        <f>interpola(#REF!,CURVA!$B$6:$B$20,CURVA!$G$6:$G$20)</f>
        <v>#VALUE!</v>
      </c>
      <c r="C4542" s="29" t="e">
        <f t="shared" si="70"/>
        <v>#VALUE!</v>
      </c>
      <c r="E4542" t="e">
        <f>cubic_spline(CURVA!$B$6:$B$20,CURVA!$G$6:$G$20,#REF!)</f>
        <v>#VALUE!</v>
      </c>
    </row>
    <row r="4543" spans="1:5" x14ac:dyDescent="0.2">
      <c r="A4543" s="28">
        <v>4542</v>
      </c>
      <c r="B4543" s="28" t="e">
        <f>interpola(#REF!,CURVA!$B$6:$B$20,CURVA!$G$6:$G$20)</f>
        <v>#VALUE!</v>
      </c>
      <c r="C4543" s="29" t="e">
        <f t="shared" si="70"/>
        <v>#VALUE!</v>
      </c>
      <c r="E4543" t="e">
        <f>cubic_spline(CURVA!$B$6:$B$20,CURVA!$G$6:$G$20,#REF!)</f>
        <v>#VALUE!</v>
      </c>
    </row>
    <row r="4544" spans="1:5" x14ac:dyDescent="0.2">
      <c r="A4544" s="28">
        <v>4543</v>
      </c>
      <c r="B4544" s="28" t="e">
        <f>interpola(#REF!,CURVA!$B$6:$B$20,CURVA!$G$6:$G$20)</f>
        <v>#VALUE!</v>
      </c>
      <c r="C4544" s="29" t="e">
        <f t="shared" si="70"/>
        <v>#VALUE!</v>
      </c>
      <c r="E4544" t="e">
        <f>cubic_spline(CURVA!$B$6:$B$20,CURVA!$G$6:$G$20,#REF!)</f>
        <v>#VALUE!</v>
      </c>
    </row>
    <row r="4545" spans="1:5" x14ac:dyDescent="0.2">
      <c r="A4545" s="28">
        <v>4544</v>
      </c>
      <c r="B4545" s="28" t="e">
        <f>interpola(#REF!,CURVA!$B$6:$B$20,CURVA!$G$6:$G$20)</f>
        <v>#VALUE!</v>
      </c>
      <c r="C4545" s="29" t="e">
        <f t="shared" si="70"/>
        <v>#VALUE!</v>
      </c>
      <c r="E4545" t="e">
        <f>cubic_spline(CURVA!$B$6:$B$20,CURVA!$G$6:$G$20,#REF!)</f>
        <v>#VALUE!</v>
      </c>
    </row>
    <row r="4546" spans="1:5" x14ac:dyDescent="0.2">
      <c r="A4546" s="28">
        <v>4545</v>
      </c>
      <c r="B4546" s="28" t="e">
        <f>interpola(#REF!,CURVA!$B$6:$B$20,CURVA!$G$6:$G$20)</f>
        <v>#VALUE!</v>
      </c>
      <c r="C4546" s="29" t="e">
        <f t="shared" ref="C4546:C4609" si="71">(EXP(B4546*A4546/360)-1)*360/A4546</f>
        <v>#VALUE!</v>
      </c>
      <c r="E4546" t="e">
        <f>cubic_spline(CURVA!$B$6:$B$20,CURVA!$G$6:$G$20,#REF!)</f>
        <v>#VALUE!</v>
      </c>
    </row>
    <row r="4547" spans="1:5" x14ac:dyDescent="0.2">
      <c r="A4547" s="28">
        <v>4546</v>
      </c>
      <c r="B4547" s="28" t="e">
        <f>interpola(#REF!,CURVA!$B$6:$B$20,CURVA!$G$6:$G$20)</f>
        <v>#VALUE!</v>
      </c>
      <c r="C4547" s="29" t="e">
        <f t="shared" si="71"/>
        <v>#VALUE!</v>
      </c>
      <c r="E4547" t="e">
        <f>cubic_spline(CURVA!$B$6:$B$20,CURVA!$G$6:$G$20,#REF!)</f>
        <v>#VALUE!</v>
      </c>
    </row>
    <row r="4548" spans="1:5" x14ac:dyDescent="0.2">
      <c r="A4548" s="28">
        <v>4547</v>
      </c>
      <c r="B4548" s="28" t="e">
        <f>interpola(#REF!,CURVA!$B$6:$B$20,CURVA!$G$6:$G$20)</f>
        <v>#VALUE!</v>
      </c>
      <c r="C4548" s="29" t="e">
        <f t="shared" si="71"/>
        <v>#VALUE!</v>
      </c>
      <c r="E4548" t="e">
        <f>cubic_spline(CURVA!$B$6:$B$20,CURVA!$G$6:$G$20,#REF!)</f>
        <v>#VALUE!</v>
      </c>
    </row>
    <row r="4549" spans="1:5" x14ac:dyDescent="0.2">
      <c r="A4549" s="28">
        <v>4548</v>
      </c>
      <c r="B4549" s="28" t="e">
        <f>interpola(#REF!,CURVA!$B$6:$B$20,CURVA!$G$6:$G$20)</f>
        <v>#VALUE!</v>
      </c>
      <c r="C4549" s="29" t="e">
        <f t="shared" si="71"/>
        <v>#VALUE!</v>
      </c>
      <c r="E4549" t="e">
        <f>cubic_spline(CURVA!$B$6:$B$20,CURVA!$G$6:$G$20,#REF!)</f>
        <v>#VALUE!</v>
      </c>
    </row>
    <row r="4550" spans="1:5" x14ac:dyDescent="0.2">
      <c r="A4550" s="28">
        <v>4549</v>
      </c>
      <c r="B4550" s="28" t="e">
        <f>interpola(#REF!,CURVA!$B$6:$B$20,CURVA!$G$6:$G$20)</f>
        <v>#VALUE!</v>
      </c>
      <c r="C4550" s="29" t="e">
        <f t="shared" si="71"/>
        <v>#VALUE!</v>
      </c>
      <c r="E4550" t="e">
        <f>cubic_spline(CURVA!$B$6:$B$20,CURVA!$G$6:$G$20,#REF!)</f>
        <v>#VALUE!</v>
      </c>
    </row>
    <row r="4551" spans="1:5" x14ac:dyDescent="0.2">
      <c r="A4551" s="28">
        <v>4550</v>
      </c>
      <c r="B4551" s="28" t="e">
        <f>interpola(#REF!,CURVA!$B$6:$B$20,CURVA!$G$6:$G$20)</f>
        <v>#VALUE!</v>
      </c>
      <c r="C4551" s="29" t="e">
        <f t="shared" si="71"/>
        <v>#VALUE!</v>
      </c>
      <c r="E4551" t="e">
        <f>cubic_spline(CURVA!$B$6:$B$20,CURVA!$G$6:$G$20,#REF!)</f>
        <v>#VALUE!</v>
      </c>
    </row>
    <row r="4552" spans="1:5" x14ac:dyDescent="0.2">
      <c r="A4552" s="28">
        <v>4551</v>
      </c>
      <c r="B4552" s="28" t="e">
        <f>interpola(#REF!,CURVA!$B$6:$B$20,CURVA!$G$6:$G$20)</f>
        <v>#VALUE!</v>
      </c>
      <c r="C4552" s="29" t="e">
        <f t="shared" si="71"/>
        <v>#VALUE!</v>
      </c>
      <c r="E4552" t="e">
        <f>cubic_spline(CURVA!$B$6:$B$20,CURVA!$G$6:$G$20,#REF!)</f>
        <v>#VALUE!</v>
      </c>
    </row>
    <row r="4553" spans="1:5" x14ac:dyDescent="0.2">
      <c r="A4553" s="28">
        <v>4552</v>
      </c>
      <c r="B4553" s="28" t="e">
        <f>interpola(#REF!,CURVA!$B$6:$B$20,CURVA!$G$6:$G$20)</f>
        <v>#VALUE!</v>
      </c>
      <c r="C4553" s="29" t="e">
        <f t="shared" si="71"/>
        <v>#VALUE!</v>
      </c>
      <c r="E4553" t="e">
        <f>cubic_spline(CURVA!$B$6:$B$20,CURVA!$G$6:$G$20,#REF!)</f>
        <v>#VALUE!</v>
      </c>
    </row>
    <row r="4554" spans="1:5" x14ac:dyDescent="0.2">
      <c r="A4554" s="28">
        <v>4553</v>
      </c>
      <c r="B4554" s="28" t="e">
        <f>interpola(#REF!,CURVA!$B$6:$B$20,CURVA!$G$6:$G$20)</f>
        <v>#VALUE!</v>
      </c>
      <c r="C4554" s="29" t="e">
        <f t="shared" si="71"/>
        <v>#VALUE!</v>
      </c>
      <c r="E4554" t="e">
        <f>cubic_spline(CURVA!$B$6:$B$20,CURVA!$G$6:$G$20,#REF!)</f>
        <v>#VALUE!</v>
      </c>
    </row>
    <row r="4555" spans="1:5" x14ac:dyDescent="0.2">
      <c r="A4555" s="28">
        <v>4554</v>
      </c>
      <c r="B4555" s="28" t="e">
        <f>interpola(#REF!,CURVA!$B$6:$B$20,CURVA!$G$6:$G$20)</f>
        <v>#VALUE!</v>
      </c>
      <c r="C4555" s="29" t="e">
        <f t="shared" si="71"/>
        <v>#VALUE!</v>
      </c>
      <c r="E4555" t="e">
        <f>cubic_spline(CURVA!$B$6:$B$20,CURVA!$G$6:$G$20,#REF!)</f>
        <v>#VALUE!</v>
      </c>
    </row>
    <row r="4556" spans="1:5" x14ac:dyDescent="0.2">
      <c r="A4556" s="28">
        <v>4555</v>
      </c>
      <c r="B4556" s="28" t="e">
        <f>interpola(#REF!,CURVA!$B$6:$B$20,CURVA!$G$6:$G$20)</f>
        <v>#VALUE!</v>
      </c>
      <c r="C4556" s="29" t="e">
        <f t="shared" si="71"/>
        <v>#VALUE!</v>
      </c>
      <c r="E4556" t="e">
        <f>cubic_spline(CURVA!$B$6:$B$20,CURVA!$G$6:$G$20,#REF!)</f>
        <v>#VALUE!</v>
      </c>
    </row>
    <row r="4557" spans="1:5" x14ac:dyDescent="0.2">
      <c r="A4557" s="28">
        <v>4556</v>
      </c>
      <c r="B4557" s="28" t="e">
        <f>interpola(#REF!,CURVA!$B$6:$B$20,CURVA!$G$6:$G$20)</f>
        <v>#VALUE!</v>
      </c>
      <c r="C4557" s="29" t="e">
        <f t="shared" si="71"/>
        <v>#VALUE!</v>
      </c>
      <c r="E4557" t="e">
        <f>cubic_spline(CURVA!$B$6:$B$20,CURVA!$G$6:$G$20,#REF!)</f>
        <v>#VALUE!</v>
      </c>
    </row>
    <row r="4558" spans="1:5" x14ac:dyDescent="0.2">
      <c r="A4558" s="28">
        <v>4557</v>
      </c>
      <c r="B4558" s="28" t="e">
        <f>interpola(#REF!,CURVA!$B$6:$B$20,CURVA!$G$6:$G$20)</f>
        <v>#VALUE!</v>
      </c>
      <c r="C4558" s="29" t="e">
        <f t="shared" si="71"/>
        <v>#VALUE!</v>
      </c>
      <c r="E4558" t="e">
        <f>cubic_spline(CURVA!$B$6:$B$20,CURVA!$G$6:$G$20,#REF!)</f>
        <v>#VALUE!</v>
      </c>
    </row>
    <row r="4559" spans="1:5" x14ac:dyDescent="0.2">
      <c r="A4559" s="28">
        <v>4558</v>
      </c>
      <c r="B4559" s="28" t="e">
        <f>interpola(#REF!,CURVA!$B$6:$B$20,CURVA!$G$6:$G$20)</f>
        <v>#VALUE!</v>
      </c>
      <c r="C4559" s="29" t="e">
        <f t="shared" si="71"/>
        <v>#VALUE!</v>
      </c>
      <c r="E4559" t="e">
        <f>cubic_spline(CURVA!$B$6:$B$20,CURVA!$G$6:$G$20,#REF!)</f>
        <v>#VALUE!</v>
      </c>
    </row>
    <row r="4560" spans="1:5" x14ac:dyDescent="0.2">
      <c r="A4560" s="28">
        <v>4559</v>
      </c>
      <c r="B4560" s="28" t="e">
        <f>interpola(#REF!,CURVA!$B$6:$B$20,CURVA!$G$6:$G$20)</f>
        <v>#VALUE!</v>
      </c>
      <c r="C4560" s="29" t="e">
        <f t="shared" si="71"/>
        <v>#VALUE!</v>
      </c>
      <c r="E4560" t="e">
        <f>cubic_spline(CURVA!$B$6:$B$20,CURVA!$G$6:$G$20,#REF!)</f>
        <v>#VALUE!</v>
      </c>
    </row>
    <row r="4561" spans="1:5" x14ac:dyDescent="0.2">
      <c r="A4561" s="28">
        <v>4560</v>
      </c>
      <c r="B4561" s="28" t="e">
        <f>interpola(#REF!,CURVA!$B$6:$B$20,CURVA!$G$6:$G$20)</f>
        <v>#VALUE!</v>
      </c>
      <c r="C4561" s="29" t="e">
        <f t="shared" si="71"/>
        <v>#VALUE!</v>
      </c>
      <c r="E4561" t="e">
        <f>cubic_spline(CURVA!$B$6:$B$20,CURVA!$G$6:$G$20,#REF!)</f>
        <v>#VALUE!</v>
      </c>
    </row>
    <row r="4562" spans="1:5" x14ac:dyDescent="0.2">
      <c r="A4562" s="28">
        <v>4561</v>
      </c>
      <c r="B4562" s="28" t="e">
        <f>interpola(#REF!,CURVA!$B$6:$B$20,CURVA!$G$6:$G$20)</f>
        <v>#VALUE!</v>
      </c>
      <c r="C4562" s="29" t="e">
        <f t="shared" si="71"/>
        <v>#VALUE!</v>
      </c>
      <c r="E4562" t="e">
        <f>cubic_spline(CURVA!$B$6:$B$20,CURVA!$G$6:$G$20,#REF!)</f>
        <v>#VALUE!</v>
      </c>
    </row>
    <row r="4563" spans="1:5" x14ac:dyDescent="0.2">
      <c r="A4563" s="28">
        <v>4562</v>
      </c>
      <c r="B4563" s="28" t="e">
        <f>interpola(#REF!,CURVA!$B$6:$B$20,CURVA!$G$6:$G$20)</f>
        <v>#VALUE!</v>
      </c>
      <c r="C4563" s="29" t="e">
        <f t="shared" si="71"/>
        <v>#VALUE!</v>
      </c>
      <c r="E4563" t="e">
        <f>cubic_spline(CURVA!$B$6:$B$20,CURVA!$G$6:$G$20,#REF!)</f>
        <v>#VALUE!</v>
      </c>
    </row>
    <row r="4564" spans="1:5" x14ac:dyDescent="0.2">
      <c r="A4564" s="28">
        <v>4563</v>
      </c>
      <c r="B4564" s="28" t="e">
        <f>interpola(#REF!,CURVA!$B$6:$B$20,CURVA!$G$6:$G$20)</f>
        <v>#VALUE!</v>
      </c>
      <c r="C4564" s="29" t="e">
        <f t="shared" si="71"/>
        <v>#VALUE!</v>
      </c>
      <c r="E4564" t="e">
        <f>cubic_spline(CURVA!$B$6:$B$20,CURVA!$G$6:$G$20,#REF!)</f>
        <v>#VALUE!</v>
      </c>
    </row>
    <row r="4565" spans="1:5" x14ac:dyDescent="0.2">
      <c r="A4565" s="28">
        <v>4564</v>
      </c>
      <c r="B4565" s="28" t="e">
        <f>interpola(#REF!,CURVA!$B$6:$B$20,CURVA!$G$6:$G$20)</f>
        <v>#VALUE!</v>
      </c>
      <c r="C4565" s="29" t="e">
        <f t="shared" si="71"/>
        <v>#VALUE!</v>
      </c>
      <c r="E4565" t="e">
        <f>cubic_spline(CURVA!$B$6:$B$20,CURVA!$G$6:$G$20,#REF!)</f>
        <v>#VALUE!</v>
      </c>
    </row>
    <row r="4566" spans="1:5" x14ac:dyDescent="0.2">
      <c r="A4566" s="28">
        <v>4565</v>
      </c>
      <c r="B4566" s="28" t="e">
        <f>interpola(#REF!,CURVA!$B$6:$B$20,CURVA!$G$6:$G$20)</f>
        <v>#VALUE!</v>
      </c>
      <c r="C4566" s="29" t="e">
        <f t="shared" si="71"/>
        <v>#VALUE!</v>
      </c>
      <c r="E4566" t="e">
        <f>cubic_spline(CURVA!$B$6:$B$20,CURVA!$G$6:$G$20,#REF!)</f>
        <v>#VALUE!</v>
      </c>
    </row>
    <row r="4567" spans="1:5" x14ac:dyDescent="0.2">
      <c r="A4567" s="28">
        <v>4566</v>
      </c>
      <c r="B4567" s="28" t="e">
        <f>interpola(#REF!,CURVA!$B$6:$B$20,CURVA!$G$6:$G$20)</f>
        <v>#VALUE!</v>
      </c>
      <c r="C4567" s="29" t="e">
        <f t="shared" si="71"/>
        <v>#VALUE!</v>
      </c>
      <c r="E4567" t="e">
        <f>cubic_spline(CURVA!$B$6:$B$20,CURVA!$G$6:$G$20,#REF!)</f>
        <v>#VALUE!</v>
      </c>
    </row>
    <row r="4568" spans="1:5" x14ac:dyDescent="0.2">
      <c r="A4568" s="28">
        <v>4567</v>
      </c>
      <c r="B4568" s="28" t="e">
        <f>interpola(#REF!,CURVA!$B$6:$B$20,CURVA!$G$6:$G$20)</f>
        <v>#VALUE!</v>
      </c>
      <c r="C4568" s="29" t="e">
        <f t="shared" si="71"/>
        <v>#VALUE!</v>
      </c>
      <c r="E4568" t="e">
        <f>cubic_spline(CURVA!$B$6:$B$20,CURVA!$G$6:$G$20,#REF!)</f>
        <v>#VALUE!</v>
      </c>
    </row>
    <row r="4569" spans="1:5" x14ac:dyDescent="0.2">
      <c r="A4569" s="28">
        <v>4568</v>
      </c>
      <c r="B4569" s="28" t="e">
        <f>interpola(#REF!,CURVA!$B$6:$B$20,CURVA!$G$6:$G$20)</f>
        <v>#VALUE!</v>
      </c>
      <c r="C4569" s="29" t="e">
        <f t="shared" si="71"/>
        <v>#VALUE!</v>
      </c>
      <c r="E4569" t="e">
        <f>cubic_spline(CURVA!$B$6:$B$20,CURVA!$G$6:$G$20,#REF!)</f>
        <v>#VALUE!</v>
      </c>
    </row>
    <row r="4570" spans="1:5" x14ac:dyDescent="0.2">
      <c r="A4570" s="28">
        <v>4569</v>
      </c>
      <c r="B4570" s="28" t="e">
        <f>interpola(#REF!,CURVA!$B$6:$B$20,CURVA!$G$6:$G$20)</f>
        <v>#VALUE!</v>
      </c>
      <c r="C4570" s="29" t="e">
        <f t="shared" si="71"/>
        <v>#VALUE!</v>
      </c>
      <c r="E4570" t="e">
        <f>cubic_spline(CURVA!$B$6:$B$20,CURVA!$G$6:$G$20,#REF!)</f>
        <v>#VALUE!</v>
      </c>
    </row>
    <row r="4571" spans="1:5" x14ac:dyDescent="0.2">
      <c r="A4571" s="28">
        <v>4570</v>
      </c>
      <c r="B4571" s="28" t="e">
        <f>interpola(#REF!,CURVA!$B$6:$B$20,CURVA!$G$6:$G$20)</f>
        <v>#VALUE!</v>
      </c>
      <c r="C4571" s="29" t="e">
        <f t="shared" si="71"/>
        <v>#VALUE!</v>
      </c>
      <c r="E4571" t="e">
        <f>cubic_spline(CURVA!$B$6:$B$20,CURVA!$G$6:$G$20,#REF!)</f>
        <v>#VALUE!</v>
      </c>
    </row>
    <row r="4572" spans="1:5" x14ac:dyDescent="0.2">
      <c r="A4572" s="28">
        <v>4571</v>
      </c>
      <c r="B4572" s="28" t="e">
        <f>interpola(#REF!,CURVA!$B$6:$B$20,CURVA!$G$6:$G$20)</f>
        <v>#VALUE!</v>
      </c>
      <c r="C4572" s="29" t="e">
        <f t="shared" si="71"/>
        <v>#VALUE!</v>
      </c>
      <c r="E4572" t="e">
        <f>cubic_spline(CURVA!$B$6:$B$20,CURVA!$G$6:$G$20,#REF!)</f>
        <v>#VALUE!</v>
      </c>
    </row>
    <row r="4573" spans="1:5" x14ac:dyDescent="0.2">
      <c r="A4573" s="28">
        <v>4572</v>
      </c>
      <c r="B4573" s="28" t="e">
        <f>interpola(#REF!,CURVA!$B$6:$B$20,CURVA!$G$6:$G$20)</f>
        <v>#VALUE!</v>
      </c>
      <c r="C4573" s="29" t="e">
        <f t="shared" si="71"/>
        <v>#VALUE!</v>
      </c>
      <c r="E4573" t="e">
        <f>cubic_spline(CURVA!$B$6:$B$20,CURVA!$G$6:$G$20,#REF!)</f>
        <v>#VALUE!</v>
      </c>
    </row>
    <row r="4574" spans="1:5" x14ac:dyDescent="0.2">
      <c r="A4574" s="28">
        <v>4573</v>
      </c>
      <c r="B4574" s="28" t="e">
        <f>interpola(#REF!,CURVA!$B$6:$B$20,CURVA!$G$6:$G$20)</f>
        <v>#VALUE!</v>
      </c>
      <c r="C4574" s="29" t="e">
        <f t="shared" si="71"/>
        <v>#VALUE!</v>
      </c>
      <c r="E4574" t="e">
        <f>cubic_spline(CURVA!$B$6:$B$20,CURVA!$G$6:$G$20,#REF!)</f>
        <v>#VALUE!</v>
      </c>
    </row>
    <row r="4575" spans="1:5" x14ac:dyDescent="0.2">
      <c r="A4575" s="28">
        <v>4574</v>
      </c>
      <c r="B4575" s="28" t="e">
        <f>interpola(#REF!,CURVA!$B$6:$B$20,CURVA!$G$6:$G$20)</f>
        <v>#VALUE!</v>
      </c>
      <c r="C4575" s="29" t="e">
        <f t="shared" si="71"/>
        <v>#VALUE!</v>
      </c>
      <c r="E4575" t="e">
        <f>cubic_spline(CURVA!$B$6:$B$20,CURVA!$G$6:$G$20,#REF!)</f>
        <v>#VALUE!</v>
      </c>
    </row>
    <row r="4576" spans="1:5" x14ac:dyDescent="0.2">
      <c r="A4576" s="28">
        <v>4575</v>
      </c>
      <c r="B4576" s="28" t="e">
        <f>interpola(#REF!,CURVA!$B$6:$B$20,CURVA!$G$6:$G$20)</f>
        <v>#VALUE!</v>
      </c>
      <c r="C4576" s="29" t="e">
        <f t="shared" si="71"/>
        <v>#VALUE!</v>
      </c>
      <c r="E4576" t="e">
        <f>cubic_spline(CURVA!$B$6:$B$20,CURVA!$G$6:$G$20,#REF!)</f>
        <v>#VALUE!</v>
      </c>
    </row>
    <row r="4577" spans="1:5" x14ac:dyDescent="0.2">
      <c r="A4577" s="28">
        <v>4576</v>
      </c>
      <c r="B4577" s="28" t="e">
        <f>interpola(#REF!,CURVA!$B$6:$B$20,CURVA!$G$6:$G$20)</f>
        <v>#VALUE!</v>
      </c>
      <c r="C4577" s="29" t="e">
        <f t="shared" si="71"/>
        <v>#VALUE!</v>
      </c>
      <c r="E4577" t="e">
        <f>cubic_spline(CURVA!$B$6:$B$20,CURVA!$G$6:$G$20,#REF!)</f>
        <v>#VALUE!</v>
      </c>
    </row>
    <row r="4578" spans="1:5" x14ac:dyDescent="0.2">
      <c r="A4578" s="28">
        <v>4577</v>
      </c>
      <c r="B4578" s="28" t="e">
        <f>interpola(#REF!,CURVA!$B$6:$B$20,CURVA!$G$6:$G$20)</f>
        <v>#VALUE!</v>
      </c>
      <c r="C4578" s="29" t="e">
        <f t="shared" si="71"/>
        <v>#VALUE!</v>
      </c>
      <c r="E4578" t="e">
        <f>cubic_spline(CURVA!$B$6:$B$20,CURVA!$G$6:$G$20,#REF!)</f>
        <v>#VALUE!</v>
      </c>
    </row>
    <row r="4579" spans="1:5" x14ac:dyDescent="0.2">
      <c r="A4579" s="28">
        <v>4578</v>
      </c>
      <c r="B4579" s="28" t="e">
        <f>interpola(#REF!,CURVA!$B$6:$B$20,CURVA!$G$6:$G$20)</f>
        <v>#VALUE!</v>
      </c>
      <c r="C4579" s="29" t="e">
        <f t="shared" si="71"/>
        <v>#VALUE!</v>
      </c>
      <c r="E4579" t="e">
        <f>cubic_spline(CURVA!$B$6:$B$20,CURVA!$G$6:$G$20,#REF!)</f>
        <v>#VALUE!</v>
      </c>
    </row>
    <row r="4580" spans="1:5" x14ac:dyDescent="0.2">
      <c r="A4580" s="28">
        <v>4579</v>
      </c>
      <c r="B4580" s="28" t="e">
        <f>interpola(#REF!,CURVA!$B$6:$B$20,CURVA!$G$6:$G$20)</f>
        <v>#VALUE!</v>
      </c>
      <c r="C4580" s="29" t="e">
        <f t="shared" si="71"/>
        <v>#VALUE!</v>
      </c>
      <c r="E4580" t="e">
        <f>cubic_spline(CURVA!$B$6:$B$20,CURVA!$G$6:$G$20,#REF!)</f>
        <v>#VALUE!</v>
      </c>
    </row>
    <row r="4581" spans="1:5" x14ac:dyDescent="0.2">
      <c r="A4581" s="28">
        <v>4580</v>
      </c>
      <c r="B4581" s="28" t="e">
        <f>interpola(#REF!,CURVA!$B$6:$B$20,CURVA!$G$6:$G$20)</f>
        <v>#VALUE!</v>
      </c>
      <c r="C4581" s="29" t="e">
        <f t="shared" si="71"/>
        <v>#VALUE!</v>
      </c>
      <c r="E4581" t="e">
        <f>cubic_spline(CURVA!$B$6:$B$20,CURVA!$G$6:$G$20,#REF!)</f>
        <v>#VALUE!</v>
      </c>
    </row>
    <row r="4582" spans="1:5" x14ac:dyDescent="0.2">
      <c r="A4582" s="28">
        <v>4581</v>
      </c>
      <c r="B4582" s="28" t="e">
        <f>interpola(#REF!,CURVA!$B$6:$B$20,CURVA!$G$6:$G$20)</f>
        <v>#VALUE!</v>
      </c>
      <c r="C4582" s="29" t="e">
        <f t="shared" si="71"/>
        <v>#VALUE!</v>
      </c>
      <c r="E4582" t="e">
        <f>cubic_spline(CURVA!$B$6:$B$20,CURVA!$G$6:$G$20,#REF!)</f>
        <v>#VALUE!</v>
      </c>
    </row>
    <row r="4583" spans="1:5" x14ac:dyDescent="0.2">
      <c r="A4583" s="28">
        <v>4582</v>
      </c>
      <c r="B4583" s="28" t="e">
        <f>interpola(#REF!,CURVA!$B$6:$B$20,CURVA!$G$6:$G$20)</f>
        <v>#VALUE!</v>
      </c>
      <c r="C4583" s="29" t="e">
        <f t="shared" si="71"/>
        <v>#VALUE!</v>
      </c>
      <c r="E4583" t="e">
        <f>cubic_spline(CURVA!$B$6:$B$20,CURVA!$G$6:$G$20,#REF!)</f>
        <v>#VALUE!</v>
      </c>
    </row>
    <row r="4584" spans="1:5" x14ac:dyDescent="0.2">
      <c r="A4584" s="28">
        <v>4583</v>
      </c>
      <c r="B4584" s="28" t="e">
        <f>interpola(#REF!,CURVA!$B$6:$B$20,CURVA!$G$6:$G$20)</f>
        <v>#VALUE!</v>
      </c>
      <c r="C4584" s="29" t="e">
        <f t="shared" si="71"/>
        <v>#VALUE!</v>
      </c>
      <c r="E4584" t="e">
        <f>cubic_spline(CURVA!$B$6:$B$20,CURVA!$G$6:$G$20,#REF!)</f>
        <v>#VALUE!</v>
      </c>
    </row>
    <row r="4585" spans="1:5" x14ac:dyDescent="0.2">
      <c r="A4585" s="28">
        <v>4584</v>
      </c>
      <c r="B4585" s="28" t="e">
        <f>interpola(#REF!,CURVA!$B$6:$B$20,CURVA!$G$6:$G$20)</f>
        <v>#VALUE!</v>
      </c>
      <c r="C4585" s="29" t="e">
        <f t="shared" si="71"/>
        <v>#VALUE!</v>
      </c>
      <c r="E4585" t="e">
        <f>cubic_spline(CURVA!$B$6:$B$20,CURVA!$G$6:$G$20,#REF!)</f>
        <v>#VALUE!</v>
      </c>
    </row>
    <row r="4586" spans="1:5" x14ac:dyDescent="0.2">
      <c r="A4586" s="28">
        <v>4585</v>
      </c>
      <c r="B4586" s="28" t="e">
        <f>interpola(#REF!,CURVA!$B$6:$B$20,CURVA!$G$6:$G$20)</f>
        <v>#VALUE!</v>
      </c>
      <c r="C4586" s="29" t="e">
        <f t="shared" si="71"/>
        <v>#VALUE!</v>
      </c>
      <c r="E4586" t="e">
        <f>cubic_spline(CURVA!$B$6:$B$20,CURVA!$G$6:$G$20,#REF!)</f>
        <v>#VALUE!</v>
      </c>
    </row>
    <row r="4587" spans="1:5" x14ac:dyDescent="0.2">
      <c r="A4587" s="28">
        <v>4586</v>
      </c>
      <c r="B4587" s="28" t="e">
        <f>interpola(#REF!,CURVA!$B$6:$B$20,CURVA!$G$6:$G$20)</f>
        <v>#VALUE!</v>
      </c>
      <c r="C4587" s="29" t="e">
        <f t="shared" si="71"/>
        <v>#VALUE!</v>
      </c>
      <c r="E4587" t="e">
        <f>cubic_spline(CURVA!$B$6:$B$20,CURVA!$G$6:$G$20,#REF!)</f>
        <v>#VALUE!</v>
      </c>
    </row>
    <row r="4588" spans="1:5" x14ac:dyDescent="0.2">
      <c r="A4588" s="28">
        <v>4587</v>
      </c>
      <c r="B4588" s="28" t="e">
        <f>interpola(#REF!,CURVA!$B$6:$B$20,CURVA!$G$6:$G$20)</f>
        <v>#VALUE!</v>
      </c>
      <c r="C4588" s="29" t="e">
        <f t="shared" si="71"/>
        <v>#VALUE!</v>
      </c>
      <c r="E4588" t="e">
        <f>cubic_spline(CURVA!$B$6:$B$20,CURVA!$G$6:$G$20,#REF!)</f>
        <v>#VALUE!</v>
      </c>
    </row>
    <row r="4589" spans="1:5" x14ac:dyDescent="0.2">
      <c r="A4589" s="28">
        <v>4588</v>
      </c>
      <c r="B4589" s="28" t="e">
        <f>interpola(#REF!,CURVA!$B$6:$B$20,CURVA!$G$6:$G$20)</f>
        <v>#VALUE!</v>
      </c>
      <c r="C4589" s="29" t="e">
        <f t="shared" si="71"/>
        <v>#VALUE!</v>
      </c>
      <c r="E4589" t="e">
        <f>cubic_spline(CURVA!$B$6:$B$20,CURVA!$G$6:$G$20,#REF!)</f>
        <v>#VALUE!</v>
      </c>
    </row>
    <row r="4590" spans="1:5" x14ac:dyDescent="0.2">
      <c r="A4590" s="28">
        <v>4589</v>
      </c>
      <c r="B4590" s="28" t="e">
        <f>interpola(#REF!,CURVA!$B$6:$B$20,CURVA!$G$6:$G$20)</f>
        <v>#VALUE!</v>
      </c>
      <c r="C4590" s="29" t="e">
        <f t="shared" si="71"/>
        <v>#VALUE!</v>
      </c>
      <c r="E4590" t="e">
        <f>cubic_spline(CURVA!$B$6:$B$20,CURVA!$G$6:$G$20,#REF!)</f>
        <v>#VALUE!</v>
      </c>
    </row>
    <row r="4591" spans="1:5" x14ac:dyDescent="0.2">
      <c r="A4591" s="28">
        <v>4590</v>
      </c>
      <c r="B4591" s="28" t="e">
        <f>interpola(#REF!,CURVA!$B$6:$B$20,CURVA!$G$6:$G$20)</f>
        <v>#VALUE!</v>
      </c>
      <c r="C4591" s="29" t="e">
        <f t="shared" si="71"/>
        <v>#VALUE!</v>
      </c>
      <c r="E4591" t="e">
        <f>cubic_spline(CURVA!$B$6:$B$20,CURVA!$G$6:$G$20,#REF!)</f>
        <v>#VALUE!</v>
      </c>
    </row>
    <row r="4592" spans="1:5" x14ac:dyDescent="0.2">
      <c r="A4592" s="28">
        <v>4591</v>
      </c>
      <c r="B4592" s="28" t="e">
        <f>interpola(#REF!,CURVA!$B$6:$B$20,CURVA!$G$6:$G$20)</f>
        <v>#VALUE!</v>
      </c>
      <c r="C4592" s="29" t="e">
        <f t="shared" si="71"/>
        <v>#VALUE!</v>
      </c>
      <c r="E4592" t="e">
        <f>cubic_spline(CURVA!$B$6:$B$20,CURVA!$G$6:$G$20,#REF!)</f>
        <v>#VALUE!</v>
      </c>
    </row>
    <row r="4593" spans="1:5" x14ac:dyDescent="0.2">
      <c r="A4593" s="28">
        <v>4592</v>
      </c>
      <c r="B4593" s="28" t="e">
        <f>interpola(#REF!,CURVA!$B$6:$B$20,CURVA!$G$6:$G$20)</f>
        <v>#VALUE!</v>
      </c>
      <c r="C4593" s="29" t="e">
        <f t="shared" si="71"/>
        <v>#VALUE!</v>
      </c>
      <c r="E4593" t="e">
        <f>cubic_spline(CURVA!$B$6:$B$20,CURVA!$G$6:$G$20,#REF!)</f>
        <v>#VALUE!</v>
      </c>
    </row>
    <row r="4594" spans="1:5" x14ac:dyDescent="0.2">
      <c r="A4594" s="28">
        <v>4593</v>
      </c>
      <c r="B4594" s="28" t="e">
        <f>interpola(#REF!,CURVA!$B$6:$B$20,CURVA!$G$6:$G$20)</f>
        <v>#VALUE!</v>
      </c>
      <c r="C4594" s="29" t="e">
        <f t="shared" si="71"/>
        <v>#VALUE!</v>
      </c>
      <c r="E4594" t="e">
        <f>cubic_spline(CURVA!$B$6:$B$20,CURVA!$G$6:$G$20,#REF!)</f>
        <v>#VALUE!</v>
      </c>
    </row>
    <row r="4595" spans="1:5" x14ac:dyDescent="0.2">
      <c r="A4595" s="28">
        <v>4594</v>
      </c>
      <c r="B4595" s="28" t="e">
        <f>interpola(#REF!,CURVA!$B$6:$B$20,CURVA!$G$6:$G$20)</f>
        <v>#VALUE!</v>
      </c>
      <c r="C4595" s="29" t="e">
        <f t="shared" si="71"/>
        <v>#VALUE!</v>
      </c>
      <c r="E4595" t="e">
        <f>cubic_spline(CURVA!$B$6:$B$20,CURVA!$G$6:$G$20,#REF!)</f>
        <v>#VALUE!</v>
      </c>
    </row>
    <row r="4596" spans="1:5" x14ac:dyDescent="0.2">
      <c r="A4596" s="28">
        <v>4595</v>
      </c>
      <c r="B4596" s="28" t="e">
        <f>interpola(#REF!,CURVA!$B$6:$B$20,CURVA!$G$6:$G$20)</f>
        <v>#VALUE!</v>
      </c>
      <c r="C4596" s="29" t="e">
        <f t="shared" si="71"/>
        <v>#VALUE!</v>
      </c>
      <c r="E4596" t="e">
        <f>cubic_spline(CURVA!$B$6:$B$20,CURVA!$G$6:$G$20,#REF!)</f>
        <v>#VALUE!</v>
      </c>
    </row>
    <row r="4597" spans="1:5" x14ac:dyDescent="0.2">
      <c r="A4597" s="28">
        <v>4596</v>
      </c>
      <c r="B4597" s="28" t="e">
        <f>interpola(#REF!,CURVA!$B$6:$B$20,CURVA!$G$6:$G$20)</f>
        <v>#VALUE!</v>
      </c>
      <c r="C4597" s="29" t="e">
        <f t="shared" si="71"/>
        <v>#VALUE!</v>
      </c>
      <c r="E4597" t="e">
        <f>cubic_spline(CURVA!$B$6:$B$20,CURVA!$G$6:$G$20,#REF!)</f>
        <v>#VALUE!</v>
      </c>
    </row>
    <row r="4598" spans="1:5" x14ac:dyDescent="0.2">
      <c r="A4598" s="28">
        <v>4597</v>
      </c>
      <c r="B4598" s="28" t="e">
        <f>interpola(#REF!,CURVA!$B$6:$B$20,CURVA!$G$6:$G$20)</f>
        <v>#VALUE!</v>
      </c>
      <c r="C4598" s="29" t="e">
        <f t="shared" si="71"/>
        <v>#VALUE!</v>
      </c>
      <c r="E4598" t="e">
        <f>cubic_spline(CURVA!$B$6:$B$20,CURVA!$G$6:$G$20,#REF!)</f>
        <v>#VALUE!</v>
      </c>
    </row>
    <row r="4599" spans="1:5" x14ac:dyDescent="0.2">
      <c r="A4599" s="28">
        <v>4598</v>
      </c>
      <c r="B4599" s="28" t="e">
        <f>interpola(#REF!,CURVA!$B$6:$B$20,CURVA!$G$6:$G$20)</f>
        <v>#VALUE!</v>
      </c>
      <c r="C4599" s="29" t="e">
        <f t="shared" si="71"/>
        <v>#VALUE!</v>
      </c>
      <c r="E4599" t="e">
        <f>cubic_spline(CURVA!$B$6:$B$20,CURVA!$G$6:$G$20,#REF!)</f>
        <v>#VALUE!</v>
      </c>
    </row>
    <row r="4600" spans="1:5" x14ac:dyDescent="0.2">
      <c r="A4600" s="28">
        <v>4599</v>
      </c>
      <c r="B4600" s="28" t="e">
        <f>interpola(#REF!,CURVA!$B$6:$B$20,CURVA!$G$6:$G$20)</f>
        <v>#VALUE!</v>
      </c>
      <c r="C4600" s="29" t="e">
        <f t="shared" si="71"/>
        <v>#VALUE!</v>
      </c>
      <c r="E4600" t="e">
        <f>cubic_spline(CURVA!$B$6:$B$20,CURVA!$G$6:$G$20,#REF!)</f>
        <v>#VALUE!</v>
      </c>
    </row>
    <row r="4601" spans="1:5" x14ac:dyDescent="0.2">
      <c r="A4601" s="28">
        <v>4600</v>
      </c>
      <c r="B4601" s="28" t="e">
        <f>interpola(#REF!,CURVA!$B$6:$B$20,CURVA!$G$6:$G$20)</f>
        <v>#VALUE!</v>
      </c>
      <c r="C4601" s="29" t="e">
        <f t="shared" si="71"/>
        <v>#VALUE!</v>
      </c>
      <c r="E4601" t="e">
        <f>cubic_spline(CURVA!$B$6:$B$20,CURVA!$G$6:$G$20,#REF!)</f>
        <v>#VALUE!</v>
      </c>
    </row>
    <row r="4602" spans="1:5" x14ac:dyDescent="0.2">
      <c r="A4602" s="28">
        <v>4601</v>
      </c>
      <c r="B4602" s="28" t="e">
        <f>interpola(#REF!,CURVA!$B$6:$B$20,CURVA!$G$6:$G$20)</f>
        <v>#VALUE!</v>
      </c>
      <c r="C4602" s="29" t="e">
        <f t="shared" si="71"/>
        <v>#VALUE!</v>
      </c>
      <c r="E4602" t="e">
        <f>cubic_spline(CURVA!$B$6:$B$20,CURVA!$G$6:$G$20,#REF!)</f>
        <v>#VALUE!</v>
      </c>
    </row>
    <row r="4603" spans="1:5" x14ac:dyDescent="0.2">
      <c r="A4603" s="28">
        <v>4602</v>
      </c>
      <c r="B4603" s="28" t="e">
        <f>interpola(#REF!,CURVA!$B$6:$B$20,CURVA!$G$6:$G$20)</f>
        <v>#VALUE!</v>
      </c>
      <c r="C4603" s="29" t="e">
        <f t="shared" si="71"/>
        <v>#VALUE!</v>
      </c>
      <c r="E4603" t="e">
        <f>cubic_spline(CURVA!$B$6:$B$20,CURVA!$G$6:$G$20,#REF!)</f>
        <v>#VALUE!</v>
      </c>
    </row>
    <row r="4604" spans="1:5" x14ac:dyDescent="0.2">
      <c r="A4604" s="28">
        <v>4603</v>
      </c>
      <c r="B4604" s="28" t="e">
        <f>interpola(#REF!,CURVA!$B$6:$B$20,CURVA!$G$6:$G$20)</f>
        <v>#VALUE!</v>
      </c>
      <c r="C4604" s="29" t="e">
        <f t="shared" si="71"/>
        <v>#VALUE!</v>
      </c>
      <c r="E4604" t="e">
        <f>cubic_spline(CURVA!$B$6:$B$20,CURVA!$G$6:$G$20,#REF!)</f>
        <v>#VALUE!</v>
      </c>
    </row>
    <row r="4605" spans="1:5" x14ac:dyDescent="0.2">
      <c r="A4605" s="28">
        <v>4604</v>
      </c>
      <c r="B4605" s="28" t="e">
        <f>interpola(#REF!,CURVA!$B$6:$B$20,CURVA!$G$6:$G$20)</f>
        <v>#VALUE!</v>
      </c>
      <c r="C4605" s="29" t="e">
        <f t="shared" si="71"/>
        <v>#VALUE!</v>
      </c>
      <c r="E4605" t="e">
        <f>cubic_spline(CURVA!$B$6:$B$20,CURVA!$G$6:$G$20,#REF!)</f>
        <v>#VALUE!</v>
      </c>
    </row>
    <row r="4606" spans="1:5" x14ac:dyDescent="0.2">
      <c r="A4606" s="28">
        <v>4605</v>
      </c>
      <c r="B4606" s="28" t="e">
        <f>interpola(#REF!,CURVA!$B$6:$B$20,CURVA!$G$6:$G$20)</f>
        <v>#VALUE!</v>
      </c>
      <c r="C4606" s="29" t="e">
        <f t="shared" si="71"/>
        <v>#VALUE!</v>
      </c>
      <c r="E4606" t="e">
        <f>cubic_spline(CURVA!$B$6:$B$20,CURVA!$G$6:$G$20,#REF!)</f>
        <v>#VALUE!</v>
      </c>
    </row>
    <row r="4607" spans="1:5" x14ac:dyDescent="0.2">
      <c r="A4607" s="28">
        <v>4606</v>
      </c>
      <c r="B4607" s="28" t="e">
        <f>interpola(#REF!,CURVA!$B$6:$B$20,CURVA!$G$6:$G$20)</f>
        <v>#VALUE!</v>
      </c>
      <c r="C4607" s="29" t="e">
        <f t="shared" si="71"/>
        <v>#VALUE!</v>
      </c>
      <c r="E4607" t="e">
        <f>cubic_spline(CURVA!$B$6:$B$20,CURVA!$G$6:$G$20,#REF!)</f>
        <v>#VALUE!</v>
      </c>
    </row>
    <row r="4608" spans="1:5" x14ac:dyDescent="0.2">
      <c r="A4608" s="28">
        <v>4607</v>
      </c>
      <c r="B4608" s="28" t="e">
        <f>interpola(#REF!,CURVA!$B$6:$B$20,CURVA!$G$6:$G$20)</f>
        <v>#VALUE!</v>
      </c>
      <c r="C4608" s="29" t="e">
        <f t="shared" si="71"/>
        <v>#VALUE!</v>
      </c>
      <c r="E4608" t="e">
        <f>cubic_spline(CURVA!$B$6:$B$20,CURVA!$G$6:$G$20,#REF!)</f>
        <v>#VALUE!</v>
      </c>
    </row>
    <row r="4609" spans="1:5" x14ac:dyDescent="0.2">
      <c r="A4609" s="28">
        <v>4608</v>
      </c>
      <c r="B4609" s="28" t="e">
        <f>interpola(#REF!,CURVA!$B$6:$B$20,CURVA!$G$6:$G$20)</f>
        <v>#VALUE!</v>
      </c>
      <c r="C4609" s="29" t="e">
        <f t="shared" si="71"/>
        <v>#VALUE!</v>
      </c>
      <c r="E4609" t="e">
        <f>cubic_spline(CURVA!$B$6:$B$20,CURVA!$G$6:$G$20,#REF!)</f>
        <v>#VALUE!</v>
      </c>
    </row>
    <row r="4610" spans="1:5" x14ac:dyDescent="0.2">
      <c r="A4610" s="28">
        <v>4609</v>
      </c>
      <c r="B4610" s="28" t="e">
        <f>interpola(#REF!,CURVA!$B$6:$B$20,CURVA!$G$6:$G$20)</f>
        <v>#VALUE!</v>
      </c>
      <c r="C4610" s="29" t="e">
        <f t="shared" ref="C4610:C4673" si="72">(EXP(B4610*A4610/360)-1)*360/A4610</f>
        <v>#VALUE!</v>
      </c>
      <c r="E4610" t="e">
        <f>cubic_spline(CURVA!$B$6:$B$20,CURVA!$G$6:$G$20,#REF!)</f>
        <v>#VALUE!</v>
      </c>
    </row>
    <row r="4611" spans="1:5" x14ac:dyDescent="0.2">
      <c r="A4611" s="28">
        <v>4610</v>
      </c>
      <c r="B4611" s="28" t="e">
        <f>interpola(#REF!,CURVA!$B$6:$B$20,CURVA!$G$6:$G$20)</f>
        <v>#VALUE!</v>
      </c>
      <c r="C4611" s="29" t="e">
        <f t="shared" si="72"/>
        <v>#VALUE!</v>
      </c>
      <c r="E4611" t="e">
        <f>cubic_spline(CURVA!$B$6:$B$20,CURVA!$G$6:$G$20,#REF!)</f>
        <v>#VALUE!</v>
      </c>
    </row>
    <row r="4612" spans="1:5" x14ac:dyDescent="0.2">
      <c r="A4612" s="28">
        <v>4611</v>
      </c>
      <c r="B4612" s="28" t="e">
        <f>interpola(#REF!,CURVA!$B$6:$B$20,CURVA!$G$6:$G$20)</f>
        <v>#VALUE!</v>
      </c>
      <c r="C4612" s="29" t="e">
        <f t="shared" si="72"/>
        <v>#VALUE!</v>
      </c>
      <c r="E4612" t="e">
        <f>cubic_spline(CURVA!$B$6:$B$20,CURVA!$G$6:$G$20,#REF!)</f>
        <v>#VALUE!</v>
      </c>
    </row>
    <row r="4613" spans="1:5" x14ac:dyDescent="0.2">
      <c r="A4613" s="28">
        <v>4612</v>
      </c>
      <c r="B4613" s="28" t="e">
        <f>interpola(#REF!,CURVA!$B$6:$B$20,CURVA!$G$6:$G$20)</f>
        <v>#VALUE!</v>
      </c>
      <c r="C4613" s="29" t="e">
        <f t="shared" si="72"/>
        <v>#VALUE!</v>
      </c>
      <c r="E4613" t="e">
        <f>cubic_spline(CURVA!$B$6:$B$20,CURVA!$G$6:$G$20,#REF!)</f>
        <v>#VALUE!</v>
      </c>
    </row>
    <row r="4614" spans="1:5" x14ac:dyDescent="0.2">
      <c r="A4614" s="28">
        <v>4613</v>
      </c>
      <c r="B4614" s="28" t="e">
        <f>interpola(#REF!,CURVA!$B$6:$B$20,CURVA!$G$6:$G$20)</f>
        <v>#VALUE!</v>
      </c>
      <c r="C4614" s="29" t="e">
        <f t="shared" si="72"/>
        <v>#VALUE!</v>
      </c>
      <c r="E4614" t="e">
        <f>cubic_spline(CURVA!$B$6:$B$20,CURVA!$G$6:$G$20,#REF!)</f>
        <v>#VALUE!</v>
      </c>
    </row>
    <row r="4615" spans="1:5" x14ac:dyDescent="0.2">
      <c r="A4615" s="28">
        <v>4614</v>
      </c>
      <c r="B4615" s="28" t="e">
        <f>interpola(#REF!,CURVA!$B$6:$B$20,CURVA!$G$6:$G$20)</f>
        <v>#VALUE!</v>
      </c>
      <c r="C4615" s="29" t="e">
        <f t="shared" si="72"/>
        <v>#VALUE!</v>
      </c>
      <c r="E4615" t="e">
        <f>cubic_spline(CURVA!$B$6:$B$20,CURVA!$G$6:$G$20,#REF!)</f>
        <v>#VALUE!</v>
      </c>
    </row>
    <row r="4616" spans="1:5" x14ac:dyDescent="0.2">
      <c r="A4616" s="28">
        <v>4615</v>
      </c>
      <c r="B4616" s="28" t="e">
        <f>interpola(#REF!,CURVA!$B$6:$B$20,CURVA!$G$6:$G$20)</f>
        <v>#VALUE!</v>
      </c>
      <c r="C4616" s="29" t="e">
        <f t="shared" si="72"/>
        <v>#VALUE!</v>
      </c>
      <c r="E4616" t="e">
        <f>cubic_spline(CURVA!$B$6:$B$20,CURVA!$G$6:$G$20,#REF!)</f>
        <v>#VALUE!</v>
      </c>
    </row>
    <row r="4617" spans="1:5" x14ac:dyDescent="0.2">
      <c r="A4617" s="28">
        <v>4616</v>
      </c>
      <c r="B4617" s="28" t="e">
        <f>interpola(#REF!,CURVA!$B$6:$B$20,CURVA!$G$6:$G$20)</f>
        <v>#VALUE!</v>
      </c>
      <c r="C4617" s="29" t="e">
        <f t="shared" si="72"/>
        <v>#VALUE!</v>
      </c>
      <c r="E4617" t="e">
        <f>cubic_spline(CURVA!$B$6:$B$20,CURVA!$G$6:$G$20,#REF!)</f>
        <v>#VALUE!</v>
      </c>
    </row>
    <row r="4618" spans="1:5" x14ac:dyDescent="0.2">
      <c r="A4618" s="28">
        <v>4617</v>
      </c>
      <c r="B4618" s="28" t="e">
        <f>interpola(#REF!,CURVA!$B$6:$B$20,CURVA!$G$6:$G$20)</f>
        <v>#VALUE!</v>
      </c>
      <c r="C4618" s="29" t="e">
        <f t="shared" si="72"/>
        <v>#VALUE!</v>
      </c>
      <c r="E4618" t="e">
        <f>cubic_spline(CURVA!$B$6:$B$20,CURVA!$G$6:$G$20,#REF!)</f>
        <v>#VALUE!</v>
      </c>
    </row>
    <row r="4619" spans="1:5" x14ac:dyDescent="0.2">
      <c r="A4619" s="28">
        <v>4618</v>
      </c>
      <c r="B4619" s="28" t="e">
        <f>interpola(#REF!,CURVA!$B$6:$B$20,CURVA!$G$6:$G$20)</f>
        <v>#VALUE!</v>
      </c>
      <c r="C4619" s="29" t="e">
        <f t="shared" si="72"/>
        <v>#VALUE!</v>
      </c>
      <c r="E4619" t="e">
        <f>cubic_spline(CURVA!$B$6:$B$20,CURVA!$G$6:$G$20,#REF!)</f>
        <v>#VALUE!</v>
      </c>
    </row>
    <row r="4620" spans="1:5" x14ac:dyDescent="0.2">
      <c r="A4620" s="28">
        <v>4619</v>
      </c>
      <c r="B4620" s="28" t="e">
        <f>interpola(#REF!,CURVA!$B$6:$B$20,CURVA!$G$6:$G$20)</f>
        <v>#VALUE!</v>
      </c>
      <c r="C4620" s="29" t="e">
        <f t="shared" si="72"/>
        <v>#VALUE!</v>
      </c>
      <c r="E4620" t="e">
        <f>cubic_spline(CURVA!$B$6:$B$20,CURVA!$G$6:$G$20,#REF!)</f>
        <v>#VALUE!</v>
      </c>
    </row>
    <row r="4621" spans="1:5" x14ac:dyDescent="0.2">
      <c r="A4621" s="28">
        <v>4620</v>
      </c>
      <c r="B4621" s="28" t="e">
        <f>interpola(#REF!,CURVA!$B$6:$B$20,CURVA!$G$6:$G$20)</f>
        <v>#VALUE!</v>
      </c>
      <c r="C4621" s="29" t="e">
        <f t="shared" si="72"/>
        <v>#VALUE!</v>
      </c>
      <c r="E4621" t="e">
        <f>cubic_spline(CURVA!$B$6:$B$20,CURVA!$G$6:$G$20,#REF!)</f>
        <v>#VALUE!</v>
      </c>
    </row>
    <row r="4622" spans="1:5" x14ac:dyDescent="0.2">
      <c r="A4622" s="28">
        <v>4621</v>
      </c>
      <c r="B4622" s="28" t="e">
        <f>interpola(#REF!,CURVA!$B$6:$B$20,CURVA!$G$6:$G$20)</f>
        <v>#VALUE!</v>
      </c>
      <c r="C4622" s="29" t="e">
        <f t="shared" si="72"/>
        <v>#VALUE!</v>
      </c>
      <c r="E4622" t="e">
        <f>cubic_spline(CURVA!$B$6:$B$20,CURVA!$G$6:$G$20,#REF!)</f>
        <v>#VALUE!</v>
      </c>
    </row>
    <row r="4623" spans="1:5" x14ac:dyDescent="0.2">
      <c r="A4623" s="28">
        <v>4622</v>
      </c>
      <c r="B4623" s="28" t="e">
        <f>interpola(#REF!,CURVA!$B$6:$B$20,CURVA!$G$6:$G$20)</f>
        <v>#VALUE!</v>
      </c>
      <c r="C4623" s="29" t="e">
        <f t="shared" si="72"/>
        <v>#VALUE!</v>
      </c>
      <c r="E4623" t="e">
        <f>cubic_spline(CURVA!$B$6:$B$20,CURVA!$G$6:$G$20,#REF!)</f>
        <v>#VALUE!</v>
      </c>
    </row>
    <row r="4624" spans="1:5" x14ac:dyDescent="0.2">
      <c r="A4624" s="28">
        <v>4623</v>
      </c>
      <c r="B4624" s="28" t="e">
        <f>interpola(#REF!,CURVA!$B$6:$B$20,CURVA!$G$6:$G$20)</f>
        <v>#VALUE!</v>
      </c>
      <c r="C4624" s="29" t="e">
        <f t="shared" si="72"/>
        <v>#VALUE!</v>
      </c>
      <c r="E4624" t="e">
        <f>cubic_spline(CURVA!$B$6:$B$20,CURVA!$G$6:$G$20,#REF!)</f>
        <v>#VALUE!</v>
      </c>
    </row>
    <row r="4625" spans="1:5" x14ac:dyDescent="0.2">
      <c r="A4625" s="28">
        <v>4624</v>
      </c>
      <c r="B4625" s="28" t="e">
        <f>interpola(#REF!,CURVA!$B$6:$B$20,CURVA!$G$6:$G$20)</f>
        <v>#VALUE!</v>
      </c>
      <c r="C4625" s="29" t="e">
        <f t="shared" si="72"/>
        <v>#VALUE!</v>
      </c>
      <c r="E4625" t="e">
        <f>cubic_spline(CURVA!$B$6:$B$20,CURVA!$G$6:$G$20,#REF!)</f>
        <v>#VALUE!</v>
      </c>
    </row>
    <row r="4626" spans="1:5" x14ac:dyDescent="0.2">
      <c r="A4626" s="28">
        <v>4625</v>
      </c>
      <c r="B4626" s="28" t="e">
        <f>interpola(#REF!,CURVA!$B$6:$B$20,CURVA!$G$6:$G$20)</f>
        <v>#VALUE!</v>
      </c>
      <c r="C4626" s="29" t="e">
        <f t="shared" si="72"/>
        <v>#VALUE!</v>
      </c>
      <c r="E4626" t="e">
        <f>cubic_spline(CURVA!$B$6:$B$20,CURVA!$G$6:$G$20,#REF!)</f>
        <v>#VALUE!</v>
      </c>
    </row>
    <row r="4627" spans="1:5" x14ac:dyDescent="0.2">
      <c r="A4627" s="28">
        <v>4626</v>
      </c>
      <c r="B4627" s="28" t="e">
        <f>interpola(#REF!,CURVA!$B$6:$B$20,CURVA!$G$6:$G$20)</f>
        <v>#VALUE!</v>
      </c>
      <c r="C4627" s="29" t="e">
        <f t="shared" si="72"/>
        <v>#VALUE!</v>
      </c>
      <c r="E4627" t="e">
        <f>cubic_spline(CURVA!$B$6:$B$20,CURVA!$G$6:$G$20,#REF!)</f>
        <v>#VALUE!</v>
      </c>
    </row>
    <row r="4628" spans="1:5" x14ac:dyDescent="0.2">
      <c r="A4628" s="28">
        <v>4627</v>
      </c>
      <c r="B4628" s="28" t="e">
        <f>interpola(#REF!,CURVA!$B$6:$B$20,CURVA!$G$6:$G$20)</f>
        <v>#VALUE!</v>
      </c>
      <c r="C4628" s="29" t="e">
        <f t="shared" si="72"/>
        <v>#VALUE!</v>
      </c>
      <c r="E4628" t="e">
        <f>cubic_spline(CURVA!$B$6:$B$20,CURVA!$G$6:$G$20,#REF!)</f>
        <v>#VALUE!</v>
      </c>
    </row>
    <row r="4629" spans="1:5" x14ac:dyDescent="0.2">
      <c r="A4629" s="28">
        <v>4628</v>
      </c>
      <c r="B4629" s="28" t="e">
        <f>interpola(#REF!,CURVA!$B$6:$B$20,CURVA!$G$6:$G$20)</f>
        <v>#VALUE!</v>
      </c>
      <c r="C4629" s="29" t="e">
        <f t="shared" si="72"/>
        <v>#VALUE!</v>
      </c>
      <c r="E4629" t="e">
        <f>cubic_spline(CURVA!$B$6:$B$20,CURVA!$G$6:$G$20,#REF!)</f>
        <v>#VALUE!</v>
      </c>
    </row>
    <row r="4630" spans="1:5" x14ac:dyDescent="0.2">
      <c r="A4630" s="28">
        <v>4629</v>
      </c>
      <c r="B4630" s="28" t="e">
        <f>interpola(#REF!,CURVA!$B$6:$B$20,CURVA!$G$6:$G$20)</f>
        <v>#VALUE!</v>
      </c>
      <c r="C4630" s="29" t="e">
        <f t="shared" si="72"/>
        <v>#VALUE!</v>
      </c>
      <c r="E4630" t="e">
        <f>cubic_spline(CURVA!$B$6:$B$20,CURVA!$G$6:$G$20,#REF!)</f>
        <v>#VALUE!</v>
      </c>
    </row>
    <row r="4631" spans="1:5" x14ac:dyDescent="0.2">
      <c r="A4631" s="28">
        <v>4630</v>
      </c>
      <c r="B4631" s="28" t="e">
        <f>interpola(#REF!,CURVA!$B$6:$B$20,CURVA!$G$6:$G$20)</f>
        <v>#VALUE!</v>
      </c>
      <c r="C4631" s="29" t="e">
        <f t="shared" si="72"/>
        <v>#VALUE!</v>
      </c>
      <c r="E4631" t="e">
        <f>cubic_spline(CURVA!$B$6:$B$20,CURVA!$G$6:$G$20,#REF!)</f>
        <v>#VALUE!</v>
      </c>
    </row>
    <row r="4632" spans="1:5" x14ac:dyDescent="0.2">
      <c r="A4632" s="28">
        <v>4631</v>
      </c>
      <c r="B4632" s="28" t="e">
        <f>interpola(#REF!,CURVA!$B$6:$B$20,CURVA!$G$6:$G$20)</f>
        <v>#VALUE!</v>
      </c>
      <c r="C4632" s="29" t="e">
        <f t="shared" si="72"/>
        <v>#VALUE!</v>
      </c>
      <c r="E4632" t="e">
        <f>cubic_spline(CURVA!$B$6:$B$20,CURVA!$G$6:$G$20,#REF!)</f>
        <v>#VALUE!</v>
      </c>
    </row>
    <row r="4633" spans="1:5" x14ac:dyDescent="0.2">
      <c r="A4633" s="28">
        <v>4632</v>
      </c>
      <c r="B4633" s="28" t="e">
        <f>interpola(#REF!,CURVA!$B$6:$B$20,CURVA!$G$6:$G$20)</f>
        <v>#VALUE!</v>
      </c>
      <c r="C4633" s="29" t="e">
        <f t="shared" si="72"/>
        <v>#VALUE!</v>
      </c>
      <c r="E4633" t="e">
        <f>cubic_spline(CURVA!$B$6:$B$20,CURVA!$G$6:$G$20,#REF!)</f>
        <v>#VALUE!</v>
      </c>
    </row>
    <row r="4634" spans="1:5" x14ac:dyDescent="0.2">
      <c r="A4634" s="28">
        <v>4633</v>
      </c>
      <c r="B4634" s="28" t="e">
        <f>interpola(#REF!,CURVA!$B$6:$B$20,CURVA!$G$6:$G$20)</f>
        <v>#VALUE!</v>
      </c>
      <c r="C4634" s="29" t="e">
        <f t="shared" si="72"/>
        <v>#VALUE!</v>
      </c>
      <c r="E4634" t="e">
        <f>cubic_spline(CURVA!$B$6:$B$20,CURVA!$G$6:$G$20,#REF!)</f>
        <v>#VALUE!</v>
      </c>
    </row>
    <row r="4635" spans="1:5" x14ac:dyDescent="0.2">
      <c r="A4635" s="28">
        <v>4634</v>
      </c>
      <c r="B4635" s="28" t="e">
        <f>interpola(#REF!,CURVA!$B$6:$B$20,CURVA!$G$6:$G$20)</f>
        <v>#VALUE!</v>
      </c>
      <c r="C4635" s="29" t="e">
        <f t="shared" si="72"/>
        <v>#VALUE!</v>
      </c>
      <c r="E4635" t="e">
        <f>cubic_spline(CURVA!$B$6:$B$20,CURVA!$G$6:$G$20,#REF!)</f>
        <v>#VALUE!</v>
      </c>
    </row>
    <row r="4636" spans="1:5" x14ac:dyDescent="0.2">
      <c r="A4636" s="28">
        <v>4635</v>
      </c>
      <c r="B4636" s="28" t="e">
        <f>interpola(#REF!,CURVA!$B$6:$B$20,CURVA!$G$6:$G$20)</f>
        <v>#VALUE!</v>
      </c>
      <c r="C4636" s="29" t="e">
        <f t="shared" si="72"/>
        <v>#VALUE!</v>
      </c>
      <c r="E4636" t="e">
        <f>cubic_spline(CURVA!$B$6:$B$20,CURVA!$G$6:$G$20,#REF!)</f>
        <v>#VALUE!</v>
      </c>
    </row>
    <row r="4637" spans="1:5" x14ac:dyDescent="0.2">
      <c r="A4637" s="28">
        <v>4636</v>
      </c>
      <c r="B4637" s="28" t="e">
        <f>interpola(#REF!,CURVA!$B$6:$B$20,CURVA!$G$6:$G$20)</f>
        <v>#VALUE!</v>
      </c>
      <c r="C4637" s="29" t="e">
        <f t="shared" si="72"/>
        <v>#VALUE!</v>
      </c>
      <c r="E4637" t="e">
        <f>cubic_spline(CURVA!$B$6:$B$20,CURVA!$G$6:$G$20,#REF!)</f>
        <v>#VALUE!</v>
      </c>
    </row>
    <row r="4638" spans="1:5" x14ac:dyDescent="0.2">
      <c r="A4638" s="28">
        <v>4637</v>
      </c>
      <c r="B4638" s="28" t="e">
        <f>interpola(#REF!,CURVA!$B$6:$B$20,CURVA!$G$6:$G$20)</f>
        <v>#VALUE!</v>
      </c>
      <c r="C4638" s="29" t="e">
        <f t="shared" si="72"/>
        <v>#VALUE!</v>
      </c>
      <c r="E4638" t="e">
        <f>cubic_spline(CURVA!$B$6:$B$20,CURVA!$G$6:$G$20,#REF!)</f>
        <v>#VALUE!</v>
      </c>
    </row>
    <row r="4639" spans="1:5" x14ac:dyDescent="0.2">
      <c r="A4639" s="28">
        <v>4638</v>
      </c>
      <c r="B4639" s="28" t="e">
        <f>interpola(#REF!,CURVA!$B$6:$B$20,CURVA!$G$6:$G$20)</f>
        <v>#VALUE!</v>
      </c>
      <c r="C4639" s="29" t="e">
        <f t="shared" si="72"/>
        <v>#VALUE!</v>
      </c>
      <c r="E4639" t="e">
        <f>cubic_spline(CURVA!$B$6:$B$20,CURVA!$G$6:$G$20,#REF!)</f>
        <v>#VALUE!</v>
      </c>
    </row>
    <row r="4640" spans="1:5" x14ac:dyDescent="0.2">
      <c r="A4640" s="28">
        <v>4639</v>
      </c>
      <c r="B4640" s="28" t="e">
        <f>interpola(#REF!,CURVA!$B$6:$B$20,CURVA!$G$6:$G$20)</f>
        <v>#VALUE!</v>
      </c>
      <c r="C4640" s="29" t="e">
        <f t="shared" si="72"/>
        <v>#VALUE!</v>
      </c>
      <c r="E4640" t="e">
        <f>cubic_spline(CURVA!$B$6:$B$20,CURVA!$G$6:$G$20,#REF!)</f>
        <v>#VALUE!</v>
      </c>
    </row>
    <row r="4641" spans="1:5" x14ac:dyDescent="0.2">
      <c r="A4641" s="28">
        <v>4640</v>
      </c>
      <c r="B4641" s="28" t="e">
        <f>interpola(#REF!,CURVA!$B$6:$B$20,CURVA!$G$6:$G$20)</f>
        <v>#VALUE!</v>
      </c>
      <c r="C4641" s="29" t="e">
        <f t="shared" si="72"/>
        <v>#VALUE!</v>
      </c>
      <c r="E4641" t="e">
        <f>cubic_spline(CURVA!$B$6:$B$20,CURVA!$G$6:$G$20,#REF!)</f>
        <v>#VALUE!</v>
      </c>
    </row>
    <row r="4642" spans="1:5" x14ac:dyDescent="0.2">
      <c r="A4642" s="28">
        <v>4641</v>
      </c>
      <c r="B4642" s="28" t="e">
        <f>interpola(#REF!,CURVA!$B$6:$B$20,CURVA!$G$6:$G$20)</f>
        <v>#VALUE!</v>
      </c>
      <c r="C4642" s="29" t="e">
        <f t="shared" si="72"/>
        <v>#VALUE!</v>
      </c>
      <c r="E4642" t="e">
        <f>cubic_spline(CURVA!$B$6:$B$20,CURVA!$G$6:$G$20,#REF!)</f>
        <v>#VALUE!</v>
      </c>
    </row>
    <row r="4643" spans="1:5" x14ac:dyDescent="0.2">
      <c r="A4643" s="28">
        <v>4642</v>
      </c>
      <c r="B4643" s="28" t="e">
        <f>interpola(#REF!,CURVA!$B$6:$B$20,CURVA!$G$6:$G$20)</f>
        <v>#VALUE!</v>
      </c>
      <c r="C4643" s="29" t="e">
        <f t="shared" si="72"/>
        <v>#VALUE!</v>
      </c>
      <c r="E4643" t="e">
        <f>cubic_spline(CURVA!$B$6:$B$20,CURVA!$G$6:$G$20,#REF!)</f>
        <v>#VALUE!</v>
      </c>
    </row>
    <row r="4644" spans="1:5" x14ac:dyDescent="0.2">
      <c r="A4644" s="28">
        <v>4643</v>
      </c>
      <c r="B4644" s="28" t="e">
        <f>interpola(#REF!,CURVA!$B$6:$B$20,CURVA!$G$6:$G$20)</f>
        <v>#VALUE!</v>
      </c>
      <c r="C4644" s="29" t="e">
        <f t="shared" si="72"/>
        <v>#VALUE!</v>
      </c>
      <c r="E4644" t="e">
        <f>cubic_spline(CURVA!$B$6:$B$20,CURVA!$G$6:$G$20,#REF!)</f>
        <v>#VALUE!</v>
      </c>
    </row>
    <row r="4645" spans="1:5" x14ac:dyDescent="0.2">
      <c r="A4645" s="28">
        <v>4644</v>
      </c>
      <c r="B4645" s="28" t="e">
        <f>interpola(#REF!,CURVA!$B$6:$B$20,CURVA!$G$6:$G$20)</f>
        <v>#VALUE!</v>
      </c>
      <c r="C4645" s="29" t="e">
        <f t="shared" si="72"/>
        <v>#VALUE!</v>
      </c>
      <c r="E4645" t="e">
        <f>cubic_spline(CURVA!$B$6:$B$20,CURVA!$G$6:$G$20,#REF!)</f>
        <v>#VALUE!</v>
      </c>
    </row>
    <row r="4646" spans="1:5" x14ac:dyDescent="0.2">
      <c r="A4646" s="28">
        <v>4645</v>
      </c>
      <c r="B4646" s="28" t="e">
        <f>interpola(#REF!,CURVA!$B$6:$B$20,CURVA!$G$6:$G$20)</f>
        <v>#VALUE!</v>
      </c>
      <c r="C4646" s="29" t="e">
        <f t="shared" si="72"/>
        <v>#VALUE!</v>
      </c>
      <c r="E4646" t="e">
        <f>cubic_spline(CURVA!$B$6:$B$20,CURVA!$G$6:$G$20,#REF!)</f>
        <v>#VALUE!</v>
      </c>
    </row>
    <row r="4647" spans="1:5" x14ac:dyDescent="0.2">
      <c r="A4647" s="28">
        <v>4646</v>
      </c>
      <c r="B4647" s="28" t="e">
        <f>interpola(#REF!,CURVA!$B$6:$B$20,CURVA!$G$6:$G$20)</f>
        <v>#VALUE!</v>
      </c>
      <c r="C4647" s="29" t="e">
        <f t="shared" si="72"/>
        <v>#VALUE!</v>
      </c>
      <c r="E4647" t="e">
        <f>cubic_spline(CURVA!$B$6:$B$20,CURVA!$G$6:$G$20,#REF!)</f>
        <v>#VALUE!</v>
      </c>
    </row>
    <row r="4648" spans="1:5" x14ac:dyDescent="0.2">
      <c r="A4648" s="28">
        <v>4647</v>
      </c>
      <c r="B4648" s="28" t="e">
        <f>interpola(#REF!,CURVA!$B$6:$B$20,CURVA!$G$6:$G$20)</f>
        <v>#VALUE!</v>
      </c>
      <c r="C4648" s="29" t="e">
        <f t="shared" si="72"/>
        <v>#VALUE!</v>
      </c>
      <c r="E4648" t="e">
        <f>cubic_spline(CURVA!$B$6:$B$20,CURVA!$G$6:$G$20,#REF!)</f>
        <v>#VALUE!</v>
      </c>
    </row>
    <row r="4649" spans="1:5" x14ac:dyDescent="0.2">
      <c r="A4649" s="28">
        <v>4648</v>
      </c>
      <c r="B4649" s="28" t="e">
        <f>interpola(#REF!,CURVA!$B$6:$B$20,CURVA!$G$6:$G$20)</f>
        <v>#VALUE!</v>
      </c>
      <c r="C4649" s="29" t="e">
        <f t="shared" si="72"/>
        <v>#VALUE!</v>
      </c>
      <c r="E4649" t="e">
        <f>cubic_spline(CURVA!$B$6:$B$20,CURVA!$G$6:$G$20,#REF!)</f>
        <v>#VALUE!</v>
      </c>
    </row>
    <row r="4650" spans="1:5" x14ac:dyDescent="0.2">
      <c r="A4650" s="28">
        <v>4649</v>
      </c>
      <c r="B4650" s="28" t="e">
        <f>interpola(#REF!,CURVA!$B$6:$B$20,CURVA!$G$6:$G$20)</f>
        <v>#VALUE!</v>
      </c>
      <c r="C4650" s="29" t="e">
        <f t="shared" si="72"/>
        <v>#VALUE!</v>
      </c>
      <c r="E4650" t="e">
        <f>cubic_spline(CURVA!$B$6:$B$20,CURVA!$G$6:$G$20,#REF!)</f>
        <v>#VALUE!</v>
      </c>
    </row>
    <row r="4651" spans="1:5" x14ac:dyDescent="0.2">
      <c r="A4651" s="28">
        <v>4650</v>
      </c>
      <c r="B4651" s="28" t="e">
        <f>interpola(#REF!,CURVA!$B$6:$B$20,CURVA!$G$6:$G$20)</f>
        <v>#VALUE!</v>
      </c>
      <c r="C4651" s="29" t="e">
        <f t="shared" si="72"/>
        <v>#VALUE!</v>
      </c>
      <c r="E4651" t="e">
        <f>cubic_spline(CURVA!$B$6:$B$20,CURVA!$G$6:$G$20,#REF!)</f>
        <v>#VALUE!</v>
      </c>
    </row>
    <row r="4652" spans="1:5" x14ac:dyDescent="0.2">
      <c r="A4652" s="28">
        <v>4651</v>
      </c>
      <c r="B4652" s="28" t="e">
        <f>interpola(#REF!,CURVA!$B$6:$B$20,CURVA!$G$6:$G$20)</f>
        <v>#VALUE!</v>
      </c>
      <c r="C4652" s="29" t="e">
        <f t="shared" si="72"/>
        <v>#VALUE!</v>
      </c>
      <c r="E4652" t="e">
        <f>cubic_spline(CURVA!$B$6:$B$20,CURVA!$G$6:$G$20,#REF!)</f>
        <v>#VALUE!</v>
      </c>
    </row>
    <row r="4653" spans="1:5" x14ac:dyDescent="0.2">
      <c r="A4653" s="28">
        <v>4652</v>
      </c>
      <c r="B4653" s="28" t="e">
        <f>interpola(#REF!,CURVA!$B$6:$B$20,CURVA!$G$6:$G$20)</f>
        <v>#VALUE!</v>
      </c>
      <c r="C4653" s="29" t="e">
        <f t="shared" si="72"/>
        <v>#VALUE!</v>
      </c>
      <c r="E4653" t="e">
        <f>cubic_spline(CURVA!$B$6:$B$20,CURVA!$G$6:$G$20,#REF!)</f>
        <v>#VALUE!</v>
      </c>
    </row>
    <row r="4654" spans="1:5" x14ac:dyDescent="0.2">
      <c r="A4654" s="28">
        <v>4653</v>
      </c>
      <c r="B4654" s="28" t="e">
        <f>interpola(#REF!,CURVA!$B$6:$B$20,CURVA!$G$6:$G$20)</f>
        <v>#VALUE!</v>
      </c>
      <c r="C4654" s="29" t="e">
        <f t="shared" si="72"/>
        <v>#VALUE!</v>
      </c>
      <c r="E4654" t="e">
        <f>cubic_spline(CURVA!$B$6:$B$20,CURVA!$G$6:$G$20,#REF!)</f>
        <v>#VALUE!</v>
      </c>
    </row>
    <row r="4655" spans="1:5" x14ac:dyDescent="0.2">
      <c r="A4655" s="28">
        <v>4654</v>
      </c>
      <c r="B4655" s="28" t="e">
        <f>interpola(#REF!,CURVA!$B$6:$B$20,CURVA!$G$6:$G$20)</f>
        <v>#VALUE!</v>
      </c>
      <c r="C4655" s="29" t="e">
        <f t="shared" si="72"/>
        <v>#VALUE!</v>
      </c>
      <c r="E4655" t="e">
        <f>cubic_spline(CURVA!$B$6:$B$20,CURVA!$G$6:$G$20,#REF!)</f>
        <v>#VALUE!</v>
      </c>
    </row>
    <row r="4656" spans="1:5" x14ac:dyDescent="0.2">
      <c r="A4656" s="28">
        <v>4655</v>
      </c>
      <c r="B4656" s="28" t="e">
        <f>interpola(#REF!,CURVA!$B$6:$B$20,CURVA!$G$6:$G$20)</f>
        <v>#VALUE!</v>
      </c>
      <c r="C4656" s="29" t="e">
        <f t="shared" si="72"/>
        <v>#VALUE!</v>
      </c>
      <c r="E4656" t="e">
        <f>cubic_spline(CURVA!$B$6:$B$20,CURVA!$G$6:$G$20,#REF!)</f>
        <v>#VALUE!</v>
      </c>
    </row>
    <row r="4657" spans="1:5" x14ac:dyDescent="0.2">
      <c r="A4657" s="28">
        <v>4656</v>
      </c>
      <c r="B4657" s="28" t="e">
        <f>interpola(#REF!,CURVA!$B$6:$B$20,CURVA!$G$6:$G$20)</f>
        <v>#VALUE!</v>
      </c>
      <c r="C4657" s="29" t="e">
        <f t="shared" si="72"/>
        <v>#VALUE!</v>
      </c>
      <c r="E4657" t="e">
        <f>cubic_spline(CURVA!$B$6:$B$20,CURVA!$G$6:$G$20,#REF!)</f>
        <v>#VALUE!</v>
      </c>
    </row>
    <row r="4658" spans="1:5" x14ac:dyDescent="0.2">
      <c r="A4658" s="28">
        <v>4657</v>
      </c>
      <c r="B4658" s="28" t="e">
        <f>interpola(#REF!,CURVA!$B$6:$B$20,CURVA!$G$6:$G$20)</f>
        <v>#VALUE!</v>
      </c>
      <c r="C4658" s="29" t="e">
        <f t="shared" si="72"/>
        <v>#VALUE!</v>
      </c>
      <c r="E4658" t="e">
        <f>cubic_spline(CURVA!$B$6:$B$20,CURVA!$G$6:$G$20,#REF!)</f>
        <v>#VALUE!</v>
      </c>
    </row>
    <row r="4659" spans="1:5" x14ac:dyDescent="0.2">
      <c r="A4659" s="28">
        <v>4658</v>
      </c>
      <c r="B4659" s="28" t="e">
        <f>interpola(#REF!,CURVA!$B$6:$B$20,CURVA!$G$6:$G$20)</f>
        <v>#VALUE!</v>
      </c>
      <c r="C4659" s="29" t="e">
        <f t="shared" si="72"/>
        <v>#VALUE!</v>
      </c>
      <c r="E4659" t="e">
        <f>cubic_spline(CURVA!$B$6:$B$20,CURVA!$G$6:$G$20,#REF!)</f>
        <v>#VALUE!</v>
      </c>
    </row>
    <row r="4660" spans="1:5" x14ac:dyDescent="0.2">
      <c r="A4660" s="28">
        <v>4659</v>
      </c>
      <c r="B4660" s="28" t="e">
        <f>interpola(#REF!,CURVA!$B$6:$B$20,CURVA!$G$6:$G$20)</f>
        <v>#VALUE!</v>
      </c>
      <c r="C4660" s="29" t="e">
        <f t="shared" si="72"/>
        <v>#VALUE!</v>
      </c>
      <c r="E4660" t="e">
        <f>cubic_spline(CURVA!$B$6:$B$20,CURVA!$G$6:$G$20,#REF!)</f>
        <v>#VALUE!</v>
      </c>
    </row>
    <row r="4661" spans="1:5" x14ac:dyDescent="0.2">
      <c r="A4661" s="28">
        <v>4660</v>
      </c>
      <c r="B4661" s="28" t="e">
        <f>interpola(#REF!,CURVA!$B$6:$B$20,CURVA!$G$6:$G$20)</f>
        <v>#VALUE!</v>
      </c>
      <c r="C4661" s="29" t="e">
        <f t="shared" si="72"/>
        <v>#VALUE!</v>
      </c>
      <c r="E4661" t="e">
        <f>cubic_spline(CURVA!$B$6:$B$20,CURVA!$G$6:$G$20,#REF!)</f>
        <v>#VALUE!</v>
      </c>
    </row>
    <row r="4662" spans="1:5" x14ac:dyDescent="0.2">
      <c r="A4662" s="28">
        <v>4661</v>
      </c>
      <c r="B4662" s="28" t="e">
        <f>interpola(#REF!,CURVA!$B$6:$B$20,CURVA!$G$6:$G$20)</f>
        <v>#VALUE!</v>
      </c>
      <c r="C4662" s="29" t="e">
        <f t="shared" si="72"/>
        <v>#VALUE!</v>
      </c>
      <c r="E4662" t="e">
        <f>cubic_spline(CURVA!$B$6:$B$20,CURVA!$G$6:$G$20,#REF!)</f>
        <v>#VALUE!</v>
      </c>
    </row>
    <row r="4663" spans="1:5" x14ac:dyDescent="0.2">
      <c r="A4663" s="28">
        <v>4662</v>
      </c>
      <c r="B4663" s="28" t="e">
        <f>interpola(#REF!,CURVA!$B$6:$B$20,CURVA!$G$6:$G$20)</f>
        <v>#VALUE!</v>
      </c>
      <c r="C4663" s="29" t="e">
        <f t="shared" si="72"/>
        <v>#VALUE!</v>
      </c>
      <c r="E4663" t="e">
        <f>cubic_spline(CURVA!$B$6:$B$20,CURVA!$G$6:$G$20,#REF!)</f>
        <v>#VALUE!</v>
      </c>
    </row>
    <row r="4664" spans="1:5" x14ac:dyDescent="0.2">
      <c r="A4664" s="28">
        <v>4663</v>
      </c>
      <c r="B4664" s="28" t="e">
        <f>interpola(#REF!,CURVA!$B$6:$B$20,CURVA!$G$6:$G$20)</f>
        <v>#VALUE!</v>
      </c>
      <c r="C4664" s="29" t="e">
        <f t="shared" si="72"/>
        <v>#VALUE!</v>
      </c>
      <c r="E4664" t="e">
        <f>cubic_spline(CURVA!$B$6:$B$20,CURVA!$G$6:$G$20,#REF!)</f>
        <v>#VALUE!</v>
      </c>
    </row>
    <row r="4665" spans="1:5" x14ac:dyDescent="0.2">
      <c r="A4665" s="28">
        <v>4664</v>
      </c>
      <c r="B4665" s="28" t="e">
        <f>interpola(#REF!,CURVA!$B$6:$B$20,CURVA!$G$6:$G$20)</f>
        <v>#VALUE!</v>
      </c>
      <c r="C4665" s="29" t="e">
        <f t="shared" si="72"/>
        <v>#VALUE!</v>
      </c>
      <c r="E4665" t="e">
        <f>cubic_spline(CURVA!$B$6:$B$20,CURVA!$G$6:$G$20,#REF!)</f>
        <v>#VALUE!</v>
      </c>
    </row>
    <row r="4666" spans="1:5" x14ac:dyDescent="0.2">
      <c r="A4666" s="28">
        <v>4665</v>
      </c>
      <c r="B4666" s="28" t="e">
        <f>interpola(#REF!,CURVA!$B$6:$B$20,CURVA!$G$6:$G$20)</f>
        <v>#VALUE!</v>
      </c>
      <c r="C4666" s="29" t="e">
        <f t="shared" si="72"/>
        <v>#VALUE!</v>
      </c>
      <c r="E4666" t="e">
        <f>cubic_spline(CURVA!$B$6:$B$20,CURVA!$G$6:$G$20,#REF!)</f>
        <v>#VALUE!</v>
      </c>
    </row>
    <row r="4667" spans="1:5" x14ac:dyDescent="0.2">
      <c r="A4667" s="28">
        <v>4666</v>
      </c>
      <c r="B4667" s="28" t="e">
        <f>interpola(#REF!,CURVA!$B$6:$B$20,CURVA!$G$6:$G$20)</f>
        <v>#VALUE!</v>
      </c>
      <c r="C4667" s="29" t="e">
        <f t="shared" si="72"/>
        <v>#VALUE!</v>
      </c>
      <c r="E4667" t="e">
        <f>cubic_spline(CURVA!$B$6:$B$20,CURVA!$G$6:$G$20,#REF!)</f>
        <v>#VALUE!</v>
      </c>
    </row>
    <row r="4668" spans="1:5" x14ac:dyDescent="0.2">
      <c r="A4668" s="28">
        <v>4667</v>
      </c>
      <c r="B4668" s="28" t="e">
        <f>interpola(#REF!,CURVA!$B$6:$B$20,CURVA!$G$6:$G$20)</f>
        <v>#VALUE!</v>
      </c>
      <c r="C4668" s="29" t="e">
        <f t="shared" si="72"/>
        <v>#VALUE!</v>
      </c>
      <c r="E4668" t="e">
        <f>cubic_spline(CURVA!$B$6:$B$20,CURVA!$G$6:$G$20,#REF!)</f>
        <v>#VALUE!</v>
      </c>
    </row>
    <row r="4669" spans="1:5" x14ac:dyDescent="0.2">
      <c r="A4669" s="28">
        <v>4668</v>
      </c>
      <c r="B4669" s="28" t="e">
        <f>interpola(#REF!,CURVA!$B$6:$B$20,CURVA!$G$6:$G$20)</f>
        <v>#VALUE!</v>
      </c>
      <c r="C4669" s="29" t="e">
        <f t="shared" si="72"/>
        <v>#VALUE!</v>
      </c>
      <c r="E4669" t="e">
        <f>cubic_spline(CURVA!$B$6:$B$20,CURVA!$G$6:$G$20,#REF!)</f>
        <v>#VALUE!</v>
      </c>
    </row>
    <row r="4670" spans="1:5" x14ac:dyDescent="0.2">
      <c r="A4670" s="28">
        <v>4669</v>
      </c>
      <c r="B4670" s="28" t="e">
        <f>interpola(#REF!,CURVA!$B$6:$B$20,CURVA!$G$6:$G$20)</f>
        <v>#VALUE!</v>
      </c>
      <c r="C4670" s="29" t="e">
        <f t="shared" si="72"/>
        <v>#VALUE!</v>
      </c>
      <c r="E4670" t="e">
        <f>cubic_spline(CURVA!$B$6:$B$20,CURVA!$G$6:$G$20,#REF!)</f>
        <v>#VALUE!</v>
      </c>
    </row>
    <row r="4671" spans="1:5" x14ac:dyDescent="0.2">
      <c r="A4671" s="28">
        <v>4670</v>
      </c>
      <c r="B4671" s="28" t="e">
        <f>interpola(#REF!,CURVA!$B$6:$B$20,CURVA!$G$6:$G$20)</f>
        <v>#VALUE!</v>
      </c>
      <c r="C4671" s="29" t="e">
        <f t="shared" si="72"/>
        <v>#VALUE!</v>
      </c>
      <c r="E4671" t="e">
        <f>cubic_spline(CURVA!$B$6:$B$20,CURVA!$G$6:$G$20,#REF!)</f>
        <v>#VALUE!</v>
      </c>
    </row>
    <row r="4672" spans="1:5" x14ac:dyDescent="0.2">
      <c r="A4672" s="28">
        <v>4671</v>
      </c>
      <c r="B4672" s="28" t="e">
        <f>interpola(#REF!,CURVA!$B$6:$B$20,CURVA!$G$6:$G$20)</f>
        <v>#VALUE!</v>
      </c>
      <c r="C4672" s="29" t="e">
        <f t="shared" si="72"/>
        <v>#VALUE!</v>
      </c>
      <c r="E4672" t="e">
        <f>cubic_spline(CURVA!$B$6:$B$20,CURVA!$G$6:$G$20,#REF!)</f>
        <v>#VALUE!</v>
      </c>
    </row>
    <row r="4673" spans="1:5" x14ac:dyDescent="0.2">
      <c r="A4673" s="28">
        <v>4672</v>
      </c>
      <c r="B4673" s="28" t="e">
        <f>interpola(#REF!,CURVA!$B$6:$B$20,CURVA!$G$6:$G$20)</f>
        <v>#VALUE!</v>
      </c>
      <c r="C4673" s="29" t="e">
        <f t="shared" si="72"/>
        <v>#VALUE!</v>
      </c>
      <c r="E4673" t="e">
        <f>cubic_spline(CURVA!$B$6:$B$20,CURVA!$G$6:$G$20,#REF!)</f>
        <v>#VALUE!</v>
      </c>
    </row>
    <row r="4674" spans="1:5" x14ac:dyDescent="0.2">
      <c r="A4674" s="28">
        <v>4673</v>
      </c>
      <c r="B4674" s="28" t="e">
        <f>interpola(#REF!,CURVA!$B$6:$B$20,CURVA!$G$6:$G$20)</f>
        <v>#VALUE!</v>
      </c>
      <c r="C4674" s="29" t="e">
        <f t="shared" ref="C4674:C4737" si="73">(EXP(B4674*A4674/360)-1)*360/A4674</f>
        <v>#VALUE!</v>
      </c>
      <c r="E4674" t="e">
        <f>cubic_spline(CURVA!$B$6:$B$20,CURVA!$G$6:$G$20,#REF!)</f>
        <v>#VALUE!</v>
      </c>
    </row>
    <row r="4675" spans="1:5" x14ac:dyDescent="0.2">
      <c r="A4675" s="28">
        <v>4674</v>
      </c>
      <c r="B4675" s="28" t="e">
        <f>interpola(#REF!,CURVA!$B$6:$B$20,CURVA!$G$6:$G$20)</f>
        <v>#VALUE!</v>
      </c>
      <c r="C4675" s="29" t="e">
        <f t="shared" si="73"/>
        <v>#VALUE!</v>
      </c>
      <c r="E4675" t="e">
        <f>cubic_spline(CURVA!$B$6:$B$20,CURVA!$G$6:$G$20,#REF!)</f>
        <v>#VALUE!</v>
      </c>
    </row>
    <row r="4676" spans="1:5" x14ac:dyDescent="0.2">
      <c r="A4676" s="28">
        <v>4675</v>
      </c>
      <c r="B4676" s="28" t="e">
        <f>interpola(#REF!,CURVA!$B$6:$B$20,CURVA!$G$6:$G$20)</f>
        <v>#VALUE!</v>
      </c>
      <c r="C4676" s="29" t="e">
        <f t="shared" si="73"/>
        <v>#VALUE!</v>
      </c>
      <c r="E4676" t="e">
        <f>cubic_spline(CURVA!$B$6:$B$20,CURVA!$G$6:$G$20,#REF!)</f>
        <v>#VALUE!</v>
      </c>
    </row>
    <row r="4677" spans="1:5" x14ac:dyDescent="0.2">
      <c r="A4677" s="28">
        <v>4676</v>
      </c>
      <c r="B4677" s="28" t="e">
        <f>interpola(#REF!,CURVA!$B$6:$B$20,CURVA!$G$6:$G$20)</f>
        <v>#VALUE!</v>
      </c>
      <c r="C4677" s="29" t="e">
        <f t="shared" si="73"/>
        <v>#VALUE!</v>
      </c>
      <c r="E4677" t="e">
        <f>cubic_spline(CURVA!$B$6:$B$20,CURVA!$G$6:$G$20,#REF!)</f>
        <v>#VALUE!</v>
      </c>
    </row>
    <row r="4678" spans="1:5" x14ac:dyDescent="0.2">
      <c r="A4678" s="28">
        <v>4677</v>
      </c>
      <c r="B4678" s="28" t="e">
        <f>interpola(#REF!,CURVA!$B$6:$B$20,CURVA!$G$6:$G$20)</f>
        <v>#VALUE!</v>
      </c>
      <c r="C4678" s="29" t="e">
        <f t="shared" si="73"/>
        <v>#VALUE!</v>
      </c>
      <c r="E4678" t="e">
        <f>cubic_spline(CURVA!$B$6:$B$20,CURVA!$G$6:$G$20,#REF!)</f>
        <v>#VALUE!</v>
      </c>
    </row>
    <row r="4679" spans="1:5" x14ac:dyDescent="0.2">
      <c r="A4679" s="28">
        <v>4678</v>
      </c>
      <c r="B4679" s="28" t="e">
        <f>interpola(#REF!,CURVA!$B$6:$B$20,CURVA!$G$6:$G$20)</f>
        <v>#VALUE!</v>
      </c>
      <c r="C4679" s="29" t="e">
        <f t="shared" si="73"/>
        <v>#VALUE!</v>
      </c>
      <c r="E4679" t="e">
        <f>cubic_spline(CURVA!$B$6:$B$20,CURVA!$G$6:$G$20,#REF!)</f>
        <v>#VALUE!</v>
      </c>
    </row>
    <row r="4680" spans="1:5" x14ac:dyDescent="0.2">
      <c r="A4680" s="28">
        <v>4679</v>
      </c>
      <c r="B4680" s="28" t="e">
        <f>interpola(#REF!,CURVA!$B$6:$B$20,CURVA!$G$6:$G$20)</f>
        <v>#VALUE!</v>
      </c>
      <c r="C4680" s="29" t="e">
        <f t="shared" si="73"/>
        <v>#VALUE!</v>
      </c>
      <c r="E4680" t="e">
        <f>cubic_spline(CURVA!$B$6:$B$20,CURVA!$G$6:$G$20,#REF!)</f>
        <v>#VALUE!</v>
      </c>
    </row>
    <row r="4681" spans="1:5" x14ac:dyDescent="0.2">
      <c r="A4681" s="28">
        <v>4680</v>
      </c>
      <c r="B4681" s="28" t="e">
        <f>interpola(#REF!,CURVA!$B$6:$B$20,CURVA!$G$6:$G$20)</f>
        <v>#VALUE!</v>
      </c>
      <c r="C4681" s="29" t="e">
        <f t="shared" si="73"/>
        <v>#VALUE!</v>
      </c>
      <c r="E4681" t="e">
        <f>cubic_spline(CURVA!$B$6:$B$20,CURVA!$G$6:$G$20,#REF!)</f>
        <v>#VALUE!</v>
      </c>
    </row>
    <row r="4682" spans="1:5" x14ac:dyDescent="0.2">
      <c r="A4682" s="28">
        <v>4681</v>
      </c>
      <c r="B4682" s="28" t="e">
        <f>interpola(#REF!,CURVA!$B$6:$B$20,CURVA!$G$6:$G$20)</f>
        <v>#VALUE!</v>
      </c>
      <c r="C4682" s="29" t="e">
        <f t="shared" si="73"/>
        <v>#VALUE!</v>
      </c>
      <c r="E4682" t="e">
        <f>cubic_spline(CURVA!$B$6:$B$20,CURVA!$G$6:$G$20,#REF!)</f>
        <v>#VALUE!</v>
      </c>
    </row>
    <row r="4683" spans="1:5" x14ac:dyDescent="0.2">
      <c r="A4683" s="28">
        <v>4682</v>
      </c>
      <c r="B4683" s="28" t="e">
        <f>interpola(#REF!,CURVA!$B$6:$B$20,CURVA!$G$6:$G$20)</f>
        <v>#VALUE!</v>
      </c>
      <c r="C4683" s="29" t="e">
        <f t="shared" si="73"/>
        <v>#VALUE!</v>
      </c>
      <c r="E4683" t="e">
        <f>cubic_spline(CURVA!$B$6:$B$20,CURVA!$G$6:$G$20,#REF!)</f>
        <v>#VALUE!</v>
      </c>
    </row>
    <row r="4684" spans="1:5" x14ac:dyDescent="0.2">
      <c r="A4684" s="28">
        <v>4683</v>
      </c>
      <c r="B4684" s="28" t="e">
        <f>interpola(#REF!,CURVA!$B$6:$B$20,CURVA!$G$6:$G$20)</f>
        <v>#VALUE!</v>
      </c>
      <c r="C4684" s="29" t="e">
        <f t="shared" si="73"/>
        <v>#VALUE!</v>
      </c>
      <c r="E4684" t="e">
        <f>cubic_spline(CURVA!$B$6:$B$20,CURVA!$G$6:$G$20,#REF!)</f>
        <v>#VALUE!</v>
      </c>
    </row>
    <row r="4685" spans="1:5" x14ac:dyDescent="0.2">
      <c r="A4685" s="28">
        <v>4684</v>
      </c>
      <c r="B4685" s="28" t="e">
        <f>interpola(#REF!,CURVA!$B$6:$B$20,CURVA!$G$6:$G$20)</f>
        <v>#VALUE!</v>
      </c>
      <c r="C4685" s="29" t="e">
        <f t="shared" si="73"/>
        <v>#VALUE!</v>
      </c>
      <c r="E4685" t="e">
        <f>cubic_spline(CURVA!$B$6:$B$20,CURVA!$G$6:$G$20,#REF!)</f>
        <v>#VALUE!</v>
      </c>
    </row>
    <row r="4686" spans="1:5" x14ac:dyDescent="0.2">
      <c r="A4686" s="28">
        <v>4685</v>
      </c>
      <c r="B4686" s="28" t="e">
        <f>interpola(#REF!,CURVA!$B$6:$B$20,CURVA!$G$6:$G$20)</f>
        <v>#VALUE!</v>
      </c>
      <c r="C4686" s="29" t="e">
        <f t="shared" si="73"/>
        <v>#VALUE!</v>
      </c>
      <c r="E4686" t="e">
        <f>cubic_spline(CURVA!$B$6:$B$20,CURVA!$G$6:$G$20,#REF!)</f>
        <v>#VALUE!</v>
      </c>
    </row>
    <row r="4687" spans="1:5" x14ac:dyDescent="0.2">
      <c r="A4687" s="28">
        <v>4686</v>
      </c>
      <c r="B4687" s="28" t="e">
        <f>interpola(#REF!,CURVA!$B$6:$B$20,CURVA!$G$6:$G$20)</f>
        <v>#VALUE!</v>
      </c>
      <c r="C4687" s="29" t="e">
        <f t="shared" si="73"/>
        <v>#VALUE!</v>
      </c>
      <c r="E4687" t="e">
        <f>cubic_spline(CURVA!$B$6:$B$20,CURVA!$G$6:$G$20,#REF!)</f>
        <v>#VALUE!</v>
      </c>
    </row>
    <row r="4688" spans="1:5" x14ac:dyDescent="0.2">
      <c r="A4688" s="28">
        <v>4687</v>
      </c>
      <c r="B4688" s="28" t="e">
        <f>interpola(#REF!,CURVA!$B$6:$B$20,CURVA!$G$6:$G$20)</f>
        <v>#VALUE!</v>
      </c>
      <c r="C4688" s="29" t="e">
        <f t="shared" si="73"/>
        <v>#VALUE!</v>
      </c>
      <c r="E4688" t="e">
        <f>cubic_spline(CURVA!$B$6:$B$20,CURVA!$G$6:$G$20,#REF!)</f>
        <v>#VALUE!</v>
      </c>
    </row>
    <row r="4689" spans="1:5" x14ac:dyDescent="0.2">
      <c r="A4689" s="28">
        <v>4688</v>
      </c>
      <c r="B4689" s="28" t="e">
        <f>interpola(#REF!,CURVA!$B$6:$B$20,CURVA!$G$6:$G$20)</f>
        <v>#VALUE!</v>
      </c>
      <c r="C4689" s="29" t="e">
        <f t="shared" si="73"/>
        <v>#VALUE!</v>
      </c>
      <c r="E4689" t="e">
        <f>cubic_spline(CURVA!$B$6:$B$20,CURVA!$G$6:$G$20,#REF!)</f>
        <v>#VALUE!</v>
      </c>
    </row>
    <row r="4690" spans="1:5" x14ac:dyDescent="0.2">
      <c r="A4690" s="28">
        <v>4689</v>
      </c>
      <c r="B4690" s="28" t="e">
        <f>interpola(#REF!,CURVA!$B$6:$B$20,CURVA!$G$6:$G$20)</f>
        <v>#VALUE!</v>
      </c>
      <c r="C4690" s="29" t="e">
        <f t="shared" si="73"/>
        <v>#VALUE!</v>
      </c>
      <c r="E4690" t="e">
        <f>cubic_spline(CURVA!$B$6:$B$20,CURVA!$G$6:$G$20,#REF!)</f>
        <v>#VALUE!</v>
      </c>
    </row>
    <row r="4691" spans="1:5" x14ac:dyDescent="0.2">
      <c r="A4691" s="28">
        <v>4690</v>
      </c>
      <c r="B4691" s="28" t="e">
        <f>interpola(#REF!,CURVA!$B$6:$B$20,CURVA!$G$6:$G$20)</f>
        <v>#VALUE!</v>
      </c>
      <c r="C4691" s="29" t="e">
        <f t="shared" si="73"/>
        <v>#VALUE!</v>
      </c>
      <c r="E4691" t="e">
        <f>cubic_spline(CURVA!$B$6:$B$20,CURVA!$G$6:$G$20,#REF!)</f>
        <v>#VALUE!</v>
      </c>
    </row>
    <row r="4692" spans="1:5" x14ac:dyDescent="0.2">
      <c r="A4692" s="28">
        <v>4691</v>
      </c>
      <c r="B4692" s="28" t="e">
        <f>interpola(#REF!,CURVA!$B$6:$B$20,CURVA!$G$6:$G$20)</f>
        <v>#VALUE!</v>
      </c>
      <c r="C4692" s="29" t="e">
        <f t="shared" si="73"/>
        <v>#VALUE!</v>
      </c>
      <c r="E4692" t="e">
        <f>cubic_spline(CURVA!$B$6:$B$20,CURVA!$G$6:$G$20,#REF!)</f>
        <v>#VALUE!</v>
      </c>
    </row>
    <row r="4693" spans="1:5" x14ac:dyDescent="0.2">
      <c r="A4693" s="28">
        <v>4692</v>
      </c>
      <c r="B4693" s="28" t="e">
        <f>interpola(#REF!,CURVA!$B$6:$B$20,CURVA!$G$6:$G$20)</f>
        <v>#VALUE!</v>
      </c>
      <c r="C4693" s="29" t="e">
        <f t="shared" si="73"/>
        <v>#VALUE!</v>
      </c>
      <c r="E4693" t="e">
        <f>cubic_spline(CURVA!$B$6:$B$20,CURVA!$G$6:$G$20,#REF!)</f>
        <v>#VALUE!</v>
      </c>
    </row>
    <row r="4694" spans="1:5" x14ac:dyDescent="0.2">
      <c r="A4694" s="28">
        <v>4693</v>
      </c>
      <c r="B4694" s="28" t="e">
        <f>interpola(#REF!,CURVA!$B$6:$B$20,CURVA!$G$6:$G$20)</f>
        <v>#VALUE!</v>
      </c>
      <c r="C4694" s="29" t="e">
        <f t="shared" si="73"/>
        <v>#VALUE!</v>
      </c>
      <c r="E4694" t="e">
        <f>cubic_spline(CURVA!$B$6:$B$20,CURVA!$G$6:$G$20,#REF!)</f>
        <v>#VALUE!</v>
      </c>
    </row>
    <row r="4695" spans="1:5" x14ac:dyDescent="0.2">
      <c r="A4695" s="28">
        <v>4694</v>
      </c>
      <c r="B4695" s="28" t="e">
        <f>interpola(#REF!,CURVA!$B$6:$B$20,CURVA!$G$6:$G$20)</f>
        <v>#VALUE!</v>
      </c>
      <c r="C4695" s="29" t="e">
        <f t="shared" si="73"/>
        <v>#VALUE!</v>
      </c>
      <c r="E4695" t="e">
        <f>cubic_spline(CURVA!$B$6:$B$20,CURVA!$G$6:$G$20,#REF!)</f>
        <v>#VALUE!</v>
      </c>
    </row>
    <row r="4696" spans="1:5" x14ac:dyDescent="0.2">
      <c r="A4696" s="28">
        <v>4695</v>
      </c>
      <c r="B4696" s="28" t="e">
        <f>interpola(#REF!,CURVA!$B$6:$B$20,CURVA!$G$6:$G$20)</f>
        <v>#VALUE!</v>
      </c>
      <c r="C4696" s="29" t="e">
        <f t="shared" si="73"/>
        <v>#VALUE!</v>
      </c>
      <c r="E4696" t="e">
        <f>cubic_spline(CURVA!$B$6:$B$20,CURVA!$G$6:$G$20,#REF!)</f>
        <v>#VALUE!</v>
      </c>
    </row>
    <row r="4697" spans="1:5" x14ac:dyDescent="0.2">
      <c r="A4697" s="28">
        <v>4696</v>
      </c>
      <c r="B4697" s="28" t="e">
        <f>interpola(#REF!,CURVA!$B$6:$B$20,CURVA!$G$6:$G$20)</f>
        <v>#VALUE!</v>
      </c>
      <c r="C4697" s="29" t="e">
        <f t="shared" si="73"/>
        <v>#VALUE!</v>
      </c>
      <c r="E4697" t="e">
        <f>cubic_spline(CURVA!$B$6:$B$20,CURVA!$G$6:$G$20,#REF!)</f>
        <v>#VALUE!</v>
      </c>
    </row>
    <row r="4698" spans="1:5" x14ac:dyDescent="0.2">
      <c r="A4698" s="28">
        <v>4697</v>
      </c>
      <c r="B4698" s="28" t="e">
        <f>interpola(#REF!,CURVA!$B$6:$B$20,CURVA!$G$6:$G$20)</f>
        <v>#VALUE!</v>
      </c>
      <c r="C4698" s="29" t="e">
        <f t="shared" si="73"/>
        <v>#VALUE!</v>
      </c>
      <c r="E4698" t="e">
        <f>cubic_spline(CURVA!$B$6:$B$20,CURVA!$G$6:$G$20,#REF!)</f>
        <v>#VALUE!</v>
      </c>
    </row>
    <row r="4699" spans="1:5" x14ac:dyDescent="0.2">
      <c r="A4699" s="28">
        <v>4698</v>
      </c>
      <c r="B4699" s="28" t="e">
        <f>interpola(#REF!,CURVA!$B$6:$B$20,CURVA!$G$6:$G$20)</f>
        <v>#VALUE!</v>
      </c>
      <c r="C4699" s="29" t="e">
        <f t="shared" si="73"/>
        <v>#VALUE!</v>
      </c>
      <c r="E4699" t="e">
        <f>cubic_spline(CURVA!$B$6:$B$20,CURVA!$G$6:$G$20,#REF!)</f>
        <v>#VALUE!</v>
      </c>
    </row>
    <row r="4700" spans="1:5" x14ac:dyDescent="0.2">
      <c r="A4700" s="28">
        <v>4699</v>
      </c>
      <c r="B4700" s="28" t="e">
        <f>interpola(#REF!,CURVA!$B$6:$B$20,CURVA!$G$6:$G$20)</f>
        <v>#VALUE!</v>
      </c>
      <c r="C4700" s="29" t="e">
        <f t="shared" si="73"/>
        <v>#VALUE!</v>
      </c>
      <c r="E4700" t="e">
        <f>cubic_spline(CURVA!$B$6:$B$20,CURVA!$G$6:$G$20,#REF!)</f>
        <v>#VALUE!</v>
      </c>
    </row>
    <row r="4701" spans="1:5" x14ac:dyDescent="0.2">
      <c r="A4701" s="28">
        <v>4700</v>
      </c>
      <c r="B4701" s="28" t="e">
        <f>interpola(#REF!,CURVA!$B$6:$B$20,CURVA!$G$6:$G$20)</f>
        <v>#VALUE!</v>
      </c>
      <c r="C4701" s="29" t="e">
        <f t="shared" si="73"/>
        <v>#VALUE!</v>
      </c>
      <c r="E4701" t="e">
        <f>cubic_spline(CURVA!$B$6:$B$20,CURVA!$G$6:$G$20,#REF!)</f>
        <v>#VALUE!</v>
      </c>
    </row>
    <row r="4702" spans="1:5" x14ac:dyDescent="0.2">
      <c r="A4702" s="28">
        <v>4701</v>
      </c>
      <c r="B4702" s="28" t="e">
        <f>interpola(#REF!,CURVA!$B$6:$B$20,CURVA!$G$6:$G$20)</f>
        <v>#VALUE!</v>
      </c>
      <c r="C4702" s="29" t="e">
        <f t="shared" si="73"/>
        <v>#VALUE!</v>
      </c>
      <c r="E4702" t="e">
        <f>cubic_spline(CURVA!$B$6:$B$20,CURVA!$G$6:$G$20,#REF!)</f>
        <v>#VALUE!</v>
      </c>
    </row>
    <row r="4703" spans="1:5" x14ac:dyDescent="0.2">
      <c r="A4703" s="28">
        <v>4702</v>
      </c>
      <c r="B4703" s="28" t="e">
        <f>interpola(#REF!,CURVA!$B$6:$B$20,CURVA!$G$6:$G$20)</f>
        <v>#VALUE!</v>
      </c>
      <c r="C4703" s="29" t="e">
        <f t="shared" si="73"/>
        <v>#VALUE!</v>
      </c>
      <c r="E4703" t="e">
        <f>cubic_spline(CURVA!$B$6:$B$20,CURVA!$G$6:$G$20,#REF!)</f>
        <v>#VALUE!</v>
      </c>
    </row>
    <row r="4704" spans="1:5" x14ac:dyDescent="0.2">
      <c r="A4704" s="28">
        <v>4703</v>
      </c>
      <c r="B4704" s="28" t="e">
        <f>interpola(#REF!,CURVA!$B$6:$B$20,CURVA!$G$6:$G$20)</f>
        <v>#VALUE!</v>
      </c>
      <c r="C4704" s="29" t="e">
        <f t="shared" si="73"/>
        <v>#VALUE!</v>
      </c>
      <c r="E4704" t="e">
        <f>cubic_spline(CURVA!$B$6:$B$20,CURVA!$G$6:$G$20,#REF!)</f>
        <v>#VALUE!</v>
      </c>
    </row>
    <row r="4705" spans="1:5" x14ac:dyDescent="0.2">
      <c r="A4705" s="28">
        <v>4704</v>
      </c>
      <c r="B4705" s="28" t="e">
        <f>interpola(#REF!,CURVA!$B$6:$B$20,CURVA!$G$6:$G$20)</f>
        <v>#VALUE!</v>
      </c>
      <c r="C4705" s="29" t="e">
        <f t="shared" si="73"/>
        <v>#VALUE!</v>
      </c>
      <c r="E4705" t="e">
        <f>cubic_spline(CURVA!$B$6:$B$20,CURVA!$G$6:$G$20,#REF!)</f>
        <v>#VALUE!</v>
      </c>
    </row>
    <row r="4706" spans="1:5" x14ac:dyDescent="0.2">
      <c r="A4706" s="28">
        <v>4705</v>
      </c>
      <c r="B4706" s="28" t="e">
        <f>interpola(#REF!,CURVA!$B$6:$B$20,CURVA!$G$6:$G$20)</f>
        <v>#VALUE!</v>
      </c>
      <c r="C4706" s="29" t="e">
        <f t="shared" si="73"/>
        <v>#VALUE!</v>
      </c>
      <c r="E4706" t="e">
        <f>cubic_spline(CURVA!$B$6:$B$20,CURVA!$G$6:$G$20,#REF!)</f>
        <v>#VALUE!</v>
      </c>
    </row>
    <row r="4707" spans="1:5" x14ac:dyDescent="0.2">
      <c r="A4707" s="28">
        <v>4706</v>
      </c>
      <c r="B4707" s="28" t="e">
        <f>interpola(#REF!,CURVA!$B$6:$B$20,CURVA!$G$6:$G$20)</f>
        <v>#VALUE!</v>
      </c>
      <c r="C4707" s="29" t="e">
        <f t="shared" si="73"/>
        <v>#VALUE!</v>
      </c>
      <c r="E4707" t="e">
        <f>cubic_spline(CURVA!$B$6:$B$20,CURVA!$G$6:$G$20,#REF!)</f>
        <v>#VALUE!</v>
      </c>
    </row>
    <row r="4708" spans="1:5" x14ac:dyDescent="0.2">
      <c r="A4708" s="28">
        <v>4707</v>
      </c>
      <c r="B4708" s="28" t="e">
        <f>interpola(#REF!,CURVA!$B$6:$B$20,CURVA!$G$6:$G$20)</f>
        <v>#VALUE!</v>
      </c>
      <c r="C4708" s="29" t="e">
        <f t="shared" si="73"/>
        <v>#VALUE!</v>
      </c>
      <c r="E4708" t="e">
        <f>cubic_spline(CURVA!$B$6:$B$20,CURVA!$G$6:$G$20,#REF!)</f>
        <v>#VALUE!</v>
      </c>
    </row>
    <row r="4709" spans="1:5" x14ac:dyDescent="0.2">
      <c r="A4709" s="28">
        <v>4708</v>
      </c>
      <c r="B4709" s="28" t="e">
        <f>interpola(#REF!,CURVA!$B$6:$B$20,CURVA!$G$6:$G$20)</f>
        <v>#VALUE!</v>
      </c>
      <c r="C4709" s="29" t="e">
        <f t="shared" si="73"/>
        <v>#VALUE!</v>
      </c>
      <c r="E4709" t="e">
        <f>cubic_spline(CURVA!$B$6:$B$20,CURVA!$G$6:$G$20,#REF!)</f>
        <v>#VALUE!</v>
      </c>
    </row>
    <row r="4710" spans="1:5" x14ac:dyDescent="0.2">
      <c r="A4710" s="28">
        <v>4709</v>
      </c>
      <c r="B4710" s="28" t="e">
        <f>interpola(#REF!,CURVA!$B$6:$B$20,CURVA!$G$6:$G$20)</f>
        <v>#VALUE!</v>
      </c>
      <c r="C4710" s="29" t="e">
        <f t="shared" si="73"/>
        <v>#VALUE!</v>
      </c>
      <c r="E4710" t="e">
        <f>cubic_spline(CURVA!$B$6:$B$20,CURVA!$G$6:$G$20,#REF!)</f>
        <v>#VALUE!</v>
      </c>
    </row>
    <row r="4711" spans="1:5" x14ac:dyDescent="0.2">
      <c r="A4711" s="28">
        <v>4710</v>
      </c>
      <c r="B4711" s="28" t="e">
        <f>interpola(#REF!,CURVA!$B$6:$B$20,CURVA!$G$6:$G$20)</f>
        <v>#VALUE!</v>
      </c>
      <c r="C4711" s="29" t="e">
        <f t="shared" si="73"/>
        <v>#VALUE!</v>
      </c>
      <c r="E4711" t="e">
        <f>cubic_spline(CURVA!$B$6:$B$20,CURVA!$G$6:$G$20,#REF!)</f>
        <v>#VALUE!</v>
      </c>
    </row>
    <row r="4712" spans="1:5" x14ac:dyDescent="0.2">
      <c r="A4712" s="28">
        <v>4711</v>
      </c>
      <c r="B4712" s="28" t="e">
        <f>interpola(#REF!,CURVA!$B$6:$B$20,CURVA!$G$6:$G$20)</f>
        <v>#VALUE!</v>
      </c>
      <c r="C4712" s="29" t="e">
        <f t="shared" si="73"/>
        <v>#VALUE!</v>
      </c>
      <c r="E4712" t="e">
        <f>cubic_spline(CURVA!$B$6:$B$20,CURVA!$G$6:$G$20,#REF!)</f>
        <v>#VALUE!</v>
      </c>
    </row>
    <row r="4713" spans="1:5" x14ac:dyDescent="0.2">
      <c r="A4713" s="28">
        <v>4712</v>
      </c>
      <c r="B4713" s="28" t="e">
        <f>interpola(#REF!,CURVA!$B$6:$B$20,CURVA!$G$6:$G$20)</f>
        <v>#VALUE!</v>
      </c>
      <c r="C4713" s="29" t="e">
        <f t="shared" si="73"/>
        <v>#VALUE!</v>
      </c>
      <c r="E4713" t="e">
        <f>cubic_spline(CURVA!$B$6:$B$20,CURVA!$G$6:$G$20,#REF!)</f>
        <v>#VALUE!</v>
      </c>
    </row>
    <row r="4714" spans="1:5" x14ac:dyDescent="0.2">
      <c r="A4714" s="28">
        <v>4713</v>
      </c>
      <c r="B4714" s="28" t="e">
        <f>interpola(#REF!,CURVA!$B$6:$B$20,CURVA!$G$6:$G$20)</f>
        <v>#VALUE!</v>
      </c>
      <c r="C4714" s="29" t="e">
        <f t="shared" si="73"/>
        <v>#VALUE!</v>
      </c>
      <c r="E4714" t="e">
        <f>cubic_spline(CURVA!$B$6:$B$20,CURVA!$G$6:$G$20,#REF!)</f>
        <v>#VALUE!</v>
      </c>
    </row>
    <row r="4715" spans="1:5" x14ac:dyDescent="0.2">
      <c r="A4715" s="28">
        <v>4714</v>
      </c>
      <c r="B4715" s="28" t="e">
        <f>interpola(#REF!,CURVA!$B$6:$B$20,CURVA!$G$6:$G$20)</f>
        <v>#VALUE!</v>
      </c>
      <c r="C4715" s="29" t="e">
        <f t="shared" si="73"/>
        <v>#VALUE!</v>
      </c>
      <c r="E4715" t="e">
        <f>cubic_spline(CURVA!$B$6:$B$20,CURVA!$G$6:$G$20,#REF!)</f>
        <v>#VALUE!</v>
      </c>
    </row>
    <row r="4716" spans="1:5" x14ac:dyDescent="0.2">
      <c r="A4716" s="28">
        <v>4715</v>
      </c>
      <c r="B4716" s="28" t="e">
        <f>interpola(#REF!,CURVA!$B$6:$B$20,CURVA!$G$6:$G$20)</f>
        <v>#VALUE!</v>
      </c>
      <c r="C4716" s="29" t="e">
        <f t="shared" si="73"/>
        <v>#VALUE!</v>
      </c>
      <c r="E4716" t="e">
        <f>cubic_spline(CURVA!$B$6:$B$20,CURVA!$G$6:$G$20,#REF!)</f>
        <v>#VALUE!</v>
      </c>
    </row>
    <row r="4717" spans="1:5" x14ac:dyDescent="0.2">
      <c r="A4717" s="28">
        <v>4716</v>
      </c>
      <c r="B4717" s="28" t="e">
        <f>interpola(#REF!,CURVA!$B$6:$B$20,CURVA!$G$6:$G$20)</f>
        <v>#VALUE!</v>
      </c>
      <c r="C4717" s="29" t="e">
        <f t="shared" si="73"/>
        <v>#VALUE!</v>
      </c>
      <c r="E4717" t="e">
        <f>cubic_spline(CURVA!$B$6:$B$20,CURVA!$G$6:$G$20,#REF!)</f>
        <v>#VALUE!</v>
      </c>
    </row>
    <row r="4718" spans="1:5" x14ac:dyDescent="0.2">
      <c r="A4718" s="28">
        <v>4717</v>
      </c>
      <c r="B4718" s="28" t="e">
        <f>interpola(#REF!,CURVA!$B$6:$B$20,CURVA!$G$6:$G$20)</f>
        <v>#VALUE!</v>
      </c>
      <c r="C4718" s="29" t="e">
        <f t="shared" si="73"/>
        <v>#VALUE!</v>
      </c>
      <c r="E4718" t="e">
        <f>cubic_spline(CURVA!$B$6:$B$20,CURVA!$G$6:$G$20,#REF!)</f>
        <v>#VALUE!</v>
      </c>
    </row>
    <row r="4719" spans="1:5" x14ac:dyDescent="0.2">
      <c r="A4719" s="28">
        <v>4718</v>
      </c>
      <c r="B4719" s="28" t="e">
        <f>interpola(#REF!,CURVA!$B$6:$B$20,CURVA!$G$6:$G$20)</f>
        <v>#VALUE!</v>
      </c>
      <c r="C4719" s="29" t="e">
        <f t="shared" si="73"/>
        <v>#VALUE!</v>
      </c>
      <c r="E4719" t="e">
        <f>cubic_spline(CURVA!$B$6:$B$20,CURVA!$G$6:$G$20,#REF!)</f>
        <v>#VALUE!</v>
      </c>
    </row>
    <row r="4720" spans="1:5" x14ac:dyDescent="0.2">
      <c r="A4720" s="28">
        <v>4719</v>
      </c>
      <c r="B4720" s="28" t="e">
        <f>interpola(#REF!,CURVA!$B$6:$B$20,CURVA!$G$6:$G$20)</f>
        <v>#VALUE!</v>
      </c>
      <c r="C4720" s="29" t="e">
        <f t="shared" si="73"/>
        <v>#VALUE!</v>
      </c>
      <c r="E4720" t="e">
        <f>cubic_spline(CURVA!$B$6:$B$20,CURVA!$G$6:$G$20,#REF!)</f>
        <v>#VALUE!</v>
      </c>
    </row>
    <row r="4721" spans="1:5" x14ac:dyDescent="0.2">
      <c r="A4721" s="28">
        <v>4720</v>
      </c>
      <c r="B4721" s="28" t="e">
        <f>interpola(#REF!,CURVA!$B$6:$B$20,CURVA!$G$6:$G$20)</f>
        <v>#VALUE!</v>
      </c>
      <c r="C4721" s="29" t="e">
        <f t="shared" si="73"/>
        <v>#VALUE!</v>
      </c>
      <c r="E4721" t="e">
        <f>cubic_spline(CURVA!$B$6:$B$20,CURVA!$G$6:$G$20,#REF!)</f>
        <v>#VALUE!</v>
      </c>
    </row>
    <row r="4722" spans="1:5" x14ac:dyDescent="0.2">
      <c r="A4722" s="28">
        <v>4721</v>
      </c>
      <c r="B4722" s="28" t="e">
        <f>interpola(#REF!,CURVA!$B$6:$B$20,CURVA!$G$6:$G$20)</f>
        <v>#VALUE!</v>
      </c>
      <c r="C4722" s="29" t="e">
        <f t="shared" si="73"/>
        <v>#VALUE!</v>
      </c>
      <c r="E4722" t="e">
        <f>cubic_spline(CURVA!$B$6:$B$20,CURVA!$G$6:$G$20,#REF!)</f>
        <v>#VALUE!</v>
      </c>
    </row>
    <row r="4723" spans="1:5" x14ac:dyDescent="0.2">
      <c r="A4723" s="28">
        <v>4722</v>
      </c>
      <c r="B4723" s="28" t="e">
        <f>interpola(#REF!,CURVA!$B$6:$B$20,CURVA!$G$6:$G$20)</f>
        <v>#VALUE!</v>
      </c>
      <c r="C4723" s="29" t="e">
        <f t="shared" si="73"/>
        <v>#VALUE!</v>
      </c>
      <c r="E4723" t="e">
        <f>cubic_spline(CURVA!$B$6:$B$20,CURVA!$G$6:$G$20,#REF!)</f>
        <v>#VALUE!</v>
      </c>
    </row>
    <row r="4724" spans="1:5" x14ac:dyDescent="0.2">
      <c r="A4724" s="28">
        <v>4723</v>
      </c>
      <c r="B4724" s="28" t="e">
        <f>interpola(#REF!,CURVA!$B$6:$B$20,CURVA!$G$6:$G$20)</f>
        <v>#VALUE!</v>
      </c>
      <c r="C4724" s="29" t="e">
        <f t="shared" si="73"/>
        <v>#VALUE!</v>
      </c>
      <c r="E4724" t="e">
        <f>cubic_spline(CURVA!$B$6:$B$20,CURVA!$G$6:$G$20,#REF!)</f>
        <v>#VALUE!</v>
      </c>
    </row>
    <row r="4725" spans="1:5" x14ac:dyDescent="0.2">
      <c r="A4725" s="28">
        <v>4724</v>
      </c>
      <c r="B4725" s="28" t="e">
        <f>interpola(#REF!,CURVA!$B$6:$B$20,CURVA!$G$6:$G$20)</f>
        <v>#VALUE!</v>
      </c>
      <c r="C4725" s="29" t="e">
        <f t="shared" si="73"/>
        <v>#VALUE!</v>
      </c>
      <c r="E4725" t="e">
        <f>cubic_spline(CURVA!$B$6:$B$20,CURVA!$G$6:$G$20,#REF!)</f>
        <v>#VALUE!</v>
      </c>
    </row>
    <row r="4726" spans="1:5" x14ac:dyDescent="0.2">
      <c r="A4726" s="28">
        <v>4725</v>
      </c>
      <c r="B4726" s="28" t="e">
        <f>interpola(#REF!,CURVA!$B$6:$B$20,CURVA!$G$6:$G$20)</f>
        <v>#VALUE!</v>
      </c>
      <c r="C4726" s="29" t="e">
        <f t="shared" si="73"/>
        <v>#VALUE!</v>
      </c>
      <c r="E4726" t="e">
        <f>cubic_spline(CURVA!$B$6:$B$20,CURVA!$G$6:$G$20,#REF!)</f>
        <v>#VALUE!</v>
      </c>
    </row>
    <row r="4727" spans="1:5" x14ac:dyDescent="0.2">
      <c r="A4727" s="28">
        <v>4726</v>
      </c>
      <c r="B4727" s="28" t="e">
        <f>interpola(#REF!,CURVA!$B$6:$B$20,CURVA!$G$6:$G$20)</f>
        <v>#VALUE!</v>
      </c>
      <c r="C4727" s="29" t="e">
        <f t="shared" si="73"/>
        <v>#VALUE!</v>
      </c>
      <c r="E4727" t="e">
        <f>cubic_spline(CURVA!$B$6:$B$20,CURVA!$G$6:$G$20,#REF!)</f>
        <v>#VALUE!</v>
      </c>
    </row>
    <row r="4728" spans="1:5" x14ac:dyDescent="0.2">
      <c r="A4728" s="28">
        <v>4727</v>
      </c>
      <c r="B4728" s="28" t="e">
        <f>interpola(#REF!,CURVA!$B$6:$B$20,CURVA!$G$6:$G$20)</f>
        <v>#VALUE!</v>
      </c>
      <c r="C4728" s="29" t="e">
        <f t="shared" si="73"/>
        <v>#VALUE!</v>
      </c>
      <c r="E4728" t="e">
        <f>cubic_spline(CURVA!$B$6:$B$20,CURVA!$G$6:$G$20,#REF!)</f>
        <v>#VALUE!</v>
      </c>
    </row>
    <row r="4729" spans="1:5" x14ac:dyDescent="0.2">
      <c r="A4729" s="28">
        <v>4728</v>
      </c>
      <c r="B4729" s="28" t="e">
        <f>interpola(#REF!,CURVA!$B$6:$B$20,CURVA!$G$6:$G$20)</f>
        <v>#VALUE!</v>
      </c>
      <c r="C4729" s="29" t="e">
        <f t="shared" si="73"/>
        <v>#VALUE!</v>
      </c>
      <c r="E4729" t="e">
        <f>cubic_spline(CURVA!$B$6:$B$20,CURVA!$G$6:$G$20,#REF!)</f>
        <v>#VALUE!</v>
      </c>
    </row>
    <row r="4730" spans="1:5" x14ac:dyDescent="0.2">
      <c r="A4730" s="28">
        <v>4729</v>
      </c>
      <c r="B4730" s="28" t="e">
        <f>interpola(#REF!,CURVA!$B$6:$B$20,CURVA!$G$6:$G$20)</f>
        <v>#VALUE!</v>
      </c>
      <c r="C4730" s="29" t="e">
        <f t="shared" si="73"/>
        <v>#VALUE!</v>
      </c>
      <c r="E4730" t="e">
        <f>cubic_spline(CURVA!$B$6:$B$20,CURVA!$G$6:$G$20,#REF!)</f>
        <v>#VALUE!</v>
      </c>
    </row>
    <row r="4731" spans="1:5" x14ac:dyDescent="0.2">
      <c r="A4731" s="28">
        <v>4730</v>
      </c>
      <c r="B4731" s="28" t="e">
        <f>interpola(#REF!,CURVA!$B$6:$B$20,CURVA!$G$6:$G$20)</f>
        <v>#VALUE!</v>
      </c>
      <c r="C4731" s="29" t="e">
        <f t="shared" si="73"/>
        <v>#VALUE!</v>
      </c>
      <c r="E4731" t="e">
        <f>cubic_spline(CURVA!$B$6:$B$20,CURVA!$G$6:$G$20,#REF!)</f>
        <v>#VALUE!</v>
      </c>
    </row>
    <row r="4732" spans="1:5" x14ac:dyDescent="0.2">
      <c r="A4732" s="28">
        <v>4731</v>
      </c>
      <c r="B4732" s="28" t="e">
        <f>interpola(#REF!,CURVA!$B$6:$B$20,CURVA!$G$6:$G$20)</f>
        <v>#VALUE!</v>
      </c>
      <c r="C4732" s="29" t="e">
        <f t="shared" si="73"/>
        <v>#VALUE!</v>
      </c>
      <c r="E4732" t="e">
        <f>cubic_spline(CURVA!$B$6:$B$20,CURVA!$G$6:$G$20,#REF!)</f>
        <v>#VALUE!</v>
      </c>
    </row>
    <row r="4733" spans="1:5" x14ac:dyDescent="0.2">
      <c r="A4733" s="28">
        <v>4732</v>
      </c>
      <c r="B4733" s="28" t="e">
        <f>interpola(#REF!,CURVA!$B$6:$B$20,CURVA!$G$6:$G$20)</f>
        <v>#VALUE!</v>
      </c>
      <c r="C4733" s="29" t="e">
        <f t="shared" si="73"/>
        <v>#VALUE!</v>
      </c>
      <c r="E4733" t="e">
        <f>cubic_spline(CURVA!$B$6:$B$20,CURVA!$G$6:$G$20,#REF!)</f>
        <v>#VALUE!</v>
      </c>
    </row>
    <row r="4734" spans="1:5" x14ac:dyDescent="0.2">
      <c r="A4734" s="28">
        <v>4733</v>
      </c>
      <c r="B4734" s="28" t="e">
        <f>interpola(#REF!,CURVA!$B$6:$B$20,CURVA!$G$6:$G$20)</f>
        <v>#VALUE!</v>
      </c>
      <c r="C4734" s="29" t="e">
        <f t="shared" si="73"/>
        <v>#VALUE!</v>
      </c>
      <c r="E4734" t="e">
        <f>cubic_spline(CURVA!$B$6:$B$20,CURVA!$G$6:$G$20,#REF!)</f>
        <v>#VALUE!</v>
      </c>
    </row>
    <row r="4735" spans="1:5" x14ac:dyDescent="0.2">
      <c r="A4735" s="28">
        <v>4734</v>
      </c>
      <c r="B4735" s="28" t="e">
        <f>interpola(#REF!,CURVA!$B$6:$B$20,CURVA!$G$6:$G$20)</f>
        <v>#VALUE!</v>
      </c>
      <c r="C4735" s="29" t="e">
        <f t="shared" si="73"/>
        <v>#VALUE!</v>
      </c>
      <c r="E4735" t="e">
        <f>cubic_spline(CURVA!$B$6:$B$20,CURVA!$G$6:$G$20,#REF!)</f>
        <v>#VALUE!</v>
      </c>
    </row>
    <row r="4736" spans="1:5" x14ac:dyDescent="0.2">
      <c r="A4736" s="28">
        <v>4735</v>
      </c>
      <c r="B4736" s="28" t="e">
        <f>interpola(#REF!,CURVA!$B$6:$B$20,CURVA!$G$6:$G$20)</f>
        <v>#VALUE!</v>
      </c>
      <c r="C4736" s="29" t="e">
        <f t="shared" si="73"/>
        <v>#VALUE!</v>
      </c>
      <c r="E4736" t="e">
        <f>cubic_spline(CURVA!$B$6:$B$20,CURVA!$G$6:$G$20,#REF!)</f>
        <v>#VALUE!</v>
      </c>
    </row>
    <row r="4737" spans="1:5" x14ac:dyDescent="0.2">
      <c r="A4737" s="28">
        <v>4736</v>
      </c>
      <c r="B4737" s="28" t="e">
        <f>interpola(#REF!,CURVA!$B$6:$B$20,CURVA!$G$6:$G$20)</f>
        <v>#VALUE!</v>
      </c>
      <c r="C4737" s="29" t="e">
        <f t="shared" si="73"/>
        <v>#VALUE!</v>
      </c>
      <c r="E4737" t="e">
        <f>cubic_spline(CURVA!$B$6:$B$20,CURVA!$G$6:$G$20,#REF!)</f>
        <v>#VALUE!</v>
      </c>
    </row>
    <row r="4738" spans="1:5" x14ac:dyDescent="0.2">
      <c r="A4738" s="28">
        <v>4737</v>
      </c>
      <c r="B4738" s="28" t="e">
        <f>interpola(#REF!,CURVA!$B$6:$B$20,CURVA!$G$6:$G$20)</f>
        <v>#VALUE!</v>
      </c>
      <c r="C4738" s="29" t="e">
        <f t="shared" ref="C4738:C4801" si="74">(EXP(B4738*A4738/360)-1)*360/A4738</f>
        <v>#VALUE!</v>
      </c>
      <c r="E4738" t="e">
        <f>cubic_spline(CURVA!$B$6:$B$20,CURVA!$G$6:$G$20,#REF!)</f>
        <v>#VALUE!</v>
      </c>
    </row>
    <row r="4739" spans="1:5" x14ac:dyDescent="0.2">
      <c r="A4739" s="28">
        <v>4738</v>
      </c>
      <c r="B4739" s="28" t="e">
        <f>interpola(#REF!,CURVA!$B$6:$B$20,CURVA!$G$6:$G$20)</f>
        <v>#VALUE!</v>
      </c>
      <c r="C4739" s="29" t="e">
        <f t="shared" si="74"/>
        <v>#VALUE!</v>
      </c>
      <c r="E4739" t="e">
        <f>cubic_spline(CURVA!$B$6:$B$20,CURVA!$G$6:$G$20,#REF!)</f>
        <v>#VALUE!</v>
      </c>
    </row>
    <row r="4740" spans="1:5" x14ac:dyDescent="0.2">
      <c r="A4740" s="28">
        <v>4739</v>
      </c>
      <c r="B4740" s="28" t="e">
        <f>interpola(#REF!,CURVA!$B$6:$B$20,CURVA!$G$6:$G$20)</f>
        <v>#VALUE!</v>
      </c>
      <c r="C4740" s="29" t="e">
        <f t="shared" si="74"/>
        <v>#VALUE!</v>
      </c>
      <c r="E4740" t="e">
        <f>cubic_spline(CURVA!$B$6:$B$20,CURVA!$G$6:$G$20,#REF!)</f>
        <v>#VALUE!</v>
      </c>
    </row>
    <row r="4741" spans="1:5" x14ac:dyDescent="0.2">
      <c r="A4741" s="28">
        <v>4740</v>
      </c>
      <c r="B4741" s="28" t="e">
        <f>interpola(#REF!,CURVA!$B$6:$B$20,CURVA!$G$6:$G$20)</f>
        <v>#VALUE!</v>
      </c>
      <c r="C4741" s="29" t="e">
        <f t="shared" si="74"/>
        <v>#VALUE!</v>
      </c>
      <c r="E4741" t="e">
        <f>cubic_spline(CURVA!$B$6:$B$20,CURVA!$G$6:$G$20,#REF!)</f>
        <v>#VALUE!</v>
      </c>
    </row>
    <row r="4742" spans="1:5" x14ac:dyDescent="0.2">
      <c r="A4742" s="28">
        <v>4741</v>
      </c>
      <c r="B4742" s="28" t="e">
        <f>interpola(#REF!,CURVA!$B$6:$B$20,CURVA!$G$6:$G$20)</f>
        <v>#VALUE!</v>
      </c>
      <c r="C4742" s="29" t="e">
        <f t="shared" si="74"/>
        <v>#VALUE!</v>
      </c>
      <c r="E4742" t="e">
        <f>cubic_spline(CURVA!$B$6:$B$20,CURVA!$G$6:$G$20,#REF!)</f>
        <v>#VALUE!</v>
      </c>
    </row>
    <row r="4743" spans="1:5" x14ac:dyDescent="0.2">
      <c r="A4743" s="28">
        <v>4742</v>
      </c>
      <c r="B4743" s="28" t="e">
        <f>interpola(#REF!,CURVA!$B$6:$B$20,CURVA!$G$6:$G$20)</f>
        <v>#VALUE!</v>
      </c>
      <c r="C4743" s="29" t="e">
        <f t="shared" si="74"/>
        <v>#VALUE!</v>
      </c>
      <c r="E4743" t="e">
        <f>cubic_spline(CURVA!$B$6:$B$20,CURVA!$G$6:$G$20,#REF!)</f>
        <v>#VALUE!</v>
      </c>
    </row>
    <row r="4744" spans="1:5" x14ac:dyDescent="0.2">
      <c r="A4744" s="28">
        <v>4743</v>
      </c>
      <c r="B4744" s="28" t="e">
        <f>interpola(#REF!,CURVA!$B$6:$B$20,CURVA!$G$6:$G$20)</f>
        <v>#VALUE!</v>
      </c>
      <c r="C4744" s="29" t="e">
        <f t="shared" si="74"/>
        <v>#VALUE!</v>
      </c>
      <c r="E4744" t="e">
        <f>cubic_spline(CURVA!$B$6:$B$20,CURVA!$G$6:$G$20,#REF!)</f>
        <v>#VALUE!</v>
      </c>
    </row>
    <row r="4745" spans="1:5" x14ac:dyDescent="0.2">
      <c r="A4745" s="28">
        <v>4744</v>
      </c>
      <c r="B4745" s="28" t="e">
        <f>interpola(#REF!,CURVA!$B$6:$B$20,CURVA!$G$6:$G$20)</f>
        <v>#VALUE!</v>
      </c>
      <c r="C4745" s="29" t="e">
        <f t="shared" si="74"/>
        <v>#VALUE!</v>
      </c>
      <c r="E4745" t="e">
        <f>cubic_spline(CURVA!$B$6:$B$20,CURVA!$G$6:$G$20,#REF!)</f>
        <v>#VALUE!</v>
      </c>
    </row>
    <row r="4746" spans="1:5" x14ac:dyDescent="0.2">
      <c r="A4746" s="28">
        <v>4745</v>
      </c>
      <c r="B4746" s="28" t="e">
        <f>interpola(#REF!,CURVA!$B$6:$B$20,CURVA!$G$6:$G$20)</f>
        <v>#VALUE!</v>
      </c>
      <c r="C4746" s="29" t="e">
        <f t="shared" si="74"/>
        <v>#VALUE!</v>
      </c>
      <c r="E4746" t="e">
        <f>cubic_spline(CURVA!$B$6:$B$20,CURVA!$G$6:$G$20,#REF!)</f>
        <v>#VALUE!</v>
      </c>
    </row>
    <row r="4747" spans="1:5" x14ac:dyDescent="0.2">
      <c r="A4747" s="28">
        <v>4746</v>
      </c>
      <c r="B4747" s="28" t="e">
        <f>interpola(#REF!,CURVA!$B$6:$B$20,CURVA!$G$6:$G$20)</f>
        <v>#VALUE!</v>
      </c>
      <c r="C4747" s="29" t="e">
        <f t="shared" si="74"/>
        <v>#VALUE!</v>
      </c>
      <c r="E4747" t="e">
        <f>cubic_spline(CURVA!$B$6:$B$20,CURVA!$G$6:$G$20,#REF!)</f>
        <v>#VALUE!</v>
      </c>
    </row>
    <row r="4748" spans="1:5" x14ac:dyDescent="0.2">
      <c r="A4748" s="28">
        <v>4747</v>
      </c>
      <c r="B4748" s="28" t="e">
        <f>interpola(#REF!,CURVA!$B$6:$B$20,CURVA!$G$6:$G$20)</f>
        <v>#VALUE!</v>
      </c>
      <c r="C4748" s="29" t="e">
        <f t="shared" si="74"/>
        <v>#VALUE!</v>
      </c>
      <c r="E4748" t="e">
        <f>cubic_spline(CURVA!$B$6:$B$20,CURVA!$G$6:$G$20,#REF!)</f>
        <v>#VALUE!</v>
      </c>
    </row>
    <row r="4749" spans="1:5" x14ac:dyDescent="0.2">
      <c r="A4749" s="28">
        <v>4748</v>
      </c>
      <c r="B4749" s="28" t="e">
        <f>interpola(#REF!,CURVA!$B$6:$B$20,CURVA!$G$6:$G$20)</f>
        <v>#VALUE!</v>
      </c>
      <c r="C4749" s="29" t="e">
        <f t="shared" si="74"/>
        <v>#VALUE!</v>
      </c>
      <c r="E4749" t="e">
        <f>cubic_spline(CURVA!$B$6:$B$20,CURVA!$G$6:$G$20,#REF!)</f>
        <v>#VALUE!</v>
      </c>
    </row>
    <row r="4750" spans="1:5" x14ac:dyDescent="0.2">
      <c r="A4750" s="28">
        <v>4749</v>
      </c>
      <c r="B4750" s="28" t="e">
        <f>interpola(#REF!,CURVA!$B$6:$B$20,CURVA!$G$6:$G$20)</f>
        <v>#VALUE!</v>
      </c>
      <c r="C4750" s="29" t="e">
        <f t="shared" si="74"/>
        <v>#VALUE!</v>
      </c>
      <c r="E4750" t="e">
        <f>cubic_spline(CURVA!$B$6:$B$20,CURVA!$G$6:$G$20,#REF!)</f>
        <v>#VALUE!</v>
      </c>
    </row>
    <row r="4751" spans="1:5" x14ac:dyDescent="0.2">
      <c r="A4751" s="28">
        <v>4750</v>
      </c>
      <c r="B4751" s="28" t="e">
        <f>interpola(#REF!,CURVA!$B$6:$B$20,CURVA!$G$6:$G$20)</f>
        <v>#VALUE!</v>
      </c>
      <c r="C4751" s="29" t="e">
        <f t="shared" si="74"/>
        <v>#VALUE!</v>
      </c>
      <c r="E4751" t="e">
        <f>cubic_spline(CURVA!$B$6:$B$20,CURVA!$G$6:$G$20,#REF!)</f>
        <v>#VALUE!</v>
      </c>
    </row>
    <row r="4752" spans="1:5" x14ac:dyDescent="0.2">
      <c r="A4752" s="28">
        <v>4751</v>
      </c>
      <c r="B4752" s="28" t="e">
        <f>interpola(#REF!,CURVA!$B$6:$B$20,CURVA!$G$6:$G$20)</f>
        <v>#VALUE!</v>
      </c>
      <c r="C4752" s="29" t="e">
        <f t="shared" si="74"/>
        <v>#VALUE!</v>
      </c>
      <c r="E4752" t="e">
        <f>cubic_spline(CURVA!$B$6:$B$20,CURVA!$G$6:$G$20,#REF!)</f>
        <v>#VALUE!</v>
      </c>
    </row>
    <row r="4753" spans="1:5" x14ac:dyDescent="0.2">
      <c r="A4753" s="28">
        <v>4752</v>
      </c>
      <c r="B4753" s="28" t="e">
        <f>interpola(#REF!,CURVA!$B$6:$B$20,CURVA!$G$6:$G$20)</f>
        <v>#VALUE!</v>
      </c>
      <c r="C4753" s="29" t="e">
        <f t="shared" si="74"/>
        <v>#VALUE!</v>
      </c>
      <c r="E4753" t="e">
        <f>cubic_spline(CURVA!$B$6:$B$20,CURVA!$G$6:$G$20,#REF!)</f>
        <v>#VALUE!</v>
      </c>
    </row>
    <row r="4754" spans="1:5" x14ac:dyDescent="0.2">
      <c r="A4754" s="28">
        <v>4753</v>
      </c>
      <c r="B4754" s="28" t="e">
        <f>interpola(#REF!,CURVA!$B$6:$B$20,CURVA!$G$6:$G$20)</f>
        <v>#VALUE!</v>
      </c>
      <c r="C4754" s="29" t="e">
        <f t="shared" si="74"/>
        <v>#VALUE!</v>
      </c>
      <c r="E4754" t="e">
        <f>cubic_spline(CURVA!$B$6:$B$20,CURVA!$G$6:$G$20,#REF!)</f>
        <v>#VALUE!</v>
      </c>
    </row>
    <row r="4755" spans="1:5" x14ac:dyDescent="0.2">
      <c r="A4755" s="28">
        <v>4754</v>
      </c>
      <c r="B4755" s="28" t="e">
        <f>interpola(#REF!,CURVA!$B$6:$B$20,CURVA!$G$6:$G$20)</f>
        <v>#VALUE!</v>
      </c>
      <c r="C4755" s="29" t="e">
        <f t="shared" si="74"/>
        <v>#VALUE!</v>
      </c>
      <c r="E4755" t="e">
        <f>cubic_spline(CURVA!$B$6:$B$20,CURVA!$G$6:$G$20,#REF!)</f>
        <v>#VALUE!</v>
      </c>
    </row>
    <row r="4756" spans="1:5" x14ac:dyDescent="0.2">
      <c r="A4756" s="28">
        <v>4755</v>
      </c>
      <c r="B4756" s="28" t="e">
        <f>interpola(#REF!,CURVA!$B$6:$B$20,CURVA!$G$6:$G$20)</f>
        <v>#VALUE!</v>
      </c>
      <c r="C4756" s="29" t="e">
        <f t="shared" si="74"/>
        <v>#VALUE!</v>
      </c>
      <c r="E4756" t="e">
        <f>cubic_spline(CURVA!$B$6:$B$20,CURVA!$G$6:$G$20,#REF!)</f>
        <v>#VALUE!</v>
      </c>
    </row>
    <row r="4757" spans="1:5" x14ac:dyDescent="0.2">
      <c r="A4757" s="28">
        <v>4756</v>
      </c>
      <c r="B4757" s="28" t="e">
        <f>interpola(#REF!,CURVA!$B$6:$B$20,CURVA!$G$6:$G$20)</f>
        <v>#VALUE!</v>
      </c>
      <c r="C4757" s="29" t="e">
        <f t="shared" si="74"/>
        <v>#VALUE!</v>
      </c>
      <c r="E4757" t="e">
        <f>cubic_spline(CURVA!$B$6:$B$20,CURVA!$G$6:$G$20,#REF!)</f>
        <v>#VALUE!</v>
      </c>
    </row>
    <row r="4758" spans="1:5" x14ac:dyDescent="0.2">
      <c r="A4758" s="28">
        <v>4757</v>
      </c>
      <c r="B4758" s="28" t="e">
        <f>interpola(#REF!,CURVA!$B$6:$B$20,CURVA!$G$6:$G$20)</f>
        <v>#VALUE!</v>
      </c>
      <c r="C4758" s="29" t="e">
        <f t="shared" si="74"/>
        <v>#VALUE!</v>
      </c>
      <c r="E4758" t="e">
        <f>cubic_spline(CURVA!$B$6:$B$20,CURVA!$G$6:$G$20,#REF!)</f>
        <v>#VALUE!</v>
      </c>
    </row>
    <row r="4759" spans="1:5" x14ac:dyDescent="0.2">
      <c r="A4759" s="28">
        <v>4758</v>
      </c>
      <c r="B4759" s="28" t="e">
        <f>interpola(#REF!,CURVA!$B$6:$B$20,CURVA!$G$6:$G$20)</f>
        <v>#VALUE!</v>
      </c>
      <c r="C4759" s="29" t="e">
        <f t="shared" si="74"/>
        <v>#VALUE!</v>
      </c>
      <c r="E4759" t="e">
        <f>cubic_spline(CURVA!$B$6:$B$20,CURVA!$G$6:$G$20,#REF!)</f>
        <v>#VALUE!</v>
      </c>
    </row>
    <row r="4760" spans="1:5" x14ac:dyDescent="0.2">
      <c r="A4760" s="28">
        <v>4759</v>
      </c>
      <c r="B4760" s="28" t="e">
        <f>interpola(#REF!,CURVA!$B$6:$B$20,CURVA!$G$6:$G$20)</f>
        <v>#VALUE!</v>
      </c>
      <c r="C4760" s="29" t="e">
        <f t="shared" si="74"/>
        <v>#VALUE!</v>
      </c>
      <c r="E4760" t="e">
        <f>cubic_spline(CURVA!$B$6:$B$20,CURVA!$G$6:$G$20,#REF!)</f>
        <v>#VALUE!</v>
      </c>
    </row>
    <row r="4761" spans="1:5" x14ac:dyDescent="0.2">
      <c r="A4761" s="28">
        <v>4760</v>
      </c>
      <c r="B4761" s="28" t="e">
        <f>interpola(#REF!,CURVA!$B$6:$B$20,CURVA!$G$6:$G$20)</f>
        <v>#VALUE!</v>
      </c>
      <c r="C4761" s="29" t="e">
        <f t="shared" si="74"/>
        <v>#VALUE!</v>
      </c>
      <c r="E4761" t="e">
        <f>cubic_spline(CURVA!$B$6:$B$20,CURVA!$G$6:$G$20,#REF!)</f>
        <v>#VALUE!</v>
      </c>
    </row>
    <row r="4762" spans="1:5" x14ac:dyDescent="0.2">
      <c r="A4762" s="28">
        <v>4761</v>
      </c>
      <c r="B4762" s="28" t="e">
        <f>interpola(#REF!,CURVA!$B$6:$B$20,CURVA!$G$6:$G$20)</f>
        <v>#VALUE!</v>
      </c>
      <c r="C4762" s="29" t="e">
        <f t="shared" si="74"/>
        <v>#VALUE!</v>
      </c>
      <c r="E4762" t="e">
        <f>cubic_spline(CURVA!$B$6:$B$20,CURVA!$G$6:$G$20,#REF!)</f>
        <v>#VALUE!</v>
      </c>
    </row>
    <row r="4763" spans="1:5" x14ac:dyDescent="0.2">
      <c r="A4763" s="28">
        <v>4762</v>
      </c>
      <c r="B4763" s="28" t="e">
        <f>interpola(#REF!,CURVA!$B$6:$B$20,CURVA!$G$6:$G$20)</f>
        <v>#VALUE!</v>
      </c>
      <c r="C4763" s="29" t="e">
        <f t="shared" si="74"/>
        <v>#VALUE!</v>
      </c>
      <c r="E4763" t="e">
        <f>cubic_spline(CURVA!$B$6:$B$20,CURVA!$G$6:$G$20,#REF!)</f>
        <v>#VALUE!</v>
      </c>
    </row>
    <row r="4764" spans="1:5" x14ac:dyDescent="0.2">
      <c r="A4764" s="28">
        <v>4763</v>
      </c>
      <c r="B4764" s="28" t="e">
        <f>interpola(#REF!,CURVA!$B$6:$B$20,CURVA!$G$6:$G$20)</f>
        <v>#VALUE!</v>
      </c>
      <c r="C4764" s="29" t="e">
        <f t="shared" si="74"/>
        <v>#VALUE!</v>
      </c>
      <c r="E4764" t="e">
        <f>cubic_spline(CURVA!$B$6:$B$20,CURVA!$G$6:$G$20,#REF!)</f>
        <v>#VALUE!</v>
      </c>
    </row>
    <row r="4765" spans="1:5" x14ac:dyDescent="0.2">
      <c r="A4765" s="28">
        <v>4764</v>
      </c>
      <c r="B4765" s="28" t="e">
        <f>interpola(#REF!,CURVA!$B$6:$B$20,CURVA!$G$6:$G$20)</f>
        <v>#VALUE!</v>
      </c>
      <c r="C4765" s="29" t="e">
        <f t="shared" si="74"/>
        <v>#VALUE!</v>
      </c>
      <c r="E4765" t="e">
        <f>cubic_spline(CURVA!$B$6:$B$20,CURVA!$G$6:$G$20,#REF!)</f>
        <v>#VALUE!</v>
      </c>
    </row>
    <row r="4766" spans="1:5" x14ac:dyDescent="0.2">
      <c r="A4766" s="28">
        <v>4765</v>
      </c>
      <c r="B4766" s="28" t="e">
        <f>interpola(#REF!,CURVA!$B$6:$B$20,CURVA!$G$6:$G$20)</f>
        <v>#VALUE!</v>
      </c>
      <c r="C4766" s="29" t="e">
        <f t="shared" si="74"/>
        <v>#VALUE!</v>
      </c>
      <c r="E4766" t="e">
        <f>cubic_spline(CURVA!$B$6:$B$20,CURVA!$G$6:$G$20,#REF!)</f>
        <v>#VALUE!</v>
      </c>
    </row>
    <row r="4767" spans="1:5" x14ac:dyDescent="0.2">
      <c r="A4767" s="28">
        <v>4766</v>
      </c>
      <c r="B4767" s="28" t="e">
        <f>interpola(#REF!,CURVA!$B$6:$B$20,CURVA!$G$6:$G$20)</f>
        <v>#VALUE!</v>
      </c>
      <c r="C4767" s="29" t="e">
        <f t="shared" si="74"/>
        <v>#VALUE!</v>
      </c>
      <c r="E4767" t="e">
        <f>cubic_spline(CURVA!$B$6:$B$20,CURVA!$G$6:$G$20,#REF!)</f>
        <v>#VALUE!</v>
      </c>
    </row>
    <row r="4768" spans="1:5" x14ac:dyDescent="0.2">
      <c r="A4768" s="28">
        <v>4767</v>
      </c>
      <c r="B4768" s="28" t="e">
        <f>interpola(#REF!,CURVA!$B$6:$B$20,CURVA!$G$6:$G$20)</f>
        <v>#VALUE!</v>
      </c>
      <c r="C4768" s="29" t="e">
        <f t="shared" si="74"/>
        <v>#VALUE!</v>
      </c>
      <c r="E4768" t="e">
        <f>cubic_spline(CURVA!$B$6:$B$20,CURVA!$G$6:$G$20,#REF!)</f>
        <v>#VALUE!</v>
      </c>
    </row>
    <row r="4769" spans="1:5" x14ac:dyDescent="0.2">
      <c r="A4769" s="28">
        <v>4768</v>
      </c>
      <c r="B4769" s="28" t="e">
        <f>interpola(#REF!,CURVA!$B$6:$B$20,CURVA!$G$6:$G$20)</f>
        <v>#VALUE!</v>
      </c>
      <c r="C4769" s="29" t="e">
        <f t="shared" si="74"/>
        <v>#VALUE!</v>
      </c>
      <c r="E4769" t="e">
        <f>cubic_spline(CURVA!$B$6:$B$20,CURVA!$G$6:$G$20,#REF!)</f>
        <v>#VALUE!</v>
      </c>
    </row>
    <row r="4770" spans="1:5" x14ac:dyDescent="0.2">
      <c r="A4770" s="28">
        <v>4769</v>
      </c>
      <c r="B4770" s="28" t="e">
        <f>interpola(#REF!,CURVA!$B$6:$B$20,CURVA!$G$6:$G$20)</f>
        <v>#VALUE!</v>
      </c>
      <c r="C4770" s="29" t="e">
        <f t="shared" si="74"/>
        <v>#VALUE!</v>
      </c>
      <c r="E4770" t="e">
        <f>cubic_spline(CURVA!$B$6:$B$20,CURVA!$G$6:$G$20,#REF!)</f>
        <v>#VALUE!</v>
      </c>
    </row>
    <row r="4771" spans="1:5" x14ac:dyDescent="0.2">
      <c r="A4771" s="28">
        <v>4770</v>
      </c>
      <c r="B4771" s="28" t="e">
        <f>interpola(#REF!,CURVA!$B$6:$B$20,CURVA!$G$6:$G$20)</f>
        <v>#VALUE!</v>
      </c>
      <c r="C4771" s="29" t="e">
        <f t="shared" si="74"/>
        <v>#VALUE!</v>
      </c>
      <c r="E4771" t="e">
        <f>cubic_spline(CURVA!$B$6:$B$20,CURVA!$G$6:$G$20,#REF!)</f>
        <v>#VALUE!</v>
      </c>
    </row>
    <row r="4772" spans="1:5" x14ac:dyDescent="0.2">
      <c r="A4772" s="28">
        <v>4771</v>
      </c>
      <c r="B4772" s="28" t="e">
        <f>interpola(#REF!,CURVA!$B$6:$B$20,CURVA!$G$6:$G$20)</f>
        <v>#VALUE!</v>
      </c>
      <c r="C4772" s="29" t="e">
        <f t="shared" si="74"/>
        <v>#VALUE!</v>
      </c>
      <c r="E4772" t="e">
        <f>cubic_spline(CURVA!$B$6:$B$20,CURVA!$G$6:$G$20,#REF!)</f>
        <v>#VALUE!</v>
      </c>
    </row>
    <row r="4773" spans="1:5" x14ac:dyDescent="0.2">
      <c r="A4773" s="28">
        <v>4772</v>
      </c>
      <c r="B4773" s="28" t="e">
        <f>interpola(#REF!,CURVA!$B$6:$B$20,CURVA!$G$6:$G$20)</f>
        <v>#VALUE!</v>
      </c>
      <c r="C4773" s="29" t="e">
        <f t="shared" si="74"/>
        <v>#VALUE!</v>
      </c>
      <c r="E4773" t="e">
        <f>cubic_spline(CURVA!$B$6:$B$20,CURVA!$G$6:$G$20,#REF!)</f>
        <v>#VALUE!</v>
      </c>
    </row>
    <row r="4774" spans="1:5" x14ac:dyDescent="0.2">
      <c r="A4774" s="28">
        <v>4773</v>
      </c>
      <c r="B4774" s="28" t="e">
        <f>interpola(#REF!,CURVA!$B$6:$B$20,CURVA!$G$6:$G$20)</f>
        <v>#VALUE!</v>
      </c>
      <c r="C4774" s="29" t="e">
        <f t="shared" si="74"/>
        <v>#VALUE!</v>
      </c>
      <c r="E4774" t="e">
        <f>cubic_spline(CURVA!$B$6:$B$20,CURVA!$G$6:$G$20,#REF!)</f>
        <v>#VALUE!</v>
      </c>
    </row>
    <row r="4775" spans="1:5" x14ac:dyDescent="0.2">
      <c r="A4775" s="28">
        <v>4774</v>
      </c>
      <c r="B4775" s="28" t="e">
        <f>interpola(#REF!,CURVA!$B$6:$B$20,CURVA!$G$6:$G$20)</f>
        <v>#VALUE!</v>
      </c>
      <c r="C4775" s="29" t="e">
        <f t="shared" si="74"/>
        <v>#VALUE!</v>
      </c>
      <c r="E4775" t="e">
        <f>cubic_spline(CURVA!$B$6:$B$20,CURVA!$G$6:$G$20,#REF!)</f>
        <v>#VALUE!</v>
      </c>
    </row>
    <row r="4776" spans="1:5" x14ac:dyDescent="0.2">
      <c r="A4776" s="28">
        <v>4775</v>
      </c>
      <c r="B4776" s="28" t="e">
        <f>interpola(#REF!,CURVA!$B$6:$B$20,CURVA!$G$6:$G$20)</f>
        <v>#VALUE!</v>
      </c>
      <c r="C4776" s="29" t="e">
        <f t="shared" si="74"/>
        <v>#VALUE!</v>
      </c>
      <c r="E4776" t="e">
        <f>cubic_spline(CURVA!$B$6:$B$20,CURVA!$G$6:$G$20,#REF!)</f>
        <v>#VALUE!</v>
      </c>
    </row>
    <row r="4777" spans="1:5" x14ac:dyDescent="0.2">
      <c r="A4777" s="28">
        <v>4776</v>
      </c>
      <c r="B4777" s="28" t="e">
        <f>interpola(#REF!,CURVA!$B$6:$B$20,CURVA!$G$6:$G$20)</f>
        <v>#VALUE!</v>
      </c>
      <c r="C4777" s="29" t="e">
        <f t="shared" si="74"/>
        <v>#VALUE!</v>
      </c>
      <c r="E4777" t="e">
        <f>cubic_spline(CURVA!$B$6:$B$20,CURVA!$G$6:$G$20,#REF!)</f>
        <v>#VALUE!</v>
      </c>
    </row>
    <row r="4778" spans="1:5" x14ac:dyDescent="0.2">
      <c r="A4778" s="28">
        <v>4777</v>
      </c>
      <c r="B4778" s="28" t="e">
        <f>interpola(#REF!,CURVA!$B$6:$B$20,CURVA!$G$6:$G$20)</f>
        <v>#VALUE!</v>
      </c>
      <c r="C4778" s="29" t="e">
        <f t="shared" si="74"/>
        <v>#VALUE!</v>
      </c>
      <c r="E4778" t="e">
        <f>cubic_spline(CURVA!$B$6:$B$20,CURVA!$G$6:$G$20,#REF!)</f>
        <v>#VALUE!</v>
      </c>
    </row>
    <row r="4779" spans="1:5" x14ac:dyDescent="0.2">
      <c r="A4779" s="28">
        <v>4778</v>
      </c>
      <c r="B4779" s="28" t="e">
        <f>interpola(#REF!,CURVA!$B$6:$B$20,CURVA!$G$6:$G$20)</f>
        <v>#VALUE!</v>
      </c>
      <c r="C4779" s="29" t="e">
        <f t="shared" si="74"/>
        <v>#VALUE!</v>
      </c>
      <c r="E4779" t="e">
        <f>cubic_spline(CURVA!$B$6:$B$20,CURVA!$G$6:$G$20,#REF!)</f>
        <v>#VALUE!</v>
      </c>
    </row>
    <row r="4780" spans="1:5" x14ac:dyDescent="0.2">
      <c r="A4780" s="28">
        <v>4779</v>
      </c>
      <c r="B4780" s="28" t="e">
        <f>interpola(#REF!,CURVA!$B$6:$B$20,CURVA!$G$6:$G$20)</f>
        <v>#VALUE!</v>
      </c>
      <c r="C4780" s="29" t="e">
        <f t="shared" si="74"/>
        <v>#VALUE!</v>
      </c>
      <c r="E4780" t="e">
        <f>cubic_spline(CURVA!$B$6:$B$20,CURVA!$G$6:$G$20,#REF!)</f>
        <v>#VALUE!</v>
      </c>
    </row>
    <row r="4781" spans="1:5" x14ac:dyDescent="0.2">
      <c r="A4781" s="28">
        <v>4780</v>
      </c>
      <c r="B4781" s="28" t="e">
        <f>interpola(#REF!,CURVA!$B$6:$B$20,CURVA!$G$6:$G$20)</f>
        <v>#VALUE!</v>
      </c>
      <c r="C4781" s="29" t="e">
        <f t="shared" si="74"/>
        <v>#VALUE!</v>
      </c>
      <c r="E4781" t="e">
        <f>cubic_spline(CURVA!$B$6:$B$20,CURVA!$G$6:$G$20,#REF!)</f>
        <v>#VALUE!</v>
      </c>
    </row>
    <row r="4782" spans="1:5" x14ac:dyDescent="0.2">
      <c r="A4782" s="28">
        <v>4781</v>
      </c>
      <c r="B4782" s="28" t="e">
        <f>interpola(#REF!,CURVA!$B$6:$B$20,CURVA!$G$6:$G$20)</f>
        <v>#VALUE!</v>
      </c>
      <c r="C4782" s="29" t="e">
        <f t="shared" si="74"/>
        <v>#VALUE!</v>
      </c>
      <c r="E4782" t="e">
        <f>cubic_spline(CURVA!$B$6:$B$20,CURVA!$G$6:$G$20,#REF!)</f>
        <v>#VALUE!</v>
      </c>
    </row>
    <row r="4783" spans="1:5" x14ac:dyDescent="0.2">
      <c r="A4783" s="28">
        <v>4782</v>
      </c>
      <c r="B4783" s="28" t="e">
        <f>interpola(#REF!,CURVA!$B$6:$B$20,CURVA!$G$6:$G$20)</f>
        <v>#VALUE!</v>
      </c>
      <c r="C4783" s="29" t="e">
        <f t="shared" si="74"/>
        <v>#VALUE!</v>
      </c>
      <c r="E4783" t="e">
        <f>cubic_spline(CURVA!$B$6:$B$20,CURVA!$G$6:$G$20,#REF!)</f>
        <v>#VALUE!</v>
      </c>
    </row>
    <row r="4784" spans="1:5" x14ac:dyDescent="0.2">
      <c r="A4784" s="28">
        <v>4783</v>
      </c>
      <c r="B4784" s="28" t="e">
        <f>interpola(#REF!,CURVA!$B$6:$B$20,CURVA!$G$6:$G$20)</f>
        <v>#VALUE!</v>
      </c>
      <c r="C4784" s="29" t="e">
        <f t="shared" si="74"/>
        <v>#VALUE!</v>
      </c>
      <c r="E4784" t="e">
        <f>cubic_spline(CURVA!$B$6:$B$20,CURVA!$G$6:$G$20,#REF!)</f>
        <v>#VALUE!</v>
      </c>
    </row>
    <row r="4785" spans="1:5" x14ac:dyDescent="0.2">
      <c r="A4785" s="28">
        <v>4784</v>
      </c>
      <c r="B4785" s="28" t="e">
        <f>interpola(#REF!,CURVA!$B$6:$B$20,CURVA!$G$6:$G$20)</f>
        <v>#VALUE!</v>
      </c>
      <c r="C4785" s="29" t="e">
        <f t="shared" si="74"/>
        <v>#VALUE!</v>
      </c>
      <c r="E4785" t="e">
        <f>cubic_spline(CURVA!$B$6:$B$20,CURVA!$G$6:$G$20,#REF!)</f>
        <v>#VALUE!</v>
      </c>
    </row>
    <row r="4786" spans="1:5" x14ac:dyDescent="0.2">
      <c r="A4786" s="28">
        <v>4785</v>
      </c>
      <c r="B4786" s="28" t="e">
        <f>interpola(#REF!,CURVA!$B$6:$B$20,CURVA!$G$6:$G$20)</f>
        <v>#VALUE!</v>
      </c>
      <c r="C4786" s="29" t="e">
        <f t="shared" si="74"/>
        <v>#VALUE!</v>
      </c>
      <c r="E4786" t="e">
        <f>cubic_spline(CURVA!$B$6:$B$20,CURVA!$G$6:$G$20,#REF!)</f>
        <v>#VALUE!</v>
      </c>
    </row>
    <row r="4787" spans="1:5" x14ac:dyDescent="0.2">
      <c r="A4787" s="28">
        <v>4786</v>
      </c>
      <c r="B4787" s="28" t="e">
        <f>interpola(#REF!,CURVA!$B$6:$B$20,CURVA!$G$6:$G$20)</f>
        <v>#VALUE!</v>
      </c>
      <c r="C4787" s="29" t="e">
        <f t="shared" si="74"/>
        <v>#VALUE!</v>
      </c>
      <c r="E4787" t="e">
        <f>cubic_spline(CURVA!$B$6:$B$20,CURVA!$G$6:$G$20,#REF!)</f>
        <v>#VALUE!</v>
      </c>
    </row>
    <row r="4788" spans="1:5" x14ac:dyDescent="0.2">
      <c r="A4788" s="28">
        <v>4787</v>
      </c>
      <c r="B4788" s="28" t="e">
        <f>interpola(#REF!,CURVA!$B$6:$B$20,CURVA!$G$6:$G$20)</f>
        <v>#VALUE!</v>
      </c>
      <c r="C4788" s="29" t="e">
        <f t="shared" si="74"/>
        <v>#VALUE!</v>
      </c>
      <c r="E4788" t="e">
        <f>cubic_spline(CURVA!$B$6:$B$20,CURVA!$G$6:$G$20,#REF!)</f>
        <v>#VALUE!</v>
      </c>
    </row>
    <row r="4789" spans="1:5" x14ac:dyDescent="0.2">
      <c r="A4789" s="28">
        <v>4788</v>
      </c>
      <c r="B4789" s="28" t="e">
        <f>interpola(#REF!,CURVA!$B$6:$B$20,CURVA!$G$6:$G$20)</f>
        <v>#VALUE!</v>
      </c>
      <c r="C4789" s="29" t="e">
        <f t="shared" si="74"/>
        <v>#VALUE!</v>
      </c>
      <c r="E4789" t="e">
        <f>cubic_spline(CURVA!$B$6:$B$20,CURVA!$G$6:$G$20,#REF!)</f>
        <v>#VALUE!</v>
      </c>
    </row>
    <row r="4790" spans="1:5" x14ac:dyDescent="0.2">
      <c r="A4790" s="28">
        <v>4789</v>
      </c>
      <c r="B4790" s="28" t="e">
        <f>interpola(#REF!,CURVA!$B$6:$B$20,CURVA!$G$6:$G$20)</f>
        <v>#VALUE!</v>
      </c>
      <c r="C4790" s="29" t="e">
        <f t="shared" si="74"/>
        <v>#VALUE!</v>
      </c>
      <c r="E4790" t="e">
        <f>cubic_spline(CURVA!$B$6:$B$20,CURVA!$G$6:$G$20,#REF!)</f>
        <v>#VALUE!</v>
      </c>
    </row>
    <row r="4791" spans="1:5" x14ac:dyDescent="0.2">
      <c r="A4791" s="28">
        <v>4790</v>
      </c>
      <c r="B4791" s="28" t="e">
        <f>interpola(#REF!,CURVA!$B$6:$B$20,CURVA!$G$6:$G$20)</f>
        <v>#VALUE!</v>
      </c>
      <c r="C4791" s="29" t="e">
        <f t="shared" si="74"/>
        <v>#VALUE!</v>
      </c>
      <c r="E4791" t="e">
        <f>cubic_spline(CURVA!$B$6:$B$20,CURVA!$G$6:$G$20,#REF!)</f>
        <v>#VALUE!</v>
      </c>
    </row>
    <row r="4792" spans="1:5" x14ac:dyDescent="0.2">
      <c r="A4792" s="28">
        <v>4791</v>
      </c>
      <c r="B4792" s="28" t="e">
        <f>interpola(#REF!,CURVA!$B$6:$B$20,CURVA!$G$6:$G$20)</f>
        <v>#VALUE!</v>
      </c>
      <c r="C4792" s="29" t="e">
        <f t="shared" si="74"/>
        <v>#VALUE!</v>
      </c>
      <c r="E4792" t="e">
        <f>cubic_spline(CURVA!$B$6:$B$20,CURVA!$G$6:$G$20,#REF!)</f>
        <v>#VALUE!</v>
      </c>
    </row>
    <row r="4793" spans="1:5" x14ac:dyDescent="0.2">
      <c r="A4793" s="28">
        <v>4792</v>
      </c>
      <c r="B4793" s="28" t="e">
        <f>interpola(#REF!,CURVA!$B$6:$B$20,CURVA!$G$6:$G$20)</f>
        <v>#VALUE!</v>
      </c>
      <c r="C4793" s="29" t="e">
        <f t="shared" si="74"/>
        <v>#VALUE!</v>
      </c>
      <c r="E4793" t="e">
        <f>cubic_spline(CURVA!$B$6:$B$20,CURVA!$G$6:$G$20,#REF!)</f>
        <v>#VALUE!</v>
      </c>
    </row>
    <row r="4794" spans="1:5" x14ac:dyDescent="0.2">
      <c r="A4794" s="28">
        <v>4793</v>
      </c>
      <c r="B4794" s="28" t="e">
        <f>interpola(#REF!,CURVA!$B$6:$B$20,CURVA!$G$6:$G$20)</f>
        <v>#VALUE!</v>
      </c>
      <c r="C4794" s="29" t="e">
        <f t="shared" si="74"/>
        <v>#VALUE!</v>
      </c>
      <c r="E4794" t="e">
        <f>cubic_spline(CURVA!$B$6:$B$20,CURVA!$G$6:$G$20,#REF!)</f>
        <v>#VALUE!</v>
      </c>
    </row>
    <row r="4795" spans="1:5" x14ac:dyDescent="0.2">
      <c r="A4795" s="28">
        <v>4794</v>
      </c>
      <c r="B4795" s="28" t="e">
        <f>interpola(#REF!,CURVA!$B$6:$B$20,CURVA!$G$6:$G$20)</f>
        <v>#VALUE!</v>
      </c>
      <c r="C4795" s="29" t="e">
        <f t="shared" si="74"/>
        <v>#VALUE!</v>
      </c>
      <c r="E4795" t="e">
        <f>cubic_spline(CURVA!$B$6:$B$20,CURVA!$G$6:$G$20,#REF!)</f>
        <v>#VALUE!</v>
      </c>
    </row>
    <row r="4796" spans="1:5" x14ac:dyDescent="0.2">
      <c r="A4796" s="28">
        <v>4795</v>
      </c>
      <c r="B4796" s="28" t="e">
        <f>interpola(#REF!,CURVA!$B$6:$B$20,CURVA!$G$6:$G$20)</f>
        <v>#VALUE!</v>
      </c>
      <c r="C4796" s="29" t="e">
        <f t="shared" si="74"/>
        <v>#VALUE!</v>
      </c>
      <c r="E4796" t="e">
        <f>cubic_spline(CURVA!$B$6:$B$20,CURVA!$G$6:$G$20,#REF!)</f>
        <v>#VALUE!</v>
      </c>
    </row>
    <row r="4797" spans="1:5" x14ac:dyDescent="0.2">
      <c r="A4797" s="28">
        <v>4796</v>
      </c>
      <c r="B4797" s="28" t="e">
        <f>interpola(#REF!,CURVA!$B$6:$B$20,CURVA!$G$6:$G$20)</f>
        <v>#VALUE!</v>
      </c>
      <c r="C4797" s="29" t="e">
        <f t="shared" si="74"/>
        <v>#VALUE!</v>
      </c>
      <c r="E4797" t="e">
        <f>cubic_spline(CURVA!$B$6:$B$20,CURVA!$G$6:$G$20,#REF!)</f>
        <v>#VALUE!</v>
      </c>
    </row>
    <row r="4798" spans="1:5" x14ac:dyDescent="0.2">
      <c r="A4798" s="28">
        <v>4797</v>
      </c>
      <c r="B4798" s="28" t="e">
        <f>interpola(#REF!,CURVA!$B$6:$B$20,CURVA!$G$6:$G$20)</f>
        <v>#VALUE!</v>
      </c>
      <c r="C4798" s="29" t="e">
        <f t="shared" si="74"/>
        <v>#VALUE!</v>
      </c>
      <c r="E4798" t="e">
        <f>cubic_spline(CURVA!$B$6:$B$20,CURVA!$G$6:$G$20,#REF!)</f>
        <v>#VALUE!</v>
      </c>
    </row>
    <row r="4799" spans="1:5" x14ac:dyDescent="0.2">
      <c r="A4799" s="28">
        <v>4798</v>
      </c>
      <c r="B4799" s="28" t="e">
        <f>interpola(#REF!,CURVA!$B$6:$B$20,CURVA!$G$6:$G$20)</f>
        <v>#VALUE!</v>
      </c>
      <c r="C4799" s="29" t="e">
        <f t="shared" si="74"/>
        <v>#VALUE!</v>
      </c>
      <c r="E4799" t="e">
        <f>cubic_spline(CURVA!$B$6:$B$20,CURVA!$G$6:$G$20,#REF!)</f>
        <v>#VALUE!</v>
      </c>
    </row>
    <row r="4800" spans="1:5" x14ac:dyDescent="0.2">
      <c r="A4800" s="28">
        <v>4799</v>
      </c>
      <c r="B4800" s="28" t="e">
        <f>interpola(#REF!,CURVA!$B$6:$B$20,CURVA!$G$6:$G$20)</f>
        <v>#VALUE!</v>
      </c>
      <c r="C4800" s="29" t="e">
        <f t="shared" si="74"/>
        <v>#VALUE!</v>
      </c>
      <c r="E4800" t="e">
        <f>cubic_spline(CURVA!$B$6:$B$20,CURVA!$G$6:$G$20,#REF!)</f>
        <v>#VALUE!</v>
      </c>
    </row>
    <row r="4801" spans="1:5" x14ac:dyDescent="0.2">
      <c r="A4801" s="28">
        <v>4800</v>
      </c>
      <c r="B4801" s="28" t="e">
        <f>interpola(#REF!,CURVA!$B$6:$B$20,CURVA!$G$6:$G$20)</f>
        <v>#VALUE!</v>
      </c>
      <c r="C4801" s="29" t="e">
        <f t="shared" si="74"/>
        <v>#VALUE!</v>
      </c>
      <c r="E4801" t="e">
        <f>cubic_spline(CURVA!$B$6:$B$20,CURVA!$G$6:$G$20,#REF!)</f>
        <v>#VALUE!</v>
      </c>
    </row>
    <row r="4802" spans="1:5" x14ac:dyDescent="0.2">
      <c r="A4802" s="28">
        <v>4801</v>
      </c>
      <c r="B4802" s="28" t="e">
        <f>interpola(#REF!,CURVA!$B$6:$B$20,CURVA!$G$6:$G$20)</f>
        <v>#VALUE!</v>
      </c>
      <c r="C4802" s="29" t="e">
        <f t="shared" ref="C4802:C4865" si="75">(EXP(B4802*A4802/360)-1)*360/A4802</f>
        <v>#VALUE!</v>
      </c>
      <c r="E4802" t="e">
        <f>cubic_spline(CURVA!$B$6:$B$20,CURVA!$G$6:$G$20,#REF!)</f>
        <v>#VALUE!</v>
      </c>
    </row>
    <row r="4803" spans="1:5" x14ac:dyDescent="0.2">
      <c r="A4803" s="28">
        <v>4802</v>
      </c>
      <c r="B4803" s="28" t="e">
        <f>interpola(#REF!,CURVA!$B$6:$B$20,CURVA!$G$6:$G$20)</f>
        <v>#VALUE!</v>
      </c>
      <c r="C4803" s="29" t="e">
        <f t="shared" si="75"/>
        <v>#VALUE!</v>
      </c>
      <c r="E4803" t="e">
        <f>cubic_spline(CURVA!$B$6:$B$20,CURVA!$G$6:$G$20,#REF!)</f>
        <v>#VALUE!</v>
      </c>
    </row>
    <row r="4804" spans="1:5" x14ac:dyDescent="0.2">
      <c r="A4804" s="28">
        <v>4803</v>
      </c>
      <c r="B4804" s="28" t="e">
        <f>interpola(#REF!,CURVA!$B$6:$B$20,CURVA!$G$6:$G$20)</f>
        <v>#VALUE!</v>
      </c>
      <c r="C4804" s="29" t="e">
        <f t="shared" si="75"/>
        <v>#VALUE!</v>
      </c>
      <c r="E4804" t="e">
        <f>cubic_spline(CURVA!$B$6:$B$20,CURVA!$G$6:$G$20,#REF!)</f>
        <v>#VALUE!</v>
      </c>
    </row>
    <row r="4805" spans="1:5" x14ac:dyDescent="0.2">
      <c r="A4805" s="28">
        <v>4804</v>
      </c>
      <c r="B4805" s="28" t="e">
        <f>interpola(#REF!,CURVA!$B$6:$B$20,CURVA!$G$6:$G$20)</f>
        <v>#VALUE!</v>
      </c>
      <c r="C4805" s="29" t="e">
        <f t="shared" si="75"/>
        <v>#VALUE!</v>
      </c>
      <c r="E4805" t="e">
        <f>cubic_spline(CURVA!$B$6:$B$20,CURVA!$G$6:$G$20,#REF!)</f>
        <v>#VALUE!</v>
      </c>
    </row>
    <row r="4806" spans="1:5" x14ac:dyDescent="0.2">
      <c r="A4806" s="28">
        <v>4805</v>
      </c>
      <c r="B4806" s="28" t="e">
        <f>interpola(#REF!,CURVA!$B$6:$B$20,CURVA!$G$6:$G$20)</f>
        <v>#VALUE!</v>
      </c>
      <c r="C4806" s="29" t="e">
        <f t="shared" si="75"/>
        <v>#VALUE!</v>
      </c>
      <c r="E4806" t="e">
        <f>cubic_spline(CURVA!$B$6:$B$20,CURVA!$G$6:$G$20,#REF!)</f>
        <v>#VALUE!</v>
      </c>
    </row>
    <row r="4807" spans="1:5" x14ac:dyDescent="0.2">
      <c r="A4807" s="28">
        <v>4806</v>
      </c>
      <c r="B4807" s="28" t="e">
        <f>interpola(#REF!,CURVA!$B$6:$B$20,CURVA!$G$6:$G$20)</f>
        <v>#VALUE!</v>
      </c>
      <c r="C4807" s="29" t="e">
        <f t="shared" si="75"/>
        <v>#VALUE!</v>
      </c>
      <c r="E4807" t="e">
        <f>cubic_spline(CURVA!$B$6:$B$20,CURVA!$G$6:$G$20,#REF!)</f>
        <v>#VALUE!</v>
      </c>
    </row>
    <row r="4808" spans="1:5" x14ac:dyDescent="0.2">
      <c r="A4808" s="28">
        <v>4807</v>
      </c>
      <c r="B4808" s="28" t="e">
        <f>interpola(#REF!,CURVA!$B$6:$B$20,CURVA!$G$6:$G$20)</f>
        <v>#VALUE!</v>
      </c>
      <c r="C4808" s="29" t="e">
        <f t="shared" si="75"/>
        <v>#VALUE!</v>
      </c>
      <c r="E4808" t="e">
        <f>cubic_spline(CURVA!$B$6:$B$20,CURVA!$G$6:$G$20,#REF!)</f>
        <v>#VALUE!</v>
      </c>
    </row>
    <row r="4809" spans="1:5" x14ac:dyDescent="0.2">
      <c r="A4809" s="28">
        <v>4808</v>
      </c>
      <c r="B4809" s="28" t="e">
        <f>interpola(#REF!,CURVA!$B$6:$B$20,CURVA!$G$6:$G$20)</f>
        <v>#VALUE!</v>
      </c>
      <c r="C4809" s="29" t="e">
        <f t="shared" si="75"/>
        <v>#VALUE!</v>
      </c>
      <c r="E4809" t="e">
        <f>cubic_spline(CURVA!$B$6:$B$20,CURVA!$G$6:$G$20,#REF!)</f>
        <v>#VALUE!</v>
      </c>
    </row>
    <row r="4810" spans="1:5" x14ac:dyDescent="0.2">
      <c r="A4810" s="28">
        <v>4809</v>
      </c>
      <c r="B4810" s="28" t="e">
        <f>interpola(#REF!,CURVA!$B$6:$B$20,CURVA!$G$6:$G$20)</f>
        <v>#VALUE!</v>
      </c>
      <c r="C4810" s="29" t="e">
        <f t="shared" si="75"/>
        <v>#VALUE!</v>
      </c>
      <c r="E4810" t="e">
        <f>cubic_spline(CURVA!$B$6:$B$20,CURVA!$G$6:$G$20,#REF!)</f>
        <v>#VALUE!</v>
      </c>
    </row>
    <row r="4811" spans="1:5" x14ac:dyDescent="0.2">
      <c r="A4811" s="28">
        <v>4810</v>
      </c>
      <c r="B4811" s="28" t="e">
        <f>interpola(#REF!,CURVA!$B$6:$B$20,CURVA!$G$6:$G$20)</f>
        <v>#VALUE!</v>
      </c>
      <c r="C4811" s="29" t="e">
        <f t="shared" si="75"/>
        <v>#VALUE!</v>
      </c>
      <c r="E4811" t="e">
        <f>cubic_spline(CURVA!$B$6:$B$20,CURVA!$G$6:$G$20,#REF!)</f>
        <v>#VALUE!</v>
      </c>
    </row>
    <row r="4812" spans="1:5" x14ac:dyDescent="0.2">
      <c r="A4812" s="28">
        <v>4811</v>
      </c>
      <c r="B4812" s="28" t="e">
        <f>interpola(#REF!,CURVA!$B$6:$B$20,CURVA!$G$6:$G$20)</f>
        <v>#VALUE!</v>
      </c>
      <c r="C4812" s="29" t="e">
        <f t="shared" si="75"/>
        <v>#VALUE!</v>
      </c>
      <c r="E4812" t="e">
        <f>cubic_spline(CURVA!$B$6:$B$20,CURVA!$G$6:$G$20,#REF!)</f>
        <v>#VALUE!</v>
      </c>
    </row>
    <row r="4813" spans="1:5" x14ac:dyDescent="0.2">
      <c r="A4813" s="28">
        <v>4812</v>
      </c>
      <c r="B4813" s="28" t="e">
        <f>interpola(#REF!,CURVA!$B$6:$B$20,CURVA!$G$6:$G$20)</f>
        <v>#VALUE!</v>
      </c>
      <c r="C4813" s="29" t="e">
        <f t="shared" si="75"/>
        <v>#VALUE!</v>
      </c>
      <c r="E4813" t="e">
        <f>cubic_spline(CURVA!$B$6:$B$20,CURVA!$G$6:$G$20,#REF!)</f>
        <v>#VALUE!</v>
      </c>
    </row>
    <row r="4814" spans="1:5" x14ac:dyDescent="0.2">
      <c r="A4814" s="28">
        <v>4813</v>
      </c>
      <c r="B4814" s="28" t="e">
        <f>interpola(#REF!,CURVA!$B$6:$B$20,CURVA!$G$6:$G$20)</f>
        <v>#VALUE!</v>
      </c>
      <c r="C4814" s="29" t="e">
        <f t="shared" si="75"/>
        <v>#VALUE!</v>
      </c>
      <c r="E4814" t="e">
        <f>cubic_spline(CURVA!$B$6:$B$20,CURVA!$G$6:$G$20,#REF!)</f>
        <v>#VALUE!</v>
      </c>
    </row>
    <row r="4815" spans="1:5" x14ac:dyDescent="0.2">
      <c r="A4815" s="28">
        <v>4814</v>
      </c>
      <c r="B4815" s="28" t="e">
        <f>interpola(#REF!,CURVA!$B$6:$B$20,CURVA!$G$6:$G$20)</f>
        <v>#VALUE!</v>
      </c>
      <c r="C4815" s="29" t="e">
        <f t="shared" si="75"/>
        <v>#VALUE!</v>
      </c>
      <c r="E4815" t="e">
        <f>cubic_spline(CURVA!$B$6:$B$20,CURVA!$G$6:$G$20,#REF!)</f>
        <v>#VALUE!</v>
      </c>
    </row>
    <row r="4816" spans="1:5" x14ac:dyDescent="0.2">
      <c r="A4816" s="28">
        <v>4815</v>
      </c>
      <c r="B4816" s="28" t="e">
        <f>interpola(#REF!,CURVA!$B$6:$B$20,CURVA!$G$6:$G$20)</f>
        <v>#VALUE!</v>
      </c>
      <c r="C4816" s="29" t="e">
        <f t="shared" si="75"/>
        <v>#VALUE!</v>
      </c>
      <c r="E4816" t="e">
        <f>cubic_spline(CURVA!$B$6:$B$20,CURVA!$G$6:$G$20,#REF!)</f>
        <v>#VALUE!</v>
      </c>
    </row>
    <row r="4817" spans="1:5" x14ac:dyDescent="0.2">
      <c r="A4817" s="28">
        <v>4816</v>
      </c>
      <c r="B4817" s="28" t="e">
        <f>interpola(#REF!,CURVA!$B$6:$B$20,CURVA!$G$6:$G$20)</f>
        <v>#VALUE!</v>
      </c>
      <c r="C4817" s="29" t="e">
        <f t="shared" si="75"/>
        <v>#VALUE!</v>
      </c>
      <c r="E4817" t="e">
        <f>cubic_spline(CURVA!$B$6:$B$20,CURVA!$G$6:$G$20,#REF!)</f>
        <v>#VALUE!</v>
      </c>
    </row>
    <row r="4818" spans="1:5" x14ac:dyDescent="0.2">
      <c r="A4818" s="28">
        <v>4817</v>
      </c>
      <c r="B4818" s="28" t="e">
        <f>interpola(#REF!,CURVA!$B$6:$B$20,CURVA!$G$6:$G$20)</f>
        <v>#VALUE!</v>
      </c>
      <c r="C4818" s="29" t="e">
        <f t="shared" si="75"/>
        <v>#VALUE!</v>
      </c>
      <c r="E4818" t="e">
        <f>cubic_spline(CURVA!$B$6:$B$20,CURVA!$G$6:$G$20,#REF!)</f>
        <v>#VALUE!</v>
      </c>
    </row>
    <row r="4819" spans="1:5" x14ac:dyDescent="0.2">
      <c r="A4819" s="28">
        <v>4818</v>
      </c>
      <c r="B4819" s="28" t="e">
        <f>interpola(#REF!,CURVA!$B$6:$B$20,CURVA!$G$6:$G$20)</f>
        <v>#VALUE!</v>
      </c>
      <c r="C4819" s="29" t="e">
        <f t="shared" si="75"/>
        <v>#VALUE!</v>
      </c>
      <c r="E4819" t="e">
        <f>cubic_spline(CURVA!$B$6:$B$20,CURVA!$G$6:$G$20,#REF!)</f>
        <v>#VALUE!</v>
      </c>
    </row>
    <row r="4820" spans="1:5" x14ac:dyDescent="0.2">
      <c r="A4820" s="28">
        <v>4819</v>
      </c>
      <c r="B4820" s="28" t="e">
        <f>interpola(#REF!,CURVA!$B$6:$B$20,CURVA!$G$6:$G$20)</f>
        <v>#VALUE!</v>
      </c>
      <c r="C4820" s="29" t="e">
        <f t="shared" si="75"/>
        <v>#VALUE!</v>
      </c>
      <c r="E4820" t="e">
        <f>cubic_spline(CURVA!$B$6:$B$20,CURVA!$G$6:$G$20,#REF!)</f>
        <v>#VALUE!</v>
      </c>
    </row>
    <row r="4821" spans="1:5" x14ac:dyDescent="0.2">
      <c r="A4821" s="28">
        <v>4820</v>
      </c>
      <c r="B4821" s="28" t="e">
        <f>interpola(#REF!,CURVA!$B$6:$B$20,CURVA!$G$6:$G$20)</f>
        <v>#VALUE!</v>
      </c>
      <c r="C4821" s="29" t="e">
        <f t="shared" si="75"/>
        <v>#VALUE!</v>
      </c>
      <c r="E4821" t="e">
        <f>cubic_spline(CURVA!$B$6:$B$20,CURVA!$G$6:$G$20,#REF!)</f>
        <v>#VALUE!</v>
      </c>
    </row>
    <row r="4822" spans="1:5" x14ac:dyDescent="0.2">
      <c r="A4822" s="28">
        <v>4821</v>
      </c>
      <c r="B4822" s="28" t="e">
        <f>interpola(#REF!,CURVA!$B$6:$B$20,CURVA!$G$6:$G$20)</f>
        <v>#VALUE!</v>
      </c>
      <c r="C4822" s="29" t="e">
        <f t="shared" si="75"/>
        <v>#VALUE!</v>
      </c>
      <c r="E4822" t="e">
        <f>cubic_spline(CURVA!$B$6:$B$20,CURVA!$G$6:$G$20,#REF!)</f>
        <v>#VALUE!</v>
      </c>
    </row>
    <row r="4823" spans="1:5" x14ac:dyDescent="0.2">
      <c r="A4823" s="28">
        <v>4822</v>
      </c>
      <c r="B4823" s="28" t="e">
        <f>interpola(#REF!,CURVA!$B$6:$B$20,CURVA!$G$6:$G$20)</f>
        <v>#VALUE!</v>
      </c>
      <c r="C4823" s="29" t="e">
        <f t="shared" si="75"/>
        <v>#VALUE!</v>
      </c>
      <c r="E4823" t="e">
        <f>cubic_spline(CURVA!$B$6:$B$20,CURVA!$G$6:$G$20,#REF!)</f>
        <v>#VALUE!</v>
      </c>
    </row>
    <row r="4824" spans="1:5" x14ac:dyDescent="0.2">
      <c r="A4824" s="28">
        <v>4823</v>
      </c>
      <c r="B4824" s="28" t="e">
        <f>interpola(#REF!,CURVA!$B$6:$B$20,CURVA!$G$6:$G$20)</f>
        <v>#VALUE!</v>
      </c>
      <c r="C4824" s="29" t="e">
        <f t="shared" si="75"/>
        <v>#VALUE!</v>
      </c>
      <c r="E4824" t="e">
        <f>cubic_spline(CURVA!$B$6:$B$20,CURVA!$G$6:$G$20,#REF!)</f>
        <v>#VALUE!</v>
      </c>
    </row>
    <row r="4825" spans="1:5" x14ac:dyDescent="0.2">
      <c r="A4825" s="28">
        <v>4824</v>
      </c>
      <c r="B4825" s="28" t="e">
        <f>interpola(#REF!,CURVA!$B$6:$B$20,CURVA!$G$6:$G$20)</f>
        <v>#VALUE!</v>
      </c>
      <c r="C4825" s="29" t="e">
        <f t="shared" si="75"/>
        <v>#VALUE!</v>
      </c>
      <c r="E4825" t="e">
        <f>cubic_spline(CURVA!$B$6:$B$20,CURVA!$G$6:$G$20,#REF!)</f>
        <v>#VALUE!</v>
      </c>
    </row>
    <row r="4826" spans="1:5" x14ac:dyDescent="0.2">
      <c r="A4826" s="28">
        <v>4825</v>
      </c>
      <c r="B4826" s="28" t="e">
        <f>interpola(#REF!,CURVA!$B$6:$B$20,CURVA!$G$6:$G$20)</f>
        <v>#VALUE!</v>
      </c>
      <c r="C4826" s="29" t="e">
        <f t="shared" si="75"/>
        <v>#VALUE!</v>
      </c>
      <c r="E4826" t="e">
        <f>cubic_spline(CURVA!$B$6:$B$20,CURVA!$G$6:$G$20,#REF!)</f>
        <v>#VALUE!</v>
      </c>
    </row>
    <row r="4827" spans="1:5" x14ac:dyDescent="0.2">
      <c r="A4827" s="28">
        <v>4826</v>
      </c>
      <c r="B4827" s="28" t="e">
        <f>interpola(#REF!,CURVA!$B$6:$B$20,CURVA!$G$6:$G$20)</f>
        <v>#VALUE!</v>
      </c>
      <c r="C4827" s="29" t="e">
        <f t="shared" si="75"/>
        <v>#VALUE!</v>
      </c>
      <c r="E4827" t="e">
        <f>cubic_spline(CURVA!$B$6:$B$20,CURVA!$G$6:$G$20,#REF!)</f>
        <v>#VALUE!</v>
      </c>
    </row>
    <row r="4828" spans="1:5" x14ac:dyDescent="0.2">
      <c r="A4828" s="28">
        <v>4827</v>
      </c>
      <c r="B4828" s="28" t="e">
        <f>interpola(#REF!,CURVA!$B$6:$B$20,CURVA!$G$6:$G$20)</f>
        <v>#VALUE!</v>
      </c>
      <c r="C4828" s="29" t="e">
        <f t="shared" si="75"/>
        <v>#VALUE!</v>
      </c>
      <c r="E4828" t="e">
        <f>cubic_spline(CURVA!$B$6:$B$20,CURVA!$G$6:$G$20,#REF!)</f>
        <v>#VALUE!</v>
      </c>
    </row>
    <row r="4829" spans="1:5" x14ac:dyDescent="0.2">
      <c r="A4829" s="28">
        <v>4828</v>
      </c>
      <c r="B4829" s="28" t="e">
        <f>interpola(#REF!,CURVA!$B$6:$B$20,CURVA!$G$6:$G$20)</f>
        <v>#VALUE!</v>
      </c>
      <c r="C4829" s="29" t="e">
        <f t="shared" si="75"/>
        <v>#VALUE!</v>
      </c>
      <c r="E4829" t="e">
        <f>cubic_spline(CURVA!$B$6:$B$20,CURVA!$G$6:$G$20,#REF!)</f>
        <v>#VALUE!</v>
      </c>
    </row>
    <row r="4830" spans="1:5" x14ac:dyDescent="0.2">
      <c r="A4830" s="28">
        <v>4829</v>
      </c>
      <c r="B4830" s="28" t="e">
        <f>interpola(#REF!,CURVA!$B$6:$B$20,CURVA!$G$6:$G$20)</f>
        <v>#VALUE!</v>
      </c>
      <c r="C4830" s="29" t="e">
        <f t="shared" si="75"/>
        <v>#VALUE!</v>
      </c>
      <c r="E4830" t="e">
        <f>cubic_spline(CURVA!$B$6:$B$20,CURVA!$G$6:$G$20,#REF!)</f>
        <v>#VALUE!</v>
      </c>
    </row>
    <row r="4831" spans="1:5" x14ac:dyDescent="0.2">
      <c r="A4831" s="28">
        <v>4830</v>
      </c>
      <c r="B4831" s="28" t="e">
        <f>interpola(#REF!,CURVA!$B$6:$B$20,CURVA!$G$6:$G$20)</f>
        <v>#VALUE!</v>
      </c>
      <c r="C4831" s="29" t="e">
        <f t="shared" si="75"/>
        <v>#VALUE!</v>
      </c>
      <c r="E4831" t="e">
        <f>cubic_spline(CURVA!$B$6:$B$20,CURVA!$G$6:$G$20,#REF!)</f>
        <v>#VALUE!</v>
      </c>
    </row>
    <row r="4832" spans="1:5" x14ac:dyDescent="0.2">
      <c r="A4832" s="28">
        <v>4831</v>
      </c>
      <c r="B4832" s="28" t="e">
        <f>interpola(#REF!,CURVA!$B$6:$B$20,CURVA!$G$6:$G$20)</f>
        <v>#VALUE!</v>
      </c>
      <c r="C4832" s="29" t="e">
        <f t="shared" si="75"/>
        <v>#VALUE!</v>
      </c>
      <c r="E4832" t="e">
        <f>cubic_spline(CURVA!$B$6:$B$20,CURVA!$G$6:$G$20,#REF!)</f>
        <v>#VALUE!</v>
      </c>
    </row>
    <row r="4833" spans="1:5" x14ac:dyDescent="0.2">
      <c r="A4833" s="28">
        <v>4832</v>
      </c>
      <c r="B4833" s="28" t="e">
        <f>interpola(#REF!,CURVA!$B$6:$B$20,CURVA!$G$6:$G$20)</f>
        <v>#VALUE!</v>
      </c>
      <c r="C4833" s="29" t="e">
        <f t="shared" si="75"/>
        <v>#VALUE!</v>
      </c>
      <c r="E4833" t="e">
        <f>cubic_spline(CURVA!$B$6:$B$20,CURVA!$G$6:$G$20,#REF!)</f>
        <v>#VALUE!</v>
      </c>
    </row>
    <row r="4834" spans="1:5" x14ac:dyDescent="0.2">
      <c r="A4834" s="28">
        <v>4833</v>
      </c>
      <c r="B4834" s="28" t="e">
        <f>interpola(#REF!,CURVA!$B$6:$B$20,CURVA!$G$6:$G$20)</f>
        <v>#VALUE!</v>
      </c>
      <c r="C4834" s="29" t="e">
        <f t="shared" si="75"/>
        <v>#VALUE!</v>
      </c>
      <c r="E4834" t="e">
        <f>cubic_spline(CURVA!$B$6:$B$20,CURVA!$G$6:$G$20,#REF!)</f>
        <v>#VALUE!</v>
      </c>
    </row>
    <row r="4835" spans="1:5" x14ac:dyDescent="0.2">
      <c r="A4835" s="28">
        <v>4834</v>
      </c>
      <c r="B4835" s="28" t="e">
        <f>interpola(#REF!,CURVA!$B$6:$B$20,CURVA!$G$6:$G$20)</f>
        <v>#VALUE!</v>
      </c>
      <c r="C4835" s="29" t="e">
        <f t="shared" si="75"/>
        <v>#VALUE!</v>
      </c>
      <c r="E4835" t="e">
        <f>cubic_spline(CURVA!$B$6:$B$20,CURVA!$G$6:$G$20,#REF!)</f>
        <v>#VALUE!</v>
      </c>
    </row>
    <row r="4836" spans="1:5" x14ac:dyDescent="0.2">
      <c r="A4836" s="28">
        <v>4835</v>
      </c>
      <c r="B4836" s="28" t="e">
        <f>interpola(#REF!,CURVA!$B$6:$B$20,CURVA!$G$6:$G$20)</f>
        <v>#VALUE!</v>
      </c>
      <c r="C4836" s="29" t="e">
        <f t="shared" si="75"/>
        <v>#VALUE!</v>
      </c>
      <c r="E4836" t="e">
        <f>cubic_spline(CURVA!$B$6:$B$20,CURVA!$G$6:$G$20,#REF!)</f>
        <v>#VALUE!</v>
      </c>
    </row>
    <row r="4837" spans="1:5" x14ac:dyDescent="0.2">
      <c r="A4837" s="28">
        <v>4836</v>
      </c>
      <c r="B4837" s="28" t="e">
        <f>interpola(#REF!,CURVA!$B$6:$B$20,CURVA!$G$6:$G$20)</f>
        <v>#VALUE!</v>
      </c>
      <c r="C4837" s="29" t="e">
        <f t="shared" si="75"/>
        <v>#VALUE!</v>
      </c>
      <c r="E4837" t="e">
        <f>cubic_spline(CURVA!$B$6:$B$20,CURVA!$G$6:$G$20,#REF!)</f>
        <v>#VALUE!</v>
      </c>
    </row>
    <row r="4838" spans="1:5" x14ac:dyDescent="0.2">
      <c r="A4838" s="28">
        <v>4837</v>
      </c>
      <c r="B4838" s="28" t="e">
        <f>interpola(#REF!,CURVA!$B$6:$B$20,CURVA!$G$6:$G$20)</f>
        <v>#VALUE!</v>
      </c>
      <c r="C4838" s="29" t="e">
        <f t="shared" si="75"/>
        <v>#VALUE!</v>
      </c>
      <c r="E4838" t="e">
        <f>cubic_spline(CURVA!$B$6:$B$20,CURVA!$G$6:$G$20,#REF!)</f>
        <v>#VALUE!</v>
      </c>
    </row>
    <row r="4839" spans="1:5" x14ac:dyDescent="0.2">
      <c r="A4839" s="28">
        <v>4838</v>
      </c>
      <c r="B4839" s="28" t="e">
        <f>interpola(#REF!,CURVA!$B$6:$B$20,CURVA!$G$6:$G$20)</f>
        <v>#VALUE!</v>
      </c>
      <c r="C4839" s="29" t="e">
        <f t="shared" si="75"/>
        <v>#VALUE!</v>
      </c>
      <c r="E4839" t="e">
        <f>cubic_spline(CURVA!$B$6:$B$20,CURVA!$G$6:$G$20,#REF!)</f>
        <v>#VALUE!</v>
      </c>
    </row>
    <row r="4840" spans="1:5" x14ac:dyDescent="0.2">
      <c r="A4840" s="28">
        <v>4839</v>
      </c>
      <c r="B4840" s="28" t="e">
        <f>interpola(#REF!,CURVA!$B$6:$B$20,CURVA!$G$6:$G$20)</f>
        <v>#VALUE!</v>
      </c>
      <c r="C4840" s="29" t="e">
        <f t="shared" si="75"/>
        <v>#VALUE!</v>
      </c>
      <c r="E4840" t="e">
        <f>cubic_spline(CURVA!$B$6:$B$20,CURVA!$G$6:$G$20,#REF!)</f>
        <v>#VALUE!</v>
      </c>
    </row>
    <row r="4841" spans="1:5" x14ac:dyDescent="0.2">
      <c r="A4841" s="28">
        <v>4840</v>
      </c>
      <c r="B4841" s="28" t="e">
        <f>interpola(#REF!,CURVA!$B$6:$B$20,CURVA!$G$6:$G$20)</f>
        <v>#VALUE!</v>
      </c>
      <c r="C4841" s="29" t="e">
        <f t="shared" si="75"/>
        <v>#VALUE!</v>
      </c>
      <c r="E4841" t="e">
        <f>cubic_spline(CURVA!$B$6:$B$20,CURVA!$G$6:$G$20,#REF!)</f>
        <v>#VALUE!</v>
      </c>
    </row>
    <row r="4842" spans="1:5" x14ac:dyDescent="0.2">
      <c r="A4842" s="28">
        <v>4841</v>
      </c>
      <c r="B4842" s="28" t="e">
        <f>interpola(#REF!,CURVA!$B$6:$B$20,CURVA!$G$6:$G$20)</f>
        <v>#VALUE!</v>
      </c>
      <c r="C4842" s="29" t="e">
        <f t="shared" si="75"/>
        <v>#VALUE!</v>
      </c>
      <c r="E4842" t="e">
        <f>cubic_spline(CURVA!$B$6:$B$20,CURVA!$G$6:$G$20,#REF!)</f>
        <v>#VALUE!</v>
      </c>
    </row>
    <row r="4843" spans="1:5" x14ac:dyDescent="0.2">
      <c r="A4843" s="28">
        <v>4842</v>
      </c>
      <c r="B4843" s="28" t="e">
        <f>interpola(#REF!,CURVA!$B$6:$B$20,CURVA!$G$6:$G$20)</f>
        <v>#VALUE!</v>
      </c>
      <c r="C4843" s="29" t="e">
        <f t="shared" si="75"/>
        <v>#VALUE!</v>
      </c>
      <c r="E4843" t="e">
        <f>cubic_spline(CURVA!$B$6:$B$20,CURVA!$G$6:$G$20,#REF!)</f>
        <v>#VALUE!</v>
      </c>
    </row>
    <row r="4844" spans="1:5" x14ac:dyDescent="0.2">
      <c r="A4844" s="28">
        <v>4843</v>
      </c>
      <c r="B4844" s="28" t="e">
        <f>interpola(#REF!,CURVA!$B$6:$B$20,CURVA!$G$6:$G$20)</f>
        <v>#VALUE!</v>
      </c>
      <c r="C4844" s="29" t="e">
        <f t="shared" si="75"/>
        <v>#VALUE!</v>
      </c>
      <c r="E4844" t="e">
        <f>cubic_spline(CURVA!$B$6:$B$20,CURVA!$G$6:$G$20,#REF!)</f>
        <v>#VALUE!</v>
      </c>
    </row>
    <row r="4845" spans="1:5" x14ac:dyDescent="0.2">
      <c r="A4845" s="28">
        <v>4844</v>
      </c>
      <c r="B4845" s="28" t="e">
        <f>interpola(#REF!,CURVA!$B$6:$B$20,CURVA!$G$6:$G$20)</f>
        <v>#VALUE!</v>
      </c>
      <c r="C4845" s="29" t="e">
        <f t="shared" si="75"/>
        <v>#VALUE!</v>
      </c>
      <c r="E4845" t="e">
        <f>cubic_spline(CURVA!$B$6:$B$20,CURVA!$G$6:$G$20,#REF!)</f>
        <v>#VALUE!</v>
      </c>
    </row>
    <row r="4846" spans="1:5" x14ac:dyDescent="0.2">
      <c r="A4846" s="28">
        <v>4845</v>
      </c>
      <c r="B4846" s="28" t="e">
        <f>interpola(#REF!,CURVA!$B$6:$B$20,CURVA!$G$6:$G$20)</f>
        <v>#VALUE!</v>
      </c>
      <c r="C4846" s="29" t="e">
        <f t="shared" si="75"/>
        <v>#VALUE!</v>
      </c>
      <c r="E4846" t="e">
        <f>cubic_spline(CURVA!$B$6:$B$20,CURVA!$G$6:$G$20,#REF!)</f>
        <v>#VALUE!</v>
      </c>
    </row>
    <row r="4847" spans="1:5" x14ac:dyDescent="0.2">
      <c r="A4847" s="28">
        <v>4846</v>
      </c>
      <c r="B4847" s="28" t="e">
        <f>interpola(#REF!,CURVA!$B$6:$B$20,CURVA!$G$6:$G$20)</f>
        <v>#VALUE!</v>
      </c>
      <c r="C4847" s="29" t="e">
        <f t="shared" si="75"/>
        <v>#VALUE!</v>
      </c>
      <c r="E4847" t="e">
        <f>cubic_spline(CURVA!$B$6:$B$20,CURVA!$G$6:$G$20,#REF!)</f>
        <v>#VALUE!</v>
      </c>
    </row>
    <row r="4848" spans="1:5" x14ac:dyDescent="0.2">
      <c r="A4848" s="28">
        <v>4847</v>
      </c>
      <c r="B4848" s="28" t="e">
        <f>interpola(#REF!,CURVA!$B$6:$B$20,CURVA!$G$6:$G$20)</f>
        <v>#VALUE!</v>
      </c>
      <c r="C4848" s="29" t="e">
        <f t="shared" si="75"/>
        <v>#VALUE!</v>
      </c>
      <c r="E4848" t="e">
        <f>cubic_spline(CURVA!$B$6:$B$20,CURVA!$G$6:$G$20,#REF!)</f>
        <v>#VALUE!</v>
      </c>
    </row>
    <row r="4849" spans="1:5" x14ac:dyDescent="0.2">
      <c r="A4849" s="28">
        <v>4848</v>
      </c>
      <c r="B4849" s="28" t="e">
        <f>interpola(#REF!,CURVA!$B$6:$B$20,CURVA!$G$6:$G$20)</f>
        <v>#VALUE!</v>
      </c>
      <c r="C4849" s="29" t="e">
        <f t="shared" si="75"/>
        <v>#VALUE!</v>
      </c>
      <c r="E4849" t="e">
        <f>cubic_spline(CURVA!$B$6:$B$20,CURVA!$G$6:$G$20,#REF!)</f>
        <v>#VALUE!</v>
      </c>
    </row>
    <row r="4850" spans="1:5" x14ac:dyDescent="0.2">
      <c r="A4850" s="28">
        <v>4849</v>
      </c>
      <c r="B4850" s="28" t="e">
        <f>interpola(#REF!,CURVA!$B$6:$B$20,CURVA!$G$6:$G$20)</f>
        <v>#VALUE!</v>
      </c>
      <c r="C4850" s="29" t="e">
        <f t="shared" si="75"/>
        <v>#VALUE!</v>
      </c>
      <c r="E4850" t="e">
        <f>cubic_spline(CURVA!$B$6:$B$20,CURVA!$G$6:$G$20,#REF!)</f>
        <v>#VALUE!</v>
      </c>
    </row>
    <row r="4851" spans="1:5" x14ac:dyDescent="0.2">
      <c r="A4851" s="28">
        <v>4850</v>
      </c>
      <c r="B4851" s="28" t="e">
        <f>interpola(#REF!,CURVA!$B$6:$B$20,CURVA!$G$6:$G$20)</f>
        <v>#VALUE!</v>
      </c>
      <c r="C4851" s="29" t="e">
        <f t="shared" si="75"/>
        <v>#VALUE!</v>
      </c>
      <c r="E4851" t="e">
        <f>cubic_spline(CURVA!$B$6:$B$20,CURVA!$G$6:$G$20,#REF!)</f>
        <v>#VALUE!</v>
      </c>
    </row>
    <row r="4852" spans="1:5" x14ac:dyDescent="0.2">
      <c r="A4852" s="28">
        <v>4851</v>
      </c>
      <c r="B4852" s="28" t="e">
        <f>interpola(#REF!,CURVA!$B$6:$B$20,CURVA!$G$6:$G$20)</f>
        <v>#VALUE!</v>
      </c>
      <c r="C4852" s="29" t="e">
        <f t="shared" si="75"/>
        <v>#VALUE!</v>
      </c>
      <c r="E4852" t="e">
        <f>cubic_spline(CURVA!$B$6:$B$20,CURVA!$G$6:$G$20,#REF!)</f>
        <v>#VALUE!</v>
      </c>
    </row>
    <row r="4853" spans="1:5" x14ac:dyDescent="0.2">
      <c r="A4853" s="28">
        <v>4852</v>
      </c>
      <c r="B4853" s="28" t="e">
        <f>interpola(#REF!,CURVA!$B$6:$B$20,CURVA!$G$6:$G$20)</f>
        <v>#VALUE!</v>
      </c>
      <c r="C4853" s="29" t="e">
        <f t="shared" si="75"/>
        <v>#VALUE!</v>
      </c>
      <c r="E4853" t="e">
        <f>cubic_spline(CURVA!$B$6:$B$20,CURVA!$G$6:$G$20,#REF!)</f>
        <v>#VALUE!</v>
      </c>
    </row>
    <row r="4854" spans="1:5" x14ac:dyDescent="0.2">
      <c r="A4854" s="28">
        <v>4853</v>
      </c>
      <c r="B4854" s="28" t="e">
        <f>interpola(#REF!,CURVA!$B$6:$B$20,CURVA!$G$6:$G$20)</f>
        <v>#VALUE!</v>
      </c>
      <c r="C4854" s="29" t="e">
        <f t="shared" si="75"/>
        <v>#VALUE!</v>
      </c>
      <c r="E4854" t="e">
        <f>cubic_spline(CURVA!$B$6:$B$20,CURVA!$G$6:$G$20,#REF!)</f>
        <v>#VALUE!</v>
      </c>
    </row>
    <row r="4855" spans="1:5" x14ac:dyDescent="0.2">
      <c r="A4855" s="28">
        <v>4854</v>
      </c>
      <c r="B4855" s="28" t="e">
        <f>interpola(#REF!,CURVA!$B$6:$B$20,CURVA!$G$6:$G$20)</f>
        <v>#VALUE!</v>
      </c>
      <c r="C4855" s="29" t="e">
        <f t="shared" si="75"/>
        <v>#VALUE!</v>
      </c>
      <c r="E4855" t="e">
        <f>cubic_spline(CURVA!$B$6:$B$20,CURVA!$G$6:$G$20,#REF!)</f>
        <v>#VALUE!</v>
      </c>
    </row>
    <row r="4856" spans="1:5" x14ac:dyDescent="0.2">
      <c r="A4856" s="28">
        <v>4855</v>
      </c>
      <c r="B4856" s="28" t="e">
        <f>interpola(#REF!,CURVA!$B$6:$B$20,CURVA!$G$6:$G$20)</f>
        <v>#VALUE!</v>
      </c>
      <c r="C4856" s="29" t="e">
        <f t="shared" si="75"/>
        <v>#VALUE!</v>
      </c>
      <c r="E4856" t="e">
        <f>cubic_spline(CURVA!$B$6:$B$20,CURVA!$G$6:$G$20,#REF!)</f>
        <v>#VALUE!</v>
      </c>
    </row>
    <row r="4857" spans="1:5" x14ac:dyDescent="0.2">
      <c r="A4857" s="28">
        <v>4856</v>
      </c>
      <c r="B4857" s="28" t="e">
        <f>interpola(#REF!,CURVA!$B$6:$B$20,CURVA!$G$6:$G$20)</f>
        <v>#VALUE!</v>
      </c>
      <c r="C4857" s="29" t="e">
        <f t="shared" si="75"/>
        <v>#VALUE!</v>
      </c>
      <c r="E4857" t="e">
        <f>cubic_spline(CURVA!$B$6:$B$20,CURVA!$G$6:$G$20,#REF!)</f>
        <v>#VALUE!</v>
      </c>
    </row>
    <row r="4858" spans="1:5" x14ac:dyDescent="0.2">
      <c r="A4858" s="28">
        <v>4857</v>
      </c>
      <c r="B4858" s="28" t="e">
        <f>interpola(#REF!,CURVA!$B$6:$B$20,CURVA!$G$6:$G$20)</f>
        <v>#VALUE!</v>
      </c>
      <c r="C4858" s="29" t="e">
        <f t="shared" si="75"/>
        <v>#VALUE!</v>
      </c>
      <c r="E4858" t="e">
        <f>cubic_spline(CURVA!$B$6:$B$20,CURVA!$G$6:$G$20,#REF!)</f>
        <v>#VALUE!</v>
      </c>
    </row>
    <row r="4859" spans="1:5" x14ac:dyDescent="0.2">
      <c r="A4859" s="28">
        <v>4858</v>
      </c>
      <c r="B4859" s="28" t="e">
        <f>interpola(#REF!,CURVA!$B$6:$B$20,CURVA!$G$6:$G$20)</f>
        <v>#VALUE!</v>
      </c>
      <c r="C4859" s="29" t="e">
        <f t="shared" si="75"/>
        <v>#VALUE!</v>
      </c>
      <c r="E4859" t="e">
        <f>cubic_spline(CURVA!$B$6:$B$20,CURVA!$G$6:$G$20,#REF!)</f>
        <v>#VALUE!</v>
      </c>
    </row>
    <row r="4860" spans="1:5" x14ac:dyDescent="0.2">
      <c r="A4860" s="28">
        <v>4859</v>
      </c>
      <c r="B4860" s="28" t="e">
        <f>interpola(#REF!,CURVA!$B$6:$B$20,CURVA!$G$6:$G$20)</f>
        <v>#VALUE!</v>
      </c>
      <c r="C4860" s="29" t="e">
        <f t="shared" si="75"/>
        <v>#VALUE!</v>
      </c>
      <c r="E4860" t="e">
        <f>cubic_spline(CURVA!$B$6:$B$20,CURVA!$G$6:$G$20,#REF!)</f>
        <v>#VALUE!</v>
      </c>
    </row>
    <row r="4861" spans="1:5" x14ac:dyDescent="0.2">
      <c r="A4861" s="28">
        <v>4860</v>
      </c>
      <c r="B4861" s="28" t="e">
        <f>interpola(#REF!,CURVA!$B$6:$B$20,CURVA!$G$6:$G$20)</f>
        <v>#VALUE!</v>
      </c>
      <c r="C4861" s="29" t="e">
        <f t="shared" si="75"/>
        <v>#VALUE!</v>
      </c>
      <c r="E4861" t="e">
        <f>cubic_spline(CURVA!$B$6:$B$20,CURVA!$G$6:$G$20,#REF!)</f>
        <v>#VALUE!</v>
      </c>
    </row>
    <row r="4862" spans="1:5" x14ac:dyDescent="0.2">
      <c r="A4862" s="28">
        <v>4861</v>
      </c>
      <c r="B4862" s="28" t="e">
        <f>interpola(#REF!,CURVA!$B$6:$B$20,CURVA!$G$6:$G$20)</f>
        <v>#VALUE!</v>
      </c>
      <c r="C4862" s="29" t="e">
        <f t="shared" si="75"/>
        <v>#VALUE!</v>
      </c>
      <c r="E4862" t="e">
        <f>cubic_spline(CURVA!$B$6:$B$20,CURVA!$G$6:$G$20,#REF!)</f>
        <v>#VALUE!</v>
      </c>
    </row>
    <row r="4863" spans="1:5" x14ac:dyDescent="0.2">
      <c r="A4863" s="28">
        <v>4862</v>
      </c>
      <c r="B4863" s="28" t="e">
        <f>interpola(#REF!,CURVA!$B$6:$B$20,CURVA!$G$6:$G$20)</f>
        <v>#VALUE!</v>
      </c>
      <c r="C4863" s="29" t="e">
        <f t="shared" si="75"/>
        <v>#VALUE!</v>
      </c>
      <c r="E4863" t="e">
        <f>cubic_spline(CURVA!$B$6:$B$20,CURVA!$G$6:$G$20,#REF!)</f>
        <v>#VALUE!</v>
      </c>
    </row>
    <row r="4864" spans="1:5" x14ac:dyDescent="0.2">
      <c r="A4864" s="28">
        <v>4863</v>
      </c>
      <c r="B4864" s="28" t="e">
        <f>interpola(#REF!,CURVA!$B$6:$B$20,CURVA!$G$6:$G$20)</f>
        <v>#VALUE!</v>
      </c>
      <c r="C4864" s="29" t="e">
        <f t="shared" si="75"/>
        <v>#VALUE!</v>
      </c>
      <c r="E4864" t="e">
        <f>cubic_spline(CURVA!$B$6:$B$20,CURVA!$G$6:$G$20,#REF!)</f>
        <v>#VALUE!</v>
      </c>
    </row>
    <row r="4865" spans="1:5" x14ac:dyDescent="0.2">
      <c r="A4865" s="28">
        <v>4864</v>
      </c>
      <c r="B4865" s="28" t="e">
        <f>interpola(#REF!,CURVA!$B$6:$B$20,CURVA!$G$6:$G$20)</f>
        <v>#VALUE!</v>
      </c>
      <c r="C4865" s="29" t="e">
        <f t="shared" si="75"/>
        <v>#VALUE!</v>
      </c>
      <c r="E4865" t="e">
        <f>cubic_spline(CURVA!$B$6:$B$20,CURVA!$G$6:$G$20,#REF!)</f>
        <v>#VALUE!</v>
      </c>
    </row>
    <row r="4866" spans="1:5" x14ac:dyDescent="0.2">
      <c r="A4866" s="28">
        <v>4865</v>
      </c>
      <c r="B4866" s="28" t="e">
        <f>interpola(#REF!,CURVA!$B$6:$B$20,CURVA!$G$6:$G$20)</f>
        <v>#VALUE!</v>
      </c>
      <c r="C4866" s="29" t="e">
        <f t="shared" ref="C4866:C4929" si="76">(EXP(B4866*A4866/360)-1)*360/A4866</f>
        <v>#VALUE!</v>
      </c>
      <c r="E4866" t="e">
        <f>cubic_spline(CURVA!$B$6:$B$20,CURVA!$G$6:$G$20,#REF!)</f>
        <v>#VALUE!</v>
      </c>
    </row>
    <row r="4867" spans="1:5" x14ac:dyDescent="0.2">
      <c r="A4867" s="28">
        <v>4866</v>
      </c>
      <c r="B4867" s="28" t="e">
        <f>interpola(#REF!,CURVA!$B$6:$B$20,CURVA!$G$6:$G$20)</f>
        <v>#VALUE!</v>
      </c>
      <c r="C4867" s="29" t="e">
        <f t="shared" si="76"/>
        <v>#VALUE!</v>
      </c>
      <c r="E4867" t="e">
        <f>cubic_spline(CURVA!$B$6:$B$20,CURVA!$G$6:$G$20,#REF!)</f>
        <v>#VALUE!</v>
      </c>
    </row>
    <row r="4868" spans="1:5" x14ac:dyDescent="0.2">
      <c r="A4868" s="28">
        <v>4867</v>
      </c>
      <c r="B4868" s="28" t="e">
        <f>interpola(#REF!,CURVA!$B$6:$B$20,CURVA!$G$6:$G$20)</f>
        <v>#VALUE!</v>
      </c>
      <c r="C4868" s="29" t="e">
        <f t="shared" si="76"/>
        <v>#VALUE!</v>
      </c>
      <c r="E4868" t="e">
        <f>cubic_spline(CURVA!$B$6:$B$20,CURVA!$G$6:$G$20,#REF!)</f>
        <v>#VALUE!</v>
      </c>
    </row>
    <row r="4869" spans="1:5" x14ac:dyDescent="0.2">
      <c r="A4869" s="28">
        <v>4868</v>
      </c>
      <c r="B4869" s="28" t="e">
        <f>interpola(#REF!,CURVA!$B$6:$B$20,CURVA!$G$6:$G$20)</f>
        <v>#VALUE!</v>
      </c>
      <c r="C4869" s="29" t="e">
        <f t="shared" si="76"/>
        <v>#VALUE!</v>
      </c>
      <c r="E4869" t="e">
        <f>cubic_spline(CURVA!$B$6:$B$20,CURVA!$G$6:$G$20,#REF!)</f>
        <v>#VALUE!</v>
      </c>
    </row>
    <row r="4870" spans="1:5" x14ac:dyDescent="0.2">
      <c r="A4870" s="28">
        <v>4869</v>
      </c>
      <c r="B4870" s="28" t="e">
        <f>interpola(#REF!,CURVA!$B$6:$B$20,CURVA!$G$6:$G$20)</f>
        <v>#VALUE!</v>
      </c>
      <c r="C4870" s="29" t="e">
        <f t="shared" si="76"/>
        <v>#VALUE!</v>
      </c>
      <c r="E4870" t="e">
        <f>cubic_spline(CURVA!$B$6:$B$20,CURVA!$G$6:$G$20,#REF!)</f>
        <v>#VALUE!</v>
      </c>
    </row>
    <row r="4871" spans="1:5" x14ac:dyDescent="0.2">
      <c r="A4871" s="28">
        <v>4870</v>
      </c>
      <c r="B4871" s="28" t="e">
        <f>interpola(#REF!,CURVA!$B$6:$B$20,CURVA!$G$6:$G$20)</f>
        <v>#VALUE!</v>
      </c>
      <c r="C4871" s="29" t="e">
        <f t="shared" si="76"/>
        <v>#VALUE!</v>
      </c>
      <c r="E4871" t="e">
        <f>cubic_spline(CURVA!$B$6:$B$20,CURVA!$G$6:$G$20,#REF!)</f>
        <v>#VALUE!</v>
      </c>
    </row>
    <row r="4872" spans="1:5" x14ac:dyDescent="0.2">
      <c r="A4872" s="28">
        <v>4871</v>
      </c>
      <c r="B4872" s="28" t="e">
        <f>interpola(#REF!,CURVA!$B$6:$B$20,CURVA!$G$6:$G$20)</f>
        <v>#VALUE!</v>
      </c>
      <c r="C4872" s="29" t="e">
        <f t="shared" si="76"/>
        <v>#VALUE!</v>
      </c>
      <c r="E4872" t="e">
        <f>cubic_spline(CURVA!$B$6:$B$20,CURVA!$G$6:$G$20,#REF!)</f>
        <v>#VALUE!</v>
      </c>
    </row>
    <row r="4873" spans="1:5" x14ac:dyDescent="0.2">
      <c r="A4873" s="28">
        <v>4872</v>
      </c>
      <c r="B4873" s="28" t="e">
        <f>interpola(#REF!,CURVA!$B$6:$B$20,CURVA!$G$6:$G$20)</f>
        <v>#VALUE!</v>
      </c>
      <c r="C4873" s="29" t="e">
        <f t="shared" si="76"/>
        <v>#VALUE!</v>
      </c>
      <c r="E4873" t="e">
        <f>cubic_spline(CURVA!$B$6:$B$20,CURVA!$G$6:$G$20,#REF!)</f>
        <v>#VALUE!</v>
      </c>
    </row>
    <row r="4874" spans="1:5" x14ac:dyDescent="0.2">
      <c r="A4874" s="28">
        <v>4873</v>
      </c>
      <c r="B4874" s="28" t="e">
        <f>interpola(#REF!,CURVA!$B$6:$B$20,CURVA!$G$6:$G$20)</f>
        <v>#VALUE!</v>
      </c>
      <c r="C4874" s="29" t="e">
        <f t="shared" si="76"/>
        <v>#VALUE!</v>
      </c>
      <c r="E4874" t="e">
        <f>cubic_spline(CURVA!$B$6:$B$20,CURVA!$G$6:$G$20,#REF!)</f>
        <v>#VALUE!</v>
      </c>
    </row>
    <row r="4875" spans="1:5" x14ac:dyDescent="0.2">
      <c r="A4875" s="28">
        <v>4874</v>
      </c>
      <c r="B4875" s="28" t="e">
        <f>interpola(#REF!,CURVA!$B$6:$B$20,CURVA!$G$6:$G$20)</f>
        <v>#VALUE!</v>
      </c>
      <c r="C4875" s="29" t="e">
        <f t="shared" si="76"/>
        <v>#VALUE!</v>
      </c>
      <c r="E4875" t="e">
        <f>cubic_spline(CURVA!$B$6:$B$20,CURVA!$G$6:$G$20,#REF!)</f>
        <v>#VALUE!</v>
      </c>
    </row>
    <row r="4876" spans="1:5" x14ac:dyDescent="0.2">
      <c r="A4876" s="28">
        <v>4875</v>
      </c>
      <c r="B4876" s="28" t="e">
        <f>interpola(#REF!,CURVA!$B$6:$B$20,CURVA!$G$6:$G$20)</f>
        <v>#VALUE!</v>
      </c>
      <c r="C4876" s="29" t="e">
        <f t="shared" si="76"/>
        <v>#VALUE!</v>
      </c>
      <c r="E4876" t="e">
        <f>cubic_spline(CURVA!$B$6:$B$20,CURVA!$G$6:$G$20,#REF!)</f>
        <v>#VALUE!</v>
      </c>
    </row>
    <row r="4877" spans="1:5" x14ac:dyDescent="0.2">
      <c r="A4877" s="28">
        <v>4876</v>
      </c>
      <c r="B4877" s="28" t="e">
        <f>interpola(#REF!,CURVA!$B$6:$B$20,CURVA!$G$6:$G$20)</f>
        <v>#VALUE!</v>
      </c>
      <c r="C4877" s="29" t="e">
        <f t="shared" si="76"/>
        <v>#VALUE!</v>
      </c>
      <c r="E4877" t="e">
        <f>cubic_spline(CURVA!$B$6:$B$20,CURVA!$G$6:$G$20,#REF!)</f>
        <v>#VALUE!</v>
      </c>
    </row>
    <row r="4878" spans="1:5" x14ac:dyDescent="0.2">
      <c r="A4878" s="28">
        <v>4877</v>
      </c>
      <c r="B4878" s="28" t="e">
        <f>interpola(#REF!,CURVA!$B$6:$B$20,CURVA!$G$6:$G$20)</f>
        <v>#VALUE!</v>
      </c>
      <c r="C4878" s="29" t="e">
        <f t="shared" si="76"/>
        <v>#VALUE!</v>
      </c>
      <c r="E4878" t="e">
        <f>cubic_spline(CURVA!$B$6:$B$20,CURVA!$G$6:$G$20,#REF!)</f>
        <v>#VALUE!</v>
      </c>
    </row>
    <row r="4879" spans="1:5" x14ac:dyDescent="0.2">
      <c r="A4879" s="28">
        <v>4878</v>
      </c>
      <c r="B4879" s="28" t="e">
        <f>interpola(#REF!,CURVA!$B$6:$B$20,CURVA!$G$6:$G$20)</f>
        <v>#VALUE!</v>
      </c>
      <c r="C4879" s="29" t="e">
        <f t="shared" si="76"/>
        <v>#VALUE!</v>
      </c>
      <c r="E4879" t="e">
        <f>cubic_spline(CURVA!$B$6:$B$20,CURVA!$G$6:$G$20,#REF!)</f>
        <v>#VALUE!</v>
      </c>
    </row>
    <row r="4880" spans="1:5" x14ac:dyDescent="0.2">
      <c r="A4880" s="28">
        <v>4879</v>
      </c>
      <c r="B4880" s="28" t="e">
        <f>interpola(#REF!,CURVA!$B$6:$B$20,CURVA!$G$6:$G$20)</f>
        <v>#VALUE!</v>
      </c>
      <c r="C4880" s="29" t="e">
        <f t="shared" si="76"/>
        <v>#VALUE!</v>
      </c>
      <c r="E4880" t="e">
        <f>cubic_spline(CURVA!$B$6:$B$20,CURVA!$G$6:$G$20,#REF!)</f>
        <v>#VALUE!</v>
      </c>
    </row>
    <row r="4881" spans="1:5" x14ac:dyDescent="0.2">
      <c r="A4881" s="28">
        <v>4880</v>
      </c>
      <c r="B4881" s="28" t="e">
        <f>interpola(#REF!,CURVA!$B$6:$B$20,CURVA!$G$6:$G$20)</f>
        <v>#VALUE!</v>
      </c>
      <c r="C4881" s="29" t="e">
        <f t="shared" si="76"/>
        <v>#VALUE!</v>
      </c>
      <c r="E4881" t="e">
        <f>cubic_spline(CURVA!$B$6:$B$20,CURVA!$G$6:$G$20,#REF!)</f>
        <v>#VALUE!</v>
      </c>
    </row>
    <row r="4882" spans="1:5" x14ac:dyDescent="0.2">
      <c r="A4882" s="28">
        <v>4881</v>
      </c>
      <c r="B4882" s="28" t="e">
        <f>interpola(#REF!,CURVA!$B$6:$B$20,CURVA!$G$6:$G$20)</f>
        <v>#VALUE!</v>
      </c>
      <c r="C4882" s="29" t="e">
        <f t="shared" si="76"/>
        <v>#VALUE!</v>
      </c>
      <c r="E4882" t="e">
        <f>cubic_spline(CURVA!$B$6:$B$20,CURVA!$G$6:$G$20,#REF!)</f>
        <v>#VALUE!</v>
      </c>
    </row>
    <row r="4883" spans="1:5" x14ac:dyDescent="0.2">
      <c r="A4883" s="28">
        <v>4882</v>
      </c>
      <c r="B4883" s="28" t="e">
        <f>interpola(#REF!,CURVA!$B$6:$B$20,CURVA!$G$6:$G$20)</f>
        <v>#VALUE!</v>
      </c>
      <c r="C4883" s="29" t="e">
        <f t="shared" si="76"/>
        <v>#VALUE!</v>
      </c>
      <c r="E4883" t="e">
        <f>cubic_spline(CURVA!$B$6:$B$20,CURVA!$G$6:$G$20,#REF!)</f>
        <v>#VALUE!</v>
      </c>
    </row>
    <row r="4884" spans="1:5" x14ac:dyDescent="0.2">
      <c r="A4884" s="28">
        <v>4883</v>
      </c>
      <c r="B4884" s="28" t="e">
        <f>interpola(#REF!,CURVA!$B$6:$B$20,CURVA!$G$6:$G$20)</f>
        <v>#VALUE!</v>
      </c>
      <c r="C4884" s="29" t="e">
        <f t="shared" si="76"/>
        <v>#VALUE!</v>
      </c>
      <c r="E4884" t="e">
        <f>cubic_spline(CURVA!$B$6:$B$20,CURVA!$G$6:$G$20,#REF!)</f>
        <v>#VALUE!</v>
      </c>
    </row>
    <row r="4885" spans="1:5" x14ac:dyDescent="0.2">
      <c r="A4885" s="28">
        <v>4884</v>
      </c>
      <c r="B4885" s="28" t="e">
        <f>interpola(#REF!,CURVA!$B$6:$B$20,CURVA!$G$6:$G$20)</f>
        <v>#VALUE!</v>
      </c>
      <c r="C4885" s="29" t="e">
        <f t="shared" si="76"/>
        <v>#VALUE!</v>
      </c>
      <c r="E4885" t="e">
        <f>cubic_spline(CURVA!$B$6:$B$20,CURVA!$G$6:$G$20,#REF!)</f>
        <v>#VALUE!</v>
      </c>
    </row>
    <row r="4886" spans="1:5" x14ac:dyDescent="0.2">
      <c r="A4886" s="28">
        <v>4885</v>
      </c>
      <c r="B4886" s="28" t="e">
        <f>interpola(#REF!,CURVA!$B$6:$B$20,CURVA!$G$6:$G$20)</f>
        <v>#VALUE!</v>
      </c>
      <c r="C4886" s="29" t="e">
        <f t="shared" si="76"/>
        <v>#VALUE!</v>
      </c>
      <c r="E4886" t="e">
        <f>cubic_spline(CURVA!$B$6:$B$20,CURVA!$G$6:$G$20,#REF!)</f>
        <v>#VALUE!</v>
      </c>
    </row>
    <row r="4887" spans="1:5" x14ac:dyDescent="0.2">
      <c r="A4887" s="28">
        <v>4886</v>
      </c>
      <c r="B4887" s="28" t="e">
        <f>interpola(#REF!,CURVA!$B$6:$B$20,CURVA!$G$6:$G$20)</f>
        <v>#VALUE!</v>
      </c>
      <c r="C4887" s="29" t="e">
        <f t="shared" si="76"/>
        <v>#VALUE!</v>
      </c>
      <c r="E4887" t="e">
        <f>cubic_spline(CURVA!$B$6:$B$20,CURVA!$G$6:$G$20,#REF!)</f>
        <v>#VALUE!</v>
      </c>
    </row>
    <row r="4888" spans="1:5" x14ac:dyDescent="0.2">
      <c r="A4888" s="28">
        <v>4887</v>
      </c>
      <c r="B4888" s="28" t="e">
        <f>interpola(#REF!,CURVA!$B$6:$B$20,CURVA!$G$6:$G$20)</f>
        <v>#VALUE!</v>
      </c>
      <c r="C4888" s="29" t="e">
        <f t="shared" si="76"/>
        <v>#VALUE!</v>
      </c>
      <c r="E4888" t="e">
        <f>cubic_spline(CURVA!$B$6:$B$20,CURVA!$G$6:$G$20,#REF!)</f>
        <v>#VALUE!</v>
      </c>
    </row>
    <row r="4889" spans="1:5" x14ac:dyDescent="0.2">
      <c r="A4889" s="28">
        <v>4888</v>
      </c>
      <c r="B4889" s="28" t="e">
        <f>interpola(#REF!,CURVA!$B$6:$B$20,CURVA!$G$6:$G$20)</f>
        <v>#VALUE!</v>
      </c>
      <c r="C4889" s="29" t="e">
        <f t="shared" si="76"/>
        <v>#VALUE!</v>
      </c>
      <c r="E4889" t="e">
        <f>cubic_spline(CURVA!$B$6:$B$20,CURVA!$G$6:$G$20,#REF!)</f>
        <v>#VALUE!</v>
      </c>
    </row>
    <row r="4890" spans="1:5" x14ac:dyDescent="0.2">
      <c r="A4890" s="28">
        <v>4889</v>
      </c>
      <c r="B4890" s="28" t="e">
        <f>interpola(#REF!,CURVA!$B$6:$B$20,CURVA!$G$6:$G$20)</f>
        <v>#VALUE!</v>
      </c>
      <c r="C4890" s="29" t="e">
        <f t="shared" si="76"/>
        <v>#VALUE!</v>
      </c>
      <c r="E4890" t="e">
        <f>cubic_spline(CURVA!$B$6:$B$20,CURVA!$G$6:$G$20,#REF!)</f>
        <v>#VALUE!</v>
      </c>
    </row>
    <row r="4891" spans="1:5" x14ac:dyDescent="0.2">
      <c r="A4891" s="28">
        <v>4890</v>
      </c>
      <c r="B4891" s="28" t="e">
        <f>interpola(#REF!,CURVA!$B$6:$B$20,CURVA!$G$6:$G$20)</f>
        <v>#VALUE!</v>
      </c>
      <c r="C4891" s="29" t="e">
        <f t="shared" si="76"/>
        <v>#VALUE!</v>
      </c>
      <c r="E4891" t="e">
        <f>cubic_spline(CURVA!$B$6:$B$20,CURVA!$G$6:$G$20,#REF!)</f>
        <v>#VALUE!</v>
      </c>
    </row>
    <row r="4892" spans="1:5" x14ac:dyDescent="0.2">
      <c r="A4892" s="28">
        <v>4891</v>
      </c>
      <c r="B4892" s="28" t="e">
        <f>interpola(#REF!,CURVA!$B$6:$B$20,CURVA!$G$6:$G$20)</f>
        <v>#VALUE!</v>
      </c>
      <c r="C4892" s="29" t="e">
        <f t="shared" si="76"/>
        <v>#VALUE!</v>
      </c>
      <c r="E4892" t="e">
        <f>cubic_spline(CURVA!$B$6:$B$20,CURVA!$G$6:$G$20,#REF!)</f>
        <v>#VALUE!</v>
      </c>
    </row>
    <row r="4893" spans="1:5" x14ac:dyDescent="0.2">
      <c r="A4893" s="28">
        <v>4892</v>
      </c>
      <c r="B4893" s="28" t="e">
        <f>interpola(#REF!,CURVA!$B$6:$B$20,CURVA!$G$6:$G$20)</f>
        <v>#VALUE!</v>
      </c>
      <c r="C4893" s="29" t="e">
        <f t="shared" si="76"/>
        <v>#VALUE!</v>
      </c>
      <c r="E4893" t="e">
        <f>cubic_spline(CURVA!$B$6:$B$20,CURVA!$G$6:$G$20,#REF!)</f>
        <v>#VALUE!</v>
      </c>
    </row>
    <row r="4894" spans="1:5" x14ac:dyDescent="0.2">
      <c r="A4894" s="28">
        <v>4893</v>
      </c>
      <c r="B4894" s="28" t="e">
        <f>interpola(#REF!,CURVA!$B$6:$B$20,CURVA!$G$6:$G$20)</f>
        <v>#VALUE!</v>
      </c>
      <c r="C4894" s="29" t="e">
        <f t="shared" si="76"/>
        <v>#VALUE!</v>
      </c>
      <c r="E4894" t="e">
        <f>cubic_spline(CURVA!$B$6:$B$20,CURVA!$G$6:$G$20,#REF!)</f>
        <v>#VALUE!</v>
      </c>
    </row>
    <row r="4895" spans="1:5" x14ac:dyDescent="0.2">
      <c r="A4895" s="28">
        <v>4894</v>
      </c>
      <c r="B4895" s="28" t="e">
        <f>interpola(#REF!,CURVA!$B$6:$B$20,CURVA!$G$6:$G$20)</f>
        <v>#VALUE!</v>
      </c>
      <c r="C4895" s="29" t="e">
        <f t="shared" si="76"/>
        <v>#VALUE!</v>
      </c>
      <c r="E4895" t="e">
        <f>cubic_spline(CURVA!$B$6:$B$20,CURVA!$G$6:$G$20,#REF!)</f>
        <v>#VALUE!</v>
      </c>
    </row>
    <row r="4896" spans="1:5" x14ac:dyDescent="0.2">
      <c r="A4896" s="28">
        <v>4895</v>
      </c>
      <c r="B4896" s="28" t="e">
        <f>interpola(#REF!,CURVA!$B$6:$B$20,CURVA!$G$6:$G$20)</f>
        <v>#VALUE!</v>
      </c>
      <c r="C4896" s="29" t="e">
        <f t="shared" si="76"/>
        <v>#VALUE!</v>
      </c>
      <c r="E4896" t="e">
        <f>cubic_spline(CURVA!$B$6:$B$20,CURVA!$G$6:$G$20,#REF!)</f>
        <v>#VALUE!</v>
      </c>
    </row>
    <row r="4897" spans="1:5" x14ac:dyDescent="0.2">
      <c r="A4897" s="28">
        <v>4896</v>
      </c>
      <c r="B4897" s="28" t="e">
        <f>interpola(#REF!,CURVA!$B$6:$B$20,CURVA!$G$6:$G$20)</f>
        <v>#VALUE!</v>
      </c>
      <c r="C4897" s="29" t="e">
        <f t="shared" si="76"/>
        <v>#VALUE!</v>
      </c>
      <c r="E4897" t="e">
        <f>cubic_spline(CURVA!$B$6:$B$20,CURVA!$G$6:$G$20,#REF!)</f>
        <v>#VALUE!</v>
      </c>
    </row>
    <row r="4898" spans="1:5" x14ac:dyDescent="0.2">
      <c r="A4898" s="28">
        <v>4897</v>
      </c>
      <c r="B4898" s="28" t="e">
        <f>interpola(#REF!,CURVA!$B$6:$B$20,CURVA!$G$6:$G$20)</f>
        <v>#VALUE!</v>
      </c>
      <c r="C4898" s="29" t="e">
        <f t="shared" si="76"/>
        <v>#VALUE!</v>
      </c>
      <c r="E4898" t="e">
        <f>cubic_spline(CURVA!$B$6:$B$20,CURVA!$G$6:$G$20,#REF!)</f>
        <v>#VALUE!</v>
      </c>
    </row>
    <row r="4899" spans="1:5" x14ac:dyDescent="0.2">
      <c r="A4899" s="28">
        <v>4898</v>
      </c>
      <c r="B4899" s="28" t="e">
        <f>interpola(#REF!,CURVA!$B$6:$B$20,CURVA!$G$6:$G$20)</f>
        <v>#VALUE!</v>
      </c>
      <c r="C4899" s="29" t="e">
        <f t="shared" si="76"/>
        <v>#VALUE!</v>
      </c>
      <c r="E4899" t="e">
        <f>cubic_spline(CURVA!$B$6:$B$20,CURVA!$G$6:$G$20,#REF!)</f>
        <v>#VALUE!</v>
      </c>
    </row>
    <row r="4900" spans="1:5" x14ac:dyDescent="0.2">
      <c r="A4900" s="28">
        <v>4899</v>
      </c>
      <c r="B4900" s="28" t="e">
        <f>interpola(#REF!,CURVA!$B$6:$B$20,CURVA!$G$6:$G$20)</f>
        <v>#VALUE!</v>
      </c>
      <c r="C4900" s="29" t="e">
        <f t="shared" si="76"/>
        <v>#VALUE!</v>
      </c>
      <c r="E4900" t="e">
        <f>cubic_spline(CURVA!$B$6:$B$20,CURVA!$G$6:$G$20,#REF!)</f>
        <v>#VALUE!</v>
      </c>
    </row>
    <row r="4901" spans="1:5" x14ac:dyDescent="0.2">
      <c r="A4901" s="28">
        <v>4900</v>
      </c>
      <c r="B4901" s="28" t="e">
        <f>interpola(#REF!,CURVA!$B$6:$B$20,CURVA!$G$6:$G$20)</f>
        <v>#VALUE!</v>
      </c>
      <c r="C4901" s="29" t="e">
        <f t="shared" si="76"/>
        <v>#VALUE!</v>
      </c>
      <c r="E4901" t="e">
        <f>cubic_spline(CURVA!$B$6:$B$20,CURVA!$G$6:$G$20,#REF!)</f>
        <v>#VALUE!</v>
      </c>
    </row>
    <row r="4902" spans="1:5" x14ac:dyDescent="0.2">
      <c r="A4902" s="28">
        <v>4901</v>
      </c>
      <c r="B4902" s="28" t="e">
        <f>interpola(#REF!,CURVA!$B$6:$B$20,CURVA!$G$6:$G$20)</f>
        <v>#VALUE!</v>
      </c>
      <c r="C4902" s="29" t="e">
        <f t="shared" si="76"/>
        <v>#VALUE!</v>
      </c>
      <c r="E4902" t="e">
        <f>cubic_spline(CURVA!$B$6:$B$20,CURVA!$G$6:$G$20,#REF!)</f>
        <v>#VALUE!</v>
      </c>
    </row>
    <row r="4903" spans="1:5" x14ac:dyDescent="0.2">
      <c r="A4903" s="28">
        <v>4902</v>
      </c>
      <c r="B4903" s="28" t="e">
        <f>interpola(#REF!,CURVA!$B$6:$B$20,CURVA!$G$6:$G$20)</f>
        <v>#VALUE!</v>
      </c>
      <c r="C4903" s="29" t="e">
        <f t="shared" si="76"/>
        <v>#VALUE!</v>
      </c>
      <c r="E4903" t="e">
        <f>cubic_spline(CURVA!$B$6:$B$20,CURVA!$G$6:$G$20,#REF!)</f>
        <v>#VALUE!</v>
      </c>
    </row>
    <row r="4904" spans="1:5" x14ac:dyDescent="0.2">
      <c r="A4904" s="28">
        <v>4903</v>
      </c>
      <c r="B4904" s="28" t="e">
        <f>interpola(#REF!,CURVA!$B$6:$B$20,CURVA!$G$6:$G$20)</f>
        <v>#VALUE!</v>
      </c>
      <c r="C4904" s="29" t="e">
        <f t="shared" si="76"/>
        <v>#VALUE!</v>
      </c>
      <c r="E4904" t="e">
        <f>cubic_spline(CURVA!$B$6:$B$20,CURVA!$G$6:$G$20,#REF!)</f>
        <v>#VALUE!</v>
      </c>
    </row>
    <row r="4905" spans="1:5" x14ac:dyDescent="0.2">
      <c r="A4905" s="28">
        <v>4904</v>
      </c>
      <c r="B4905" s="28" t="e">
        <f>interpola(#REF!,CURVA!$B$6:$B$20,CURVA!$G$6:$G$20)</f>
        <v>#VALUE!</v>
      </c>
      <c r="C4905" s="29" t="e">
        <f t="shared" si="76"/>
        <v>#VALUE!</v>
      </c>
      <c r="E4905" t="e">
        <f>cubic_spline(CURVA!$B$6:$B$20,CURVA!$G$6:$G$20,#REF!)</f>
        <v>#VALUE!</v>
      </c>
    </row>
    <row r="4906" spans="1:5" x14ac:dyDescent="0.2">
      <c r="A4906" s="28">
        <v>4905</v>
      </c>
      <c r="B4906" s="28" t="e">
        <f>interpola(#REF!,CURVA!$B$6:$B$20,CURVA!$G$6:$G$20)</f>
        <v>#VALUE!</v>
      </c>
      <c r="C4906" s="29" t="e">
        <f t="shared" si="76"/>
        <v>#VALUE!</v>
      </c>
      <c r="E4906" t="e">
        <f>cubic_spline(CURVA!$B$6:$B$20,CURVA!$G$6:$G$20,#REF!)</f>
        <v>#VALUE!</v>
      </c>
    </row>
    <row r="4907" spans="1:5" x14ac:dyDescent="0.2">
      <c r="A4907" s="28">
        <v>4906</v>
      </c>
      <c r="B4907" s="28" t="e">
        <f>interpola(#REF!,CURVA!$B$6:$B$20,CURVA!$G$6:$G$20)</f>
        <v>#VALUE!</v>
      </c>
      <c r="C4907" s="29" t="e">
        <f t="shared" si="76"/>
        <v>#VALUE!</v>
      </c>
      <c r="E4907" t="e">
        <f>cubic_spline(CURVA!$B$6:$B$20,CURVA!$G$6:$G$20,#REF!)</f>
        <v>#VALUE!</v>
      </c>
    </row>
    <row r="4908" spans="1:5" x14ac:dyDescent="0.2">
      <c r="A4908" s="28">
        <v>4907</v>
      </c>
      <c r="B4908" s="28" t="e">
        <f>interpola(#REF!,CURVA!$B$6:$B$20,CURVA!$G$6:$G$20)</f>
        <v>#VALUE!</v>
      </c>
      <c r="C4908" s="29" t="e">
        <f t="shared" si="76"/>
        <v>#VALUE!</v>
      </c>
      <c r="E4908" t="e">
        <f>cubic_spline(CURVA!$B$6:$B$20,CURVA!$G$6:$G$20,#REF!)</f>
        <v>#VALUE!</v>
      </c>
    </row>
    <row r="4909" spans="1:5" x14ac:dyDescent="0.2">
      <c r="A4909" s="28">
        <v>4908</v>
      </c>
      <c r="B4909" s="28" t="e">
        <f>interpola(#REF!,CURVA!$B$6:$B$20,CURVA!$G$6:$G$20)</f>
        <v>#VALUE!</v>
      </c>
      <c r="C4909" s="29" t="e">
        <f t="shared" si="76"/>
        <v>#VALUE!</v>
      </c>
      <c r="E4909" t="e">
        <f>cubic_spline(CURVA!$B$6:$B$20,CURVA!$G$6:$G$20,#REF!)</f>
        <v>#VALUE!</v>
      </c>
    </row>
    <row r="4910" spans="1:5" x14ac:dyDescent="0.2">
      <c r="A4910" s="28">
        <v>4909</v>
      </c>
      <c r="B4910" s="28" t="e">
        <f>interpola(#REF!,CURVA!$B$6:$B$20,CURVA!$G$6:$G$20)</f>
        <v>#VALUE!</v>
      </c>
      <c r="C4910" s="29" t="e">
        <f t="shared" si="76"/>
        <v>#VALUE!</v>
      </c>
      <c r="E4910" t="e">
        <f>cubic_spline(CURVA!$B$6:$B$20,CURVA!$G$6:$G$20,#REF!)</f>
        <v>#VALUE!</v>
      </c>
    </row>
    <row r="4911" spans="1:5" x14ac:dyDescent="0.2">
      <c r="A4911" s="28">
        <v>4910</v>
      </c>
      <c r="B4911" s="28" t="e">
        <f>interpola(#REF!,CURVA!$B$6:$B$20,CURVA!$G$6:$G$20)</f>
        <v>#VALUE!</v>
      </c>
      <c r="C4911" s="29" t="e">
        <f t="shared" si="76"/>
        <v>#VALUE!</v>
      </c>
      <c r="E4911" t="e">
        <f>cubic_spline(CURVA!$B$6:$B$20,CURVA!$G$6:$G$20,#REF!)</f>
        <v>#VALUE!</v>
      </c>
    </row>
    <row r="4912" spans="1:5" x14ac:dyDescent="0.2">
      <c r="A4912" s="28">
        <v>4911</v>
      </c>
      <c r="B4912" s="28" t="e">
        <f>interpola(#REF!,CURVA!$B$6:$B$20,CURVA!$G$6:$G$20)</f>
        <v>#VALUE!</v>
      </c>
      <c r="C4912" s="29" t="e">
        <f t="shared" si="76"/>
        <v>#VALUE!</v>
      </c>
      <c r="E4912" t="e">
        <f>cubic_spline(CURVA!$B$6:$B$20,CURVA!$G$6:$G$20,#REF!)</f>
        <v>#VALUE!</v>
      </c>
    </row>
    <row r="4913" spans="1:5" x14ac:dyDescent="0.2">
      <c r="A4913" s="28">
        <v>4912</v>
      </c>
      <c r="B4913" s="28" t="e">
        <f>interpola(#REF!,CURVA!$B$6:$B$20,CURVA!$G$6:$G$20)</f>
        <v>#VALUE!</v>
      </c>
      <c r="C4913" s="29" t="e">
        <f t="shared" si="76"/>
        <v>#VALUE!</v>
      </c>
      <c r="E4913" t="e">
        <f>cubic_spline(CURVA!$B$6:$B$20,CURVA!$G$6:$G$20,#REF!)</f>
        <v>#VALUE!</v>
      </c>
    </row>
    <row r="4914" spans="1:5" x14ac:dyDescent="0.2">
      <c r="A4914" s="28">
        <v>4913</v>
      </c>
      <c r="B4914" s="28" t="e">
        <f>interpola(#REF!,CURVA!$B$6:$B$20,CURVA!$G$6:$G$20)</f>
        <v>#VALUE!</v>
      </c>
      <c r="C4914" s="29" t="e">
        <f t="shared" si="76"/>
        <v>#VALUE!</v>
      </c>
      <c r="E4914" t="e">
        <f>cubic_spline(CURVA!$B$6:$B$20,CURVA!$G$6:$G$20,#REF!)</f>
        <v>#VALUE!</v>
      </c>
    </row>
    <row r="4915" spans="1:5" x14ac:dyDescent="0.2">
      <c r="A4915" s="28">
        <v>4914</v>
      </c>
      <c r="B4915" s="28" t="e">
        <f>interpola(#REF!,CURVA!$B$6:$B$20,CURVA!$G$6:$G$20)</f>
        <v>#VALUE!</v>
      </c>
      <c r="C4915" s="29" t="e">
        <f t="shared" si="76"/>
        <v>#VALUE!</v>
      </c>
      <c r="E4915" t="e">
        <f>cubic_spline(CURVA!$B$6:$B$20,CURVA!$G$6:$G$20,#REF!)</f>
        <v>#VALUE!</v>
      </c>
    </row>
    <row r="4916" spans="1:5" x14ac:dyDescent="0.2">
      <c r="A4916" s="28">
        <v>4915</v>
      </c>
      <c r="B4916" s="28" t="e">
        <f>interpola(#REF!,CURVA!$B$6:$B$20,CURVA!$G$6:$G$20)</f>
        <v>#VALUE!</v>
      </c>
      <c r="C4916" s="29" t="e">
        <f t="shared" si="76"/>
        <v>#VALUE!</v>
      </c>
      <c r="E4916" t="e">
        <f>cubic_spline(CURVA!$B$6:$B$20,CURVA!$G$6:$G$20,#REF!)</f>
        <v>#VALUE!</v>
      </c>
    </row>
    <row r="4917" spans="1:5" x14ac:dyDescent="0.2">
      <c r="A4917" s="28">
        <v>4916</v>
      </c>
      <c r="B4917" s="28" t="e">
        <f>interpola(#REF!,CURVA!$B$6:$B$20,CURVA!$G$6:$G$20)</f>
        <v>#VALUE!</v>
      </c>
      <c r="C4917" s="29" t="e">
        <f t="shared" si="76"/>
        <v>#VALUE!</v>
      </c>
      <c r="E4917" t="e">
        <f>cubic_spline(CURVA!$B$6:$B$20,CURVA!$G$6:$G$20,#REF!)</f>
        <v>#VALUE!</v>
      </c>
    </row>
    <row r="4918" spans="1:5" x14ac:dyDescent="0.2">
      <c r="A4918" s="28">
        <v>4917</v>
      </c>
      <c r="B4918" s="28" t="e">
        <f>interpola(#REF!,CURVA!$B$6:$B$20,CURVA!$G$6:$G$20)</f>
        <v>#VALUE!</v>
      </c>
      <c r="C4918" s="29" t="e">
        <f t="shared" si="76"/>
        <v>#VALUE!</v>
      </c>
      <c r="E4918" t="e">
        <f>cubic_spline(CURVA!$B$6:$B$20,CURVA!$G$6:$G$20,#REF!)</f>
        <v>#VALUE!</v>
      </c>
    </row>
    <row r="4919" spans="1:5" x14ac:dyDescent="0.2">
      <c r="A4919" s="28">
        <v>4918</v>
      </c>
      <c r="B4919" s="28" t="e">
        <f>interpola(#REF!,CURVA!$B$6:$B$20,CURVA!$G$6:$G$20)</f>
        <v>#VALUE!</v>
      </c>
      <c r="C4919" s="29" t="e">
        <f t="shared" si="76"/>
        <v>#VALUE!</v>
      </c>
      <c r="E4919" t="e">
        <f>cubic_spline(CURVA!$B$6:$B$20,CURVA!$G$6:$G$20,#REF!)</f>
        <v>#VALUE!</v>
      </c>
    </row>
    <row r="4920" spans="1:5" x14ac:dyDescent="0.2">
      <c r="A4920" s="28">
        <v>4919</v>
      </c>
      <c r="B4920" s="28" t="e">
        <f>interpola(#REF!,CURVA!$B$6:$B$20,CURVA!$G$6:$G$20)</f>
        <v>#VALUE!</v>
      </c>
      <c r="C4920" s="29" t="e">
        <f t="shared" si="76"/>
        <v>#VALUE!</v>
      </c>
      <c r="E4920" t="e">
        <f>cubic_spline(CURVA!$B$6:$B$20,CURVA!$G$6:$G$20,#REF!)</f>
        <v>#VALUE!</v>
      </c>
    </row>
    <row r="4921" spans="1:5" x14ac:dyDescent="0.2">
      <c r="A4921" s="28">
        <v>4920</v>
      </c>
      <c r="B4921" s="28" t="e">
        <f>interpola(#REF!,CURVA!$B$6:$B$20,CURVA!$G$6:$G$20)</f>
        <v>#VALUE!</v>
      </c>
      <c r="C4921" s="29" t="e">
        <f t="shared" si="76"/>
        <v>#VALUE!</v>
      </c>
      <c r="E4921" t="e">
        <f>cubic_spline(CURVA!$B$6:$B$20,CURVA!$G$6:$G$20,#REF!)</f>
        <v>#VALUE!</v>
      </c>
    </row>
    <row r="4922" spans="1:5" x14ac:dyDescent="0.2">
      <c r="A4922" s="28">
        <v>4921</v>
      </c>
      <c r="B4922" s="28" t="e">
        <f>interpola(#REF!,CURVA!$B$6:$B$20,CURVA!$G$6:$G$20)</f>
        <v>#VALUE!</v>
      </c>
      <c r="C4922" s="29" t="e">
        <f t="shared" si="76"/>
        <v>#VALUE!</v>
      </c>
      <c r="E4922" t="e">
        <f>cubic_spline(CURVA!$B$6:$B$20,CURVA!$G$6:$G$20,#REF!)</f>
        <v>#VALUE!</v>
      </c>
    </row>
    <row r="4923" spans="1:5" x14ac:dyDescent="0.2">
      <c r="A4923" s="28">
        <v>4922</v>
      </c>
      <c r="B4923" s="28" t="e">
        <f>interpola(#REF!,CURVA!$B$6:$B$20,CURVA!$G$6:$G$20)</f>
        <v>#VALUE!</v>
      </c>
      <c r="C4923" s="29" t="e">
        <f t="shared" si="76"/>
        <v>#VALUE!</v>
      </c>
      <c r="E4923" t="e">
        <f>cubic_spline(CURVA!$B$6:$B$20,CURVA!$G$6:$G$20,#REF!)</f>
        <v>#VALUE!</v>
      </c>
    </row>
    <row r="4924" spans="1:5" x14ac:dyDescent="0.2">
      <c r="A4924" s="28">
        <v>4923</v>
      </c>
      <c r="B4924" s="28" t="e">
        <f>interpola(#REF!,CURVA!$B$6:$B$20,CURVA!$G$6:$G$20)</f>
        <v>#VALUE!</v>
      </c>
      <c r="C4924" s="29" t="e">
        <f t="shared" si="76"/>
        <v>#VALUE!</v>
      </c>
      <c r="E4924" t="e">
        <f>cubic_spline(CURVA!$B$6:$B$20,CURVA!$G$6:$G$20,#REF!)</f>
        <v>#VALUE!</v>
      </c>
    </row>
    <row r="4925" spans="1:5" x14ac:dyDescent="0.2">
      <c r="A4925" s="28">
        <v>4924</v>
      </c>
      <c r="B4925" s="28" t="e">
        <f>interpola(#REF!,CURVA!$B$6:$B$20,CURVA!$G$6:$G$20)</f>
        <v>#VALUE!</v>
      </c>
      <c r="C4925" s="29" t="e">
        <f t="shared" si="76"/>
        <v>#VALUE!</v>
      </c>
      <c r="E4925" t="e">
        <f>cubic_spline(CURVA!$B$6:$B$20,CURVA!$G$6:$G$20,#REF!)</f>
        <v>#VALUE!</v>
      </c>
    </row>
    <row r="4926" spans="1:5" x14ac:dyDescent="0.2">
      <c r="A4926" s="28">
        <v>4925</v>
      </c>
      <c r="B4926" s="28" t="e">
        <f>interpola(#REF!,CURVA!$B$6:$B$20,CURVA!$G$6:$G$20)</f>
        <v>#VALUE!</v>
      </c>
      <c r="C4926" s="29" t="e">
        <f t="shared" si="76"/>
        <v>#VALUE!</v>
      </c>
      <c r="E4926" t="e">
        <f>cubic_spline(CURVA!$B$6:$B$20,CURVA!$G$6:$G$20,#REF!)</f>
        <v>#VALUE!</v>
      </c>
    </row>
    <row r="4927" spans="1:5" x14ac:dyDescent="0.2">
      <c r="A4927" s="28">
        <v>4926</v>
      </c>
      <c r="B4927" s="28" t="e">
        <f>interpola(#REF!,CURVA!$B$6:$B$20,CURVA!$G$6:$G$20)</f>
        <v>#VALUE!</v>
      </c>
      <c r="C4927" s="29" t="e">
        <f t="shared" si="76"/>
        <v>#VALUE!</v>
      </c>
      <c r="E4927" t="e">
        <f>cubic_spline(CURVA!$B$6:$B$20,CURVA!$G$6:$G$20,#REF!)</f>
        <v>#VALUE!</v>
      </c>
    </row>
    <row r="4928" spans="1:5" x14ac:dyDescent="0.2">
      <c r="A4928" s="28">
        <v>4927</v>
      </c>
      <c r="B4928" s="28" t="e">
        <f>interpola(#REF!,CURVA!$B$6:$B$20,CURVA!$G$6:$G$20)</f>
        <v>#VALUE!</v>
      </c>
      <c r="C4928" s="29" t="e">
        <f t="shared" si="76"/>
        <v>#VALUE!</v>
      </c>
      <c r="E4928" t="e">
        <f>cubic_spline(CURVA!$B$6:$B$20,CURVA!$G$6:$G$20,#REF!)</f>
        <v>#VALUE!</v>
      </c>
    </row>
    <row r="4929" spans="1:5" x14ac:dyDescent="0.2">
      <c r="A4929" s="28">
        <v>4928</v>
      </c>
      <c r="B4929" s="28" t="e">
        <f>interpola(#REF!,CURVA!$B$6:$B$20,CURVA!$G$6:$G$20)</f>
        <v>#VALUE!</v>
      </c>
      <c r="C4929" s="29" t="e">
        <f t="shared" si="76"/>
        <v>#VALUE!</v>
      </c>
      <c r="E4929" t="e">
        <f>cubic_spline(CURVA!$B$6:$B$20,CURVA!$G$6:$G$20,#REF!)</f>
        <v>#VALUE!</v>
      </c>
    </row>
    <row r="4930" spans="1:5" x14ac:dyDescent="0.2">
      <c r="A4930" s="28">
        <v>4929</v>
      </c>
      <c r="B4930" s="28" t="e">
        <f>interpola(#REF!,CURVA!$B$6:$B$20,CURVA!$G$6:$G$20)</f>
        <v>#VALUE!</v>
      </c>
      <c r="C4930" s="29" t="e">
        <f t="shared" ref="C4930:C4993" si="77">(EXP(B4930*A4930/360)-1)*360/A4930</f>
        <v>#VALUE!</v>
      </c>
      <c r="E4930" t="e">
        <f>cubic_spline(CURVA!$B$6:$B$20,CURVA!$G$6:$G$20,#REF!)</f>
        <v>#VALUE!</v>
      </c>
    </row>
    <row r="4931" spans="1:5" x14ac:dyDescent="0.2">
      <c r="A4931" s="28">
        <v>4930</v>
      </c>
      <c r="B4931" s="28" t="e">
        <f>interpola(#REF!,CURVA!$B$6:$B$20,CURVA!$G$6:$G$20)</f>
        <v>#VALUE!</v>
      </c>
      <c r="C4931" s="29" t="e">
        <f t="shared" si="77"/>
        <v>#VALUE!</v>
      </c>
      <c r="E4931" t="e">
        <f>cubic_spline(CURVA!$B$6:$B$20,CURVA!$G$6:$G$20,#REF!)</f>
        <v>#VALUE!</v>
      </c>
    </row>
    <row r="4932" spans="1:5" x14ac:dyDescent="0.2">
      <c r="A4932" s="28">
        <v>4931</v>
      </c>
      <c r="B4932" s="28" t="e">
        <f>interpola(#REF!,CURVA!$B$6:$B$20,CURVA!$G$6:$G$20)</f>
        <v>#VALUE!</v>
      </c>
      <c r="C4932" s="29" t="e">
        <f t="shared" si="77"/>
        <v>#VALUE!</v>
      </c>
      <c r="E4932" t="e">
        <f>cubic_spline(CURVA!$B$6:$B$20,CURVA!$G$6:$G$20,#REF!)</f>
        <v>#VALUE!</v>
      </c>
    </row>
    <row r="4933" spans="1:5" x14ac:dyDescent="0.2">
      <c r="A4933" s="28">
        <v>4932</v>
      </c>
      <c r="B4933" s="28" t="e">
        <f>interpola(#REF!,CURVA!$B$6:$B$20,CURVA!$G$6:$G$20)</f>
        <v>#VALUE!</v>
      </c>
      <c r="C4933" s="29" t="e">
        <f t="shared" si="77"/>
        <v>#VALUE!</v>
      </c>
      <c r="E4933" t="e">
        <f>cubic_spline(CURVA!$B$6:$B$20,CURVA!$G$6:$G$20,#REF!)</f>
        <v>#VALUE!</v>
      </c>
    </row>
    <row r="4934" spans="1:5" x14ac:dyDescent="0.2">
      <c r="A4934" s="28">
        <v>4933</v>
      </c>
      <c r="B4934" s="28" t="e">
        <f>interpola(#REF!,CURVA!$B$6:$B$20,CURVA!$G$6:$G$20)</f>
        <v>#VALUE!</v>
      </c>
      <c r="C4934" s="29" t="e">
        <f t="shared" si="77"/>
        <v>#VALUE!</v>
      </c>
      <c r="E4934" t="e">
        <f>cubic_spline(CURVA!$B$6:$B$20,CURVA!$G$6:$G$20,#REF!)</f>
        <v>#VALUE!</v>
      </c>
    </row>
    <row r="4935" spans="1:5" x14ac:dyDescent="0.2">
      <c r="A4935" s="28">
        <v>4934</v>
      </c>
      <c r="B4935" s="28" t="e">
        <f>interpola(#REF!,CURVA!$B$6:$B$20,CURVA!$G$6:$G$20)</f>
        <v>#VALUE!</v>
      </c>
      <c r="C4935" s="29" t="e">
        <f t="shared" si="77"/>
        <v>#VALUE!</v>
      </c>
      <c r="E4935" t="e">
        <f>cubic_spline(CURVA!$B$6:$B$20,CURVA!$G$6:$G$20,#REF!)</f>
        <v>#VALUE!</v>
      </c>
    </row>
    <row r="4936" spans="1:5" x14ac:dyDescent="0.2">
      <c r="A4936" s="28">
        <v>4935</v>
      </c>
      <c r="B4936" s="28" t="e">
        <f>interpola(#REF!,CURVA!$B$6:$B$20,CURVA!$G$6:$G$20)</f>
        <v>#VALUE!</v>
      </c>
      <c r="C4936" s="29" t="e">
        <f t="shared" si="77"/>
        <v>#VALUE!</v>
      </c>
      <c r="E4936" t="e">
        <f>cubic_spline(CURVA!$B$6:$B$20,CURVA!$G$6:$G$20,#REF!)</f>
        <v>#VALUE!</v>
      </c>
    </row>
    <row r="4937" spans="1:5" x14ac:dyDescent="0.2">
      <c r="A4937" s="28">
        <v>4936</v>
      </c>
      <c r="B4937" s="28" t="e">
        <f>interpola(#REF!,CURVA!$B$6:$B$20,CURVA!$G$6:$G$20)</f>
        <v>#VALUE!</v>
      </c>
      <c r="C4937" s="29" t="e">
        <f t="shared" si="77"/>
        <v>#VALUE!</v>
      </c>
      <c r="E4937" t="e">
        <f>cubic_spline(CURVA!$B$6:$B$20,CURVA!$G$6:$G$20,#REF!)</f>
        <v>#VALUE!</v>
      </c>
    </row>
    <row r="4938" spans="1:5" x14ac:dyDescent="0.2">
      <c r="A4938" s="28">
        <v>4937</v>
      </c>
      <c r="B4938" s="28" t="e">
        <f>interpola(#REF!,CURVA!$B$6:$B$20,CURVA!$G$6:$G$20)</f>
        <v>#VALUE!</v>
      </c>
      <c r="C4938" s="29" t="e">
        <f t="shared" si="77"/>
        <v>#VALUE!</v>
      </c>
      <c r="E4938" t="e">
        <f>cubic_spline(CURVA!$B$6:$B$20,CURVA!$G$6:$G$20,#REF!)</f>
        <v>#VALUE!</v>
      </c>
    </row>
    <row r="4939" spans="1:5" x14ac:dyDescent="0.2">
      <c r="A4939" s="28">
        <v>4938</v>
      </c>
      <c r="B4939" s="28" t="e">
        <f>interpola(#REF!,CURVA!$B$6:$B$20,CURVA!$G$6:$G$20)</f>
        <v>#VALUE!</v>
      </c>
      <c r="C4939" s="29" t="e">
        <f t="shared" si="77"/>
        <v>#VALUE!</v>
      </c>
      <c r="E4939" t="e">
        <f>cubic_spline(CURVA!$B$6:$B$20,CURVA!$G$6:$G$20,#REF!)</f>
        <v>#VALUE!</v>
      </c>
    </row>
    <row r="4940" spans="1:5" x14ac:dyDescent="0.2">
      <c r="A4940" s="28">
        <v>4939</v>
      </c>
      <c r="B4940" s="28" t="e">
        <f>interpola(#REF!,CURVA!$B$6:$B$20,CURVA!$G$6:$G$20)</f>
        <v>#VALUE!</v>
      </c>
      <c r="C4940" s="29" t="e">
        <f t="shared" si="77"/>
        <v>#VALUE!</v>
      </c>
      <c r="E4940" t="e">
        <f>cubic_spline(CURVA!$B$6:$B$20,CURVA!$G$6:$G$20,#REF!)</f>
        <v>#VALUE!</v>
      </c>
    </row>
    <row r="4941" spans="1:5" x14ac:dyDescent="0.2">
      <c r="A4941" s="28">
        <v>4940</v>
      </c>
      <c r="B4941" s="28" t="e">
        <f>interpola(#REF!,CURVA!$B$6:$B$20,CURVA!$G$6:$G$20)</f>
        <v>#VALUE!</v>
      </c>
      <c r="C4941" s="29" t="e">
        <f t="shared" si="77"/>
        <v>#VALUE!</v>
      </c>
      <c r="E4941" t="e">
        <f>cubic_spline(CURVA!$B$6:$B$20,CURVA!$G$6:$G$20,#REF!)</f>
        <v>#VALUE!</v>
      </c>
    </row>
    <row r="4942" spans="1:5" x14ac:dyDescent="0.2">
      <c r="A4942" s="28">
        <v>4941</v>
      </c>
      <c r="B4942" s="28" t="e">
        <f>interpola(#REF!,CURVA!$B$6:$B$20,CURVA!$G$6:$G$20)</f>
        <v>#VALUE!</v>
      </c>
      <c r="C4942" s="29" t="e">
        <f t="shared" si="77"/>
        <v>#VALUE!</v>
      </c>
      <c r="E4942" t="e">
        <f>cubic_spline(CURVA!$B$6:$B$20,CURVA!$G$6:$G$20,#REF!)</f>
        <v>#VALUE!</v>
      </c>
    </row>
    <row r="4943" spans="1:5" x14ac:dyDescent="0.2">
      <c r="A4943" s="28">
        <v>4942</v>
      </c>
      <c r="B4943" s="28" t="e">
        <f>interpola(#REF!,CURVA!$B$6:$B$20,CURVA!$G$6:$G$20)</f>
        <v>#VALUE!</v>
      </c>
      <c r="C4943" s="29" t="e">
        <f t="shared" si="77"/>
        <v>#VALUE!</v>
      </c>
      <c r="E4943" t="e">
        <f>cubic_spline(CURVA!$B$6:$B$20,CURVA!$G$6:$G$20,#REF!)</f>
        <v>#VALUE!</v>
      </c>
    </row>
    <row r="4944" spans="1:5" x14ac:dyDescent="0.2">
      <c r="A4944" s="28">
        <v>4943</v>
      </c>
      <c r="B4944" s="28" t="e">
        <f>interpola(#REF!,CURVA!$B$6:$B$20,CURVA!$G$6:$G$20)</f>
        <v>#VALUE!</v>
      </c>
      <c r="C4944" s="29" t="e">
        <f t="shared" si="77"/>
        <v>#VALUE!</v>
      </c>
      <c r="E4944" t="e">
        <f>cubic_spline(CURVA!$B$6:$B$20,CURVA!$G$6:$G$20,#REF!)</f>
        <v>#VALUE!</v>
      </c>
    </row>
    <row r="4945" spans="1:5" x14ac:dyDescent="0.2">
      <c r="A4945" s="28">
        <v>4944</v>
      </c>
      <c r="B4945" s="28" t="e">
        <f>interpola(#REF!,CURVA!$B$6:$B$20,CURVA!$G$6:$G$20)</f>
        <v>#VALUE!</v>
      </c>
      <c r="C4945" s="29" t="e">
        <f t="shared" si="77"/>
        <v>#VALUE!</v>
      </c>
      <c r="E4945" t="e">
        <f>cubic_spline(CURVA!$B$6:$B$20,CURVA!$G$6:$G$20,#REF!)</f>
        <v>#VALUE!</v>
      </c>
    </row>
    <row r="4946" spans="1:5" x14ac:dyDescent="0.2">
      <c r="A4946" s="28">
        <v>4945</v>
      </c>
      <c r="B4946" s="28" t="e">
        <f>interpola(#REF!,CURVA!$B$6:$B$20,CURVA!$G$6:$G$20)</f>
        <v>#VALUE!</v>
      </c>
      <c r="C4946" s="29" t="e">
        <f t="shared" si="77"/>
        <v>#VALUE!</v>
      </c>
      <c r="E4946" t="e">
        <f>cubic_spline(CURVA!$B$6:$B$20,CURVA!$G$6:$G$20,#REF!)</f>
        <v>#VALUE!</v>
      </c>
    </row>
    <row r="4947" spans="1:5" x14ac:dyDescent="0.2">
      <c r="A4947" s="28">
        <v>4946</v>
      </c>
      <c r="B4947" s="28" t="e">
        <f>interpola(#REF!,CURVA!$B$6:$B$20,CURVA!$G$6:$G$20)</f>
        <v>#VALUE!</v>
      </c>
      <c r="C4947" s="29" t="e">
        <f t="shared" si="77"/>
        <v>#VALUE!</v>
      </c>
      <c r="E4947" t="e">
        <f>cubic_spline(CURVA!$B$6:$B$20,CURVA!$G$6:$G$20,#REF!)</f>
        <v>#VALUE!</v>
      </c>
    </row>
    <row r="4948" spans="1:5" x14ac:dyDescent="0.2">
      <c r="A4948" s="28">
        <v>4947</v>
      </c>
      <c r="B4948" s="28" t="e">
        <f>interpola(#REF!,CURVA!$B$6:$B$20,CURVA!$G$6:$G$20)</f>
        <v>#VALUE!</v>
      </c>
      <c r="C4948" s="29" t="e">
        <f t="shared" si="77"/>
        <v>#VALUE!</v>
      </c>
      <c r="E4948" t="e">
        <f>cubic_spline(CURVA!$B$6:$B$20,CURVA!$G$6:$G$20,#REF!)</f>
        <v>#VALUE!</v>
      </c>
    </row>
    <row r="4949" spans="1:5" x14ac:dyDescent="0.2">
      <c r="A4949" s="28">
        <v>4948</v>
      </c>
      <c r="B4949" s="28" t="e">
        <f>interpola(#REF!,CURVA!$B$6:$B$20,CURVA!$G$6:$G$20)</f>
        <v>#VALUE!</v>
      </c>
      <c r="C4949" s="29" t="e">
        <f t="shared" si="77"/>
        <v>#VALUE!</v>
      </c>
      <c r="E4949" t="e">
        <f>cubic_spline(CURVA!$B$6:$B$20,CURVA!$G$6:$G$20,#REF!)</f>
        <v>#VALUE!</v>
      </c>
    </row>
    <row r="4950" spans="1:5" x14ac:dyDescent="0.2">
      <c r="A4950" s="28">
        <v>4949</v>
      </c>
      <c r="B4950" s="28" t="e">
        <f>interpola(#REF!,CURVA!$B$6:$B$20,CURVA!$G$6:$G$20)</f>
        <v>#VALUE!</v>
      </c>
      <c r="C4950" s="29" t="e">
        <f t="shared" si="77"/>
        <v>#VALUE!</v>
      </c>
      <c r="E4950" t="e">
        <f>cubic_spline(CURVA!$B$6:$B$20,CURVA!$G$6:$G$20,#REF!)</f>
        <v>#VALUE!</v>
      </c>
    </row>
    <row r="4951" spans="1:5" x14ac:dyDescent="0.2">
      <c r="A4951" s="28">
        <v>4950</v>
      </c>
      <c r="B4951" s="28" t="e">
        <f>interpola(#REF!,CURVA!$B$6:$B$20,CURVA!$G$6:$G$20)</f>
        <v>#VALUE!</v>
      </c>
      <c r="C4951" s="29" t="e">
        <f t="shared" si="77"/>
        <v>#VALUE!</v>
      </c>
      <c r="E4951" t="e">
        <f>cubic_spline(CURVA!$B$6:$B$20,CURVA!$G$6:$G$20,#REF!)</f>
        <v>#VALUE!</v>
      </c>
    </row>
    <row r="4952" spans="1:5" x14ac:dyDescent="0.2">
      <c r="A4952" s="28">
        <v>4951</v>
      </c>
      <c r="B4952" s="28" t="e">
        <f>interpola(#REF!,CURVA!$B$6:$B$20,CURVA!$G$6:$G$20)</f>
        <v>#VALUE!</v>
      </c>
      <c r="C4952" s="29" t="e">
        <f t="shared" si="77"/>
        <v>#VALUE!</v>
      </c>
      <c r="E4952" t="e">
        <f>cubic_spline(CURVA!$B$6:$B$20,CURVA!$G$6:$G$20,#REF!)</f>
        <v>#VALUE!</v>
      </c>
    </row>
    <row r="4953" spans="1:5" x14ac:dyDescent="0.2">
      <c r="A4953" s="28">
        <v>4952</v>
      </c>
      <c r="B4953" s="28" t="e">
        <f>interpola(#REF!,CURVA!$B$6:$B$20,CURVA!$G$6:$G$20)</f>
        <v>#VALUE!</v>
      </c>
      <c r="C4953" s="29" t="e">
        <f t="shared" si="77"/>
        <v>#VALUE!</v>
      </c>
      <c r="E4953" t="e">
        <f>cubic_spline(CURVA!$B$6:$B$20,CURVA!$G$6:$G$20,#REF!)</f>
        <v>#VALUE!</v>
      </c>
    </row>
    <row r="4954" spans="1:5" x14ac:dyDescent="0.2">
      <c r="A4954" s="28">
        <v>4953</v>
      </c>
      <c r="B4954" s="28" t="e">
        <f>interpola(#REF!,CURVA!$B$6:$B$20,CURVA!$G$6:$G$20)</f>
        <v>#VALUE!</v>
      </c>
      <c r="C4954" s="29" t="e">
        <f t="shared" si="77"/>
        <v>#VALUE!</v>
      </c>
      <c r="E4954" t="e">
        <f>cubic_spline(CURVA!$B$6:$B$20,CURVA!$G$6:$G$20,#REF!)</f>
        <v>#VALUE!</v>
      </c>
    </row>
    <row r="4955" spans="1:5" x14ac:dyDescent="0.2">
      <c r="A4955" s="28">
        <v>4954</v>
      </c>
      <c r="B4955" s="28" t="e">
        <f>interpola(#REF!,CURVA!$B$6:$B$20,CURVA!$G$6:$G$20)</f>
        <v>#VALUE!</v>
      </c>
      <c r="C4955" s="29" t="e">
        <f t="shared" si="77"/>
        <v>#VALUE!</v>
      </c>
      <c r="E4955" t="e">
        <f>cubic_spline(CURVA!$B$6:$B$20,CURVA!$G$6:$G$20,#REF!)</f>
        <v>#VALUE!</v>
      </c>
    </row>
    <row r="4956" spans="1:5" x14ac:dyDescent="0.2">
      <c r="A4956" s="28">
        <v>4955</v>
      </c>
      <c r="B4956" s="28" t="e">
        <f>interpola(#REF!,CURVA!$B$6:$B$20,CURVA!$G$6:$G$20)</f>
        <v>#VALUE!</v>
      </c>
      <c r="C4956" s="29" t="e">
        <f t="shared" si="77"/>
        <v>#VALUE!</v>
      </c>
      <c r="E4956" t="e">
        <f>cubic_spline(CURVA!$B$6:$B$20,CURVA!$G$6:$G$20,#REF!)</f>
        <v>#VALUE!</v>
      </c>
    </row>
    <row r="4957" spans="1:5" x14ac:dyDescent="0.2">
      <c r="A4957" s="28">
        <v>4956</v>
      </c>
      <c r="B4957" s="28" t="e">
        <f>interpola(#REF!,CURVA!$B$6:$B$20,CURVA!$G$6:$G$20)</f>
        <v>#VALUE!</v>
      </c>
      <c r="C4957" s="29" t="e">
        <f t="shared" si="77"/>
        <v>#VALUE!</v>
      </c>
      <c r="E4957" t="e">
        <f>cubic_spline(CURVA!$B$6:$B$20,CURVA!$G$6:$G$20,#REF!)</f>
        <v>#VALUE!</v>
      </c>
    </row>
    <row r="4958" spans="1:5" x14ac:dyDescent="0.2">
      <c r="A4958" s="28">
        <v>4957</v>
      </c>
      <c r="B4958" s="28" t="e">
        <f>interpola(#REF!,CURVA!$B$6:$B$20,CURVA!$G$6:$G$20)</f>
        <v>#VALUE!</v>
      </c>
      <c r="C4958" s="29" t="e">
        <f t="shared" si="77"/>
        <v>#VALUE!</v>
      </c>
      <c r="E4958" t="e">
        <f>cubic_spline(CURVA!$B$6:$B$20,CURVA!$G$6:$G$20,#REF!)</f>
        <v>#VALUE!</v>
      </c>
    </row>
    <row r="4959" spans="1:5" x14ac:dyDescent="0.2">
      <c r="A4959" s="28">
        <v>4958</v>
      </c>
      <c r="B4959" s="28" t="e">
        <f>interpola(#REF!,CURVA!$B$6:$B$20,CURVA!$G$6:$G$20)</f>
        <v>#VALUE!</v>
      </c>
      <c r="C4959" s="29" t="e">
        <f t="shared" si="77"/>
        <v>#VALUE!</v>
      </c>
      <c r="E4959" t="e">
        <f>cubic_spline(CURVA!$B$6:$B$20,CURVA!$G$6:$G$20,#REF!)</f>
        <v>#VALUE!</v>
      </c>
    </row>
    <row r="4960" spans="1:5" x14ac:dyDescent="0.2">
      <c r="A4960" s="28">
        <v>4959</v>
      </c>
      <c r="B4960" s="28" t="e">
        <f>interpola(#REF!,CURVA!$B$6:$B$20,CURVA!$G$6:$G$20)</f>
        <v>#VALUE!</v>
      </c>
      <c r="C4960" s="29" t="e">
        <f t="shared" si="77"/>
        <v>#VALUE!</v>
      </c>
      <c r="E4960" t="e">
        <f>cubic_spline(CURVA!$B$6:$B$20,CURVA!$G$6:$G$20,#REF!)</f>
        <v>#VALUE!</v>
      </c>
    </row>
    <row r="4961" spans="1:5" x14ac:dyDescent="0.2">
      <c r="A4961" s="28">
        <v>4960</v>
      </c>
      <c r="B4961" s="28" t="e">
        <f>interpola(#REF!,CURVA!$B$6:$B$20,CURVA!$G$6:$G$20)</f>
        <v>#VALUE!</v>
      </c>
      <c r="C4961" s="29" t="e">
        <f t="shared" si="77"/>
        <v>#VALUE!</v>
      </c>
      <c r="E4961" t="e">
        <f>cubic_spline(CURVA!$B$6:$B$20,CURVA!$G$6:$G$20,#REF!)</f>
        <v>#VALUE!</v>
      </c>
    </row>
    <row r="4962" spans="1:5" x14ac:dyDescent="0.2">
      <c r="A4962" s="28">
        <v>4961</v>
      </c>
      <c r="B4962" s="28" t="e">
        <f>interpola(#REF!,CURVA!$B$6:$B$20,CURVA!$G$6:$G$20)</f>
        <v>#VALUE!</v>
      </c>
      <c r="C4962" s="29" t="e">
        <f t="shared" si="77"/>
        <v>#VALUE!</v>
      </c>
      <c r="E4962" t="e">
        <f>cubic_spline(CURVA!$B$6:$B$20,CURVA!$G$6:$G$20,#REF!)</f>
        <v>#VALUE!</v>
      </c>
    </row>
    <row r="4963" spans="1:5" x14ac:dyDescent="0.2">
      <c r="A4963" s="28">
        <v>4962</v>
      </c>
      <c r="B4963" s="28" t="e">
        <f>interpola(#REF!,CURVA!$B$6:$B$20,CURVA!$G$6:$G$20)</f>
        <v>#VALUE!</v>
      </c>
      <c r="C4963" s="29" t="e">
        <f t="shared" si="77"/>
        <v>#VALUE!</v>
      </c>
      <c r="E4963" t="e">
        <f>cubic_spline(CURVA!$B$6:$B$20,CURVA!$G$6:$G$20,#REF!)</f>
        <v>#VALUE!</v>
      </c>
    </row>
    <row r="4964" spans="1:5" x14ac:dyDescent="0.2">
      <c r="A4964" s="28">
        <v>4963</v>
      </c>
      <c r="B4964" s="28" t="e">
        <f>interpola(#REF!,CURVA!$B$6:$B$20,CURVA!$G$6:$G$20)</f>
        <v>#VALUE!</v>
      </c>
      <c r="C4964" s="29" t="e">
        <f t="shared" si="77"/>
        <v>#VALUE!</v>
      </c>
      <c r="E4964" t="e">
        <f>cubic_spline(CURVA!$B$6:$B$20,CURVA!$G$6:$G$20,#REF!)</f>
        <v>#VALUE!</v>
      </c>
    </row>
    <row r="4965" spans="1:5" x14ac:dyDescent="0.2">
      <c r="A4965" s="28">
        <v>4964</v>
      </c>
      <c r="B4965" s="28" t="e">
        <f>interpola(#REF!,CURVA!$B$6:$B$20,CURVA!$G$6:$G$20)</f>
        <v>#VALUE!</v>
      </c>
      <c r="C4965" s="29" t="e">
        <f t="shared" si="77"/>
        <v>#VALUE!</v>
      </c>
      <c r="E4965" t="e">
        <f>cubic_spline(CURVA!$B$6:$B$20,CURVA!$G$6:$G$20,#REF!)</f>
        <v>#VALUE!</v>
      </c>
    </row>
    <row r="4966" spans="1:5" x14ac:dyDescent="0.2">
      <c r="A4966" s="28">
        <v>4965</v>
      </c>
      <c r="B4966" s="28" t="e">
        <f>interpola(#REF!,CURVA!$B$6:$B$20,CURVA!$G$6:$G$20)</f>
        <v>#VALUE!</v>
      </c>
      <c r="C4966" s="29" t="e">
        <f t="shared" si="77"/>
        <v>#VALUE!</v>
      </c>
      <c r="E4966" t="e">
        <f>cubic_spline(CURVA!$B$6:$B$20,CURVA!$G$6:$G$20,#REF!)</f>
        <v>#VALUE!</v>
      </c>
    </row>
    <row r="4967" spans="1:5" x14ac:dyDescent="0.2">
      <c r="A4967" s="28">
        <v>4966</v>
      </c>
      <c r="B4967" s="28" t="e">
        <f>interpola(#REF!,CURVA!$B$6:$B$20,CURVA!$G$6:$G$20)</f>
        <v>#VALUE!</v>
      </c>
      <c r="C4967" s="29" t="e">
        <f t="shared" si="77"/>
        <v>#VALUE!</v>
      </c>
      <c r="E4967" t="e">
        <f>cubic_spline(CURVA!$B$6:$B$20,CURVA!$G$6:$G$20,#REF!)</f>
        <v>#VALUE!</v>
      </c>
    </row>
    <row r="4968" spans="1:5" x14ac:dyDescent="0.2">
      <c r="A4968" s="28">
        <v>4967</v>
      </c>
      <c r="B4968" s="28" t="e">
        <f>interpola(#REF!,CURVA!$B$6:$B$20,CURVA!$G$6:$G$20)</f>
        <v>#VALUE!</v>
      </c>
      <c r="C4968" s="29" t="e">
        <f t="shared" si="77"/>
        <v>#VALUE!</v>
      </c>
      <c r="E4968" t="e">
        <f>cubic_spline(CURVA!$B$6:$B$20,CURVA!$G$6:$G$20,#REF!)</f>
        <v>#VALUE!</v>
      </c>
    </row>
    <row r="4969" spans="1:5" x14ac:dyDescent="0.2">
      <c r="A4969" s="28">
        <v>4968</v>
      </c>
      <c r="B4969" s="28" t="e">
        <f>interpola(#REF!,CURVA!$B$6:$B$20,CURVA!$G$6:$G$20)</f>
        <v>#VALUE!</v>
      </c>
      <c r="C4969" s="29" t="e">
        <f t="shared" si="77"/>
        <v>#VALUE!</v>
      </c>
      <c r="E4969" t="e">
        <f>cubic_spline(CURVA!$B$6:$B$20,CURVA!$G$6:$G$20,#REF!)</f>
        <v>#VALUE!</v>
      </c>
    </row>
    <row r="4970" spans="1:5" x14ac:dyDescent="0.2">
      <c r="A4970" s="28">
        <v>4969</v>
      </c>
      <c r="B4970" s="28" t="e">
        <f>interpola(#REF!,CURVA!$B$6:$B$20,CURVA!$G$6:$G$20)</f>
        <v>#VALUE!</v>
      </c>
      <c r="C4970" s="29" t="e">
        <f t="shared" si="77"/>
        <v>#VALUE!</v>
      </c>
      <c r="E4970" t="e">
        <f>cubic_spline(CURVA!$B$6:$B$20,CURVA!$G$6:$G$20,#REF!)</f>
        <v>#VALUE!</v>
      </c>
    </row>
    <row r="4971" spans="1:5" x14ac:dyDescent="0.2">
      <c r="A4971" s="28">
        <v>4970</v>
      </c>
      <c r="B4971" s="28" t="e">
        <f>interpola(#REF!,CURVA!$B$6:$B$20,CURVA!$G$6:$G$20)</f>
        <v>#VALUE!</v>
      </c>
      <c r="C4971" s="29" t="e">
        <f t="shared" si="77"/>
        <v>#VALUE!</v>
      </c>
      <c r="E4971" t="e">
        <f>cubic_spline(CURVA!$B$6:$B$20,CURVA!$G$6:$G$20,#REF!)</f>
        <v>#VALUE!</v>
      </c>
    </row>
    <row r="4972" spans="1:5" x14ac:dyDescent="0.2">
      <c r="A4972" s="28">
        <v>4971</v>
      </c>
      <c r="B4972" s="28" t="e">
        <f>interpola(#REF!,CURVA!$B$6:$B$20,CURVA!$G$6:$G$20)</f>
        <v>#VALUE!</v>
      </c>
      <c r="C4972" s="29" t="e">
        <f t="shared" si="77"/>
        <v>#VALUE!</v>
      </c>
      <c r="E4972" t="e">
        <f>cubic_spline(CURVA!$B$6:$B$20,CURVA!$G$6:$G$20,#REF!)</f>
        <v>#VALUE!</v>
      </c>
    </row>
    <row r="4973" spans="1:5" x14ac:dyDescent="0.2">
      <c r="A4973" s="28">
        <v>4972</v>
      </c>
      <c r="B4973" s="28" t="e">
        <f>interpola(#REF!,CURVA!$B$6:$B$20,CURVA!$G$6:$G$20)</f>
        <v>#VALUE!</v>
      </c>
      <c r="C4973" s="29" t="e">
        <f t="shared" si="77"/>
        <v>#VALUE!</v>
      </c>
      <c r="E4973" t="e">
        <f>cubic_spline(CURVA!$B$6:$B$20,CURVA!$G$6:$G$20,#REF!)</f>
        <v>#VALUE!</v>
      </c>
    </row>
    <row r="4974" spans="1:5" x14ac:dyDescent="0.2">
      <c r="A4974" s="28">
        <v>4973</v>
      </c>
      <c r="B4974" s="28" t="e">
        <f>interpola(#REF!,CURVA!$B$6:$B$20,CURVA!$G$6:$G$20)</f>
        <v>#VALUE!</v>
      </c>
      <c r="C4974" s="29" t="e">
        <f t="shared" si="77"/>
        <v>#VALUE!</v>
      </c>
      <c r="E4974" t="e">
        <f>cubic_spline(CURVA!$B$6:$B$20,CURVA!$G$6:$G$20,#REF!)</f>
        <v>#VALUE!</v>
      </c>
    </row>
    <row r="4975" spans="1:5" x14ac:dyDescent="0.2">
      <c r="A4975" s="28">
        <v>4974</v>
      </c>
      <c r="B4975" s="28" t="e">
        <f>interpola(#REF!,CURVA!$B$6:$B$20,CURVA!$G$6:$G$20)</f>
        <v>#VALUE!</v>
      </c>
      <c r="C4975" s="29" t="e">
        <f t="shared" si="77"/>
        <v>#VALUE!</v>
      </c>
      <c r="E4975" t="e">
        <f>cubic_spline(CURVA!$B$6:$B$20,CURVA!$G$6:$G$20,#REF!)</f>
        <v>#VALUE!</v>
      </c>
    </row>
    <row r="4976" spans="1:5" x14ac:dyDescent="0.2">
      <c r="A4976" s="28">
        <v>4975</v>
      </c>
      <c r="B4976" s="28" t="e">
        <f>interpola(#REF!,CURVA!$B$6:$B$20,CURVA!$G$6:$G$20)</f>
        <v>#VALUE!</v>
      </c>
      <c r="C4976" s="29" t="e">
        <f t="shared" si="77"/>
        <v>#VALUE!</v>
      </c>
      <c r="E4976" t="e">
        <f>cubic_spline(CURVA!$B$6:$B$20,CURVA!$G$6:$G$20,#REF!)</f>
        <v>#VALUE!</v>
      </c>
    </row>
    <row r="4977" spans="1:5" x14ac:dyDescent="0.2">
      <c r="A4977" s="28">
        <v>4976</v>
      </c>
      <c r="B4977" s="28" t="e">
        <f>interpola(#REF!,CURVA!$B$6:$B$20,CURVA!$G$6:$G$20)</f>
        <v>#VALUE!</v>
      </c>
      <c r="C4977" s="29" t="e">
        <f t="shared" si="77"/>
        <v>#VALUE!</v>
      </c>
      <c r="E4977" t="e">
        <f>cubic_spline(CURVA!$B$6:$B$20,CURVA!$G$6:$G$20,#REF!)</f>
        <v>#VALUE!</v>
      </c>
    </row>
    <row r="4978" spans="1:5" x14ac:dyDescent="0.2">
      <c r="A4978" s="28">
        <v>4977</v>
      </c>
      <c r="B4978" s="28" t="e">
        <f>interpola(#REF!,CURVA!$B$6:$B$20,CURVA!$G$6:$G$20)</f>
        <v>#VALUE!</v>
      </c>
      <c r="C4978" s="29" t="e">
        <f t="shared" si="77"/>
        <v>#VALUE!</v>
      </c>
      <c r="E4978" t="e">
        <f>cubic_spline(CURVA!$B$6:$B$20,CURVA!$G$6:$G$20,#REF!)</f>
        <v>#VALUE!</v>
      </c>
    </row>
    <row r="4979" spans="1:5" x14ac:dyDescent="0.2">
      <c r="A4979" s="28">
        <v>4978</v>
      </c>
      <c r="B4979" s="28" t="e">
        <f>interpola(#REF!,CURVA!$B$6:$B$20,CURVA!$G$6:$G$20)</f>
        <v>#VALUE!</v>
      </c>
      <c r="C4979" s="29" t="e">
        <f t="shared" si="77"/>
        <v>#VALUE!</v>
      </c>
      <c r="E4979" t="e">
        <f>cubic_spline(CURVA!$B$6:$B$20,CURVA!$G$6:$G$20,#REF!)</f>
        <v>#VALUE!</v>
      </c>
    </row>
    <row r="4980" spans="1:5" x14ac:dyDescent="0.2">
      <c r="A4980" s="28">
        <v>4979</v>
      </c>
      <c r="B4980" s="28" t="e">
        <f>interpola(#REF!,CURVA!$B$6:$B$20,CURVA!$G$6:$G$20)</f>
        <v>#VALUE!</v>
      </c>
      <c r="C4980" s="29" t="e">
        <f t="shared" si="77"/>
        <v>#VALUE!</v>
      </c>
      <c r="E4980" t="e">
        <f>cubic_spline(CURVA!$B$6:$B$20,CURVA!$G$6:$G$20,#REF!)</f>
        <v>#VALUE!</v>
      </c>
    </row>
    <row r="4981" spans="1:5" x14ac:dyDescent="0.2">
      <c r="A4981" s="28">
        <v>4980</v>
      </c>
      <c r="B4981" s="28" t="e">
        <f>interpola(#REF!,CURVA!$B$6:$B$20,CURVA!$G$6:$G$20)</f>
        <v>#VALUE!</v>
      </c>
      <c r="C4981" s="29" t="e">
        <f t="shared" si="77"/>
        <v>#VALUE!</v>
      </c>
      <c r="E4981" t="e">
        <f>cubic_spline(CURVA!$B$6:$B$20,CURVA!$G$6:$G$20,#REF!)</f>
        <v>#VALUE!</v>
      </c>
    </row>
    <row r="4982" spans="1:5" x14ac:dyDescent="0.2">
      <c r="A4982" s="28">
        <v>4981</v>
      </c>
      <c r="B4982" s="28" t="e">
        <f>interpola(#REF!,CURVA!$B$6:$B$20,CURVA!$G$6:$G$20)</f>
        <v>#VALUE!</v>
      </c>
      <c r="C4982" s="29" t="e">
        <f t="shared" si="77"/>
        <v>#VALUE!</v>
      </c>
      <c r="E4982" t="e">
        <f>cubic_spline(CURVA!$B$6:$B$20,CURVA!$G$6:$G$20,#REF!)</f>
        <v>#VALUE!</v>
      </c>
    </row>
    <row r="4983" spans="1:5" x14ac:dyDescent="0.2">
      <c r="A4983" s="28">
        <v>4982</v>
      </c>
      <c r="B4983" s="28" t="e">
        <f>interpola(#REF!,CURVA!$B$6:$B$20,CURVA!$G$6:$G$20)</f>
        <v>#VALUE!</v>
      </c>
      <c r="C4983" s="29" t="e">
        <f t="shared" si="77"/>
        <v>#VALUE!</v>
      </c>
      <c r="E4983" t="e">
        <f>cubic_spline(CURVA!$B$6:$B$20,CURVA!$G$6:$G$20,#REF!)</f>
        <v>#VALUE!</v>
      </c>
    </row>
    <row r="4984" spans="1:5" x14ac:dyDescent="0.2">
      <c r="A4984" s="28">
        <v>4983</v>
      </c>
      <c r="B4984" s="28" t="e">
        <f>interpola(#REF!,CURVA!$B$6:$B$20,CURVA!$G$6:$G$20)</f>
        <v>#VALUE!</v>
      </c>
      <c r="C4984" s="29" t="e">
        <f t="shared" si="77"/>
        <v>#VALUE!</v>
      </c>
      <c r="E4984" t="e">
        <f>cubic_spline(CURVA!$B$6:$B$20,CURVA!$G$6:$G$20,#REF!)</f>
        <v>#VALUE!</v>
      </c>
    </row>
    <row r="4985" spans="1:5" x14ac:dyDescent="0.2">
      <c r="A4985" s="28">
        <v>4984</v>
      </c>
      <c r="B4985" s="28" t="e">
        <f>interpola(#REF!,CURVA!$B$6:$B$20,CURVA!$G$6:$G$20)</f>
        <v>#VALUE!</v>
      </c>
      <c r="C4985" s="29" t="e">
        <f t="shared" si="77"/>
        <v>#VALUE!</v>
      </c>
      <c r="E4985" t="e">
        <f>cubic_spline(CURVA!$B$6:$B$20,CURVA!$G$6:$G$20,#REF!)</f>
        <v>#VALUE!</v>
      </c>
    </row>
    <row r="4986" spans="1:5" x14ac:dyDescent="0.2">
      <c r="A4986" s="28">
        <v>4985</v>
      </c>
      <c r="B4986" s="28" t="e">
        <f>interpola(#REF!,CURVA!$B$6:$B$20,CURVA!$G$6:$G$20)</f>
        <v>#VALUE!</v>
      </c>
      <c r="C4986" s="29" t="e">
        <f t="shared" si="77"/>
        <v>#VALUE!</v>
      </c>
      <c r="E4986" t="e">
        <f>cubic_spline(CURVA!$B$6:$B$20,CURVA!$G$6:$G$20,#REF!)</f>
        <v>#VALUE!</v>
      </c>
    </row>
    <row r="4987" spans="1:5" x14ac:dyDescent="0.2">
      <c r="A4987" s="28">
        <v>4986</v>
      </c>
      <c r="B4987" s="28" t="e">
        <f>interpola(#REF!,CURVA!$B$6:$B$20,CURVA!$G$6:$G$20)</f>
        <v>#VALUE!</v>
      </c>
      <c r="C4987" s="29" t="e">
        <f t="shared" si="77"/>
        <v>#VALUE!</v>
      </c>
      <c r="E4987" t="e">
        <f>cubic_spline(CURVA!$B$6:$B$20,CURVA!$G$6:$G$20,#REF!)</f>
        <v>#VALUE!</v>
      </c>
    </row>
    <row r="4988" spans="1:5" x14ac:dyDescent="0.2">
      <c r="A4988" s="28">
        <v>4987</v>
      </c>
      <c r="B4988" s="28" t="e">
        <f>interpola(#REF!,CURVA!$B$6:$B$20,CURVA!$G$6:$G$20)</f>
        <v>#VALUE!</v>
      </c>
      <c r="C4988" s="29" t="e">
        <f t="shared" si="77"/>
        <v>#VALUE!</v>
      </c>
      <c r="E4988" t="e">
        <f>cubic_spline(CURVA!$B$6:$B$20,CURVA!$G$6:$G$20,#REF!)</f>
        <v>#VALUE!</v>
      </c>
    </row>
    <row r="4989" spans="1:5" x14ac:dyDescent="0.2">
      <c r="A4989" s="28">
        <v>4988</v>
      </c>
      <c r="B4989" s="28" t="e">
        <f>interpola(#REF!,CURVA!$B$6:$B$20,CURVA!$G$6:$G$20)</f>
        <v>#VALUE!</v>
      </c>
      <c r="C4989" s="29" t="e">
        <f t="shared" si="77"/>
        <v>#VALUE!</v>
      </c>
      <c r="E4989" t="e">
        <f>cubic_spline(CURVA!$B$6:$B$20,CURVA!$G$6:$G$20,#REF!)</f>
        <v>#VALUE!</v>
      </c>
    </row>
    <row r="4990" spans="1:5" x14ac:dyDescent="0.2">
      <c r="A4990" s="28">
        <v>4989</v>
      </c>
      <c r="B4990" s="28" t="e">
        <f>interpola(#REF!,CURVA!$B$6:$B$20,CURVA!$G$6:$G$20)</f>
        <v>#VALUE!</v>
      </c>
      <c r="C4990" s="29" t="e">
        <f t="shared" si="77"/>
        <v>#VALUE!</v>
      </c>
      <c r="E4990" t="e">
        <f>cubic_spline(CURVA!$B$6:$B$20,CURVA!$G$6:$G$20,#REF!)</f>
        <v>#VALUE!</v>
      </c>
    </row>
    <row r="4991" spans="1:5" x14ac:dyDescent="0.2">
      <c r="A4991" s="28">
        <v>4990</v>
      </c>
      <c r="B4991" s="28" t="e">
        <f>interpola(#REF!,CURVA!$B$6:$B$20,CURVA!$G$6:$G$20)</f>
        <v>#VALUE!</v>
      </c>
      <c r="C4991" s="29" t="e">
        <f t="shared" si="77"/>
        <v>#VALUE!</v>
      </c>
      <c r="E4991" t="e">
        <f>cubic_spline(CURVA!$B$6:$B$20,CURVA!$G$6:$G$20,#REF!)</f>
        <v>#VALUE!</v>
      </c>
    </row>
    <row r="4992" spans="1:5" x14ac:dyDescent="0.2">
      <c r="A4992" s="28">
        <v>4991</v>
      </c>
      <c r="B4992" s="28" t="e">
        <f>interpola(#REF!,CURVA!$B$6:$B$20,CURVA!$G$6:$G$20)</f>
        <v>#VALUE!</v>
      </c>
      <c r="C4992" s="29" t="e">
        <f t="shared" si="77"/>
        <v>#VALUE!</v>
      </c>
      <c r="E4992" t="e">
        <f>cubic_spline(CURVA!$B$6:$B$20,CURVA!$G$6:$G$20,#REF!)</f>
        <v>#VALUE!</v>
      </c>
    </row>
    <row r="4993" spans="1:5" x14ac:dyDescent="0.2">
      <c r="A4993" s="28">
        <v>4992</v>
      </c>
      <c r="B4993" s="28" t="e">
        <f>interpola(#REF!,CURVA!$B$6:$B$20,CURVA!$G$6:$G$20)</f>
        <v>#VALUE!</v>
      </c>
      <c r="C4993" s="29" t="e">
        <f t="shared" si="77"/>
        <v>#VALUE!</v>
      </c>
      <c r="E4993" t="e">
        <f>cubic_spline(CURVA!$B$6:$B$20,CURVA!$G$6:$G$20,#REF!)</f>
        <v>#VALUE!</v>
      </c>
    </row>
    <row r="4994" spans="1:5" x14ac:dyDescent="0.2">
      <c r="A4994" s="28">
        <v>4993</v>
      </c>
      <c r="B4994" s="28" t="e">
        <f>interpola(#REF!,CURVA!$B$6:$B$20,CURVA!$G$6:$G$20)</f>
        <v>#VALUE!</v>
      </c>
      <c r="C4994" s="29" t="e">
        <f t="shared" ref="C4994:C5057" si="78">(EXP(B4994*A4994/360)-1)*360/A4994</f>
        <v>#VALUE!</v>
      </c>
      <c r="E4994" t="e">
        <f>cubic_spline(CURVA!$B$6:$B$20,CURVA!$G$6:$G$20,#REF!)</f>
        <v>#VALUE!</v>
      </c>
    </row>
    <row r="4995" spans="1:5" x14ac:dyDescent="0.2">
      <c r="A4995" s="28">
        <v>4994</v>
      </c>
      <c r="B4995" s="28" t="e">
        <f>interpola(#REF!,CURVA!$B$6:$B$20,CURVA!$G$6:$G$20)</f>
        <v>#VALUE!</v>
      </c>
      <c r="C4995" s="29" t="e">
        <f t="shared" si="78"/>
        <v>#VALUE!</v>
      </c>
      <c r="E4995" t="e">
        <f>cubic_spline(CURVA!$B$6:$B$20,CURVA!$G$6:$G$20,#REF!)</f>
        <v>#VALUE!</v>
      </c>
    </row>
    <row r="4996" spans="1:5" x14ac:dyDescent="0.2">
      <c r="A4996" s="28">
        <v>4995</v>
      </c>
      <c r="B4996" s="28" t="e">
        <f>interpola(#REF!,CURVA!$B$6:$B$20,CURVA!$G$6:$G$20)</f>
        <v>#VALUE!</v>
      </c>
      <c r="C4996" s="29" t="e">
        <f t="shared" si="78"/>
        <v>#VALUE!</v>
      </c>
      <c r="E4996" t="e">
        <f>cubic_spline(CURVA!$B$6:$B$20,CURVA!$G$6:$G$20,#REF!)</f>
        <v>#VALUE!</v>
      </c>
    </row>
    <row r="4997" spans="1:5" x14ac:dyDescent="0.2">
      <c r="A4997" s="28">
        <v>4996</v>
      </c>
      <c r="B4997" s="28" t="e">
        <f>interpola(#REF!,CURVA!$B$6:$B$20,CURVA!$G$6:$G$20)</f>
        <v>#VALUE!</v>
      </c>
      <c r="C4997" s="29" t="e">
        <f t="shared" si="78"/>
        <v>#VALUE!</v>
      </c>
      <c r="E4997" t="e">
        <f>cubic_spline(CURVA!$B$6:$B$20,CURVA!$G$6:$G$20,#REF!)</f>
        <v>#VALUE!</v>
      </c>
    </row>
    <row r="4998" spans="1:5" x14ac:dyDescent="0.2">
      <c r="A4998" s="28">
        <v>4997</v>
      </c>
      <c r="B4998" s="28" t="e">
        <f>interpola(#REF!,CURVA!$B$6:$B$20,CURVA!$G$6:$G$20)</f>
        <v>#VALUE!</v>
      </c>
      <c r="C4998" s="29" t="e">
        <f t="shared" si="78"/>
        <v>#VALUE!</v>
      </c>
      <c r="E4998" t="e">
        <f>cubic_spline(CURVA!$B$6:$B$20,CURVA!$G$6:$G$20,#REF!)</f>
        <v>#VALUE!</v>
      </c>
    </row>
    <row r="4999" spans="1:5" x14ac:dyDescent="0.2">
      <c r="A4999" s="28">
        <v>4998</v>
      </c>
      <c r="B4999" s="28" t="e">
        <f>interpola(#REF!,CURVA!$B$6:$B$20,CURVA!$G$6:$G$20)</f>
        <v>#VALUE!</v>
      </c>
      <c r="C4999" s="29" t="e">
        <f t="shared" si="78"/>
        <v>#VALUE!</v>
      </c>
      <c r="E4999" t="e">
        <f>cubic_spline(CURVA!$B$6:$B$20,CURVA!$G$6:$G$20,#REF!)</f>
        <v>#VALUE!</v>
      </c>
    </row>
    <row r="5000" spans="1:5" x14ac:dyDescent="0.2">
      <c r="A5000" s="28">
        <v>4999</v>
      </c>
      <c r="B5000" s="28" t="e">
        <f>interpola(#REF!,CURVA!$B$6:$B$20,CURVA!$G$6:$G$20)</f>
        <v>#VALUE!</v>
      </c>
      <c r="C5000" s="29" t="e">
        <f t="shared" si="78"/>
        <v>#VALUE!</v>
      </c>
      <c r="E5000" t="e">
        <f>cubic_spline(CURVA!$B$6:$B$20,CURVA!$G$6:$G$20,#REF!)</f>
        <v>#VALUE!</v>
      </c>
    </row>
    <row r="5001" spans="1:5" x14ac:dyDescent="0.2">
      <c r="A5001" s="28">
        <v>5000</v>
      </c>
      <c r="B5001" s="28" t="e">
        <f>interpola(#REF!,CURVA!$B$6:$B$20,CURVA!$G$6:$G$20)</f>
        <v>#VALUE!</v>
      </c>
      <c r="C5001" s="29" t="e">
        <f t="shared" si="78"/>
        <v>#VALUE!</v>
      </c>
      <c r="E5001" t="e">
        <f>cubic_spline(CURVA!$B$6:$B$20,CURVA!$G$6:$G$20,#REF!)</f>
        <v>#VALUE!</v>
      </c>
    </row>
    <row r="5002" spans="1:5" x14ac:dyDescent="0.2">
      <c r="A5002" s="28">
        <v>5001</v>
      </c>
      <c r="B5002" s="28" t="e">
        <f>interpola(#REF!,CURVA!$B$6:$B$20,CURVA!$G$6:$G$20)</f>
        <v>#VALUE!</v>
      </c>
      <c r="C5002" s="29" t="e">
        <f t="shared" si="78"/>
        <v>#VALUE!</v>
      </c>
      <c r="E5002" t="e">
        <f>cubic_spline(CURVA!$B$6:$B$20,CURVA!$G$6:$G$20,#REF!)</f>
        <v>#VALUE!</v>
      </c>
    </row>
    <row r="5003" spans="1:5" x14ac:dyDescent="0.2">
      <c r="A5003" s="28">
        <v>5002</v>
      </c>
      <c r="B5003" s="28" t="e">
        <f>interpola(#REF!,CURVA!$B$6:$B$20,CURVA!$G$6:$G$20)</f>
        <v>#VALUE!</v>
      </c>
      <c r="C5003" s="29" t="e">
        <f t="shared" si="78"/>
        <v>#VALUE!</v>
      </c>
      <c r="E5003" t="e">
        <f>cubic_spline(CURVA!$B$6:$B$20,CURVA!$G$6:$G$20,#REF!)</f>
        <v>#VALUE!</v>
      </c>
    </row>
    <row r="5004" spans="1:5" x14ac:dyDescent="0.2">
      <c r="A5004" s="28">
        <v>5003</v>
      </c>
      <c r="B5004" s="28" t="e">
        <f>interpola(#REF!,CURVA!$B$6:$B$20,CURVA!$G$6:$G$20)</f>
        <v>#VALUE!</v>
      </c>
      <c r="C5004" s="29" t="e">
        <f t="shared" si="78"/>
        <v>#VALUE!</v>
      </c>
      <c r="E5004" t="e">
        <f>cubic_spline(CURVA!$B$6:$B$20,CURVA!$G$6:$G$20,#REF!)</f>
        <v>#VALUE!</v>
      </c>
    </row>
    <row r="5005" spans="1:5" x14ac:dyDescent="0.2">
      <c r="A5005" s="28">
        <v>5004</v>
      </c>
      <c r="B5005" s="28" t="e">
        <f>interpola(#REF!,CURVA!$B$6:$B$20,CURVA!$G$6:$G$20)</f>
        <v>#VALUE!</v>
      </c>
      <c r="C5005" s="29" t="e">
        <f t="shared" si="78"/>
        <v>#VALUE!</v>
      </c>
      <c r="E5005" t="e">
        <f>cubic_spline(CURVA!$B$6:$B$20,CURVA!$G$6:$G$20,#REF!)</f>
        <v>#VALUE!</v>
      </c>
    </row>
    <row r="5006" spans="1:5" x14ac:dyDescent="0.2">
      <c r="A5006" s="28">
        <v>5005</v>
      </c>
      <c r="B5006" s="28" t="e">
        <f>interpola(#REF!,CURVA!$B$6:$B$20,CURVA!$G$6:$G$20)</f>
        <v>#VALUE!</v>
      </c>
      <c r="C5006" s="29" t="e">
        <f t="shared" si="78"/>
        <v>#VALUE!</v>
      </c>
      <c r="E5006" t="e">
        <f>cubic_spline(CURVA!$B$6:$B$20,CURVA!$G$6:$G$20,#REF!)</f>
        <v>#VALUE!</v>
      </c>
    </row>
    <row r="5007" spans="1:5" x14ac:dyDescent="0.2">
      <c r="A5007" s="28">
        <v>5006</v>
      </c>
      <c r="B5007" s="28" t="e">
        <f>interpola(#REF!,CURVA!$B$6:$B$20,CURVA!$G$6:$G$20)</f>
        <v>#VALUE!</v>
      </c>
      <c r="C5007" s="29" t="e">
        <f t="shared" si="78"/>
        <v>#VALUE!</v>
      </c>
      <c r="E5007" t="e">
        <f>cubic_spline(CURVA!$B$6:$B$20,CURVA!$G$6:$G$20,#REF!)</f>
        <v>#VALUE!</v>
      </c>
    </row>
    <row r="5008" spans="1:5" x14ac:dyDescent="0.2">
      <c r="A5008" s="28">
        <v>5007</v>
      </c>
      <c r="B5008" s="28" t="e">
        <f>interpola(#REF!,CURVA!$B$6:$B$20,CURVA!$G$6:$G$20)</f>
        <v>#VALUE!</v>
      </c>
      <c r="C5008" s="29" t="e">
        <f t="shared" si="78"/>
        <v>#VALUE!</v>
      </c>
      <c r="E5008" t="e">
        <f>cubic_spline(CURVA!$B$6:$B$20,CURVA!$G$6:$G$20,#REF!)</f>
        <v>#VALUE!</v>
      </c>
    </row>
    <row r="5009" spans="1:5" x14ac:dyDescent="0.2">
      <c r="A5009" s="28">
        <v>5008</v>
      </c>
      <c r="B5009" s="28" t="e">
        <f>interpola(#REF!,CURVA!$B$6:$B$20,CURVA!$G$6:$G$20)</f>
        <v>#VALUE!</v>
      </c>
      <c r="C5009" s="29" t="e">
        <f t="shared" si="78"/>
        <v>#VALUE!</v>
      </c>
      <c r="E5009" t="e">
        <f>cubic_spline(CURVA!$B$6:$B$20,CURVA!$G$6:$G$20,#REF!)</f>
        <v>#VALUE!</v>
      </c>
    </row>
    <row r="5010" spans="1:5" x14ac:dyDescent="0.2">
      <c r="A5010" s="28">
        <v>5009</v>
      </c>
      <c r="B5010" s="28" t="e">
        <f>interpola(#REF!,CURVA!$B$6:$B$20,CURVA!$G$6:$G$20)</f>
        <v>#VALUE!</v>
      </c>
      <c r="C5010" s="29" t="e">
        <f t="shared" si="78"/>
        <v>#VALUE!</v>
      </c>
      <c r="E5010" t="e">
        <f>cubic_spline(CURVA!$B$6:$B$20,CURVA!$G$6:$G$20,#REF!)</f>
        <v>#VALUE!</v>
      </c>
    </row>
    <row r="5011" spans="1:5" x14ac:dyDescent="0.2">
      <c r="A5011" s="28">
        <v>5010</v>
      </c>
      <c r="B5011" s="28" t="e">
        <f>interpola(#REF!,CURVA!$B$6:$B$20,CURVA!$G$6:$G$20)</f>
        <v>#VALUE!</v>
      </c>
      <c r="C5011" s="29" t="e">
        <f t="shared" si="78"/>
        <v>#VALUE!</v>
      </c>
      <c r="E5011" t="e">
        <f>cubic_spline(CURVA!$B$6:$B$20,CURVA!$G$6:$G$20,#REF!)</f>
        <v>#VALUE!</v>
      </c>
    </row>
    <row r="5012" spans="1:5" x14ac:dyDescent="0.2">
      <c r="A5012" s="28">
        <v>5011</v>
      </c>
      <c r="B5012" s="28" t="e">
        <f>interpola(#REF!,CURVA!$B$6:$B$20,CURVA!$G$6:$G$20)</f>
        <v>#VALUE!</v>
      </c>
      <c r="C5012" s="29" t="e">
        <f t="shared" si="78"/>
        <v>#VALUE!</v>
      </c>
      <c r="E5012" t="e">
        <f>cubic_spline(CURVA!$B$6:$B$20,CURVA!$G$6:$G$20,#REF!)</f>
        <v>#VALUE!</v>
      </c>
    </row>
    <row r="5013" spans="1:5" x14ac:dyDescent="0.2">
      <c r="A5013" s="28">
        <v>5012</v>
      </c>
      <c r="B5013" s="28" t="e">
        <f>interpola(#REF!,CURVA!$B$6:$B$20,CURVA!$G$6:$G$20)</f>
        <v>#VALUE!</v>
      </c>
      <c r="C5013" s="29" t="e">
        <f t="shared" si="78"/>
        <v>#VALUE!</v>
      </c>
      <c r="E5013" t="e">
        <f>cubic_spline(CURVA!$B$6:$B$20,CURVA!$G$6:$G$20,#REF!)</f>
        <v>#VALUE!</v>
      </c>
    </row>
    <row r="5014" spans="1:5" x14ac:dyDescent="0.2">
      <c r="A5014" s="28">
        <v>5013</v>
      </c>
      <c r="B5014" s="28" t="e">
        <f>interpola(#REF!,CURVA!$B$6:$B$20,CURVA!$G$6:$G$20)</f>
        <v>#VALUE!</v>
      </c>
      <c r="C5014" s="29" t="e">
        <f t="shared" si="78"/>
        <v>#VALUE!</v>
      </c>
      <c r="E5014" t="e">
        <f>cubic_spline(CURVA!$B$6:$B$20,CURVA!$G$6:$G$20,#REF!)</f>
        <v>#VALUE!</v>
      </c>
    </row>
    <row r="5015" spans="1:5" x14ac:dyDescent="0.2">
      <c r="A5015" s="28">
        <v>5014</v>
      </c>
      <c r="B5015" s="28" t="e">
        <f>interpola(#REF!,CURVA!$B$6:$B$20,CURVA!$G$6:$G$20)</f>
        <v>#VALUE!</v>
      </c>
      <c r="C5015" s="29" t="e">
        <f t="shared" si="78"/>
        <v>#VALUE!</v>
      </c>
      <c r="E5015" t="e">
        <f>cubic_spline(CURVA!$B$6:$B$20,CURVA!$G$6:$G$20,#REF!)</f>
        <v>#VALUE!</v>
      </c>
    </row>
    <row r="5016" spans="1:5" x14ac:dyDescent="0.2">
      <c r="A5016" s="28">
        <v>5015</v>
      </c>
      <c r="B5016" s="28" t="e">
        <f>interpola(#REF!,CURVA!$B$6:$B$20,CURVA!$G$6:$G$20)</f>
        <v>#VALUE!</v>
      </c>
      <c r="C5016" s="29" t="e">
        <f t="shared" si="78"/>
        <v>#VALUE!</v>
      </c>
      <c r="E5016" t="e">
        <f>cubic_spline(CURVA!$B$6:$B$20,CURVA!$G$6:$G$20,#REF!)</f>
        <v>#VALUE!</v>
      </c>
    </row>
    <row r="5017" spans="1:5" x14ac:dyDescent="0.2">
      <c r="A5017" s="28">
        <v>5016</v>
      </c>
      <c r="B5017" s="28" t="e">
        <f>interpola(#REF!,CURVA!$B$6:$B$20,CURVA!$G$6:$G$20)</f>
        <v>#VALUE!</v>
      </c>
      <c r="C5017" s="29" t="e">
        <f t="shared" si="78"/>
        <v>#VALUE!</v>
      </c>
      <c r="E5017" t="e">
        <f>cubic_spline(CURVA!$B$6:$B$20,CURVA!$G$6:$G$20,#REF!)</f>
        <v>#VALUE!</v>
      </c>
    </row>
    <row r="5018" spans="1:5" x14ac:dyDescent="0.2">
      <c r="A5018" s="28">
        <v>5017</v>
      </c>
      <c r="B5018" s="28" t="e">
        <f>interpola(#REF!,CURVA!$B$6:$B$20,CURVA!$G$6:$G$20)</f>
        <v>#VALUE!</v>
      </c>
      <c r="C5018" s="29" t="e">
        <f t="shared" si="78"/>
        <v>#VALUE!</v>
      </c>
      <c r="E5018" t="e">
        <f>cubic_spline(CURVA!$B$6:$B$20,CURVA!$G$6:$G$20,#REF!)</f>
        <v>#VALUE!</v>
      </c>
    </row>
    <row r="5019" spans="1:5" x14ac:dyDescent="0.2">
      <c r="A5019" s="28">
        <v>5018</v>
      </c>
      <c r="B5019" s="28" t="e">
        <f>interpola(#REF!,CURVA!$B$6:$B$20,CURVA!$G$6:$G$20)</f>
        <v>#VALUE!</v>
      </c>
      <c r="C5019" s="29" t="e">
        <f t="shared" si="78"/>
        <v>#VALUE!</v>
      </c>
      <c r="E5019" t="e">
        <f>cubic_spline(CURVA!$B$6:$B$20,CURVA!$G$6:$G$20,#REF!)</f>
        <v>#VALUE!</v>
      </c>
    </row>
    <row r="5020" spans="1:5" x14ac:dyDescent="0.2">
      <c r="A5020" s="28">
        <v>5019</v>
      </c>
      <c r="B5020" s="28" t="e">
        <f>interpola(#REF!,CURVA!$B$6:$B$20,CURVA!$G$6:$G$20)</f>
        <v>#VALUE!</v>
      </c>
      <c r="C5020" s="29" t="e">
        <f t="shared" si="78"/>
        <v>#VALUE!</v>
      </c>
      <c r="E5020" t="e">
        <f>cubic_spline(CURVA!$B$6:$B$20,CURVA!$G$6:$G$20,#REF!)</f>
        <v>#VALUE!</v>
      </c>
    </row>
    <row r="5021" spans="1:5" x14ac:dyDescent="0.2">
      <c r="A5021" s="28">
        <v>5020</v>
      </c>
      <c r="B5021" s="28" t="e">
        <f>interpola(#REF!,CURVA!$B$6:$B$20,CURVA!$G$6:$G$20)</f>
        <v>#VALUE!</v>
      </c>
      <c r="C5021" s="29" t="e">
        <f t="shared" si="78"/>
        <v>#VALUE!</v>
      </c>
      <c r="E5021" t="e">
        <f>cubic_spline(CURVA!$B$6:$B$20,CURVA!$G$6:$G$20,#REF!)</f>
        <v>#VALUE!</v>
      </c>
    </row>
    <row r="5022" spans="1:5" x14ac:dyDescent="0.2">
      <c r="A5022" s="28">
        <v>5021</v>
      </c>
      <c r="B5022" s="28" t="e">
        <f>interpola(#REF!,CURVA!$B$6:$B$20,CURVA!$G$6:$G$20)</f>
        <v>#VALUE!</v>
      </c>
      <c r="C5022" s="29" t="e">
        <f t="shared" si="78"/>
        <v>#VALUE!</v>
      </c>
      <c r="E5022" t="e">
        <f>cubic_spline(CURVA!$B$6:$B$20,CURVA!$G$6:$G$20,#REF!)</f>
        <v>#VALUE!</v>
      </c>
    </row>
    <row r="5023" spans="1:5" x14ac:dyDescent="0.2">
      <c r="A5023" s="28">
        <v>5022</v>
      </c>
      <c r="B5023" s="28" t="e">
        <f>interpola(#REF!,CURVA!$B$6:$B$20,CURVA!$G$6:$G$20)</f>
        <v>#VALUE!</v>
      </c>
      <c r="C5023" s="29" t="e">
        <f t="shared" si="78"/>
        <v>#VALUE!</v>
      </c>
      <c r="E5023" t="e">
        <f>cubic_spline(CURVA!$B$6:$B$20,CURVA!$G$6:$G$20,#REF!)</f>
        <v>#VALUE!</v>
      </c>
    </row>
    <row r="5024" spans="1:5" x14ac:dyDescent="0.2">
      <c r="A5024" s="28">
        <v>5023</v>
      </c>
      <c r="B5024" s="28" t="e">
        <f>interpola(#REF!,CURVA!$B$6:$B$20,CURVA!$G$6:$G$20)</f>
        <v>#VALUE!</v>
      </c>
      <c r="C5024" s="29" t="e">
        <f t="shared" si="78"/>
        <v>#VALUE!</v>
      </c>
      <c r="E5024" t="e">
        <f>cubic_spline(CURVA!$B$6:$B$20,CURVA!$G$6:$G$20,#REF!)</f>
        <v>#VALUE!</v>
      </c>
    </row>
    <row r="5025" spans="1:5" x14ac:dyDescent="0.2">
      <c r="A5025" s="28">
        <v>5024</v>
      </c>
      <c r="B5025" s="28" t="e">
        <f>interpola(#REF!,CURVA!$B$6:$B$20,CURVA!$G$6:$G$20)</f>
        <v>#VALUE!</v>
      </c>
      <c r="C5025" s="29" t="e">
        <f t="shared" si="78"/>
        <v>#VALUE!</v>
      </c>
      <c r="E5025" t="e">
        <f>cubic_spline(CURVA!$B$6:$B$20,CURVA!$G$6:$G$20,#REF!)</f>
        <v>#VALUE!</v>
      </c>
    </row>
    <row r="5026" spans="1:5" x14ac:dyDescent="0.2">
      <c r="A5026" s="28">
        <v>5025</v>
      </c>
      <c r="B5026" s="28" t="e">
        <f>interpola(#REF!,CURVA!$B$6:$B$20,CURVA!$G$6:$G$20)</f>
        <v>#VALUE!</v>
      </c>
      <c r="C5026" s="29" t="e">
        <f t="shared" si="78"/>
        <v>#VALUE!</v>
      </c>
      <c r="E5026" t="e">
        <f>cubic_spline(CURVA!$B$6:$B$20,CURVA!$G$6:$G$20,#REF!)</f>
        <v>#VALUE!</v>
      </c>
    </row>
    <row r="5027" spans="1:5" x14ac:dyDescent="0.2">
      <c r="A5027" s="28">
        <v>5026</v>
      </c>
      <c r="B5027" s="28" t="e">
        <f>interpola(#REF!,CURVA!$B$6:$B$20,CURVA!$G$6:$G$20)</f>
        <v>#VALUE!</v>
      </c>
      <c r="C5027" s="29" t="e">
        <f t="shared" si="78"/>
        <v>#VALUE!</v>
      </c>
      <c r="E5027" t="e">
        <f>cubic_spline(CURVA!$B$6:$B$20,CURVA!$G$6:$G$20,#REF!)</f>
        <v>#VALUE!</v>
      </c>
    </row>
    <row r="5028" spans="1:5" x14ac:dyDescent="0.2">
      <c r="A5028" s="28">
        <v>5027</v>
      </c>
      <c r="B5028" s="28" t="e">
        <f>interpola(#REF!,CURVA!$B$6:$B$20,CURVA!$G$6:$G$20)</f>
        <v>#VALUE!</v>
      </c>
      <c r="C5028" s="29" t="e">
        <f t="shared" si="78"/>
        <v>#VALUE!</v>
      </c>
      <c r="E5028" t="e">
        <f>cubic_spline(CURVA!$B$6:$B$20,CURVA!$G$6:$G$20,#REF!)</f>
        <v>#VALUE!</v>
      </c>
    </row>
    <row r="5029" spans="1:5" x14ac:dyDescent="0.2">
      <c r="A5029" s="28">
        <v>5028</v>
      </c>
      <c r="B5029" s="28" t="e">
        <f>interpola(#REF!,CURVA!$B$6:$B$20,CURVA!$G$6:$G$20)</f>
        <v>#VALUE!</v>
      </c>
      <c r="C5029" s="29" t="e">
        <f t="shared" si="78"/>
        <v>#VALUE!</v>
      </c>
      <c r="E5029" t="e">
        <f>cubic_spline(CURVA!$B$6:$B$20,CURVA!$G$6:$G$20,#REF!)</f>
        <v>#VALUE!</v>
      </c>
    </row>
    <row r="5030" spans="1:5" x14ac:dyDescent="0.2">
      <c r="A5030" s="28">
        <v>5029</v>
      </c>
      <c r="B5030" s="28" t="e">
        <f>interpola(#REF!,CURVA!$B$6:$B$20,CURVA!$G$6:$G$20)</f>
        <v>#VALUE!</v>
      </c>
      <c r="C5030" s="29" t="e">
        <f t="shared" si="78"/>
        <v>#VALUE!</v>
      </c>
      <c r="E5030" t="e">
        <f>cubic_spline(CURVA!$B$6:$B$20,CURVA!$G$6:$G$20,#REF!)</f>
        <v>#VALUE!</v>
      </c>
    </row>
    <row r="5031" spans="1:5" x14ac:dyDescent="0.2">
      <c r="A5031" s="28">
        <v>5030</v>
      </c>
      <c r="B5031" s="28" t="e">
        <f>interpola(#REF!,CURVA!$B$6:$B$20,CURVA!$G$6:$G$20)</f>
        <v>#VALUE!</v>
      </c>
      <c r="C5031" s="29" t="e">
        <f t="shared" si="78"/>
        <v>#VALUE!</v>
      </c>
      <c r="E5031" t="e">
        <f>cubic_spline(CURVA!$B$6:$B$20,CURVA!$G$6:$G$20,#REF!)</f>
        <v>#VALUE!</v>
      </c>
    </row>
    <row r="5032" spans="1:5" x14ac:dyDescent="0.2">
      <c r="A5032" s="28">
        <v>5031</v>
      </c>
      <c r="B5032" s="28" t="e">
        <f>interpola(#REF!,CURVA!$B$6:$B$20,CURVA!$G$6:$G$20)</f>
        <v>#VALUE!</v>
      </c>
      <c r="C5032" s="29" t="e">
        <f t="shared" si="78"/>
        <v>#VALUE!</v>
      </c>
      <c r="E5032" t="e">
        <f>cubic_spline(CURVA!$B$6:$B$20,CURVA!$G$6:$G$20,#REF!)</f>
        <v>#VALUE!</v>
      </c>
    </row>
    <row r="5033" spans="1:5" x14ac:dyDescent="0.2">
      <c r="A5033" s="28">
        <v>5032</v>
      </c>
      <c r="B5033" s="28" t="e">
        <f>interpola(#REF!,CURVA!$B$6:$B$20,CURVA!$G$6:$G$20)</f>
        <v>#VALUE!</v>
      </c>
      <c r="C5033" s="29" t="e">
        <f t="shared" si="78"/>
        <v>#VALUE!</v>
      </c>
      <c r="E5033" t="e">
        <f>cubic_spline(CURVA!$B$6:$B$20,CURVA!$G$6:$G$20,#REF!)</f>
        <v>#VALUE!</v>
      </c>
    </row>
    <row r="5034" spans="1:5" x14ac:dyDescent="0.2">
      <c r="A5034" s="28">
        <v>5033</v>
      </c>
      <c r="B5034" s="28" t="e">
        <f>interpola(#REF!,CURVA!$B$6:$B$20,CURVA!$G$6:$G$20)</f>
        <v>#VALUE!</v>
      </c>
      <c r="C5034" s="29" t="e">
        <f t="shared" si="78"/>
        <v>#VALUE!</v>
      </c>
      <c r="E5034" t="e">
        <f>cubic_spline(CURVA!$B$6:$B$20,CURVA!$G$6:$G$20,#REF!)</f>
        <v>#VALUE!</v>
      </c>
    </row>
    <row r="5035" spans="1:5" x14ac:dyDescent="0.2">
      <c r="A5035" s="28">
        <v>5034</v>
      </c>
      <c r="B5035" s="28" t="e">
        <f>interpola(#REF!,CURVA!$B$6:$B$20,CURVA!$G$6:$G$20)</f>
        <v>#VALUE!</v>
      </c>
      <c r="C5035" s="29" t="e">
        <f t="shared" si="78"/>
        <v>#VALUE!</v>
      </c>
      <c r="E5035" t="e">
        <f>cubic_spline(CURVA!$B$6:$B$20,CURVA!$G$6:$G$20,#REF!)</f>
        <v>#VALUE!</v>
      </c>
    </row>
    <row r="5036" spans="1:5" x14ac:dyDescent="0.2">
      <c r="A5036" s="28">
        <v>5035</v>
      </c>
      <c r="B5036" s="28" t="e">
        <f>interpola(#REF!,CURVA!$B$6:$B$20,CURVA!$G$6:$G$20)</f>
        <v>#VALUE!</v>
      </c>
      <c r="C5036" s="29" t="e">
        <f t="shared" si="78"/>
        <v>#VALUE!</v>
      </c>
      <c r="E5036" t="e">
        <f>cubic_spline(CURVA!$B$6:$B$20,CURVA!$G$6:$G$20,#REF!)</f>
        <v>#VALUE!</v>
      </c>
    </row>
    <row r="5037" spans="1:5" x14ac:dyDescent="0.2">
      <c r="A5037" s="28">
        <v>5036</v>
      </c>
      <c r="B5037" s="28" t="e">
        <f>interpola(#REF!,CURVA!$B$6:$B$20,CURVA!$G$6:$G$20)</f>
        <v>#VALUE!</v>
      </c>
      <c r="C5037" s="29" t="e">
        <f t="shared" si="78"/>
        <v>#VALUE!</v>
      </c>
      <c r="E5037" t="e">
        <f>cubic_spline(CURVA!$B$6:$B$20,CURVA!$G$6:$G$20,#REF!)</f>
        <v>#VALUE!</v>
      </c>
    </row>
    <row r="5038" spans="1:5" x14ac:dyDescent="0.2">
      <c r="A5038" s="28">
        <v>5037</v>
      </c>
      <c r="B5038" s="28" t="e">
        <f>interpola(#REF!,CURVA!$B$6:$B$20,CURVA!$G$6:$G$20)</f>
        <v>#VALUE!</v>
      </c>
      <c r="C5038" s="29" t="e">
        <f t="shared" si="78"/>
        <v>#VALUE!</v>
      </c>
      <c r="E5038" t="e">
        <f>cubic_spline(CURVA!$B$6:$B$20,CURVA!$G$6:$G$20,#REF!)</f>
        <v>#VALUE!</v>
      </c>
    </row>
    <row r="5039" spans="1:5" x14ac:dyDescent="0.2">
      <c r="A5039" s="28">
        <v>5038</v>
      </c>
      <c r="B5039" s="28" t="e">
        <f>interpola(#REF!,CURVA!$B$6:$B$20,CURVA!$G$6:$G$20)</f>
        <v>#VALUE!</v>
      </c>
      <c r="C5039" s="29" t="e">
        <f t="shared" si="78"/>
        <v>#VALUE!</v>
      </c>
      <c r="E5039" t="e">
        <f>cubic_spline(CURVA!$B$6:$B$20,CURVA!$G$6:$G$20,#REF!)</f>
        <v>#VALUE!</v>
      </c>
    </row>
    <row r="5040" spans="1:5" x14ac:dyDescent="0.2">
      <c r="A5040" s="28">
        <v>5039</v>
      </c>
      <c r="B5040" s="28" t="e">
        <f>interpola(#REF!,CURVA!$B$6:$B$20,CURVA!$G$6:$G$20)</f>
        <v>#VALUE!</v>
      </c>
      <c r="C5040" s="29" t="e">
        <f t="shared" si="78"/>
        <v>#VALUE!</v>
      </c>
      <c r="E5040" t="e">
        <f>cubic_spline(CURVA!$B$6:$B$20,CURVA!$G$6:$G$20,#REF!)</f>
        <v>#VALUE!</v>
      </c>
    </row>
    <row r="5041" spans="1:5" x14ac:dyDescent="0.2">
      <c r="A5041" s="28">
        <v>5040</v>
      </c>
      <c r="B5041" s="28" t="e">
        <f>interpola(#REF!,CURVA!$B$6:$B$20,CURVA!$G$6:$G$20)</f>
        <v>#VALUE!</v>
      </c>
      <c r="C5041" s="29" t="e">
        <f t="shared" si="78"/>
        <v>#VALUE!</v>
      </c>
      <c r="E5041" t="e">
        <f>cubic_spline(CURVA!$B$6:$B$20,CURVA!$G$6:$G$20,#REF!)</f>
        <v>#VALUE!</v>
      </c>
    </row>
    <row r="5042" spans="1:5" x14ac:dyDescent="0.2">
      <c r="A5042" s="28">
        <v>5041</v>
      </c>
      <c r="B5042" s="28" t="e">
        <f>interpola(#REF!,CURVA!$B$6:$B$20,CURVA!$G$6:$G$20)</f>
        <v>#VALUE!</v>
      </c>
      <c r="C5042" s="29" t="e">
        <f t="shared" si="78"/>
        <v>#VALUE!</v>
      </c>
      <c r="E5042" t="e">
        <f>cubic_spline(CURVA!$B$6:$B$20,CURVA!$G$6:$G$20,#REF!)</f>
        <v>#VALUE!</v>
      </c>
    </row>
    <row r="5043" spans="1:5" x14ac:dyDescent="0.2">
      <c r="A5043" s="28">
        <v>5042</v>
      </c>
      <c r="B5043" s="28" t="e">
        <f>interpola(#REF!,CURVA!$B$6:$B$20,CURVA!$G$6:$G$20)</f>
        <v>#VALUE!</v>
      </c>
      <c r="C5043" s="29" t="e">
        <f t="shared" si="78"/>
        <v>#VALUE!</v>
      </c>
      <c r="E5043" t="e">
        <f>cubic_spline(CURVA!$B$6:$B$20,CURVA!$G$6:$G$20,#REF!)</f>
        <v>#VALUE!</v>
      </c>
    </row>
    <row r="5044" spans="1:5" x14ac:dyDescent="0.2">
      <c r="A5044" s="28">
        <v>5043</v>
      </c>
      <c r="B5044" s="28" t="e">
        <f>interpola(#REF!,CURVA!$B$6:$B$20,CURVA!$G$6:$G$20)</f>
        <v>#VALUE!</v>
      </c>
      <c r="C5044" s="29" t="e">
        <f t="shared" si="78"/>
        <v>#VALUE!</v>
      </c>
      <c r="E5044" t="e">
        <f>cubic_spline(CURVA!$B$6:$B$20,CURVA!$G$6:$G$20,#REF!)</f>
        <v>#VALUE!</v>
      </c>
    </row>
    <row r="5045" spans="1:5" x14ac:dyDescent="0.2">
      <c r="A5045" s="28">
        <v>5044</v>
      </c>
      <c r="B5045" s="28" t="e">
        <f>interpola(#REF!,CURVA!$B$6:$B$20,CURVA!$G$6:$G$20)</f>
        <v>#VALUE!</v>
      </c>
      <c r="C5045" s="29" t="e">
        <f t="shared" si="78"/>
        <v>#VALUE!</v>
      </c>
      <c r="E5045" t="e">
        <f>cubic_spline(CURVA!$B$6:$B$20,CURVA!$G$6:$G$20,#REF!)</f>
        <v>#VALUE!</v>
      </c>
    </row>
    <row r="5046" spans="1:5" x14ac:dyDescent="0.2">
      <c r="A5046" s="28">
        <v>5045</v>
      </c>
      <c r="B5046" s="28" t="e">
        <f>interpola(#REF!,CURVA!$B$6:$B$20,CURVA!$G$6:$G$20)</f>
        <v>#VALUE!</v>
      </c>
      <c r="C5046" s="29" t="e">
        <f t="shared" si="78"/>
        <v>#VALUE!</v>
      </c>
      <c r="E5046" t="e">
        <f>cubic_spline(CURVA!$B$6:$B$20,CURVA!$G$6:$G$20,#REF!)</f>
        <v>#VALUE!</v>
      </c>
    </row>
    <row r="5047" spans="1:5" x14ac:dyDescent="0.2">
      <c r="A5047" s="28">
        <v>5046</v>
      </c>
      <c r="B5047" s="28" t="e">
        <f>interpola(#REF!,CURVA!$B$6:$B$20,CURVA!$G$6:$G$20)</f>
        <v>#VALUE!</v>
      </c>
      <c r="C5047" s="29" t="e">
        <f t="shared" si="78"/>
        <v>#VALUE!</v>
      </c>
      <c r="E5047" t="e">
        <f>cubic_spline(CURVA!$B$6:$B$20,CURVA!$G$6:$G$20,#REF!)</f>
        <v>#VALUE!</v>
      </c>
    </row>
    <row r="5048" spans="1:5" x14ac:dyDescent="0.2">
      <c r="A5048" s="28">
        <v>5047</v>
      </c>
      <c r="B5048" s="28" t="e">
        <f>interpola(#REF!,CURVA!$B$6:$B$20,CURVA!$G$6:$G$20)</f>
        <v>#VALUE!</v>
      </c>
      <c r="C5048" s="29" t="e">
        <f t="shared" si="78"/>
        <v>#VALUE!</v>
      </c>
      <c r="E5048" t="e">
        <f>cubic_spline(CURVA!$B$6:$B$20,CURVA!$G$6:$G$20,#REF!)</f>
        <v>#VALUE!</v>
      </c>
    </row>
    <row r="5049" spans="1:5" x14ac:dyDescent="0.2">
      <c r="A5049" s="28">
        <v>5048</v>
      </c>
      <c r="B5049" s="28" t="e">
        <f>interpola(#REF!,CURVA!$B$6:$B$20,CURVA!$G$6:$G$20)</f>
        <v>#VALUE!</v>
      </c>
      <c r="C5049" s="29" t="e">
        <f t="shared" si="78"/>
        <v>#VALUE!</v>
      </c>
      <c r="E5049" t="e">
        <f>cubic_spline(CURVA!$B$6:$B$20,CURVA!$G$6:$G$20,#REF!)</f>
        <v>#VALUE!</v>
      </c>
    </row>
    <row r="5050" spans="1:5" x14ac:dyDescent="0.2">
      <c r="A5050" s="28">
        <v>5049</v>
      </c>
      <c r="B5050" s="28" t="e">
        <f>interpola(#REF!,CURVA!$B$6:$B$20,CURVA!$G$6:$G$20)</f>
        <v>#VALUE!</v>
      </c>
      <c r="C5050" s="29" t="e">
        <f t="shared" si="78"/>
        <v>#VALUE!</v>
      </c>
      <c r="E5050" t="e">
        <f>cubic_spline(CURVA!$B$6:$B$20,CURVA!$G$6:$G$20,#REF!)</f>
        <v>#VALUE!</v>
      </c>
    </row>
    <row r="5051" spans="1:5" x14ac:dyDescent="0.2">
      <c r="A5051" s="28">
        <v>5050</v>
      </c>
      <c r="B5051" s="28" t="e">
        <f>interpola(#REF!,CURVA!$B$6:$B$20,CURVA!$G$6:$G$20)</f>
        <v>#VALUE!</v>
      </c>
      <c r="C5051" s="29" t="e">
        <f t="shared" si="78"/>
        <v>#VALUE!</v>
      </c>
      <c r="E5051" t="e">
        <f>cubic_spline(CURVA!$B$6:$B$20,CURVA!$G$6:$G$20,#REF!)</f>
        <v>#VALUE!</v>
      </c>
    </row>
    <row r="5052" spans="1:5" x14ac:dyDescent="0.2">
      <c r="A5052" s="28">
        <v>5051</v>
      </c>
      <c r="B5052" s="28" t="e">
        <f>interpola(#REF!,CURVA!$B$6:$B$20,CURVA!$G$6:$G$20)</f>
        <v>#VALUE!</v>
      </c>
      <c r="C5052" s="29" t="e">
        <f t="shared" si="78"/>
        <v>#VALUE!</v>
      </c>
      <c r="E5052" t="e">
        <f>cubic_spline(CURVA!$B$6:$B$20,CURVA!$G$6:$G$20,#REF!)</f>
        <v>#VALUE!</v>
      </c>
    </row>
    <row r="5053" spans="1:5" x14ac:dyDescent="0.2">
      <c r="A5053" s="28">
        <v>5052</v>
      </c>
      <c r="B5053" s="28" t="e">
        <f>interpola(#REF!,CURVA!$B$6:$B$20,CURVA!$G$6:$G$20)</f>
        <v>#VALUE!</v>
      </c>
      <c r="C5053" s="29" t="e">
        <f t="shared" si="78"/>
        <v>#VALUE!</v>
      </c>
      <c r="E5053" t="e">
        <f>cubic_spline(CURVA!$B$6:$B$20,CURVA!$G$6:$G$20,#REF!)</f>
        <v>#VALUE!</v>
      </c>
    </row>
    <row r="5054" spans="1:5" x14ac:dyDescent="0.2">
      <c r="A5054" s="28">
        <v>5053</v>
      </c>
      <c r="B5054" s="28" t="e">
        <f>interpola(#REF!,CURVA!$B$6:$B$20,CURVA!$G$6:$G$20)</f>
        <v>#VALUE!</v>
      </c>
      <c r="C5054" s="29" t="e">
        <f t="shared" si="78"/>
        <v>#VALUE!</v>
      </c>
      <c r="E5054" t="e">
        <f>cubic_spline(CURVA!$B$6:$B$20,CURVA!$G$6:$G$20,#REF!)</f>
        <v>#VALUE!</v>
      </c>
    </row>
    <row r="5055" spans="1:5" x14ac:dyDescent="0.2">
      <c r="A5055" s="28">
        <v>5054</v>
      </c>
      <c r="B5055" s="28" t="e">
        <f>interpola(#REF!,CURVA!$B$6:$B$20,CURVA!$G$6:$G$20)</f>
        <v>#VALUE!</v>
      </c>
      <c r="C5055" s="29" t="e">
        <f t="shared" si="78"/>
        <v>#VALUE!</v>
      </c>
      <c r="E5055" t="e">
        <f>cubic_spline(CURVA!$B$6:$B$20,CURVA!$G$6:$G$20,#REF!)</f>
        <v>#VALUE!</v>
      </c>
    </row>
    <row r="5056" spans="1:5" x14ac:dyDescent="0.2">
      <c r="A5056" s="28">
        <v>5055</v>
      </c>
      <c r="B5056" s="28" t="e">
        <f>interpola(#REF!,CURVA!$B$6:$B$20,CURVA!$G$6:$G$20)</f>
        <v>#VALUE!</v>
      </c>
      <c r="C5056" s="29" t="e">
        <f t="shared" si="78"/>
        <v>#VALUE!</v>
      </c>
      <c r="E5056" t="e">
        <f>cubic_spline(CURVA!$B$6:$B$20,CURVA!$G$6:$G$20,#REF!)</f>
        <v>#VALUE!</v>
      </c>
    </row>
    <row r="5057" spans="1:5" x14ac:dyDescent="0.2">
      <c r="A5057" s="28">
        <v>5056</v>
      </c>
      <c r="B5057" s="28" t="e">
        <f>interpola(#REF!,CURVA!$B$6:$B$20,CURVA!$G$6:$G$20)</f>
        <v>#VALUE!</v>
      </c>
      <c r="C5057" s="29" t="e">
        <f t="shared" si="78"/>
        <v>#VALUE!</v>
      </c>
      <c r="E5057" t="e">
        <f>cubic_spline(CURVA!$B$6:$B$20,CURVA!$G$6:$G$20,#REF!)</f>
        <v>#VALUE!</v>
      </c>
    </row>
    <row r="5058" spans="1:5" x14ac:dyDescent="0.2">
      <c r="A5058" s="28">
        <v>5057</v>
      </c>
      <c r="B5058" s="28" t="e">
        <f>interpola(#REF!,CURVA!$B$6:$B$20,CURVA!$G$6:$G$20)</f>
        <v>#VALUE!</v>
      </c>
      <c r="C5058" s="29" t="e">
        <f t="shared" ref="C5058:C5121" si="79">(EXP(B5058*A5058/360)-1)*360/A5058</f>
        <v>#VALUE!</v>
      </c>
      <c r="E5058" t="e">
        <f>cubic_spline(CURVA!$B$6:$B$20,CURVA!$G$6:$G$20,#REF!)</f>
        <v>#VALUE!</v>
      </c>
    </row>
    <row r="5059" spans="1:5" x14ac:dyDescent="0.2">
      <c r="A5059" s="28">
        <v>5058</v>
      </c>
      <c r="B5059" s="28" t="e">
        <f>interpola(#REF!,CURVA!$B$6:$B$20,CURVA!$G$6:$G$20)</f>
        <v>#VALUE!</v>
      </c>
      <c r="C5059" s="29" t="e">
        <f t="shared" si="79"/>
        <v>#VALUE!</v>
      </c>
      <c r="E5059" t="e">
        <f>cubic_spline(CURVA!$B$6:$B$20,CURVA!$G$6:$G$20,#REF!)</f>
        <v>#VALUE!</v>
      </c>
    </row>
    <row r="5060" spans="1:5" x14ac:dyDescent="0.2">
      <c r="A5060" s="28">
        <v>5059</v>
      </c>
      <c r="B5060" s="28" t="e">
        <f>interpola(#REF!,CURVA!$B$6:$B$20,CURVA!$G$6:$G$20)</f>
        <v>#VALUE!</v>
      </c>
      <c r="C5060" s="29" t="e">
        <f t="shared" si="79"/>
        <v>#VALUE!</v>
      </c>
      <c r="E5060" t="e">
        <f>cubic_spline(CURVA!$B$6:$B$20,CURVA!$G$6:$G$20,#REF!)</f>
        <v>#VALUE!</v>
      </c>
    </row>
    <row r="5061" spans="1:5" x14ac:dyDescent="0.2">
      <c r="A5061" s="28">
        <v>5060</v>
      </c>
      <c r="B5061" s="28" t="e">
        <f>interpola(#REF!,CURVA!$B$6:$B$20,CURVA!$G$6:$G$20)</f>
        <v>#VALUE!</v>
      </c>
      <c r="C5061" s="29" t="e">
        <f t="shared" si="79"/>
        <v>#VALUE!</v>
      </c>
      <c r="E5061" t="e">
        <f>cubic_spline(CURVA!$B$6:$B$20,CURVA!$G$6:$G$20,#REF!)</f>
        <v>#VALUE!</v>
      </c>
    </row>
    <row r="5062" spans="1:5" x14ac:dyDescent="0.2">
      <c r="A5062" s="28">
        <v>5061</v>
      </c>
      <c r="B5062" s="28" t="e">
        <f>interpola(#REF!,CURVA!$B$6:$B$20,CURVA!$G$6:$G$20)</f>
        <v>#VALUE!</v>
      </c>
      <c r="C5062" s="29" t="e">
        <f t="shared" si="79"/>
        <v>#VALUE!</v>
      </c>
      <c r="E5062" t="e">
        <f>cubic_spline(CURVA!$B$6:$B$20,CURVA!$G$6:$G$20,#REF!)</f>
        <v>#VALUE!</v>
      </c>
    </row>
    <row r="5063" spans="1:5" x14ac:dyDescent="0.2">
      <c r="A5063" s="28">
        <v>5062</v>
      </c>
      <c r="B5063" s="28" t="e">
        <f>interpola(#REF!,CURVA!$B$6:$B$20,CURVA!$G$6:$G$20)</f>
        <v>#VALUE!</v>
      </c>
      <c r="C5063" s="29" t="e">
        <f t="shared" si="79"/>
        <v>#VALUE!</v>
      </c>
      <c r="E5063" t="e">
        <f>cubic_spline(CURVA!$B$6:$B$20,CURVA!$G$6:$G$20,#REF!)</f>
        <v>#VALUE!</v>
      </c>
    </row>
    <row r="5064" spans="1:5" x14ac:dyDescent="0.2">
      <c r="A5064" s="28">
        <v>5063</v>
      </c>
      <c r="B5064" s="28" t="e">
        <f>interpola(#REF!,CURVA!$B$6:$B$20,CURVA!$G$6:$G$20)</f>
        <v>#VALUE!</v>
      </c>
      <c r="C5064" s="29" t="e">
        <f t="shared" si="79"/>
        <v>#VALUE!</v>
      </c>
      <c r="E5064" t="e">
        <f>cubic_spline(CURVA!$B$6:$B$20,CURVA!$G$6:$G$20,#REF!)</f>
        <v>#VALUE!</v>
      </c>
    </row>
    <row r="5065" spans="1:5" x14ac:dyDescent="0.2">
      <c r="A5065" s="28">
        <v>5064</v>
      </c>
      <c r="B5065" s="28" t="e">
        <f>interpola(#REF!,CURVA!$B$6:$B$20,CURVA!$G$6:$G$20)</f>
        <v>#VALUE!</v>
      </c>
      <c r="C5065" s="29" t="e">
        <f t="shared" si="79"/>
        <v>#VALUE!</v>
      </c>
      <c r="E5065" t="e">
        <f>cubic_spline(CURVA!$B$6:$B$20,CURVA!$G$6:$G$20,#REF!)</f>
        <v>#VALUE!</v>
      </c>
    </row>
    <row r="5066" spans="1:5" x14ac:dyDescent="0.2">
      <c r="A5066" s="28">
        <v>5065</v>
      </c>
      <c r="B5066" s="28" t="e">
        <f>interpola(#REF!,CURVA!$B$6:$B$20,CURVA!$G$6:$G$20)</f>
        <v>#VALUE!</v>
      </c>
      <c r="C5066" s="29" t="e">
        <f t="shared" si="79"/>
        <v>#VALUE!</v>
      </c>
      <c r="E5066" t="e">
        <f>cubic_spline(CURVA!$B$6:$B$20,CURVA!$G$6:$G$20,#REF!)</f>
        <v>#VALUE!</v>
      </c>
    </row>
    <row r="5067" spans="1:5" x14ac:dyDescent="0.2">
      <c r="A5067" s="28">
        <v>5066</v>
      </c>
      <c r="B5067" s="28" t="e">
        <f>interpola(#REF!,CURVA!$B$6:$B$20,CURVA!$G$6:$G$20)</f>
        <v>#VALUE!</v>
      </c>
      <c r="C5067" s="29" t="e">
        <f t="shared" si="79"/>
        <v>#VALUE!</v>
      </c>
      <c r="E5067" t="e">
        <f>cubic_spline(CURVA!$B$6:$B$20,CURVA!$G$6:$G$20,#REF!)</f>
        <v>#VALUE!</v>
      </c>
    </row>
    <row r="5068" spans="1:5" x14ac:dyDescent="0.2">
      <c r="A5068" s="28">
        <v>5067</v>
      </c>
      <c r="B5068" s="28" t="e">
        <f>interpola(#REF!,CURVA!$B$6:$B$20,CURVA!$G$6:$G$20)</f>
        <v>#VALUE!</v>
      </c>
      <c r="C5068" s="29" t="e">
        <f t="shared" si="79"/>
        <v>#VALUE!</v>
      </c>
      <c r="E5068" t="e">
        <f>cubic_spline(CURVA!$B$6:$B$20,CURVA!$G$6:$G$20,#REF!)</f>
        <v>#VALUE!</v>
      </c>
    </row>
    <row r="5069" spans="1:5" x14ac:dyDescent="0.2">
      <c r="A5069" s="28">
        <v>5068</v>
      </c>
      <c r="B5069" s="28" t="e">
        <f>interpola(#REF!,CURVA!$B$6:$B$20,CURVA!$G$6:$G$20)</f>
        <v>#VALUE!</v>
      </c>
      <c r="C5069" s="29" t="e">
        <f t="shared" si="79"/>
        <v>#VALUE!</v>
      </c>
      <c r="E5069" t="e">
        <f>cubic_spline(CURVA!$B$6:$B$20,CURVA!$G$6:$G$20,#REF!)</f>
        <v>#VALUE!</v>
      </c>
    </row>
    <row r="5070" spans="1:5" x14ac:dyDescent="0.2">
      <c r="A5070" s="28">
        <v>5069</v>
      </c>
      <c r="B5070" s="28" t="e">
        <f>interpola(#REF!,CURVA!$B$6:$B$20,CURVA!$G$6:$G$20)</f>
        <v>#VALUE!</v>
      </c>
      <c r="C5070" s="29" t="e">
        <f t="shared" si="79"/>
        <v>#VALUE!</v>
      </c>
      <c r="E5070" t="e">
        <f>cubic_spline(CURVA!$B$6:$B$20,CURVA!$G$6:$G$20,#REF!)</f>
        <v>#VALUE!</v>
      </c>
    </row>
    <row r="5071" spans="1:5" x14ac:dyDescent="0.2">
      <c r="A5071" s="28">
        <v>5070</v>
      </c>
      <c r="B5071" s="28" t="e">
        <f>interpola(#REF!,CURVA!$B$6:$B$20,CURVA!$G$6:$G$20)</f>
        <v>#VALUE!</v>
      </c>
      <c r="C5071" s="29" t="e">
        <f t="shared" si="79"/>
        <v>#VALUE!</v>
      </c>
      <c r="E5071" t="e">
        <f>cubic_spline(CURVA!$B$6:$B$20,CURVA!$G$6:$G$20,#REF!)</f>
        <v>#VALUE!</v>
      </c>
    </row>
    <row r="5072" spans="1:5" x14ac:dyDescent="0.2">
      <c r="A5072" s="28">
        <v>5071</v>
      </c>
      <c r="B5072" s="28" t="e">
        <f>interpola(#REF!,CURVA!$B$6:$B$20,CURVA!$G$6:$G$20)</f>
        <v>#VALUE!</v>
      </c>
      <c r="C5072" s="29" t="e">
        <f t="shared" si="79"/>
        <v>#VALUE!</v>
      </c>
      <c r="E5072" t="e">
        <f>cubic_spline(CURVA!$B$6:$B$20,CURVA!$G$6:$G$20,#REF!)</f>
        <v>#VALUE!</v>
      </c>
    </row>
    <row r="5073" spans="1:5" x14ac:dyDescent="0.2">
      <c r="A5073" s="28">
        <v>5072</v>
      </c>
      <c r="B5073" s="28" t="e">
        <f>interpola(#REF!,CURVA!$B$6:$B$20,CURVA!$G$6:$G$20)</f>
        <v>#VALUE!</v>
      </c>
      <c r="C5073" s="29" t="e">
        <f t="shared" si="79"/>
        <v>#VALUE!</v>
      </c>
      <c r="E5073" t="e">
        <f>cubic_spline(CURVA!$B$6:$B$20,CURVA!$G$6:$G$20,#REF!)</f>
        <v>#VALUE!</v>
      </c>
    </row>
    <row r="5074" spans="1:5" x14ac:dyDescent="0.2">
      <c r="A5074" s="28">
        <v>5073</v>
      </c>
      <c r="B5074" s="28" t="e">
        <f>interpola(#REF!,CURVA!$B$6:$B$20,CURVA!$G$6:$G$20)</f>
        <v>#VALUE!</v>
      </c>
      <c r="C5074" s="29" t="e">
        <f t="shared" si="79"/>
        <v>#VALUE!</v>
      </c>
      <c r="E5074" t="e">
        <f>cubic_spline(CURVA!$B$6:$B$20,CURVA!$G$6:$G$20,#REF!)</f>
        <v>#VALUE!</v>
      </c>
    </row>
    <row r="5075" spans="1:5" x14ac:dyDescent="0.2">
      <c r="A5075" s="28">
        <v>5074</v>
      </c>
      <c r="B5075" s="28" t="e">
        <f>interpola(#REF!,CURVA!$B$6:$B$20,CURVA!$G$6:$G$20)</f>
        <v>#VALUE!</v>
      </c>
      <c r="C5075" s="29" t="e">
        <f t="shared" si="79"/>
        <v>#VALUE!</v>
      </c>
      <c r="E5075" t="e">
        <f>cubic_spline(CURVA!$B$6:$B$20,CURVA!$G$6:$G$20,#REF!)</f>
        <v>#VALUE!</v>
      </c>
    </row>
    <row r="5076" spans="1:5" x14ac:dyDescent="0.2">
      <c r="A5076" s="28">
        <v>5075</v>
      </c>
      <c r="B5076" s="28" t="e">
        <f>interpola(#REF!,CURVA!$B$6:$B$20,CURVA!$G$6:$G$20)</f>
        <v>#VALUE!</v>
      </c>
      <c r="C5076" s="29" t="e">
        <f t="shared" si="79"/>
        <v>#VALUE!</v>
      </c>
      <c r="E5076" t="e">
        <f>cubic_spline(CURVA!$B$6:$B$20,CURVA!$G$6:$G$20,#REF!)</f>
        <v>#VALUE!</v>
      </c>
    </row>
    <row r="5077" spans="1:5" x14ac:dyDescent="0.2">
      <c r="A5077" s="28">
        <v>5076</v>
      </c>
      <c r="B5077" s="28" t="e">
        <f>interpola(#REF!,CURVA!$B$6:$B$20,CURVA!$G$6:$G$20)</f>
        <v>#VALUE!</v>
      </c>
      <c r="C5077" s="29" t="e">
        <f t="shared" si="79"/>
        <v>#VALUE!</v>
      </c>
      <c r="E5077" t="e">
        <f>cubic_spline(CURVA!$B$6:$B$20,CURVA!$G$6:$G$20,#REF!)</f>
        <v>#VALUE!</v>
      </c>
    </row>
    <row r="5078" spans="1:5" x14ac:dyDescent="0.2">
      <c r="A5078" s="28">
        <v>5077</v>
      </c>
      <c r="B5078" s="28" t="e">
        <f>interpola(#REF!,CURVA!$B$6:$B$20,CURVA!$G$6:$G$20)</f>
        <v>#VALUE!</v>
      </c>
      <c r="C5078" s="29" t="e">
        <f t="shared" si="79"/>
        <v>#VALUE!</v>
      </c>
      <c r="E5078" t="e">
        <f>cubic_spline(CURVA!$B$6:$B$20,CURVA!$G$6:$G$20,#REF!)</f>
        <v>#VALUE!</v>
      </c>
    </row>
    <row r="5079" spans="1:5" x14ac:dyDescent="0.2">
      <c r="A5079" s="28">
        <v>5078</v>
      </c>
      <c r="B5079" s="28" t="e">
        <f>interpola(#REF!,CURVA!$B$6:$B$20,CURVA!$G$6:$G$20)</f>
        <v>#VALUE!</v>
      </c>
      <c r="C5079" s="29" t="e">
        <f t="shared" si="79"/>
        <v>#VALUE!</v>
      </c>
      <c r="E5079" t="e">
        <f>cubic_spline(CURVA!$B$6:$B$20,CURVA!$G$6:$G$20,#REF!)</f>
        <v>#VALUE!</v>
      </c>
    </row>
    <row r="5080" spans="1:5" x14ac:dyDescent="0.2">
      <c r="A5080" s="28">
        <v>5079</v>
      </c>
      <c r="B5080" s="28" t="e">
        <f>interpola(#REF!,CURVA!$B$6:$B$20,CURVA!$G$6:$G$20)</f>
        <v>#VALUE!</v>
      </c>
      <c r="C5080" s="29" t="e">
        <f t="shared" si="79"/>
        <v>#VALUE!</v>
      </c>
      <c r="E5080" t="e">
        <f>cubic_spline(CURVA!$B$6:$B$20,CURVA!$G$6:$G$20,#REF!)</f>
        <v>#VALUE!</v>
      </c>
    </row>
    <row r="5081" spans="1:5" x14ac:dyDescent="0.2">
      <c r="A5081" s="28">
        <v>5080</v>
      </c>
      <c r="B5081" s="28" t="e">
        <f>interpola(#REF!,CURVA!$B$6:$B$20,CURVA!$G$6:$G$20)</f>
        <v>#VALUE!</v>
      </c>
      <c r="C5081" s="29" t="e">
        <f t="shared" si="79"/>
        <v>#VALUE!</v>
      </c>
      <c r="E5081" t="e">
        <f>cubic_spline(CURVA!$B$6:$B$20,CURVA!$G$6:$G$20,#REF!)</f>
        <v>#VALUE!</v>
      </c>
    </row>
    <row r="5082" spans="1:5" x14ac:dyDescent="0.2">
      <c r="A5082" s="28">
        <v>5081</v>
      </c>
      <c r="B5082" s="28" t="e">
        <f>interpola(#REF!,CURVA!$B$6:$B$20,CURVA!$G$6:$G$20)</f>
        <v>#VALUE!</v>
      </c>
      <c r="C5082" s="29" t="e">
        <f t="shared" si="79"/>
        <v>#VALUE!</v>
      </c>
      <c r="E5082" t="e">
        <f>cubic_spline(CURVA!$B$6:$B$20,CURVA!$G$6:$G$20,#REF!)</f>
        <v>#VALUE!</v>
      </c>
    </row>
    <row r="5083" spans="1:5" x14ac:dyDescent="0.2">
      <c r="A5083" s="28">
        <v>5082</v>
      </c>
      <c r="B5083" s="28" t="e">
        <f>interpola(#REF!,CURVA!$B$6:$B$20,CURVA!$G$6:$G$20)</f>
        <v>#VALUE!</v>
      </c>
      <c r="C5083" s="29" t="e">
        <f t="shared" si="79"/>
        <v>#VALUE!</v>
      </c>
      <c r="E5083" t="e">
        <f>cubic_spline(CURVA!$B$6:$B$20,CURVA!$G$6:$G$20,#REF!)</f>
        <v>#VALUE!</v>
      </c>
    </row>
    <row r="5084" spans="1:5" x14ac:dyDescent="0.2">
      <c r="A5084" s="28">
        <v>5083</v>
      </c>
      <c r="B5084" s="28" t="e">
        <f>interpola(#REF!,CURVA!$B$6:$B$20,CURVA!$G$6:$G$20)</f>
        <v>#VALUE!</v>
      </c>
      <c r="C5084" s="29" t="e">
        <f t="shared" si="79"/>
        <v>#VALUE!</v>
      </c>
      <c r="E5084" t="e">
        <f>cubic_spline(CURVA!$B$6:$B$20,CURVA!$G$6:$G$20,#REF!)</f>
        <v>#VALUE!</v>
      </c>
    </row>
    <row r="5085" spans="1:5" x14ac:dyDescent="0.2">
      <c r="A5085" s="28">
        <v>5084</v>
      </c>
      <c r="B5085" s="28" t="e">
        <f>interpola(#REF!,CURVA!$B$6:$B$20,CURVA!$G$6:$G$20)</f>
        <v>#VALUE!</v>
      </c>
      <c r="C5085" s="29" t="e">
        <f t="shared" si="79"/>
        <v>#VALUE!</v>
      </c>
      <c r="E5085" t="e">
        <f>cubic_spline(CURVA!$B$6:$B$20,CURVA!$G$6:$G$20,#REF!)</f>
        <v>#VALUE!</v>
      </c>
    </row>
    <row r="5086" spans="1:5" x14ac:dyDescent="0.2">
      <c r="A5086" s="28">
        <v>5085</v>
      </c>
      <c r="B5086" s="28" t="e">
        <f>interpola(#REF!,CURVA!$B$6:$B$20,CURVA!$G$6:$G$20)</f>
        <v>#VALUE!</v>
      </c>
      <c r="C5086" s="29" t="e">
        <f t="shared" si="79"/>
        <v>#VALUE!</v>
      </c>
      <c r="E5086" t="e">
        <f>cubic_spline(CURVA!$B$6:$B$20,CURVA!$G$6:$G$20,#REF!)</f>
        <v>#VALUE!</v>
      </c>
    </row>
    <row r="5087" spans="1:5" x14ac:dyDescent="0.2">
      <c r="A5087" s="28">
        <v>5086</v>
      </c>
      <c r="B5087" s="28" t="e">
        <f>interpola(#REF!,CURVA!$B$6:$B$20,CURVA!$G$6:$G$20)</f>
        <v>#VALUE!</v>
      </c>
      <c r="C5087" s="29" t="e">
        <f t="shared" si="79"/>
        <v>#VALUE!</v>
      </c>
      <c r="E5087" t="e">
        <f>cubic_spline(CURVA!$B$6:$B$20,CURVA!$G$6:$G$20,#REF!)</f>
        <v>#VALUE!</v>
      </c>
    </row>
    <row r="5088" spans="1:5" x14ac:dyDescent="0.2">
      <c r="A5088" s="28">
        <v>5087</v>
      </c>
      <c r="B5088" s="28" t="e">
        <f>interpola(#REF!,CURVA!$B$6:$B$20,CURVA!$G$6:$G$20)</f>
        <v>#VALUE!</v>
      </c>
      <c r="C5088" s="29" t="e">
        <f t="shared" si="79"/>
        <v>#VALUE!</v>
      </c>
      <c r="E5088" t="e">
        <f>cubic_spline(CURVA!$B$6:$B$20,CURVA!$G$6:$G$20,#REF!)</f>
        <v>#VALUE!</v>
      </c>
    </row>
    <row r="5089" spans="1:5" x14ac:dyDescent="0.2">
      <c r="A5089" s="28">
        <v>5088</v>
      </c>
      <c r="B5089" s="28" t="e">
        <f>interpola(#REF!,CURVA!$B$6:$B$20,CURVA!$G$6:$G$20)</f>
        <v>#VALUE!</v>
      </c>
      <c r="C5089" s="29" t="e">
        <f t="shared" si="79"/>
        <v>#VALUE!</v>
      </c>
      <c r="E5089" t="e">
        <f>cubic_spline(CURVA!$B$6:$B$20,CURVA!$G$6:$G$20,#REF!)</f>
        <v>#VALUE!</v>
      </c>
    </row>
    <row r="5090" spans="1:5" x14ac:dyDescent="0.2">
      <c r="A5090" s="28">
        <v>5089</v>
      </c>
      <c r="B5090" s="28" t="e">
        <f>interpola(#REF!,CURVA!$B$6:$B$20,CURVA!$G$6:$G$20)</f>
        <v>#VALUE!</v>
      </c>
      <c r="C5090" s="29" t="e">
        <f t="shared" si="79"/>
        <v>#VALUE!</v>
      </c>
      <c r="E5090" t="e">
        <f>cubic_spline(CURVA!$B$6:$B$20,CURVA!$G$6:$G$20,#REF!)</f>
        <v>#VALUE!</v>
      </c>
    </row>
    <row r="5091" spans="1:5" x14ac:dyDescent="0.2">
      <c r="A5091" s="28">
        <v>5090</v>
      </c>
      <c r="B5091" s="28" t="e">
        <f>interpola(#REF!,CURVA!$B$6:$B$20,CURVA!$G$6:$G$20)</f>
        <v>#VALUE!</v>
      </c>
      <c r="C5091" s="29" t="e">
        <f t="shared" si="79"/>
        <v>#VALUE!</v>
      </c>
      <c r="E5091" t="e">
        <f>cubic_spline(CURVA!$B$6:$B$20,CURVA!$G$6:$G$20,#REF!)</f>
        <v>#VALUE!</v>
      </c>
    </row>
    <row r="5092" spans="1:5" x14ac:dyDescent="0.2">
      <c r="A5092" s="28">
        <v>5091</v>
      </c>
      <c r="B5092" s="28" t="e">
        <f>interpola(#REF!,CURVA!$B$6:$B$20,CURVA!$G$6:$G$20)</f>
        <v>#VALUE!</v>
      </c>
      <c r="C5092" s="29" t="e">
        <f t="shared" si="79"/>
        <v>#VALUE!</v>
      </c>
      <c r="E5092" t="e">
        <f>cubic_spline(CURVA!$B$6:$B$20,CURVA!$G$6:$G$20,#REF!)</f>
        <v>#VALUE!</v>
      </c>
    </row>
    <row r="5093" spans="1:5" x14ac:dyDescent="0.2">
      <c r="A5093" s="28">
        <v>5092</v>
      </c>
      <c r="B5093" s="28" t="e">
        <f>interpola(#REF!,CURVA!$B$6:$B$20,CURVA!$G$6:$G$20)</f>
        <v>#VALUE!</v>
      </c>
      <c r="C5093" s="29" t="e">
        <f t="shared" si="79"/>
        <v>#VALUE!</v>
      </c>
      <c r="E5093" t="e">
        <f>cubic_spline(CURVA!$B$6:$B$20,CURVA!$G$6:$G$20,#REF!)</f>
        <v>#VALUE!</v>
      </c>
    </row>
    <row r="5094" spans="1:5" x14ac:dyDescent="0.2">
      <c r="A5094" s="28">
        <v>5093</v>
      </c>
      <c r="B5094" s="28" t="e">
        <f>interpola(#REF!,CURVA!$B$6:$B$20,CURVA!$G$6:$G$20)</f>
        <v>#VALUE!</v>
      </c>
      <c r="C5094" s="29" t="e">
        <f t="shared" si="79"/>
        <v>#VALUE!</v>
      </c>
      <c r="E5094" t="e">
        <f>cubic_spline(CURVA!$B$6:$B$20,CURVA!$G$6:$G$20,#REF!)</f>
        <v>#VALUE!</v>
      </c>
    </row>
    <row r="5095" spans="1:5" x14ac:dyDescent="0.2">
      <c r="A5095" s="28">
        <v>5094</v>
      </c>
      <c r="B5095" s="28" t="e">
        <f>interpola(#REF!,CURVA!$B$6:$B$20,CURVA!$G$6:$G$20)</f>
        <v>#VALUE!</v>
      </c>
      <c r="C5095" s="29" t="e">
        <f t="shared" si="79"/>
        <v>#VALUE!</v>
      </c>
      <c r="E5095" t="e">
        <f>cubic_spline(CURVA!$B$6:$B$20,CURVA!$G$6:$G$20,#REF!)</f>
        <v>#VALUE!</v>
      </c>
    </row>
    <row r="5096" spans="1:5" x14ac:dyDescent="0.2">
      <c r="A5096" s="28">
        <v>5095</v>
      </c>
      <c r="B5096" s="28" t="e">
        <f>interpola(#REF!,CURVA!$B$6:$B$20,CURVA!$G$6:$G$20)</f>
        <v>#VALUE!</v>
      </c>
      <c r="C5096" s="29" t="e">
        <f t="shared" si="79"/>
        <v>#VALUE!</v>
      </c>
      <c r="E5096" t="e">
        <f>cubic_spline(CURVA!$B$6:$B$20,CURVA!$G$6:$G$20,#REF!)</f>
        <v>#VALUE!</v>
      </c>
    </row>
    <row r="5097" spans="1:5" x14ac:dyDescent="0.2">
      <c r="A5097" s="28">
        <v>5096</v>
      </c>
      <c r="B5097" s="28" t="e">
        <f>interpola(#REF!,CURVA!$B$6:$B$20,CURVA!$G$6:$G$20)</f>
        <v>#VALUE!</v>
      </c>
      <c r="C5097" s="29" t="e">
        <f t="shared" si="79"/>
        <v>#VALUE!</v>
      </c>
      <c r="E5097" t="e">
        <f>cubic_spline(CURVA!$B$6:$B$20,CURVA!$G$6:$G$20,#REF!)</f>
        <v>#VALUE!</v>
      </c>
    </row>
    <row r="5098" spans="1:5" x14ac:dyDescent="0.2">
      <c r="A5098" s="28">
        <v>5097</v>
      </c>
      <c r="B5098" s="28" t="e">
        <f>interpola(#REF!,CURVA!$B$6:$B$20,CURVA!$G$6:$G$20)</f>
        <v>#VALUE!</v>
      </c>
      <c r="C5098" s="29" t="e">
        <f t="shared" si="79"/>
        <v>#VALUE!</v>
      </c>
      <c r="E5098" t="e">
        <f>cubic_spline(CURVA!$B$6:$B$20,CURVA!$G$6:$G$20,#REF!)</f>
        <v>#VALUE!</v>
      </c>
    </row>
    <row r="5099" spans="1:5" x14ac:dyDescent="0.2">
      <c r="A5099" s="28">
        <v>5098</v>
      </c>
      <c r="B5099" s="28" t="e">
        <f>interpola(#REF!,CURVA!$B$6:$B$20,CURVA!$G$6:$G$20)</f>
        <v>#VALUE!</v>
      </c>
      <c r="C5099" s="29" t="e">
        <f t="shared" si="79"/>
        <v>#VALUE!</v>
      </c>
      <c r="E5099" t="e">
        <f>cubic_spline(CURVA!$B$6:$B$20,CURVA!$G$6:$G$20,#REF!)</f>
        <v>#VALUE!</v>
      </c>
    </row>
    <row r="5100" spans="1:5" x14ac:dyDescent="0.2">
      <c r="A5100" s="28">
        <v>5099</v>
      </c>
      <c r="B5100" s="28" t="e">
        <f>interpola(#REF!,CURVA!$B$6:$B$20,CURVA!$G$6:$G$20)</f>
        <v>#VALUE!</v>
      </c>
      <c r="C5100" s="29" t="e">
        <f t="shared" si="79"/>
        <v>#VALUE!</v>
      </c>
      <c r="E5100" t="e">
        <f>cubic_spline(CURVA!$B$6:$B$20,CURVA!$G$6:$G$20,#REF!)</f>
        <v>#VALUE!</v>
      </c>
    </row>
    <row r="5101" spans="1:5" x14ac:dyDescent="0.2">
      <c r="A5101" s="28">
        <v>5100</v>
      </c>
      <c r="B5101" s="28" t="e">
        <f>interpola(#REF!,CURVA!$B$6:$B$20,CURVA!$G$6:$G$20)</f>
        <v>#VALUE!</v>
      </c>
      <c r="C5101" s="29" t="e">
        <f t="shared" si="79"/>
        <v>#VALUE!</v>
      </c>
      <c r="E5101" t="e">
        <f>cubic_spline(CURVA!$B$6:$B$20,CURVA!$G$6:$G$20,#REF!)</f>
        <v>#VALUE!</v>
      </c>
    </row>
    <row r="5102" spans="1:5" x14ac:dyDescent="0.2">
      <c r="A5102" s="28">
        <v>5101</v>
      </c>
      <c r="B5102" s="28" t="e">
        <f>interpola(#REF!,CURVA!$B$6:$B$20,CURVA!$G$6:$G$20)</f>
        <v>#VALUE!</v>
      </c>
      <c r="C5102" s="29" t="e">
        <f t="shared" si="79"/>
        <v>#VALUE!</v>
      </c>
      <c r="E5102" t="e">
        <f>cubic_spline(CURVA!$B$6:$B$20,CURVA!$G$6:$G$20,#REF!)</f>
        <v>#VALUE!</v>
      </c>
    </row>
    <row r="5103" spans="1:5" x14ac:dyDescent="0.2">
      <c r="A5103" s="28">
        <v>5102</v>
      </c>
      <c r="B5103" s="28" t="e">
        <f>interpola(#REF!,CURVA!$B$6:$B$20,CURVA!$G$6:$G$20)</f>
        <v>#VALUE!</v>
      </c>
      <c r="C5103" s="29" t="e">
        <f t="shared" si="79"/>
        <v>#VALUE!</v>
      </c>
      <c r="E5103" t="e">
        <f>cubic_spline(CURVA!$B$6:$B$20,CURVA!$G$6:$G$20,#REF!)</f>
        <v>#VALUE!</v>
      </c>
    </row>
    <row r="5104" spans="1:5" x14ac:dyDescent="0.2">
      <c r="A5104" s="28">
        <v>5103</v>
      </c>
      <c r="B5104" s="28" t="e">
        <f>interpola(#REF!,CURVA!$B$6:$B$20,CURVA!$G$6:$G$20)</f>
        <v>#VALUE!</v>
      </c>
      <c r="C5104" s="29" t="e">
        <f t="shared" si="79"/>
        <v>#VALUE!</v>
      </c>
      <c r="E5104" t="e">
        <f>cubic_spline(CURVA!$B$6:$B$20,CURVA!$G$6:$G$20,#REF!)</f>
        <v>#VALUE!</v>
      </c>
    </row>
    <row r="5105" spans="1:5" x14ac:dyDescent="0.2">
      <c r="A5105" s="28">
        <v>5104</v>
      </c>
      <c r="B5105" s="28" t="e">
        <f>interpola(#REF!,CURVA!$B$6:$B$20,CURVA!$G$6:$G$20)</f>
        <v>#VALUE!</v>
      </c>
      <c r="C5105" s="29" t="e">
        <f t="shared" si="79"/>
        <v>#VALUE!</v>
      </c>
      <c r="E5105" t="e">
        <f>cubic_spline(CURVA!$B$6:$B$20,CURVA!$G$6:$G$20,#REF!)</f>
        <v>#VALUE!</v>
      </c>
    </row>
    <row r="5106" spans="1:5" x14ac:dyDescent="0.2">
      <c r="A5106" s="28">
        <v>5105</v>
      </c>
      <c r="B5106" s="28" t="e">
        <f>interpola(#REF!,CURVA!$B$6:$B$20,CURVA!$G$6:$G$20)</f>
        <v>#VALUE!</v>
      </c>
      <c r="C5106" s="29" t="e">
        <f t="shared" si="79"/>
        <v>#VALUE!</v>
      </c>
      <c r="E5106" t="e">
        <f>cubic_spline(CURVA!$B$6:$B$20,CURVA!$G$6:$G$20,#REF!)</f>
        <v>#VALUE!</v>
      </c>
    </row>
    <row r="5107" spans="1:5" x14ac:dyDescent="0.2">
      <c r="A5107" s="28">
        <v>5106</v>
      </c>
      <c r="B5107" s="28" t="e">
        <f>interpola(#REF!,CURVA!$B$6:$B$20,CURVA!$G$6:$G$20)</f>
        <v>#VALUE!</v>
      </c>
      <c r="C5107" s="29" t="e">
        <f t="shared" si="79"/>
        <v>#VALUE!</v>
      </c>
      <c r="E5107" t="e">
        <f>cubic_spline(CURVA!$B$6:$B$20,CURVA!$G$6:$G$20,#REF!)</f>
        <v>#VALUE!</v>
      </c>
    </row>
    <row r="5108" spans="1:5" x14ac:dyDescent="0.2">
      <c r="A5108" s="28">
        <v>5107</v>
      </c>
      <c r="B5108" s="28" t="e">
        <f>interpola(#REF!,CURVA!$B$6:$B$20,CURVA!$G$6:$G$20)</f>
        <v>#VALUE!</v>
      </c>
      <c r="C5108" s="29" t="e">
        <f t="shared" si="79"/>
        <v>#VALUE!</v>
      </c>
      <c r="E5108" t="e">
        <f>cubic_spline(CURVA!$B$6:$B$20,CURVA!$G$6:$G$20,#REF!)</f>
        <v>#VALUE!</v>
      </c>
    </row>
    <row r="5109" spans="1:5" x14ac:dyDescent="0.2">
      <c r="A5109" s="28">
        <v>5108</v>
      </c>
      <c r="B5109" s="28" t="e">
        <f>interpola(#REF!,CURVA!$B$6:$B$20,CURVA!$G$6:$G$20)</f>
        <v>#VALUE!</v>
      </c>
      <c r="C5109" s="29" t="e">
        <f t="shared" si="79"/>
        <v>#VALUE!</v>
      </c>
      <c r="E5109" t="e">
        <f>cubic_spline(CURVA!$B$6:$B$20,CURVA!$G$6:$G$20,#REF!)</f>
        <v>#VALUE!</v>
      </c>
    </row>
    <row r="5110" spans="1:5" x14ac:dyDescent="0.2">
      <c r="A5110" s="28">
        <v>5109</v>
      </c>
      <c r="B5110" s="28" t="e">
        <f>interpola(#REF!,CURVA!$B$6:$B$20,CURVA!$G$6:$G$20)</f>
        <v>#VALUE!</v>
      </c>
      <c r="C5110" s="29" t="e">
        <f t="shared" si="79"/>
        <v>#VALUE!</v>
      </c>
      <c r="E5110" t="e">
        <f>cubic_spline(CURVA!$B$6:$B$20,CURVA!$G$6:$G$20,#REF!)</f>
        <v>#VALUE!</v>
      </c>
    </row>
    <row r="5111" spans="1:5" x14ac:dyDescent="0.2">
      <c r="A5111" s="28">
        <v>5110</v>
      </c>
      <c r="B5111" s="28" t="e">
        <f>interpola(#REF!,CURVA!$B$6:$B$20,CURVA!$G$6:$G$20)</f>
        <v>#VALUE!</v>
      </c>
      <c r="C5111" s="29" t="e">
        <f t="shared" si="79"/>
        <v>#VALUE!</v>
      </c>
      <c r="E5111" t="e">
        <f>cubic_spline(CURVA!$B$6:$B$20,CURVA!$G$6:$G$20,#REF!)</f>
        <v>#VALUE!</v>
      </c>
    </row>
    <row r="5112" spans="1:5" x14ac:dyDescent="0.2">
      <c r="A5112" s="28">
        <v>5111</v>
      </c>
      <c r="B5112" s="28" t="e">
        <f>interpola(#REF!,CURVA!$B$6:$B$20,CURVA!$G$6:$G$20)</f>
        <v>#VALUE!</v>
      </c>
      <c r="C5112" s="29" t="e">
        <f t="shared" si="79"/>
        <v>#VALUE!</v>
      </c>
      <c r="E5112" t="e">
        <f>cubic_spline(CURVA!$B$6:$B$20,CURVA!$G$6:$G$20,#REF!)</f>
        <v>#VALUE!</v>
      </c>
    </row>
    <row r="5113" spans="1:5" x14ac:dyDescent="0.2">
      <c r="A5113" s="28">
        <v>5112</v>
      </c>
      <c r="B5113" s="28" t="e">
        <f>interpola(#REF!,CURVA!$B$6:$B$20,CURVA!$G$6:$G$20)</f>
        <v>#VALUE!</v>
      </c>
      <c r="C5113" s="29" t="e">
        <f t="shared" si="79"/>
        <v>#VALUE!</v>
      </c>
      <c r="E5113" t="e">
        <f>cubic_spline(CURVA!$B$6:$B$20,CURVA!$G$6:$G$20,#REF!)</f>
        <v>#VALUE!</v>
      </c>
    </row>
    <row r="5114" spans="1:5" x14ac:dyDescent="0.2">
      <c r="A5114" s="28">
        <v>5113</v>
      </c>
      <c r="B5114" s="28" t="e">
        <f>interpola(#REF!,CURVA!$B$6:$B$20,CURVA!$G$6:$G$20)</f>
        <v>#VALUE!</v>
      </c>
      <c r="C5114" s="29" t="e">
        <f t="shared" si="79"/>
        <v>#VALUE!</v>
      </c>
      <c r="E5114" t="e">
        <f>cubic_spline(CURVA!$B$6:$B$20,CURVA!$G$6:$G$20,#REF!)</f>
        <v>#VALUE!</v>
      </c>
    </row>
    <row r="5115" spans="1:5" x14ac:dyDescent="0.2">
      <c r="A5115" s="28">
        <v>5114</v>
      </c>
      <c r="B5115" s="28" t="e">
        <f>interpola(#REF!,CURVA!$B$6:$B$20,CURVA!$G$6:$G$20)</f>
        <v>#VALUE!</v>
      </c>
      <c r="C5115" s="29" t="e">
        <f t="shared" si="79"/>
        <v>#VALUE!</v>
      </c>
      <c r="E5115" t="e">
        <f>cubic_spline(CURVA!$B$6:$B$20,CURVA!$G$6:$G$20,#REF!)</f>
        <v>#VALUE!</v>
      </c>
    </row>
    <row r="5116" spans="1:5" x14ac:dyDescent="0.2">
      <c r="A5116" s="28">
        <v>5115</v>
      </c>
      <c r="B5116" s="28" t="e">
        <f>interpola(#REF!,CURVA!$B$6:$B$20,CURVA!$G$6:$G$20)</f>
        <v>#VALUE!</v>
      </c>
      <c r="C5116" s="29" t="e">
        <f t="shared" si="79"/>
        <v>#VALUE!</v>
      </c>
      <c r="E5116" t="e">
        <f>cubic_spline(CURVA!$B$6:$B$20,CURVA!$G$6:$G$20,#REF!)</f>
        <v>#VALUE!</v>
      </c>
    </row>
    <row r="5117" spans="1:5" x14ac:dyDescent="0.2">
      <c r="A5117" s="28">
        <v>5116</v>
      </c>
      <c r="B5117" s="28" t="e">
        <f>interpola(#REF!,CURVA!$B$6:$B$20,CURVA!$G$6:$G$20)</f>
        <v>#VALUE!</v>
      </c>
      <c r="C5117" s="29" t="e">
        <f t="shared" si="79"/>
        <v>#VALUE!</v>
      </c>
      <c r="E5117" t="e">
        <f>cubic_spline(CURVA!$B$6:$B$20,CURVA!$G$6:$G$20,#REF!)</f>
        <v>#VALUE!</v>
      </c>
    </row>
    <row r="5118" spans="1:5" x14ac:dyDescent="0.2">
      <c r="A5118" s="28">
        <v>5117</v>
      </c>
      <c r="B5118" s="28" t="e">
        <f>interpola(#REF!,CURVA!$B$6:$B$20,CURVA!$G$6:$G$20)</f>
        <v>#VALUE!</v>
      </c>
      <c r="C5118" s="29" t="e">
        <f t="shared" si="79"/>
        <v>#VALUE!</v>
      </c>
      <c r="E5118" t="e">
        <f>cubic_spline(CURVA!$B$6:$B$20,CURVA!$G$6:$G$20,#REF!)</f>
        <v>#VALUE!</v>
      </c>
    </row>
    <row r="5119" spans="1:5" x14ac:dyDescent="0.2">
      <c r="A5119" s="28">
        <v>5118</v>
      </c>
      <c r="B5119" s="28" t="e">
        <f>interpola(#REF!,CURVA!$B$6:$B$20,CURVA!$G$6:$G$20)</f>
        <v>#VALUE!</v>
      </c>
      <c r="C5119" s="29" t="e">
        <f t="shared" si="79"/>
        <v>#VALUE!</v>
      </c>
      <c r="E5119" t="e">
        <f>cubic_spline(CURVA!$B$6:$B$20,CURVA!$G$6:$G$20,#REF!)</f>
        <v>#VALUE!</v>
      </c>
    </row>
    <row r="5120" spans="1:5" x14ac:dyDescent="0.2">
      <c r="A5120" s="28">
        <v>5119</v>
      </c>
      <c r="B5120" s="28" t="e">
        <f>interpola(#REF!,CURVA!$B$6:$B$20,CURVA!$G$6:$G$20)</f>
        <v>#VALUE!</v>
      </c>
      <c r="C5120" s="29" t="e">
        <f t="shared" si="79"/>
        <v>#VALUE!</v>
      </c>
      <c r="E5120" t="e">
        <f>cubic_spline(CURVA!$B$6:$B$20,CURVA!$G$6:$G$20,#REF!)</f>
        <v>#VALUE!</v>
      </c>
    </row>
    <row r="5121" spans="1:5" x14ac:dyDescent="0.2">
      <c r="A5121" s="28">
        <v>5120</v>
      </c>
      <c r="B5121" s="28" t="e">
        <f>interpola(#REF!,CURVA!$B$6:$B$20,CURVA!$G$6:$G$20)</f>
        <v>#VALUE!</v>
      </c>
      <c r="C5121" s="29" t="e">
        <f t="shared" si="79"/>
        <v>#VALUE!</v>
      </c>
      <c r="E5121" t="e">
        <f>cubic_spline(CURVA!$B$6:$B$20,CURVA!$G$6:$G$20,#REF!)</f>
        <v>#VALUE!</v>
      </c>
    </row>
    <row r="5122" spans="1:5" x14ac:dyDescent="0.2">
      <c r="A5122" s="28">
        <v>5121</v>
      </c>
      <c r="B5122" s="28" t="e">
        <f>interpola(#REF!,CURVA!$B$6:$B$20,CURVA!$G$6:$G$20)</f>
        <v>#VALUE!</v>
      </c>
      <c r="C5122" s="29" t="e">
        <f t="shared" ref="C5122:C5185" si="80">(EXP(B5122*A5122/360)-1)*360/A5122</f>
        <v>#VALUE!</v>
      </c>
      <c r="E5122" t="e">
        <f>cubic_spline(CURVA!$B$6:$B$20,CURVA!$G$6:$G$20,#REF!)</f>
        <v>#VALUE!</v>
      </c>
    </row>
    <row r="5123" spans="1:5" x14ac:dyDescent="0.2">
      <c r="A5123" s="28">
        <v>5122</v>
      </c>
      <c r="B5123" s="28" t="e">
        <f>interpola(#REF!,CURVA!$B$6:$B$20,CURVA!$G$6:$G$20)</f>
        <v>#VALUE!</v>
      </c>
      <c r="C5123" s="29" t="e">
        <f t="shared" si="80"/>
        <v>#VALUE!</v>
      </c>
      <c r="E5123" t="e">
        <f>cubic_spline(CURVA!$B$6:$B$20,CURVA!$G$6:$G$20,#REF!)</f>
        <v>#VALUE!</v>
      </c>
    </row>
    <row r="5124" spans="1:5" x14ac:dyDescent="0.2">
      <c r="A5124" s="28">
        <v>5123</v>
      </c>
      <c r="B5124" s="28" t="e">
        <f>interpola(#REF!,CURVA!$B$6:$B$20,CURVA!$G$6:$G$20)</f>
        <v>#VALUE!</v>
      </c>
      <c r="C5124" s="29" t="e">
        <f t="shared" si="80"/>
        <v>#VALUE!</v>
      </c>
      <c r="E5124" t="e">
        <f>cubic_spline(CURVA!$B$6:$B$20,CURVA!$G$6:$G$20,#REF!)</f>
        <v>#VALUE!</v>
      </c>
    </row>
    <row r="5125" spans="1:5" x14ac:dyDescent="0.2">
      <c r="A5125" s="28">
        <v>5124</v>
      </c>
      <c r="B5125" s="28" t="e">
        <f>interpola(#REF!,CURVA!$B$6:$B$20,CURVA!$G$6:$G$20)</f>
        <v>#VALUE!</v>
      </c>
      <c r="C5125" s="29" t="e">
        <f t="shared" si="80"/>
        <v>#VALUE!</v>
      </c>
      <c r="E5125" t="e">
        <f>cubic_spline(CURVA!$B$6:$B$20,CURVA!$G$6:$G$20,#REF!)</f>
        <v>#VALUE!</v>
      </c>
    </row>
    <row r="5126" spans="1:5" x14ac:dyDescent="0.2">
      <c r="A5126" s="28">
        <v>5125</v>
      </c>
      <c r="B5126" s="28" t="e">
        <f>interpola(#REF!,CURVA!$B$6:$B$20,CURVA!$G$6:$G$20)</f>
        <v>#VALUE!</v>
      </c>
      <c r="C5126" s="29" t="e">
        <f t="shared" si="80"/>
        <v>#VALUE!</v>
      </c>
      <c r="E5126" t="e">
        <f>cubic_spline(CURVA!$B$6:$B$20,CURVA!$G$6:$G$20,#REF!)</f>
        <v>#VALUE!</v>
      </c>
    </row>
    <row r="5127" spans="1:5" x14ac:dyDescent="0.2">
      <c r="A5127" s="28">
        <v>5126</v>
      </c>
      <c r="B5127" s="28" t="e">
        <f>interpola(#REF!,CURVA!$B$6:$B$20,CURVA!$G$6:$G$20)</f>
        <v>#VALUE!</v>
      </c>
      <c r="C5127" s="29" t="e">
        <f t="shared" si="80"/>
        <v>#VALUE!</v>
      </c>
      <c r="E5127" t="e">
        <f>cubic_spline(CURVA!$B$6:$B$20,CURVA!$G$6:$G$20,#REF!)</f>
        <v>#VALUE!</v>
      </c>
    </row>
    <row r="5128" spans="1:5" x14ac:dyDescent="0.2">
      <c r="A5128" s="28">
        <v>5127</v>
      </c>
      <c r="B5128" s="28" t="e">
        <f>interpola(#REF!,CURVA!$B$6:$B$20,CURVA!$G$6:$G$20)</f>
        <v>#VALUE!</v>
      </c>
      <c r="C5128" s="29" t="e">
        <f t="shared" si="80"/>
        <v>#VALUE!</v>
      </c>
      <c r="E5128" t="e">
        <f>cubic_spline(CURVA!$B$6:$B$20,CURVA!$G$6:$G$20,#REF!)</f>
        <v>#VALUE!</v>
      </c>
    </row>
    <row r="5129" spans="1:5" x14ac:dyDescent="0.2">
      <c r="A5129" s="28">
        <v>5128</v>
      </c>
      <c r="B5129" s="28" t="e">
        <f>interpola(#REF!,CURVA!$B$6:$B$20,CURVA!$G$6:$G$20)</f>
        <v>#VALUE!</v>
      </c>
      <c r="C5129" s="29" t="e">
        <f t="shared" si="80"/>
        <v>#VALUE!</v>
      </c>
      <c r="E5129" t="e">
        <f>cubic_spline(CURVA!$B$6:$B$20,CURVA!$G$6:$G$20,#REF!)</f>
        <v>#VALUE!</v>
      </c>
    </row>
    <row r="5130" spans="1:5" x14ac:dyDescent="0.2">
      <c r="A5130" s="28">
        <v>5129</v>
      </c>
      <c r="B5130" s="28" t="e">
        <f>interpola(#REF!,CURVA!$B$6:$B$20,CURVA!$G$6:$G$20)</f>
        <v>#VALUE!</v>
      </c>
      <c r="C5130" s="29" t="e">
        <f t="shared" si="80"/>
        <v>#VALUE!</v>
      </c>
      <c r="E5130" t="e">
        <f>cubic_spline(CURVA!$B$6:$B$20,CURVA!$G$6:$G$20,#REF!)</f>
        <v>#VALUE!</v>
      </c>
    </row>
    <row r="5131" spans="1:5" x14ac:dyDescent="0.2">
      <c r="A5131" s="28">
        <v>5130</v>
      </c>
      <c r="B5131" s="28" t="e">
        <f>interpola(#REF!,CURVA!$B$6:$B$20,CURVA!$G$6:$G$20)</f>
        <v>#VALUE!</v>
      </c>
      <c r="C5131" s="29" t="e">
        <f t="shared" si="80"/>
        <v>#VALUE!</v>
      </c>
      <c r="E5131" t="e">
        <f>cubic_spline(CURVA!$B$6:$B$20,CURVA!$G$6:$G$20,#REF!)</f>
        <v>#VALUE!</v>
      </c>
    </row>
    <row r="5132" spans="1:5" x14ac:dyDescent="0.2">
      <c r="A5132" s="28">
        <v>5131</v>
      </c>
      <c r="B5132" s="28" t="e">
        <f>interpola(#REF!,CURVA!$B$6:$B$20,CURVA!$G$6:$G$20)</f>
        <v>#VALUE!</v>
      </c>
      <c r="C5132" s="29" t="e">
        <f t="shared" si="80"/>
        <v>#VALUE!</v>
      </c>
      <c r="E5132" t="e">
        <f>cubic_spline(CURVA!$B$6:$B$20,CURVA!$G$6:$G$20,#REF!)</f>
        <v>#VALUE!</v>
      </c>
    </row>
    <row r="5133" spans="1:5" x14ac:dyDescent="0.2">
      <c r="A5133" s="28">
        <v>5132</v>
      </c>
      <c r="B5133" s="28" t="e">
        <f>interpola(#REF!,CURVA!$B$6:$B$20,CURVA!$G$6:$G$20)</f>
        <v>#VALUE!</v>
      </c>
      <c r="C5133" s="29" t="e">
        <f t="shared" si="80"/>
        <v>#VALUE!</v>
      </c>
      <c r="E5133" t="e">
        <f>cubic_spline(CURVA!$B$6:$B$20,CURVA!$G$6:$G$20,#REF!)</f>
        <v>#VALUE!</v>
      </c>
    </row>
    <row r="5134" spans="1:5" x14ac:dyDescent="0.2">
      <c r="A5134" s="28">
        <v>5133</v>
      </c>
      <c r="B5134" s="28" t="e">
        <f>interpola(#REF!,CURVA!$B$6:$B$20,CURVA!$G$6:$G$20)</f>
        <v>#VALUE!</v>
      </c>
      <c r="C5134" s="29" t="e">
        <f t="shared" si="80"/>
        <v>#VALUE!</v>
      </c>
      <c r="E5134" t="e">
        <f>cubic_spline(CURVA!$B$6:$B$20,CURVA!$G$6:$G$20,#REF!)</f>
        <v>#VALUE!</v>
      </c>
    </row>
    <row r="5135" spans="1:5" x14ac:dyDescent="0.2">
      <c r="A5135" s="28">
        <v>5134</v>
      </c>
      <c r="B5135" s="28" t="e">
        <f>interpola(#REF!,CURVA!$B$6:$B$20,CURVA!$G$6:$G$20)</f>
        <v>#VALUE!</v>
      </c>
      <c r="C5135" s="29" t="e">
        <f t="shared" si="80"/>
        <v>#VALUE!</v>
      </c>
      <c r="E5135" t="e">
        <f>cubic_spline(CURVA!$B$6:$B$20,CURVA!$G$6:$G$20,#REF!)</f>
        <v>#VALUE!</v>
      </c>
    </row>
    <row r="5136" spans="1:5" x14ac:dyDescent="0.2">
      <c r="A5136" s="28">
        <v>5135</v>
      </c>
      <c r="B5136" s="28" t="e">
        <f>interpola(#REF!,CURVA!$B$6:$B$20,CURVA!$G$6:$G$20)</f>
        <v>#VALUE!</v>
      </c>
      <c r="C5136" s="29" t="e">
        <f t="shared" si="80"/>
        <v>#VALUE!</v>
      </c>
      <c r="E5136" t="e">
        <f>cubic_spline(CURVA!$B$6:$B$20,CURVA!$G$6:$G$20,#REF!)</f>
        <v>#VALUE!</v>
      </c>
    </row>
    <row r="5137" spans="1:5" x14ac:dyDescent="0.2">
      <c r="A5137" s="28">
        <v>5136</v>
      </c>
      <c r="B5137" s="28" t="e">
        <f>interpola(#REF!,CURVA!$B$6:$B$20,CURVA!$G$6:$G$20)</f>
        <v>#VALUE!</v>
      </c>
      <c r="C5137" s="29" t="e">
        <f t="shared" si="80"/>
        <v>#VALUE!</v>
      </c>
      <c r="E5137" t="e">
        <f>cubic_spline(CURVA!$B$6:$B$20,CURVA!$G$6:$G$20,#REF!)</f>
        <v>#VALUE!</v>
      </c>
    </row>
    <row r="5138" spans="1:5" x14ac:dyDescent="0.2">
      <c r="A5138" s="28">
        <v>5137</v>
      </c>
      <c r="B5138" s="28" t="e">
        <f>interpola(#REF!,CURVA!$B$6:$B$20,CURVA!$G$6:$G$20)</f>
        <v>#VALUE!</v>
      </c>
      <c r="C5138" s="29" t="e">
        <f t="shared" si="80"/>
        <v>#VALUE!</v>
      </c>
      <c r="E5138" t="e">
        <f>cubic_spline(CURVA!$B$6:$B$20,CURVA!$G$6:$G$20,#REF!)</f>
        <v>#VALUE!</v>
      </c>
    </row>
    <row r="5139" spans="1:5" x14ac:dyDescent="0.2">
      <c r="A5139" s="28">
        <v>5138</v>
      </c>
      <c r="B5139" s="28" t="e">
        <f>interpola(#REF!,CURVA!$B$6:$B$20,CURVA!$G$6:$G$20)</f>
        <v>#VALUE!</v>
      </c>
      <c r="C5139" s="29" t="e">
        <f t="shared" si="80"/>
        <v>#VALUE!</v>
      </c>
      <c r="E5139" t="e">
        <f>cubic_spline(CURVA!$B$6:$B$20,CURVA!$G$6:$G$20,#REF!)</f>
        <v>#VALUE!</v>
      </c>
    </row>
    <row r="5140" spans="1:5" x14ac:dyDescent="0.2">
      <c r="A5140" s="28">
        <v>5139</v>
      </c>
      <c r="B5140" s="28" t="e">
        <f>interpola(#REF!,CURVA!$B$6:$B$20,CURVA!$G$6:$G$20)</f>
        <v>#VALUE!</v>
      </c>
      <c r="C5140" s="29" t="e">
        <f t="shared" si="80"/>
        <v>#VALUE!</v>
      </c>
      <c r="E5140" t="e">
        <f>cubic_spline(CURVA!$B$6:$B$20,CURVA!$G$6:$G$20,#REF!)</f>
        <v>#VALUE!</v>
      </c>
    </row>
    <row r="5141" spans="1:5" x14ac:dyDescent="0.2">
      <c r="A5141" s="28">
        <v>5140</v>
      </c>
      <c r="B5141" s="28" t="e">
        <f>interpola(#REF!,CURVA!$B$6:$B$20,CURVA!$G$6:$G$20)</f>
        <v>#VALUE!</v>
      </c>
      <c r="C5141" s="29" t="e">
        <f t="shared" si="80"/>
        <v>#VALUE!</v>
      </c>
      <c r="E5141" t="e">
        <f>cubic_spline(CURVA!$B$6:$B$20,CURVA!$G$6:$G$20,#REF!)</f>
        <v>#VALUE!</v>
      </c>
    </row>
    <row r="5142" spans="1:5" x14ac:dyDescent="0.2">
      <c r="A5142" s="28">
        <v>5141</v>
      </c>
      <c r="B5142" s="28" t="e">
        <f>interpola(#REF!,CURVA!$B$6:$B$20,CURVA!$G$6:$G$20)</f>
        <v>#VALUE!</v>
      </c>
      <c r="C5142" s="29" t="e">
        <f t="shared" si="80"/>
        <v>#VALUE!</v>
      </c>
      <c r="E5142" t="e">
        <f>cubic_spline(CURVA!$B$6:$B$20,CURVA!$G$6:$G$20,#REF!)</f>
        <v>#VALUE!</v>
      </c>
    </row>
    <row r="5143" spans="1:5" x14ac:dyDescent="0.2">
      <c r="A5143" s="28">
        <v>5142</v>
      </c>
      <c r="B5143" s="28" t="e">
        <f>interpola(#REF!,CURVA!$B$6:$B$20,CURVA!$G$6:$G$20)</f>
        <v>#VALUE!</v>
      </c>
      <c r="C5143" s="29" t="e">
        <f t="shared" si="80"/>
        <v>#VALUE!</v>
      </c>
      <c r="E5143" t="e">
        <f>cubic_spline(CURVA!$B$6:$B$20,CURVA!$G$6:$G$20,#REF!)</f>
        <v>#VALUE!</v>
      </c>
    </row>
    <row r="5144" spans="1:5" x14ac:dyDescent="0.2">
      <c r="A5144" s="28">
        <v>5143</v>
      </c>
      <c r="B5144" s="28" t="e">
        <f>interpola(#REF!,CURVA!$B$6:$B$20,CURVA!$G$6:$G$20)</f>
        <v>#VALUE!</v>
      </c>
      <c r="C5144" s="29" t="e">
        <f t="shared" si="80"/>
        <v>#VALUE!</v>
      </c>
      <c r="E5144" t="e">
        <f>cubic_spline(CURVA!$B$6:$B$20,CURVA!$G$6:$G$20,#REF!)</f>
        <v>#VALUE!</v>
      </c>
    </row>
    <row r="5145" spans="1:5" x14ac:dyDescent="0.2">
      <c r="A5145" s="28">
        <v>5144</v>
      </c>
      <c r="B5145" s="28" t="e">
        <f>interpola(#REF!,CURVA!$B$6:$B$20,CURVA!$G$6:$G$20)</f>
        <v>#VALUE!</v>
      </c>
      <c r="C5145" s="29" t="e">
        <f t="shared" si="80"/>
        <v>#VALUE!</v>
      </c>
      <c r="E5145" t="e">
        <f>cubic_spline(CURVA!$B$6:$B$20,CURVA!$G$6:$G$20,#REF!)</f>
        <v>#VALUE!</v>
      </c>
    </row>
    <row r="5146" spans="1:5" x14ac:dyDescent="0.2">
      <c r="A5146" s="28">
        <v>5145</v>
      </c>
      <c r="B5146" s="28" t="e">
        <f>interpola(#REF!,CURVA!$B$6:$B$20,CURVA!$G$6:$G$20)</f>
        <v>#VALUE!</v>
      </c>
      <c r="C5146" s="29" t="e">
        <f t="shared" si="80"/>
        <v>#VALUE!</v>
      </c>
      <c r="E5146" t="e">
        <f>cubic_spline(CURVA!$B$6:$B$20,CURVA!$G$6:$G$20,#REF!)</f>
        <v>#VALUE!</v>
      </c>
    </row>
    <row r="5147" spans="1:5" x14ac:dyDescent="0.2">
      <c r="A5147" s="28">
        <v>5146</v>
      </c>
      <c r="B5147" s="28" t="e">
        <f>interpola(#REF!,CURVA!$B$6:$B$20,CURVA!$G$6:$G$20)</f>
        <v>#VALUE!</v>
      </c>
      <c r="C5147" s="29" t="e">
        <f t="shared" si="80"/>
        <v>#VALUE!</v>
      </c>
      <c r="E5147" t="e">
        <f>cubic_spline(CURVA!$B$6:$B$20,CURVA!$G$6:$G$20,#REF!)</f>
        <v>#VALUE!</v>
      </c>
    </row>
    <row r="5148" spans="1:5" x14ac:dyDescent="0.2">
      <c r="A5148" s="28">
        <v>5147</v>
      </c>
      <c r="B5148" s="28" t="e">
        <f>interpola(#REF!,CURVA!$B$6:$B$20,CURVA!$G$6:$G$20)</f>
        <v>#VALUE!</v>
      </c>
      <c r="C5148" s="29" t="e">
        <f t="shared" si="80"/>
        <v>#VALUE!</v>
      </c>
      <c r="E5148" t="e">
        <f>cubic_spline(CURVA!$B$6:$B$20,CURVA!$G$6:$G$20,#REF!)</f>
        <v>#VALUE!</v>
      </c>
    </row>
    <row r="5149" spans="1:5" x14ac:dyDescent="0.2">
      <c r="A5149" s="28">
        <v>5148</v>
      </c>
      <c r="B5149" s="28" t="e">
        <f>interpola(#REF!,CURVA!$B$6:$B$20,CURVA!$G$6:$G$20)</f>
        <v>#VALUE!</v>
      </c>
      <c r="C5149" s="29" t="e">
        <f t="shared" si="80"/>
        <v>#VALUE!</v>
      </c>
      <c r="E5149" t="e">
        <f>cubic_spline(CURVA!$B$6:$B$20,CURVA!$G$6:$G$20,#REF!)</f>
        <v>#VALUE!</v>
      </c>
    </row>
    <row r="5150" spans="1:5" x14ac:dyDescent="0.2">
      <c r="A5150" s="28">
        <v>5149</v>
      </c>
      <c r="B5150" s="28" t="e">
        <f>interpola(#REF!,CURVA!$B$6:$B$20,CURVA!$G$6:$G$20)</f>
        <v>#VALUE!</v>
      </c>
      <c r="C5150" s="29" t="e">
        <f t="shared" si="80"/>
        <v>#VALUE!</v>
      </c>
      <c r="E5150" t="e">
        <f>cubic_spline(CURVA!$B$6:$B$20,CURVA!$G$6:$G$20,#REF!)</f>
        <v>#VALUE!</v>
      </c>
    </row>
    <row r="5151" spans="1:5" x14ac:dyDescent="0.2">
      <c r="A5151" s="28">
        <v>5150</v>
      </c>
      <c r="B5151" s="28" t="e">
        <f>interpola(#REF!,CURVA!$B$6:$B$20,CURVA!$G$6:$G$20)</f>
        <v>#VALUE!</v>
      </c>
      <c r="C5151" s="29" t="e">
        <f t="shared" si="80"/>
        <v>#VALUE!</v>
      </c>
      <c r="E5151" t="e">
        <f>cubic_spline(CURVA!$B$6:$B$20,CURVA!$G$6:$G$20,#REF!)</f>
        <v>#VALUE!</v>
      </c>
    </row>
    <row r="5152" spans="1:5" x14ac:dyDescent="0.2">
      <c r="A5152" s="28">
        <v>5151</v>
      </c>
      <c r="B5152" s="28" t="e">
        <f>interpola(#REF!,CURVA!$B$6:$B$20,CURVA!$G$6:$G$20)</f>
        <v>#VALUE!</v>
      </c>
      <c r="C5152" s="29" t="e">
        <f t="shared" si="80"/>
        <v>#VALUE!</v>
      </c>
      <c r="E5152" t="e">
        <f>cubic_spline(CURVA!$B$6:$B$20,CURVA!$G$6:$G$20,#REF!)</f>
        <v>#VALUE!</v>
      </c>
    </row>
    <row r="5153" spans="1:5" x14ac:dyDescent="0.2">
      <c r="A5153" s="28">
        <v>5152</v>
      </c>
      <c r="B5153" s="28" t="e">
        <f>interpola(#REF!,CURVA!$B$6:$B$20,CURVA!$G$6:$G$20)</f>
        <v>#VALUE!</v>
      </c>
      <c r="C5153" s="29" t="e">
        <f t="shared" si="80"/>
        <v>#VALUE!</v>
      </c>
      <c r="E5153" t="e">
        <f>cubic_spline(CURVA!$B$6:$B$20,CURVA!$G$6:$G$20,#REF!)</f>
        <v>#VALUE!</v>
      </c>
    </row>
    <row r="5154" spans="1:5" x14ac:dyDescent="0.2">
      <c r="A5154" s="28">
        <v>5153</v>
      </c>
      <c r="B5154" s="28" t="e">
        <f>interpola(#REF!,CURVA!$B$6:$B$20,CURVA!$G$6:$G$20)</f>
        <v>#VALUE!</v>
      </c>
      <c r="C5154" s="29" t="e">
        <f t="shared" si="80"/>
        <v>#VALUE!</v>
      </c>
      <c r="E5154" t="e">
        <f>cubic_spline(CURVA!$B$6:$B$20,CURVA!$G$6:$G$20,#REF!)</f>
        <v>#VALUE!</v>
      </c>
    </row>
    <row r="5155" spans="1:5" x14ac:dyDescent="0.2">
      <c r="A5155" s="28">
        <v>5154</v>
      </c>
      <c r="B5155" s="28" t="e">
        <f>interpola(#REF!,CURVA!$B$6:$B$20,CURVA!$G$6:$G$20)</f>
        <v>#VALUE!</v>
      </c>
      <c r="C5155" s="29" t="e">
        <f t="shared" si="80"/>
        <v>#VALUE!</v>
      </c>
      <c r="E5155" t="e">
        <f>cubic_spline(CURVA!$B$6:$B$20,CURVA!$G$6:$G$20,#REF!)</f>
        <v>#VALUE!</v>
      </c>
    </row>
    <row r="5156" spans="1:5" x14ac:dyDescent="0.2">
      <c r="A5156" s="28">
        <v>5155</v>
      </c>
      <c r="B5156" s="28" t="e">
        <f>interpola(#REF!,CURVA!$B$6:$B$20,CURVA!$G$6:$G$20)</f>
        <v>#VALUE!</v>
      </c>
      <c r="C5156" s="29" t="e">
        <f t="shared" si="80"/>
        <v>#VALUE!</v>
      </c>
      <c r="E5156" t="e">
        <f>cubic_spline(CURVA!$B$6:$B$20,CURVA!$G$6:$G$20,#REF!)</f>
        <v>#VALUE!</v>
      </c>
    </row>
    <row r="5157" spans="1:5" x14ac:dyDescent="0.2">
      <c r="A5157" s="28">
        <v>5156</v>
      </c>
      <c r="B5157" s="28" t="e">
        <f>interpola(#REF!,CURVA!$B$6:$B$20,CURVA!$G$6:$G$20)</f>
        <v>#VALUE!</v>
      </c>
      <c r="C5157" s="29" t="e">
        <f t="shared" si="80"/>
        <v>#VALUE!</v>
      </c>
      <c r="E5157" t="e">
        <f>cubic_spline(CURVA!$B$6:$B$20,CURVA!$G$6:$G$20,#REF!)</f>
        <v>#VALUE!</v>
      </c>
    </row>
    <row r="5158" spans="1:5" x14ac:dyDescent="0.2">
      <c r="A5158" s="28">
        <v>5157</v>
      </c>
      <c r="B5158" s="28" t="e">
        <f>interpola(#REF!,CURVA!$B$6:$B$20,CURVA!$G$6:$G$20)</f>
        <v>#VALUE!</v>
      </c>
      <c r="C5158" s="29" t="e">
        <f t="shared" si="80"/>
        <v>#VALUE!</v>
      </c>
      <c r="E5158" t="e">
        <f>cubic_spline(CURVA!$B$6:$B$20,CURVA!$G$6:$G$20,#REF!)</f>
        <v>#VALUE!</v>
      </c>
    </row>
    <row r="5159" spans="1:5" x14ac:dyDescent="0.2">
      <c r="A5159" s="28">
        <v>5158</v>
      </c>
      <c r="B5159" s="28" t="e">
        <f>interpola(#REF!,CURVA!$B$6:$B$20,CURVA!$G$6:$G$20)</f>
        <v>#VALUE!</v>
      </c>
      <c r="C5159" s="29" t="e">
        <f t="shared" si="80"/>
        <v>#VALUE!</v>
      </c>
      <c r="E5159" t="e">
        <f>cubic_spline(CURVA!$B$6:$B$20,CURVA!$G$6:$G$20,#REF!)</f>
        <v>#VALUE!</v>
      </c>
    </row>
    <row r="5160" spans="1:5" x14ac:dyDescent="0.2">
      <c r="A5160" s="28">
        <v>5159</v>
      </c>
      <c r="B5160" s="28" t="e">
        <f>interpola(#REF!,CURVA!$B$6:$B$20,CURVA!$G$6:$G$20)</f>
        <v>#VALUE!</v>
      </c>
      <c r="C5160" s="29" t="e">
        <f t="shared" si="80"/>
        <v>#VALUE!</v>
      </c>
      <c r="E5160" t="e">
        <f>cubic_spline(CURVA!$B$6:$B$20,CURVA!$G$6:$G$20,#REF!)</f>
        <v>#VALUE!</v>
      </c>
    </row>
    <row r="5161" spans="1:5" x14ac:dyDescent="0.2">
      <c r="A5161" s="28">
        <v>5160</v>
      </c>
      <c r="B5161" s="28" t="e">
        <f>interpola(#REF!,CURVA!$B$6:$B$20,CURVA!$G$6:$G$20)</f>
        <v>#VALUE!</v>
      </c>
      <c r="C5161" s="29" t="e">
        <f t="shared" si="80"/>
        <v>#VALUE!</v>
      </c>
      <c r="E5161" t="e">
        <f>cubic_spline(CURVA!$B$6:$B$20,CURVA!$G$6:$G$20,#REF!)</f>
        <v>#VALUE!</v>
      </c>
    </row>
    <row r="5162" spans="1:5" x14ac:dyDescent="0.2">
      <c r="A5162" s="28">
        <v>5161</v>
      </c>
      <c r="B5162" s="28" t="e">
        <f>interpola(#REF!,CURVA!$B$6:$B$20,CURVA!$G$6:$G$20)</f>
        <v>#VALUE!</v>
      </c>
      <c r="C5162" s="29" t="e">
        <f t="shared" si="80"/>
        <v>#VALUE!</v>
      </c>
      <c r="E5162" t="e">
        <f>cubic_spline(CURVA!$B$6:$B$20,CURVA!$G$6:$G$20,#REF!)</f>
        <v>#VALUE!</v>
      </c>
    </row>
    <row r="5163" spans="1:5" x14ac:dyDescent="0.2">
      <c r="A5163" s="28">
        <v>5162</v>
      </c>
      <c r="B5163" s="28" t="e">
        <f>interpola(#REF!,CURVA!$B$6:$B$20,CURVA!$G$6:$G$20)</f>
        <v>#VALUE!</v>
      </c>
      <c r="C5163" s="29" t="e">
        <f t="shared" si="80"/>
        <v>#VALUE!</v>
      </c>
      <c r="E5163" t="e">
        <f>cubic_spline(CURVA!$B$6:$B$20,CURVA!$G$6:$G$20,#REF!)</f>
        <v>#VALUE!</v>
      </c>
    </row>
    <row r="5164" spans="1:5" x14ac:dyDescent="0.2">
      <c r="A5164" s="28">
        <v>5163</v>
      </c>
      <c r="B5164" s="28" t="e">
        <f>interpola(#REF!,CURVA!$B$6:$B$20,CURVA!$G$6:$G$20)</f>
        <v>#VALUE!</v>
      </c>
      <c r="C5164" s="29" t="e">
        <f t="shared" si="80"/>
        <v>#VALUE!</v>
      </c>
      <c r="E5164" t="e">
        <f>cubic_spline(CURVA!$B$6:$B$20,CURVA!$G$6:$G$20,#REF!)</f>
        <v>#VALUE!</v>
      </c>
    </row>
    <row r="5165" spans="1:5" x14ac:dyDescent="0.2">
      <c r="A5165" s="28">
        <v>5164</v>
      </c>
      <c r="B5165" s="28" t="e">
        <f>interpola(#REF!,CURVA!$B$6:$B$20,CURVA!$G$6:$G$20)</f>
        <v>#VALUE!</v>
      </c>
      <c r="C5165" s="29" t="e">
        <f t="shared" si="80"/>
        <v>#VALUE!</v>
      </c>
      <c r="E5165" t="e">
        <f>cubic_spline(CURVA!$B$6:$B$20,CURVA!$G$6:$G$20,#REF!)</f>
        <v>#VALUE!</v>
      </c>
    </row>
    <row r="5166" spans="1:5" x14ac:dyDescent="0.2">
      <c r="A5166" s="28">
        <v>5165</v>
      </c>
      <c r="B5166" s="28" t="e">
        <f>interpola(#REF!,CURVA!$B$6:$B$20,CURVA!$G$6:$G$20)</f>
        <v>#VALUE!</v>
      </c>
      <c r="C5166" s="29" t="e">
        <f t="shared" si="80"/>
        <v>#VALUE!</v>
      </c>
      <c r="E5166" t="e">
        <f>cubic_spline(CURVA!$B$6:$B$20,CURVA!$G$6:$G$20,#REF!)</f>
        <v>#VALUE!</v>
      </c>
    </row>
    <row r="5167" spans="1:5" x14ac:dyDescent="0.2">
      <c r="A5167" s="28">
        <v>5166</v>
      </c>
      <c r="B5167" s="28" t="e">
        <f>interpola(#REF!,CURVA!$B$6:$B$20,CURVA!$G$6:$G$20)</f>
        <v>#VALUE!</v>
      </c>
      <c r="C5167" s="29" t="e">
        <f t="shared" si="80"/>
        <v>#VALUE!</v>
      </c>
      <c r="E5167" t="e">
        <f>cubic_spline(CURVA!$B$6:$B$20,CURVA!$G$6:$G$20,#REF!)</f>
        <v>#VALUE!</v>
      </c>
    </row>
    <row r="5168" spans="1:5" x14ac:dyDescent="0.2">
      <c r="A5168" s="28">
        <v>5167</v>
      </c>
      <c r="B5168" s="28" t="e">
        <f>interpola(#REF!,CURVA!$B$6:$B$20,CURVA!$G$6:$G$20)</f>
        <v>#VALUE!</v>
      </c>
      <c r="C5168" s="29" t="e">
        <f t="shared" si="80"/>
        <v>#VALUE!</v>
      </c>
      <c r="E5168" t="e">
        <f>cubic_spline(CURVA!$B$6:$B$20,CURVA!$G$6:$G$20,#REF!)</f>
        <v>#VALUE!</v>
      </c>
    </row>
    <row r="5169" spans="1:5" x14ac:dyDescent="0.2">
      <c r="A5169" s="28">
        <v>5168</v>
      </c>
      <c r="B5169" s="28" t="e">
        <f>interpola(#REF!,CURVA!$B$6:$B$20,CURVA!$G$6:$G$20)</f>
        <v>#VALUE!</v>
      </c>
      <c r="C5169" s="29" t="e">
        <f t="shared" si="80"/>
        <v>#VALUE!</v>
      </c>
      <c r="E5169" t="e">
        <f>cubic_spline(CURVA!$B$6:$B$20,CURVA!$G$6:$G$20,#REF!)</f>
        <v>#VALUE!</v>
      </c>
    </row>
    <row r="5170" spans="1:5" x14ac:dyDescent="0.2">
      <c r="A5170" s="28">
        <v>5169</v>
      </c>
      <c r="B5170" s="28" t="e">
        <f>interpola(#REF!,CURVA!$B$6:$B$20,CURVA!$G$6:$G$20)</f>
        <v>#VALUE!</v>
      </c>
      <c r="C5170" s="29" t="e">
        <f t="shared" si="80"/>
        <v>#VALUE!</v>
      </c>
      <c r="E5170" t="e">
        <f>cubic_spline(CURVA!$B$6:$B$20,CURVA!$G$6:$G$20,#REF!)</f>
        <v>#VALUE!</v>
      </c>
    </row>
    <row r="5171" spans="1:5" x14ac:dyDescent="0.2">
      <c r="A5171" s="28">
        <v>5170</v>
      </c>
      <c r="B5171" s="28" t="e">
        <f>interpola(#REF!,CURVA!$B$6:$B$20,CURVA!$G$6:$G$20)</f>
        <v>#VALUE!</v>
      </c>
      <c r="C5171" s="29" t="e">
        <f t="shared" si="80"/>
        <v>#VALUE!</v>
      </c>
      <c r="E5171" t="e">
        <f>cubic_spline(CURVA!$B$6:$B$20,CURVA!$G$6:$G$20,#REF!)</f>
        <v>#VALUE!</v>
      </c>
    </row>
    <row r="5172" spans="1:5" x14ac:dyDescent="0.2">
      <c r="A5172" s="28">
        <v>5171</v>
      </c>
      <c r="B5172" s="28" t="e">
        <f>interpola(#REF!,CURVA!$B$6:$B$20,CURVA!$G$6:$G$20)</f>
        <v>#VALUE!</v>
      </c>
      <c r="C5172" s="29" t="e">
        <f t="shared" si="80"/>
        <v>#VALUE!</v>
      </c>
      <c r="E5172" t="e">
        <f>cubic_spline(CURVA!$B$6:$B$20,CURVA!$G$6:$G$20,#REF!)</f>
        <v>#VALUE!</v>
      </c>
    </row>
    <row r="5173" spans="1:5" x14ac:dyDescent="0.2">
      <c r="A5173" s="28">
        <v>5172</v>
      </c>
      <c r="B5173" s="28" t="e">
        <f>interpola(#REF!,CURVA!$B$6:$B$20,CURVA!$G$6:$G$20)</f>
        <v>#VALUE!</v>
      </c>
      <c r="C5173" s="29" t="e">
        <f t="shared" si="80"/>
        <v>#VALUE!</v>
      </c>
      <c r="E5173" t="e">
        <f>cubic_spline(CURVA!$B$6:$B$20,CURVA!$G$6:$G$20,#REF!)</f>
        <v>#VALUE!</v>
      </c>
    </row>
    <row r="5174" spans="1:5" x14ac:dyDescent="0.2">
      <c r="A5174" s="28">
        <v>5173</v>
      </c>
      <c r="B5174" s="28" t="e">
        <f>interpola(#REF!,CURVA!$B$6:$B$20,CURVA!$G$6:$G$20)</f>
        <v>#VALUE!</v>
      </c>
      <c r="C5174" s="29" t="e">
        <f t="shared" si="80"/>
        <v>#VALUE!</v>
      </c>
      <c r="E5174" t="e">
        <f>cubic_spline(CURVA!$B$6:$B$20,CURVA!$G$6:$G$20,#REF!)</f>
        <v>#VALUE!</v>
      </c>
    </row>
    <row r="5175" spans="1:5" x14ac:dyDescent="0.2">
      <c r="A5175" s="28">
        <v>5174</v>
      </c>
      <c r="B5175" s="28" t="e">
        <f>interpola(#REF!,CURVA!$B$6:$B$20,CURVA!$G$6:$G$20)</f>
        <v>#VALUE!</v>
      </c>
      <c r="C5175" s="29" t="e">
        <f t="shared" si="80"/>
        <v>#VALUE!</v>
      </c>
      <c r="E5175" t="e">
        <f>cubic_spline(CURVA!$B$6:$B$20,CURVA!$G$6:$G$20,#REF!)</f>
        <v>#VALUE!</v>
      </c>
    </row>
    <row r="5176" spans="1:5" x14ac:dyDescent="0.2">
      <c r="A5176" s="28">
        <v>5175</v>
      </c>
      <c r="B5176" s="28" t="e">
        <f>interpola(#REF!,CURVA!$B$6:$B$20,CURVA!$G$6:$G$20)</f>
        <v>#VALUE!</v>
      </c>
      <c r="C5176" s="29" t="e">
        <f t="shared" si="80"/>
        <v>#VALUE!</v>
      </c>
      <c r="E5176" t="e">
        <f>cubic_spline(CURVA!$B$6:$B$20,CURVA!$G$6:$G$20,#REF!)</f>
        <v>#VALUE!</v>
      </c>
    </row>
    <row r="5177" spans="1:5" x14ac:dyDescent="0.2">
      <c r="A5177" s="28">
        <v>5176</v>
      </c>
      <c r="B5177" s="28" t="e">
        <f>interpola(#REF!,CURVA!$B$6:$B$20,CURVA!$G$6:$G$20)</f>
        <v>#VALUE!</v>
      </c>
      <c r="C5177" s="29" t="e">
        <f t="shared" si="80"/>
        <v>#VALUE!</v>
      </c>
      <c r="E5177" t="e">
        <f>cubic_spline(CURVA!$B$6:$B$20,CURVA!$G$6:$G$20,#REF!)</f>
        <v>#VALUE!</v>
      </c>
    </row>
    <row r="5178" spans="1:5" x14ac:dyDescent="0.2">
      <c r="A5178" s="28">
        <v>5177</v>
      </c>
      <c r="B5178" s="28" t="e">
        <f>interpola(#REF!,CURVA!$B$6:$B$20,CURVA!$G$6:$G$20)</f>
        <v>#VALUE!</v>
      </c>
      <c r="C5178" s="29" t="e">
        <f t="shared" si="80"/>
        <v>#VALUE!</v>
      </c>
      <c r="E5178" t="e">
        <f>cubic_spline(CURVA!$B$6:$B$20,CURVA!$G$6:$G$20,#REF!)</f>
        <v>#VALUE!</v>
      </c>
    </row>
    <row r="5179" spans="1:5" x14ac:dyDescent="0.2">
      <c r="A5179" s="28">
        <v>5178</v>
      </c>
      <c r="B5179" s="28" t="e">
        <f>interpola(#REF!,CURVA!$B$6:$B$20,CURVA!$G$6:$G$20)</f>
        <v>#VALUE!</v>
      </c>
      <c r="C5179" s="29" t="e">
        <f t="shared" si="80"/>
        <v>#VALUE!</v>
      </c>
      <c r="E5179" t="e">
        <f>cubic_spline(CURVA!$B$6:$B$20,CURVA!$G$6:$G$20,#REF!)</f>
        <v>#VALUE!</v>
      </c>
    </row>
    <row r="5180" spans="1:5" x14ac:dyDescent="0.2">
      <c r="A5180" s="28">
        <v>5179</v>
      </c>
      <c r="B5180" s="28" t="e">
        <f>interpola(#REF!,CURVA!$B$6:$B$20,CURVA!$G$6:$G$20)</f>
        <v>#VALUE!</v>
      </c>
      <c r="C5180" s="29" t="e">
        <f t="shared" si="80"/>
        <v>#VALUE!</v>
      </c>
      <c r="E5180" t="e">
        <f>cubic_spline(CURVA!$B$6:$B$20,CURVA!$G$6:$G$20,#REF!)</f>
        <v>#VALUE!</v>
      </c>
    </row>
    <row r="5181" spans="1:5" x14ac:dyDescent="0.2">
      <c r="A5181" s="28">
        <v>5180</v>
      </c>
      <c r="B5181" s="28" t="e">
        <f>interpola(#REF!,CURVA!$B$6:$B$20,CURVA!$G$6:$G$20)</f>
        <v>#VALUE!</v>
      </c>
      <c r="C5181" s="29" t="e">
        <f t="shared" si="80"/>
        <v>#VALUE!</v>
      </c>
      <c r="E5181" t="e">
        <f>cubic_spline(CURVA!$B$6:$B$20,CURVA!$G$6:$G$20,#REF!)</f>
        <v>#VALUE!</v>
      </c>
    </row>
    <row r="5182" spans="1:5" x14ac:dyDescent="0.2">
      <c r="A5182" s="28">
        <v>5181</v>
      </c>
      <c r="B5182" s="28" t="e">
        <f>interpola(#REF!,CURVA!$B$6:$B$20,CURVA!$G$6:$G$20)</f>
        <v>#VALUE!</v>
      </c>
      <c r="C5182" s="29" t="e">
        <f t="shared" si="80"/>
        <v>#VALUE!</v>
      </c>
      <c r="E5182" t="e">
        <f>cubic_spline(CURVA!$B$6:$B$20,CURVA!$G$6:$G$20,#REF!)</f>
        <v>#VALUE!</v>
      </c>
    </row>
    <row r="5183" spans="1:5" x14ac:dyDescent="0.2">
      <c r="A5183" s="28">
        <v>5182</v>
      </c>
      <c r="B5183" s="28" t="e">
        <f>interpola(#REF!,CURVA!$B$6:$B$20,CURVA!$G$6:$G$20)</f>
        <v>#VALUE!</v>
      </c>
      <c r="C5183" s="29" t="e">
        <f t="shared" si="80"/>
        <v>#VALUE!</v>
      </c>
      <c r="E5183" t="e">
        <f>cubic_spline(CURVA!$B$6:$B$20,CURVA!$G$6:$G$20,#REF!)</f>
        <v>#VALUE!</v>
      </c>
    </row>
    <row r="5184" spans="1:5" x14ac:dyDescent="0.2">
      <c r="A5184" s="28">
        <v>5183</v>
      </c>
      <c r="B5184" s="28" t="e">
        <f>interpola(#REF!,CURVA!$B$6:$B$20,CURVA!$G$6:$G$20)</f>
        <v>#VALUE!</v>
      </c>
      <c r="C5184" s="29" t="e">
        <f t="shared" si="80"/>
        <v>#VALUE!</v>
      </c>
      <c r="E5184" t="e">
        <f>cubic_spline(CURVA!$B$6:$B$20,CURVA!$G$6:$G$20,#REF!)</f>
        <v>#VALUE!</v>
      </c>
    </row>
    <row r="5185" spans="1:5" x14ac:dyDescent="0.2">
      <c r="A5185" s="28">
        <v>5184</v>
      </c>
      <c r="B5185" s="28" t="e">
        <f>interpola(#REF!,CURVA!$B$6:$B$20,CURVA!$G$6:$G$20)</f>
        <v>#VALUE!</v>
      </c>
      <c r="C5185" s="29" t="e">
        <f t="shared" si="80"/>
        <v>#VALUE!</v>
      </c>
      <c r="E5185" t="e">
        <f>cubic_spline(CURVA!$B$6:$B$20,CURVA!$G$6:$G$20,#REF!)</f>
        <v>#VALUE!</v>
      </c>
    </row>
    <row r="5186" spans="1:5" x14ac:dyDescent="0.2">
      <c r="A5186" s="28">
        <v>5185</v>
      </c>
      <c r="B5186" s="28" t="e">
        <f>interpola(#REF!,CURVA!$B$6:$B$20,CURVA!$G$6:$G$20)</f>
        <v>#VALUE!</v>
      </c>
      <c r="C5186" s="29" t="e">
        <f t="shared" ref="C5186:C5249" si="81">(EXP(B5186*A5186/360)-1)*360/A5186</f>
        <v>#VALUE!</v>
      </c>
      <c r="E5186" t="e">
        <f>cubic_spline(CURVA!$B$6:$B$20,CURVA!$G$6:$G$20,#REF!)</f>
        <v>#VALUE!</v>
      </c>
    </row>
    <row r="5187" spans="1:5" x14ac:dyDescent="0.2">
      <c r="A5187" s="28">
        <v>5186</v>
      </c>
      <c r="B5187" s="28" t="e">
        <f>interpola(#REF!,CURVA!$B$6:$B$20,CURVA!$G$6:$G$20)</f>
        <v>#VALUE!</v>
      </c>
      <c r="C5187" s="29" t="e">
        <f t="shared" si="81"/>
        <v>#VALUE!</v>
      </c>
      <c r="E5187" t="e">
        <f>cubic_spline(CURVA!$B$6:$B$20,CURVA!$G$6:$G$20,#REF!)</f>
        <v>#VALUE!</v>
      </c>
    </row>
    <row r="5188" spans="1:5" x14ac:dyDescent="0.2">
      <c r="A5188" s="28">
        <v>5187</v>
      </c>
      <c r="B5188" s="28" t="e">
        <f>interpola(#REF!,CURVA!$B$6:$B$20,CURVA!$G$6:$G$20)</f>
        <v>#VALUE!</v>
      </c>
      <c r="C5188" s="29" t="e">
        <f t="shared" si="81"/>
        <v>#VALUE!</v>
      </c>
      <c r="E5188" t="e">
        <f>cubic_spline(CURVA!$B$6:$B$20,CURVA!$G$6:$G$20,#REF!)</f>
        <v>#VALUE!</v>
      </c>
    </row>
    <row r="5189" spans="1:5" x14ac:dyDescent="0.2">
      <c r="A5189" s="28">
        <v>5188</v>
      </c>
      <c r="B5189" s="28" t="e">
        <f>interpola(#REF!,CURVA!$B$6:$B$20,CURVA!$G$6:$G$20)</f>
        <v>#VALUE!</v>
      </c>
      <c r="C5189" s="29" t="e">
        <f t="shared" si="81"/>
        <v>#VALUE!</v>
      </c>
      <c r="E5189" t="e">
        <f>cubic_spline(CURVA!$B$6:$B$20,CURVA!$G$6:$G$20,#REF!)</f>
        <v>#VALUE!</v>
      </c>
    </row>
    <row r="5190" spans="1:5" x14ac:dyDescent="0.2">
      <c r="A5190" s="28">
        <v>5189</v>
      </c>
      <c r="B5190" s="28" t="e">
        <f>interpola(#REF!,CURVA!$B$6:$B$20,CURVA!$G$6:$G$20)</f>
        <v>#VALUE!</v>
      </c>
      <c r="C5190" s="29" t="e">
        <f t="shared" si="81"/>
        <v>#VALUE!</v>
      </c>
      <c r="E5190" t="e">
        <f>cubic_spline(CURVA!$B$6:$B$20,CURVA!$G$6:$G$20,#REF!)</f>
        <v>#VALUE!</v>
      </c>
    </row>
    <row r="5191" spans="1:5" x14ac:dyDescent="0.2">
      <c r="A5191" s="28">
        <v>5190</v>
      </c>
      <c r="B5191" s="28" t="e">
        <f>interpola(#REF!,CURVA!$B$6:$B$20,CURVA!$G$6:$G$20)</f>
        <v>#VALUE!</v>
      </c>
      <c r="C5191" s="29" t="e">
        <f t="shared" si="81"/>
        <v>#VALUE!</v>
      </c>
      <c r="E5191" t="e">
        <f>cubic_spline(CURVA!$B$6:$B$20,CURVA!$G$6:$G$20,#REF!)</f>
        <v>#VALUE!</v>
      </c>
    </row>
    <row r="5192" spans="1:5" x14ac:dyDescent="0.2">
      <c r="A5192" s="28">
        <v>5191</v>
      </c>
      <c r="B5192" s="28" t="e">
        <f>interpola(#REF!,CURVA!$B$6:$B$20,CURVA!$G$6:$G$20)</f>
        <v>#VALUE!</v>
      </c>
      <c r="C5192" s="29" t="e">
        <f t="shared" si="81"/>
        <v>#VALUE!</v>
      </c>
      <c r="E5192" t="e">
        <f>cubic_spline(CURVA!$B$6:$B$20,CURVA!$G$6:$G$20,#REF!)</f>
        <v>#VALUE!</v>
      </c>
    </row>
    <row r="5193" spans="1:5" x14ac:dyDescent="0.2">
      <c r="A5193" s="28">
        <v>5192</v>
      </c>
      <c r="B5193" s="28" t="e">
        <f>interpola(#REF!,CURVA!$B$6:$B$20,CURVA!$G$6:$G$20)</f>
        <v>#VALUE!</v>
      </c>
      <c r="C5193" s="29" t="e">
        <f t="shared" si="81"/>
        <v>#VALUE!</v>
      </c>
      <c r="E5193" t="e">
        <f>cubic_spline(CURVA!$B$6:$B$20,CURVA!$G$6:$G$20,#REF!)</f>
        <v>#VALUE!</v>
      </c>
    </row>
    <row r="5194" spans="1:5" x14ac:dyDescent="0.2">
      <c r="A5194" s="28">
        <v>5193</v>
      </c>
      <c r="B5194" s="28" t="e">
        <f>interpola(#REF!,CURVA!$B$6:$B$20,CURVA!$G$6:$G$20)</f>
        <v>#VALUE!</v>
      </c>
      <c r="C5194" s="29" t="e">
        <f t="shared" si="81"/>
        <v>#VALUE!</v>
      </c>
      <c r="E5194" t="e">
        <f>cubic_spline(CURVA!$B$6:$B$20,CURVA!$G$6:$G$20,#REF!)</f>
        <v>#VALUE!</v>
      </c>
    </row>
    <row r="5195" spans="1:5" x14ac:dyDescent="0.2">
      <c r="A5195" s="28">
        <v>5194</v>
      </c>
      <c r="B5195" s="28" t="e">
        <f>interpola(#REF!,CURVA!$B$6:$B$20,CURVA!$G$6:$G$20)</f>
        <v>#VALUE!</v>
      </c>
      <c r="C5195" s="29" t="e">
        <f t="shared" si="81"/>
        <v>#VALUE!</v>
      </c>
      <c r="E5195" t="e">
        <f>cubic_spline(CURVA!$B$6:$B$20,CURVA!$G$6:$G$20,#REF!)</f>
        <v>#VALUE!</v>
      </c>
    </row>
    <row r="5196" spans="1:5" x14ac:dyDescent="0.2">
      <c r="A5196" s="28">
        <v>5195</v>
      </c>
      <c r="B5196" s="28" t="e">
        <f>interpola(#REF!,CURVA!$B$6:$B$20,CURVA!$G$6:$G$20)</f>
        <v>#VALUE!</v>
      </c>
      <c r="C5196" s="29" t="e">
        <f t="shared" si="81"/>
        <v>#VALUE!</v>
      </c>
      <c r="E5196" t="e">
        <f>cubic_spline(CURVA!$B$6:$B$20,CURVA!$G$6:$G$20,#REF!)</f>
        <v>#VALUE!</v>
      </c>
    </row>
    <row r="5197" spans="1:5" x14ac:dyDescent="0.2">
      <c r="A5197" s="28">
        <v>5196</v>
      </c>
      <c r="B5197" s="28" t="e">
        <f>interpola(#REF!,CURVA!$B$6:$B$20,CURVA!$G$6:$G$20)</f>
        <v>#VALUE!</v>
      </c>
      <c r="C5197" s="29" t="e">
        <f t="shared" si="81"/>
        <v>#VALUE!</v>
      </c>
      <c r="E5197" t="e">
        <f>cubic_spline(CURVA!$B$6:$B$20,CURVA!$G$6:$G$20,#REF!)</f>
        <v>#VALUE!</v>
      </c>
    </row>
    <row r="5198" spans="1:5" x14ac:dyDescent="0.2">
      <c r="A5198" s="28">
        <v>5197</v>
      </c>
      <c r="B5198" s="28" t="e">
        <f>interpola(#REF!,CURVA!$B$6:$B$20,CURVA!$G$6:$G$20)</f>
        <v>#VALUE!</v>
      </c>
      <c r="C5198" s="29" t="e">
        <f t="shared" si="81"/>
        <v>#VALUE!</v>
      </c>
      <c r="E5198" t="e">
        <f>cubic_spline(CURVA!$B$6:$B$20,CURVA!$G$6:$G$20,#REF!)</f>
        <v>#VALUE!</v>
      </c>
    </row>
    <row r="5199" spans="1:5" x14ac:dyDescent="0.2">
      <c r="A5199" s="28">
        <v>5198</v>
      </c>
      <c r="B5199" s="28" t="e">
        <f>interpola(#REF!,CURVA!$B$6:$B$20,CURVA!$G$6:$G$20)</f>
        <v>#VALUE!</v>
      </c>
      <c r="C5199" s="29" t="e">
        <f t="shared" si="81"/>
        <v>#VALUE!</v>
      </c>
      <c r="E5199" t="e">
        <f>cubic_spline(CURVA!$B$6:$B$20,CURVA!$G$6:$G$20,#REF!)</f>
        <v>#VALUE!</v>
      </c>
    </row>
    <row r="5200" spans="1:5" x14ac:dyDescent="0.2">
      <c r="A5200" s="28">
        <v>5199</v>
      </c>
      <c r="B5200" s="28" t="e">
        <f>interpola(#REF!,CURVA!$B$6:$B$20,CURVA!$G$6:$G$20)</f>
        <v>#VALUE!</v>
      </c>
      <c r="C5200" s="29" t="e">
        <f t="shared" si="81"/>
        <v>#VALUE!</v>
      </c>
      <c r="E5200" t="e">
        <f>cubic_spline(CURVA!$B$6:$B$20,CURVA!$G$6:$G$20,#REF!)</f>
        <v>#VALUE!</v>
      </c>
    </row>
    <row r="5201" spans="1:5" x14ac:dyDescent="0.2">
      <c r="A5201" s="28">
        <v>5200</v>
      </c>
      <c r="B5201" s="28" t="e">
        <f>interpola(#REF!,CURVA!$B$6:$B$20,CURVA!$G$6:$G$20)</f>
        <v>#VALUE!</v>
      </c>
      <c r="C5201" s="29" t="e">
        <f t="shared" si="81"/>
        <v>#VALUE!</v>
      </c>
      <c r="E5201" t="e">
        <f>cubic_spline(CURVA!$B$6:$B$20,CURVA!$G$6:$G$20,#REF!)</f>
        <v>#VALUE!</v>
      </c>
    </row>
    <row r="5202" spans="1:5" x14ac:dyDescent="0.2">
      <c r="A5202" s="28">
        <v>5201</v>
      </c>
      <c r="B5202" s="28" t="e">
        <f>interpola(#REF!,CURVA!$B$6:$B$20,CURVA!$G$6:$G$20)</f>
        <v>#VALUE!</v>
      </c>
      <c r="C5202" s="29" t="e">
        <f t="shared" si="81"/>
        <v>#VALUE!</v>
      </c>
      <c r="E5202" t="e">
        <f>cubic_spline(CURVA!$B$6:$B$20,CURVA!$G$6:$G$20,#REF!)</f>
        <v>#VALUE!</v>
      </c>
    </row>
    <row r="5203" spans="1:5" x14ac:dyDescent="0.2">
      <c r="A5203" s="28">
        <v>5202</v>
      </c>
      <c r="B5203" s="28" t="e">
        <f>interpola(#REF!,CURVA!$B$6:$B$20,CURVA!$G$6:$G$20)</f>
        <v>#VALUE!</v>
      </c>
      <c r="C5203" s="29" t="e">
        <f t="shared" si="81"/>
        <v>#VALUE!</v>
      </c>
      <c r="E5203" t="e">
        <f>cubic_spline(CURVA!$B$6:$B$20,CURVA!$G$6:$G$20,#REF!)</f>
        <v>#VALUE!</v>
      </c>
    </row>
    <row r="5204" spans="1:5" x14ac:dyDescent="0.2">
      <c r="A5204" s="28">
        <v>5203</v>
      </c>
      <c r="B5204" s="28" t="e">
        <f>interpola(#REF!,CURVA!$B$6:$B$20,CURVA!$G$6:$G$20)</f>
        <v>#VALUE!</v>
      </c>
      <c r="C5204" s="29" t="e">
        <f t="shared" si="81"/>
        <v>#VALUE!</v>
      </c>
      <c r="E5204" t="e">
        <f>cubic_spline(CURVA!$B$6:$B$20,CURVA!$G$6:$G$20,#REF!)</f>
        <v>#VALUE!</v>
      </c>
    </row>
    <row r="5205" spans="1:5" x14ac:dyDescent="0.2">
      <c r="A5205" s="28">
        <v>5204</v>
      </c>
      <c r="B5205" s="28" t="e">
        <f>interpola(#REF!,CURVA!$B$6:$B$20,CURVA!$G$6:$G$20)</f>
        <v>#VALUE!</v>
      </c>
      <c r="C5205" s="29" t="e">
        <f t="shared" si="81"/>
        <v>#VALUE!</v>
      </c>
      <c r="E5205" t="e">
        <f>cubic_spline(CURVA!$B$6:$B$20,CURVA!$G$6:$G$20,#REF!)</f>
        <v>#VALUE!</v>
      </c>
    </row>
    <row r="5206" spans="1:5" x14ac:dyDescent="0.2">
      <c r="A5206" s="28">
        <v>5205</v>
      </c>
      <c r="B5206" s="28" t="e">
        <f>interpola(#REF!,CURVA!$B$6:$B$20,CURVA!$G$6:$G$20)</f>
        <v>#VALUE!</v>
      </c>
      <c r="C5206" s="29" t="e">
        <f t="shared" si="81"/>
        <v>#VALUE!</v>
      </c>
      <c r="E5206" t="e">
        <f>cubic_spline(CURVA!$B$6:$B$20,CURVA!$G$6:$G$20,#REF!)</f>
        <v>#VALUE!</v>
      </c>
    </row>
    <row r="5207" spans="1:5" x14ac:dyDescent="0.2">
      <c r="A5207" s="28">
        <v>5206</v>
      </c>
      <c r="B5207" s="28" t="e">
        <f>interpola(#REF!,CURVA!$B$6:$B$20,CURVA!$G$6:$G$20)</f>
        <v>#VALUE!</v>
      </c>
      <c r="C5207" s="29" t="e">
        <f t="shared" si="81"/>
        <v>#VALUE!</v>
      </c>
      <c r="E5207" t="e">
        <f>cubic_spline(CURVA!$B$6:$B$20,CURVA!$G$6:$G$20,#REF!)</f>
        <v>#VALUE!</v>
      </c>
    </row>
    <row r="5208" spans="1:5" x14ac:dyDescent="0.2">
      <c r="A5208" s="28">
        <v>5207</v>
      </c>
      <c r="B5208" s="28" t="e">
        <f>interpola(#REF!,CURVA!$B$6:$B$20,CURVA!$G$6:$G$20)</f>
        <v>#VALUE!</v>
      </c>
      <c r="C5208" s="29" t="e">
        <f t="shared" si="81"/>
        <v>#VALUE!</v>
      </c>
      <c r="E5208" t="e">
        <f>cubic_spline(CURVA!$B$6:$B$20,CURVA!$G$6:$G$20,#REF!)</f>
        <v>#VALUE!</v>
      </c>
    </row>
    <row r="5209" spans="1:5" x14ac:dyDescent="0.2">
      <c r="A5209" s="28">
        <v>5208</v>
      </c>
      <c r="B5209" s="28" t="e">
        <f>interpola(#REF!,CURVA!$B$6:$B$20,CURVA!$G$6:$G$20)</f>
        <v>#VALUE!</v>
      </c>
      <c r="C5209" s="29" t="e">
        <f t="shared" si="81"/>
        <v>#VALUE!</v>
      </c>
      <c r="E5209" t="e">
        <f>cubic_spline(CURVA!$B$6:$B$20,CURVA!$G$6:$G$20,#REF!)</f>
        <v>#VALUE!</v>
      </c>
    </row>
    <row r="5210" spans="1:5" x14ac:dyDescent="0.2">
      <c r="A5210" s="28">
        <v>5209</v>
      </c>
      <c r="B5210" s="28" t="e">
        <f>interpola(#REF!,CURVA!$B$6:$B$20,CURVA!$G$6:$G$20)</f>
        <v>#VALUE!</v>
      </c>
      <c r="C5210" s="29" t="e">
        <f t="shared" si="81"/>
        <v>#VALUE!</v>
      </c>
      <c r="E5210" t="e">
        <f>cubic_spline(CURVA!$B$6:$B$20,CURVA!$G$6:$G$20,#REF!)</f>
        <v>#VALUE!</v>
      </c>
    </row>
    <row r="5211" spans="1:5" x14ac:dyDescent="0.2">
      <c r="A5211" s="28">
        <v>5210</v>
      </c>
      <c r="B5211" s="28" t="e">
        <f>interpola(#REF!,CURVA!$B$6:$B$20,CURVA!$G$6:$G$20)</f>
        <v>#VALUE!</v>
      </c>
      <c r="C5211" s="29" t="e">
        <f t="shared" si="81"/>
        <v>#VALUE!</v>
      </c>
      <c r="E5211" t="e">
        <f>cubic_spline(CURVA!$B$6:$B$20,CURVA!$G$6:$G$20,#REF!)</f>
        <v>#VALUE!</v>
      </c>
    </row>
    <row r="5212" spans="1:5" x14ac:dyDescent="0.2">
      <c r="A5212" s="28">
        <v>5211</v>
      </c>
      <c r="B5212" s="28" t="e">
        <f>interpola(#REF!,CURVA!$B$6:$B$20,CURVA!$G$6:$G$20)</f>
        <v>#VALUE!</v>
      </c>
      <c r="C5212" s="29" t="e">
        <f t="shared" si="81"/>
        <v>#VALUE!</v>
      </c>
      <c r="E5212" t="e">
        <f>cubic_spline(CURVA!$B$6:$B$20,CURVA!$G$6:$G$20,#REF!)</f>
        <v>#VALUE!</v>
      </c>
    </row>
    <row r="5213" spans="1:5" x14ac:dyDescent="0.2">
      <c r="A5213" s="28">
        <v>5212</v>
      </c>
      <c r="B5213" s="28" t="e">
        <f>interpola(#REF!,CURVA!$B$6:$B$20,CURVA!$G$6:$G$20)</f>
        <v>#VALUE!</v>
      </c>
      <c r="C5213" s="29" t="e">
        <f t="shared" si="81"/>
        <v>#VALUE!</v>
      </c>
      <c r="E5213" t="e">
        <f>cubic_spline(CURVA!$B$6:$B$20,CURVA!$G$6:$G$20,#REF!)</f>
        <v>#VALUE!</v>
      </c>
    </row>
    <row r="5214" spans="1:5" x14ac:dyDescent="0.2">
      <c r="A5214" s="28">
        <v>5213</v>
      </c>
      <c r="B5214" s="28" t="e">
        <f>interpola(#REF!,CURVA!$B$6:$B$20,CURVA!$G$6:$G$20)</f>
        <v>#VALUE!</v>
      </c>
      <c r="C5214" s="29" t="e">
        <f t="shared" si="81"/>
        <v>#VALUE!</v>
      </c>
      <c r="E5214" t="e">
        <f>cubic_spline(CURVA!$B$6:$B$20,CURVA!$G$6:$G$20,#REF!)</f>
        <v>#VALUE!</v>
      </c>
    </row>
    <row r="5215" spans="1:5" x14ac:dyDescent="0.2">
      <c r="A5215" s="28">
        <v>5214</v>
      </c>
      <c r="B5215" s="28" t="e">
        <f>interpola(#REF!,CURVA!$B$6:$B$20,CURVA!$G$6:$G$20)</f>
        <v>#VALUE!</v>
      </c>
      <c r="C5215" s="29" t="e">
        <f t="shared" si="81"/>
        <v>#VALUE!</v>
      </c>
      <c r="E5215" t="e">
        <f>cubic_spline(CURVA!$B$6:$B$20,CURVA!$G$6:$G$20,#REF!)</f>
        <v>#VALUE!</v>
      </c>
    </row>
    <row r="5216" spans="1:5" x14ac:dyDescent="0.2">
      <c r="A5216" s="28">
        <v>5215</v>
      </c>
      <c r="B5216" s="28" t="e">
        <f>interpola(#REF!,CURVA!$B$6:$B$20,CURVA!$G$6:$G$20)</f>
        <v>#VALUE!</v>
      </c>
      <c r="C5216" s="29" t="e">
        <f t="shared" si="81"/>
        <v>#VALUE!</v>
      </c>
      <c r="E5216" t="e">
        <f>cubic_spline(CURVA!$B$6:$B$20,CURVA!$G$6:$G$20,#REF!)</f>
        <v>#VALUE!</v>
      </c>
    </row>
    <row r="5217" spans="1:5" x14ac:dyDescent="0.2">
      <c r="A5217" s="28">
        <v>5216</v>
      </c>
      <c r="B5217" s="28" t="e">
        <f>interpola(#REF!,CURVA!$B$6:$B$20,CURVA!$G$6:$G$20)</f>
        <v>#VALUE!</v>
      </c>
      <c r="C5217" s="29" t="e">
        <f t="shared" si="81"/>
        <v>#VALUE!</v>
      </c>
      <c r="E5217" t="e">
        <f>cubic_spline(CURVA!$B$6:$B$20,CURVA!$G$6:$G$20,#REF!)</f>
        <v>#VALUE!</v>
      </c>
    </row>
    <row r="5218" spans="1:5" x14ac:dyDescent="0.2">
      <c r="A5218" s="28">
        <v>5217</v>
      </c>
      <c r="B5218" s="28" t="e">
        <f>interpola(#REF!,CURVA!$B$6:$B$20,CURVA!$G$6:$G$20)</f>
        <v>#VALUE!</v>
      </c>
      <c r="C5218" s="29" t="e">
        <f t="shared" si="81"/>
        <v>#VALUE!</v>
      </c>
      <c r="E5218" t="e">
        <f>cubic_spline(CURVA!$B$6:$B$20,CURVA!$G$6:$G$20,#REF!)</f>
        <v>#VALUE!</v>
      </c>
    </row>
    <row r="5219" spans="1:5" x14ac:dyDescent="0.2">
      <c r="A5219" s="28">
        <v>5218</v>
      </c>
      <c r="B5219" s="28" t="e">
        <f>interpola(#REF!,CURVA!$B$6:$B$20,CURVA!$G$6:$G$20)</f>
        <v>#VALUE!</v>
      </c>
      <c r="C5219" s="29" t="e">
        <f t="shared" si="81"/>
        <v>#VALUE!</v>
      </c>
      <c r="E5219" t="e">
        <f>cubic_spline(CURVA!$B$6:$B$20,CURVA!$G$6:$G$20,#REF!)</f>
        <v>#VALUE!</v>
      </c>
    </row>
    <row r="5220" spans="1:5" x14ac:dyDescent="0.2">
      <c r="A5220" s="28">
        <v>5219</v>
      </c>
      <c r="B5220" s="28" t="e">
        <f>interpola(#REF!,CURVA!$B$6:$B$20,CURVA!$G$6:$G$20)</f>
        <v>#VALUE!</v>
      </c>
      <c r="C5220" s="29" t="e">
        <f t="shared" si="81"/>
        <v>#VALUE!</v>
      </c>
      <c r="E5220" t="e">
        <f>cubic_spline(CURVA!$B$6:$B$20,CURVA!$G$6:$G$20,#REF!)</f>
        <v>#VALUE!</v>
      </c>
    </row>
    <row r="5221" spans="1:5" x14ac:dyDescent="0.2">
      <c r="A5221" s="28">
        <v>5220</v>
      </c>
      <c r="B5221" s="28" t="e">
        <f>interpola(#REF!,CURVA!$B$6:$B$20,CURVA!$G$6:$G$20)</f>
        <v>#VALUE!</v>
      </c>
      <c r="C5221" s="29" t="e">
        <f t="shared" si="81"/>
        <v>#VALUE!</v>
      </c>
      <c r="E5221" t="e">
        <f>cubic_spline(CURVA!$B$6:$B$20,CURVA!$G$6:$G$20,#REF!)</f>
        <v>#VALUE!</v>
      </c>
    </row>
    <row r="5222" spans="1:5" x14ac:dyDescent="0.2">
      <c r="A5222" s="28">
        <v>5221</v>
      </c>
      <c r="B5222" s="28" t="e">
        <f>interpola(#REF!,CURVA!$B$6:$B$20,CURVA!$G$6:$G$20)</f>
        <v>#VALUE!</v>
      </c>
      <c r="C5222" s="29" t="e">
        <f t="shared" si="81"/>
        <v>#VALUE!</v>
      </c>
      <c r="E5222" t="e">
        <f>cubic_spline(CURVA!$B$6:$B$20,CURVA!$G$6:$G$20,#REF!)</f>
        <v>#VALUE!</v>
      </c>
    </row>
    <row r="5223" spans="1:5" x14ac:dyDescent="0.2">
      <c r="A5223" s="28">
        <v>5222</v>
      </c>
      <c r="B5223" s="28" t="e">
        <f>interpola(#REF!,CURVA!$B$6:$B$20,CURVA!$G$6:$G$20)</f>
        <v>#VALUE!</v>
      </c>
      <c r="C5223" s="29" t="e">
        <f t="shared" si="81"/>
        <v>#VALUE!</v>
      </c>
      <c r="E5223" t="e">
        <f>cubic_spline(CURVA!$B$6:$B$20,CURVA!$G$6:$G$20,#REF!)</f>
        <v>#VALUE!</v>
      </c>
    </row>
    <row r="5224" spans="1:5" x14ac:dyDescent="0.2">
      <c r="A5224" s="28">
        <v>5223</v>
      </c>
      <c r="B5224" s="28" t="e">
        <f>interpola(#REF!,CURVA!$B$6:$B$20,CURVA!$G$6:$G$20)</f>
        <v>#VALUE!</v>
      </c>
      <c r="C5224" s="29" t="e">
        <f t="shared" si="81"/>
        <v>#VALUE!</v>
      </c>
      <c r="E5224" t="e">
        <f>cubic_spline(CURVA!$B$6:$B$20,CURVA!$G$6:$G$20,#REF!)</f>
        <v>#VALUE!</v>
      </c>
    </row>
    <row r="5225" spans="1:5" x14ac:dyDescent="0.2">
      <c r="A5225" s="28">
        <v>5224</v>
      </c>
      <c r="B5225" s="28" t="e">
        <f>interpola(#REF!,CURVA!$B$6:$B$20,CURVA!$G$6:$G$20)</f>
        <v>#VALUE!</v>
      </c>
      <c r="C5225" s="29" t="e">
        <f t="shared" si="81"/>
        <v>#VALUE!</v>
      </c>
      <c r="E5225" t="e">
        <f>cubic_spline(CURVA!$B$6:$B$20,CURVA!$G$6:$G$20,#REF!)</f>
        <v>#VALUE!</v>
      </c>
    </row>
    <row r="5226" spans="1:5" x14ac:dyDescent="0.2">
      <c r="A5226" s="28">
        <v>5225</v>
      </c>
      <c r="B5226" s="28" t="e">
        <f>interpola(#REF!,CURVA!$B$6:$B$20,CURVA!$G$6:$G$20)</f>
        <v>#VALUE!</v>
      </c>
      <c r="C5226" s="29" t="e">
        <f t="shared" si="81"/>
        <v>#VALUE!</v>
      </c>
      <c r="E5226" t="e">
        <f>cubic_spline(CURVA!$B$6:$B$20,CURVA!$G$6:$G$20,#REF!)</f>
        <v>#VALUE!</v>
      </c>
    </row>
    <row r="5227" spans="1:5" x14ac:dyDescent="0.2">
      <c r="A5227" s="28">
        <v>5226</v>
      </c>
      <c r="B5227" s="28" t="e">
        <f>interpola(#REF!,CURVA!$B$6:$B$20,CURVA!$G$6:$G$20)</f>
        <v>#VALUE!</v>
      </c>
      <c r="C5227" s="29" t="e">
        <f t="shared" si="81"/>
        <v>#VALUE!</v>
      </c>
      <c r="E5227" t="e">
        <f>cubic_spline(CURVA!$B$6:$B$20,CURVA!$G$6:$G$20,#REF!)</f>
        <v>#VALUE!</v>
      </c>
    </row>
    <row r="5228" spans="1:5" x14ac:dyDescent="0.2">
      <c r="A5228" s="28">
        <v>5227</v>
      </c>
      <c r="B5228" s="28" t="e">
        <f>interpola(#REF!,CURVA!$B$6:$B$20,CURVA!$G$6:$G$20)</f>
        <v>#VALUE!</v>
      </c>
      <c r="C5228" s="29" t="e">
        <f t="shared" si="81"/>
        <v>#VALUE!</v>
      </c>
      <c r="E5228" t="e">
        <f>cubic_spline(CURVA!$B$6:$B$20,CURVA!$G$6:$G$20,#REF!)</f>
        <v>#VALUE!</v>
      </c>
    </row>
    <row r="5229" spans="1:5" x14ac:dyDescent="0.2">
      <c r="A5229" s="28">
        <v>5228</v>
      </c>
      <c r="B5229" s="28" t="e">
        <f>interpola(#REF!,CURVA!$B$6:$B$20,CURVA!$G$6:$G$20)</f>
        <v>#VALUE!</v>
      </c>
      <c r="C5229" s="29" t="e">
        <f t="shared" si="81"/>
        <v>#VALUE!</v>
      </c>
      <c r="E5229" t="e">
        <f>cubic_spline(CURVA!$B$6:$B$20,CURVA!$G$6:$G$20,#REF!)</f>
        <v>#VALUE!</v>
      </c>
    </row>
    <row r="5230" spans="1:5" x14ac:dyDescent="0.2">
      <c r="A5230" s="28">
        <v>5229</v>
      </c>
      <c r="B5230" s="28" t="e">
        <f>interpola(#REF!,CURVA!$B$6:$B$20,CURVA!$G$6:$G$20)</f>
        <v>#VALUE!</v>
      </c>
      <c r="C5230" s="29" t="e">
        <f t="shared" si="81"/>
        <v>#VALUE!</v>
      </c>
      <c r="E5230" t="e">
        <f>cubic_spline(CURVA!$B$6:$B$20,CURVA!$G$6:$G$20,#REF!)</f>
        <v>#VALUE!</v>
      </c>
    </row>
    <row r="5231" spans="1:5" x14ac:dyDescent="0.2">
      <c r="A5231" s="28">
        <v>5230</v>
      </c>
      <c r="B5231" s="28" t="e">
        <f>interpola(#REF!,CURVA!$B$6:$B$20,CURVA!$G$6:$G$20)</f>
        <v>#VALUE!</v>
      </c>
      <c r="C5231" s="29" t="e">
        <f t="shared" si="81"/>
        <v>#VALUE!</v>
      </c>
      <c r="E5231" t="e">
        <f>cubic_spline(CURVA!$B$6:$B$20,CURVA!$G$6:$G$20,#REF!)</f>
        <v>#VALUE!</v>
      </c>
    </row>
    <row r="5232" spans="1:5" x14ac:dyDescent="0.2">
      <c r="A5232" s="28">
        <v>5231</v>
      </c>
      <c r="B5232" s="28" t="e">
        <f>interpola(#REF!,CURVA!$B$6:$B$20,CURVA!$G$6:$G$20)</f>
        <v>#VALUE!</v>
      </c>
      <c r="C5232" s="29" t="e">
        <f t="shared" si="81"/>
        <v>#VALUE!</v>
      </c>
      <c r="E5232" t="e">
        <f>cubic_spline(CURVA!$B$6:$B$20,CURVA!$G$6:$G$20,#REF!)</f>
        <v>#VALUE!</v>
      </c>
    </row>
    <row r="5233" spans="1:5" x14ac:dyDescent="0.2">
      <c r="A5233" s="28">
        <v>5232</v>
      </c>
      <c r="B5233" s="28" t="e">
        <f>interpola(#REF!,CURVA!$B$6:$B$20,CURVA!$G$6:$G$20)</f>
        <v>#VALUE!</v>
      </c>
      <c r="C5233" s="29" t="e">
        <f t="shared" si="81"/>
        <v>#VALUE!</v>
      </c>
      <c r="E5233" t="e">
        <f>cubic_spline(CURVA!$B$6:$B$20,CURVA!$G$6:$G$20,#REF!)</f>
        <v>#VALUE!</v>
      </c>
    </row>
    <row r="5234" spans="1:5" x14ac:dyDescent="0.2">
      <c r="A5234" s="28">
        <v>5233</v>
      </c>
      <c r="B5234" s="28" t="e">
        <f>interpola(#REF!,CURVA!$B$6:$B$20,CURVA!$G$6:$G$20)</f>
        <v>#VALUE!</v>
      </c>
      <c r="C5234" s="29" t="e">
        <f t="shared" si="81"/>
        <v>#VALUE!</v>
      </c>
      <c r="E5234" t="e">
        <f>cubic_spline(CURVA!$B$6:$B$20,CURVA!$G$6:$G$20,#REF!)</f>
        <v>#VALUE!</v>
      </c>
    </row>
    <row r="5235" spans="1:5" x14ac:dyDescent="0.2">
      <c r="A5235" s="28">
        <v>5234</v>
      </c>
      <c r="B5235" s="28" t="e">
        <f>interpola(#REF!,CURVA!$B$6:$B$20,CURVA!$G$6:$G$20)</f>
        <v>#VALUE!</v>
      </c>
      <c r="C5235" s="29" t="e">
        <f t="shared" si="81"/>
        <v>#VALUE!</v>
      </c>
      <c r="E5235" t="e">
        <f>cubic_spline(CURVA!$B$6:$B$20,CURVA!$G$6:$G$20,#REF!)</f>
        <v>#VALUE!</v>
      </c>
    </row>
    <row r="5236" spans="1:5" x14ac:dyDescent="0.2">
      <c r="A5236" s="28">
        <v>5235</v>
      </c>
      <c r="B5236" s="28" t="e">
        <f>interpola(#REF!,CURVA!$B$6:$B$20,CURVA!$G$6:$G$20)</f>
        <v>#VALUE!</v>
      </c>
      <c r="C5236" s="29" t="e">
        <f t="shared" si="81"/>
        <v>#VALUE!</v>
      </c>
      <c r="E5236" t="e">
        <f>cubic_spline(CURVA!$B$6:$B$20,CURVA!$G$6:$G$20,#REF!)</f>
        <v>#VALUE!</v>
      </c>
    </row>
    <row r="5237" spans="1:5" x14ac:dyDescent="0.2">
      <c r="A5237" s="28">
        <v>5236</v>
      </c>
      <c r="B5237" s="28" t="e">
        <f>interpola(#REF!,CURVA!$B$6:$B$20,CURVA!$G$6:$G$20)</f>
        <v>#VALUE!</v>
      </c>
      <c r="C5237" s="29" t="e">
        <f t="shared" si="81"/>
        <v>#VALUE!</v>
      </c>
      <c r="E5237" t="e">
        <f>cubic_spline(CURVA!$B$6:$B$20,CURVA!$G$6:$G$20,#REF!)</f>
        <v>#VALUE!</v>
      </c>
    </row>
    <row r="5238" spans="1:5" x14ac:dyDescent="0.2">
      <c r="A5238" s="28">
        <v>5237</v>
      </c>
      <c r="B5238" s="28" t="e">
        <f>interpola(#REF!,CURVA!$B$6:$B$20,CURVA!$G$6:$G$20)</f>
        <v>#VALUE!</v>
      </c>
      <c r="C5238" s="29" t="e">
        <f t="shared" si="81"/>
        <v>#VALUE!</v>
      </c>
      <c r="E5238" t="e">
        <f>cubic_spline(CURVA!$B$6:$B$20,CURVA!$G$6:$G$20,#REF!)</f>
        <v>#VALUE!</v>
      </c>
    </row>
    <row r="5239" spans="1:5" x14ac:dyDescent="0.2">
      <c r="A5239" s="28">
        <v>5238</v>
      </c>
      <c r="B5239" s="28" t="e">
        <f>interpola(#REF!,CURVA!$B$6:$B$20,CURVA!$G$6:$G$20)</f>
        <v>#VALUE!</v>
      </c>
      <c r="C5239" s="29" t="e">
        <f t="shared" si="81"/>
        <v>#VALUE!</v>
      </c>
      <c r="E5239" t="e">
        <f>cubic_spline(CURVA!$B$6:$B$20,CURVA!$G$6:$G$20,#REF!)</f>
        <v>#VALUE!</v>
      </c>
    </row>
    <row r="5240" spans="1:5" x14ac:dyDescent="0.2">
      <c r="A5240" s="28">
        <v>5239</v>
      </c>
      <c r="B5240" s="28" t="e">
        <f>interpola(#REF!,CURVA!$B$6:$B$20,CURVA!$G$6:$G$20)</f>
        <v>#VALUE!</v>
      </c>
      <c r="C5240" s="29" t="e">
        <f t="shared" si="81"/>
        <v>#VALUE!</v>
      </c>
      <c r="E5240" t="e">
        <f>cubic_spline(CURVA!$B$6:$B$20,CURVA!$G$6:$G$20,#REF!)</f>
        <v>#VALUE!</v>
      </c>
    </row>
    <row r="5241" spans="1:5" x14ac:dyDescent="0.2">
      <c r="A5241" s="28">
        <v>5240</v>
      </c>
      <c r="B5241" s="28" t="e">
        <f>interpola(#REF!,CURVA!$B$6:$B$20,CURVA!$G$6:$G$20)</f>
        <v>#VALUE!</v>
      </c>
      <c r="C5241" s="29" t="e">
        <f t="shared" si="81"/>
        <v>#VALUE!</v>
      </c>
      <c r="E5241" t="e">
        <f>cubic_spline(CURVA!$B$6:$B$20,CURVA!$G$6:$G$20,#REF!)</f>
        <v>#VALUE!</v>
      </c>
    </row>
    <row r="5242" spans="1:5" x14ac:dyDescent="0.2">
      <c r="A5242" s="28">
        <v>5241</v>
      </c>
      <c r="B5242" s="28" t="e">
        <f>interpola(#REF!,CURVA!$B$6:$B$20,CURVA!$G$6:$G$20)</f>
        <v>#VALUE!</v>
      </c>
      <c r="C5242" s="29" t="e">
        <f t="shared" si="81"/>
        <v>#VALUE!</v>
      </c>
      <c r="E5242" t="e">
        <f>cubic_spline(CURVA!$B$6:$B$20,CURVA!$G$6:$G$20,#REF!)</f>
        <v>#VALUE!</v>
      </c>
    </row>
    <row r="5243" spans="1:5" x14ac:dyDescent="0.2">
      <c r="A5243" s="28">
        <v>5242</v>
      </c>
      <c r="B5243" s="28" t="e">
        <f>interpola(#REF!,CURVA!$B$6:$B$20,CURVA!$G$6:$G$20)</f>
        <v>#VALUE!</v>
      </c>
      <c r="C5243" s="29" t="e">
        <f t="shared" si="81"/>
        <v>#VALUE!</v>
      </c>
      <c r="E5243" t="e">
        <f>cubic_spline(CURVA!$B$6:$B$20,CURVA!$G$6:$G$20,#REF!)</f>
        <v>#VALUE!</v>
      </c>
    </row>
    <row r="5244" spans="1:5" x14ac:dyDescent="0.2">
      <c r="A5244" s="28">
        <v>5243</v>
      </c>
      <c r="B5244" s="28" t="e">
        <f>interpola(#REF!,CURVA!$B$6:$B$20,CURVA!$G$6:$G$20)</f>
        <v>#VALUE!</v>
      </c>
      <c r="C5244" s="29" t="e">
        <f t="shared" si="81"/>
        <v>#VALUE!</v>
      </c>
      <c r="E5244" t="e">
        <f>cubic_spline(CURVA!$B$6:$B$20,CURVA!$G$6:$G$20,#REF!)</f>
        <v>#VALUE!</v>
      </c>
    </row>
    <row r="5245" spans="1:5" x14ac:dyDescent="0.2">
      <c r="A5245" s="28">
        <v>5244</v>
      </c>
      <c r="B5245" s="28" t="e">
        <f>interpola(#REF!,CURVA!$B$6:$B$20,CURVA!$G$6:$G$20)</f>
        <v>#VALUE!</v>
      </c>
      <c r="C5245" s="29" t="e">
        <f t="shared" si="81"/>
        <v>#VALUE!</v>
      </c>
      <c r="E5245" t="e">
        <f>cubic_spline(CURVA!$B$6:$B$20,CURVA!$G$6:$G$20,#REF!)</f>
        <v>#VALUE!</v>
      </c>
    </row>
    <row r="5246" spans="1:5" x14ac:dyDescent="0.2">
      <c r="A5246" s="28">
        <v>5245</v>
      </c>
      <c r="B5246" s="28" t="e">
        <f>interpola(#REF!,CURVA!$B$6:$B$20,CURVA!$G$6:$G$20)</f>
        <v>#VALUE!</v>
      </c>
      <c r="C5246" s="29" t="e">
        <f t="shared" si="81"/>
        <v>#VALUE!</v>
      </c>
      <c r="E5246" t="e">
        <f>cubic_spline(CURVA!$B$6:$B$20,CURVA!$G$6:$G$20,#REF!)</f>
        <v>#VALUE!</v>
      </c>
    </row>
    <row r="5247" spans="1:5" x14ac:dyDescent="0.2">
      <c r="A5247" s="28">
        <v>5246</v>
      </c>
      <c r="B5247" s="28" t="e">
        <f>interpola(#REF!,CURVA!$B$6:$B$20,CURVA!$G$6:$G$20)</f>
        <v>#VALUE!</v>
      </c>
      <c r="C5247" s="29" t="e">
        <f t="shared" si="81"/>
        <v>#VALUE!</v>
      </c>
      <c r="E5247" t="e">
        <f>cubic_spline(CURVA!$B$6:$B$20,CURVA!$G$6:$G$20,#REF!)</f>
        <v>#VALUE!</v>
      </c>
    </row>
    <row r="5248" spans="1:5" x14ac:dyDescent="0.2">
      <c r="A5248" s="28">
        <v>5247</v>
      </c>
      <c r="B5248" s="28" t="e">
        <f>interpola(#REF!,CURVA!$B$6:$B$20,CURVA!$G$6:$G$20)</f>
        <v>#VALUE!</v>
      </c>
      <c r="C5248" s="29" t="e">
        <f t="shared" si="81"/>
        <v>#VALUE!</v>
      </c>
      <c r="E5248" t="e">
        <f>cubic_spline(CURVA!$B$6:$B$20,CURVA!$G$6:$G$20,#REF!)</f>
        <v>#VALUE!</v>
      </c>
    </row>
    <row r="5249" spans="1:5" x14ac:dyDescent="0.2">
      <c r="A5249" s="28">
        <v>5248</v>
      </c>
      <c r="B5249" s="28" t="e">
        <f>interpola(#REF!,CURVA!$B$6:$B$20,CURVA!$G$6:$G$20)</f>
        <v>#VALUE!</v>
      </c>
      <c r="C5249" s="29" t="e">
        <f t="shared" si="81"/>
        <v>#VALUE!</v>
      </c>
      <c r="E5249" t="e">
        <f>cubic_spline(CURVA!$B$6:$B$20,CURVA!$G$6:$G$20,#REF!)</f>
        <v>#VALUE!</v>
      </c>
    </row>
    <row r="5250" spans="1:5" x14ac:dyDescent="0.2">
      <c r="A5250" s="28">
        <v>5249</v>
      </c>
      <c r="B5250" s="28" t="e">
        <f>interpola(#REF!,CURVA!$B$6:$B$20,CURVA!$G$6:$G$20)</f>
        <v>#VALUE!</v>
      </c>
      <c r="C5250" s="29" t="e">
        <f t="shared" ref="C5250:C5313" si="82">(EXP(B5250*A5250/360)-1)*360/A5250</f>
        <v>#VALUE!</v>
      </c>
      <c r="E5250" t="e">
        <f>cubic_spline(CURVA!$B$6:$B$20,CURVA!$G$6:$G$20,#REF!)</f>
        <v>#VALUE!</v>
      </c>
    </row>
    <row r="5251" spans="1:5" x14ac:dyDescent="0.2">
      <c r="A5251" s="28">
        <v>5250</v>
      </c>
      <c r="B5251" s="28" t="e">
        <f>interpola(#REF!,CURVA!$B$6:$B$20,CURVA!$G$6:$G$20)</f>
        <v>#VALUE!</v>
      </c>
      <c r="C5251" s="29" t="e">
        <f t="shared" si="82"/>
        <v>#VALUE!</v>
      </c>
      <c r="E5251" t="e">
        <f>cubic_spline(CURVA!$B$6:$B$20,CURVA!$G$6:$G$20,#REF!)</f>
        <v>#VALUE!</v>
      </c>
    </row>
    <row r="5252" spans="1:5" x14ac:dyDescent="0.2">
      <c r="A5252" s="28">
        <v>5251</v>
      </c>
      <c r="B5252" s="28" t="e">
        <f>interpola(#REF!,CURVA!$B$6:$B$20,CURVA!$G$6:$G$20)</f>
        <v>#VALUE!</v>
      </c>
      <c r="C5252" s="29" t="e">
        <f t="shared" si="82"/>
        <v>#VALUE!</v>
      </c>
      <c r="E5252" t="e">
        <f>cubic_spline(CURVA!$B$6:$B$20,CURVA!$G$6:$G$20,#REF!)</f>
        <v>#VALUE!</v>
      </c>
    </row>
    <row r="5253" spans="1:5" x14ac:dyDescent="0.2">
      <c r="A5253" s="28">
        <v>5252</v>
      </c>
      <c r="B5253" s="28" t="e">
        <f>interpola(#REF!,CURVA!$B$6:$B$20,CURVA!$G$6:$G$20)</f>
        <v>#VALUE!</v>
      </c>
      <c r="C5253" s="29" t="e">
        <f t="shared" si="82"/>
        <v>#VALUE!</v>
      </c>
      <c r="E5253" t="e">
        <f>cubic_spline(CURVA!$B$6:$B$20,CURVA!$G$6:$G$20,#REF!)</f>
        <v>#VALUE!</v>
      </c>
    </row>
    <row r="5254" spans="1:5" x14ac:dyDescent="0.2">
      <c r="A5254" s="28">
        <v>5253</v>
      </c>
      <c r="B5254" s="28" t="e">
        <f>interpola(#REF!,CURVA!$B$6:$B$20,CURVA!$G$6:$G$20)</f>
        <v>#VALUE!</v>
      </c>
      <c r="C5254" s="29" t="e">
        <f t="shared" si="82"/>
        <v>#VALUE!</v>
      </c>
      <c r="E5254" t="e">
        <f>cubic_spline(CURVA!$B$6:$B$20,CURVA!$G$6:$G$20,#REF!)</f>
        <v>#VALUE!</v>
      </c>
    </row>
    <row r="5255" spans="1:5" x14ac:dyDescent="0.2">
      <c r="A5255" s="28">
        <v>5254</v>
      </c>
      <c r="B5255" s="28" t="e">
        <f>interpola(#REF!,CURVA!$B$6:$B$20,CURVA!$G$6:$G$20)</f>
        <v>#VALUE!</v>
      </c>
      <c r="C5255" s="29" t="e">
        <f t="shared" si="82"/>
        <v>#VALUE!</v>
      </c>
      <c r="E5255" t="e">
        <f>cubic_spline(CURVA!$B$6:$B$20,CURVA!$G$6:$G$20,#REF!)</f>
        <v>#VALUE!</v>
      </c>
    </row>
    <row r="5256" spans="1:5" x14ac:dyDescent="0.2">
      <c r="A5256" s="28">
        <v>5255</v>
      </c>
      <c r="B5256" s="28" t="e">
        <f>interpola(#REF!,CURVA!$B$6:$B$20,CURVA!$G$6:$G$20)</f>
        <v>#VALUE!</v>
      </c>
      <c r="C5256" s="29" t="e">
        <f t="shared" si="82"/>
        <v>#VALUE!</v>
      </c>
      <c r="E5256" t="e">
        <f>cubic_spline(CURVA!$B$6:$B$20,CURVA!$G$6:$G$20,#REF!)</f>
        <v>#VALUE!</v>
      </c>
    </row>
    <row r="5257" spans="1:5" x14ac:dyDescent="0.2">
      <c r="A5257" s="28">
        <v>5256</v>
      </c>
      <c r="B5257" s="28" t="e">
        <f>interpola(#REF!,CURVA!$B$6:$B$20,CURVA!$G$6:$G$20)</f>
        <v>#VALUE!</v>
      </c>
      <c r="C5257" s="29" t="e">
        <f t="shared" si="82"/>
        <v>#VALUE!</v>
      </c>
      <c r="E5257" t="e">
        <f>cubic_spline(CURVA!$B$6:$B$20,CURVA!$G$6:$G$20,#REF!)</f>
        <v>#VALUE!</v>
      </c>
    </row>
    <row r="5258" spans="1:5" x14ac:dyDescent="0.2">
      <c r="A5258" s="28">
        <v>5257</v>
      </c>
      <c r="B5258" s="28" t="e">
        <f>interpola(#REF!,CURVA!$B$6:$B$20,CURVA!$G$6:$G$20)</f>
        <v>#VALUE!</v>
      </c>
      <c r="C5258" s="29" t="e">
        <f t="shared" si="82"/>
        <v>#VALUE!</v>
      </c>
      <c r="E5258" t="e">
        <f>cubic_spline(CURVA!$B$6:$B$20,CURVA!$G$6:$G$20,#REF!)</f>
        <v>#VALUE!</v>
      </c>
    </row>
    <row r="5259" spans="1:5" x14ac:dyDescent="0.2">
      <c r="A5259" s="28">
        <v>5258</v>
      </c>
      <c r="B5259" s="28" t="e">
        <f>interpola(#REF!,CURVA!$B$6:$B$20,CURVA!$G$6:$G$20)</f>
        <v>#VALUE!</v>
      </c>
      <c r="C5259" s="29" t="e">
        <f t="shared" si="82"/>
        <v>#VALUE!</v>
      </c>
      <c r="E5259" t="e">
        <f>cubic_spline(CURVA!$B$6:$B$20,CURVA!$G$6:$G$20,#REF!)</f>
        <v>#VALUE!</v>
      </c>
    </row>
    <row r="5260" spans="1:5" x14ac:dyDescent="0.2">
      <c r="A5260" s="28">
        <v>5259</v>
      </c>
      <c r="B5260" s="28" t="e">
        <f>interpola(#REF!,CURVA!$B$6:$B$20,CURVA!$G$6:$G$20)</f>
        <v>#VALUE!</v>
      </c>
      <c r="C5260" s="29" t="e">
        <f t="shared" si="82"/>
        <v>#VALUE!</v>
      </c>
      <c r="E5260" t="e">
        <f>cubic_spline(CURVA!$B$6:$B$20,CURVA!$G$6:$G$20,#REF!)</f>
        <v>#VALUE!</v>
      </c>
    </row>
    <row r="5261" spans="1:5" x14ac:dyDescent="0.2">
      <c r="A5261" s="28">
        <v>5260</v>
      </c>
      <c r="B5261" s="28" t="e">
        <f>interpola(#REF!,CURVA!$B$6:$B$20,CURVA!$G$6:$G$20)</f>
        <v>#VALUE!</v>
      </c>
      <c r="C5261" s="29" t="e">
        <f t="shared" si="82"/>
        <v>#VALUE!</v>
      </c>
      <c r="E5261" t="e">
        <f>cubic_spline(CURVA!$B$6:$B$20,CURVA!$G$6:$G$20,#REF!)</f>
        <v>#VALUE!</v>
      </c>
    </row>
    <row r="5262" spans="1:5" x14ac:dyDescent="0.2">
      <c r="A5262" s="28">
        <v>5261</v>
      </c>
      <c r="B5262" s="28" t="e">
        <f>interpola(#REF!,CURVA!$B$6:$B$20,CURVA!$G$6:$G$20)</f>
        <v>#VALUE!</v>
      </c>
      <c r="C5262" s="29" t="e">
        <f t="shared" si="82"/>
        <v>#VALUE!</v>
      </c>
      <c r="E5262" t="e">
        <f>cubic_spline(CURVA!$B$6:$B$20,CURVA!$G$6:$G$20,#REF!)</f>
        <v>#VALUE!</v>
      </c>
    </row>
    <row r="5263" spans="1:5" x14ac:dyDescent="0.2">
      <c r="A5263" s="28">
        <v>5262</v>
      </c>
      <c r="B5263" s="28" t="e">
        <f>interpola(#REF!,CURVA!$B$6:$B$20,CURVA!$G$6:$G$20)</f>
        <v>#VALUE!</v>
      </c>
      <c r="C5263" s="29" t="e">
        <f t="shared" si="82"/>
        <v>#VALUE!</v>
      </c>
      <c r="E5263" t="e">
        <f>cubic_spline(CURVA!$B$6:$B$20,CURVA!$G$6:$G$20,#REF!)</f>
        <v>#VALUE!</v>
      </c>
    </row>
    <row r="5264" spans="1:5" x14ac:dyDescent="0.2">
      <c r="A5264" s="28">
        <v>5263</v>
      </c>
      <c r="B5264" s="28" t="e">
        <f>interpola(#REF!,CURVA!$B$6:$B$20,CURVA!$G$6:$G$20)</f>
        <v>#VALUE!</v>
      </c>
      <c r="C5264" s="29" t="e">
        <f t="shared" si="82"/>
        <v>#VALUE!</v>
      </c>
      <c r="E5264" t="e">
        <f>cubic_spline(CURVA!$B$6:$B$20,CURVA!$G$6:$G$20,#REF!)</f>
        <v>#VALUE!</v>
      </c>
    </row>
    <row r="5265" spans="1:5" x14ac:dyDescent="0.2">
      <c r="A5265" s="28">
        <v>5264</v>
      </c>
      <c r="B5265" s="28" t="e">
        <f>interpola(#REF!,CURVA!$B$6:$B$20,CURVA!$G$6:$G$20)</f>
        <v>#VALUE!</v>
      </c>
      <c r="C5265" s="29" t="e">
        <f t="shared" si="82"/>
        <v>#VALUE!</v>
      </c>
      <c r="E5265" t="e">
        <f>cubic_spline(CURVA!$B$6:$B$20,CURVA!$G$6:$G$20,#REF!)</f>
        <v>#VALUE!</v>
      </c>
    </row>
    <row r="5266" spans="1:5" x14ac:dyDescent="0.2">
      <c r="A5266" s="28">
        <v>5265</v>
      </c>
      <c r="B5266" s="28" t="e">
        <f>interpola(#REF!,CURVA!$B$6:$B$20,CURVA!$G$6:$G$20)</f>
        <v>#VALUE!</v>
      </c>
      <c r="C5266" s="29" t="e">
        <f t="shared" si="82"/>
        <v>#VALUE!</v>
      </c>
      <c r="E5266" t="e">
        <f>cubic_spline(CURVA!$B$6:$B$20,CURVA!$G$6:$G$20,#REF!)</f>
        <v>#VALUE!</v>
      </c>
    </row>
    <row r="5267" spans="1:5" x14ac:dyDescent="0.2">
      <c r="A5267" s="28">
        <v>5266</v>
      </c>
      <c r="B5267" s="28" t="e">
        <f>interpola(#REF!,CURVA!$B$6:$B$20,CURVA!$G$6:$G$20)</f>
        <v>#VALUE!</v>
      </c>
      <c r="C5267" s="29" t="e">
        <f t="shared" si="82"/>
        <v>#VALUE!</v>
      </c>
      <c r="E5267" t="e">
        <f>cubic_spline(CURVA!$B$6:$B$20,CURVA!$G$6:$G$20,#REF!)</f>
        <v>#VALUE!</v>
      </c>
    </row>
    <row r="5268" spans="1:5" x14ac:dyDescent="0.2">
      <c r="A5268" s="28">
        <v>5267</v>
      </c>
      <c r="B5268" s="28" t="e">
        <f>interpola(#REF!,CURVA!$B$6:$B$20,CURVA!$G$6:$G$20)</f>
        <v>#VALUE!</v>
      </c>
      <c r="C5268" s="29" t="e">
        <f t="shared" si="82"/>
        <v>#VALUE!</v>
      </c>
      <c r="E5268" t="e">
        <f>cubic_spline(CURVA!$B$6:$B$20,CURVA!$G$6:$G$20,#REF!)</f>
        <v>#VALUE!</v>
      </c>
    </row>
    <row r="5269" spans="1:5" x14ac:dyDescent="0.2">
      <c r="A5269" s="28">
        <v>5268</v>
      </c>
      <c r="B5269" s="28" t="e">
        <f>interpola(#REF!,CURVA!$B$6:$B$20,CURVA!$G$6:$G$20)</f>
        <v>#VALUE!</v>
      </c>
      <c r="C5269" s="29" t="e">
        <f t="shared" si="82"/>
        <v>#VALUE!</v>
      </c>
      <c r="E5269" t="e">
        <f>cubic_spline(CURVA!$B$6:$B$20,CURVA!$G$6:$G$20,#REF!)</f>
        <v>#VALUE!</v>
      </c>
    </row>
    <row r="5270" spans="1:5" x14ac:dyDescent="0.2">
      <c r="A5270" s="28">
        <v>5269</v>
      </c>
      <c r="B5270" s="28" t="e">
        <f>interpola(#REF!,CURVA!$B$6:$B$20,CURVA!$G$6:$G$20)</f>
        <v>#VALUE!</v>
      </c>
      <c r="C5270" s="29" t="e">
        <f t="shared" si="82"/>
        <v>#VALUE!</v>
      </c>
      <c r="E5270" t="e">
        <f>cubic_spline(CURVA!$B$6:$B$20,CURVA!$G$6:$G$20,#REF!)</f>
        <v>#VALUE!</v>
      </c>
    </row>
    <row r="5271" spans="1:5" x14ac:dyDescent="0.2">
      <c r="A5271" s="28">
        <v>5270</v>
      </c>
      <c r="B5271" s="28" t="e">
        <f>interpola(#REF!,CURVA!$B$6:$B$20,CURVA!$G$6:$G$20)</f>
        <v>#VALUE!</v>
      </c>
      <c r="C5271" s="29" t="e">
        <f t="shared" si="82"/>
        <v>#VALUE!</v>
      </c>
      <c r="E5271" t="e">
        <f>cubic_spline(CURVA!$B$6:$B$20,CURVA!$G$6:$G$20,#REF!)</f>
        <v>#VALUE!</v>
      </c>
    </row>
    <row r="5272" spans="1:5" x14ac:dyDescent="0.2">
      <c r="A5272" s="28">
        <v>5271</v>
      </c>
      <c r="B5272" s="28" t="e">
        <f>interpola(#REF!,CURVA!$B$6:$B$20,CURVA!$G$6:$G$20)</f>
        <v>#VALUE!</v>
      </c>
      <c r="C5272" s="29" t="e">
        <f t="shared" si="82"/>
        <v>#VALUE!</v>
      </c>
      <c r="E5272" t="e">
        <f>cubic_spline(CURVA!$B$6:$B$20,CURVA!$G$6:$G$20,#REF!)</f>
        <v>#VALUE!</v>
      </c>
    </row>
    <row r="5273" spans="1:5" x14ac:dyDescent="0.2">
      <c r="A5273" s="28">
        <v>5272</v>
      </c>
      <c r="B5273" s="28" t="e">
        <f>interpola(#REF!,CURVA!$B$6:$B$20,CURVA!$G$6:$G$20)</f>
        <v>#VALUE!</v>
      </c>
      <c r="C5273" s="29" t="e">
        <f t="shared" si="82"/>
        <v>#VALUE!</v>
      </c>
      <c r="E5273" t="e">
        <f>cubic_spline(CURVA!$B$6:$B$20,CURVA!$G$6:$G$20,#REF!)</f>
        <v>#VALUE!</v>
      </c>
    </row>
    <row r="5274" spans="1:5" x14ac:dyDescent="0.2">
      <c r="A5274" s="28">
        <v>5273</v>
      </c>
      <c r="B5274" s="28" t="e">
        <f>interpola(#REF!,CURVA!$B$6:$B$20,CURVA!$G$6:$G$20)</f>
        <v>#VALUE!</v>
      </c>
      <c r="C5274" s="29" t="e">
        <f t="shared" si="82"/>
        <v>#VALUE!</v>
      </c>
      <c r="E5274" t="e">
        <f>cubic_spline(CURVA!$B$6:$B$20,CURVA!$G$6:$G$20,#REF!)</f>
        <v>#VALUE!</v>
      </c>
    </row>
    <row r="5275" spans="1:5" x14ac:dyDescent="0.2">
      <c r="A5275" s="28">
        <v>5274</v>
      </c>
      <c r="B5275" s="28" t="e">
        <f>interpola(#REF!,CURVA!$B$6:$B$20,CURVA!$G$6:$G$20)</f>
        <v>#VALUE!</v>
      </c>
      <c r="C5275" s="29" t="e">
        <f t="shared" si="82"/>
        <v>#VALUE!</v>
      </c>
      <c r="E5275" t="e">
        <f>cubic_spline(CURVA!$B$6:$B$20,CURVA!$G$6:$G$20,#REF!)</f>
        <v>#VALUE!</v>
      </c>
    </row>
    <row r="5276" spans="1:5" x14ac:dyDescent="0.2">
      <c r="A5276" s="28">
        <v>5275</v>
      </c>
      <c r="B5276" s="28" t="e">
        <f>interpola(#REF!,CURVA!$B$6:$B$20,CURVA!$G$6:$G$20)</f>
        <v>#VALUE!</v>
      </c>
      <c r="C5276" s="29" t="e">
        <f t="shared" si="82"/>
        <v>#VALUE!</v>
      </c>
      <c r="E5276" t="e">
        <f>cubic_spline(CURVA!$B$6:$B$20,CURVA!$G$6:$G$20,#REF!)</f>
        <v>#VALUE!</v>
      </c>
    </row>
    <row r="5277" spans="1:5" x14ac:dyDescent="0.2">
      <c r="A5277" s="28">
        <v>5276</v>
      </c>
      <c r="B5277" s="28" t="e">
        <f>interpola(#REF!,CURVA!$B$6:$B$20,CURVA!$G$6:$G$20)</f>
        <v>#VALUE!</v>
      </c>
      <c r="C5277" s="29" t="e">
        <f t="shared" si="82"/>
        <v>#VALUE!</v>
      </c>
      <c r="E5277" t="e">
        <f>cubic_spline(CURVA!$B$6:$B$20,CURVA!$G$6:$G$20,#REF!)</f>
        <v>#VALUE!</v>
      </c>
    </row>
    <row r="5278" spans="1:5" x14ac:dyDescent="0.2">
      <c r="A5278" s="28">
        <v>5277</v>
      </c>
      <c r="B5278" s="28" t="e">
        <f>interpola(#REF!,CURVA!$B$6:$B$20,CURVA!$G$6:$G$20)</f>
        <v>#VALUE!</v>
      </c>
      <c r="C5278" s="29" t="e">
        <f t="shared" si="82"/>
        <v>#VALUE!</v>
      </c>
      <c r="E5278" t="e">
        <f>cubic_spline(CURVA!$B$6:$B$20,CURVA!$G$6:$G$20,#REF!)</f>
        <v>#VALUE!</v>
      </c>
    </row>
    <row r="5279" spans="1:5" x14ac:dyDescent="0.2">
      <c r="A5279" s="28">
        <v>5278</v>
      </c>
      <c r="B5279" s="28" t="e">
        <f>interpola(#REF!,CURVA!$B$6:$B$20,CURVA!$G$6:$G$20)</f>
        <v>#VALUE!</v>
      </c>
      <c r="C5279" s="29" t="e">
        <f t="shared" si="82"/>
        <v>#VALUE!</v>
      </c>
      <c r="E5279" t="e">
        <f>cubic_spline(CURVA!$B$6:$B$20,CURVA!$G$6:$G$20,#REF!)</f>
        <v>#VALUE!</v>
      </c>
    </row>
    <row r="5280" spans="1:5" x14ac:dyDescent="0.2">
      <c r="A5280" s="28">
        <v>5279</v>
      </c>
      <c r="B5280" s="28" t="e">
        <f>interpola(#REF!,CURVA!$B$6:$B$20,CURVA!$G$6:$G$20)</f>
        <v>#VALUE!</v>
      </c>
      <c r="C5280" s="29" t="e">
        <f t="shared" si="82"/>
        <v>#VALUE!</v>
      </c>
      <c r="E5280" t="e">
        <f>cubic_spline(CURVA!$B$6:$B$20,CURVA!$G$6:$G$20,#REF!)</f>
        <v>#VALUE!</v>
      </c>
    </row>
    <row r="5281" spans="1:5" x14ac:dyDescent="0.2">
      <c r="A5281" s="28">
        <v>5280</v>
      </c>
      <c r="B5281" s="28" t="e">
        <f>interpola(#REF!,CURVA!$B$6:$B$20,CURVA!$G$6:$G$20)</f>
        <v>#VALUE!</v>
      </c>
      <c r="C5281" s="29" t="e">
        <f t="shared" si="82"/>
        <v>#VALUE!</v>
      </c>
      <c r="E5281" t="e">
        <f>cubic_spline(CURVA!$B$6:$B$20,CURVA!$G$6:$G$20,#REF!)</f>
        <v>#VALUE!</v>
      </c>
    </row>
    <row r="5282" spans="1:5" x14ac:dyDescent="0.2">
      <c r="A5282" s="28">
        <v>5281</v>
      </c>
      <c r="B5282" s="28" t="e">
        <f>interpola(#REF!,CURVA!$B$6:$B$20,CURVA!$G$6:$G$20)</f>
        <v>#VALUE!</v>
      </c>
      <c r="C5282" s="29" t="e">
        <f t="shared" si="82"/>
        <v>#VALUE!</v>
      </c>
      <c r="E5282" t="e">
        <f>cubic_spline(CURVA!$B$6:$B$20,CURVA!$G$6:$G$20,#REF!)</f>
        <v>#VALUE!</v>
      </c>
    </row>
    <row r="5283" spans="1:5" x14ac:dyDescent="0.2">
      <c r="A5283" s="28">
        <v>5282</v>
      </c>
      <c r="B5283" s="28" t="e">
        <f>interpola(#REF!,CURVA!$B$6:$B$20,CURVA!$G$6:$G$20)</f>
        <v>#VALUE!</v>
      </c>
      <c r="C5283" s="29" t="e">
        <f t="shared" si="82"/>
        <v>#VALUE!</v>
      </c>
      <c r="E5283" t="e">
        <f>cubic_spline(CURVA!$B$6:$B$20,CURVA!$G$6:$G$20,#REF!)</f>
        <v>#VALUE!</v>
      </c>
    </row>
    <row r="5284" spans="1:5" x14ac:dyDescent="0.2">
      <c r="A5284" s="28">
        <v>5283</v>
      </c>
      <c r="B5284" s="28" t="e">
        <f>interpola(#REF!,CURVA!$B$6:$B$20,CURVA!$G$6:$G$20)</f>
        <v>#VALUE!</v>
      </c>
      <c r="C5284" s="29" t="e">
        <f t="shared" si="82"/>
        <v>#VALUE!</v>
      </c>
      <c r="E5284" t="e">
        <f>cubic_spline(CURVA!$B$6:$B$20,CURVA!$G$6:$G$20,#REF!)</f>
        <v>#VALUE!</v>
      </c>
    </row>
    <row r="5285" spans="1:5" x14ac:dyDescent="0.2">
      <c r="A5285" s="28">
        <v>5284</v>
      </c>
      <c r="B5285" s="28" t="e">
        <f>interpola(#REF!,CURVA!$B$6:$B$20,CURVA!$G$6:$G$20)</f>
        <v>#VALUE!</v>
      </c>
      <c r="C5285" s="29" t="e">
        <f t="shared" si="82"/>
        <v>#VALUE!</v>
      </c>
      <c r="E5285" t="e">
        <f>cubic_spline(CURVA!$B$6:$B$20,CURVA!$G$6:$G$20,#REF!)</f>
        <v>#VALUE!</v>
      </c>
    </row>
    <row r="5286" spans="1:5" x14ac:dyDescent="0.2">
      <c r="A5286" s="28">
        <v>5285</v>
      </c>
      <c r="B5286" s="28" t="e">
        <f>interpola(#REF!,CURVA!$B$6:$B$20,CURVA!$G$6:$G$20)</f>
        <v>#VALUE!</v>
      </c>
      <c r="C5286" s="29" t="e">
        <f t="shared" si="82"/>
        <v>#VALUE!</v>
      </c>
      <c r="E5286" t="e">
        <f>cubic_spline(CURVA!$B$6:$B$20,CURVA!$G$6:$G$20,#REF!)</f>
        <v>#VALUE!</v>
      </c>
    </row>
    <row r="5287" spans="1:5" x14ac:dyDescent="0.2">
      <c r="A5287" s="28">
        <v>5286</v>
      </c>
      <c r="B5287" s="28" t="e">
        <f>interpola(#REF!,CURVA!$B$6:$B$20,CURVA!$G$6:$G$20)</f>
        <v>#VALUE!</v>
      </c>
      <c r="C5287" s="29" t="e">
        <f t="shared" si="82"/>
        <v>#VALUE!</v>
      </c>
      <c r="E5287" t="e">
        <f>cubic_spline(CURVA!$B$6:$B$20,CURVA!$G$6:$G$20,#REF!)</f>
        <v>#VALUE!</v>
      </c>
    </row>
    <row r="5288" spans="1:5" x14ac:dyDescent="0.2">
      <c r="A5288" s="28">
        <v>5287</v>
      </c>
      <c r="B5288" s="28" t="e">
        <f>interpola(#REF!,CURVA!$B$6:$B$20,CURVA!$G$6:$G$20)</f>
        <v>#VALUE!</v>
      </c>
      <c r="C5288" s="29" t="e">
        <f t="shared" si="82"/>
        <v>#VALUE!</v>
      </c>
      <c r="E5288" t="e">
        <f>cubic_spline(CURVA!$B$6:$B$20,CURVA!$G$6:$G$20,#REF!)</f>
        <v>#VALUE!</v>
      </c>
    </row>
    <row r="5289" spans="1:5" x14ac:dyDescent="0.2">
      <c r="A5289" s="28">
        <v>5288</v>
      </c>
      <c r="B5289" s="28" t="e">
        <f>interpola(#REF!,CURVA!$B$6:$B$20,CURVA!$G$6:$G$20)</f>
        <v>#VALUE!</v>
      </c>
      <c r="C5289" s="29" t="e">
        <f t="shared" si="82"/>
        <v>#VALUE!</v>
      </c>
      <c r="E5289" t="e">
        <f>cubic_spline(CURVA!$B$6:$B$20,CURVA!$G$6:$G$20,#REF!)</f>
        <v>#VALUE!</v>
      </c>
    </row>
    <row r="5290" spans="1:5" x14ac:dyDescent="0.2">
      <c r="A5290" s="28">
        <v>5289</v>
      </c>
      <c r="B5290" s="28" t="e">
        <f>interpola(#REF!,CURVA!$B$6:$B$20,CURVA!$G$6:$G$20)</f>
        <v>#VALUE!</v>
      </c>
      <c r="C5290" s="29" t="e">
        <f t="shared" si="82"/>
        <v>#VALUE!</v>
      </c>
      <c r="E5290" t="e">
        <f>cubic_spline(CURVA!$B$6:$B$20,CURVA!$G$6:$G$20,#REF!)</f>
        <v>#VALUE!</v>
      </c>
    </row>
    <row r="5291" spans="1:5" x14ac:dyDescent="0.2">
      <c r="A5291" s="28">
        <v>5290</v>
      </c>
      <c r="B5291" s="28" t="e">
        <f>interpola(#REF!,CURVA!$B$6:$B$20,CURVA!$G$6:$G$20)</f>
        <v>#VALUE!</v>
      </c>
      <c r="C5291" s="29" t="e">
        <f t="shared" si="82"/>
        <v>#VALUE!</v>
      </c>
      <c r="E5291" t="e">
        <f>cubic_spline(CURVA!$B$6:$B$20,CURVA!$G$6:$G$20,#REF!)</f>
        <v>#VALUE!</v>
      </c>
    </row>
    <row r="5292" spans="1:5" x14ac:dyDescent="0.2">
      <c r="A5292" s="28">
        <v>5291</v>
      </c>
      <c r="B5292" s="28" t="e">
        <f>interpola(#REF!,CURVA!$B$6:$B$20,CURVA!$G$6:$G$20)</f>
        <v>#VALUE!</v>
      </c>
      <c r="C5292" s="29" t="e">
        <f t="shared" si="82"/>
        <v>#VALUE!</v>
      </c>
      <c r="E5292" t="e">
        <f>cubic_spline(CURVA!$B$6:$B$20,CURVA!$G$6:$G$20,#REF!)</f>
        <v>#VALUE!</v>
      </c>
    </row>
    <row r="5293" spans="1:5" x14ac:dyDescent="0.2">
      <c r="A5293" s="28">
        <v>5292</v>
      </c>
      <c r="B5293" s="28" t="e">
        <f>interpola(#REF!,CURVA!$B$6:$B$20,CURVA!$G$6:$G$20)</f>
        <v>#VALUE!</v>
      </c>
      <c r="C5293" s="29" t="e">
        <f t="shared" si="82"/>
        <v>#VALUE!</v>
      </c>
      <c r="E5293" t="e">
        <f>cubic_spline(CURVA!$B$6:$B$20,CURVA!$G$6:$G$20,#REF!)</f>
        <v>#VALUE!</v>
      </c>
    </row>
    <row r="5294" spans="1:5" x14ac:dyDescent="0.2">
      <c r="A5294" s="28">
        <v>5293</v>
      </c>
      <c r="B5294" s="28" t="e">
        <f>interpola(#REF!,CURVA!$B$6:$B$20,CURVA!$G$6:$G$20)</f>
        <v>#VALUE!</v>
      </c>
      <c r="C5294" s="29" t="e">
        <f t="shared" si="82"/>
        <v>#VALUE!</v>
      </c>
      <c r="E5294" t="e">
        <f>cubic_spline(CURVA!$B$6:$B$20,CURVA!$G$6:$G$20,#REF!)</f>
        <v>#VALUE!</v>
      </c>
    </row>
    <row r="5295" spans="1:5" x14ac:dyDescent="0.2">
      <c r="A5295" s="28">
        <v>5294</v>
      </c>
      <c r="B5295" s="28" t="e">
        <f>interpola(#REF!,CURVA!$B$6:$B$20,CURVA!$G$6:$G$20)</f>
        <v>#VALUE!</v>
      </c>
      <c r="C5295" s="29" t="e">
        <f t="shared" si="82"/>
        <v>#VALUE!</v>
      </c>
      <c r="E5295" t="e">
        <f>cubic_spline(CURVA!$B$6:$B$20,CURVA!$G$6:$G$20,#REF!)</f>
        <v>#VALUE!</v>
      </c>
    </row>
    <row r="5296" spans="1:5" x14ac:dyDescent="0.2">
      <c r="A5296" s="28">
        <v>5295</v>
      </c>
      <c r="B5296" s="28" t="e">
        <f>interpola(#REF!,CURVA!$B$6:$B$20,CURVA!$G$6:$G$20)</f>
        <v>#VALUE!</v>
      </c>
      <c r="C5296" s="29" t="e">
        <f t="shared" si="82"/>
        <v>#VALUE!</v>
      </c>
      <c r="E5296" t="e">
        <f>cubic_spline(CURVA!$B$6:$B$20,CURVA!$G$6:$G$20,#REF!)</f>
        <v>#VALUE!</v>
      </c>
    </row>
    <row r="5297" spans="1:5" x14ac:dyDescent="0.2">
      <c r="A5297" s="28">
        <v>5296</v>
      </c>
      <c r="B5297" s="28" t="e">
        <f>interpola(#REF!,CURVA!$B$6:$B$20,CURVA!$G$6:$G$20)</f>
        <v>#VALUE!</v>
      </c>
      <c r="C5297" s="29" t="e">
        <f t="shared" si="82"/>
        <v>#VALUE!</v>
      </c>
      <c r="E5297" t="e">
        <f>cubic_spline(CURVA!$B$6:$B$20,CURVA!$G$6:$G$20,#REF!)</f>
        <v>#VALUE!</v>
      </c>
    </row>
    <row r="5298" spans="1:5" x14ac:dyDescent="0.2">
      <c r="A5298" s="28">
        <v>5297</v>
      </c>
      <c r="B5298" s="28" t="e">
        <f>interpola(#REF!,CURVA!$B$6:$B$20,CURVA!$G$6:$G$20)</f>
        <v>#VALUE!</v>
      </c>
      <c r="C5298" s="29" t="e">
        <f t="shared" si="82"/>
        <v>#VALUE!</v>
      </c>
      <c r="E5298" t="e">
        <f>cubic_spline(CURVA!$B$6:$B$20,CURVA!$G$6:$G$20,#REF!)</f>
        <v>#VALUE!</v>
      </c>
    </row>
    <row r="5299" spans="1:5" x14ac:dyDescent="0.2">
      <c r="A5299" s="28">
        <v>5298</v>
      </c>
      <c r="B5299" s="28" t="e">
        <f>interpola(#REF!,CURVA!$B$6:$B$20,CURVA!$G$6:$G$20)</f>
        <v>#VALUE!</v>
      </c>
      <c r="C5299" s="29" t="e">
        <f t="shared" si="82"/>
        <v>#VALUE!</v>
      </c>
      <c r="E5299" t="e">
        <f>cubic_spline(CURVA!$B$6:$B$20,CURVA!$G$6:$G$20,#REF!)</f>
        <v>#VALUE!</v>
      </c>
    </row>
    <row r="5300" spans="1:5" x14ac:dyDescent="0.2">
      <c r="A5300" s="28">
        <v>5299</v>
      </c>
      <c r="B5300" s="28" t="e">
        <f>interpola(#REF!,CURVA!$B$6:$B$20,CURVA!$G$6:$G$20)</f>
        <v>#VALUE!</v>
      </c>
      <c r="C5300" s="29" t="e">
        <f t="shared" si="82"/>
        <v>#VALUE!</v>
      </c>
      <c r="E5300" t="e">
        <f>cubic_spline(CURVA!$B$6:$B$20,CURVA!$G$6:$G$20,#REF!)</f>
        <v>#VALUE!</v>
      </c>
    </row>
    <row r="5301" spans="1:5" x14ac:dyDescent="0.2">
      <c r="A5301" s="28">
        <v>5300</v>
      </c>
      <c r="B5301" s="28" t="e">
        <f>interpola(#REF!,CURVA!$B$6:$B$20,CURVA!$G$6:$G$20)</f>
        <v>#VALUE!</v>
      </c>
      <c r="C5301" s="29" t="e">
        <f t="shared" si="82"/>
        <v>#VALUE!</v>
      </c>
      <c r="E5301" t="e">
        <f>cubic_spline(CURVA!$B$6:$B$20,CURVA!$G$6:$G$20,#REF!)</f>
        <v>#VALUE!</v>
      </c>
    </row>
    <row r="5302" spans="1:5" x14ac:dyDescent="0.2">
      <c r="A5302" s="28">
        <v>5301</v>
      </c>
      <c r="B5302" s="28" t="e">
        <f>interpola(#REF!,CURVA!$B$6:$B$20,CURVA!$G$6:$G$20)</f>
        <v>#VALUE!</v>
      </c>
      <c r="C5302" s="29" t="e">
        <f t="shared" si="82"/>
        <v>#VALUE!</v>
      </c>
      <c r="E5302" t="e">
        <f>cubic_spline(CURVA!$B$6:$B$20,CURVA!$G$6:$G$20,#REF!)</f>
        <v>#VALUE!</v>
      </c>
    </row>
    <row r="5303" spans="1:5" x14ac:dyDescent="0.2">
      <c r="A5303" s="28">
        <v>5302</v>
      </c>
      <c r="B5303" s="28" t="e">
        <f>interpola(#REF!,CURVA!$B$6:$B$20,CURVA!$G$6:$G$20)</f>
        <v>#VALUE!</v>
      </c>
      <c r="C5303" s="29" t="e">
        <f t="shared" si="82"/>
        <v>#VALUE!</v>
      </c>
      <c r="E5303" t="e">
        <f>cubic_spline(CURVA!$B$6:$B$20,CURVA!$G$6:$G$20,#REF!)</f>
        <v>#VALUE!</v>
      </c>
    </row>
    <row r="5304" spans="1:5" x14ac:dyDescent="0.2">
      <c r="A5304" s="28">
        <v>5303</v>
      </c>
      <c r="B5304" s="28" t="e">
        <f>interpola(#REF!,CURVA!$B$6:$B$20,CURVA!$G$6:$G$20)</f>
        <v>#VALUE!</v>
      </c>
      <c r="C5304" s="29" t="e">
        <f t="shared" si="82"/>
        <v>#VALUE!</v>
      </c>
      <c r="E5304" t="e">
        <f>cubic_spline(CURVA!$B$6:$B$20,CURVA!$G$6:$G$20,#REF!)</f>
        <v>#VALUE!</v>
      </c>
    </row>
    <row r="5305" spans="1:5" x14ac:dyDescent="0.2">
      <c r="A5305" s="28">
        <v>5304</v>
      </c>
      <c r="B5305" s="28" t="e">
        <f>interpola(#REF!,CURVA!$B$6:$B$20,CURVA!$G$6:$G$20)</f>
        <v>#VALUE!</v>
      </c>
      <c r="C5305" s="29" t="e">
        <f t="shared" si="82"/>
        <v>#VALUE!</v>
      </c>
      <c r="E5305" t="e">
        <f>cubic_spline(CURVA!$B$6:$B$20,CURVA!$G$6:$G$20,#REF!)</f>
        <v>#VALUE!</v>
      </c>
    </row>
    <row r="5306" spans="1:5" x14ac:dyDescent="0.2">
      <c r="A5306" s="28">
        <v>5305</v>
      </c>
      <c r="B5306" s="28" t="e">
        <f>interpola(#REF!,CURVA!$B$6:$B$20,CURVA!$G$6:$G$20)</f>
        <v>#VALUE!</v>
      </c>
      <c r="C5306" s="29" t="e">
        <f t="shared" si="82"/>
        <v>#VALUE!</v>
      </c>
      <c r="E5306" t="e">
        <f>cubic_spline(CURVA!$B$6:$B$20,CURVA!$G$6:$G$20,#REF!)</f>
        <v>#VALUE!</v>
      </c>
    </row>
    <row r="5307" spans="1:5" x14ac:dyDescent="0.2">
      <c r="A5307" s="28">
        <v>5306</v>
      </c>
      <c r="B5307" s="28" t="e">
        <f>interpola(#REF!,CURVA!$B$6:$B$20,CURVA!$G$6:$G$20)</f>
        <v>#VALUE!</v>
      </c>
      <c r="C5307" s="29" t="e">
        <f t="shared" si="82"/>
        <v>#VALUE!</v>
      </c>
      <c r="E5307" t="e">
        <f>cubic_spline(CURVA!$B$6:$B$20,CURVA!$G$6:$G$20,#REF!)</f>
        <v>#VALUE!</v>
      </c>
    </row>
    <row r="5308" spans="1:5" x14ac:dyDescent="0.2">
      <c r="A5308" s="28">
        <v>5307</v>
      </c>
      <c r="B5308" s="28" t="e">
        <f>interpola(#REF!,CURVA!$B$6:$B$20,CURVA!$G$6:$G$20)</f>
        <v>#VALUE!</v>
      </c>
      <c r="C5308" s="29" t="e">
        <f t="shared" si="82"/>
        <v>#VALUE!</v>
      </c>
      <c r="E5308" t="e">
        <f>cubic_spline(CURVA!$B$6:$B$20,CURVA!$G$6:$G$20,#REF!)</f>
        <v>#VALUE!</v>
      </c>
    </row>
    <row r="5309" spans="1:5" x14ac:dyDescent="0.2">
      <c r="A5309" s="28">
        <v>5308</v>
      </c>
      <c r="B5309" s="28" t="e">
        <f>interpola(#REF!,CURVA!$B$6:$B$20,CURVA!$G$6:$G$20)</f>
        <v>#VALUE!</v>
      </c>
      <c r="C5309" s="29" t="e">
        <f t="shared" si="82"/>
        <v>#VALUE!</v>
      </c>
      <c r="E5309" t="e">
        <f>cubic_spline(CURVA!$B$6:$B$20,CURVA!$G$6:$G$20,#REF!)</f>
        <v>#VALUE!</v>
      </c>
    </row>
    <row r="5310" spans="1:5" x14ac:dyDescent="0.2">
      <c r="A5310" s="28">
        <v>5309</v>
      </c>
      <c r="B5310" s="28" t="e">
        <f>interpola(#REF!,CURVA!$B$6:$B$20,CURVA!$G$6:$G$20)</f>
        <v>#VALUE!</v>
      </c>
      <c r="C5310" s="29" t="e">
        <f t="shared" si="82"/>
        <v>#VALUE!</v>
      </c>
      <c r="E5310" t="e">
        <f>cubic_spline(CURVA!$B$6:$B$20,CURVA!$G$6:$G$20,#REF!)</f>
        <v>#VALUE!</v>
      </c>
    </row>
    <row r="5311" spans="1:5" x14ac:dyDescent="0.2">
      <c r="A5311" s="28">
        <v>5310</v>
      </c>
      <c r="B5311" s="28" t="e">
        <f>interpola(#REF!,CURVA!$B$6:$B$20,CURVA!$G$6:$G$20)</f>
        <v>#VALUE!</v>
      </c>
      <c r="C5311" s="29" t="e">
        <f t="shared" si="82"/>
        <v>#VALUE!</v>
      </c>
      <c r="E5311" t="e">
        <f>cubic_spline(CURVA!$B$6:$B$20,CURVA!$G$6:$G$20,#REF!)</f>
        <v>#VALUE!</v>
      </c>
    </row>
    <row r="5312" spans="1:5" x14ac:dyDescent="0.2">
      <c r="A5312" s="28">
        <v>5311</v>
      </c>
      <c r="B5312" s="28" t="e">
        <f>interpola(#REF!,CURVA!$B$6:$B$20,CURVA!$G$6:$G$20)</f>
        <v>#VALUE!</v>
      </c>
      <c r="C5312" s="29" t="e">
        <f t="shared" si="82"/>
        <v>#VALUE!</v>
      </c>
      <c r="E5312" t="e">
        <f>cubic_spline(CURVA!$B$6:$B$20,CURVA!$G$6:$G$20,#REF!)</f>
        <v>#VALUE!</v>
      </c>
    </row>
    <row r="5313" spans="1:5" x14ac:dyDescent="0.2">
      <c r="A5313" s="28">
        <v>5312</v>
      </c>
      <c r="B5313" s="28" t="e">
        <f>interpola(#REF!,CURVA!$B$6:$B$20,CURVA!$G$6:$G$20)</f>
        <v>#VALUE!</v>
      </c>
      <c r="C5313" s="29" t="e">
        <f t="shared" si="82"/>
        <v>#VALUE!</v>
      </c>
      <c r="E5313" t="e">
        <f>cubic_spline(CURVA!$B$6:$B$20,CURVA!$G$6:$G$20,#REF!)</f>
        <v>#VALUE!</v>
      </c>
    </row>
    <row r="5314" spans="1:5" x14ac:dyDescent="0.2">
      <c r="A5314" s="28">
        <v>5313</v>
      </c>
      <c r="B5314" s="28" t="e">
        <f>interpola(#REF!,CURVA!$B$6:$B$20,CURVA!$G$6:$G$20)</f>
        <v>#VALUE!</v>
      </c>
      <c r="C5314" s="29" t="e">
        <f t="shared" ref="C5314:C5377" si="83">(EXP(B5314*A5314/360)-1)*360/A5314</f>
        <v>#VALUE!</v>
      </c>
      <c r="E5314" t="e">
        <f>cubic_spline(CURVA!$B$6:$B$20,CURVA!$G$6:$G$20,#REF!)</f>
        <v>#VALUE!</v>
      </c>
    </row>
    <row r="5315" spans="1:5" x14ac:dyDescent="0.2">
      <c r="A5315" s="28">
        <v>5314</v>
      </c>
      <c r="B5315" s="28" t="e">
        <f>interpola(#REF!,CURVA!$B$6:$B$20,CURVA!$G$6:$G$20)</f>
        <v>#VALUE!</v>
      </c>
      <c r="C5315" s="29" t="e">
        <f t="shared" si="83"/>
        <v>#VALUE!</v>
      </c>
      <c r="E5315" t="e">
        <f>cubic_spline(CURVA!$B$6:$B$20,CURVA!$G$6:$G$20,#REF!)</f>
        <v>#VALUE!</v>
      </c>
    </row>
    <row r="5316" spans="1:5" x14ac:dyDescent="0.2">
      <c r="A5316" s="28">
        <v>5315</v>
      </c>
      <c r="B5316" s="28" t="e">
        <f>interpola(#REF!,CURVA!$B$6:$B$20,CURVA!$G$6:$G$20)</f>
        <v>#VALUE!</v>
      </c>
      <c r="C5316" s="29" t="e">
        <f t="shared" si="83"/>
        <v>#VALUE!</v>
      </c>
      <c r="E5316" t="e">
        <f>cubic_spline(CURVA!$B$6:$B$20,CURVA!$G$6:$G$20,#REF!)</f>
        <v>#VALUE!</v>
      </c>
    </row>
    <row r="5317" spans="1:5" x14ac:dyDescent="0.2">
      <c r="A5317" s="28">
        <v>5316</v>
      </c>
      <c r="B5317" s="28" t="e">
        <f>interpola(#REF!,CURVA!$B$6:$B$20,CURVA!$G$6:$G$20)</f>
        <v>#VALUE!</v>
      </c>
      <c r="C5317" s="29" t="e">
        <f t="shared" si="83"/>
        <v>#VALUE!</v>
      </c>
      <c r="E5317" t="e">
        <f>cubic_spline(CURVA!$B$6:$B$20,CURVA!$G$6:$G$20,#REF!)</f>
        <v>#VALUE!</v>
      </c>
    </row>
    <row r="5318" spans="1:5" x14ac:dyDescent="0.2">
      <c r="A5318" s="28">
        <v>5317</v>
      </c>
      <c r="B5318" s="28" t="e">
        <f>interpola(#REF!,CURVA!$B$6:$B$20,CURVA!$G$6:$G$20)</f>
        <v>#VALUE!</v>
      </c>
      <c r="C5318" s="29" t="e">
        <f t="shared" si="83"/>
        <v>#VALUE!</v>
      </c>
      <c r="E5318" t="e">
        <f>cubic_spline(CURVA!$B$6:$B$20,CURVA!$G$6:$G$20,#REF!)</f>
        <v>#VALUE!</v>
      </c>
    </row>
    <row r="5319" spans="1:5" x14ac:dyDescent="0.2">
      <c r="A5319" s="28">
        <v>5318</v>
      </c>
      <c r="B5319" s="28" t="e">
        <f>interpola(#REF!,CURVA!$B$6:$B$20,CURVA!$G$6:$G$20)</f>
        <v>#VALUE!</v>
      </c>
      <c r="C5319" s="29" t="e">
        <f t="shared" si="83"/>
        <v>#VALUE!</v>
      </c>
      <c r="E5319" t="e">
        <f>cubic_spline(CURVA!$B$6:$B$20,CURVA!$G$6:$G$20,#REF!)</f>
        <v>#VALUE!</v>
      </c>
    </row>
    <row r="5320" spans="1:5" x14ac:dyDescent="0.2">
      <c r="A5320" s="28">
        <v>5319</v>
      </c>
      <c r="B5320" s="28" t="e">
        <f>interpola(#REF!,CURVA!$B$6:$B$20,CURVA!$G$6:$G$20)</f>
        <v>#VALUE!</v>
      </c>
      <c r="C5320" s="29" t="e">
        <f t="shared" si="83"/>
        <v>#VALUE!</v>
      </c>
      <c r="E5320" t="e">
        <f>cubic_spline(CURVA!$B$6:$B$20,CURVA!$G$6:$G$20,#REF!)</f>
        <v>#VALUE!</v>
      </c>
    </row>
    <row r="5321" spans="1:5" x14ac:dyDescent="0.2">
      <c r="A5321" s="28">
        <v>5320</v>
      </c>
      <c r="B5321" s="28" t="e">
        <f>interpola(#REF!,CURVA!$B$6:$B$20,CURVA!$G$6:$G$20)</f>
        <v>#VALUE!</v>
      </c>
      <c r="C5321" s="29" t="e">
        <f t="shared" si="83"/>
        <v>#VALUE!</v>
      </c>
      <c r="E5321" t="e">
        <f>cubic_spline(CURVA!$B$6:$B$20,CURVA!$G$6:$G$20,#REF!)</f>
        <v>#VALUE!</v>
      </c>
    </row>
    <row r="5322" spans="1:5" x14ac:dyDescent="0.2">
      <c r="A5322" s="28">
        <v>5321</v>
      </c>
      <c r="B5322" s="28" t="e">
        <f>interpola(#REF!,CURVA!$B$6:$B$20,CURVA!$G$6:$G$20)</f>
        <v>#VALUE!</v>
      </c>
      <c r="C5322" s="29" t="e">
        <f t="shared" si="83"/>
        <v>#VALUE!</v>
      </c>
      <c r="E5322" t="e">
        <f>cubic_spline(CURVA!$B$6:$B$20,CURVA!$G$6:$G$20,#REF!)</f>
        <v>#VALUE!</v>
      </c>
    </row>
    <row r="5323" spans="1:5" x14ac:dyDescent="0.2">
      <c r="A5323" s="28">
        <v>5322</v>
      </c>
      <c r="B5323" s="28" t="e">
        <f>interpola(#REF!,CURVA!$B$6:$B$20,CURVA!$G$6:$G$20)</f>
        <v>#VALUE!</v>
      </c>
      <c r="C5323" s="29" t="e">
        <f t="shared" si="83"/>
        <v>#VALUE!</v>
      </c>
      <c r="E5323" t="e">
        <f>cubic_spline(CURVA!$B$6:$B$20,CURVA!$G$6:$G$20,#REF!)</f>
        <v>#VALUE!</v>
      </c>
    </row>
    <row r="5324" spans="1:5" x14ac:dyDescent="0.2">
      <c r="A5324" s="28">
        <v>5323</v>
      </c>
      <c r="B5324" s="28" t="e">
        <f>interpola(#REF!,CURVA!$B$6:$B$20,CURVA!$G$6:$G$20)</f>
        <v>#VALUE!</v>
      </c>
      <c r="C5324" s="29" t="e">
        <f t="shared" si="83"/>
        <v>#VALUE!</v>
      </c>
      <c r="E5324" t="e">
        <f>cubic_spline(CURVA!$B$6:$B$20,CURVA!$G$6:$G$20,#REF!)</f>
        <v>#VALUE!</v>
      </c>
    </row>
    <row r="5325" spans="1:5" x14ac:dyDescent="0.2">
      <c r="A5325" s="28">
        <v>5324</v>
      </c>
      <c r="B5325" s="28" t="e">
        <f>interpola(#REF!,CURVA!$B$6:$B$20,CURVA!$G$6:$G$20)</f>
        <v>#VALUE!</v>
      </c>
      <c r="C5325" s="29" t="e">
        <f t="shared" si="83"/>
        <v>#VALUE!</v>
      </c>
      <c r="E5325" t="e">
        <f>cubic_spline(CURVA!$B$6:$B$20,CURVA!$G$6:$G$20,#REF!)</f>
        <v>#VALUE!</v>
      </c>
    </row>
    <row r="5326" spans="1:5" x14ac:dyDescent="0.2">
      <c r="A5326" s="28">
        <v>5325</v>
      </c>
      <c r="B5326" s="28" t="e">
        <f>interpola(#REF!,CURVA!$B$6:$B$20,CURVA!$G$6:$G$20)</f>
        <v>#VALUE!</v>
      </c>
      <c r="C5326" s="29" t="e">
        <f t="shared" si="83"/>
        <v>#VALUE!</v>
      </c>
      <c r="E5326" t="e">
        <f>cubic_spline(CURVA!$B$6:$B$20,CURVA!$G$6:$G$20,#REF!)</f>
        <v>#VALUE!</v>
      </c>
    </row>
    <row r="5327" spans="1:5" x14ac:dyDescent="0.2">
      <c r="A5327" s="28">
        <v>5326</v>
      </c>
      <c r="B5327" s="28" t="e">
        <f>interpola(#REF!,CURVA!$B$6:$B$20,CURVA!$G$6:$G$20)</f>
        <v>#VALUE!</v>
      </c>
      <c r="C5327" s="29" t="e">
        <f t="shared" si="83"/>
        <v>#VALUE!</v>
      </c>
      <c r="E5327" t="e">
        <f>cubic_spline(CURVA!$B$6:$B$20,CURVA!$G$6:$G$20,#REF!)</f>
        <v>#VALUE!</v>
      </c>
    </row>
    <row r="5328" spans="1:5" x14ac:dyDescent="0.2">
      <c r="A5328" s="28">
        <v>5327</v>
      </c>
      <c r="B5328" s="28" t="e">
        <f>interpola(#REF!,CURVA!$B$6:$B$20,CURVA!$G$6:$G$20)</f>
        <v>#VALUE!</v>
      </c>
      <c r="C5328" s="29" t="e">
        <f t="shared" si="83"/>
        <v>#VALUE!</v>
      </c>
      <c r="E5328" t="e">
        <f>cubic_spline(CURVA!$B$6:$B$20,CURVA!$G$6:$G$20,#REF!)</f>
        <v>#VALUE!</v>
      </c>
    </row>
    <row r="5329" spans="1:5" x14ac:dyDescent="0.2">
      <c r="A5329" s="28">
        <v>5328</v>
      </c>
      <c r="B5329" s="28" t="e">
        <f>interpola(#REF!,CURVA!$B$6:$B$20,CURVA!$G$6:$G$20)</f>
        <v>#VALUE!</v>
      </c>
      <c r="C5329" s="29" t="e">
        <f t="shared" si="83"/>
        <v>#VALUE!</v>
      </c>
      <c r="E5329" t="e">
        <f>cubic_spline(CURVA!$B$6:$B$20,CURVA!$G$6:$G$20,#REF!)</f>
        <v>#VALUE!</v>
      </c>
    </row>
    <row r="5330" spans="1:5" x14ac:dyDescent="0.2">
      <c r="A5330" s="28">
        <v>5329</v>
      </c>
      <c r="B5330" s="28" t="e">
        <f>interpola(#REF!,CURVA!$B$6:$B$20,CURVA!$G$6:$G$20)</f>
        <v>#VALUE!</v>
      </c>
      <c r="C5330" s="29" t="e">
        <f t="shared" si="83"/>
        <v>#VALUE!</v>
      </c>
      <c r="E5330" t="e">
        <f>cubic_spline(CURVA!$B$6:$B$20,CURVA!$G$6:$G$20,#REF!)</f>
        <v>#VALUE!</v>
      </c>
    </row>
    <row r="5331" spans="1:5" x14ac:dyDescent="0.2">
      <c r="A5331" s="28">
        <v>5330</v>
      </c>
      <c r="B5331" s="28" t="e">
        <f>interpola(#REF!,CURVA!$B$6:$B$20,CURVA!$G$6:$G$20)</f>
        <v>#VALUE!</v>
      </c>
      <c r="C5331" s="29" t="e">
        <f t="shared" si="83"/>
        <v>#VALUE!</v>
      </c>
      <c r="E5331" t="e">
        <f>cubic_spline(CURVA!$B$6:$B$20,CURVA!$G$6:$G$20,#REF!)</f>
        <v>#VALUE!</v>
      </c>
    </row>
    <row r="5332" spans="1:5" x14ac:dyDescent="0.2">
      <c r="A5332" s="28">
        <v>5331</v>
      </c>
      <c r="B5332" s="28" t="e">
        <f>interpola(#REF!,CURVA!$B$6:$B$20,CURVA!$G$6:$G$20)</f>
        <v>#VALUE!</v>
      </c>
      <c r="C5332" s="29" t="e">
        <f t="shared" si="83"/>
        <v>#VALUE!</v>
      </c>
      <c r="E5332" t="e">
        <f>cubic_spline(CURVA!$B$6:$B$20,CURVA!$G$6:$G$20,#REF!)</f>
        <v>#VALUE!</v>
      </c>
    </row>
    <row r="5333" spans="1:5" x14ac:dyDescent="0.2">
      <c r="A5333" s="28">
        <v>5332</v>
      </c>
      <c r="B5333" s="28" t="e">
        <f>interpola(#REF!,CURVA!$B$6:$B$20,CURVA!$G$6:$G$20)</f>
        <v>#VALUE!</v>
      </c>
      <c r="C5333" s="29" t="e">
        <f t="shared" si="83"/>
        <v>#VALUE!</v>
      </c>
      <c r="E5333" t="e">
        <f>cubic_spline(CURVA!$B$6:$B$20,CURVA!$G$6:$G$20,#REF!)</f>
        <v>#VALUE!</v>
      </c>
    </row>
    <row r="5334" spans="1:5" x14ac:dyDescent="0.2">
      <c r="A5334" s="28">
        <v>5333</v>
      </c>
      <c r="B5334" s="28" t="e">
        <f>interpola(#REF!,CURVA!$B$6:$B$20,CURVA!$G$6:$G$20)</f>
        <v>#VALUE!</v>
      </c>
      <c r="C5334" s="29" t="e">
        <f t="shared" si="83"/>
        <v>#VALUE!</v>
      </c>
      <c r="E5334" t="e">
        <f>cubic_spline(CURVA!$B$6:$B$20,CURVA!$G$6:$G$20,#REF!)</f>
        <v>#VALUE!</v>
      </c>
    </row>
    <row r="5335" spans="1:5" x14ac:dyDescent="0.2">
      <c r="A5335" s="28">
        <v>5334</v>
      </c>
      <c r="B5335" s="28" t="e">
        <f>interpola(#REF!,CURVA!$B$6:$B$20,CURVA!$G$6:$G$20)</f>
        <v>#VALUE!</v>
      </c>
      <c r="C5335" s="29" t="e">
        <f t="shared" si="83"/>
        <v>#VALUE!</v>
      </c>
      <c r="E5335" t="e">
        <f>cubic_spline(CURVA!$B$6:$B$20,CURVA!$G$6:$G$20,#REF!)</f>
        <v>#VALUE!</v>
      </c>
    </row>
    <row r="5336" spans="1:5" x14ac:dyDescent="0.2">
      <c r="A5336" s="28">
        <v>5335</v>
      </c>
      <c r="B5336" s="28" t="e">
        <f>interpola(#REF!,CURVA!$B$6:$B$20,CURVA!$G$6:$G$20)</f>
        <v>#VALUE!</v>
      </c>
      <c r="C5336" s="29" t="e">
        <f t="shared" si="83"/>
        <v>#VALUE!</v>
      </c>
      <c r="E5336" t="e">
        <f>cubic_spline(CURVA!$B$6:$B$20,CURVA!$G$6:$G$20,#REF!)</f>
        <v>#VALUE!</v>
      </c>
    </row>
    <row r="5337" spans="1:5" x14ac:dyDescent="0.2">
      <c r="A5337" s="28">
        <v>5336</v>
      </c>
      <c r="B5337" s="28" t="e">
        <f>interpola(#REF!,CURVA!$B$6:$B$20,CURVA!$G$6:$G$20)</f>
        <v>#VALUE!</v>
      </c>
      <c r="C5337" s="29" t="e">
        <f t="shared" si="83"/>
        <v>#VALUE!</v>
      </c>
      <c r="E5337" t="e">
        <f>cubic_spline(CURVA!$B$6:$B$20,CURVA!$G$6:$G$20,#REF!)</f>
        <v>#VALUE!</v>
      </c>
    </row>
    <row r="5338" spans="1:5" x14ac:dyDescent="0.2">
      <c r="A5338" s="28">
        <v>5337</v>
      </c>
      <c r="B5338" s="28" t="e">
        <f>interpola(#REF!,CURVA!$B$6:$B$20,CURVA!$G$6:$G$20)</f>
        <v>#VALUE!</v>
      </c>
      <c r="C5338" s="29" t="e">
        <f t="shared" si="83"/>
        <v>#VALUE!</v>
      </c>
      <c r="E5338" t="e">
        <f>cubic_spline(CURVA!$B$6:$B$20,CURVA!$G$6:$G$20,#REF!)</f>
        <v>#VALUE!</v>
      </c>
    </row>
    <row r="5339" spans="1:5" x14ac:dyDescent="0.2">
      <c r="A5339" s="28">
        <v>5338</v>
      </c>
      <c r="B5339" s="28" t="e">
        <f>interpola(#REF!,CURVA!$B$6:$B$20,CURVA!$G$6:$G$20)</f>
        <v>#VALUE!</v>
      </c>
      <c r="C5339" s="29" t="e">
        <f t="shared" si="83"/>
        <v>#VALUE!</v>
      </c>
      <c r="E5339" t="e">
        <f>cubic_spline(CURVA!$B$6:$B$20,CURVA!$G$6:$G$20,#REF!)</f>
        <v>#VALUE!</v>
      </c>
    </row>
    <row r="5340" spans="1:5" x14ac:dyDescent="0.2">
      <c r="A5340" s="28">
        <v>5339</v>
      </c>
      <c r="B5340" s="28" t="e">
        <f>interpola(#REF!,CURVA!$B$6:$B$20,CURVA!$G$6:$G$20)</f>
        <v>#VALUE!</v>
      </c>
      <c r="C5340" s="29" t="e">
        <f t="shared" si="83"/>
        <v>#VALUE!</v>
      </c>
      <c r="E5340" t="e">
        <f>cubic_spline(CURVA!$B$6:$B$20,CURVA!$G$6:$G$20,#REF!)</f>
        <v>#VALUE!</v>
      </c>
    </row>
    <row r="5341" spans="1:5" x14ac:dyDescent="0.2">
      <c r="A5341" s="28">
        <v>5340</v>
      </c>
      <c r="B5341" s="28" t="e">
        <f>interpola(#REF!,CURVA!$B$6:$B$20,CURVA!$G$6:$G$20)</f>
        <v>#VALUE!</v>
      </c>
      <c r="C5341" s="29" t="e">
        <f t="shared" si="83"/>
        <v>#VALUE!</v>
      </c>
      <c r="E5341" t="e">
        <f>cubic_spline(CURVA!$B$6:$B$20,CURVA!$G$6:$G$20,#REF!)</f>
        <v>#VALUE!</v>
      </c>
    </row>
    <row r="5342" spans="1:5" x14ac:dyDescent="0.2">
      <c r="A5342" s="28">
        <v>5341</v>
      </c>
      <c r="B5342" s="28" t="e">
        <f>interpola(#REF!,CURVA!$B$6:$B$20,CURVA!$G$6:$G$20)</f>
        <v>#VALUE!</v>
      </c>
      <c r="C5342" s="29" t="e">
        <f t="shared" si="83"/>
        <v>#VALUE!</v>
      </c>
      <c r="E5342" t="e">
        <f>cubic_spline(CURVA!$B$6:$B$20,CURVA!$G$6:$G$20,#REF!)</f>
        <v>#VALUE!</v>
      </c>
    </row>
    <row r="5343" spans="1:5" x14ac:dyDescent="0.2">
      <c r="A5343" s="28">
        <v>5342</v>
      </c>
      <c r="B5343" s="28" t="e">
        <f>interpola(#REF!,CURVA!$B$6:$B$20,CURVA!$G$6:$G$20)</f>
        <v>#VALUE!</v>
      </c>
      <c r="C5343" s="29" t="e">
        <f t="shared" si="83"/>
        <v>#VALUE!</v>
      </c>
      <c r="E5343" t="e">
        <f>cubic_spline(CURVA!$B$6:$B$20,CURVA!$G$6:$G$20,#REF!)</f>
        <v>#VALUE!</v>
      </c>
    </row>
    <row r="5344" spans="1:5" x14ac:dyDescent="0.2">
      <c r="A5344" s="28">
        <v>5343</v>
      </c>
      <c r="B5344" s="28" t="e">
        <f>interpola(#REF!,CURVA!$B$6:$B$20,CURVA!$G$6:$G$20)</f>
        <v>#VALUE!</v>
      </c>
      <c r="C5344" s="29" t="e">
        <f t="shared" si="83"/>
        <v>#VALUE!</v>
      </c>
      <c r="E5344" t="e">
        <f>cubic_spline(CURVA!$B$6:$B$20,CURVA!$G$6:$G$20,#REF!)</f>
        <v>#VALUE!</v>
      </c>
    </row>
    <row r="5345" spans="1:5" x14ac:dyDescent="0.2">
      <c r="A5345" s="28">
        <v>5344</v>
      </c>
      <c r="B5345" s="28" t="e">
        <f>interpola(#REF!,CURVA!$B$6:$B$20,CURVA!$G$6:$G$20)</f>
        <v>#VALUE!</v>
      </c>
      <c r="C5345" s="29" t="e">
        <f t="shared" si="83"/>
        <v>#VALUE!</v>
      </c>
      <c r="E5345" t="e">
        <f>cubic_spline(CURVA!$B$6:$B$20,CURVA!$G$6:$G$20,#REF!)</f>
        <v>#VALUE!</v>
      </c>
    </row>
    <row r="5346" spans="1:5" x14ac:dyDescent="0.2">
      <c r="A5346" s="28">
        <v>5345</v>
      </c>
      <c r="B5346" s="28" t="e">
        <f>interpola(#REF!,CURVA!$B$6:$B$20,CURVA!$G$6:$G$20)</f>
        <v>#VALUE!</v>
      </c>
      <c r="C5346" s="29" t="e">
        <f t="shared" si="83"/>
        <v>#VALUE!</v>
      </c>
      <c r="E5346" t="e">
        <f>cubic_spline(CURVA!$B$6:$B$20,CURVA!$G$6:$G$20,#REF!)</f>
        <v>#VALUE!</v>
      </c>
    </row>
    <row r="5347" spans="1:5" x14ac:dyDescent="0.2">
      <c r="A5347" s="28">
        <v>5346</v>
      </c>
      <c r="B5347" s="28" t="e">
        <f>interpola(#REF!,CURVA!$B$6:$B$20,CURVA!$G$6:$G$20)</f>
        <v>#VALUE!</v>
      </c>
      <c r="C5347" s="29" t="e">
        <f t="shared" si="83"/>
        <v>#VALUE!</v>
      </c>
      <c r="E5347" t="e">
        <f>cubic_spline(CURVA!$B$6:$B$20,CURVA!$G$6:$G$20,#REF!)</f>
        <v>#VALUE!</v>
      </c>
    </row>
    <row r="5348" spans="1:5" x14ac:dyDescent="0.2">
      <c r="A5348" s="28">
        <v>5347</v>
      </c>
      <c r="B5348" s="28" t="e">
        <f>interpola(#REF!,CURVA!$B$6:$B$20,CURVA!$G$6:$G$20)</f>
        <v>#VALUE!</v>
      </c>
      <c r="C5348" s="29" t="e">
        <f t="shared" si="83"/>
        <v>#VALUE!</v>
      </c>
      <c r="E5348" t="e">
        <f>cubic_spline(CURVA!$B$6:$B$20,CURVA!$G$6:$G$20,#REF!)</f>
        <v>#VALUE!</v>
      </c>
    </row>
    <row r="5349" spans="1:5" x14ac:dyDescent="0.2">
      <c r="A5349" s="28">
        <v>5348</v>
      </c>
      <c r="B5349" s="28" t="e">
        <f>interpola(#REF!,CURVA!$B$6:$B$20,CURVA!$G$6:$G$20)</f>
        <v>#VALUE!</v>
      </c>
      <c r="C5349" s="29" t="e">
        <f t="shared" si="83"/>
        <v>#VALUE!</v>
      </c>
      <c r="E5349" t="e">
        <f>cubic_spline(CURVA!$B$6:$B$20,CURVA!$G$6:$G$20,#REF!)</f>
        <v>#VALUE!</v>
      </c>
    </row>
    <row r="5350" spans="1:5" x14ac:dyDescent="0.2">
      <c r="A5350" s="28">
        <v>5349</v>
      </c>
      <c r="B5350" s="28" t="e">
        <f>interpola(#REF!,CURVA!$B$6:$B$20,CURVA!$G$6:$G$20)</f>
        <v>#VALUE!</v>
      </c>
      <c r="C5350" s="29" t="e">
        <f t="shared" si="83"/>
        <v>#VALUE!</v>
      </c>
      <c r="E5350" t="e">
        <f>cubic_spline(CURVA!$B$6:$B$20,CURVA!$G$6:$G$20,#REF!)</f>
        <v>#VALUE!</v>
      </c>
    </row>
    <row r="5351" spans="1:5" x14ac:dyDescent="0.2">
      <c r="A5351" s="28">
        <v>5350</v>
      </c>
      <c r="B5351" s="28" t="e">
        <f>interpola(#REF!,CURVA!$B$6:$B$20,CURVA!$G$6:$G$20)</f>
        <v>#VALUE!</v>
      </c>
      <c r="C5351" s="29" t="e">
        <f t="shared" si="83"/>
        <v>#VALUE!</v>
      </c>
      <c r="E5351" t="e">
        <f>cubic_spline(CURVA!$B$6:$B$20,CURVA!$G$6:$G$20,#REF!)</f>
        <v>#VALUE!</v>
      </c>
    </row>
    <row r="5352" spans="1:5" x14ac:dyDescent="0.2">
      <c r="A5352" s="28">
        <v>5351</v>
      </c>
      <c r="B5352" s="28" t="e">
        <f>interpola(#REF!,CURVA!$B$6:$B$20,CURVA!$G$6:$G$20)</f>
        <v>#VALUE!</v>
      </c>
      <c r="C5352" s="29" t="e">
        <f t="shared" si="83"/>
        <v>#VALUE!</v>
      </c>
      <c r="E5352" t="e">
        <f>cubic_spline(CURVA!$B$6:$B$20,CURVA!$G$6:$G$20,#REF!)</f>
        <v>#VALUE!</v>
      </c>
    </row>
    <row r="5353" spans="1:5" x14ac:dyDescent="0.2">
      <c r="A5353" s="28">
        <v>5352</v>
      </c>
      <c r="B5353" s="28" t="e">
        <f>interpola(#REF!,CURVA!$B$6:$B$20,CURVA!$G$6:$G$20)</f>
        <v>#VALUE!</v>
      </c>
      <c r="C5353" s="29" t="e">
        <f t="shared" si="83"/>
        <v>#VALUE!</v>
      </c>
      <c r="E5353" t="e">
        <f>cubic_spline(CURVA!$B$6:$B$20,CURVA!$G$6:$G$20,#REF!)</f>
        <v>#VALUE!</v>
      </c>
    </row>
    <row r="5354" spans="1:5" x14ac:dyDescent="0.2">
      <c r="A5354" s="28">
        <v>5353</v>
      </c>
      <c r="B5354" s="28" t="e">
        <f>interpola(#REF!,CURVA!$B$6:$B$20,CURVA!$G$6:$G$20)</f>
        <v>#VALUE!</v>
      </c>
      <c r="C5354" s="29" t="e">
        <f t="shared" si="83"/>
        <v>#VALUE!</v>
      </c>
      <c r="E5354" t="e">
        <f>cubic_spline(CURVA!$B$6:$B$20,CURVA!$G$6:$G$20,#REF!)</f>
        <v>#VALUE!</v>
      </c>
    </row>
    <row r="5355" spans="1:5" x14ac:dyDescent="0.2">
      <c r="A5355" s="28">
        <v>5354</v>
      </c>
      <c r="B5355" s="28" t="e">
        <f>interpola(#REF!,CURVA!$B$6:$B$20,CURVA!$G$6:$G$20)</f>
        <v>#VALUE!</v>
      </c>
      <c r="C5355" s="29" t="e">
        <f t="shared" si="83"/>
        <v>#VALUE!</v>
      </c>
      <c r="E5355" t="e">
        <f>cubic_spline(CURVA!$B$6:$B$20,CURVA!$G$6:$G$20,#REF!)</f>
        <v>#VALUE!</v>
      </c>
    </row>
    <row r="5356" spans="1:5" x14ac:dyDescent="0.2">
      <c r="A5356" s="28">
        <v>5355</v>
      </c>
      <c r="B5356" s="28" t="e">
        <f>interpola(#REF!,CURVA!$B$6:$B$20,CURVA!$G$6:$G$20)</f>
        <v>#VALUE!</v>
      </c>
      <c r="C5356" s="29" t="e">
        <f t="shared" si="83"/>
        <v>#VALUE!</v>
      </c>
      <c r="E5356" t="e">
        <f>cubic_spline(CURVA!$B$6:$B$20,CURVA!$G$6:$G$20,#REF!)</f>
        <v>#VALUE!</v>
      </c>
    </row>
    <row r="5357" spans="1:5" x14ac:dyDescent="0.2">
      <c r="A5357" s="28">
        <v>5356</v>
      </c>
      <c r="B5357" s="28" t="e">
        <f>interpola(#REF!,CURVA!$B$6:$B$20,CURVA!$G$6:$G$20)</f>
        <v>#VALUE!</v>
      </c>
      <c r="C5357" s="29" t="e">
        <f t="shared" si="83"/>
        <v>#VALUE!</v>
      </c>
      <c r="E5357" t="e">
        <f>cubic_spline(CURVA!$B$6:$B$20,CURVA!$G$6:$G$20,#REF!)</f>
        <v>#VALUE!</v>
      </c>
    </row>
    <row r="5358" spans="1:5" x14ac:dyDescent="0.2">
      <c r="A5358" s="28">
        <v>5357</v>
      </c>
      <c r="B5358" s="28" t="e">
        <f>interpola(#REF!,CURVA!$B$6:$B$20,CURVA!$G$6:$G$20)</f>
        <v>#VALUE!</v>
      </c>
      <c r="C5358" s="29" t="e">
        <f t="shared" si="83"/>
        <v>#VALUE!</v>
      </c>
      <c r="E5358" t="e">
        <f>cubic_spline(CURVA!$B$6:$B$20,CURVA!$G$6:$G$20,#REF!)</f>
        <v>#VALUE!</v>
      </c>
    </row>
    <row r="5359" spans="1:5" x14ac:dyDescent="0.2">
      <c r="A5359" s="28">
        <v>5358</v>
      </c>
      <c r="B5359" s="28" t="e">
        <f>interpola(#REF!,CURVA!$B$6:$B$20,CURVA!$G$6:$G$20)</f>
        <v>#VALUE!</v>
      </c>
      <c r="C5359" s="29" t="e">
        <f t="shared" si="83"/>
        <v>#VALUE!</v>
      </c>
      <c r="E5359" t="e">
        <f>cubic_spline(CURVA!$B$6:$B$20,CURVA!$G$6:$G$20,#REF!)</f>
        <v>#VALUE!</v>
      </c>
    </row>
    <row r="5360" spans="1:5" x14ac:dyDescent="0.2">
      <c r="A5360" s="28">
        <v>5359</v>
      </c>
      <c r="B5360" s="28" t="e">
        <f>interpola(#REF!,CURVA!$B$6:$B$20,CURVA!$G$6:$G$20)</f>
        <v>#VALUE!</v>
      </c>
      <c r="C5360" s="29" t="e">
        <f t="shared" si="83"/>
        <v>#VALUE!</v>
      </c>
      <c r="E5360" t="e">
        <f>cubic_spline(CURVA!$B$6:$B$20,CURVA!$G$6:$G$20,#REF!)</f>
        <v>#VALUE!</v>
      </c>
    </row>
    <row r="5361" spans="1:5" x14ac:dyDescent="0.2">
      <c r="A5361" s="28">
        <v>5360</v>
      </c>
      <c r="B5361" s="28" t="e">
        <f>interpola(#REF!,CURVA!$B$6:$B$20,CURVA!$G$6:$G$20)</f>
        <v>#VALUE!</v>
      </c>
      <c r="C5361" s="29" t="e">
        <f t="shared" si="83"/>
        <v>#VALUE!</v>
      </c>
      <c r="E5361" t="e">
        <f>cubic_spline(CURVA!$B$6:$B$20,CURVA!$G$6:$G$20,#REF!)</f>
        <v>#VALUE!</v>
      </c>
    </row>
    <row r="5362" spans="1:5" x14ac:dyDescent="0.2">
      <c r="A5362" s="28">
        <v>5361</v>
      </c>
      <c r="B5362" s="28" t="e">
        <f>interpola(#REF!,CURVA!$B$6:$B$20,CURVA!$G$6:$G$20)</f>
        <v>#VALUE!</v>
      </c>
      <c r="C5362" s="29" t="e">
        <f t="shared" si="83"/>
        <v>#VALUE!</v>
      </c>
      <c r="E5362" t="e">
        <f>cubic_spline(CURVA!$B$6:$B$20,CURVA!$G$6:$G$20,#REF!)</f>
        <v>#VALUE!</v>
      </c>
    </row>
    <row r="5363" spans="1:5" x14ac:dyDescent="0.2">
      <c r="A5363" s="28">
        <v>5362</v>
      </c>
      <c r="B5363" s="28" t="e">
        <f>interpola(#REF!,CURVA!$B$6:$B$20,CURVA!$G$6:$G$20)</f>
        <v>#VALUE!</v>
      </c>
      <c r="C5363" s="29" t="e">
        <f t="shared" si="83"/>
        <v>#VALUE!</v>
      </c>
      <c r="E5363" t="e">
        <f>cubic_spline(CURVA!$B$6:$B$20,CURVA!$G$6:$G$20,#REF!)</f>
        <v>#VALUE!</v>
      </c>
    </row>
    <row r="5364" spans="1:5" x14ac:dyDescent="0.2">
      <c r="A5364" s="28">
        <v>5363</v>
      </c>
      <c r="B5364" s="28" t="e">
        <f>interpola(#REF!,CURVA!$B$6:$B$20,CURVA!$G$6:$G$20)</f>
        <v>#VALUE!</v>
      </c>
      <c r="C5364" s="29" t="e">
        <f t="shared" si="83"/>
        <v>#VALUE!</v>
      </c>
      <c r="E5364" t="e">
        <f>cubic_spline(CURVA!$B$6:$B$20,CURVA!$G$6:$G$20,#REF!)</f>
        <v>#VALUE!</v>
      </c>
    </row>
    <row r="5365" spans="1:5" x14ac:dyDescent="0.2">
      <c r="A5365" s="28">
        <v>5364</v>
      </c>
      <c r="B5365" s="28" t="e">
        <f>interpola(#REF!,CURVA!$B$6:$B$20,CURVA!$G$6:$G$20)</f>
        <v>#VALUE!</v>
      </c>
      <c r="C5365" s="29" t="e">
        <f t="shared" si="83"/>
        <v>#VALUE!</v>
      </c>
      <c r="E5365" t="e">
        <f>cubic_spline(CURVA!$B$6:$B$20,CURVA!$G$6:$G$20,#REF!)</f>
        <v>#VALUE!</v>
      </c>
    </row>
    <row r="5366" spans="1:5" x14ac:dyDescent="0.2">
      <c r="A5366" s="28">
        <v>5365</v>
      </c>
      <c r="B5366" s="28" t="e">
        <f>interpola(#REF!,CURVA!$B$6:$B$20,CURVA!$G$6:$G$20)</f>
        <v>#VALUE!</v>
      </c>
      <c r="C5366" s="29" t="e">
        <f t="shared" si="83"/>
        <v>#VALUE!</v>
      </c>
      <c r="E5366" t="e">
        <f>cubic_spline(CURVA!$B$6:$B$20,CURVA!$G$6:$G$20,#REF!)</f>
        <v>#VALUE!</v>
      </c>
    </row>
    <row r="5367" spans="1:5" x14ac:dyDescent="0.2">
      <c r="A5367" s="28">
        <v>5366</v>
      </c>
      <c r="B5367" s="28" t="e">
        <f>interpola(#REF!,CURVA!$B$6:$B$20,CURVA!$G$6:$G$20)</f>
        <v>#VALUE!</v>
      </c>
      <c r="C5367" s="29" t="e">
        <f t="shared" si="83"/>
        <v>#VALUE!</v>
      </c>
      <c r="E5367" t="e">
        <f>cubic_spline(CURVA!$B$6:$B$20,CURVA!$G$6:$G$20,#REF!)</f>
        <v>#VALUE!</v>
      </c>
    </row>
    <row r="5368" spans="1:5" x14ac:dyDescent="0.2">
      <c r="A5368" s="28">
        <v>5367</v>
      </c>
      <c r="B5368" s="28" t="e">
        <f>interpola(#REF!,CURVA!$B$6:$B$20,CURVA!$G$6:$G$20)</f>
        <v>#VALUE!</v>
      </c>
      <c r="C5368" s="29" t="e">
        <f t="shared" si="83"/>
        <v>#VALUE!</v>
      </c>
      <c r="E5368" t="e">
        <f>cubic_spline(CURVA!$B$6:$B$20,CURVA!$G$6:$G$20,#REF!)</f>
        <v>#VALUE!</v>
      </c>
    </row>
    <row r="5369" spans="1:5" x14ac:dyDescent="0.2">
      <c r="A5369" s="28">
        <v>5368</v>
      </c>
      <c r="B5369" s="28" t="e">
        <f>interpola(#REF!,CURVA!$B$6:$B$20,CURVA!$G$6:$G$20)</f>
        <v>#VALUE!</v>
      </c>
      <c r="C5369" s="29" t="e">
        <f t="shared" si="83"/>
        <v>#VALUE!</v>
      </c>
      <c r="E5369" t="e">
        <f>cubic_spline(CURVA!$B$6:$B$20,CURVA!$G$6:$G$20,#REF!)</f>
        <v>#VALUE!</v>
      </c>
    </row>
    <row r="5370" spans="1:5" x14ac:dyDescent="0.2">
      <c r="A5370" s="28">
        <v>5369</v>
      </c>
      <c r="B5370" s="28" t="e">
        <f>interpola(#REF!,CURVA!$B$6:$B$20,CURVA!$G$6:$G$20)</f>
        <v>#VALUE!</v>
      </c>
      <c r="C5370" s="29" t="e">
        <f t="shared" si="83"/>
        <v>#VALUE!</v>
      </c>
      <c r="E5370" t="e">
        <f>cubic_spline(CURVA!$B$6:$B$20,CURVA!$G$6:$G$20,#REF!)</f>
        <v>#VALUE!</v>
      </c>
    </row>
    <row r="5371" spans="1:5" x14ac:dyDescent="0.2">
      <c r="A5371" s="28">
        <v>5370</v>
      </c>
      <c r="B5371" s="28" t="e">
        <f>interpola(#REF!,CURVA!$B$6:$B$20,CURVA!$G$6:$G$20)</f>
        <v>#VALUE!</v>
      </c>
      <c r="C5371" s="29" t="e">
        <f t="shared" si="83"/>
        <v>#VALUE!</v>
      </c>
      <c r="E5371" t="e">
        <f>cubic_spline(CURVA!$B$6:$B$20,CURVA!$G$6:$G$20,#REF!)</f>
        <v>#VALUE!</v>
      </c>
    </row>
    <row r="5372" spans="1:5" x14ac:dyDescent="0.2">
      <c r="A5372" s="28">
        <v>5371</v>
      </c>
      <c r="B5372" s="28" t="e">
        <f>interpola(#REF!,CURVA!$B$6:$B$20,CURVA!$G$6:$G$20)</f>
        <v>#VALUE!</v>
      </c>
      <c r="C5372" s="29" t="e">
        <f t="shared" si="83"/>
        <v>#VALUE!</v>
      </c>
      <c r="E5372" t="e">
        <f>cubic_spline(CURVA!$B$6:$B$20,CURVA!$G$6:$G$20,#REF!)</f>
        <v>#VALUE!</v>
      </c>
    </row>
    <row r="5373" spans="1:5" x14ac:dyDescent="0.2">
      <c r="A5373" s="28">
        <v>5372</v>
      </c>
      <c r="B5373" s="28" t="e">
        <f>interpola(#REF!,CURVA!$B$6:$B$20,CURVA!$G$6:$G$20)</f>
        <v>#VALUE!</v>
      </c>
      <c r="C5373" s="29" t="e">
        <f t="shared" si="83"/>
        <v>#VALUE!</v>
      </c>
      <c r="E5373" t="e">
        <f>cubic_spline(CURVA!$B$6:$B$20,CURVA!$G$6:$G$20,#REF!)</f>
        <v>#VALUE!</v>
      </c>
    </row>
    <row r="5374" spans="1:5" x14ac:dyDescent="0.2">
      <c r="A5374" s="28">
        <v>5373</v>
      </c>
      <c r="B5374" s="28" t="e">
        <f>interpola(#REF!,CURVA!$B$6:$B$20,CURVA!$G$6:$G$20)</f>
        <v>#VALUE!</v>
      </c>
      <c r="C5374" s="29" t="e">
        <f t="shared" si="83"/>
        <v>#VALUE!</v>
      </c>
      <c r="E5374" t="e">
        <f>cubic_spline(CURVA!$B$6:$B$20,CURVA!$G$6:$G$20,#REF!)</f>
        <v>#VALUE!</v>
      </c>
    </row>
    <row r="5375" spans="1:5" x14ac:dyDescent="0.2">
      <c r="A5375" s="28">
        <v>5374</v>
      </c>
      <c r="B5375" s="28" t="e">
        <f>interpola(#REF!,CURVA!$B$6:$B$20,CURVA!$G$6:$G$20)</f>
        <v>#VALUE!</v>
      </c>
      <c r="C5375" s="29" t="e">
        <f t="shared" si="83"/>
        <v>#VALUE!</v>
      </c>
      <c r="E5375" t="e">
        <f>cubic_spline(CURVA!$B$6:$B$20,CURVA!$G$6:$G$20,#REF!)</f>
        <v>#VALUE!</v>
      </c>
    </row>
    <row r="5376" spans="1:5" x14ac:dyDescent="0.2">
      <c r="A5376" s="28">
        <v>5375</v>
      </c>
      <c r="B5376" s="28" t="e">
        <f>interpola(#REF!,CURVA!$B$6:$B$20,CURVA!$G$6:$G$20)</f>
        <v>#VALUE!</v>
      </c>
      <c r="C5376" s="29" t="e">
        <f t="shared" si="83"/>
        <v>#VALUE!</v>
      </c>
      <c r="E5376" t="e">
        <f>cubic_spline(CURVA!$B$6:$B$20,CURVA!$G$6:$G$20,#REF!)</f>
        <v>#VALUE!</v>
      </c>
    </row>
    <row r="5377" spans="1:5" x14ac:dyDescent="0.2">
      <c r="A5377" s="28">
        <v>5376</v>
      </c>
      <c r="B5377" s="28" t="e">
        <f>interpola(#REF!,CURVA!$B$6:$B$20,CURVA!$G$6:$G$20)</f>
        <v>#VALUE!</v>
      </c>
      <c r="C5377" s="29" t="e">
        <f t="shared" si="83"/>
        <v>#VALUE!</v>
      </c>
      <c r="E5377" t="e">
        <f>cubic_spline(CURVA!$B$6:$B$20,CURVA!$G$6:$G$20,#REF!)</f>
        <v>#VALUE!</v>
      </c>
    </row>
    <row r="5378" spans="1:5" x14ac:dyDescent="0.2">
      <c r="A5378" s="28">
        <v>5377</v>
      </c>
      <c r="B5378" s="28" t="e">
        <f>interpola(#REF!,CURVA!$B$6:$B$20,CURVA!$G$6:$G$20)</f>
        <v>#VALUE!</v>
      </c>
      <c r="C5378" s="29" t="e">
        <f t="shared" ref="C5378:C5441" si="84">(EXP(B5378*A5378/360)-1)*360/A5378</f>
        <v>#VALUE!</v>
      </c>
      <c r="E5378" t="e">
        <f>cubic_spline(CURVA!$B$6:$B$20,CURVA!$G$6:$G$20,#REF!)</f>
        <v>#VALUE!</v>
      </c>
    </row>
    <row r="5379" spans="1:5" x14ac:dyDescent="0.2">
      <c r="A5379" s="28">
        <v>5378</v>
      </c>
      <c r="B5379" s="28" t="e">
        <f>interpola(#REF!,CURVA!$B$6:$B$20,CURVA!$G$6:$G$20)</f>
        <v>#VALUE!</v>
      </c>
      <c r="C5379" s="29" t="e">
        <f t="shared" si="84"/>
        <v>#VALUE!</v>
      </c>
      <c r="E5379" t="e">
        <f>cubic_spline(CURVA!$B$6:$B$20,CURVA!$G$6:$G$20,#REF!)</f>
        <v>#VALUE!</v>
      </c>
    </row>
    <row r="5380" spans="1:5" x14ac:dyDescent="0.2">
      <c r="A5380" s="28">
        <v>5379</v>
      </c>
      <c r="B5380" s="28" t="e">
        <f>interpola(#REF!,CURVA!$B$6:$B$20,CURVA!$G$6:$G$20)</f>
        <v>#VALUE!</v>
      </c>
      <c r="C5380" s="29" t="e">
        <f t="shared" si="84"/>
        <v>#VALUE!</v>
      </c>
      <c r="E5380" t="e">
        <f>cubic_spline(CURVA!$B$6:$B$20,CURVA!$G$6:$G$20,#REF!)</f>
        <v>#VALUE!</v>
      </c>
    </row>
    <row r="5381" spans="1:5" x14ac:dyDescent="0.2">
      <c r="A5381" s="28">
        <v>5380</v>
      </c>
      <c r="B5381" s="28" t="e">
        <f>interpola(#REF!,CURVA!$B$6:$B$20,CURVA!$G$6:$G$20)</f>
        <v>#VALUE!</v>
      </c>
      <c r="C5381" s="29" t="e">
        <f t="shared" si="84"/>
        <v>#VALUE!</v>
      </c>
      <c r="E5381" t="e">
        <f>cubic_spline(CURVA!$B$6:$B$20,CURVA!$G$6:$G$20,#REF!)</f>
        <v>#VALUE!</v>
      </c>
    </row>
    <row r="5382" spans="1:5" x14ac:dyDescent="0.2">
      <c r="A5382" s="28">
        <v>5381</v>
      </c>
      <c r="B5382" s="28" t="e">
        <f>interpola(#REF!,CURVA!$B$6:$B$20,CURVA!$G$6:$G$20)</f>
        <v>#VALUE!</v>
      </c>
      <c r="C5382" s="29" t="e">
        <f t="shared" si="84"/>
        <v>#VALUE!</v>
      </c>
      <c r="E5382" t="e">
        <f>cubic_spline(CURVA!$B$6:$B$20,CURVA!$G$6:$G$20,#REF!)</f>
        <v>#VALUE!</v>
      </c>
    </row>
    <row r="5383" spans="1:5" x14ac:dyDescent="0.2">
      <c r="A5383" s="28">
        <v>5382</v>
      </c>
      <c r="B5383" s="28" t="e">
        <f>interpola(#REF!,CURVA!$B$6:$B$20,CURVA!$G$6:$G$20)</f>
        <v>#VALUE!</v>
      </c>
      <c r="C5383" s="29" t="e">
        <f t="shared" si="84"/>
        <v>#VALUE!</v>
      </c>
      <c r="E5383" t="e">
        <f>cubic_spline(CURVA!$B$6:$B$20,CURVA!$G$6:$G$20,#REF!)</f>
        <v>#VALUE!</v>
      </c>
    </row>
    <row r="5384" spans="1:5" x14ac:dyDescent="0.2">
      <c r="A5384" s="28">
        <v>5383</v>
      </c>
      <c r="B5384" s="28" t="e">
        <f>interpola(#REF!,CURVA!$B$6:$B$20,CURVA!$G$6:$G$20)</f>
        <v>#VALUE!</v>
      </c>
      <c r="C5384" s="29" t="e">
        <f t="shared" si="84"/>
        <v>#VALUE!</v>
      </c>
      <c r="E5384" t="e">
        <f>cubic_spline(CURVA!$B$6:$B$20,CURVA!$G$6:$G$20,#REF!)</f>
        <v>#VALUE!</v>
      </c>
    </row>
    <row r="5385" spans="1:5" x14ac:dyDescent="0.2">
      <c r="A5385" s="28">
        <v>5384</v>
      </c>
      <c r="B5385" s="28" t="e">
        <f>interpola(#REF!,CURVA!$B$6:$B$20,CURVA!$G$6:$G$20)</f>
        <v>#VALUE!</v>
      </c>
      <c r="C5385" s="29" t="e">
        <f t="shared" si="84"/>
        <v>#VALUE!</v>
      </c>
      <c r="E5385" t="e">
        <f>cubic_spline(CURVA!$B$6:$B$20,CURVA!$G$6:$G$20,#REF!)</f>
        <v>#VALUE!</v>
      </c>
    </row>
    <row r="5386" spans="1:5" x14ac:dyDescent="0.2">
      <c r="A5386" s="28">
        <v>5385</v>
      </c>
      <c r="B5386" s="28" t="e">
        <f>interpola(#REF!,CURVA!$B$6:$B$20,CURVA!$G$6:$G$20)</f>
        <v>#VALUE!</v>
      </c>
      <c r="C5386" s="29" t="e">
        <f t="shared" si="84"/>
        <v>#VALUE!</v>
      </c>
      <c r="E5386" t="e">
        <f>cubic_spline(CURVA!$B$6:$B$20,CURVA!$G$6:$G$20,#REF!)</f>
        <v>#VALUE!</v>
      </c>
    </row>
    <row r="5387" spans="1:5" x14ac:dyDescent="0.2">
      <c r="A5387" s="28">
        <v>5386</v>
      </c>
      <c r="B5387" s="28" t="e">
        <f>interpola(#REF!,CURVA!$B$6:$B$20,CURVA!$G$6:$G$20)</f>
        <v>#VALUE!</v>
      </c>
      <c r="C5387" s="29" t="e">
        <f t="shared" si="84"/>
        <v>#VALUE!</v>
      </c>
      <c r="E5387" t="e">
        <f>cubic_spline(CURVA!$B$6:$B$20,CURVA!$G$6:$G$20,#REF!)</f>
        <v>#VALUE!</v>
      </c>
    </row>
    <row r="5388" spans="1:5" x14ac:dyDescent="0.2">
      <c r="A5388" s="28">
        <v>5387</v>
      </c>
      <c r="B5388" s="28" t="e">
        <f>interpola(#REF!,CURVA!$B$6:$B$20,CURVA!$G$6:$G$20)</f>
        <v>#VALUE!</v>
      </c>
      <c r="C5388" s="29" t="e">
        <f t="shared" si="84"/>
        <v>#VALUE!</v>
      </c>
      <c r="E5388" t="e">
        <f>cubic_spline(CURVA!$B$6:$B$20,CURVA!$G$6:$G$20,#REF!)</f>
        <v>#VALUE!</v>
      </c>
    </row>
    <row r="5389" spans="1:5" x14ac:dyDescent="0.2">
      <c r="A5389" s="28">
        <v>5388</v>
      </c>
      <c r="B5389" s="28" t="e">
        <f>interpola(#REF!,CURVA!$B$6:$B$20,CURVA!$G$6:$G$20)</f>
        <v>#VALUE!</v>
      </c>
      <c r="C5389" s="29" t="e">
        <f t="shared" si="84"/>
        <v>#VALUE!</v>
      </c>
      <c r="E5389" t="e">
        <f>cubic_spline(CURVA!$B$6:$B$20,CURVA!$G$6:$G$20,#REF!)</f>
        <v>#VALUE!</v>
      </c>
    </row>
    <row r="5390" spans="1:5" x14ac:dyDescent="0.2">
      <c r="A5390" s="28">
        <v>5389</v>
      </c>
      <c r="B5390" s="28" t="e">
        <f>interpola(#REF!,CURVA!$B$6:$B$20,CURVA!$G$6:$G$20)</f>
        <v>#VALUE!</v>
      </c>
      <c r="C5390" s="29" t="e">
        <f t="shared" si="84"/>
        <v>#VALUE!</v>
      </c>
      <c r="E5390" t="e">
        <f>cubic_spline(CURVA!$B$6:$B$20,CURVA!$G$6:$G$20,#REF!)</f>
        <v>#VALUE!</v>
      </c>
    </row>
    <row r="5391" spans="1:5" x14ac:dyDescent="0.2">
      <c r="A5391" s="28">
        <v>5390</v>
      </c>
      <c r="B5391" s="28" t="e">
        <f>interpola(#REF!,CURVA!$B$6:$B$20,CURVA!$G$6:$G$20)</f>
        <v>#VALUE!</v>
      </c>
      <c r="C5391" s="29" t="e">
        <f t="shared" si="84"/>
        <v>#VALUE!</v>
      </c>
      <c r="E5391" t="e">
        <f>cubic_spline(CURVA!$B$6:$B$20,CURVA!$G$6:$G$20,#REF!)</f>
        <v>#VALUE!</v>
      </c>
    </row>
    <row r="5392" spans="1:5" x14ac:dyDescent="0.2">
      <c r="A5392" s="28">
        <v>5391</v>
      </c>
      <c r="B5392" s="28" t="e">
        <f>interpola(#REF!,CURVA!$B$6:$B$20,CURVA!$G$6:$G$20)</f>
        <v>#VALUE!</v>
      </c>
      <c r="C5392" s="29" t="e">
        <f t="shared" si="84"/>
        <v>#VALUE!</v>
      </c>
      <c r="E5392" t="e">
        <f>cubic_spline(CURVA!$B$6:$B$20,CURVA!$G$6:$G$20,#REF!)</f>
        <v>#VALUE!</v>
      </c>
    </row>
    <row r="5393" spans="1:5" x14ac:dyDescent="0.2">
      <c r="A5393" s="28">
        <v>5392</v>
      </c>
      <c r="B5393" s="28" t="e">
        <f>interpola(#REF!,CURVA!$B$6:$B$20,CURVA!$G$6:$G$20)</f>
        <v>#VALUE!</v>
      </c>
      <c r="C5393" s="29" t="e">
        <f t="shared" si="84"/>
        <v>#VALUE!</v>
      </c>
      <c r="E5393" t="e">
        <f>cubic_spline(CURVA!$B$6:$B$20,CURVA!$G$6:$G$20,#REF!)</f>
        <v>#VALUE!</v>
      </c>
    </row>
    <row r="5394" spans="1:5" x14ac:dyDescent="0.2">
      <c r="A5394" s="28">
        <v>5393</v>
      </c>
      <c r="B5394" s="28" t="e">
        <f>interpola(#REF!,CURVA!$B$6:$B$20,CURVA!$G$6:$G$20)</f>
        <v>#VALUE!</v>
      </c>
      <c r="C5394" s="29" t="e">
        <f t="shared" si="84"/>
        <v>#VALUE!</v>
      </c>
      <c r="E5394" t="e">
        <f>cubic_spline(CURVA!$B$6:$B$20,CURVA!$G$6:$G$20,#REF!)</f>
        <v>#VALUE!</v>
      </c>
    </row>
    <row r="5395" spans="1:5" x14ac:dyDescent="0.2">
      <c r="A5395" s="28">
        <v>5394</v>
      </c>
      <c r="B5395" s="28" t="e">
        <f>interpola(#REF!,CURVA!$B$6:$B$20,CURVA!$G$6:$G$20)</f>
        <v>#VALUE!</v>
      </c>
      <c r="C5395" s="29" t="e">
        <f t="shared" si="84"/>
        <v>#VALUE!</v>
      </c>
      <c r="E5395" t="e">
        <f>cubic_spline(CURVA!$B$6:$B$20,CURVA!$G$6:$G$20,#REF!)</f>
        <v>#VALUE!</v>
      </c>
    </row>
    <row r="5396" spans="1:5" x14ac:dyDescent="0.2">
      <c r="A5396" s="28">
        <v>5395</v>
      </c>
      <c r="B5396" s="28" t="e">
        <f>interpola(#REF!,CURVA!$B$6:$B$20,CURVA!$G$6:$G$20)</f>
        <v>#VALUE!</v>
      </c>
      <c r="C5396" s="29" t="e">
        <f t="shared" si="84"/>
        <v>#VALUE!</v>
      </c>
      <c r="E5396" t="e">
        <f>cubic_spline(CURVA!$B$6:$B$20,CURVA!$G$6:$G$20,#REF!)</f>
        <v>#VALUE!</v>
      </c>
    </row>
    <row r="5397" spans="1:5" x14ac:dyDescent="0.2">
      <c r="A5397" s="28">
        <v>5396</v>
      </c>
      <c r="B5397" s="28" t="e">
        <f>interpola(#REF!,CURVA!$B$6:$B$20,CURVA!$G$6:$G$20)</f>
        <v>#VALUE!</v>
      </c>
      <c r="C5397" s="29" t="e">
        <f t="shared" si="84"/>
        <v>#VALUE!</v>
      </c>
      <c r="E5397" t="e">
        <f>cubic_spline(CURVA!$B$6:$B$20,CURVA!$G$6:$G$20,#REF!)</f>
        <v>#VALUE!</v>
      </c>
    </row>
    <row r="5398" spans="1:5" x14ac:dyDescent="0.2">
      <c r="A5398" s="28">
        <v>5397</v>
      </c>
      <c r="B5398" s="28" t="e">
        <f>interpola(#REF!,CURVA!$B$6:$B$20,CURVA!$G$6:$G$20)</f>
        <v>#VALUE!</v>
      </c>
      <c r="C5398" s="29" t="e">
        <f t="shared" si="84"/>
        <v>#VALUE!</v>
      </c>
      <c r="E5398" t="e">
        <f>cubic_spline(CURVA!$B$6:$B$20,CURVA!$G$6:$G$20,#REF!)</f>
        <v>#VALUE!</v>
      </c>
    </row>
    <row r="5399" spans="1:5" x14ac:dyDescent="0.2">
      <c r="A5399" s="28">
        <v>5398</v>
      </c>
      <c r="B5399" s="28" t="e">
        <f>interpola(#REF!,CURVA!$B$6:$B$20,CURVA!$G$6:$G$20)</f>
        <v>#VALUE!</v>
      </c>
      <c r="C5399" s="29" t="e">
        <f t="shared" si="84"/>
        <v>#VALUE!</v>
      </c>
      <c r="E5399" t="e">
        <f>cubic_spline(CURVA!$B$6:$B$20,CURVA!$G$6:$G$20,#REF!)</f>
        <v>#VALUE!</v>
      </c>
    </row>
    <row r="5400" spans="1:5" x14ac:dyDescent="0.2">
      <c r="A5400" s="28">
        <v>5399</v>
      </c>
      <c r="B5400" s="28" t="e">
        <f>interpola(#REF!,CURVA!$B$6:$B$20,CURVA!$G$6:$G$20)</f>
        <v>#VALUE!</v>
      </c>
      <c r="C5400" s="29" t="e">
        <f t="shared" si="84"/>
        <v>#VALUE!</v>
      </c>
      <c r="E5400" t="e">
        <f>cubic_spline(CURVA!$B$6:$B$20,CURVA!$G$6:$G$20,#REF!)</f>
        <v>#VALUE!</v>
      </c>
    </row>
    <row r="5401" spans="1:5" x14ac:dyDescent="0.2">
      <c r="A5401" s="28">
        <v>5400</v>
      </c>
      <c r="B5401" s="28" t="e">
        <f>interpola(#REF!,CURVA!$B$6:$B$20,CURVA!$G$6:$G$20)</f>
        <v>#VALUE!</v>
      </c>
      <c r="C5401" s="29" t="e">
        <f t="shared" si="84"/>
        <v>#VALUE!</v>
      </c>
      <c r="E5401" t="e">
        <f>cubic_spline(CURVA!$B$6:$B$20,CURVA!$G$6:$G$20,#REF!)</f>
        <v>#VALUE!</v>
      </c>
    </row>
    <row r="5402" spans="1:5" x14ac:dyDescent="0.2">
      <c r="A5402" s="28">
        <v>5401</v>
      </c>
      <c r="B5402" s="28" t="e">
        <f>interpola(#REF!,CURVA!$B$6:$B$20,CURVA!$G$6:$G$20)</f>
        <v>#VALUE!</v>
      </c>
      <c r="C5402" s="29" t="e">
        <f t="shared" si="84"/>
        <v>#VALUE!</v>
      </c>
      <c r="E5402" t="e">
        <f>cubic_spline(CURVA!$B$6:$B$20,CURVA!$G$6:$G$20,#REF!)</f>
        <v>#VALUE!</v>
      </c>
    </row>
    <row r="5403" spans="1:5" x14ac:dyDescent="0.2">
      <c r="A5403" s="28">
        <v>5402</v>
      </c>
      <c r="B5403" s="28" t="e">
        <f>interpola(#REF!,CURVA!$B$6:$B$20,CURVA!$G$6:$G$20)</f>
        <v>#VALUE!</v>
      </c>
      <c r="C5403" s="29" t="e">
        <f t="shared" si="84"/>
        <v>#VALUE!</v>
      </c>
      <c r="E5403" t="e">
        <f>cubic_spline(CURVA!$B$6:$B$20,CURVA!$G$6:$G$20,#REF!)</f>
        <v>#VALUE!</v>
      </c>
    </row>
    <row r="5404" spans="1:5" x14ac:dyDescent="0.2">
      <c r="A5404" s="28">
        <v>5403</v>
      </c>
      <c r="B5404" s="28" t="e">
        <f>interpola(#REF!,CURVA!$B$6:$B$20,CURVA!$G$6:$G$20)</f>
        <v>#VALUE!</v>
      </c>
      <c r="C5404" s="29" t="e">
        <f t="shared" si="84"/>
        <v>#VALUE!</v>
      </c>
      <c r="E5404" t="e">
        <f>cubic_spline(CURVA!$B$6:$B$20,CURVA!$G$6:$G$20,#REF!)</f>
        <v>#VALUE!</v>
      </c>
    </row>
    <row r="5405" spans="1:5" x14ac:dyDescent="0.2">
      <c r="A5405" s="28">
        <v>5404</v>
      </c>
      <c r="B5405" s="28" t="e">
        <f>interpola(#REF!,CURVA!$B$6:$B$20,CURVA!$G$6:$G$20)</f>
        <v>#VALUE!</v>
      </c>
      <c r="C5405" s="29" t="e">
        <f t="shared" si="84"/>
        <v>#VALUE!</v>
      </c>
      <c r="E5405" t="e">
        <f>cubic_spline(CURVA!$B$6:$B$20,CURVA!$G$6:$G$20,#REF!)</f>
        <v>#VALUE!</v>
      </c>
    </row>
    <row r="5406" spans="1:5" x14ac:dyDescent="0.2">
      <c r="A5406" s="28">
        <v>5405</v>
      </c>
      <c r="B5406" s="28" t="e">
        <f>interpola(#REF!,CURVA!$B$6:$B$20,CURVA!$G$6:$G$20)</f>
        <v>#VALUE!</v>
      </c>
      <c r="C5406" s="29" t="e">
        <f t="shared" si="84"/>
        <v>#VALUE!</v>
      </c>
      <c r="E5406" t="e">
        <f>cubic_spline(CURVA!$B$6:$B$20,CURVA!$G$6:$G$20,#REF!)</f>
        <v>#VALUE!</v>
      </c>
    </row>
    <row r="5407" spans="1:5" x14ac:dyDescent="0.2">
      <c r="A5407" s="28">
        <v>5406</v>
      </c>
      <c r="B5407" s="28" t="e">
        <f>interpola(#REF!,CURVA!$B$6:$B$20,CURVA!$G$6:$G$20)</f>
        <v>#VALUE!</v>
      </c>
      <c r="C5407" s="29" t="e">
        <f t="shared" si="84"/>
        <v>#VALUE!</v>
      </c>
      <c r="E5407" t="e">
        <f>cubic_spline(CURVA!$B$6:$B$20,CURVA!$G$6:$G$20,#REF!)</f>
        <v>#VALUE!</v>
      </c>
    </row>
    <row r="5408" spans="1:5" x14ac:dyDescent="0.2">
      <c r="A5408" s="28">
        <v>5407</v>
      </c>
      <c r="B5408" s="28" t="e">
        <f>interpola(#REF!,CURVA!$B$6:$B$20,CURVA!$G$6:$G$20)</f>
        <v>#VALUE!</v>
      </c>
      <c r="C5408" s="29" t="e">
        <f t="shared" si="84"/>
        <v>#VALUE!</v>
      </c>
      <c r="E5408" t="e">
        <f>cubic_spline(CURVA!$B$6:$B$20,CURVA!$G$6:$G$20,#REF!)</f>
        <v>#VALUE!</v>
      </c>
    </row>
    <row r="5409" spans="1:5" x14ac:dyDescent="0.2">
      <c r="A5409" s="28">
        <v>5408</v>
      </c>
      <c r="B5409" s="28" t="e">
        <f>interpola(#REF!,CURVA!$B$6:$B$20,CURVA!$G$6:$G$20)</f>
        <v>#VALUE!</v>
      </c>
      <c r="C5409" s="29" t="e">
        <f t="shared" si="84"/>
        <v>#VALUE!</v>
      </c>
      <c r="E5409" t="e">
        <f>cubic_spline(CURVA!$B$6:$B$20,CURVA!$G$6:$G$20,#REF!)</f>
        <v>#VALUE!</v>
      </c>
    </row>
    <row r="5410" spans="1:5" x14ac:dyDescent="0.2">
      <c r="A5410" s="28">
        <v>5409</v>
      </c>
      <c r="B5410" s="28" t="e">
        <f>interpola(#REF!,CURVA!$B$6:$B$20,CURVA!$G$6:$G$20)</f>
        <v>#VALUE!</v>
      </c>
      <c r="C5410" s="29" t="e">
        <f t="shared" si="84"/>
        <v>#VALUE!</v>
      </c>
      <c r="E5410" t="e">
        <f>cubic_spline(CURVA!$B$6:$B$20,CURVA!$G$6:$G$20,#REF!)</f>
        <v>#VALUE!</v>
      </c>
    </row>
    <row r="5411" spans="1:5" x14ac:dyDescent="0.2">
      <c r="A5411" s="28">
        <v>5410</v>
      </c>
      <c r="B5411" s="28" t="e">
        <f>interpola(#REF!,CURVA!$B$6:$B$20,CURVA!$G$6:$G$20)</f>
        <v>#VALUE!</v>
      </c>
      <c r="C5411" s="29" t="e">
        <f t="shared" si="84"/>
        <v>#VALUE!</v>
      </c>
      <c r="E5411" t="e">
        <f>cubic_spline(CURVA!$B$6:$B$20,CURVA!$G$6:$G$20,#REF!)</f>
        <v>#VALUE!</v>
      </c>
    </row>
    <row r="5412" spans="1:5" x14ac:dyDescent="0.2">
      <c r="A5412" s="28">
        <v>5411</v>
      </c>
      <c r="B5412" s="28" t="e">
        <f>interpola(#REF!,CURVA!$B$6:$B$20,CURVA!$G$6:$G$20)</f>
        <v>#VALUE!</v>
      </c>
      <c r="C5412" s="29" t="e">
        <f t="shared" si="84"/>
        <v>#VALUE!</v>
      </c>
      <c r="E5412" t="e">
        <f>cubic_spline(CURVA!$B$6:$B$20,CURVA!$G$6:$G$20,#REF!)</f>
        <v>#VALUE!</v>
      </c>
    </row>
    <row r="5413" spans="1:5" x14ac:dyDescent="0.2">
      <c r="A5413" s="28">
        <v>5412</v>
      </c>
      <c r="B5413" s="28" t="e">
        <f>interpola(#REF!,CURVA!$B$6:$B$20,CURVA!$G$6:$G$20)</f>
        <v>#VALUE!</v>
      </c>
      <c r="C5413" s="29" t="e">
        <f t="shared" si="84"/>
        <v>#VALUE!</v>
      </c>
      <c r="E5413" t="e">
        <f>cubic_spline(CURVA!$B$6:$B$20,CURVA!$G$6:$G$20,#REF!)</f>
        <v>#VALUE!</v>
      </c>
    </row>
    <row r="5414" spans="1:5" x14ac:dyDescent="0.2">
      <c r="A5414" s="28">
        <v>5413</v>
      </c>
      <c r="B5414" s="28" t="e">
        <f>interpola(#REF!,CURVA!$B$6:$B$20,CURVA!$G$6:$G$20)</f>
        <v>#VALUE!</v>
      </c>
      <c r="C5414" s="29" t="e">
        <f t="shared" si="84"/>
        <v>#VALUE!</v>
      </c>
      <c r="E5414" t="e">
        <f>cubic_spline(CURVA!$B$6:$B$20,CURVA!$G$6:$G$20,#REF!)</f>
        <v>#VALUE!</v>
      </c>
    </row>
    <row r="5415" spans="1:5" x14ac:dyDescent="0.2">
      <c r="A5415" s="28">
        <v>5414</v>
      </c>
      <c r="B5415" s="28" t="e">
        <f>interpola(#REF!,CURVA!$B$6:$B$20,CURVA!$G$6:$G$20)</f>
        <v>#VALUE!</v>
      </c>
      <c r="C5415" s="29" t="e">
        <f t="shared" si="84"/>
        <v>#VALUE!</v>
      </c>
      <c r="E5415" t="e">
        <f>cubic_spline(CURVA!$B$6:$B$20,CURVA!$G$6:$G$20,#REF!)</f>
        <v>#VALUE!</v>
      </c>
    </row>
    <row r="5416" spans="1:5" x14ac:dyDescent="0.2">
      <c r="A5416" s="28">
        <v>5415</v>
      </c>
      <c r="B5416" s="28" t="e">
        <f>interpola(#REF!,CURVA!$B$6:$B$20,CURVA!$G$6:$G$20)</f>
        <v>#VALUE!</v>
      </c>
      <c r="C5416" s="29" t="e">
        <f t="shared" si="84"/>
        <v>#VALUE!</v>
      </c>
      <c r="E5416" t="e">
        <f>cubic_spline(CURVA!$B$6:$B$20,CURVA!$G$6:$G$20,#REF!)</f>
        <v>#VALUE!</v>
      </c>
    </row>
    <row r="5417" spans="1:5" x14ac:dyDescent="0.2">
      <c r="A5417" s="28">
        <v>5416</v>
      </c>
      <c r="B5417" s="28" t="e">
        <f>interpola(#REF!,CURVA!$B$6:$B$20,CURVA!$G$6:$G$20)</f>
        <v>#VALUE!</v>
      </c>
      <c r="C5417" s="29" t="e">
        <f t="shared" si="84"/>
        <v>#VALUE!</v>
      </c>
      <c r="E5417" t="e">
        <f>cubic_spline(CURVA!$B$6:$B$20,CURVA!$G$6:$G$20,#REF!)</f>
        <v>#VALUE!</v>
      </c>
    </row>
    <row r="5418" spans="1:5" x14ac:dyDescent="0.2">
      <c r="A5418" s="28">
        <v>5417</v>
      </c>
      <c r="B5418" s="28" t="e">
        <f>interpola(#REF!,CURVA!$B$6:$B$20,CURVA!$G$6:$G$20)</f>
        <v>#VALUE!</v>
      </c>
      <c r="C5418" s="29" t="e">
        <f t="shared" si="84"/>
        <v>#VALUE!</v>
      </c>
      <c r="E5418" t="e">
        <f>cubic_spline(CURVA!$B$6:$B$20,CURVA!$G$6:$G$20,#REF!)</f>
        <v>#VALUE!</v>
      </c>
    </row>
    <row r="5419" spans="1:5" x14ac:dyDescent="0.2">
      <c r="A5419" s="28">
        <v>5418</v>
      </c>
      <c r="B5419" s="28" t="e">
        <f>interpola(#REF!,CURVA!$B$6:$B$20,CURVA!$G$6:$G$20)</f>
        <v>#VALUE!</v>
      </c>
      <c r="C5419" s="29" t="e">
        <f t="shared" si="84"/>
        <v>#VALUE!</v>
      </c>
      <c r="E5419" t="e">
        <f>cubic_spline(CURVA!$B$6:$B$20,CURVA!$G$6:$G$20,#REF!)</f>
        <v>#VALUE!</v>
      </c>
    </row>
    <row r="5420" spans="1:5" x14ac:dyDescent="0.2">
      <c r="A5420" s="28">
        <v>5419</v>
      </c>
      <c r="B5420" s="28" t="e">
        <f>interpola(#REF!,CURVA!$B$6:$B$20,CURVA!$G$6:$G$20)</f>
        <v>#VALUE!</v>
      </c>
      <c r="C5420" s="29" t="e">
        <f t="shared" si="84"/>
        <v>#VALUE!</v>
      </c>
      <c r="E5420" t="e">
        <f>cubic_spline(CURVA!$B$6:$B$20,CURVA!$G$6:$G$20,#REF!)</f>
        <v>#VALUE!</v>
      </c>
    </row>
    <row r="5421" spans="1:5" x14ac:dyDescent="0.2">
      <c r="A5421" s="28">
        <v>5420</v>
      </c>
      <c r="B5421" s="28" t="e">
        <f>interpola(#REF!,CURVA!$B$6:$B$20,CURVA!$G$6:$G$20)</f>
        <v>#VALUE!</v>
      </c>
      <c r="C5421" s="29" t="e">
        <f t="shared" si="84"/>
        <v>#VALUE!</v>
      </c>
      <c r="E5421" t="e">
        <f>cubic_spline(CURVA!$B$6:$B$20,CURVA!$G$6:$G$20,#REF!)</f>
        <v>#VALUE!</v>
      </c>
    </row>
    <row r="5422" spans="1:5" x14ac:dyDescent="0.2">
      <c r="A5422" s="28">
        <v>5421</v>
      </c>
      <c r="B5422" s="28" t="e">
        <f>interpola(#REF!,CURVA!$B$6:$B$20,CURVA!$G$6:$G$20)</f>
        <v>#VALUE!</v>
      </c>
      <c r="C5422" s="29" t="e">
        <f t="shared" si="84"/>
        <v>#VALUE!</v>
      </c>
      <c r="E5422" t="e">
        <f>cubic_spline(CURVA!$B$6:$B$20,CURVA!$G$6:$G$20,#REF!)</f>
        <v>#VALUE!</v>
      </c>
    </row>
    <row r="5423" spans="1:5" x14ac:dyDescent="0.2">
      <c r="A5423" s="28">
        <v>5422</v>
      </c>
      <c r="B5423" s="28" t="e">
        <f>interpola(#REF!,CURVA!$B$6:$B$20,CURVA!$G$6:$G$20)</f>
        <v>#VALUE!</v>
      </c>
      <c r="C5423" s="29" t="e">
        <f t="shared" si="84"/>
        <v>#VALUE!</v>
      </c>
      <c r="E5423" t="e">
        <f>cubic_spline(CURVA!$B$6:$B$20,CURVA!$G$6:$G$20,#REF!)</f>
        <v>#VALUE!</v>
      </c>
    </row>
    <row r="5424" spans="1:5" x14ac:dyDescent="0.2">
      <c r="A5424" s="28">
        <v>5423</v>
      </c>
      <c r="B5424" s="28" t="e">
        <f>interpola(#REF!,CURVA!$B$6:$B$20,CURVA!$G$6:$G$20)</f>
        <v>#VALUE!</v>
      </c>
      <c r="C5424" s="29" t="e">
        <f t="shared" si="84"/>
        <v>#VALUE!</v>
      </c>
      <c r="E5424" t="e">
        <f>cubic_spline(CURVA!$B$6:$B$20,CURVA!$G$6:$G$20,#REF!)</f>
        <v>#VALUE!</v>
      </c>
    </row>
    <row r="5425" spans="1:5" x14ac:dyDescent="0.2">
      <c r="A5425" s="28">
        <v>5424</v>
      </c>
      <c r="B5425" s="28" t="e">
        <f>interpola(#REF!,CURVA!$B$6:$B$20,CURVA!$G$6:$G$20)</f>
        <v>#VALUE!</v>
      </c>
      <c r="C5425" s="29" t="e">
        <f t="shared" si="84"/>
        <v>#VALUE!</v>
      </c>
      <c r="E5425" t="e">
        <f>cubic_spline(CURVA!$B$6:$B$20,CURVA!$G$6:$G$20,#REF!)</f>
        <v>#VALUE!</v>
      </c>
    </row>
    <row r="5426" spans="1:5" x14ac:dyDescent="0.2">
      <c r="A5426" s="28">
        <v>5425</v>
      </c>
      <c r="B5426" s="28" t="e">
        <f>interpola(#REF!,CURVA!$B$6:$B$20,CURVA!$G$6:$G$20)</f>
        <v>#VALUE!</v>
      </c>
      <c r="C5426" s="29" t="e">
        <f t="shared" si="84"/>
        <v>#VALUE!</v>
      </c>
      <c r="E5426" t="e">
        <f>cubic_spline(CURVA!$B$6:$B$20,CURVA!$G$6:$G$20,#REF!)</f>
        <v>#VALUE!</v>
      </c>
    </row>
    <row r="5427" spans="1:5" x14ac:dyDescent="0.2">
      <c r="A5427" s="28">
        <v>5426</v>
      </c>
      <c r="B5427" s="28" t="e">
        <f>interpola(#REF!,CURVA!$B$6:$B$20,CURVA!$G$6:$G$20)</f>
        <v>#VALUE!</v>
      </c>
      <c r="C5427" s="29" t="e">
        <f t="shared" si="84"/>
        <v>#VALUE!</v>
      </c>
      <c r="E5427" t="e">
        <f>cubic_spline(CURVA!$B$6:$B$20,CURVA!$G$6:$G$20,#REF!)</f>
        <v>#VALUE!</v>
      </c>
    </row>
    <row r="5428" spans="1:5" x14ac:dyDescent="0.2">
      <c r="A5428" s="28">
        <v>5427</v>
      </c>
      <c r="B5428" s="28" t="e">
        <f>interpola(#REF!,CURVA!$B$6:$B$20,CURVA!$G$6:$G$20)</f>
        <v>#VALUE!</v>
      </c>
      <c r="C5428" s="29" t="e">
        <f t="shared" si="84"/>
        <v>#VALUE!</v>
      </c>
      <c r="E5428" t="e">
        <f>cubic_spline(CURVA!$B$6:$B$20,CURVA!$G$6:$G$20,#REF!)</f>
        <v>#VALUE!</v>
      </c>
    </row>
    <row r="5429" spans="1:5" x14ac:dyDescent="0.2">
      <c r="A5429" s="28">
        <v>5428</v>
      </c>
      <c r="B5429" s="28" t="e">
        <f>interpola(#REF!,CURVA!$B$6:$B$20,CURVA!$G$6:$G$20)</f>
        <v>#VALUE!</v>
      </c>
      <c r="C5429" s="29" t="e">
        <f t="shared" si="84"/>
        <v>#VALUE!</v>
      </c>
      <c r="E5429" t="e">
        <f>cubic_spline(CURVA!$B$6:$B$20,CURVA!$G$6:$G$20,#REF!)</f>
        <v>#VALUE!</v>
      </c>
    </row>
    <row r="5430" spans="1:5" x14ac:dyDescent="0.2">
      <c r="A5430" s="28">
        <v>5429</v>
      </c>
      <c r="B5430" s="28" t="e">
        <f>interpola(#REF!,CURVA!$B$6:$B$20,CURVA!$G$6:$G$20)</f>
        <v>#VALUE!</v>
      </c>
      <c r="C5430" s="29" t="e">
        <f t="shared" si="84"/>
        <v>#VALUE!</v>
      </c>
      <c r="E5430" t="e">
        <f>cubic_spline(CURVA!$B$6:$B$20,CURVA!$G$6:$G$20,#REF!)</f>
        <v>#VALUE!</v>
      </c>
    </row>
    <row r="5431" spans="1:5" x14ac:dyDescent="0.2">
      <c r="A5431" s="28">
        <v>5430</v>
      </c>
      <c r="B5431" s="28" t="e">
        <f>interpola(#REF!,CURVA!$B$6:$B$20,CURVA!$G$6:$G$20)</f>
        <v>#VALUE!</v>
      </c>
      <c r="C5431" s="29" t="e">
        <f t="shared" si="84"/>
        <v>#VALUE!</v>
      </c>
      <c r="E5431" t="e">
        <f>cubic_spline(CURVA!$B$6:$B$20,CURVA!$G$6:$G$20,#REF!)</f>
        <v>#VALUE!</v>
      </c>
    </row>
    <row r="5432" spans="1:5" x14ac:dyDescent="0.2">
      <c r="A5432" s="28">
        <v>5431</v>
      </c>
      <c r="B5432" s="28" t="e">
        <f>interpola(#REF!,CURVA!$B$6:$B$20,CURVA!$G$6:$G$20)</f>
        <v>#VALUE!</v>
      </c>
      <c r="C5432" s="29" t="e">
        <f t="shared" si="84"/>
        <v>#VALUE!</v>
      </c>
      <c r="E5432" t="e">
        <f>cubic_spline(CURVA!$B$6:$B$20,CURVA!$G$6:$G$20,#REF!)</f>
        <v>#VALUE!</v>
      </c>
    </row>
    <row r="5433" spans="1:5" x14ac:dyDescent="0.2">
      <c r="A5433" s="28">
        <v>5432</v>
      </c>
      <c r="B5433" s="28" t="e">
        <f>interpola(#REF!,CURVA!$B$6:$B$20,CURVA!$G$6:$G$20)</f>
        <v>#VALUE!</v>
      </c>
      <c r="C5433" s="29" t="e">
        <f t="shared" si="84"/>
        <v>#VALUE!</v>
      </c>
      <c r="E5433" t="e">
        <f>cubic_spline(CURVA!$B$6:$B$20,CURVA!$G$6:$G$20,#REF!)</f>
        <v>#VALUE!</v>
      </c>
    </row>
    <row r="5434" spans="1:5" x14ac:dyDescent="0.2">
      <c r="A5434" s="28">
        <v>5433</v>
      </c>
      <c r="B5434" s="28" t="e">
        <f>interpola(#REF!,CURVA!$B$6:$B$20,CURVA!$G$6:$G$20)</f>
        <v>#VALUE!</v>
      </c>
      <c r="C5434" s="29" t="e">
        <f t="shared" si="84"/>
        <v>#VALUE!</v>
      </c>
      <c r="E5434" t="e">
        <f>cubic_spline(CURVA!$B$6:$B$20,CURVA!$G$6:$G$20,#REF!)</f>
        <v>#VALUE!</v>
      </c>
    </row>
    <row r="5435" spans="1:5" x14ac:dyDescent="0.2">
      <c r="A5435" s="28">
        <v>5434</v>
      </c>
      <c r="B5435" s="28" t="e">
        <f>interpola(#REF!,CURVA!$B$6:$B$20,CURVA!$G$6:$G$20)</f>
        <v>#VALUE!</v>
      </c>
      <c r="C5435" s="29" t="e">
        <f t="shared" si="84"/>
        <v>#VALUE!</v>
      </c>
      <c r="E5435" t="e">
        <f>cubic_spline(CURVA!$B$6:$B$20,CURVA!$G$6:$G$20,#REF!)</f>
        <v>#VALUE!</v>
      </c>
    </row>
    <row r="5436" spans="1:5" x14ac:dyDescent="0.2">
      <c r="A5436" s="28">
        <v>5435</v>
      </c>
      <c r="B5436" s="28" t="e">
        <f>interpola(#REF!,CURVA!$B$6:$B$20,CURVA!$G$6:$G$20)</f>
        <v>#VALUE!</v>
      </c>
      <c r="C5436" s="29" t="e">
        <f t="shared" si="84"/>
        <v>#VALUE!</v>
      </c>
      <c r="E5436" t="e">
        <f>cubic_spline(CURVA!$B$6:$B$20,CURVA!$G$6:$G$20,#REF!)</f>
        <v>#VALUE!</v>
      </c>
    </row>
    <row r="5437" spans="1:5" x14ac:dyDescent="0.2">
      <c r="A5437" s="28">
        <v>5436</v>
      </c>
      <c r="B5437" s="28" t="e">
        <f>interpola(#REF!,CURVA!$B$6:$B$20,CURVA!$G$6:$G$20)</f>
        <v>#VALUE!</v>
      </c>
      <c r="C5437" s="29" t="e">
        <f t="shared" si="84"/>
        <v>#VALUE!</v>
      </c>
      <c r="E5437" t="e">
        <f>cubic_spline(CURVA!$B$6:$B$20,CURVA!$G$6:$G$20,#REF!)</f>
        <v>#VALUE!</v>
      </c>
    </row>
    <row r="5438" spans="1:5" x14ac:dyDescent="0.2">
      <c r="A5438" s="28">
        <v>5437</v>
      </c>
      <c r="B5438" s="28" t="e">
        <f>interpola(#REF!,CURVA!$B$6:$B$20,CURVA!$G$6:$G$20)</f>
        <v>#VALUE!</v>
      </c>
      <c r="C5438" s="29" t="e">
        <f t="shared" si="84"/>
        <v>#VALUE!</v>
      </c>
      <c r="E5438" t="e">
        <f>cubic_spline(CURVA!$B$6:$B$20,CURVA!$G$6:$G$20,#REF!)</f>
        <v>#VALUE!</v>
      </c>
    </row>
    <row r="5439" spans="1:5" x14ac:dyDescent="0.2">
      <c r="A5439" s="28">
        <v>5438</v>
      </c>
      <c r="B5439" s="28" t="e">
        <f>interpola(#REF!,CURVA!$B$6:$B$20,CURVA!$G$6:$G$20)</f>
        <v>#VALUE!</v>
      </c>
      <c r="C5439" s="29" t="e">
        <f t="shared" si="84"/>
        <v>#VALUE!</v>
      </c>
      <c r="E5439" t="e">
        <f>cubic_spline(CURVA!$B$6:$B$20,CURVA!$G$6:$G$20,#REF!)</f>
        <v>#VALUE!</v>
      </c>
    </row>
    <row r="5440" spans="1:5" x14ac:dyDescent="0.2">
      <c r="A5440" s="28">
        <v>5439</v>
      </c>
      <c r="B5440" s="28" t="e">
        <f>interpola(#REF!,CURVA!$B$6:$B$20,CURVA!$G$6:$G$20)</f>
        <v>#VALUE!</v>
      </c>
      <c r="C5440" s="29" t="e">
        <f t="shared" si="84"/>
        <v>#VALUE!</v>
      </c>
      <c r="E5440" t="e">
        <f>cubic_spline(CURVA!$B$6:$B$20,CURVA!$G$6:$G$20,#REF!)</f>
        <v>#VALUE!</v>
      </c>
    </row>
    <row r="5441" spans="1:5" x14ac:dyDescent="0.2">
      <c r="A5441" s="28">
        <v>5440</v>
      </c>
      <c r="B5441" s="28" t="e">
        <f>interpola(#REF!,CURVA!$B$6:$B$20,CURVA!$G$6:$G$20)</f>
        <v>#VALUE!</v>
      </c>
      <c r="C5441" s="29" t="e">
        <f t="shared" si="84"/>
        <v>#VALUE!</v>
      </c>
      <c r="E5441" t="e">
        <f>cubic_spline(CURVA!$B$6:$B$20,CURVA!$G$6:$G$20,#REF!)</f>
        <v>#VALUE!</v>
      </c>
    </row>
    <row r="5442" spans="1:5" x14ac:dyDescent="0.2">
      <c r="A5442" s="28">
        <v>5441</v>
      </c>
      <c r="B5442" s="28" t="e">
        <f>interpola(#REF!,CURVA!$B$6:$B$20,CURVA!$G$6:$G$20)</f>
        <v>#VALUE!</v>
      </c>
      <c r="C5442" s="29" t="e">
        <f t="shared" ref="C5442:C5505" si="85">(EXP(B5442*A5442/360)-1)*360/A5442</f>
        <v>#VALUE!</v>
      </c>
      <c r="E5442" t="e">
        <f>cubic_spline(CURVA!$B$6:$B$20,CURVA!$G$6:$G$20,#REF!)</f>
        <v>#VALUE!</v>
      </c>
    </row>
    <row r="5443" spans="1:5" x14ac:dyDescent="0.2">
      <c r="A5443" s="28">
        <v>5442</v>
      </c>
      <c r="B5443" s="28" t="e">
        <f>interpola(#REF!,CURVA!$B$6:$B$20,CURVA!$G$6:$G$20)</f>
        <v>#VALUE!</v>
      </c>
      <c r="C5443" s="29" t="e">
        <f t="shared" si="85"/>
        <v>#VALUE!</v>
      </c>
      <c r="E5443" t="e">
        <f>cubic_spline(CURVA!$B$6:$B$20,CURVA!$G$6:$G$20,#REF!)</f>
        <v>#VALUE!</v>
      </c>
    </row>
    <row r="5444" spans="1:5" x14ac:dyDescent="0.2">
      <c r="A5444" s="28">
        <v>5443</v>
      </c>
      <c r="B5444" s="28" t="e">
        <f>interpola(#REF!,CURVA!$B$6:$B$20,CURVA!$G$6:$G$20)</f>
        <v>#VALUE!</v>
      </c>
      <c r="C5444" s="29" t="e">
        <f t="shared" si="85"/>
        <v>#VALUE!</v>
      </c>
      <c r="E5444" t="e">
        <f>cubic_spline(CURVA!$B$6:$B$20,CURVA!$G$6:$G$20,#REF!)</f>
        <v>#VALUE!</v>
      </c>
    </row>
    <row r="5445" spans="1:5" x14ac:dyDescent="0.2">
      <c r="A5445" s="28">
        <v>5444</v>
      </c>
      <c r="B5445" s="28" t="e">
        <f>interpola(#REF!,CURVA!$B$6:$B$20,CURVA!$G$6:$G$20)</f>
        <v>#VALUE!</v>
      </c>
      <c r="C5445" s="29" t="e">
        <f t="shared" si="85"/>
        <v>#VALUE!</v>
      </c>
      <c r="E5445" t="e">
        <f>cubic_spline(CURVA!$B$6:$B$20,CURVA!$G$6:$G$20,#REF!)</f>
        <v>#VALUE!</v>
      </c>
    </row>
    <row r="5446" spans="1:5" x14ac:dyDescent="0.2">
      <c r="A5446" s="28">
        <v>5445</v>
      </c>
      <c r="B5446" s="28" t="e">
        <f>interpola(#REF!,CURVA!$B$6:$B$20,CURVA!$G$6:$G$20)</f>
        <v>#VALUE!</v>
      </c>
      <c r="C5446" s="29" t="e">
        <f t="shared" si="85"/>
        <v>#VALUE!</v>
      </c>
      <c r="E5446" t="e">
        <f>cubic_spline(CURVA!$B$6:$B$20,CURVA!$G$6:$G$20,#REF!)</f>
        <v>#VALUE!</v>
      </c>
    </row>
    <row r="5447" spans="1:5" x14ac:dyDescent="0.2">
      <c r="A5447" s="28">
        <v>5446</v>
      </c>
      <c r="B5447" s="28" t="e">
        <f>interpola(#REF!,CURVA!$B$6:$B$20,CURVA!$G$6:$G$20)</f>
        <v>#VALUE!</v>
      </c>
      <c r="C5447" s="29" t="e">
        <f t="shared" si="85"/>
        <v>#VALUE!</v>
      </c>
      <c r="E5447" t="e">
        <f>cubic_spline(CURVA!$B$6:$B$20,CURVA!$G$6:$G$20,#REF!)</f>
        <v>#VALUE!</v>
      </c>
    </row>
    <row r="5448" spans="1:5" x14ac:dyDescent="0.2">
      <c r="A5448" s="28">
        <v>5447</v>
      </c>
      <c r="B5448" s="28" t="e">
        <f>interpola(#REF!,CURVA!$B$6:$B$20,CURVA!$G$6:$G$20)</f>
        <v>#VALUE!</v>
      </c>
      <c r="C5448" s="29" t="e">
        <f t="shared" si="85"/>
        <v>#VALUE!</v>
      </c>
      <c r="E5448" t="e">
        <f>cubic_spline(CURVA!$B$6:$B$20,CURVA!$G$6:$G$20,#REF!)</f>
        <v>#VALUE!</v>
      </c>
    </row>
    <row r="5449" spans="1:5" x14ac:dyDescent="0.2">
      <c r="A5449" s="28">
        <v>5448</v>
      </c>
      <c r="B5449" s="28" t="e">
        <f>interpola(#REF!,CURVA!$B$6:$B$20,CURVA!$G$6:$G$20)</f>
        <v>#VALUE!</v>
      </c>
      <c r="C5449" s="29" t="e">
        <f t="shared" si="85"/>
        <v>#VALUE!</v>
      </c>
      <c r="E5449" t="e">
        <f>cubic_spline(CURVA!$B$6:$B$20,CURVA!$G$6:$G$20,#REF!)</f>
        <v>#VALUE!</v>
      </c>
    </row>
    <row r="5450" spans="1:5" x14ac:dyDescent="0.2">
      <c r="A5450" s="28">
        <v>5449</v>
      </c>
      <c r="B5450" s="28" t="e">
        <f>interpola(#REF!,CURVA!$B$6:$B$20,CURVA!$G$6:$G$20)</f>
        <v>#VALUE!</v>
      </c>
      <c r="C5450" s="29" t="e">
        <f t="shared" si="85"/>
        <v>#VALUE!</v>
      </c>
      <c r="E5450" t="e">
        <f>cubic_spline(CURVA!$B$6:$B$20,CURVA!$G$6:$G$20,#REF!)</f>
        <v>#VALUE!</v>
      </c>
    </row>
    <row r="5451" spans="1:5" x14ac:dyDescent="0.2">
      <c r="A5451" s="28">
        <v>5450</v>
      </c>
      <c r="B5451" s="28" t="e">
        <f>interpola(#REF!,CURVA!$B$6:$B$20,CURVA!$G$6:$G$20)</f>
        <v>#VALUE!</v>
      </c>
      <c r="C5451" s="29" t="e">
        <f t="shared" si="85"/>
        <v>#VALUE!</v>
      </c>
      <c r="E5451" t="e">
        <f>cubic_spline(CURVA!$B$6:$B$20,CURVA!$G$6:$G$20,#REF!)</f>
        <v>#VALUE!</v>
      </c>
    </row>
    <row r="5452" spans="1:5" x14ac:dyDescent="0.2">
      <c r="A5452" s="28">
        <v>5451</v>
      </c>
      <c r="B5452" s="28" t="e">
        <f>interpola(#REF!,CURVA!$B$6:$B$20,CURVA!$G$6:$G$20)</f>
        <v>#VALUE!</v>
      </c>
      <c r="C5452" s="29" t="e">
        <f t="shared" si="85"/>
        <v>#VALUE!</v>
      </c>
      <c r="E5452" t="e">
        <f>cubic_spline(CURVA!$B$6:$B$20,CURVA!$G$6:$G$20,#REF!)</f>
        <v>#VALUE!</v>
      </c>
    </row>
    <row r="5453" spans="1:5" x14ac:dyDescent="0.2">
      <c r="A5453" s="28">
        <v>5452</v>
      </c>
      <c r="B5453" s="28" t="e">
        <f>interpola(#REF!,CURVA!$B$6:$B$20,CURVA!$G$6:$G$20)</f>
        <v>#VALUE!</v>
      </c>
      <c r="C5453" s="29" t="e">
        <f t="shared" si="85"/>
        <v>#VALUE!</v>
      </c>
      <c r="E5453" t="e">
        <f>cubic_spline(CURVA!$B$6:$B$20,CURVA!$G$6:$G$20,#REF!)</f>
        <v>#VALUE!</v>
      </c>
    </row>
    <row r="5454" spans="1:5" x14ac:dyDescent="0.2">
      <c r="A5454" s="28">
        <v>5453</v>
      </c>
      <c r="B5454" s="28" t="e">
        <f>interpola(#REF!,CURVA!$B$6:$B$20,CURVA!$G$6:$G$20)</f>
        <v>#VALUE!</v>
      </c>
      <c r="C5454" s="29" t="e">
        <f t="shared" si="85"/>
        <v>#VALUE!</v>
      </c>
      <c r="E5454" t="e">
        <f>cubic_spline(CURVA!$B$6:$B$20,CURVA!$G$6:$G$20,#REF!)</f>
        <v>#VALUE!</v>
      </c>
    </row>
    <row r="5455" spans="1:5" x14ac:dyDescent="0.2">
      <c r="A5455" s="28">
        <v>5454</v>
      </c>
      <c r="B5455" s="28" t="e">
        <f>interpola(#REF!,CURVA!$B$6:$B$20,CURVA!$G$6:$G$20)</f>
        <v>#VALUE!</v>
      </c>
      <c r="C5455" s="29" t="e">
        <f t="shared" si="85"/>
        <v>#VALUE!</v>
      </c>
      <c r="E5455" t="e">
        <f>cubic_spline(CURVA!$B$6:$B$20,CURVA!$G$6:$G$20,#REF!)</f>
        <v>#VALUE!</v>
      </c>
    </row>
    <row r="5456" spans="1:5" x14ac:dyDescent="0.2">
      <c r="A5456" s="28">
        <v>5455</v>
      </c>
      <c r="B5456" s="28" t="e">
        <f>interpola(#REF!,CURVA!$B$6:$B$20,CURVA!$G$6:$G$20)</f>
        <v>#VALUE!</v>
      </c>
      <c r="C5456" s="29" t="e">
        <f t="shared" si="85"/>
        <v>#VALUE!</v>
      </c>
      <c r="E5456" t="e">
        <f>cubic_spline(CURVA!$B$6:$B$20,CURVA!$G$6:$G$20,#REF!)</f>
        <v>#VALUE!</v>
      </c>
    </row>
    <row r="5457" spans="1:5" x14ac:dyDescent="0.2">
      <c r="A5457" s="28">
        <v>5456</v>
      </c>
      <c r="B5457" s="28" t="e">
        <f>interpola(#REF!,CURVA!$B$6:$B$20,CURVA!$G$6:$G$20)</f>
        <v>#VALUE!</v>
      </c>
      <c r="C5457" s="29" t="e">
        <f t="shared" si="85"/>
        <v>#VALUE!</v>
      </c>
      <c r="E5457" t="e">
        <f>cubic_spline(CURVA!$B$6:$B$20,CURVA!$G$6:$G$20,#REF!)</f>
        <v>#VALUE!</v>
      </c>
    </row>
    <row r="5458" spans="1:5" x14ac:dyDescent="0.2">
      <c r="A5458" s="28">
        <v>5457</v>
      </c>
      <c r="B5458" s="28" t="e">
        <f>interpola(#REF!,CURVA!$B$6:$B$20,CURVA!$G$6:$G$20)</f>
        <v>#VALUE!</v>
      </c>
      <c r="C5458" s="29" t="e">
        <f t="shared" si="85"/>
        <v>#VALUE!</v>
      </c>
      <c r="E5458" t="e">
        <f>cubic_spline(CURVA!$B$6:$B$20,CURVA!$G$6:$G$20,#REF!)</f>
        <v>#VALUE!</v>
      </c>
    </row>
    <row r="5459" spans="1:5" x14ac:dyDescent="0.2">
      <c r="A5459" s="28">
        <v>5458</v>
      </c>
      <c r="B5459" s="28" t="e">
        <f>interpola(#REF!,CURVA!$B$6:$B$20,CURVA!$G$6:$G$20)</f>
        <v>#VALUE!</v>
      </c>
      <c r="C5459" s="29" t="e">
        <f t="shared" si="85"/>
        <v>#VALUE!</v>
      </c>
      <c r="E5459" t="e">
        <f>cubic_spline(CURVA!$B$6:$B$20,CURVA!$G$6:$G$20,#REF!)</f>
        <v>#VALUE!</v>
      </c>
    </row>
    <row r="5460" spans="1:5" x14ac:dyDescent="0.2">
      <c r="A5460" s="28">
        <v>5459</v>
      </c>
      <c r="B5460" s="28" t="e">
        <f>interpola(#REF!,CURVA!$B$6:$B$20,CURVA!$G$6:$G$20)</f>
        <v>#VALUE!</v>
      </c>
      <c r="C5460" s="29" t="e">
        <f t="shared" si="85"/>
        <v>#VALUE!</v>
      </c>
      <c r="E5460" t="e">
        <f>cubic_spline(CURVA!$B$6:$B$20,CURVA!$G$6:$G$20,#REF!)</f>
        <v>#VALUE!</v>
      </c>
    </row>
    <row r="5461" spans="1:5" x14ac:dyDescent="0.2">
      <c r="A5461" s="28">
        <v>5460</v>
      </c>
      <c r="B5461" s="28" t="e">
        <f>interpola(#REF!,CURVA!$B$6:$B$20,CURVA!$G$6:$G$20)</f>
        <v>#VALUE!</v>
      </c>
      <c r="C5461" s="29" t="e">
        <f t="shared" si="85"/>
        <v>#VALUE!</v>
      </c>
      <c r="E5461" t="e">
        <f>cubic_spline(CURVA!$B$6:$B$20,CURVA!$G$6:$G$20,#REF!)</f>
        <v>#VALUE!</v>
      </c>
    </row>
    <row r="5462" spans="1:5" x14ac:dyDescent="0.2">
      <c r="A5462" s="28">
        <v>5461</v>
      </c>
      <c r="B5462" s="28" t="e">
        <f>interpola(#REF!,CURVA!$B$6:$B$20,CURVA!$G$6:$G$20)</f>
        <v>#VALUE!</v>
      </c>
      <c r="C5462" s="29" t="e">
        <f t="shared" si="85"/>
        <v>#VALUE!</v>
      </c>
      <c r="E5462" t="e">
        <f>cubic_spline(CURVA!$B$6:$B$20,CURVA!$G$6:$G$20,#REF!)</f>
        <v>#VALUE!</v>
      </c>
    </row>
    <row r="5463" spans="1:5" x14ac:dyDescent="0.2">
      <c r="A5463" s="28">
        <v>5462</v>
      </c>
      <c r="B5463" s="28" t="e">
        <f>interpola(#REF!,CURVA!$B$6:$B$20,CURVA!$G$6:$G$20)</f>
        <v>#VALUE!</v>
      </c>
      <c r="C5463" s="29" t="e">
        <f t="shared" si="85"/>
        <v>#VALUE!</v>
      </c>
      <c r="E5463" t="e">
        <f>cubic_spline(CURVA!$B$6:$B$20,CURVA!$G$6:$G$20,#REF!)</f>
        <v>#VALUE!</v>
      </c>
    </row>
    <row r="5464" spans="1:5" x14ac:dyDescent="0.2">
      <c r="A5464" s="28">
        <v>5463</v>
      </c>
      <c r="B5464" s="28" t="e">
        <f>interpola(#REF!,CURVA!$B$6:$B$20,CURVA!$G$6:$G$20)</f>
        <v>#VALUE!</v>
      </c>
      <c r="C5464" s="29" t="e">
        <f t="shared" si="85"/>
        <v>#VALUE!</v>
      </c>
      <c r="E5464" t="e">
        <f>cubic_spline(CURVA!$B$6:$B$20,CURVA!$G$6:$G$20,#REF!)</f>
        <v>#VALUE!</v>
      </c>
    </row>
    <row r="5465" spans="1:5" x14ac:dyDescent="0.2">
      <c r="A5465" s="28">
        <v>5464</v>
      </c>
      <c r="B5465" s="28" t="e">
        <f>interpola(#REF!,CURVA!$B$6:$B$20,CURVA!$G$6:$G$20)</f>
        <v>#VALUE!</v>
      </c>
      <c r="C5465" s="29" t="e">
        <f t="shared" si="85"/>
        <v>#VALUE!</v>
      </c>
      <c r="E5465" t="e">
        <f>cubic_spline(CURVA!$B$6:$B$20,CURVA!$G$6:$G$20,#REF!)</f>
        <v>#VALUE!</v>
      </c>
    </row>
    <row r="5466" spans="1:5" x14ac:dyDescent="0.2">
      <c r="A5466" s="28">
        <v>5465</v>
      </c>
      <c r="B5466" s="28" t="e">
        <f>interpola(#REF!,CURVA!$B$6:$B$20,CURVA!$G$6:$G$20)</f>
        <v>#VALUE!</v>
      </c>
      <c r="C5466" s="29" t="e">
        <f t="shared" si="85"/>
        <v>#VALUE!</v>
      </c>
      <c r="E5466" t="e">
        <f>cubic_spline(CURVA!$B$6:$B$20,CURVA!$G$6:$G$20,#REF!)</f>
        <v>#VALUE!</v>
      </c>
    </row>
    <row r="5467" spans="1:5" x14ac:dyDescent="0.2">
      <c r="A5467" s="28">
        <v>5466</v>
      </c>
      <c r="B5467" s="28" t="e">
        <f>interpola(#REF!,CURVA!$B$6:$B$20,CURVA!$G$6:$G$20)</f>
        <v>#VALUE!</v>
      </c>
      <c r="C5467" s="29" t="e">
        <f t="shared" si="85"/>
        <v>#VALUE!</v>
      </c>
      <c r="E5467" t="e">
        <f>cubic_spline(CURVA!$B$6:$B$20,CURVA!$G$6:$G$20,#REF!)</f>
        <v>#VALUE!</v>
      </c>
    </row>
    <row r="5468" spans="1:5" x14ac:dyDescent="0.2">
      <c r="A5468" s="28">
        <v>5467</v>
      </c>
      <c r="B5468" s="28" t="e">
        <f>interpola(#REF!,CURVA!$B$6:$B$20,CURVA!$G$6:$G$20)</f>
        <v>#VALUE!</v>
      </c>
      <c r="C5468" s="29" t="e">
        <f t="shared" si="85"/>
        <v>#VALUE!</v>
      </c>
      <c r="E5468" t="e">
        <f>cubic_spline(CURVA!$B$6:$B$20,CURVA!$G$6:$G$20,#REF!)</f>
        <v>#VALUE!</v>
      </c>
    </row>
    <row r="5469" spans="1:5" x14ac:dyDescent="0.2">
      <c r="A5469" s="28">
        <v>5468</v>
      </c>
      <c r="B5469" s="28" t="e">
        <f>interpola(#REF!,CURVA!$B$6:$B$20,CURVA!$G$6:$G$20)</f>
        <v>#VALUE!</v>
      </c>
      <c r="C5469" s="29" t="e">
        <f t="shared" si="85"/>
        <v>#VALUE!</v>
      </c>
      <c r="E5469" t="e">
        <f>cubic_spline(CURVA!$B$6:$B$20,CURVA!$G$6:$G$20,#REF!)</f>
        <v>#VALUE!</v>
      </c>
    </row>
    <row r="5470" spans="1:5" x14ac:dyDescent="0.2">
      <c r="A5470" s="28">
        <v>5469</v>
      </c>
      <c r="B5470" s="28" t="e">
        <f>interpola(#REF!,CURVA!$B$6:$B$20,CURVA!$G$6:$G$20)</f>
        <v>#VALUE!</v>
      </c>
      <c r="C5470" s="29" t="e">
        <f t="shared" si="85"/>
        <v>#VALUE!</v>
      </c>
      <c r="E5470" t="e">
        <f>cubic_spline(CURVA!$B$6:$B$20,CURVA!$G$6:$G$20,#REF!)</f>
        <v>#VALUE!</v>
      </c>
    </row>
    <row r="5471" spans="1:5" x14ac:dyDescent="0.2">
      <c r="A5471" s="28">
        <v>5470</v>
      </c>
      <c r="B5471" s="28" t="e">
        <f>interpola(#REF!,CURVA!$B$6:$B$20,CURVA!$G$6:$G$20)</f>
        <v>#VALUE!</v>
      </c>
      <c r="C5471" s="29" t="e">
        <f t="shared" si="85"/>
        <v>#VALUE!</v>
      </c>
      <c r="E5471" t="e">
        <f>cubic_spline(CURVA!$B$6:$B$20,CURVA!$G$6:$G$20,#REF!)</f>
        <v>#VALUE!</v>
      </c>
    </row>
    <row r="5472" spans="1:5" x14ac:dyDescent="0.2">
      <c r="A5472" s="28">
        <v>5471</v>
      </c>
      <c r="B5472" s="28" t="e">
        <f>interpola(#REF!,CURVA!$B$6:$B$20,CURVA!$G$6:$G$20)</f>
        <v>#VALUE!</v>
      </c>
      <c r="C5472" s="29" t="e">
        <f t="shared" si="85"/>
        <v>#VALUE!</v>
      </c>
      <c r="E5472" t="e">
        <f>cubic_spline(CURVA!$B$6:$B$20,CURVA!$G$6:$G$20,#REF!)</f>
        <v>#VALUE!</v>
      </c>
    </row>
    <row r="5473" spans="1:5" x14ac:dyDescent="0.2">
      <c r="A5473" s="28">
        <v>5472</v>
      </c>
      <c r="B5473" s="28" t="e">
        <f>interpola(#REF!,CURVA!$B$6:$B$20,CURVA!$G$6:$G$20)</f>
        <v>#VALUE!</v>
      </c>
      <c r="C5473" s="29" t="e">
        <f t="shared" si="85"/>
        <v>#VALUE!</v>
      </c>
      <c r="E5473" t="e">
        <f>cubic_spline(CURVA!$B$6:$B$20,CURVA!$G$6:$G$20,#REF!)</f>
        <v>#VALUE!</v>
      </c>
    </row>
    <row r="5474" spans="1:5" x14ac:dyDescent="0.2">
      <c r="A5474" s="28">
        <v>5473</v>
      </c>
      <c r="B5474" s="28" t="e">
        <f>interpola(#REF!,CURVA!$B$6:$B$20,CURVA!$G$6:$G$20)</f>
        <v>#VALUE!</v>
      </c>
      <c r="C5474" s="29" t="e">
        <f t="shared" si="85"/>
        <v>#VALUE!</v>
      </c>
      <c r="E5474" t="e">
        <f>cubic_spline(CURVA!$B$6:$B$20,CURVA!$G$6:$G$20,#REF!)</f>
        <v>#VALUE!</v>
      </c>
    </row>
    <row r="5475" spans="1:5" x14ac:dyDescent="0.2">
      <c r="A5475" s="28">
        <v>5474</v>
      </c>
      <c r="B5475" s="28" t="e">
        <f>interpola(#REF!,CURVA!$B$6:$B$20,CURVA!$G$6:$G$20)</f>
        <v>#VALUE!</v>
      </c>
      <c r="C5475" s="29" t="e">
        <f t="shared" si="85"/>
        <v>#VALUE!</v>
      </c>
      <c r="E5475" t="e">
        <f>cubic_spline(CURVA!$B$6:$B$20,CURVA!$G$6:$G$20,#REF!)</f>
        <v>#VALUE!</v>
      </c>
    </row>
    <row r="5476" spans="1:5" x14ac:dyDescent="0.2">
      <c r="A5476" s="28">
        <v>5475</v>
      </c>
      <c r="B5476" s="28" t="e">
        <f>interpola(#REF!,CURVA!$B$6:$B$20,CURVA!$G$6:$G$20)</f>
        <v>#VALUE!</v>
      </c>
      <c r="C5476" s="29" t="e">
        <f t="shared" si="85"/>
        <v>#VALUE!</v>
      </c>
      <c r="E5476" t="e">
        <f>cubic_spline(CURVA!$B$6:$B$20,CURVA!$G$6:$G$20,#REF!)</f>
        <v>#VALUE!</v>
      </c>
    </row>
    <row r="5477" spans="1:5" x14ac:dyDescent="0.2">
      <c r="A5477" s="28">
        <v>5476</v>
      </c>
      <c r="B5477" s="28" t="e">
        <f>interpola(#REF!,CURVA!$B$6:$B$20,CURVA!$G$6:$G$20)</f>
        <v>#VALUE!</v>
      </c>
      <c r="C5477" s="29" t="e">
        <f t="shared" si="85"/>
        <v>#VALUE!</v>
      </c>
      <c r="E5477" t="e">
        <f>cubic_spline(CURVA!$B$6:$B$20,CURVA!$G$6:$G$20,#REF!)</f>
        <v>#VALUE!</v>
      </c>
    </row>
    <row r="5478" spans="1:5" x14ac:dyDescent="0.2">
      <c r="A5478" s="28">
        <v>5477</v>
      </c>
      <c r="B5478" s="28" t="e">
        <f>interpola(#REF!,CURVA!$B$6:$B$20,CURVA!$G$6:$G$20)</f>
        <v>#VALUE!</v>
      </c>
      <c r="C5478" s="29" t="e">
        <f t="shared" si="85"/>
        <v>#VALUE!</v>
      </c>
      <c r="E5478" t="e">
        <f>cubic_spline(CURVA!$B$6:$B$20,CURVA!$G$6:$G$20,#REF!)</f>
        <v>#VALUE!</v>
      </c>
    </row>
    <row r="5479" spans="1:5" x14ac:dyDescent="0.2">
      <c r="A5479" s="28">
        <v>5478</v>
      </c>
      <c r="B5479" s="28" t="e">
        <f>interpola(#REF!,CURVA!$B$6:$B$20,CURVA!$G$6:$G$20)</f>
        <v>#VALUE!</v>
      </c>
      <c r="C5479" s="29" t="e">
        <f t="shared" si="85"/>
        <v>#VALUE!</v>
      </c>
      <c r="E5479" t="e">
        <f>cubic_spline(CURVA!$B$6:$B$20,CURVA!$G$6:$G$20,#REF!)</f>
        <v>#VALUE!</v>
      </c>
    </row>
    <row r="5480" spans="1:5" x14ac:dyDescent="0.2">
      <c r="A5480" s="28">
        <v>5479</v>
      </c>
      <c r="B5480" s="28" t="e">
        <f>interpola(#REF!,CURVA!$B$6:$B$20,CURVA!$G$6:$G$20)</f>
        <v>#VALUE!</v>
      </c>
      <c r="C5480" s="29" t="e">
        <f t="shared" si="85"/>
        <v>#VALUE!</v>
      </c>
      <c r="E5480" t="e">
        <f>cubic_spline(CURVA!$B$6:$B$20,CURVA!$G$6:$G$20,#REF!)</f>
        <v>#VALUE!</v>
      </c>
    </row>
    <row r="5481" spans="1:5" x14ac:dyDescent="0.2">
      <c r="A5481" s="28">
        <v>5480</v>
      </c>
      <c r="B5481" s="28" t="e">
        <f>interpola(#REF!,CURVA!$B$6:$B$20,CURVA!$G$6:$G$20)</f>
        <v>#VALUE!</v>
      </c>
      <c r="C5481" s="29" t="e">
        <f t="shared" si="85"/>
        <v>#VALUE!</v>
      </c>
      <c r="E5481" t="e">
        <f>cubic_spline(CURVA!$B$6:$B$20,CURVA!$G$6:$G$20,#REF!)</f>
        <v>#VALUE!</v>
      </c>
    </row>
    <row r="5482" spans="1:5" x14ac:dyDescent="0.2">
      <c r="A5482" s="28">
        <v>5481</v>
      </c>
      <c r="B5482" s="28" t="e">
        <f>interpola(#REF!,CURVA!$B$6:$B$20,CURVA!$G$6:$G$20)</f>
        <v>#VALUE!</v>
      </c>
      <c r="C5482" s="29" t="e">
        <f t="shared" si="85"/>
        <v>#VALUE!</v>
      </c>
      <c r="E5482" t="e">
        <f>cubic_spline(CURVA!$B$6:$B$20,CURVA!$G$6:$G$20,#REF!)</f>
        <v>#VALUE!</v>
      </c>
    </row>
    <row r="5483" spans="1:5" x14ac:dyDescent="0.2">
      <c r="A5483" s="28">
        <v>5482</v>
      </c>
      <c r="B5483" s="28" t="e">
        <f>interpola(#REF!,CURVA!$B$6:$B$20,CURVA!$G$6:$G$20)</f>
        <v>#VALUE!</v>
      </c>
      <c r="C5483" s="29" t="e">
        <f t="shared" si="85"/>
        <v>#VALUE!</v>
      </c>
      <c r="E5483" t="e">
        <f>cubic_spline(CURVA!$B$6:$B$20,CURVA!$G$6:$G$20,#REF!)</f>
        <v>#VALUE!</v>
      </c>
    </row>
    <row r="5484" spans="1:5" x14ac:dyDescent="0.2">
      <c r="A5484" s="28">
        <v>5483</v>
      </c>
      <c r="B5484" s="28" t="e">
        <f>interpola(#REF!,CURVA!$B$6:$B$20,CURVA!$G$6:$G$20)</f>
        <v>#VALUE!</v>
      </c>
      <c r="C5484" s="29" t="e">
        <f t="shared" si="85"/>
        <v>#VALUE!</v>
      </c>
      <c r="E5484" t="e">
        <f>cubic_spline(CURVA!$B$6:$B$20,CURVA!$G$6:$G$20,#REF!)</f>
        <v>#VALUE!</v>
      </c>
    </row>
    <row r="5485" spans="1:5" x14ac:dyDescent="0.2">
      <c r="A5485" s="28">
        <v>5484</v>
      </c>
      <c r="B5485" s="28" t="e">
        <f>interpola(#REF!,CURVA!$B$6:$B$20,CURVA!$G$6:$G$20)</f>
        <v>#VALUE!</v>
      </c>
      <c r="C5485" s="29" t="e">
        <f t="shared" si="85"/>
        <v>#VALUE!</v>
      </c>
      <c r="E5485" t="e">
        <f>cubic_spline(CURVA!$B$6:$B$20,CURVA!$G$6:$G$20,#REF!)</f>
        <v>#VALUE!</v>
      </c>
    </row>
    <row r="5486" spans="1:5" x14ac:dyDescent="0.2">
      <c r="A5486" s="28">
        <v>5485</v>
      </c>
      <c r="B5486" s="28" t="e">
        <f>interpola(#REF!,CURVA!$B$6:$B$20,CURVA!$G$6:$G$20)</f>
        <v>#VALUE!</v>
      </c>
      <c r="C5486" s="29" t="e">
        <f t="shared" si="85"/>
        <v>#VALUE!</v>
      </c>
      <c r="E5486" t="e">
        <f>cubic_spline(CURVA!$B$6:$B$20,CURVA!$G$6:$G$20,#REF!)</f>
        <v>#VALUE!</v>
      </c>
    </row>
    <row r="5487" spans="1:5" x14ac:dyDescent="0.2">
      <c r="A5487" s="28">
        <v>5486</v>
      </c>
      <c r="B5487" s="28" t="e">
        <f>interpola(#REF!,CURVA!$B$6:$B$20,CURVA!$G$6:$G$20)</f>
        <v>#VALUE!</v>
      </c>
      <c r="C5487" s="29" t="e">
        <f t="shared" si="85"/>
        <v>#VALUE!</v>
      </c>
      <c r="E5487" t="e">
        <f>cubic_spline(CURVA!$B$6:$B$20,CURVA!$G$6:$G$20,#REF!)</f>
        <v>#VALUE!</v>
      </c>
    </row>
    <row r="5488" spans="1:5" x14ac:dyDescent="0.2">
      <c r="A5488" s="28">
        <v>5487</v>
      </c>
      <c r="B5488" s="28" t="e">
        <f>interpola(#REF!,CURVA!$B$6:$B$20,CURVA!$G$6:$G$20)</f>
        <v>#VALUE!</v>
      </c>
      <c r="C5488" s="29" t="e">
        <f t="shared" si="85"/>
        <v>#VALUE!</v>
      </c>
      <c r="E5488" t="e">
        <f>cubic_spline(CURVA!$B$6:$B$20,CURVA!$G$6:$G$20,#REF!)</f>
        <v>#VALUE!</v>
      </c>
    </row>
    <row r="5489" spans="1:5" x14ac:dyDescent="0.2">
      <c r="A5489" s="28">
        <v>5488</v>
      </c>
      <c r="B5489" s="28" t="e">
        <f>interpola(#REF!,CURVA!$B$6:$B$20,CURVA!$G$6:$G$20)</f>
        <v>#VALUE!</v>
      </c>
      <c r="C5489" s="29" t="e">
        <f t="shared" si="85"/>
        <v>#VALUE!</v>
      </c>
      <c r="E5489" t="e">
        <f>cubic_spline(CURVA!$B$6:$B$20,CURVA!$G$6:$G$20,#REF!)</f>
        <v>#VALUE!</v>
      </c>
    </row>
    <row r="5490" spans="1:5" x14ac:dyDescent="0.2">
      <c r="A5490" s="28">
        <v>5489</v>
      </c>
      <c r="B5490" s="28" t="e">
        <f>interpola(#REF!,CURVA!$B$6:$B$20,CURVA!$G$6:$G$20)</f>
        <v>#VALUE!</v>
      </c>
      <c r="C5490" s="29" t="e">
        <f t="shared" si="85"/>
        <v>#VALUE!</v>
      </c>
      <c r="E5490" t="e">
        <f>cubic_spline(CURVA!$B$6:$B$20,CURVA!$G$6:$G$20,#REF!)</f>
        <v>#VALUE!</v>
      </c>
    </row>
    <row r="5491" spans="1:5" x14ac:dyDescent="0.2">
      <c r="A5491" s="28">
        <v>5490</v>
      </c>
      <c r="B5491" s="28" t="e">
        <f>interpola(#REF!,CURVA!$B$6:$B$20,CURVA!$G$6:$G$20)</f>
        <v>#VALUE!</v>
      </c>
      <c r="C5491" s="29" t="e">
        <f t="shared" si="85"/>
        <v>#VALUE!</v>
      </c>
      <c r="E5491" t="e">
        <f>cubic_spline(CURVA!$B$6:$B$20,CURVA!$G$6:$G$20,#REF!)</f>
        <v>#VALUE!</v>
      </c>
    </row>
    <row r="5492" spans="1:5" x14ac:dyDescent="0.2">
      <c r="A5492" s="28">
        <v>5491</v>
      </c>
      <c r="B5492" s="28" t="e">
        <f>interpola(#REF!,CURVA!$B$6:$B$20,CURVA!$G$6:$G$20)</f>
        <v>#VALUE!</v>
      </c>
      <c r="C5492" s="29" t="e">
        <f t="shared" si="85"/>
        <v>#VALUE!</v>
      </c>
      <c r="E5492" t="e">
        <f>cubic_spline(CURVA!$B$6:$B$20,CURVA!$G$6:$G$20,#REF!)</f>
        <v>#VALUE!</v>
      </c>
    </row>
    <row r="5493" spans="1:5" x14ac:dyDescent="0.2">
      <c r="A5493" s="28">
        <v>5492</v>
      </c>
      <c r="B5493" s="28" t="e">
        <f>interpola(#REF!,CURVA!$B$6:$B$20,CURVA!$G$6:$G$20)</f>
        <v>#VALUE!</v>
      </c>
      <c r="C5493" s="29" t="e">
        <f t="shared" si="85"/>
        <v>#VALUE!</v>
      </c>
      <c r="E5493" t="e">
        <f>cubic_spline(CURVA!$B$6:$B$20,CURVA!$G$6:$G$20,#REF!)</f>
        <v>#VALUE!</v>
      </c>
    </row>
    <row r="5494" spans="1:5" x14ac:dyDescent="0.2">
      <c r="A5494" s="28">
        <v>5493</v>
      </c>
      <c r="B5494" s="28" t="e">
        <f>interpola(#REF!,CURVA!$B$6:$B$20,CURVA!$G$6:$G$20)</f>
        <v>#VALUE!</v>
      </c>
      <c r="C5494" s="29" t="e">
        <f t="shared" si="85"/>
        <v>#VALUE!</v>
      </c>
      <c r="E5494" t="e">
        <f>cubic_spline(CURVA!$B$6:$B$20,CURVA!$G$6:$G$20,#REF!)</f>
        <v>#VALUE!</v>
      </c>
    </row>
    <row r="5495" spans="1:5" x14ac:dyDescent="0.2">
      <c r="A5495" s="28">
        <v>5494</v>
      </c>
      <c r="B5495" s="28" t="e">
        <f>interpola(#REF!,CURVA!$B$6:$B$20,CURVA!$G$6:$G$20)</f>
        <v>#VALUE!</v>
      </c>
      <c r="C5495" s="29" t="e">
        <f t="shared" si="85"/>
        <v>#VALUE!</v>
      </c>
      <c r="E5495" t="e">
        <f>cubic_spline(CURVA!$B$6:$B$20,CURVA!$G$6:$G$20,#REF!)</f>
        <v>#VALUE!</v>
      </c>
    </row>
    <row r="5496" spans="1:5" x14ac:dyDescent="0.2">
      <c r="A5496" s="28">
        <v>5495</v>
      </c>
      <c r="B5496" s="28" t="e">
        <f>interpola(#REF!,CURVA!$B$6:$B$20,CURVA!$G$6:$G$20)</f>
        <v>#VALUE!</v>
      </c>
      <c r="C5496" s="29" t="e">
        <f t="shared" si="85"/>
        <v>#VALUE!</v>
      </c>
      <c r="E5496" t="e">
        <f>cubic_spline(CURVA!$B$6:$B$20,CURVA!$G$6:$G$20,#REF!)</f>
        <v>#VALUE!</v>
      </c>
    </row>
    <row r="5497" spans="1:5" x14ac:dyDescent="0.2">
      <c r="A5497" s="28">
        <v>5496</v>
      </c>
      <c r="B5497" s="28" t="e">
        <f>interpola(#REF!,CURVA!$B$6:$B$20,CURVA!$G$6:$G$20)</f>
        <v>#VALUE!</v>
      </c>
      <c r="C5497" s="29" t="e">
        <f t="shared" si="85"/>
        <v>#VALUE!</v>
      </c>
      <c r="E5497" t="e">
        <f>cubic_spline(CURVA!$B$6:$B$20,CURVA!$G$6:$G$20,#REF!)</f>
        <v>#VALUE!</v>
      </c>
    </row>
    <row r="5498" spans="1:5" x14ac:dyDescent="0.2">
      <c r="A5498" s="28">
        <v>5497</v>
      </c>
      <c r="B5498" s="28" t="e">
        <f>interpola(#REF!,CURVA!$B$6:$B$20,CURVA!$G$6:$G$20)</f>
        <v>#VALUE!</v>
      </c>
      <c r="C5498" s="29" t="e">
        <f t="shared" si="85"/>
        <v>#VALUE!</v>
      </c>
      <c r="E5498" t="e">
        <f>cubic_spline(CURVA!$B$6:$B$20,CURVA!$G$6:$G$20,#REF!)</f>
        <v>#VALUE!</v>
      </c>
    </row>
    <row r="5499" spans="1:5" x14ac:dyDescent="0.2">
      <c r="A5499" s="28">
        <v>5498</v>
      </c>
      <c r="B5499" s="28" t="e">
        <f>interpola(#REF!,CURVA!$B$6:$B$20,CURVA!$G$6:$G$20)</f>
        <v>#VALUE!</v>
      </c>
      <c r="C5499" s="29" t="e">
        <f t="shared" si="85"/>
        <v>#VALUE!</v>
      </c>
      <c r="E5499" t="e">
        <f>cubic_spline(CURVA!$B$6:$B$20,CURVA!$G$6:$G$20,#REF!)</f>
        <v>#VALUE!</v>
      </c>
    </row>
    <row r="5500" spans="1:5" x14ac:dyDescent="0.2">
      <c r="A5500" s="28">
        <v>5499</v>
      </c>
      <c r="B5500" s="28" t="e">
        <f>interpola(#REF!,CURVA!$B$6:$B$20,CURVA!$G$6:$G$20)</f>
        <v>#VALUE!</v>
      </c>
      <c r="C5500" s="29" t="e">
        <f t="shared" si="85"/>
        <v>#VALUE!</v>
      </c>
      <c r="E5500" t="e">
        <f>cubic_spline(CURVA!$B$6:$B$20,CURVA!$G$6:$G$20,#REF!)</f>
        <v>#VALUE!</v>
      </c>
    </row>
    <row r="5501" spans="1:5" x14ac:dyDescent="0.2">
      <c r="A5501" s="28">
        <v>5500</v>
      </c>
      <c r="B5501" s="28" t="e">
        <f>interpola(#REF!,CURVA!$B$6:$B$20,CURVA!$G$6:$G$20)</f>
        <v>#VALUE!</v>
      </c>
      <c r="C5501" s="29" t="e">
        <f t="shared" si="85"/>
        <v>#VALUE!</v>
      </c>
      <c r="E5501" t="e">
        <f>cubic_spline(CURVA!$B$6:$B$20,CURVA!$G$6:$G$20,#REF!)</f>
        <v>#VALUE!</v>
      </c>
    </row>
    <row r="5502" spans="1:5" x14ac:dyDescent="0.2">
      <c r="A5502" s="28">
        <v>5501</v>
      </c>
      <c r="B5502" s="28" t="e">
        <f>interpola(#REF!,CURVA!$B$6:$B$20,CURVA!$G$6:$G$20)</f>
        <v>#VALUE!</v>
      </c>
      <c r="C5502" s="29" t="e">
        <f t="shared" si="85"/>
        <v>#VALUE!</v>
      </c>
      <c r="E5502" t="e">
        <f>cubic_spline(CURVA!$B$6:$B$20,CURVA!$G$6:$G$20,#REF!)</f>
        <v>#VALUE!</v>
      </c>
    </row>
    <row r="5503" spans="1:5" x14ac:dyDescent="0.2">
      <c r="A5503" s="28">
        <v>5502</v>
      </c>
      <c r="B5503" s="28" t="e">
        <f>interpola(#REF!,CURVA!$B$6:$B$20,CURVA!$G$6:$G$20)</f>
        <v>#VALUE!</v>
      </c>
      <c r="C5503" s="29" t="e">
        <f t="shared" si="85"/>
        <v>#VALUE!</v>
      </c>
      <c r="E5503" t="e">
        <f>cubic_spline(CURVA!$B$6:$B$20,CURVA!$G$6:$G$20,#REF!)</f>
        <v>#VALUE!</v>
      </c>
    </row>
    <row r="5504" spans="1:5" x14ac:dyDescent="0.2">
      <c r="A5504" s="28">
        <v>5503</v>
      </c>
      <c r="B5504" s="28" t="e">
        <f>interpola(#REF!,CURVA!$B$6:$B$20,CURVA!$G$6:$G$20)</f>
        <v>#VALUE!</v>
      </c>
      <c r="C5504" s="29" t="e">
        <f t="shared" si="85"/>
        <v>#VALUE!</v>
      </c>
      <c r="E5504" t="e">
        <f>cubic_spline(CURVA!$B$6:$B$20,CURVA!$G$6:$G$20,#REF!)</f>
        <v>#VALUE!</v>
      </c>
    </row>
    <row r="5505" spans="1:5" x14ac:dyDescent="0.2">
      <c r="A5505" s="28">
        <v>5504</v>
      </c>
      <c r="B5505" s="28" t="e">
        <f>interpola(#REF!,CURVA!$B$6:$B$20,CURVA!$G$6:$G$20)</f>
        <v>#VALUE!</v>
      </c>
      <c r="C5505" s="29" t="e">
        <f t="shared" si="85"/>
        <v>#VALUE!</v>
      </c>
      <c r="E5505" t="e">
        <f>cubic_spline(CURVA!$B$6:$B$20,CURVA!$G$6:$G$20,#REF!)</f>
        <v>#VALUE!</v>
      </c>
    </row>
    <row r="5506" spans="1:5" x14ac:dyDescent="0.2">
      <c r="A5506" s="28">
        <v>5505</v>
      </c>
      <c r="B5506" s="28" t="e">
        <f>interpola(#REF!,CURVA!$B$6:$B$20,CURVA!$G$6:$G$20)</f>
        <v>#VALUE!</v>
      </c>
      <c r="C5506" s="29" t="e">
        <f t="shared" ref="C5506:C5569" si="86">(EXP(B5506*A5506/360)-1)*360/A5506</f>
        <v>#VALUE!</v>
      </c>
      <c r="E5506" t="e">
        <f>cubic_spline(CURVA!$B$6:$B$20,CURVA!$G$6:$G$20,#REF!)</f>
        <v>#VALUE!</v>
      </c>
    </row>
    <row r="5507" spans="1:5" x14ac:dyDescent="0.2">
      <c r="A5507" s="28">
        <v>5506</v>
      </c>
      <c r="B5507" s="28" t="e">
        <f>interpola(#REF!,CURVA!$B$6:$B$20,CURVA!$G$6:$G$20)</f>
        <v>#VALUE!</v>
      </c>
      <c r="C5507" s="29" t="e">
        <f t="shared" si="86"/>
        <v>#VALUE!</v>
      </c>
      <c r="E5507" t="e">
        <f>cubic_spline(CURVA!$B$6:$B$20,CURVA!$G$6:$G$20,#REF!)</f>
        <v>#VALUE!</v>
      </c>
    </row>
    <row r="5508" spans="1:5" x14ac:dyDescent="0.2">
      <c r="A5508" s="28">
        <v>5507</v>
      </c>
      <c r="B5508" s="28" t="e">
        <f>interpola(#REF!,CURVA!$B$6:$B$20,CURVA!$G$6:$G$20)</f>
        <v>#VALUE!</v>
      </c>
      <c r="C5508" s="29" t="e">
        <f t="shared" si="86"/>
        <v>#VALUE!</v>
      </c>
      <c r="E5508" t="e">
        <f>cubic_spline(CURVA!$B$6:$B$20,CURVA!$G$6:$G$20,#REF!)</f>
        <v>#VALUE!</v>
      </c>
    </row>
    <row r="5509" spans="1:5" x14ac:dyDescent="0.2">
      <c r="A5509" s="28">
        <v>5508</v>
      </c>
      <c r="B5509" s="28" t="e">
        <f>interpola(#REF!,CURVA!$B$6:$B$20,CURVA!$G$6:$G$20)</f>
        <v>#VALUE!</v>
      </c>
      <c r="C5509" s="29" t="e">
        <f t="shared" si="86"/>
        <v>#VALUE!</v>
      </c>
      <c r="E5509" t="e">
        <f>cubic_spline(CURVA!$B$6:$B$20,CURVA!$G$6:$G$20,#REF!)</f>
        <v>#VALUE!</v>
      </c>
    </row>
    <row r="5510" spans="1:5" x14ac:dyDescent="0.2">
      <c r="A5510" s="28">
        <v>5509</v>
      </c>
      <c r="B5510" s="28" t="e">
        <f>interpola(#REF!,CURVA!$B$6:$B$20,CURVA!$G$6:$G$20)</f>
        <v>#VALUE!</v>
      </c>
      <c r="C5510" s="29" t="e">
        <f t="shared" si="86"/>
        <v>#VALUE!</v>
      </c>
      <c r="E5510" t="e">
        <f>cubic_spline(CURVA!$B$6:$B$20,CURVA!$G$6:$G$20,#REF!)</f>
        <v>#VALUE!</v>
      </c>
    </row>
    <row r="5511" spans="1:5" x14ac:dyDescent="0.2">
      <c r="A5511" s="28">
        <v>5510</v>
      </c>
      <c r="B5511" s="28" t="e">
        <f>interpola(#REF!,CURVA!$B$6:$B$20,CURVA!$G$6:$G$20)</f>
        <v>#VALUE!</v>
      </c>
      <c r="C5511" s="29" t="e">
        <f t="shared" si="86"/>
        <v>#VALUE!</v>
      </c>
      <c r="E5511" t="e">
        <f>cubic_spline(CURVA!$B$6:$B$20,CURVA!$G$6:$G$20,#REF!)</f>
        <v>#VALUE!</v>
      </c>
    </row>
    <row r="5512" spans="1:5" x14ac:dyDescent="0.2">
      <c r="A5512" s="28">
        <v>5511</v>
      </c>
      <c r="B5512" s="28" t="e">
        <f>interpola(#REF!,CURVA!$B$6:$B$20,CURVA!$G$6:$G$20)</f>
        <v>#VALUE!</v>
      </c>
      <c r="C5512" s="29" t="e">
        <f t="shared" si="86"/>
        <v>#VALUE!</v>
      </c>
      <c r="E5512" t="e">
        <f>cubic_spline(CURVA!$B$6:$B$20,CURVA!$G$6:$G$20,#REF!)</f>
        <v>#VALUE!</v>
      </c>
    </row>
    <row r="5513" spans="1:5" x14ac:dyDescent="0.2">
      <c r="A5513" s="28">
        <v>5512</v>
      </c>
      <c r="B5513" s="28" t="e">
        <f>interpola(#REF!,CURVA!$B$6:$B$20,CURVA!$G$6:$G$20)</f>
        <v>#VALUE!</v>
      </c>
      <c r="C5513" s="29" t="e">
        <f t="shared" si="86"/>
        <v>#VALUE!</v>
      </c>
      <c r="E5513" t="e">
        <f>cubic_spline(CURVA!$B$6:$B$20,CURVA!$G$6:$G$20,#REF!)</f>
        <v>#VALUE!</v>
      </c>
    </row>
    <row r="5514" spans="1:5" x14ac:dyDescent="0.2">
      <c r="A5514" s="28">
        <v>5513</v>
      </c>
      <c r="B5514" s="28" t="e">
        <f>interpola(#REF!,CURVA!$B$6:$B$20,CURVA!$G$6:$G$20)</f>
        <v>#VALUE!</v>
      </c>
      <c r="C5514" s="29" t="e">
        <f t="shared" si="86"/>
        <v>#VALUE!</v>
      </c>
      <c r="E5514" t="e">
        <f>cubic_spline(CURVA!$B$6:$B$20,CURVA!$G$6:$G$20,#REF!)</f>
        <v>#VALUE!</v>
      </c>
    </row>
    <row r="5515" spans="1:5" x14ac:dyDescent="0.2">
      <c r="A5515" s="28">
        <v>5514</v>
      </c>
      <c r="B5515" s="28" t="e">
        <f>interpola(#REF!,CURVA!$B$6:$B$20,CURVA!$G$6:$G$20)</f>
        <v>#VALUE!</v>
      </c>
      <c r="C5515" s="29" t="e">
        <f t="shared" si="86"/>
        <v>#VALUE!</v>
      </c>
      <c r="E5515" t="e">
        <f>cubic_spline(CURVA!$B$6:$B$20,CURVA!$G$6:$G$20,#REF!)</f>
        <v>#VALUE!</v>
      </c>
    </row>
    <row r="5516" spans="1:5" x14ac:dyDescent="0.2">
      <c r="A5516" s="28">
        <v>5515</v>
      </c>
      <c r="B5516" s="28" t="e">
        <f>interpola(#REF!,CURVA!$B$6:$B$20,CURVA!$G$6:$G$20)</f>
        <v>#VALUE!</v>
      </c>
      <c r="C5516" s="29" t="e">
        <f t="shared" si="86"/>
        <v>#VALUE!</v>
      </c>
      <c r="E5516" t="e">
        <f>cubic_spline(CURVA!$B$6:$B$20,CURVA!$G$6:$G$20,#REF!)</f>
        <v>#VALUE!</v>
      </c>
    </row>
    <row r="5517" spans="1:5" x14ac:dyDescent="0.2">
      <c r="A5517" s="28">
        <v>5516</v>
      </c>
      <c r="B5517" s="28" t="e">
        <f>interpola(#REF!,CURVA!$B$6:$B$20,CURVA!$G$6:$G$20)</f>
        <v>#VALUE!</v>
      </c>
      <c r="C5517" s="29" t="e">
        <f t="shared" si="86"/>
        <v>#VALUE!</v>
      </c>
      <c r="E5517" t="e">
        <f>cubic_spline(CURVA!$B$6:$B$20,CURVA!$G$6:$G$20,#REF!)</f>
        <v>#VALUE!</v>
      </c>
    </row>
    <row r="5518" spans="1:5" x14ac:dyDescent="0.2">
      <c r="A5518" s="28">
        <v>5517</v>
      </c>
      <c r="B5518" s="28" t="e">
        <f>interpola(#REF!,CURVA!$B$6:$B$20,CURVA!$G$6:$G$20)</f>
        <v>#VALUE!</v>
      </c>
      <c r="C5518" s="29" t="e">
        <f t="shared" si="86"/>
        <v>#VALUE!</v>
      </c>
      <c r="E5518" t="e">
        <f>cubic_spline(CURVA!$B$6:$B$20,CURVA!$G$6:$G$20,#REF!)</f>
        <v>#VALUE!</v>
      </c>
    </row>
    <row r="5519" spans="1:5" x14ac:dyDescent="0.2">
      <c r="A5519" s="28">
        <v>5518</v>
      </c>
      <c r="B5519" s="28" t="e">
        <f>interpola(#REF!,CURVA!$B$6:$B$20,CURVA!$G$6:$G$20)</f>
        <v>#VALUE!</v>
      </c>
      <c r="C5519" s="29" t="e">
        <f t="shared" si="86"/>
        <v>#VALUE!</v>
      </c>
      <c r="E5519" t="e">
        <f>cubic_spline(CURVA!$B$6:$B$20,CURVA!$G$6:$G$20,#REF!)</f>
        <v>#VALUE!</v>
      </c>
    </row>
    <row r="5520" spans="1:5" x14ac:dyDescent="0.2">
      <c r="A5520" s="28">
        <v>5519</v>
      </c>
      <c r="B5520" s="28" t="e">
        <f>interpola(#REF!,CURVA!$B$6:$B$20,CURVA!$G$6:$G$20)</f>
        <v>#VALUE!</v>
      </c>
      <c r="C5520" s="29" t="e">
        <f t="shared" si="86"/>
        <v>#VALUE!</v>
      </c>
      <c r="E5520" t="e">
        <f>cubic_spline(CURVA!$B$6:$B$20,CURVA!$G$6:$G$20,#REF!)</f>
        <v>#VALUE!</v>
      </c>
    </row>
    <row r="5521" spans="1:5" x14ac:dyDescent="0.2">
      <c r="A5521" s="28">
        <v>5520</v>
      </c>
      <c r="B5521" s="28" t="e">
        <f>interpola(#REF!,CURVA!$B$6:$B$20,CURVA!$G$6:$G$20)</f>
        <v>#VALUE!</v>
      </c>
      <c r="C5521" s="29" t="e">
        <f t="shared" si="86"/>
        <v>#VALUE!</v>
      </c>
      <c r="E5521" t="e">
        <f>cubic_spline(CURVA!$B$6:$B$20,CURVA!$G$6:$G$20,#REF!)</f>
        <v>#VALUE!</v>
      </c>
    </row>
    <row r="5522" spans="1:5" x14ac:dyDescent="0.2">
      <c r="A5522" s="28">
        <v>5521</v>
      </c>
      <c r="B5522" s="28" t="e">
        <f>interpola(#REF!,CURVA!$B$6:$B$20,CURVA!$G$6:$G$20)</f>
        <v>#VALUE!</v>
      </c>
      <c r="C5522" s="29" t="e">
        <f t="shared" si="86"/>
        <v>#VALUE!</v>
      </c>
      <c r="E5522" t="e">
        <f>cubic_spline(CURVA!$B$6:$B$20,CURVA!$G$6:$G$20,#REF!)</f>
        <v>#VALUE!</v>
      </c>
    </row>
    <row r="5523" spans="1:5" x14ac:dyDescent="0.2">
      <c r="A5523" s="28">
        <v>5522</v>
      </c>
      <c r="B5523" s="28" t="e">
        <f>interpola(#REF!,CURVA!$B$6:$B$20,CURVA!$G$6:$G$20)</f>
        <v>#VALUE!</v>
      </c>
      <c r="C5523" s="29" t="e">
        <f t="shared" si="86"/>
        <v>#VALUE!</v>
      </c>
      <c r="E5523" t="e">
        <f>cubic_spline(CURVA!$B$6:$B$20,CURVA!$G$6:$G$20,#REF!)</f>
        <v>#VALUE!</v>
      </c>
    </row>
    <row r="5524" spans="1:5" x14ac:dyDescent="0.2">
      <c r="A5524" s="28">
        <v>5523</v>
      </c>
      <c r="B5524" s="28" t="e">
        <f>interpola(#REF!,CURVA!$B$6:$B$20,CURVA!$G$6:$G$20)</f>
        <v>#VALUE!</v>
      </c>
      <c r="C5524" s="29" t="e">
        <f t="shared" si="86"/>
        <v>#VALUE!</v>
      </c>
      <c r="E5524" t="e">
        <f>cubic_spline(CURVA!$B$6:$B$20,CURVA!$G$6:$G$20,#REF!)</f>
        <v>#VALUE!</v>
      </c>
    </row>
    <row r="5525" spans="1:5" x14ac:dyDescent="0.2">
      <c r="A5525" s="28">
        <v>5524</v>
      </c>
      <c r="B5525" s="28" t="e">
        <f>interpola(#REF!,CURVA!$B$6:$B$20,CURVA!$G$6:$G$20)</f>
        <v>#VALUE!</v>
      </c>
      <c r="C5525" s="29" t="e">
        <f t="shared" si="86"/>
        <v>#VALUE!</v>
      </c>
      <c r="E5525" t="e">
        <f>cubic_spline(CURVA!$B$6:$B$20,CURVA!$G$6:$G$20,#REF!)</f>
        <v>#VALUE!</v>
      </c>
    </row>
    <row r="5526" spans="1:5" x14ac:dyDescent="0.2">
      <c r="A5526" s="28">
        <v>5525</v>
      </c>
      <c r="B5526" s="28" t="e">
        <f>interpola(#REF!,CURVA!$B$6:$B$20,CURVA!$G$6:$G$20)</f>
        <v>#VALUE!</v>
      </c>
      <c r="C5526" s="29" t="e">
        <f t="shared" si="86"/>
        <v>#VALUE!</v>
      </c>
      <c r="E5526" t="e">
        <f>cubic_spline(CURVA!$B$6:$B$20,CURVA!$G$6:$G$20,#REF!)</f>
        <v>#VALUE!</v>
      </c>
    </row>
    <row r="5527" spans="1:5" x14ac:dyDescent="0.2">
      <c r="A5527" s="28">
        <v>5526</v>
      </c>
      <c r="B5527" s="28" t="e">
        <f>interpola(#REF!,CURVA!$B$6:$B$20,CURVA!$G$6:$G$20)</f>
        <v>#VALUE!</v>
      </c>
      <c r="C5527" s="29" t="e">
        <f t="shared" si="86"/>
        <v>#VALUE!</v>
      </c>
      <c r="E5527" t="e">
        <f>cubic_spline(CURVA!$B$6:$B$20,CURVA!$G$6:$G$20,#REF!)</f>
        <v>#VALUE!</v>
      </c>
    </row>
    <row r="5528" spans="1:5" x14ac:dyDescent="0.2">
      <c r="A5528" s="28">
        <v>5527</v>
      </c>
      <c r="B5528" s="28" t="e">
        <f>interpola(#REF!,CURVA!$B$6:$B$20,CURVA!$G$6:$G$20)</f>
        <v>#VALUE!</v>
      </c>
      <c r="C5528" s="29" t="e">
        <f t="shared" si="86"/>
        <v>#VALUE!</v>
      </c>
      <c r="E5528" t="e">
        <f>cubic_spline(CURVA!$B$6:$B$20,CURVA!$G$6:$G$20,#REF!)</f>
        <v>#VALUE!</v>
      </c>
    </row>
    <row r="5529" spans="1:5" x14ac:dyDescent="0.2">
      <c r="A5529" s="28">
        <v>5528</v>
      </c>
      <c r="B5529" s="28" t="e">
        <f>interpola(#REF!,CURVA!$B$6:$B$20,CURVA!$G$6:$G$20)</f>
        <v>#VALUE!</v>
      </c>
      <c r="C5529" s="29" t="e">
        <f t="shared" si="86"/>
        <v>#VALUE!</v>
      </c>
      <c r="E5529" t="e">
        <f>cubic_spline(CURVA!$B$6:$B$20,CURVA!$G$6:$G$20,#REF!)</f>
        <v>#VALUE!</v>
      </c>
    </row>
    <row r="5530" spans="1:5" x14ac:dyDescent="0.2">
      <c r="A5530" s="28">
        <v>5529</v>
      </c>
      <c r="B5530" s="28" t="e">
        <f>interpola(#REF!,CURVA!$B$6:$B$20,CURVA!$G$6:$G$20)</f>
        <v>#VALUE!</v>
      </c>
      <c r="C5530" s="29" t="e">
        <f t="shared" si="86"/>
        <v>#VALUE!</v>
      </c>
      <c r="E5530" t="e">
        <f>cubic_spline(CURVA!$B$6:$B$20,CURVA!$G$6:$G$20,#REF!)</f>
        <v>#VALUE!</v>
      </c>
    </row>
    <row r="5531" spans="1:5" x14ac:dyDescent="0.2">
      <c r="A5531" s="28">
        <v>5530</v>
      </c>
      <c r="B5531" s="28" t="e">
        <f>interpola(#REF!,CURVA!$B$6:$B$20,CURVA!$G$6:$G$20)</f>
        <v>#VALUE!</v>
      </c>
      <c r="C5531" s="29" t="e">
        <f t="shared" si="86"/>
        <v>#VALUE!</v>
      </c>
      <c r="E5531" t="e">
        <f>cubic_spline(CURVA!$B$6:$B$20,CURVA!$G$6:$G$20,#REF!)</f>
        <v>#VALUE!</v>
      </c>
    </row>
    <row r="5532" spans="1:5" x14ac:dyDescent="0.2">
      <c r="A5532" s="28">
        <v>5531</v>
      </c>
      <c r="B5532" s="28" t="e">
        <f>interpola(#REF!,CURVA!$B$6:$B$20,CURVA!$G$6:$G$20)</f>
        <v>#VALUE!</v>
      </c>
      <c r="C5532" s="29" t="e">
        <f t="shared" si="86"/>
        <v>#VALUE!</v>
      </c>
      <c r="E5532" t="e">
        <f>cubic_spline(CURVA!$B$6:$B$20,CURVA!$G$6:$G$20,#REF!)</f>
        <v>#VALUE!</v>
      </c>
    </row>
    <row r="5533" spans="1:5" x14ac:dyDescent="0.2">
      <c r="A5533" s="28">
        <v>5532</v>
      </c>
      <c r="B5533" s="28" t="e">
        <f>interpola(#REF!,CURVA!$B$6:$B$20,CURVA!$G$6:$G$20)</f>
        <v>#VALUE!</v>
      </c>
      <c r="C5533" s="29" t="e">
        <f t="shared" si="86"/>
        <v>#VALUE!</v>
      </c>
      <c r="E5533" t="e">
        <f>cubic_spline(CURVA!$B$6:$B$20,CURVA!$G$6:$G$20,#REF!)</f>
        <v>#VALUE!</v>
      </c>
    </row>
    <row r="5534" spans="1:5" x14ac:dyDescent="0.2">
      <c r="A5534" s="28">
        <v>5533</v>
      </c>
      <c r="B5534" s="28" t="e">
        <f>interpola(#REF!,CURVA!$B$6:$B$20,CURVA!$G$6:$G$20)</f>
        <v>#VALUE!</v>
      </c>
      <c r="C5534" s="29" t="e">
        <f t="shared" si="86"/>
        <v>#VALUE!</v>
      </c>
      <c r="E5534" t="e">
        <f>cubic_spline(CURVA!$B$6:$B$20,CURVA!$G$6:$G$20,#REF!)</f>
        <v>#VALUE!</v>
      </c>
    </row>
    <row r="5535" spans="1:5" x14ac:dyDescent="0.2">
      <c r="A5535" s="28">
        <v>5534</v>
      </c>
      <c r="B5535" s="28" t="e">
        <f>interpola(#REF!,CURVA!$B$6:$B$20,CURVA!$G$6:$G$20)</f>
        <v>#VALUE!</v>
      </c>
      <c r="C5535" s="29" t="e">
        <f t="shared" si="86"/>
        <v>#VALUE!</v>
      </c>
      <c r="E5535" t="e">
        <f>cubic_spline(CURVA!$B$6:$B$20,CURVA!$G$6:$G$20,#REF!)</f>
        <v>#VALUE!</v>
      </c>
    </row>
    <row r="5536" spans="1:5" x14ac:dyDescent="0.2">
      <c r="A5536" s="28">
        <v>5535</v>
      </c>
      <c r="B5536" s="28" t="e">
        <f>interpola(#REF!,CURVA!$B$6:$B$20,CURVA!$G$6:$G$20)</f>
        <v>#VALUE!</v>
      </c>
      <c r="C5536" s="29" t="e">
        <f t="shared" si="86"/>
        <v>#VALUE!</v>
      </c>
      <c r="E5536" t="e">
        <f>cubic_spline(CURVA!$B$6:$B$20,CURVA!$G$6:$G$20,#REF!)</f>
        <v>#VALUE!</v>
      </c>
    </row>
    <row r="5537" spans="1:5" x14ac:dyDescent="0.2">
      <c r="A5537" s="28">
        <v>5536</v>
      </c>
      <c r="B5537" s="28" t="e">
        <f>interpola(#REF!,CURVA!$B$6:$B$20,CURVA!$G$6:$G$20)</f>
        <v>#VALUE!</v>
      </c>
      <c r="C5537" s="29" t="e">
        <f t="shared" si="86"/>
        <v>#VALUE!</v>
      </c>
      <c r="E5537" t="e">
        <f>cubic_spline(CURVA!$B$6:$B$20,CURVA!$G$6:$G$20,#REF!)</f>
        <v>#VALUE!</v>
      </c>
    </row>
    <row r="5538" spans="1:5" x14ac:dyDescent="0.2">
      <c r="A5538" s="28">
        <v>5537</v>
      </c>
      <c r="B5538" s="28" t="e">
        <f>interpola(#REF!,CURVA!$B$6:$B$20,CURVA!$G$6:$G$20)</f>
        <v>#VALUE!</v>
      </c>
      <c r="C5538" s="29" t="e">
        <f t="shared" si="86"/>
        <v>#VALUE!</v>
      </c>
      <c r="E5538" t="e">
        <f>cubic_spline(CURVA!$B$6:$B$20,CURVA!$G$6:$G$20,#REF!)</f>
        <v>#VALUE!</v>
      </c>
    </row>
    <row r="5539" spans="1:5" x14ac:dyDescent="0.2">
      <c r="A5539" s="28">
        <v>5538</v>
      </c>
      <c r="B5539" s="28" t="e">
        <f>interpola(#REF!,CURVA!$B$6:$B$20,CURVA!$G$6:$G$20)</f>
        <v>#VALUE!</v>
      </c>
      <c r="C5539" s="29" t="e">
        <f t="shared" si="86"/>
        <v>#VALUE!</v>
      </c>
      <c r="E5539" t="e">
        <f>cubic_spline(CURVA!$B$6:$B$20,CURVA!$G$6:$G$20,#REF!)</f>
        <v>#VALUE!</v>
      </c>
    </row>
    <row r="5540" spans="1:5" x14ac:dyDescent="0.2">
      <c r="A5540" s="28">
        <v>5539</v>
      </c>
      <c r="B5540" s="28" t="e">
        <f>interpola(#REF!,CURVA!$B$6:$B$20,CURVA!$G$6:$G$20)</f>
        <v>#VALUE!</v>
      </c>
      <c r="C5540" s="29" t="e">
        <f t="shared" si="86"/>
        <v>#VALUE!</v>
      </c>
      <c r="E5540" t="e">
        <f>cubic_spline(CURVA!$B$6:$B$20,CURVA!$G$6:$G$20,#REF!)</f>
        <v>#VALUE!</v>
      </c>
    </row>
    <row r="5541" spans="1:5" x14ac:dyDescent="0.2">
      <c r="A5541" s="28">
        <v>5540</v>
      </c>
      <c r="B5541" s="28" t="e">
        <f>interpola(#REF!,CURVA!$B$6:$B$20,CURVA!$G$6:$G$20)</f>
        <v>#VALUE!</v>
      </c>
      <c r="C5541" s="29" t="e">
        <f t="shared" si="86"/>
        <v>#VALUE!</v>
      </c>
      <c r="E5541" t="e">
        <f>cubic_spline(CURVA!$B$6:$B$20,CURVA!$G$6:$G$20,#REF!)</f>
        <v>#VALUE!</v>
      </c>
    </row>
    <row r="5542" spans="1:5" x14ac:dyDescent="0.2">
      <c r="A5542" s="28">
        <v>5541</v>
      </c>
      <c r="B5542" s="28" t="e">
        <f>interpola(#REF!,CURVA!$B$6:$B$20,CURVA!$G$6:$G$20)</f>
        <v>#VALUE!</v>
      </c>
      <c r="C5542" s="29" t="e">
        <f t="shared" si="86"/>
        <v>#VALUE!</v>
      </c>
      <c r="E5542" t="e">
        <f>cubic_spline(CURVA!$B$6:$B$20,CURVA!$G$6:$G$20,#REF!)</f>
        <v>#VALUE!</v>
      </c>
    </row>
    <row r="5543" spans="1:5" x14ac:dyDescent="0.2">
      <c r="A5543" s="28">
        <v>5542</v>
      </c>
      <c r="B5543" s="28" t="e">
        <f>interpola(#REF!,CURVA!$B$6:$B$20,CURVA!$G$6:$G$20)</f>
        <v>#VALUE!</v>
      </c>
      <c r="C5543" s="29" t="e">
        <f t="shared" si="86"/>
        <v>#VALUE!</v>
      </c>
      <c r="E5543" t="e">
        <f>cubic_spline(CURVA!$B$6:$B$20,CURVA!$G$6:$G$20,#REF!)</f>
        <v>#VALUE!</v>
      </c>
    </row>
    <row r="5544" spans="1:5" x14ac:dyDescent="0.2">
      <c r="A5544" s="28">
        <v>5543</v>
      </c>
      <c r="B5544" s="28" t="e">
        <f>interpola(#REF!,CURVA!$B$6:$B$20,CURVA!$G$6:$G$20)</f>
        <v>#VALUE!</v>
      </c>
      <c r="C5544" s="29" t="e">
        <f t="shared" si="86"/>
        <v>#VALUE!</v>
      </c>
      <c r="E5544" t="e">
        <f>cubic_spline(CURVA!$B$6:$B$20,CURVA!$G$6:$G$20,#REF!)</f>
        <v>#VALUE!</v>
      </c>
    </row>
    <row r="5545" spans="1:5" x14ac:dyDescent="0.2">
      <c r="A5545" s="28">
        <v>5544</v>
      </c>
      <c r="B5545" s="28" t="e">
        <f>interpola(#REF!,CURVA!$B$6:$B$20,CURVA!$G$6:$G$20)</f>
        <v>#VALUE!</v>
      </c>
      <c r="C5545" s="29" t="e">
        <f t="shared" si="86"/>
        <v>#VALUE!</v>
      </c>
      <c r="E5545" t="e">
        <f>cubic_spline(CURVA!$B$6:$B$20,CURVA!$G$6:$G$20,#REF!)</f>
        <v>#VALUE!</v>
      </c>
    </row>
    <row r="5546" spans="1:5" x14ac:dyDescent="0.2">
      <c r="A5546" s="28">
        <v>5545</v>
      </c>
      <c r="B5546" s="28" t="e">
        <f>interpola(#REF!,CURVA!$B$6:$B$20,CURVA!$G$6:$G$20)</f>
        <v>#VALUE!</v>
      </c>
      <c r="C5546" s="29" t="e">
        <f t="shared" si="86"/>
        <v>#VALUE!</v>
      </c>
      <c r="E5546" t="e">
        <f>cubic_spline(CURVA!$B$6:$B$20,CURVA!$G$6:$G$20,#REF!)</f>
        <v>#VALUE!</v>
      </c>
    </row>
    <row r="5547" spans="1:5" x14ac:dyDescent="0.2">
      <c r="A5547" s="28">
        <v>5546</v>
      </c>
      <c r="B5547" s="28" t="e">
        <f>interpola(#REF!,CURVA!$B$6:$B$20,CURVA!$G$6:$G$20)</f>
        <v>#VALUE!</v>
      </c>
      <c r="C5547" s="29" t="e">
        <f t="shared" si="86"/>
        <v>#VALUE!</v>
      </c>
      <c r="E5547" t="e">
        <f>cubic_spline(CURVA!$B$6:$B$20,CURVA!$G$6:$G$20,#REF!)</f>
        <v>#VALUE!</v>
      </c>
    </row>
    <row r="5548" spans="1:5" x14ac:dyDescent="0.2">
      <c r="A5548" s="28">
        <v>5547</v>
      </c>
      <c r="B5548" s="28" t="e">
        <f>interpola(#REF!,CURVA!$B$6:$B$20,CURVA!$G$6:$G$20)</f>
        <v>#VALUE!</v>
      </c>
      <c r="C5548" s="29" t="e">
        <f t="shared" si="86"/>
        <v>#VALUE!</v>
      </c>
      <c r="E5548" t="e">
        <f>cubic_spline(CURVA!$B$6:$B$20,CURVA!$G$6:$G$20,#REF!)</f>
        <v>#VALUE!</v>
      </c>
    </row>
    <row r="5549" spans="1:5" x14ac:dyDescent="0.2">
      <c r="A5549" s="28">
        <v>5548</v>
      </c>
      <c r="B5549" s="28" t="e">
        <f>interpola(#REF!,CURVA!$B$6:$B$20,CURVA!$G$6:$G$20)</f>
        <v>#VALUE!</v>
      </c>
      <c r="C5549" s="29" t="e">
        <f t="shared" si="86"/>
        <v>#VALUE!</v>
      </c>
      <c r="E5549" t="e">
        <f>cubic_spline(CURVA!$B$6:$B$20,CURVA!$G$6:$G$20,#REF!)</f>
        <v>#VALUE!</v>
      </c>
    </row>
    <row r="5550" spans="1:5" x14ac:dyDescent="0.2">
      <c r="A5550" s="28">
        <v>5549</v>
      </c>
      <c r="B5550" s="28" t="e">
        <f>interpola(#REF!,CURVA!$B$6:$B$20,CURVA!$G$6:$G$20)</f>
        <v>#VALUE!</v>
      </c>
      <c r="C5550" s="29" t="e">
        <f t="shared" si="86"/>
        <v>#VALUE!</v>
      </c>
      <c r="E5550" t="e">
        <f>cubic_spline(CURVA!$B$6:$B$20,CURVA!$G$6:$G$20,#REF!)</f>
        <v>#VALUE!</v>
      </c>
    </row>
    <row r="5551" spans="1:5" x14ac:dyDescent="0.2">
      <c r="A5551" s="28">
        <v>5550</v>
      </c>
      <c r="B5551" s="28" t="e">
        <f>interpola(#REF!,CURVA!$B$6:$B$20,CURVA!$G$6:$G$20)</f>
        <v>#VALUE!</v>
      </c>
      <c r="C5551" s="29" t="e">
        <f t="shared" si="86"/>
        <v>#VALUE!</v>
      </c>
      <c r="E5551" t="e">
        <f>cubic_spline(CURVA!$B$6:$B$20,CURVA!$G$6:$G$20,#REF!)</f>
        <v>#VALUE!</v>
      </c>
    </row>
    <row r="5552" spans="1:5" x14ac:dyDescent="0.2">
      <c r="A5552" s="28">
        <v>5551</v>
      </c>
      <c r="B5552" s="28" t="e">
        <f>interpola(#REF!,CURVA!$B$6:$B$20,CURVA!$G$6:$G$20)</f>
        <v>#VALUE!</v>
      </c>
      <c r="C5552" s="29" t="e">
        <f t="shared" si="86"/>
        <v>#VALUE!</v>
      </c>
      <c r="E5552" t="e">
        <f>cubic_spline(CURVA!$B$6:$B$20,CURVA!$G$6:$G$20,#REF!)</f>
        <v>#VALUE!</v>
      </c>
    </row>
    <row r="5553" spans="1:5" x14ac:dyDescent="0.2">
      <c r="A5553" s="28">
        <v>5552</v>
      </c>
      <c r="B5553" s="28" t="e">
        <f>interpola(#REF!,CURVA!$B$6:$B$20,CURVA!$G$6:$G$20)</f>
        <v>#VALUE!</v>
      </c>
      <c r="C5553" s="29" t="e">
        <f t="shared" si="86"/>
        <v>#VALUE!</v>
      </c>
      <c r="E5553" t="e">
        <f>cubic_spline(CURVA!$B$6:$B$20,CURVA!$G$6:$G$20,#REF!)</f>
        <v>#VALUE!</v>
      </c>
    </row>
    <row r="5554" spans="1:5" x14ac:dyDescent="0.2">
      <c r="A5554" s="28">
        <v>5553</v>
      </c>
      <c r="B5554" s="28" t="e">
        <f>interpola(#REF!,CURVA!$B$6:$B$20,CURVA!$G$6:$G$20)</f>
        <v>#VALUE!</v>
      </c>
      <c r="C5554" s="29" t="e">
        <f t="shared" si="86"/>
        <v>#VALUE!</v>
      </c>
      <c r="E5554" t="e">
        <f>cubic_spline(CURVA!$B$6:$B$20,CURVA!$G$6:$G$20,#REF!)</f>
        <v>#VALUE!</v>
      </c>
    </row>
    <row r="5555" spans="1:5" x14ac:dyDescent="0.2">
      <c r="A5555" s="28">
        <v>5554</v>
      </c>
      <c r="B5555" s="28" t="e">
        <f>interpola(#REF!,CURVA!$B$6:$B$20,CURVA!$G$6:$G$20)</f>
        <v>#VALUE!</v>
      </c>
      <c r="C5555" s="29" t="e">
        <f t="shared" si="86"/>
        <v>#VALUE!</v>
      </c>
      <c r="E5555" t="e">
        <f>cubic_spline(CURVA!$B$6:$B$20,CURVA!$G$6:$G$20,#REF!)</f>
        <v>#VALUE!</v>
      </c>
    </row>
    <row r="5556" spans="1:5" x14ac:dyDescent="0.2">
      <c r="A5556" s="28">
        <v>5555</v>
      </c>
      <c r="B5556" s="28" t="e">
        <f>interpola(#REF!,CURVA!$B$6:$B$20,CURVA!$G$6:$G$20)</f>
        <v>#VALUE!</v>
      </c>
      <c r="C5556" s="29" t="e">
        <f t="shared" si="86"/>
        <v>#VALUE!</v>
      </c>
      <c r="E5556" t="e">
        <f>cubic_spline(CURVA!$B$6:$B$20,CURVA!$G$6:$G$20,#REF!)</f>
        <v>#VALUE!</v>
      </c>
    </row>
    <row r="5557" spans="1:5" x14ac:dyDescent="0.2">
      <c r="A5557" s="28">
        <v>5556</v>
      </c>
      <c r="B5557" s="28" t="e">
        <f>interpola(#REF!,CURVA!$B$6:$B$20,CURVA!$G$6:$G$20)</f>
        <v>#VALUE!</v>
      </c>
      <c r="C5557" s="29" t="e">
        <f t="shared" si="86"/>
        <v>#VALUE!</v>
      </c>
      <c r="E5557" t="e">
        <f>cubic_spline(CURVA!$B$6:$B$20,CURVA!$G$6:$G$20,#REF!)</f>
        <v>#VALUE!</v>
      </c>
    </row>
    <row r="5558" spans="1:5" x14ac:dyDescent="0.2">
      <c r="A5558" s="28">
        <v>5557</v>
      </c>
      <c r="B5558" s="28" t="e">
        <f>interpola(#REF!,CURVA!$B$6:$B$20,CURVA!$G$6:$G$20)</f>
        <v>#VALUE!</v>
      </c>
      <c r="C5558" s="29" t="e">
        <f t="shared" si="86"/>
        <v>#VALUE!</v>
      </c>
      <c r="E5558" t="e">
        <f>cubic_spline(CURVA!$B$6:$B$20,CURVA!$G$6:$G$20,#REF!)</f>
        <v>#VALUE!</v>
      </c>
    </row>
    <row r="5559" spans="1:5" x14ac:dyDescent="0.2">
      <c r="A5559" s="28">
        <v>5558</v>
      </c>
      <c r="B5559" s="28" t="e">
        <f>interpola(#REF!,CURVA!$B$6:$B$20,CURVA!$G$6:$G$20)</f>
        <v>#VALUE!</v>
      </c>
      <c r="C5559" s="29" t="e">
        <f t="shared" si="86"/>
        <v>#VALUE!</v>
      </c>
      <c r="E5559" t="e">
        <f>cubic_spline(CURVA!$B$6:$B$20,CURVA!$G$6:$G$20,#REF!)</f>
        <v>#VALUE!</v>
      </c>
    </row>
    <row r="5560" spans="1:5" x14ac:dyDescent="0.2">
      <c r="A5560" s="28">
        <v>5559</v>
      </c>
      <c r="B5560" s="28" t="e">
        <f>interpola(#REF!,CURVA!$B$6:$B$20,CURVA!$G$6:$G$20)</f>
        <v>#VALUE!</v>
      </c>
      <c r="C5560" s="29" t="e">
        <f t="shared" si="86"/>
        <v>#VALUE!</v>
      </c>
      <c r="E5560" t="e">
        <f>cubic_spline(CURVA!$B$6:$B$20,CURVA!$G$6:$G$20,#REF!)</f>
        <v>#VALUE!</v>
      </c>
    </row>
    <row r="5561" spans="1:5" x14ac:dyDescent="0.2">
      <c r="A5561" s="28">
        <v>5560</v>
      </c>
      <c r="B5561" s="28" t="e">
        <f>interpola(#REF!,CURVA!$B$6:$B$20,CURVA!$G$6:$G$20)</f>
        <v>#VALUE!</v>
      </c>
      <c r="C5561" s="29" t="e">
        <f t="shared" si="86"/>
        <v>#VALUE!</v>
      </c>
      <c r="E5561" t="e">
        <f>cubic_spline(CURVA!$B$6:$B$20,CURVA!$G$6:$G$20,#REF!)</f>
        <v>#VALUE!</v>
      </c>
    </row>
    <row r="5562" spans="1:5" x14ac:dyDescent="0.2">
      <c r="A5562" s="28">
        <v>5561</v>
      </c>
      <c r="B5562" s="28" t="e">
        <f>interpola(#REF!,CURVA!$B$6:$B$20,CURVA!$G$6:$G$20)</f>
        <v>#VALUE!</v>
      </c>
      <c r="C5562" s="29" t="e">
        <f t="shared" si="86"/>
        <v>#VALUE!</v>
      </c>
      <c r="E5562" t="e">
        <f>cubic_spline(CURVA!$B$6:$B$20,CURVA!$G$6:$G$20,#REF!)</f>
        <v>#VALUE!</v>
      </c>
    </row>
    <row r="5563" spans="1:5" x14ac:dyDescent="0.2">
      <c r="A5563" s="28">
        <v>5562</v>
      </c>
      <c r="B5563" s="28" t="e">
        <f>interpola(#REF!,CURVA!$B$6:$B$20,CURVA!$G$6:$G$20)</f>
        <v>#VALUE!</v>
      </c>
      <c r="C5563" s="29" t="e">
        <f t="shared" si="86"/>
        <v>#VALUE!</v>
      </c>
      <c r="E5563" t="e">
        <f>cubic_spline(CURVA!$B$6:$B$20,CURVA!$G$6:$G$20,#REF!)</f>
        <v>#VALUE!</v>
      </c>
    </row>
    <row r="5564" spans="1:5" x14ac:dyDescent="0.2">
      <c r="A5564" s="28">
        <v>5563</v>
      </c>
      <c r="B5564" s="28" t="e">
        <f>interpola(#REF!,CURVA!$B$6:$B$20,CURVA!$G$6:$G$20)</f>
        <v>#VALUE!</v>
      </c>
      <c r="C5564" s="29" t="e">
        <f t="shared" si="86"/>
        <v>#VALUE!</v>
      </c>
      <c r="E5564" t="e">
        <f>cubic_spline(CURVA!$B$6:$B$20,CURVA!$G$6:$G$20,#REF!)</f>
        <v>#VALUE!</v>
      </c>
    </row>
    <row r="5565" spans="1:5" x14ac:dyDescent="0.2">
      <c r="A5565" s="28">
        <v>5564</v>
      </c>
      <c r="B5565" s="28" t="e">
        <f>interpola(#REF!,CURVA!$B$6:$B$20,CURVA!$G$6:$G$20)</f>
        <v>#VALUE!</v>
      </c>
      <c r="C5565" s="29" t="e">
        <f t="shared" si="86"/>
        <v>#VALUE!</v>
      </c>
      <c r="E5565" t="e">
        <f>cubic_spline(CURVA!$B$6:$B$20,CURVA!$G$6:$G$20,#REF!)</f>
        <v>#VALUE!</v>
      </c>
    </row>
    <row r="5566" spans="1:5" x14ac:dyDescent="0.2">
      <c r="A5566" s="28">
        <v>5565</v>
      </c>
      <c r="B5566" s="28" t="e">
        <f>interpola(#REF!,CURVA!$B$6:$B$20,CURVA!$G$6:$G$20)</f>
        <v>#VALUE!</v>
      </c>
      <c r="C5566" s="29" t="e">
        <f t="shared" si="86"/>
        <v>#VALUE!</v>
      </c>
      <c r="E5566" t="e">
        <f>cubic_spline(CURVA!$B$6:$B$20,CURVA!$G$6:$G$20,#REF!)</f>
        <v>#VALUE!</v>
      </c>
    </row>
    <row r="5567" spans="1:5" x14ac:dyDescent="0.2">
      <c r="A5567" s="28">
        <v>5566</v>
      </c>
      <c r="B5567" s="28" t="e">
        <f>interpola(#REF!,CURVA!$B$6:$B$20,CURVA!$G$6:$G$20)</f>
        <v>#VALUE!</v>
      </c>
      <c r="C5567" s="29" t="e">
        <f t="shared" si="86"/>
        <v>#VALUE!</v>
      </c>
      <c r="E5567" t="e">
        <f>cubic_spline(CURVA!$B$6:$B$20,CURVA!$G$6:$G$20,#REF!)</f>
        <v>#VALUE!</v>
      </c>
    </row>
    <row r="5568" spans="1:5" x14ac:dyDescent="0.2">
      <c r="A5568" s="28">
        <v>5567</v>
      </c>
      <c r="B5568" s="28" t="e">
        <f>interpola(#REF!,CURVA!$B$6:$B$20,CURVA!$G$6:$G$20)</f>
        <v>#VALUE!</v>
      </c>
      <c r="C5568" s="29" t="e">
        <f t="shared" si="86"/>
        <v>#VALUE!</v>
      </c>
      <c r="E5568" t="e">
        <f>cubic_spline(CURVA!$B$6:$B$20,CURVA!$G$6:$G$20,#REF!)</f>
        <v>#VALUE!</v>
      </c>
    </row>
    <row r="5569" spans="1:5" x14ac:dyDescent="0.2">
      <c r="A5569" s="28">
        <v>5568</v>
      </c>
      <c r="B5569" s="28" t="e">
        <f>interpola(#REF!,CURVA!$B$6:$B$20,CURVA!$G$6:$G$20)</f>
        <v>#VALUE!</v>
      </c>
      <c r="C5569" s="29" t="e">
        <f t="shared" si="86"/>
        <v>#VALUE!</v>
      </c>
      <c r="E5569" t="e">
        <f>cubic_spline(CURVA!$B$6:$B$20,CURVA!$G$6:$G$20,#REF!)</f>
        <v>#VALUE!</v>
      </c>
    </row>
    <row r="5570" spans="1:5" x14ac:dyDescent="0.2">
      <c r="A5570" s="28">
        <v>5569</v>
      </c>
      <c r="B5570" s="28" t="e">
        <f>interpola(#REF!,CURVA!$B$6:$B$20,CURVA!$G$6:$G$20)</f>
        <v>#VALUE!</v>
      </c>
      <c r="C5570" s="29" t="e">
        <f t="shared" ref="C5570:C5633" si="87">(EXP(B5570*A5570/360)-1)*360/A5570</f>
        <v>#VALUE!</v>
      </c>
      <c r="E5570" t="e">
        <f>cubic_spline(CURVA!$B$6:$B$20,CURVA!$G$6:$G$20,#REF!)</f>
        <v>#VALUE!</v>
      </c>
    </row>
    <row r="5571" spans="1:5" x14ac:dyDescent="0.2">
      <c r="A5571" s="28">
        <v>5570</v>
      </c>
      <c r="B5571" s="28" t="e">
        <f>interpola(#REF!,CURVA!$B$6:$B$20,CURVA!$G$6:$G$20)</f>
        <v>#VALUE!</v>
      </c>
      <c r="C5571" s="29" t="e">
        <f t="shared" si="87"/>
        <v>#VALUE!</v>
      </c>
      <c r="E5571" t="e">
        <f>cubic_spline(CURVA!$B$6:$B$20,CURVA!$G$6:$G$20,#REF!)</f>
        <v>#VALUE!</v>
      </c>
    </row>
    <row r="5572" spans="1:5" x14ac:dyDescent="0.2">
      <c r="A5572" s="28">
        <v>5571</v>
      </c>
      <c r="B5572" s="28" t="e">
        <f>interpola(#REF!,CURVA!$B$6:$B$20,CURVA!$G$6:$G$20)</f>
        <v>#VALUE!</v>
      </c>
      <c r="C5572" s="29" t="e">
        <f t="shared" si="87"/>
        <v>#VALUE!</v>
      </c>
      <c r="E5572" t="e">
        <f>cubic_spline(CURVA!$B$6:$B$20,CURVA!$G$6:$G$20,#REF!)</f>
        <v>#VALUE!</v>
      </c>
    </row>
    <row r="5573" spans="1:5" x14ac:dyDescent="0.2">
      <c r="A5573" s="28">
        <v>5572</v>
      </c>
      <c r="B5573" s="28" t="e">
        <f>interpola(#REF!,CURVA!$B$6:$B$20,CURVA!$G$6:$G$20)</f>
        <v>#VALUE!</v>
      </c>
      <c r="C5573" s="29" t="e">
        <f t="shared" si="87"/>
        <v>#VALUE!</v>
      </c>
      <c r="E5573" t="e">
        <f>cubic_spline(CURVA!$B$6:$B$20,CURVA!$G$6:$G$20,#REF!)</f>
        <v>#VALUE!</v>
      </c>
    </row>
    <row r="5574" spans="1:5" x14ac:dyDescent="0.2">
      <c r="A5574" s="28">
        <v>5573</v>
      </c>
      <c r="B5574" s="28" t="e">
        <f>interpola(#REF!,CURVA!$B$6:$B$20,CURVA!$G$6:$G$20)</f>
        <v>#VALUE!</v>
      </c>
      <c r="C5574" s="29" t="e">
        <f t="shared" si="87"/>
        <v>#VALUE!</v>
      </c>
      <c r="E5574" t="e">
        <f>cubic_spline(CURVA!$B$6:$B$20,CURVA!$G$6:$G$20,#REF!)</f>
        <v>#VALUE!</v>
      </c>
    </row>
    <row r="5575" spans="1:5" x14ac:dyDescent="0.2">
      <c r="A5575" s="28">
        <v>5574</v>
      </c>
      <c r="B5575" s="28" t="e">
        <f>interpola(#REF!,CURVA!$B$6:$B$20,CURVA!$G$6:$G$20)</f>
        <v>#VALUE!</v>
      </c>
      <c r="C5575" s="29" t="e">
        <f t="shared" si="87"/>
        <v>#VALUE!</v>
      </c>
      <c r="E5575" t="e">
        <f>cubic_spline(CURVA!$B$6:$B$20,CURVA!$G$6:$G$20,#REF!)</f>
        <v>#VALUE!</v>
      </c>
    </row>
    <row r="5576" spans="1:5" x14ac:dyDescent="0.2">
      <c r="A5576" s="28">
        <v>5575</v>
      </c>
      <c r="B5576" s="28" t="e">
        <f>interpola(#REF!,CURVA!$B$6:$B$20,CURVA!$G$6:$G$20)</f>
        <v>#VALUE!</v>
      </c>
      <c r="C5576" s="29" t="e">
        <f t="shared" si="87"/>
        <v>#VALUE!</v>
      </c>
      <c r="E5576" t="e">
        <f>cubic_spline(CURVA!$B$6:$B$20,CURVA!$G$6:$G$20,#REF!)</f>
        <v>#VALUE!</v>
      </c>
    </row>
    <row r="5577" spans="1:5" x14ac:dyDescent="0.2">
      <c r="A5577" s="28">
        <v>5576</v>
      </c>
      <c r="B5577" s="28" t="e">
        <f>interpola(#REF!,CURVA!$B$6:$B$20,CURVA!$G$6:$G$20)</f>
        <v>#VALUE!</v>
      </c>
      <c r="C5577" s="29" t="e">
        <f t="shared" si="87"/>
        <v>#VALUE!</v>
      </c>
      <c r="E5577" t="e">
        <f>cubic_spline(CURVA!$B$6:$B$20,CURVA!$G$6:$G$20,#REF!)</f>
        <v>#VALUE!</v>
      </c>
    </row>
    <row r="5578" spans="1:5" x14ac:dyDescent="0.2">
      <c r="A5578" s="28">
        <v>5577</v>
      </c>
      <c r="B5578" s="28" t="e">
        <f>interpola(#REF!,CURVA!$B$6:$B$20,CURVA!$G$6:$G$20)</f>
        <v>#VALUE!</v>
      </c>
      <c r="C5578" s="29" t="e">
        <f t="shared" si="87"/>
        <v>#VALUE!</v>
      </c>
      <c r="E5578" t="e">
        <f>cubic_spline(CURVA!$B$6:$B$20,CURVA!$G$6:$G$20,#REF!)</f>
        <v>#VALUE!</v>
      </c>
    </row>
    <row r="5579" spans="1:5" x14ac:dyDescent="0.2">
      <c r="A5579" s="28">
        <v>5578</v>
      </c>
      <c r="B5579" s="28" t="e">
        <f>interpola(#REF!,CURVA!$B$6:$B$20,CURVA!$G$6:$G$20)</f>
        <v>#VALUE!</v>
      </c>
      <c r="C5579" s="29" t="e">
        <f t="shared" si="87"/>
        <v>#VALUE!</v>
      </c>
      <c r="E5579" t="e">
        <f>cubic_spline(CURVA!$B$6:$B$20,CURVA!$G$6:$G$20,#REF!)</f>
        <v>#VALUE!</v>
      </c>
    </row>
    <row r="5580" spans="1:5" x14ac:dyDescent="0.2">
      <c r="A5580" s="28">
        <v>5579</v>
      </c>
      <c r="B5580" s="28" t="e">
        <f>interpola(#REF!,CURVA!$B$6:$B$20,CURVA!$G$6:$G$20)</f>
        <v>#VALUE!</v>
      </c>
      <c r="C5580" s="29" t="e">
        <f t="shared" si="87"/>
        <v>#VALUE!</v>
      </c>
      <c r="E5580" t="e">
        <f>cubic_spline(CURVA!$B$6:$B$20,CURVA!$G$6:$G$20,#REF!)</f>
        <v>#VALUE!</v>
      </c>
    </row>
    <row r="5581" spans="1:5" x14ac:dyDescent="0.2">
      <c r="A5581" s="28">
        <v>5580</v>
      </c>
      <c r="B5581" s="28" t="e">
        <f>interpola(#REF!,CURVA!$B$6:$B$20,CURVA!$G$6:$G$20)</f>
        <v>#VALUE!</v>
      </c>
      <c r="C5581" s="29" t="e">
        <f t="shared" si="87"/>
        <v>#VALUE!</v>
      </c>
      <c r="E5581" t="e">
        <f>cubic_spline(CURVA!$B$6:$B$20,CURVA!$G$6:$G$20,#REF!)</f>
        <v>#VALUE!</v>
      </c>
    </row>
    <row r="5582" spans="1:5" x14ac:dyDescent="0.2">
      <c r="A5582" s="28">
        <v>5581</v>
      </c>
      <c r="B5582" s="28" t="e">
        <f>interpola(#REF!,CURVA!$B$6:$B$20,CURVA!$G$6:$G$20)</f>
        <v>#VALUE!</v>
      </c>
      <c r="C5582" s="29" t="e">
        <f t="shared" si="87"/>
        <v>#VALUE!</v>
      </c>
      <c r="E5582" t="e">
        <f>cubic_spline(CURVA!$B$6:$B$20,CURVA!$G$6:$G$20,#REF!)</f>
        <v>#VALUE!</v>
      </c>
    </row>
    <row r="5583" spans="1:5" x14ac:dyDescent="0.2">
      <c r="A5583" s="28">
        <v>5582</v>
      </c>
      <c r="B5583" s="28" t="e">
        <f>interpola(#REF!,CURVA!$B$6:$B$20,CURVA!$G$6:$G$20)</f>
        <v>#VALUE!</v>
      </c>
      <c r="C5583" s="29" t="e">
        <f t="shared" si="87"/>
        <v>#VALUE!</v>
      </c>
      <c r="E5583" t="e">
        <f>cubic_spline(CURVA!$B$6:$B$20,CURVA!$G$6:$G$20,#REF!)</f>
        <v>#VALUE!</v>
      </c>
    </row>
    <row r="5584" spans="1:5" x14ac:dyDescent="0.2">
      <c r="A5584" s="28">
        <v>5583</v>
      </c>
      <c r="B5584" s="28" t="e">
        <f>interpola(#REF!,CURVA!$B$6:$B$20,CURVA!$G$6:$G$20)</f>
        <v>#VALUE!</v>
      </c>
      <c r="C5584" s="29" t="e">
        <f t="shared" si="87"/>
        <v>#VALUE!</v>
      </c>
      <c r="E5584" t="e">
        <f>cubic_spline(CURVA!$B$6:$B$20,CURVA!$G$6:$G$20,#REF!)</f>
        <v>#VALUE!</v>
      </c>
    </row>
    <row r="5585" spans="1:5" x14ac:dyDescent="0.2">
      <c r="A5585" s="28">
        <v>5584</v>
      </c>
      <c r="B5585" s="28" t="e">
        <f>interpola(#REF!,CURVA!$B$6:$B$20,CURVA!$G$6:$G$20)</f>
        <v>#VALUE!</v>
      </c>
      <c r="C5585" s="29" t="e">
        <f t="shared" si="87"/>
        <v>#VALUE!</v>
      </c>
      <c r="E5585" t="e">
        <f>cubic_spline(CURVA!$B$6:$B$20,CURVA!$G$6:$G$20,#REF!)</f>
        <v>#VALUE!</v>
      </c>
    </row>
    <row r="5586" spans="1:5" x14ac:dyDescent="0.2">
      <c r="A5586" s="28">
        <v>5585</v>
      </c>
      <c r="B5586" s="28" t="e">
        <f>interpola(#REF!,CURVA!$B$6:$B$20,CURVA!$G$6:$G$20)</f>
        <v>#VALUE!</v>
      </c>
      <c r="C5586" s="29" t="e">
        <f t="shared" si="87"/>
        <v>#VALUE!</v>
      </c>
      <c r="E5586" t="e">
        <f>cubic_spline(CURVA!$B$6:$B$20,CURVA!$G$6:$G$20,#REF!)</f>
        <v>#VALUE!</v>
      </c>
    </row>
    <row r="5587" spans="1:5" x14ac:dyDescent="0.2">
      <c r="A5587" s="28">
        <v>5586</v>
      </c>
      <c r="B5587" s="28" t="e">
        <f>interpola(#REF!,CURVA!$B$6:$B$20,CURVA!$G$6:$G$20)</f>
        <v>#VALUE!</v>
      </c>
      <c r="C5587" s="29" t="e">
        <f t="shared" si="87"/>
        <v>#VALUE!</v>
      </c>
      <c r="E5587" t="e">
        <f>cubic_spline(CURVA!$B$6:$B$20,CURVA!$G$6:$G$20,#REF!)</f>
        <v>#VALUE!</v>
      </c>
    </row>
    <row r="5588" spans="1:5" x14ac:dyDescent="0.2">
      <c r="A5588" s="28">
        <v>5587</v>
      </c>
      <c r="B5588" s="28" t="e">
        <f>interpola(#REF!,CURVA!$B$6:$B$20,CURVA!$G$6:$G$20)</f>
        <v>#VALUE!</v>
      </c>
      <c r="C5588" s="29" t="e">
        <f t="shared" si="87"/>
        <v>#VALUE!</v>
      </c>
      <c r="E5588" t="e">
        <f>cubic_spline(CURVA!$B$6:$B$20,CURVA!$G$6:$G$20,#REF!)</f>
        <v>#VALUE!</v>
      </c>
    </row>
    <row r="5589" spans="1:5" x14ac:dyDescent="0.2">
      <c r="A5589" s="28">
        <v>5588</v>
      </c>
      <c r="B5589" s="28" t="e">
        <f>interpola(#REF!,CURVA!$B$6:$B$20,CURVA!$G$6:$G$20)</f>
        <v>#VALUE!</v>
      </c>
      <c r="C5589" s="29" t="e">
        <f t="shared" si="87"/>
        <v>#VALUE!</v>
      </c>
      <c r="E5589" t="e">
        <f>cubic_spline(CURVA!$B$6:$B$20,CURVA!$G$6:$G$20,#REF!)</f>
        <v>#VALUE!</v>
      </c>
    </row>
    <row r="5590" spans="1:5" x14ac:dyDescent="0.2">
      <c r="A5590" s="28">
        <v>5589</v>
      </c>
      <c r="B5590" s="28" t="e">
        <f>interpola(#REF!,CURVA!$B$6:$B$20,CURVA!$G$6:$G$20)</f>
        <v>#VALUE!</v>
      </c>
      <c r="C5590" s="29" t="e">
        <f t="shared" si="87"/>
        <v>#VALUE!</v>
      </c>
      <c r="E5590" t="e">
        <f>cubic_spline(CURVA!$B$6:$B$20,CURVA!$G$6:$G$20,#REF!)</f>
        <v>#VALUE!</v>
      </c>
    </row>
    <row r="5591" spans="1:5" x14ac:dyDescent="0.2">
      <c r="A5591" s="28">
        <v>5590</v>
      </c>
      <c r="B5591" s="28" t="e">
        <f>interpola(#REF!,CURVA!$B$6:$B$20,CURVA!$G$6:$G$20)</f>
        <v>#VALUE!</v>
      </c>
      <c r="C5591" s="29" t="e">
        <f t="shared" si="87"/>
        <v>#VALUE!</v>
      </c>
      <c r="E5591" t="e">
        <f>cubic_spline(CURVA!$B$6:$B$20,CURVA!$G$6:$G$20,#REF!)</f>
        <v>#VALUE!</v>
      </c>
    </row>
    <row r="5592" spans="1:5" x14ac:dyDescent="0.2">
      <c r="A5592" s="28">
        <v>5591</v>
      </c>
      <c r="B5592" s="28" t="e">
        <f>interpola(#REF!,CURVA!$B$6:$B$20,CURVA!$G$6:$G$20)</f>
        <v>#VALUE!</v>
      </c>
      <c r="C5592" s="29" t="e">
        <f t="shared" si="87"/>
        <v>#VALUE!</v>
      </c>
      <c r="E5592" t="e">
        <f>cubic_spline(CURVA!$B$6:$B$20,CURVA!$G$6:$G$20,#REF!)</f>
        <v>#VALUE!</v>
      </c>
    </row>
    <row r="5593" spans="1:5" x14ac:dyDescent="0.2">
      <c r="A5593" s="28">
        <v>5592</v>
      </c>
      <c r="B5593" s="28" t="e">
        <f>interpola(#REF!,CURVA!$B$6:$B$20,CURVA!$G$6:$G$20)</f>
        <v>#VALUE!</v>
      </c>
      <c r="C5593" s="29" t="e">
        <f t="shared" si="87"/>
        <v>#VALUE!</v>
      </c>
      <c r="E5593" t="e">
        <f>cubic_spline(CURVA!$B$6:$B$20,CURVA!$G$6:$G$20,#REF!)</f>
        <v>#VALUE!</v>
      </c>
    </row>
    <row r="5594" spans="1:5" x14ac:dyDescent="0.2">
      <c r="A5594" s="28">
        <v>5593</v>
      </c>
      <c r="B5594" s="28" t="e">
        <f>interpola(#REF!,CURVA!$B$6:$B$20,CURVA!$G$6:$G$20)</f>
        <v>#VALUE!</v>
      </c>
      <c r="C5594" s="29" t="e">
        <f t="shared" si="87"/>
        <v>#VALUE!</v>
      </c>
      <c r="E5594" t="e">
        <f>cubic_spline(CURVA!$B$6:$B$20,CURVA!$G$6:$G$20,#REF!)</f>
        <v>#VALUE!</v>
      </c>
    </row>
    <row r="5595" spans="1:5" x14ac:dyDescent="0.2">
      <c r="A5595" s="28">
        <v>5594</v>
      </c>
      <c r="B5595" s="28" t="e">
        <f>interpola(#REF!,CURVA!$B$6:$B$20,CURVA!$G$6:$G$20)</f>
        <v>#VALUE!</v>
      </c>
      <c r="C5595" s="29" t="e">
        <f t="shared" si="87"/>
        <v>#VALUE!</v>
      </c>
      <c r="E5595" t="e">
        <f>cubic_spline(CURVA!$B$6:$B$20,CURVA!$G$6:$G$20,#REF!)</f>
        <v>#VALUE!</v>
      </c>
    </row>
    <row r="5596" spans="1:5" x14ac:dyDescent="0.2">
      <c r="A5596" s="28">
        <v>5595</v>
      </c>
      <c r="B5596" s="28" t="e">
        <f>interpola(#REF!,CURVA!$B$6:$B$20,CURVA!$G$6:$G$20)</f>
        <v>#VALUE!</v>
      </c>
      <c r="C5596" s="29" t="e">
        <f t="shared" si="87"/>
        <v>#VALUE!</v>
      </c>
      <c r="E5596" t="e">
        <f>cubic_spline(CURVA!$B$6:$B$20,CURVA!$G$6:$G$20,#REF!)</f>
        <v>#VALUE!</v>
      </c>
    </row>
    <row r="5597" spans="1:5" x14ac:dyDescent="0.2">
      <c r="A5597" s="28">
        <v>5596</v>
      </c>
      <c r="B5597" s="28" t="e">
        <f>interpola(#REF!,CURVA!$B$6:$B$20,CURVA!$G$6:$G$20)</f>
        <v>#VALUE!</v>
      </c>
      <c r="C5597" s="29" t="e">
        <f t="shared" si="87"/>
        <v>#VALUE!</v>
      </c>
      <c r="E5597" t="e">
        <f>cubic_spline(CURVA!$B$6:$B$20,CURVA!$G$6:$G$20,#REF!)</f>
        <v>#VALUE!</v>
      </c>
    </row>
    <row r="5598" spans="1:5" x14ac:dyDescent="0.2">
      <c r="A5598" s="28">
        <v>5597</v>
      </c>
      <c r="B5598" s="28" t="e">
        <f>interpola(#REF!,CURVA!$B$6:$B$20,CURVA!$G$6:$G$20)</f>
        <v>#VALUE!</v>
      </c>
      <c r="C5598" s="29" t="e">
        <f t="shared" si="87"/>
        <v>#VALUE!</v>
      </c>
      <c r="E5598" t="e">
        <f>cubic_spline(CURVA!$B$6:$B$20,CURVA!$G$6:$G$20,#REF!)</f>
        <v>#VALUE!</v>
      </c>
    </row>
    <row r="5599" spans="1:5" x14ac:dyDescent="0.2">
      <c r="A5599" s="28">
        <v>5598</v>
      </c>
      <c r="B5599" s="28" t="e">
        <f>interpola(#REF!,CURVA!$B$6:$B$20,CURVA!$G$6:$G$20)</f>
        <v>#VALUE!</v>
      </c>
      <c r="C5599" s="29" t="e">
        <f t="shared" si="87"/>
        <v>#VALUE!</v>
      </c>
      <c r="E5599" t="e">
        <f>cubic_spline(CURVA!$B$6:$B$20,CURVA!$G$6:$G$20,#REF!)</f>
        <v>#VALUE!</v>
      </c>
    </row>
    <row r="5600" spans="1:5" x14ac:dyDescent="0.2">
      <c r="A5600" s="28">
        <v>5599</v>
      </c>
      <c r="B5600" s="28" t="e">
        <f>interpola(#REF!,CURVA!$B$6:$B$20,CURVA!$G$6:$G$20)</f>
        <v>#VALUE!</v>
      </c>
      <c r="C5600" s="29" t="e">
        <f t="shared" si="87"/>
        <v>#VALUE!</v>
      </c>
      <c r="E5600" t="e">
        <f>cubic_spline(CURVA!$B$6:$B$20,CURVA!$G$6:$G$20,#REF!)</f>
        <v>#VALUE!</v>
      </c>
    </row>
    <row r="5601" spans="1:5" x14ac:dyDescent="0.2">
      <c r="A5601" s="28">
        <v>5600</v>
      </c>
      <c r="B5601" s="28" t="e">
        <f>interpola(#REF!,CURVA!$B$6:$B$20,CURVA!$G$6:$G$20)</f>
        <v>#VALUE!</v>
      </c>
      <c r="C5601" s="29" t="e">
        <f t="shared" si="87"/>
        <v>#VALUE!</v>
      </c>
      <c r="E5601" t="e">
        <f>cubic_spline(CURVA!$B$6:$B$20,CURVA!$G$6:$G$20,#REF!)</f>
        <v>#VALUE!</v>
      </c>
    </row>
    <row r="5602" spans="1:5" x14ac:dyDescent="0.2">
      <c r="A5602" s="28">
        <v>5601</v>
      </c>
      <c r="B5602" s="28" t="e">
        <f>interpola(#REF!,CURVA!$B$6:$B$20,CURVA!$G$6:$G$20)</f>
        <v>#VALUE!</v>
      </c>
      <c r="C5602" s="29" t="e">
        <f t="shared" si="87"/>
        <v>#VALUE!</v>
      </c>
      <c r="E5602" t="e">
        <f>cubic_spline(CURVA!$B$6:$B$20,CURVA!$G$6:$G$20,#REF!)</f>
        <v>#VALUE!</v>
      </c>
    </row>
    <row r="5603" spans="1:5" x14ac:dyDescent="0.2">
      <c r="A5603" s="28">
        <v>5602</v>
      </c>
      <c r="B5603" s="28" t="e">
        <f>interpola(#REF!,CURVA!$B$6:$B$20,CURVA!$G$6:$G$20)</f>
        <v>#VALUE!</v>
      </c>
      <c r="C5603" s="29" t="e">
        <f t="shared" si="87"/>
        <v>#VALUE!</v>
      </c>
      <c r="E5603" t="e">
        <f>cubic_spline(CURVA!$B$6:$B$20,CURVA!$G$6:$G$20,#REF!)</f>
        <v>#VALUE!</v>
      </c>
    </row>
    <row r="5604" spans="1:5" x14ac:dyDescent="0.2">
      <c r="A5604" s="28">
        <v>5603</v>
      </c>
      <c r="B5604" s="28" t="e">
        <f>interpola(#REF!,CURVA!$B$6:$B$20,CURVA!$G$6:$G$20)</f>
        <v>#VALUE!</v>
      </c>
      <c r="C5604" s="29" t="e">
        <f t="shared" si="87"/>
        <v>#VALUE!</v>
      </c>
      <c r="E5604" t="e">
        <f>cubic_spline(CURVA!$B$6:$B$20,CURVA!$G$6:$G$20,#REF!)</f>
        <v>#VALUE!</v>
      </c>
    </row>
    <row r="5605" spans="1:5" x14ac:dyDescent="0.2">
      <c r="A5605" s="28">
        <v>5604</v>
      </c>
      <c r="B5605" s="28" t="e">
        <f>interpola(#REF!,CURVA!$B$6:$B$20,CURVA!$G$6:$G$20)</f>
        <v>#VALUE!</v>
      </c>
      <c r="C5605" s="29" t="e">
        <f t="shared" si="87"/>
        <v>#VALUE!</v>
      </c>
      <c r="E5605" t="e">
        <f>cubic_spline(CURVA!$B$6:$B$20,CURVA!$G$6:$G$20,#REF!)</f>
        <v>#VALUE!</v>
      </c>
    </row>
    <row r="5606" spans="1:5" x14ac:dyDescent="0.2">
      <c r="A5606" s="28">
        <v>5605</v>
      </c>
      <c r="B5606" s="28" t="e">
        <f>interpola(#REF!,CURVA!$B$6:$B$20,CURVA!$G$6:$G$20)</f>
        <v>#VALUE!</v>
      </c>
      <c r="C5606" s="29" t="e">
        <f t="shared" si="87"/>
        <v>#VALUE!</v>
      </c>
      <c r="E5606" t="e">
        <f>cubic_spline(CURVA!$B$6:$B$20,CURVA!$G$6:$G$20,#REF!)</f>
        <v>#VALUE!</v>
      </c>
    </row>
    <row r="5607" spans="1:5" x14ac:dyDescent="0.2">
      <c r="A5607" s="28">
        <v>5606</v>
      </c>
      <c r="B5607" s="28" t="e">
        <f>interpola(#REF!,CURVA!$B$6:$B$20,CURVA!$G$6:$G$20)</f>
        <v>#VALUE!</v>
      </c>
      <c r="C5607" s="29" t="e">
        <f t="shared" si="87"/>
        <v>#VALUE!</v>
      </c>
      <c r="E5607" t="e">
        <f>cubic_spline(CURVA!$B$6:$B$20,CURVA!$G$6:$G$20,#REF!)</f>
        <v>#VALUE!</v>
      </c>
    </row>
    <row r="5608" spans="1:5" x14ac:dyDescent="0.2">
      <c r="A5608" s="28">
        <v>5607</v>
      </c>
      <c r="B5608" s="28" t="e">
        <f>interpola(#REF!,CURVA!$B$6:$B$20,CURVA!$G$6:$G$20)</f>
        <v>#VALUE!</v>
      </c>
      <c r="C5608" s="29" t="e">
        <f t="shared" si="87"/>
        <v>#VALUE!</v>
      </c>
      <c r="E5608" t="e">
        <f>cubic_spline(CURVA!$B$6:$B$20,CURVA!$G$6:$G$20,#REF!)</f>
        <v>#VALUE!</v>
      </c>
    </row>
    <row r="5609" spans="1:5" x14ac:dyDescent="0.2">
      <c r="A5609" s="28">
        <v>5608</v>
      </c>
      <c r="B5609" s="28" t="e">
        <f>interpola(#REF!,CURVA!$B$6:$B$20,CURVA!$G$6:$G$20)</f>
        <v>#VALUE!</v>
      </c>
      <c r="C5609" s="29" t="e">
        <f t="shared" si="87"/>
        <v>#VALUE!</v>
      </c>
      <c r="E5609" t="e">
        <f>cubic_spline(CURVA!$B$6:$B$20,CURVA!$G$6:$G$20,#REF!)</f>
        <v>#VALUE!</v>
      </c>
    </row>
    <row r="5610" spans="1:5" x14ac:dyDescent="0.2">
      <c r="A5610" s="28">
        <v>5609</v>
      </c>
      <c r="B5610" s="28" t="e">
        <f>interpola(#REF!,CURVA!$B$6:$B$20,CURVA!$G$6:$G$20)</f>
        <v>#VALUE!</v>
      </c>
      <c r="C5610" s="29" t="e">
        <f t="shared" si="87"/>
        <v>#VALUE!</v>
      </c>
      <c r="E5610" t="e">
        <f>cubic_spline(CURVA!$B$6:$B$20,CURVA!$G$6:$G$20,#REF!)</f>
        <v>#VALUE!</v>
      </c>
    </row>
    <row r="5611" spans="1:5" x14ac:dyDescent="0.2">
      <c r="A5611" s="28">
        <v>5610</v>
      </c>
      <c r="B5611" s="28" t="e">
        <f>interpola(#REF!,CURVA!$B$6:$B$20,CURVA!$G$6:$G$20)</f>
        <v>#VALUE!</v>
      </c>
      <c r="C5611" s="29" t="e">
        <f t="shared" si="87"/>
        <v>#VALUE!</v>
      </c>
      <c r="E5611" t="e">
        <f>cubic_spline(CURVA!$B$6:$B$20,CURVA!$G$6:$G$20,#REF!)</f>
        <v>#VALUE!</v>
      </c>
    </row>
    <row r="5612" spans="1:5" x14ac:dyDescent="0.2">
      <c r="A5612" s="28">
        <v>5611</v>
      </c>
      <c r="B5612" s="28" t="e">
        <f>interpola(#REF!,CURVA!$B$6:$B$20,CURVA!$G$6:$G$20)</f>
        <v>#VALUE!</v>
      </c>
      <c r="C5612" s="29" t="e">
        <f t="shared" si="87"/>
        <v>#VALUE!</v>
      </c>
      <c r="E5612" t="e">
        <f>cubic_spline(CURVA!$B$6:$B$20,CURVA!$G$6:$G$20,#REF!)</f>
        <v>#VALUE!</v>
      </c>
    </row>
    <row r="5613" spans="1:5" x14ac:dyDescent="0.2">
      <c r="A5613" s="28">
        <v>5612</v>
      </c>
      <c r="B5613" s="28" t="e">
        <f>interpola(#REF!,CURVA!$B$6:$B$20,CURVA!$G$6:$G$20)</f>
        <v>#VALUE!</v>
      </c>
      <c r="C5613" s="29" t="e">
        <f t="shared" si="87"/>
        <v>#VALUE!</v>
      </c>
      <c r="E5613" t="e">
        <f>cubic_spline(CURVA!$B$6:$B$20,CURVA!$G$6:$G$20,#REF!)</f>
        <v>#VALUE!</v>
      </c>
    </row>
    <row r="5614" spans="1:5" x14ac:dyDescent="0.2">
      <c r="A5614" s="28">
        <v>5613</v>
      </c>
      <c r="B5614" s="28" t="e">
        <f>interpola(#REF!,CURVA!$B$6:$B$20,CURVA!$G$6:$G$20)</f>
        <v>#VALUE!</v>
      </c>
      <c r="C5614" s="29" t="e">
        <f t="shared" si="87"/>
        <v>#VALUE!</v>
      </c>
      <c r="E5614" t="e">
        <f>cubic_spline(CURVA!$B$6:$B$20,CURVA!$G$6:$G$20,#REF!)</f>
        <v>#VALUE!</v>
      </c>
    </row>
    <row r="5615" spans="1:5" x14ac:dyDescent="0.2">
      <c r="A5615" s="28">
        <v>5614</v>
      </c>
      <c r="B5615" s="28" t="e">
        <f>interpola(#REF!,CURVA!$B$6:$B$20,CURVA!$G$6:$G$20)</f>
        <v>#VALUE!</v>
      </c>
      <c r="C5615" s="29" t="e">
        <f t="shared" si="87"/>
        <v>#VALUE!</v>
      </c>
      <c r="E5615" t="e">
        <f>cubic_spline(CURVA!$B$6:$B$20,CURVA!$G$6:$G$20,#REF!)</f>
        <v>#VALUE!</v>
      </c>
    </row>
    <row r="5616" spans="1:5" x14ac:dyDescent="0.2">
      <c r="A5616" s="28">
        <v>5615</v>
      </c>
      <c r="B5616" s="28" t="e">
        <f>interpola(#REF!,CURVA!$B$6:$B$20,CURVA!$G$6:$G$20)</f>
        <v>#VALUE!</v>
      </c>
      <c r="C5616" s="29" t="e">
        <f t="shared" si="87"/>
        <v>#VALUE!</v>
      </c>
      <c r="E5616" t="e">
        <f>cubic_spline(CURVA!$B$6:$B$20,CURVA!$G$6:$G$20,#REF!)</f>
        <v>#VALUE!</v>
      </c>
    </row>
    <row r="5617" spans="1:5" x14ac:dyDescent="0.2">
      <c r="A5617" s="28">
        <v>5616</v>
      </c>
      <c r="B5617" s="28" t="e">
        <f>interpola(#REF!,CURVA!$B$6:$B$20,CURVA!$G$6:$G$20)</f>
        <v>#VALUE!</v>
      </c>
      <c r="C5617" s="29" t="e">
        <f t="shared" si="87"/>
        <v>#VALUE!</v>
      </c>
      <c r="E5617" t="e">
        <f>cubic_spline(CURVA!$B$6:$B$20,CURVA!$G$6:$G$20,#REF!)</f>
        <v>#VALUE!</v>
      </c>
    </row>
    <row r="5618" spans="1:5" x14ac:dyDescent="0.2">
      <c r="A5618" s="28">
        <v>5617</v>
      </c>
      <c r="B5618" s="28" t="e">
        <f>interpola(#REF!,CURVA!$B$6:$B$20,CURVA!$G$6:$G$20)</f>
        <v>#VALUE!</v>
      </c>
      <c r="C5618" s="29" t="e">
        <f t="shared" si="87"/>
        <v>#VALUE!</v>
      </c>
      <c r="E5618" t="e">
        <f>cubic_spline(CURVA!$B$6:$B$20,CURVA!$G$6:$G$20,#REF!)</f>
        <v>#VALUE!</v>
      </c>
    </row>
    <row r="5619" spans="1:5" x14ac:dyDescent="0.2">
      <c r="A5619" s="28">
        <v>5618</v>
      </c>
      <c r="B5619" s="28" t="e">
        <f>interpola(#REF!,CURVA!$B$6:$B$20,CURVA!$G$6:$G$20)</f>
        <v>#VALUE!</v>
      </c>
      <c r="C5619" s="29" t="e">
        <f t="shared" si="87"/>
        <v>#VALUE!</v>
      </c>
      <c r="E5619" t="e">
        <f>cubic_spline(CURVA!$B$6:$B$20,CURVA!$G$6:$G$20,#REF!)</f>
        <v>#VALUE!</v>
      </c>
    </row>
    <row r="5620" spans="1:5" x14ac:dyDescent="0.2">
      <c r="A5620" s="28">
        <v>5619</v>
      </c>
      <c r="B5620" s="28" t="e">
        <f>interpola(#REF!,CURVA!$B$6:$B$20,CURVA!$G$6:$G$20)</f>
        <v>#VALUE!</v>
      </c>
      <c r="C5620" s="29" t="e">
        <f t="shared" si="87"/>
        <v>#VALUE!</v>
      </c>
      <c r="E5620" t="e">
        <f>cubic_spline(CURVA!$B$6:$B$20,CURVA!$G$6:$G$20,#REF!)</f>
        <v>#VALUE!</v>
      </c>
    </row>
    <row r="5621" spans="1:5" x14ac:dyDescent="0.2">
      <c r="A5621" s="28">
        <v>5620</v>
      </c>
      <c r="B5621" s="28" t="e">
        <f>interpola(#REF!,CURVA!$B$6:$B$20,CURVA!$G$6:$G$20)</f>
        <v>#VALUE!</v>
      </c>
      <c r="C5621" s="29" t="e">
        <f t="shared" si="87"/>
        <v>#VALUE!</v>
      </c>
      <c r="E5621" t="e">
        <f>cubic_spline(CURVA!$B$6:$B$20,CURVA!$G$6:$G$20,#REF!)</f>
        <v>#VALUE!</v>
      </c>
    </row>
    <row r="5622" spans="1:5" x14ac:dyDescent="0.2">
      <c r="A5622" s="28">
        <v>5621</v>
      </c>
      <c r="B5622" s="28" t="e">
        <f>interpola(#REF!,CURVA!$B$6:$B$20,CURVA!$G$6:$G$20)</f>
        <v>#VALUE!</v>
      </c>
      <c r="C5622" s="29" t="e">
        <f t="shared" si="87"/>
        <v>#VALUE!</v>
      </c>
      <c r="E5622" t="e">
        <f>cubic_spline(CURVA!$B$6:$B$20,CURVA!$G$6:$G$20,#REF!)</f>
        <v>#VALUE!</v>
      </c>
    </row>
    <row r="5623" spans="1:5" x14ac:dyDescent="0.2">
      <c r="A5623" s="28">
        <v>5622</v>
      </c>
      <c r="B5623" s="28" t="e">
        <f>interpola(#REF!,CURVA!$B$6:$B$20,CURVA!$G$6:$G$20)</f>
        <v>#VALUE!</v>
      </c>
      <c r="C5623" s="29" t="e">
        <f t="shared" si="87"/>
        <v>#VALUE!</v>
      </c>
      <c r="E5623" t="e">
        <f>cubic_spline(CURVA!$B$6:$B$20,CURVA!$G$6:$G$20,#REF!)</f>
        <v>#VALUE!</v>
      </c>
    </row>
    <row r="5624" spans="1:5" x14ac:dyDescent="0.2">
      <c r="A5624" s="28">
        <v>5623</v>
      </c>
      <c r="B5624" s="28" t="e">
        <f>interpola(#REF!,CURVA!$B$6:$B$20,CURVA!$G$6:$G$20)</f>
        <v>#VALUE!</v>
      </c>
      <c r="C5624" s="29" t="e">
        <f t="shared" si="87"/>
        <v>#VALUE!</v>
      </c>
      <c r="E5624" t="e">
        <f>cubic_spline(CURVA!$B$6:$B$20,CURVA!$G$6:$G$20,#REF!)</f>
        <v>#VALUE!</v>
      </c>
    </row>
    <row r="5625" spans="1:5" x14ac:dyDescent="0.2">
      <c r="A5625" s="28">
        <v>5624</v>
      </c>
      <c r="B5625" s="28" t="e">
        <f>interpola(#REF!,CURVA!$B$6:$B$20,CURVA!$G$6:$G$20)</f>
        <v>#VALUE!</v>
      </c>
      <c r="C5625" s="29" t="e">
        <f t="shared" si="87"/>
        <v>#VALUE!</v>
      </c>
      <c r="E5625" t="e">
        <f>cubic_spline(CURVA!$B$6:$B$20,CURVA!$G$6:$G$20,#REF!)</f>
        <v>#VALUE!</v>
      </c>
    </row>
    <row r="5626" spans="1:5" x14ac:dyDescent="0.2">
      <c r="A5626" s="28">
        <v>5625</v>
      </c>
      <c r="B5626" s="28" t="e">
        <f>interpola(#REF!,CURVA!$B$6:$B$20,CURVA!$G$6:$G$20)</f>
        <v>#VALUE!</v>
      </c>
      <c r="C5626" s="29" t="e">
        <f t="shared" si="87"/>
        <v>#VALUE!</v>
      </c>
      <c r="E5626" t="e">
        <f>cubic_spline(CURVA!$B$6:$B$20,CURVA!$G$6:$G$20,#REF!)</f>
        <v>#VALUE!</v>
      </c>
    </row>
    <row r="5627" spans="1:5" x14ac:dyDescent="0.2">
      <c r="A5627" s="28">
        <v>5626</v>
      </c>
      <c r="B5627" s="28" t="e">
        <f>interpola(#REF!,CURVA!$B$6:$B$20,CURVA!$G$6:$G$20)</f>
        <v>#VALUE!</v>
      </c>
      <c r="C5627" s="29" t="e">
        <f t="shared" si="87"/>
        <v>#VALUE!</v>
      </c>
      <c r="E5627" t="e">
        <f>cubic_spline(CURVA!$B$6:$B$20,CURVA!$G$6:$G$20,#REF!)</f>
        <v>#VALUE!</v>
      </c>
    </row>
    <row r="5628" spans="1:5" x14ac:dyDescent="0.2">
      <c r="A5628" s="28">
        <v>5627</v>
      </c>
      <c r="B5628" s="28" t="e">
        <f>interpola(#REF!,CURVA!$B$6:$B$20,CURVA!$G$6:$G$20)</f>
        <v>#VALUE!</v>
      </c>
      <c r="C5628" s="29" t="e">
        <f t="shared" si="87"/>
        <v>#VALUE!</v>
      </c>
      <c r="E5628" t="e">
        <f>cubic_spline(CURVA!$B$6:$B$20,CURVA!$G$6:$G$20,#REF!)</f>
        <v>#VALUE!</v>
      </c>
    </row>
    <row r="5629" spans="1:5" x14ac:dyDescent="0.2">
      <c r="A5629" s="28">
        <v>5628</v>
      </c>
      <c r="B5629" s="28" t="e">
        <f>interpola(#REF!,CURVA!$B$6:$B$20,CURVA!$G$6:$G$20)</f>
        <v>#VALUE!</v>
      </c>
      <c r="C5629" s="29" t="e">
        <f t="shared" si="87"/>
        <v>#VALUE!</v>
      </c>
      <c r="E5629" t="e">
        <f>cubic_spline(CURVA!$B$6:$B$20,CURVA!$G$6:$G$20,#REF!)</f>
        <v>#VALUE!</v>
      </c>
    </row>
    <row r="5630" spans="1:5" x14ac:dyDescent="0.2">
      <c r="A5630" s="28">
        <v>5629</v>
      </c>
      <c r="B5630" s="28" t="e">
        <f>interpola(#REF!,CURVA!$B$6:$B$20,CURVA!$G$6:$G$20)</f>
        <v>#VALUE!</v>
      </c>
      <c r="C5630" s="29" t="e">
        <f t="shared" si="87"/>
        <v>#VALUE!</v>
      </c>
      <c r="E5630" t="e">
        <f>cubic_spline(CURVA!$B$6:$B$20,CURVA!$G$6:$G$20,#REF!)</f>
        <v>#VALUE!</v>
      </c>
    </row>
    <row r="5631" spans="1:5" x14ac:dyDescent="0.2">
      <c r="A5631" s="28">
        <v>5630</v>
      </c>
      <c r="B5631" s="28" t="e">
        <f>interpola(#REF!,CURVA!$B$6:$B$20,CURVA!$G$6:$G$20)</f>
        <v>#VALUE!</v>
      </c>
      <c r="C5631" s="29" t="e">
        <f t="shared" si="87"/>
        <v>#VALUE!</v>
      </c>
      <c r="E5631" t="e">
        <f>cubic_spline(CURVA!$B$6:$B$20,CURVA!$G$6:$G$20,#REF!)</f>
        <v>#VALUE!</v>
      </c>
    </row>
    <row r="5632" spans="1:5" x14ac:dyDescent="0.2">
      <c r="A5632" s="28">
        <v>5631</v>
      </c>
      <c r="B5632" s="28" t="e">
        <f>interpola(#REF!,CURVA!$B$6:$B$20,CURVA!$G$6:$G$20)</f>
        <v>#VALUE!</v>
      </c>
      <c r="C5632" s="29" t="e">
        <f t="shared" si="87"/>
        <v>#VALUE!</v>
      </c>
      <c r="E5632" t="e">
        <f>cubic_spline(CURVA!$B$6:$B$20,CURVA!$G$6:$G$20,#REF!)</f>
        <v>#VALUE!</v>
      </c>
    </row>
    <row r="5633" spans="1:5" x14ac:dyDescent="0.2">
      <c r="A5633" s="28">
        <v>5632</v>
      </c>
      <c r="B5633" s="28" t="e">
        <f>interpola(#REF!,CURVA!$B$6:$B$20,CURVA!$G$6:$G$20)</f>
        <v>#VALUE!</v>
      </c>
      <c r="C5633" s="29" t="e">
        <f t="shared" si="87"/>
        <v>#VALUE!</v>
      </c>
      <c r="E5633" t="e">
        <f>cubic_spline(CURVA!$B$6:$B$20,CURVA!$G$6:$G$20,#REF!)</f>
        <v>#VALUE!</v>
      </c>
    </row>
    <row r="5634" spans="1:5" x14ac:dyDescent="0.2">
      <c r="A5634" s="28">
        <v>5633</v>
      </c>
      <c r="B5634" s="28" t="e">
        <f>interpola(#REF!,CURVA!$B$6:$B$20,CURVA!$G$6:$G$20)</f>
        <v>#VALUE!</v>
      </c>
      <c r="C5634" s="29" t="e">
        <f t="shared" ref="C5634:C5697" si="88">(EXP(B5634*A5634/360)-1)*360/A5634</f>
        <v>#VALUE!</v>
      </c>
      <c r="E5634" t="e">
        <f>cubic_spline(CURVA!$B$6:$B$20,CURVA!$G$6:$G$20,#REF!)</f>
        <v>#VALUE!</v>
      </c>
    </row>
    <row r="5635" spans="1:5" x14ac:dyDescent="0.2">
      <c r="A5635" s="28">
        <v>5634</v>
      </c>
      <c r="B5635" s="28" t="e">
        <f>interpola(#REF!,CURVA!$B$6:$B$20,CURVA!$G$6:$G$20)</f>
        <v>#VALUE!</v>
      </c>
      <c r="C5635" s="29" t="e">
        <f t="shared" si="88"/>
        <v>#VALUE!</v>
      </c>
      <c r="E5635" t="e">
        <f>cubic_spline(CURVA!$B$6:$B$20,CURVA!$G$6:$G$20,#REF!)</f>
        <v>#VALUE!</v>
      </c>
    </row>
    <row r="5636" spans="1:5" x14ac:dyDescent="0.2">
      <c r="A5636" s="28">
        <v>5635</v>
      </c>
      <c r="B5636" s="28" t="e">
        <f>interpola(#REF!,CURVA!$B$6:$B$20,CURVA!$G$6:$G$20)</f>
        <v>#VALUE!</v>
      </c>
      <c r="C5636" s="29" t="e">
        <f t="shared" si="88"/>
        <v>#VALUE!</v>
      </c>
      <c r="E5636" t="e">
        <f>cubic_spline(CURVA!$B$6:$B$20,CURVA!$G$6:$G$20,#REF!)</f>
        <v>#VALUE!</v>
      </c>
    </row>
    <row r="5637" spans="1:5" x14ac:dyDescent="0.2">
      <c r="A5637" s="28">
        <v>5636</v>
      </c>
      <c r="B5637" s="28" t="e">
        <f>interpola(#REF!,CURVA!$B$6:$B$20,CURVA!$G$6:$G$20)</f>
        <v>#VALUE!</v>
      </c>
      <c r="C5637" s="29" t="e">
        <f t="shared" si="88"/>
        <v>#VALUE!</v>
      </c>
      <c r="E5637" t="e">
        <f>cubic_spline(CURVA!$B$6:$B$20,CURVA!$G$6:$G$20,#REF!)</f>
        <v>#VALUE!</v>
      </c>
    </row>
    <row r="5638" spans="1:5" x14ac:dyDescent="0.2">
      <c r="A5638" s="28">
        <v>5637</v>
      </c>
      <c r="B5638" s="28" t="e">
        <f>interpola(#REF!,CURVA!$B$6:$B$20,CURVA!$G$6:$G$20)</f>
        <v>#VALUE!</v>
      </c>
      <c r="C5638" s="29" t="e">
        <f t="shared" si="88"/>
        <v>#VALUE!</v>
      </c>
      <c r="E5638" t="e">
        <f>cubic_spline(CURVA!$B$6:$B$20,CURVA!$G$6:$G$20,#REF!)</f>
        <v>#VALUE!</v>
      </c>
    </row>
    <row r="5639" spans="1:5" x14ac:dyDescent="0.2">
      <c r="A5639" s="28">
        <v>5638</v>
      </c>
      <c r="B5639" s="28" t="e">
        <f>interpola(#REF!,CURVA!$B$6:$B$20,CURVA!$G$6:$G$20)</f>
        <v>#VALUE!</v>
      </c>
      <c r="C5639" s="29" t="e">
        <f t="shared" si="88"/>
        <v>#VALUE!</v>
      </c>
      <c r="E5639" t="e">
        <f>cubic_spline(CURVA!$B$6:$B$20,CURVA!$G$6:$G$20,#REF!)</f>
        <v>#VALUE!</v>
      </c>
    </row>
    <row r="5640" spans="1:5" x14ac:dyDescent="0.2">
      <c r="A5640" s="28">
        <v>5639</v>
      </c>
      <c r="B5640" s="28" t="e">
        <f>interpola(#REF!,CURVA!$B$6:$B$20,CURVA!$G$6:$G$20)</f>
        <v>#VALUE!</v>
      </c>
      <c r="C5640" s="29" t="e">
        <f t="shared" si="88"/>
        <v>#VALUE!</v>
      </c>
      <c r="E5640" t="e">
        <f>cubic_spline(CURVA!$B$6:$B$20,CURVA!$G$6:$G$20,#REF!)</f>
        <v>#VALUE!</v>
      </c>
    </row>
    <row r="5641" spans="1:5" x14ac:dyDescent="0.2">
      <c r="A5641" s="28">
        <v>5640</v>
      </c>
      <c r="B5641" s="28" t="e">
        <f>interpola(#REF!,CURVA!$B$6:$B$20,CURVA!$G$6:$G$20)</f>
        <v>#VALUE!</v>
      </c>
      <c r="C5641" s="29" t="e">
        <f t="shared" si="88"/>
        <v>#VALUE!</v>
      </c>
      <c r="E5641" t="e">
        <f>cubic_spline(CURVA!$B$6:$B$20,CURVA!$G$6:$G$20,#REF!)</f>
        <v>#VALUE!</v>
      </c>
    </row>
    <row r="5642" spans="1:5" x14ac:dyDescent="0.2">
      <c r="A5642" s="28">
        <v>5641</v>
      </c>
      <c r="B5642" s="28" t="e">
        <f>interpola(#REF!,CURVA!$B$6:$B$20,CURVA!$G$6:$G$20)</f>
        <v>#VALUE!</v>
      </c>
      <c r="C5642" s="29" t="e">
        <f t="shared" si="88"/>
        <v>#VALUE!</v>
      </c>
      <c r="E5642" t="e">
        <f>cubic_spline(CURVA!$B$6:$B$20,CURVA!$G$6:$G$20,#REF!)</f>
        <v>#VALUE!</v>
      </c>
    </row>
    <row r="5643" spans="1:5" x14ac:dyDescent="0.2">
      <c r="A5643" s="28">
        <v>5642</v>
      </c>
      <c r="B5643" s="28" t="e">
        <f>interpola(#REF!,CURVA!$B$6:$B$20,CURVA!$G$6:$G$20)</f>
        <v>#VALUE!</v>
      </c>
      <c r="C5643" s="29" t="e">
        <f t="shared" si="88"/>
        <v>#VALUE!</v>
      </c>
      <c r="E5643" t="e">
        <f>cubic_spline(CURVA!$B$6:$B$20,CURVA!$G$6:$G$20,#REF!)</f>
        <v>#VALUE!</v>
      </c>
    </row>
    <row r="5644" spans="1:5" x14ac:dyDescent="0.2">
      <c r="A5644" s="28">
        <v>5643</v>
      </c>
      <c r="B5644" s="28" t="e">
        <f>interpola(#REF!,CURVA!$B$6:$B$20,CURVA!$G$6:$G$20)</f>
        <v>#VALUE!</v>
      </c>
      <c r="C5644" s="29" t="e">
        <f t="shared" si="88"/>
        <v>#VALUE!</v>
      </c>
      <c r="E5644" t="e">
        <f>cubic_spline(CURVA!$B$6:$B$20,CURVA!$G$6:$G$20,#REF!)</f>
        <v>#VALUE!</v>
      </c>
    </row>
    <row r="5645" spans="1:5" x14ac:dyDescent="0.2">
      <c r="A5645" s="28">
        <v>5644</v>
      </c>
      <c r="B5645" s="28" t="e">
        <f>interpola(#REF!,CURVA!$B$6:$B$20,CURVA!$G$6:$G$20)</f>
        <v>#VALUE!</v>
      </c>
      <c r="C5645" s="29" t="e">
        <f t="shared" si="88"/>
        <v>#VALUE!</v>
      </c>
      <c r="E5645" t="e">
        <f>cubic_spline(CURVA!$B$6:$B$20,CURVA!$G$6:$G$20,#REF!)</f>
        <v>#VALUE!</v>
      </c>
    </row>
    <row r="5646" spans="1:5" x14ac:dyDescent="0.2">
      <c r="A5646" s="28">
        <v>5645</v>
      </c>
      <c r="B5646" s="28" t="e">
        <f>interpola(#REF!,CURVA!$B$6:$B$20,CURVA!$G$6:$G$20)</f>
        <v>#VALUE!</v>
      </c>
      <c r="C5646" s="29" t="e">
        <f t="shared" si="88"/>
        <v>#VALUE!</v>
      </c>
      <c r="E5646" t="e">
        <f>cubic_spline(CURVA!$B$6:$B$20,CURVA!$G$6:$G$20,#REF!)</f>
        <v>#VALUE!</v>
      </c>
    </row>
    <row r="5647" spans="1:5" x14ac:dyDescent="0.2">
      <c r="A5647" s="28">
        <v>5646</v>
      </c>
      <c r="B5647" s="28" t="e">
        <f>interpola(#REF!,CURVA!$B$6:$B$20,CURVA!$G$6:$G$20)</f>
        <v>#VALUE!</v>
      </c>
      <c r="C5647" s="29" t="e">
        <f t="shared" si="88"/>
        <v>#VALUE!</v>
      </c>
      <c r="E5647" t="e">
        <f>cubic_spline(CURVA!$B$6:$B$20,CURVA!$G$6:$G$20,#REF!)</f>
        <v>#VALUE!</v>
      </c>
    </row>
    <row r="5648" spans="1:5" x14ac:dyDescent="0.2">
      <c r="A5648" s="28">
        <v>5647</v>
      </c>
      <c r="B5648" s="28" t="e">
        <f>interpola(#REF!,CURVA!$B$6:$B$20,CURVA!$G$6:$G$20)</f>
        <v>#VALUE!</v>
      </c>
      <c r="C5648" s="29" t="e">
        <f t="shared" si="88"/>
        <v>#VALUE!</v>
      </c>
      <c r="E5648" t="e">
        <f>cubic_spline(CURVA!$B$6:$B$20,CURVA!$G$6:$G$20,#REF!)</f>
        <v>#VALUE!</v>
      </c>
    </row>
    <row r="5649" spans="1:5" x14ac:dyDescent="0.2">
      <c r="A5649" s="28">
        <v>5648</v>
      </c>
      <c r="B5649" s="28" t="e">
        <f>interpola(#REF!,CURVA!$B$6:$B$20,CURVA!$G$6:$G$20)</f>
        <v>#VALUE!</v>
      </c>
      <c r="C5649" s="29" t="e">
        <f t="shared" si="88"/>
        <v>#VALUE!</v>
      </c>
      <c r="E5649" t="e">
        <f>cubic_spline(CURVA!$B$6:$B$20,CURVA!$G$6:$G$20,#REF!)</f>
        <v>#VALUE!</v>
      </c>
    </row>
    <row r="5650" spans="1:5" x14ac:dyDescent="0.2">
      <c r="A5650" s="28">
        <v>5649</v>
      </c>
      <c r="B5650" s="28" t="e">
        <f>interpola(#REF!,CURVA!$B$6:$B$20,CURVA!$G$6:$G$20)</f>
        <v>#VALUE!</v>
      </c>
      <c r="C5650" s="29" t="e">
        <f t="shared" si="88"/>
        <v>#VALUE!</v>
      </c>
      <c r="E5650" t="e">
        <f>cubic_spline(CURVA!$B$6:$B$20,CURVA!$G$6:$G$20,#REF!)</f>
        <v>#VALUE!</v>
      </c>
    </row>
    <row r="5651" spans="1:5" x14ac:dyDescent="0.2">
      <c r="A5651" s="28">
        <v>5650</v>
      </c>
      <c r="B5651" s="28" t="e">
        <f>interpola(#REF!,CURVA!$B$6:$B$20,CURVA!$G$6:$G$20)</f>
        <v>#VALUE!</v>
      </c>
      <c r="C5651" s="29" t="e">
        <f t="shared" si="88"/>
        <v>#VALUE!</v>
      </c>
      <c r="E5651" t="e">
        <f>cubic_spline(CURVA!$B$6:$B$20,CURVA!$G$6:$G$20,#REF!)</f>
        <v>#VALUE!</v>
      </c>
    </row>
    <row r="5652" spans="1:5" x14ac:dyDescent="0.2">
      <c r="A5652" s="28">
        <v>5651</v>
      </c>
      <c r="B5652" s="28" t="e">
        <f>interpola(#REF!,CURVA!$B$6:$B$20,CURVA!$G$6:$G$20)</f>
        <v>#VALUE!</v>
      </c>
      <c r="C5652" s="29" t="e">
        <f t="shared" si="88"/>
        <v>#VALUE!</v>
      </c>
      <c r="E5652" t="e">
        <f>cubic_spline(CURVA!$B$6:$B$20,CURVA!$G$6:$G$20,#REF!)</f>
        <v>#VALUE!</v>
      </c>
    </row>
    <row r="5653" spans="1:5" x14ac:dyDescent="0.2">
      <c r="A5653" s="28">
        <v>5652</v>
      </c>
      <c r="B5653" s="28" t="e">
        <f>interpola(#REF!,CURVA!$B$6:$B$20,CURVA!$G$6:$G$20)</f>
        <v>#VALUE!</v>
      </c>
      <c r="C5653" s="29" t="e">
        <f t="shared" si="88"/>
        <v>#VALUE!</v>
      </c>
      <c r="E5653" t="e">
        <f>cubic_spline(CURVA!$B$6:$B$20,CURVA!$G$6:$G$20,#REF!)</f>
        <v>#VALUE!</v>
      </c>
    </row>
    <row r="5654" spans="1:5" x14ac:dyDescent="0.2">
      <c r="A5654" s="28">
        <v>5653</v>
      </c>
      <c r="B5654" s="28" t="e">
        <f>interpola(#REF!,CURVA!$B$6:$B$20,CURVA!$G$6:$G$20)</f>
        <v>#VALUE!</v>
      </c>
      <c r="C5654" s="29" t="e">
        <f t="shared" si="88"/>
        <v>#VALUE!</v>
      </c>
      <c r="E5654" t="e">
        <f>cubic_spline(CURVA!$B$6:$B$20,CURVA!$G$6:$G$20,#REF!)</f>
        <v>#VALUE!</v>
      </c>
    </row>
    <row r="5655" spans="1:5" x14ac:dyDescent="0.2">
      <c r="A5655" s="28">
        <v>5654</v>
      </c>
      <c r="B5655" s="28" t="e">
        <f>interpola(#REF!,CURVA!$B$6:$B$20,CURVA!$G$6:$G$20)</f>
        <v>#VALUE!</v>
      </c>
      <c r="C5655" s="29" t="e">
        <f t="shared" si="88"/>
        <v>#VALUE!</v>
      </c>
      <c r="E5655" t="e">
        <f>cubic_spline(CURVA!$B$6:$B$20,CURVA!$G$6:$G$20,#REF!)</f>
        <v>#VALUE!</v>
      </c>
    </row>
    <row r="5656" spans="1:5" x14ac:dyDescent="0.2">
      <c r="A5656" s="28">
        <v>5655</v>
      </c>
      <c r="B5656" s="28" t="e">
        <f>interpola(#REF!,CURVA!$B$6:$B$20,CURVA!$G$6:$G$20)</f>
        <v>#VALUE!</v>
      </c>
      <c r="C5656" s="29" t="e">
        <f t="shared" si="88"/>
        <v>#VALUE!</v>
      </c>
      <c r="E5656" t="e">
        <f>cubic_spline(CURVA!$B$6:$B$20,CURVA!$G$6:$G$20,#REF!)</f>
        <v>#VALUE!</v>
      </c>
    </row>
    <row r="5657" spans="1:5" x14ac:dyDescent="0.2">
      <c r="A5657" s="28">
        <v>5656</v>
      </c>
      <c r="B5657" s="28" t="e">
        <f>interpola(#REF!,CURVA!$B$6:$B$20,CURVA!$G$6:$G$20)</f>
        <v>#VALUE!</v>
      </c>
      <c r="C5657" s="29" t="e">
        <f t="shared" si="88"/>
        <v>#VALUE!</v>
      </c>
      <c r="E5657" t="e">
        <f>cubic_spline(CURVA!$B$6:$B$20,CURVA!$G$6:$G$20,#REF!)</f>
        <v>#VALUE!</v>
      </c>
    </row>
    <row r="5658" spans="1:5" x14ac:dyDescent="0.2">
      <c r="A5658" s="28">
        <v>5657</v>
      </c>
      <c r="B5658" s="28" t="e">
        <f>interpola(#REF!,CURVA!$B$6:$B$20,CURVA!$G$6:$G$20)</f>
        <v>#VALUE!</v>
      </c>
      <c r="C5658" s="29" t="e">
        <f t="shared" si="88"/>
        <v>#VALUE!</v>
      </c>
      <c r="E5658" t="e">
        <f>cubic_spline(CURVA!$B$6:$B$20,CURVA!$G$6:$G$20,#REF!)</f>
        <v>#VALUE!</v>
      </c>
    </row>
    <row r="5659" spans="1:5" x14ac:dyDescent="0.2">
      <c r="A5659" s="28">
        <v>5658</v>
      </c>
      <c r="B5659" s="28" t="e">
        <f>interpola(#REF!,CURVA!$B$6:$B$20,CURVA!$G$6:$G$20)</f>
        <v>#VALUE!</v>
      </c>
      <c r="C5659" s="29" t="e">
        <f t="shared" si="88"/>
        <v>#VALUE!</v>
      </c>
      <c r="E5659" t="e">
        <f>cubic_spline(CURVA!$B$6:$B$20,CURVA!$G$6:$G$20,#REF!)</f>
        <v>#VALUE!</v>
      </c>
    </row>
    <row r="5660" spans="1:5" x14ac:dyDescent="0.2">
      <c r="A5660" s="28">
        <v>5659</v>
      </c>
      <c r="B5660" s="28" t="e">
        <f>interpola(#REF!,CURVA!$B$6:$B$20,CURVA!$G$6:$G$20)</f>
        <v>#VALUE!</v>
      </c>
      <c r="C5660" s="29" t="e">
        <f t="shared" si="88"/>
        <v>#VALUE!</v>
      </c>
      <c r="E5660" t="e">
        <f>cubic_spline(CURVA!$B$6:$B$20,CURVA!$G$6:$G$20,#REF!)</f>
        <v>#VALUE!</v>
      </c>
    </row>
    <row r="5661" spans="1:5" x14ac:dyDescent="0.2">
      <c r="A5661" s="28">
        <v>5660</v>
      </c>
      <c r="B5661" s="28" t="e">
        <f>interpola(#REF!,CURVA!$B$6:$B$20,CURVA!$G$6:$G$20)</f>
        <v>#VALUE!</v>
      </c>
      <c r="C5661" s="29" t="e">
        <f t="shared" si="88"/>
        <v>#VALUE!</v>
      </c>
      <c r="E5661" t="e">
        <f>cubic_spline(CURVA!$B$6:$B$20,CURVA!$G$6:$G$20,#REF!)</f>
        <v>#VALUE!</v>
      </c>
    </row>
    <row r="5662" spans="1:5" x14ac:dyDescent="0.2">
      <c r="A5662" s="28">
        <v>5661</v>
      </c>
      <c r="B5662" s="28" t="e">
        <f>interpola(#REF!,CURVA!$B$6:$B$20,CURVA!$G$6:$G$20)</f>
        <v>#VALUE!</v>
      </c>
      <c r="C5662" s="29" t="e">
        <f t="shared" si="88"/>
        <v>#VALUE!</v>
      </c>
      <c r="E5662" t="e">
        <f>cubic_spline(CURVA!$B$6:$B$20,CURVA!$G$6:$G$20,#REF!)</f>
        <v>#VALUE!</v>
      </c>
    </row>
    <row r="5663" spans="1:5" x14ac:dyDescent="0.2">
      <c r="A5663" s="28">
        <v>5662</v>
      </c>
      <c r="B5663" s="28" t="e">
        <f>interpola(#REF!,CURVA!$B$6:$B$20,CURVA!$G$6:$G$20)</f>
        <v>#VALUE!</v>
      </c>
      <c r="C5663" s="29" t="e">
        <f t="shared" si="88"/>
        <v>#VALUE!</v>
      </c>
      <c r="E5663" t="e">
        <f>cubic_spline(CURVA!$B$6:$B$20,CURVA!$G$6:$G$20,#REF!)</f>
        <v>#VALUE!</v>
      </c>
    </row>
    <row r="5664" spans="1:5" x14ac:dyDescent="0.2">
      <c r="A5664" s="28">
        <v>5663</v>
      </c>
      <c r="B5664" s="28" t="e">
        <f>interpola(#REF!,CURVA!$B$6:$B$20,CURVA!$G$6:$G$20)</f>
        <v>#VALUE!</v>
      </c>
      <c r="C5664" s="29" t="e">
        <f t="shared" si="88"/>
        <v>#VALUE!</v>
      </c>
      <c r="E5664" t="e">
        <f>cubic_spline(CURVA!$B$6:$B$20,CURVA!$G$6:$G$20,#REF!)</f>
        <v>#VALUE!</v>
      </c>
    </row>
    <row r="5665" spans="1:5" x14ac:dyDescent="0.2">
      <c r="A5665" s="28">
        <v>5664</v>
      </c>
      <c r="B5665" s="28" t="e">
        <f>interpola(#REF!,CURVA!$B$6:$B$20,CURVA!$G$6:$G$20)</f>
        <v>#VALUE!</v>
      </c>
      <c r="C5665" s="29" t="e">
        <f t="shared" si="88"/>
        <v>#VALUE!</v>
      </c>
      <c r="E5665" t="e">
        <f>cubic_spline(CURVA!$B$6:$B$20,CURVA!$G$6:$G$20,#REF!)</f>
        <v>#VALUE!</v>
      </c>
    </row>
    <row r="5666" spans="1:5" x14ac:dyDescent="0.2">
      <c r="A5666" s="28">
        <v>5665</v>
      </c>
      <c r="B5666" s="28" t="e">
        <f>interpola(#REF!,CURVA!$B$6:$B$20,CURVA!$G$6:$G$20)</f>
        <v>#VALUE!</v>
      </c>
      <c r="C5666" s="29" t="e">
        <f t="shared" si="88"/>
        <v>#VALUE!</v>
      </c>
      <c r="E5666" t="e">
        <f>cubic_spline(CURVA!$B$6:$B$20,CURVA!$G$6:$G$20,#REF!)</f>
        <v>#VALUE!</v>
      </c>
    </row>
    <row r="5667" spans="1:5" x14ac:dyDescent="0.2">
      <c r="A5667" s="28">
        <v>5666</v>
      </c>
      <c r="B5667" s="28" t="e">
        <f>interpola(#REF!,CURVA!$B$6:$B$20,CURVA!$G$6:$G$20)</f>
        <v>#VALUE!</v>
      </c>
      <c r="C5667" s="29" t="e">
        <f t="shared" si="88"/>
        <v>#VALUE!</v>
      </c>
      <c r="E5667" t="e">
        <f>cubic_spline(CURVA!$B$6:$B$20,CURVA!$G$6:$G$20,#REF!)</f>
        <v>#VALUE!</v>
      </c>
    </row>
    <row r="5668" spans="1:5" x14ac:dyDescent="0.2">
      <c r="A5668" s="28">
        <v>5667</v>
      </c>
      <c r="B5668" s="28" t="e">
        <f>interpola(#REF!,CURVA!$B$6:$B$20,CURVA!$G$6:$G$20)</f>
        <v>#VALUE!</v>
      </c>
      <c r="C5668" s="29" t="e">
        <f t="shared" si="88"/>
        <v>#VALUE!</v>
      </c>
      <c r="E5668" t="e">
        <f>cubic_spline(CURVA!$B$6:$B$20,CURVA!$G$6:$G$20,#REF!)</f>
        <v>#VALUE!</v>
      </c>
    </row>
    <row r="5669" spans="1:5" x14ac:dyDescent="0.2">
      <c r="A5669" s="28">
        <v>5668</v>
      </c>
      <c r="B5669" s="28" t="e">
        <f>interpola(#REF!,CURVA!$B$6:$B$20,CURVA!$G$6:$G$20)</f>
        <v>#VALUE!</v>
      </c>
      <c r="C5669" s="29" t="e">
        <f t="shared" si="88"/>
        <v>#VALUE!</v>
      </c>
      <c r="E5669" t="e">
        <f>cubic_spline(CURVA!$B$6:$B$20,CURVA!$G$6:$G$20,#REF!)</f>
        <v>#VALUE!</v>
      </c>
    </row>
    <row r="5670" spans="1:5" x14ac:dyDescent="0.2">
      <c r="A5670" s="28">
        <v>5669</v>
      </c>
      <c r="B5670" s="28" t="e">
        <f>interpola(#REF!,CURVA!$B$6:$B$20,CURVA!$G$6:$G$20)</f>
        <v>#VALUE!</v>
      </c>
      <c r="C5670" s="29" t="e">
        <f t="shared" si="88"/>
        <v>#VALUE!</v>
      </c>
      <c r="E5670" t="e">
        <f>cubic_spline(CURVA!$B$6:$B$20,CURVA!$G$6:$G$20,#REF!)</f>
        <v>#VALUE!</v>
      </c>
    </row>
    <row r="5671" spans="1:5" x14ac:dyDescent="0.2">
      <c r="A5671" s="28">
        <v>5670</v>
      </c>
      <c r="B5671" s="28" t="e">
        <f>interpola(#REF!,CURVA!$B$6:$B$20,CURVA!$G$6:$G$20)</f>
        <v>#VALUE!</v>
      </c>
      <c r="C5671" s="29" t="e">
        <f t="shared" si="88"/>
        <v>#VALUE!</v>
      </c>
      <c r="E5671" t="e">
        <f>cubic_spline(CURVA!$B$6:$B$20,CURVA!$G$6:$G$20,#REF!)</f>
        <v>#VALUE!</v>
      </c>
    </row>
    <row r="5672" spans="1:5" x14ac:dyDescent="0.2">
      <c r="A5672" s="28">
        <v>5671</v>
      </c>
      <c r="B5672" s="28" t="e">
        <f>interpola(#REF!,CURVA!$B$6:$B$20,CURVA!$G$6:$G$20)</f>
        <v>#VALUE!</v>
      </c>
      <c r="C5672" s="29" t="e">
        <f t="shared" si="88"/>
        <v>#VALUE!</v>
      </c>
      <c r="E5672" t="e">
        <f>cubic_spline(CURVA!$B$6:$B$20,CURVA!$G$6:$G$20,#REF!)</f>
        <v>#VALUE!</v>
      </c>
    </row>
    <row r="5673" spans="1:5" x14ac:dyDescent="0.2">
      <c r="A5673" s="28">
        <v>5672</v>
      </c>
      <c r="B5673" s="28" t="e">
        <f>interpola(#REF!,CURVA!$B$6:$B$20,CURVA!$G$6:$G$20)</f>
        <v>#VALUE!</v>
      </c>
      <c r="C5673" s="29" t="e">
        <f t="shared" si="88"/>
        <v>#VALUE!</v>
      </c>
      <c r="E5673" t="e">
        <f>cubic_spline(CURVA!$B$6:$B$20,CURVA!$G$6:$G$20,#REF!)</f>
        <v>#VALUE!</v>
      </c>
    </row>
    <row r="5674" spans="1:5" x14ac:dyDescent="0.2">
      <c r="A5674" s="28">
        <v>5673</v>
      </c>
      <c r="B5674" s="28" t="e">
        <f>interpola(#REF!,CURVA!$B$6:$B$20,CURVA!$G$6:$G$20)</f>
        <v>#VALUE!</v>
      </c>
      <c r="C5674" s="29" t="e">
        <f t="shared" si="88"/>
        <v>#VALUE!</v>
      </c>
      <c r="E5674" t="e">
        <f>cubic_spline(CURVA!$B$6:$B$20,CURVA!$G$6:$G$20,#REF!)</f>
        <v>#VALUE!</v>
      </c>
    </row>
    <row r="5675" spans="1:5" x14ac:dyDescent="0.2">
      <c r="A5675" s="28">
        <v>5674</v>
      </c>
      <c r="B5675" s="28" t="e">
        <f>interpola(#REF!,CURVA!$B$6:$B$20,CURVA!$G$6:$G$20)</f>
        <v>#VALUE!</v>
      </c>
      <c r="C5675" s="29" t="e">
        <f t="shared" si="88"/>
        <v>#VALUE!</v>
      </c>
      <c r="E5675" t="e">
        <f>cubic_spline(CURVA!$B$6:$B$20,CURVA!$G$6:$G$20,#REF!)</f>
        <v>#VALUE!</v>
      </c>
    </row>
    <row r="5676" spans="1:5" x14ac:dyDescent="0.2">
      <c r="A5676" s="28">
        <v>5675</v>
      </c>
      <c r="B5676" s="28" t="e">
        <f>interpola(#REF!,CURVA!$B$6:$B$20,CURVA!$G$6:$G$20)</f>
        <v>#VALUE!</v>
      </c>
      <c r="C5676" s="29" t="e">
        <f t="shared" si="88"/>
        <v>#VALUE!</v>
      </c>
      <c r="E5676" t="e">
        <f>cubic_spline(CURVA!$B$6:$B$20,CURVA!$G$6:$G$20,#REF!)</f>
        <v>#VALUE!</v>
      </c>
    </row>
    <row r="5677" spans="1:5" x14ac:dyDescent="0.2">
      <c r="A5677" s="28">
        <v>5676</v>
      </c>
      <c r="B5677" s="28" t="e">
        <f>interpola(#REF!,CURVA!$B$6:$B$20,CURVA!$G$6:$G$20)</f>
        <v>#VALUE!</v>
      </c>
      <c r="C5677" s="29" t="e">
        <f t="shared" si="88"/>
        <v>#VALUE!</v>
      </c>
      <c r="E5677" t="e">
        <f>cubic_spline(CURVA!$B$6:$B$20,CURVA!$G$6:$G$20,#REF!)</f>
        <v>#VALUE!</v>
      </c>
    </row>
    <row r="5678" spans="1:5" x14ac:dyDescent="0.2">
      <c r="A5678" s="28">
        <v>5677</v>
      </c>
      <c r="B5678" s="28" t="e">
        <f>interpola(#REF!,CURVA!$B$6:$B$20,CURVA!$G$6:$G$20)</f>
        <v>#VALUE!</v>
      </c>
      <c r="C5678" s="29" t="e">
        <f t="shared" si="88"/>
        <v>#VALUE!</v>
      </c>
      <c r="E5678" t="e">
        <f>cubic_spline(CURVA!$B$6:$B$20,CURVA!$G$6:$G$20,#REF!)</f>
        <v>#VALUE!</v>
      </c>
    </row>
    <row r="5679" spans="1:5" x14ac:dyDescent="0.2">
      <c r="A5679" s="28">
        <v>5678</v>
      </c>
      <c r="B5679" s="28" t="e">
        <f>interpola(#REF!,CURVA!$B$6:$B$20,CURVA!$G$6:$G$20)</f>
        <v>#VALUE!</v>
      </c>
      <c r="C5679" s="29" t="e">
        <f t="shared" si="88"/>
        <v>#VALUE!</v>
      </c>
      <c r="E5679" t="e">
        <f>cubic_spline(CURVA!$B$6:$B$20,CURVA!$G$6:$G$20,#REF!)</f>
        <v>#VALUE!</v>
      </c>
    </row>
    <row r="5680" spans="1:5" x14ac:dyDescent="0.2">
      <c r="A5680" s="28">
        <v>5679</v>
      </c>
      <c r="B5680" s="28" t="e">
        <f>interpola(#REF!,CURVA!$B$6:$B$20,CURVA!$G$6:$G$20)</f>
        <v>#VALUE!</v>
      </c>
      <c r="C5680" s="29" t="e">
        <f t="shared" si="88"/>
        <v>#VALUE!</v>
      </c>
      <c r="E5680" t="e">
        <f>cubic_spline(CURVA!$B$6:$B$20,CURVA!$G$6:$G$20,#REF!)</f>
        <v>#VALUE!</v>
      </c>
    </row>
    <row r="5681" spans="1:5" x14ac:dyDescent="0.2">
      <c r="A5681" s="28">
        <v>5680</v>
      </c>
      <c r="B5681" s="28" t="e">
        <f>interpola(#REF!,CURVA!$B$6:$B$20,CURVA!$G$6:$G$20)</f>
        <v>#VALUE!</v>
      </c>
      <c r="C5681" s="29" t="e">
        <f t="shared" si="88"/>
        <v>#VALUE!</v>
      </c>
      <c r="E5681" t="e">
        <f>cubic_spline(CURVA!$B$6:$B$20,CURVA!$G$6:$G$20,#REF!)</f>
        <v>#VALUE!</v>
      </c>
    </row>
    <row r="5682" spans="1:5" x14ac:dyDescent="0.2">
      <c r="A5682" s="28">
        <v>5681</v>
      </c>
      <c r="B5682" s="28" t="e">
        <f>interpola(#REF!,CURVA!$B$6:$B$20,CURVA!$G$6:$G$20)</f>
        <v>#VALUE!</v>
      </c>
      <c r="C5682" s="29" t="e">
        <f t="shared" si="88"/>
        <v>#VALUE!</v>
      </c>
      <c r="E5682" t="e">
        <f>cubic_spline(CURVA!$B$6:$B$20,CURVA!$G$6:$G$20,#REF!)</f>
        <v>#VALUE!</v>
      </c>
    </row>
    <row r="5683" spans="1:5" x14ac:dyDescent="0.2">
      <c r="A5683" s="28">
        <v>5682</v>
      </c>
      <c r="B5683" s="28" t="e">
        <f>interpola(#REF!,CURVA!$B$6:$B$20,CURVA!$G$6:$G$20)</f>
        <v>#VALUE!</v>
      </c>
      <c r="C5683" s="29" t="e">
        <f t="shared" si="88"/>
        <v>#VALUE!</v>
      </c>
      <c r="E5683" t="e">
        <f>cubic_spline(CURVA!$B$6:$B$20,CURVA!$G$6:$G$20,#REF!)</f>
        <v>#VALUE!</v>
      </c>
    </row>
    <row r="5684" spans="1:5" x14ac:dyDescent="0.2">
      <c r="A5684" s="28">
        <v>5683</v>
      </c>
      <c r="B5684" s="28" t="e">
        <f>interpola(#REF!,CURVA!$B$6:$B$20,CURVA!$G$6:$G$20)</f>
        <v>#VALUE!</v>
      </c>
      <c r="C5684" s="29" t="e">
        <f t="shared" si="88"/>
        <v>#VALUE!</v>
      </c>
      <c r="E5684" t="e">
        <f>cubic_spline(CURVA!$B$6:$B$20,CURVA!$G$6:$G$20,#REF!)</f>
        <v>#VALUE!</v>
      </c>
    </row>
    <row r="5685" spans="1:5" x14ac:dyDescent="0.2">
      <c r="A5685" s="28">
        <v>5684</v>
      </c>
      <c r="B5685" s="28" t="e">
        <f>interpola(#REF!,CURVA!$B$6:$B$20,CURVA!$G$6:$G$20)</f>
        <v>#VALUE!</v>
      </c>
      <c r="C5685" s="29" t="e">
        <f t="shared" si="88"/>
        <v>#VALUE!</v>
      </c>
      <c r="E5685" t="e">
        <f>cubic_spline(CURVA!$B$6:$B$20,CURVA!$G$6:$G$20,#REF!)</f>
        <v>#VALUE!</v>
      </c>
    </row>
    <row r="5686" spans="1:5" x14ac:dyDescent="0.2">
      <c r="A5686" s="28">
        <v>5685</v>
      </c>
      <c r="B5686" s="28" t="e">
        <f>interpola(#REF!,CURVA!$B$6:$B$20,CURVA!$G$6:$G$20)</f>
        <v>#VALUE!</v>
      </c>
      <c r="C5686" s="29" t="e">
        <f t="shared" si="88"/>
        <v>#VALUE!</v>
      </c>
      <c r="E5686" t="e">
        <f>cubic_spline(CURVA!$B$6:$B$20,CURVA!$G$6:$G$20,#REF!)</f>
        <v>#VALUE!</v>
      </c>
    </row>
    <row r="5687" spans="1:5" x14ac:dyDescent="0.2">
      <c r="A5687" s="28">
        <v>5686</v>
      </c>
      <c r="B5687" s="28" t="e">
        <f>interpola(#REF!,CURVA!$B$6:$B$20,CURVA!$G$6:$G$20)</f>
        <v>#VALUE!</v>
      </c>
      <c r="C5687" s="29" t="e">
        <f t="shared" si="88"/>
        <v>#VALUE!</v>
      </c>
      <c r="E5687" t="e">
        <f>cubic_spline(CURVA!$B$6:$B$20,CURVA!$G$6:$G$20,#REF!)</f>
        <v>#VALUE!</v>
      </c>
    </row>
    <row r="5688" spans="1:5" x14ac:dyDescent="0.2">
      <c r="A5688" s="28">
        <v>5687</v>
      </c>
      <c r="B5688" s="28" t="e">
        <f>interpola(#REF!,CURVA!$B$6:$B$20,CURVA!$G$6:$G$20)</f>
        <v>#VALUE!</v>
      </c>
      <c r="C5688" s="29" t="e">
        <f t="shared" si="88"/>
        <v>#VALUE!</v>
      </c>
      <c r="E5688" t="e">
        <f>cubic_spline(CURVA!$B$6:$B$20,CURVA!$G$6:$G$20,#REF!)</f>
        <v>#VALUE!</v>
      </c>
    </row>
    <row r="5689" spans="1:5" x14ac:dyDescent="0.2">
      <c r="A5689" s="28">
        <v>5688</v>
      </c>
      <c r="B5689" s="28" t="e">
        <f>interpola(#REF!,CURVA!$B$6:$B$20,CURVA!$G$6:$G$20)</f>
        <v>#VALUE!</v>
      </c>
      <c r="C5689" s="29" t="e">
        <f t="shared" si="88"/>
        <v>#VALUE!</v>
      </c>
      <c r="E5689" t="e">
        <f>cubic_spline(CURVA!$B$6:$B$20,CURVA!$G$6:$G$20,#REF!)</f>
        <v>#VALUE!</v>
      </c>
    </row>
    <row r="5690" spans="1:5" x14ac:dyDescent="0.2">
      <c r="A5690" s="28">
        <v>5689</v>
      </c>
      <c r="B5690" s="28" t="e">
        <f>interpola(#REF!,CURVA!$B$6:$B$20,CURVA!$G$6:$G$20)</f>
        <v>#VALUE!</v>
      </c>
      <c r="C5690" s="29" t="e">
        <f t="shared" si="88"/>
        <v>#VALUE!</v>
      </c>
      <c r="E5690" t="e">
        <f>cubic_spline(CURVA!$B$6:$B$20,CURVA!$G$6:$G$20,#REF!)</f>
        <v>#VALUE!</v>
      </c>
    </row>
    <row r="5691" spans="1:5" x14ac:dyDescent="0.2">
      <c r="A5691" s="28">
        <v>5690</v>
      </c>
      <c r="B5691" s="28" t="e">
        <f>interpola(#REF!,CURVA!$B$6:$B$20,CURVA!$G$6:$G$20)</f>
        <v>#VALUE!</v>
      </c>
      <c r="C5691" s="29" t="e">
        <f t="shared" si="88"/>
        <v>#VALUE!</v>
      </c>
      <c r="E5691" t="e">
        <f>cubic_spline(CURVA!$B$6:$B$20,CURVA!$G$6:$G$20,#REF!)</f>
        <v>#VALUE!</v>
      </c>
    </row>
    <row r="5692" spans="1:5" x14ac:dyDescent="0.2">
      <c r="A5692" s="28">
        <v>5691</v>
      </c>
      <c r="B5692" s="28" t="e">
        <f>interpola(#REF!,CURVA!$B$6:$B$20,CURVA!$G$6:$G$20)</f>
        <v>#VALUE!</v>
      </c>
      <c r="C5692" s="29" t="e">
        <f t="shared" si="88"/>
        <v>#VALUE!</v>
      </c>
      <c r="E5692" t="e">
        <f>cubic_spline(CURVA!$B$6:$B$20,CURVA!$G$6:$G$20,#REF!)</f>
        <v>#VALUE!</v>
      </c>
    </row>
    <row r="5693" spans="1:5" x14ac:dyDescent="0.2">
      <c r="A5693" s="28">
        <v>5692</v>
      </c>
      <c r="B5693" s="28" t="e">
        <f>interpola(#REF!,CURVA!$B$6:$B$20,CURVA!$G$6:$G$20)</f>
        <v>#VALUE!</v>
      </c>
      <c r="C5693" s="29" t="e">
        <f t="shared" si="88"/>
        <v>#VALUE!</v>
      </c>
      <c r="E5693" t="e">
        <f>cubic_spline(CURVA!$B$6:$B$20,CURVA!$G$6:$G$20,#REF!)</f>
        <v>#VALUE!</v>
      </c>
    </row>
    <row r="5694" spans="1:5" x14ac:dyDescent="0.2">
      <c r="A5694" s="28">
        <v>5693</v>
      </c>
      <c r="B5694" s="28" t="e">
        <f>interpola(#REF!,CURVA!$B$6:$B$20,CURVA!$G$6:$G$20)</f>
        <v>#VALUE!</v>
      </c>
      <c r="C5694" s="29" t="e">
        <f t="shared" si="88"/>
        <v>#VALUE!</v>
      </c>
      <c r="E5694" t="e">
        <f>cubic_spline(CURVA!$B$6:$B$20,CURVA!$G$6:$G$20,#REF!)</f>
        <v>#VALUE!</v>
      </c>
    </row>
    <row r="5695" spans="1:5" x14ac:dyDescent="0.2">
      <c r="A5695" s="28">
        <v>5694</v>
      </c>
      <c r="B5695" s="28" t="e">
        <f>interpola(#REF!,CURVA!$B$6:$B$20,CURVA!$G$6:$G$20)</f>
        <v>#VALUE!</v>
      </c>
      <c r="C5695" s="29" t="e">
        <f t="shared" si="88"/>
        <v>#VALUE!</v>
      </c>
      <c r="E5695" t="e">
        <f>cubic_spline(CURVA!$B$6:$B$20,CURVA!$G$6:$G$20,#REF!)</f>
        <v>#VALUE!</v>
      </c>
    </row>
    <row r="5696" spans="1:5" x14ac:dyDescent="0.2">
      <c r="A5696" s="28">
        <v>5695</v>
      </c>
      <c r="B5696" s="28" t="e">
        <f>interpola(#REF!,CURVA!$B$6:$B$20,CURVA!$G$6:$G$20)</f>
        <v>#VALUE!</v>
      </c>
      <c r="C5696" s="29" t="e">
        <f t="shared" si="88"/>
        <v>#VALUE!</v>
      </c>
      <c r="E5696" t="e">
        <f>cubic_spline(CURVA!$B$6:$B$20,CURVA!$G$6:$G$20,#REF!)</f>
        <v>#VALUE!</v>
      </c>
    </row>
    <row r="5697" spans="1:5" x14ac:dyDescent="0.2">
      <c r="A5697" s="28">
        <v>5696</v>
      </c>
      <c r="B5697" s="28" t="e">
        <f>interpola(#REF!,CURVA!$B$6:$B$20,CURVA!$G$6:$G$20)</f>
        <v>#VALUE!</v>
      </c>
      <c r="C5697" s="29" t="e">
        <f t="shared" si="88"/>
        <v>#VALUE!</v>
      </c>
      <c r="E5697" t="e">
        <f>cubic_spline(CURVA!$B$6:$B$20,CURVA!$G$6:$G$20,#REF!)</f>
        <v>#VALUE!</v>
      </c>
    </row>
    <row r="5698" spans="1:5" x14ac:dyDescent="0.2">
      <c r="A5698" s="28">
        <v>5697</v>
      </c>
      <c r="B5698" s="28" t="e">
        <f>interpola(#REF!,CURVA!$B$6:$B$20,CURVA!$G$6:$G$20)</f>
        <v>#VALUE!</v>
      </c>
      <c r="C5698" s="29" t="e">
        <f t="shared" ref="C5698:C5761" si="89">(EXP(B5698*A5698/360)-1)*360/A5698</f>
        <v>#VALUE!</v>
      </c>
      <c r="E5698" t="e">
        <f>cubic_spline(CURVA!$B$6:$B$20,CURVA!$G$6:$G$20,#REF!)</f>
        <v>#VALUE!</v>
      </c>
    </row>
    <row r="5699" spans="1:5" x14ac:dyDescent="0.2">
      <c r="A5699" s="28">
        <v>5698</v>
      </c>
      <c r="B5699" s="28" t="e">
        <f>interpola(#REF!,CURVA!$B$6:$B$20,CURVA!$G$6:$G$20)</f>
        <v>#VALUE!</v>
      </c>
      <c r="C5699" s="29" t="e">
        <f t="shared" si="89"/>
        <v>#VALUE!</v>
      </c>
      <c r="E5699" t="e">
        <f>cubic_spline(CURVA!$B$6:$B$20,CURVA!$G$6:$G$20,#REF!)</f>
        <v>#VALUE!</v>
      </c>
    </row>
    <row r="5700" spans="1:5" x14ac:dyDescent="0.2">
      <c r="A5700" s="28">
        <v>5699</v>
      </c>
      <c r="B5700" s="28" t="e">
        <f>interpola(#REF!,CURVA!$B$6:$B$20,CURVA!$G$6:$G$20)</f>
        <v>#VALUE!</v>
      </c>
      <c r="C5700" s="29" t="e">
        <f t="shared" si="89"/>
        <v>#VALUE!</v>
      </c>
      <c r="E5700" t="e">
        <f>cubic_spline(CURVA!$B$6:$B$20,CURVA!$G$6:$G$20,#REF!)</f>
        <v>#VALUE!</v>
      </c>
    </row>
    <row r="5701" spans="1:5" x14ac:dyDescent="0.2">
      <c r="A5701" s="28">
        <v>5700</v>
      </c>
      <c r="B5701" s="28" t="e">
        <f>interpola(#REF!,CURVA!$B$6:$B$20,CURVA!$G$6:$G$20)</f>
        <v>#VALUE!</v>
      </c>
      <c r="C5701" s="29" t="e">
        <f t="shared" si="89"/>
        <v>#VALUE!</v>
      </c>
      <c r="E5701" t="e">
        <f>cubic_spline(CURVA!$B$6:$B$20,CURVA!$G$6:$G$20,#REF!)</f>
        <v>#VALUE!</v>
      </c>
    </row>
    <row r="5702" spans="1:5" x14ac:dyDescent="0.2">
      <c r="A5702" s="28">
        <v>5701</v>
      </c>
      <c r="B5702" s="28" t="e">
        <f>interpola(#REF!,CURVA!$B$6:$B$20,CURVA!$G$6:$G$20)</f>
        <v>#VALUE!</v>
      </c>
      <c r="C5702" s="29" t="e">
        <f t="shared" si="89"/>
        <v>#VALUE!</v>
      </c>
      <c r="E5702" t="e">
        <f>cubic_spline(CURVA!$B$6:$B$20,CURVA!$G$6:$G$20,#REF!)</f>
        <v>#VALUE!</v>
      </c>
    </row>
    <row r="5703" spans="1:5" x14ac:dyDescent="0.2">
      <c r="A5703" s="28">
        <v>5702</v>
      </c>
      <c r="B5703" s="28" t="e">
        <f>interpola(#REF!,CURVA!$B$6:$B$20,CURVA!$G$6:$G$20)</f>
        <v>#VALUE!</v>
      </c>
      <c r="C5703" s="29" t="e">
        <f t="shared" si="89"/>
        <v>#VALUE!</v>
      </c>
      <c r="E5703" t="e">
        <f>cubic_spline(CURVA!$B$6:$B$20,CURVA!$G$6:$G$20,#REF!)</f>
        <v>#VALUE!</v>
      </c>
    </row>
    <row r="5704" spans="1:5" x14ac:dyDescent="0.2">
      <c r="A5704" s="28">
        <v>5703</v>
      </c>
      <c r="B5704" s="28" t="e">
        <f>interpola(#REF!,CURVA!$B$6:$B$20,CURVA!$G$6:$G$20)</f>
        <v>#VALUE!</v>
      </c>
      <c r="C5704" s="29" t="e">
        <f t="shared" si="89"/>
        <v>#VALUE!</v>
      </c>
      <c r="E5704" t="e">
        <f>cubic_spline(CURVA!$B$6:$B$20,CURVA!$G$6:$G$20,#REF!)</f>
        <v>#VALUE!</v>
      </c>
    </row>
    <row r="5705" spans="1:5" x14ac:dyDescent="0.2">
      <c r="A5705" s="28">
        <v>5704</v>
      </c>
      <c r="B5705" s="28" t="e">
        <f>interpola(#REF!,CURVA!$B$6:$B$20,CURVA!$G$6:$G$20)</f>
        <v>#VALUE!</v>
      </c>
      <c r="C5705" s="29" t="e">
        <f t="shared" si="89"/>
        <v>#VALUE!</v>
      </c>
      <c r="E5705" t="e">
        <f>cubic_spline(CURVA!$B$6:$B$20,CURVA!$G$6:$G$20,#REF!)</f>
        <v>#VALUE!</v>
      </c>
    </row>
    <row r="5706" spans="1:5" x14ac:dyDescent="0.2">
      <c r="A5706" s="28">
        <v>5705</v>
      </c>
      <c r="B5706" s="28" t="e">
        <f>interpola(#REF!,CURVA!$B$6:$B$20,CURVA!$G$6:$G$20)</f>
        <v>#VALUE!</v>
      </c>
      <c r="C5706" s="29" t="e">
        <f t="shared" si="89"/>
        <v>#VALUE!</v>
      </c>
      <c r="E5706" t="e">
        <f>cubic_spline(CURVA!$B$6:$B$20,CURVA!$G$6:$G$20,#REF!)</f>
        <v>#VALUE!</v>
      </c>
    </row>
    <row r="5707" spans="1:5" x14ac:dyDescent="0.2">
      <c r="A5707" s="28">
        <v>5706</v>
      </c>
      <c r="B5707" s="28" t="e">
        <f>interpola(#REF!,CURVA!$B$6:$B$20,CURVA!$G$6:$G$20)</f>
        <v>#VALUE!</v>
      </c>
      <c r="C5707" s="29" t="e">
        <f t="shared" si="89"/>
        <v>#VALUE!</v>
      </c>
      <c r="E5707" t="e">
        <f>cubic_spline(CURVA!$B$6:$B$20,CURVA!$G$6:$G$20,#REF!)</f>
        <v>#VALUE!</v>
      </c>
    </row>
    <row r="5708" spans="1:5" x14ac:dyDescent="0.2">
      <c r="A5708" s="28">
        <v>5707</v>
      </c>
      <c r="B5708" s="28" t="e">
        <f>interpola(#REF!,CURVA!$B$6:$B$20,CURVA!$G$6:$G$20)</f>
        <v>#VALUE!</v>
      </c>
      <c r="C5708" s="29" t="e">
        <f t="shared" si="89"/>
        <v>#VALUE!</v>
      </c>
      <c r="E5708" t="e">
        <f>cubic_spline(CURVA!$B$6:$B$20,CURVA!$G$6:$G$20,#REF!)</f>
        <v>#VALUE!</v>
      </c>
    </row>
    <row r="5709" spans="1:5" x14ac:dyDescent="0.2">
      <c r="A5709" s="28">
        <v>5708</v>
      </c>
      <c r="B5709" s="28" t="e">
        <f>interpola(#REF!,CURVA!$B$6:$B$20,CURVA!$G$6:$G$20)</f>
        <v>#VALUE!</v>
      </c>
      <c r="C5709" s="29" t="e">
        <f t="shared" si="89"/>
        <v>#VALUE!</v>
      </c>
      <c r="E5709" t="e">
        <f>cubic_spline(CURVA!$B$6:$B$20,CURVA!$G$6:$G$20,#REF!)</f>
        <v>#VALUE!</v>
      </c>
    </row>
    <row r="5710" spans="1:5" x14ac:dyDescent="0.2">
      <c r="A5710" s="28">
        <v>5709</v>
      </c>
      <c r="B5710" s="28" t="e">
        <f>interpola(#REF!,CURVA!$B$6:$B$20,CURVA!$G$6:$G$20)</f>
        <v>#VALUE!</v>
      </c>
      <c r="C5710" s="29" t="e">
        <f t="shared" si="89"/>
        <v>#VALUE!</v>
      </c>
      <c r="E5710" t="e">
        <f>cubic_spline(CURVA!$B$6:$B$20,CURVA!$G$6:$G$20,#REF!)</f>
        <v>#VALUE!</v>
      </c>
    </row>
    <row r="5711" spans="1:5" x14ac:dyDescent="0.2">
      <c r="A5711" s="28">
        <v>5710</v>
      </c>
      <c r="B5711" s="28" t="e">
        <f>interpola(#REF!,CURVA!$B$6:$B$20,CURVA!$G$6:$G$20)</f>
        <v>#VALUE!</v>
      </c>
      <c r="C5711" s="29" t="e">
        <f t="shared" si="89"/>
        <v>#VALUE!</v>
      </c>
      <c r="E5711" t="e">
        <f>cubic_spline(CURVA!$B$6:$B$20,CURVA!$G$6:$G$20,#REF!)</f>
        <v>#VALUE!</v>
      </c>
    </row>
    <row r="5712" spans="1:5" x14ac:dyDescent="0.2">
      <c r="A5712" s="28">
        <v>5711</v>
      </c>
      <c r="B5712" s="28" t="e">
        <f>interpola(#REF!,CURVA!$B$6:$B$20,CURVA!$G$6:$G$20)</f>
        <v>#VALUE!</v>
      </c>
      <c r="C5712" s="29" t="e">
        <f t="shared" si="89"/>
        <v>#VALUE!</v>
      </c>
      <c r="E5712" t="e">
        <f>cubic_spline(CURVA!$B$6:$B$20,CURVA!$G$6:$G$20,#REF!)</f>
        <v>#VALUE!</v>
      </c>
    </row>
    <row r="5713" spans="1:5" x14ac:dyDescent="0.2">
      <c r="A5713" s="28">
        <v>5712</v>
      </c>
      <c r="B5713" s="28" t="e">
        <f>interpola(#REF!,CURVA!$B$6:$B$20,CURVA!$G$6:$G$20)</f>
        <v>#VALUE!</v>
      </c>
      <c r="C5713" s="29" t="e">
        <f t="shared" si="89"/>
        <v>#VALUE!</v>
      </c>
      <c r="E5713" t="e">
        <f>cubic_spline(CURVA!$B$6:$B$20,CURVA!$G$6:$G$20,#REF!)</f>
        <v>#VALUE!</v>
      </c>
    </row>
    <row r="5714" spans="1:5" x14ac:dyDescent="0.2">
      <c r="A5714" s="28">
        <v>5713</v>
      </c>
      <c r="B5714" s="28" t="e">
        <f>interpola(#REF!,CURVA!$B$6:$B$20,CURVA!$G$6:$G$20)</f>
        <v>#VALUE!</v>
      </c>
      <c r="C5714" s="29" t="e">
        <f t="shared" si="89"/>
        <v>#VALUE!</v>
      </c>
      <c r="E5714" t="e">
        <f>cubic_spline(CURVA!$B$6:$B$20,CURVA!$G$6:$G$20,#REF!)</f>
        <v>#VALUE!</v>
      </c>
    </row>
    <row r="5715" spans="1:5" x14ac:dyDescent="0.2">
      <c r="A5715" s="28">
        <v>5714</v>
      </c>
      <c r="B5715" s="28" t="e">
        <f>interpola(#REF!,CURVA!$B$6:$B$20,CURVA!$G$6:$G$20)</f>
        <v>#VALUE!</v>
      </c>
      <c r="C5715" s="29" t="e">
        <f t="shared" si="89"/>
        <v>#VALUE!</v>
      </c>
      <c r="E5715" t="e">
        <f>cubic_spline(CURVA!$B$6:$B$20,CURVA!$G$6:$G$20,#REF!)</f>
        <v>#VALUE!</v>
      </c>
    </row>
    <row r="5716" spans="1:5" x14ac:dyDescent="0.2">
      <c r="A5716" s="28">
        <v>5715</v>
      </c>
      <c r="B5716" s="28" t="e">
        <f>interpola(#REF!,CURVA!$B$6:$B$20,CURVA!$G$6:$G$20)</f>
        <v>#VALUE!</v>
      </c>
      <c r="C5716" s="29" t="e">
        <f t="shared" si="89"/>
        <v>#VALUE!</v>
      </c>
      <c r="E5716" t="e">
        <f>cubic_spline(CURVA!$B$6:$B$20,CURVA!$G$6:$G$20,#REF!)</f>
        <v>#VALUE!</v>
      </c>
    </row>
    <row r="5717" spans="1:5" x14ac:dyDescent="0.2">
      <c r="A5717" s="28">
        <v>5716</v>
      </c>
      <c r="B5717" s="28" t="e">
        <f>interpola(#REF!,CURVA!$B$6:$B$20,CURVA!$G$6:$G$20)</f>
        <v>#VALUE!</v>
      </c>
      <c r="C5717" s="29" t="e">
        <f t="shared" si="89"/>
        <v>#VALUE!</v>
      </c>
      <c r="E5717" t="e">
        <f>cubic_spline(CURVA!$B$6:$B$20,CURVA!$G$6:$G$20,#REF!)</f>
        <v>#VALUE!</v>
      </c>
    </row>
    <row r="5718" spans="1:5" x14ac:dyDescent="0.2">
      <c r="A5718" s="28">
        <v>5717</v>
      </c>
      <c r="B5718" s="28" t="e">
        <f>interpola(#REF!,CURVA!$B$6:$B$20,CURVA!$G$6:$G$20)</f>
        <v>#VALUE!</v>
      </c>
      <c r="C5718" s="29" t="e">
        <f t="shared" si="89"/>
        <v>#VALUE!</v>
      </c>
      <c r="E5718" t="e">
        <f>cubic_spline(CURVA!$B$6:$B$20,CURVA!$G$6:$G$20,#REF!)</f>
        <v>#VALUE!</v>
      </c>
    </row>
    <row r="5719" spans="1:5" x14ac:dyDescent="0.2">
      <c r="A5719" s="28">
        <v>5718</v>
      </c>
      <c r="B5719" s="28" t="e">
        <f>interpola(#REF!,CURVA!$B$6:$B$20,CURVA!$G$6:$G$20)</f>
        <v>#VALUE!</v>
      </c>
      <c r="C5719" s="29" t="e">
        <f t="shared" si="89"/>
        <v>#VALUE!</v>
      </c>
      <c r="E5719" t="e">
        <f>cubic_spline(CURVA!$B$6:$B$20,CURVA!$G$6:$G$20,#REF!)</f>
        <v>#VALUE!</v>
      </c>
    </row>
    <row r="5720" spans="1:5" x14ac:dyDescent="0.2">
      <c r="A5720" s="28">
        <v>5719</v>
      </c>
      <c r="B5720" s="28" t="e">
        <f>interpola(#REF!,CURVA!$B$6:$B$20,CURVA!$G$6:$G$20)</f>
        <v>#VALUE!</v>
      </c>
      <c r="C5720" s="29" t="e">
        <f t="shared" si="89"/>
        <v>#VALUE!</v>
      </c>
      <c r="E5720" t="e">
        <f>cubic_spline(CURVA!$B$6:$B$20,CURVA!$G$6:$G$20,#REF!)</f>
        <v>#VALUE!</v>
      </c>
    </row>
    <row r="5721" spans="1:5" x14ac:dyDescent="0.2">
      <c r="A5721" s="28">
        <v>5720</v>
      </c>
      <c r="B5721" s="28" t="e">
        <f>interpola(#REF!,CURVA!$B$6:$B$20,CURVA!$G$6:$G$20)</f>
        <v>#VALUE!</v>
      </c>
      <c r="C5721" s="29" t="e">
        <f t="shared" si="89"/>
        <v>#VALUE!</v>
      </c>
      <c r="E5721" t="e">
        <f>cubic_spline(CURVA!$B$6:$B$20,CURVA!$G$6:$G$20,#REF!)</f>
        <v>#VALUE!</v>
      </c>
    </row>
    <row r="5722" spans="1:5" x14ac:dyDescent="0.2">
      <c r="A5722" s="28">
        <v>5721</v>
      </c>
      <c r="B5722" s="28" t="e">
        <f>interpola(#REF!,CURVA!$B$6:$B$20,CURVA!$G$6:$G$20)</f>
        <v>#VALUE!</v>
      </c>
      <c r="C5722" s="29" t="e">
        <f t="shared" si="89"/>
        <v>#VALUE!</v>
      </c>
      <c r="E5722" t="e">
        <f>cubic_spline(CURVA!$B$6:$B$20,CURVA!$G$6:$G$20,#REF!)</f>
        <v>#VALUE!</v>
      </c>
    </row>
    <row r="5723" spans="1:5" x14ac:dyDescent="0.2">
      <c r="A5723" s="28">
        <v>5722</v>
      </c>
      <c r="B5723" s="28" t="e">
        <f>interpola(#REF!,CURVA!$B$6:$B$20,CURVA!$G$6:$G$20)</f>
        <v>#VALUE!</v>
      </c>
      <c r="C5723" s="29" t="e">
        <f t="shared" si="89"/>
        <v>#VALUE!</v>
      </c>
      <c r="E5723" t="e">
        <f>cubic_spline(CURVA!$B$6:$B$20,CURVA!$G$6:$G$20,#REF!)</f>
        <v>#VALUE!</v>
      </c>
    </row>
    <row r="5724" spans="1:5" x14ac:dyDescent="0.2">
      <c r="A5724" s="28">
        <v>5723</v>
      </c>
      <c r="B5724" s="28" t="e">
        <f>interpola(#REF!,CURVA!$B$6:$B$20,CURVA!$G$6:$G$20)</f>
        <v>#VALUE!</v>
      </c>
      <c r="C5724" s="29" t="e">
        <f t="shared" si="89"/>
        <v>#VALUE!</v>
      </c>
      <c r="E5724" t="e">
        <f>cubic_spline(CURVA!$B$6:$B$20,CURVA!$G$6:$G$20,#REF!)</f>
        <v>#VALUE!</v>
      </c>
    </row>
    <row r="5725" spans="1:5" x14ac:dyDescent="0.2">
      <c r="A5725" s="28">
        <v>5724</v>
      </c>
      <c r="B5725" s="28" t="e">
        <f>interpola(#REF!,CURVA!$B$6:$B$20,CURVA!$G$6:$G$20)</f>
        <v>#VALUE!</v>
      </c>
      <c r="C5725" s="29" t="e">
        <f t="shared" si="89"/>
        <v>#VALUE!</v>
      </c>
      <c r="E5725" t="e">
        <f>cubic_spline(CURVA!$B$6:$B$20,CURVA!$G$6:$G$20,#REF!)</f>
        <v>#VALUE!</v>
      </c>
    </row>
    <row r="5726" spans="1:5" x14ac:dyDescent="0.2">
      <c r="A5726" s="28">
        <v>5725</v>
      </c>
      <c r="B5726" s="28" t="e">
        <f>interpola(#REF!,CURVA!$B$6:$B$20,CURVA!$G$6:$G$20)</f>
        <v>#VALUE!</v>
      </c>
      <c r="C5726" s="29" t="e">
        <f t="shared" si="89"/>
        <v>#VALUE!</v>
      </c>
      <c r="E5726" t="e">
        <f>cubic_spline(CURVA!$B$6:$B$20,CURVA!$G$6:$G$20,#REF!)</f>
        <v>#VALUE!</v>
      </c>
    </row>
    <row r="5727" spans="1:5" x14ac:dyDescent="0.2">
      <c r="A5727" s="28">
        <v>5726</v>
      </c>
      <c r="B5727" s="28" t="e">
        <f>interpola(#REF!,CURVA!$B$6:$B$20,CURVA!$G$6:$G$20)</f>
        <v>#VALUE!</v>
      </c>
      <c r="C5727" s="29" t="e">
        <f t="shared" si="89"/>
        <v>#VALUE!</v>
      </c>
      <c r="E5727" t="e">
        <f>cubic_spline(CURVA!$B$6:$B$20,CURVA!$G$6:$G$20,#REF!)</f>
        <v>#VALUE!</v>
      </c>
    </row>
    <row r="5728" spans="1:5" x14ac:dyDescent="0.2">
      <c r="A5728" s="28">
        <v>5727</v>
      </c>
      <c r="B5728" s="28" t="e">
        <f>interpola(#REF!,CURVA!$B$6:$B$20,CURVA!$G$6:$G$20)</f>
        <v>#VALUE!</v>
      </c>
      <c r="C5728" s="29" t="e">
        <f t="shared" si="89"/>
        <v>#VALUE!</v>
      </c>
      <c r="E5728" t="e">
        <f>cubic_spline(CURVA!$B$6:$B$20,CURVA!$G$6:$G$20,#REF!)</f>
        <v>#VALUE!</v>
      </c>
    </row>
    <row r="5729" spans="1:5" x14ac:dyDescent="0.2">
      <c r="A5729" s="28">
        <v>5728</v>
      </c>
      <c r="B5729" s="28" t="e">
        <f>interpola(#REF!,CURVA!$B$6:$B$20,CURVA!$G$6:$G$20)</f>
        <v>#VALUE!</v>
      </c>
      <c r="C5729" s="29" t="e">
        <f t="shared" si="89"/>
        <v>#VALUE!</v>
      </c>
      <c r="E5729" t="e">
        <f>cubic_spline(CURVA!$B$6:$B$20,CURVA!$G$6:$G$20,#REF!)</f>
        <v>#VALUE!</v>
      </c>
    </row>
    <row r="5730" spans="1:5" x14ac:dyDescent="0.2">
      <c r="A5730" s="28">
        <v>5729</v>
      </c>
      <c r="B5730" s="28" t="e">
        <f>interpola(#REF!,CURVA!$B$6:$B$20,CURVA!$G$6:$G$20)</f>
        <v>#VALUE!</v>
      </c>
      <c r="C5730" s="29" t="e">
        <f t="shared" si="89"/>
        <v>#VALUE!</v>
      </c>
      <c r="E5730" t="e">
        <f>cubic_spline(CURVA!$B$6:$B$20,CURVA!$G$6:$G$20,#REF!)</f>
        <v>#VALUE!</v>
      </c>
    </row>
    <row r="5731" spans="1:5" x14ac:dyDescent="0.2">
      <c r="A5731" s="28">
        <v>5730</v>
      </c>
      <c r="B5731" s="28" t="e">
        <f>interpola(#REF!,CURVA!$B$6:$B$20,CURVA!$G$6:$G$20)</f>
        <v>#VALUE!</v>
      </c>
      <c r="C5731" s="29" t="e">
        <f t="shared" si="89"/>
        <v>#VALUE!</v>
      </c>
      <c r="E5731" t="e">
        <f>cubic_spline(CURVA!$B$6:$B$20,CURVA!$G$6:$G$20,#REF!)</f>
        <v>#VALUE!</v>
      </c>
    </row>
    <row r="5732" spans="1:5" x14ac:dyDescent="0.2">
      <c r="A5732" s="28">
        <v>5731</v>
      </c>
      <c r="B5732" s="28" t="e">
        <f>interpola(#REF!,CURVA!$B$6:$B$20,CURVA!$G$6:$G$20)</f>
        <v>#VALUE!</v>
      </c>
      <c r="C5732" s="29" t="e">
        <f t="shared" si="89"/>
        <v>#VALUE!</v>
      </c>
      <c r="E5732" t="e">
        <f>cubic_spline(CURVA!$B$6:$B$20,CURVA!$G$6:$G$20,#REF!)</f>
        <v>#VALUE!</v>
      </c>
    </row>
    <row r="5733" spans="1:5" x14ac:dyDescent="0.2">
      <c r="A5733" s="28">
        <v>5732</v>
      </c>
      <c r="B5733" s="28" t="e">
        <f>interpola(#REF!,CURVA!$B$6:$B$20,CURVA!$G$6:$G$20)</f>
        <v>#VALUE!</v>
      </c>
      <c r="C5733" s="29" t="e">
        <f t="shared" si="89"/>
        <v>#VALUE!</v>
      </c>
      <c r="E5733" t="e">
        <f>cubic_spline(CURVA!$B$6:$B$20,CURVA!$G$6:$G$20,#REF!)</f>
        <v>#VALUE!</v>
      </c>
    </row>
    <row r="5734" spans="1:5" x14ac:dyDescent="0.2">
      <c r="A5734" s="28">
        <v>5733</v>
      </c>
      <c r="B5734" s="28" t="e">
        <f>interpola(#REF!,CURVA!$B$6:$B$20,CURVA!$G$6:$G$20)</f>
        <v>#VALUE!</v>
      </c>
      <c r="C5734" s="29" t="e">
        <f t="shared" si="89"/>
        <v>#VALUE!</v>
      </c>
      <c r="E5734" t="e">
        <f>cubic_spline(CURVA!$B$6:$B$20,CURVA!$G$6:$G$20,#REF!)</f>
        <v>#VALUE!</v>
      </c>
    </row>
    <row r="5735" spans="1:5" x14ac:dyDescent="0.2">
      <c r="A5735" s="28">
        <v>5734</v>
      </c>
      <c r="B5735" s="28" t="e">
        <f>interpola(#REF!,CURVA!$B$6:$B$20,CURVA!$G$6:$G$20)</f>
        <v>#VALUE!</v>
      </c>
      <c r="C5735" s="29" t="e">
        <f t="shared" si="89"/>
        <v>#VALUE!</v>
      </c>
      <c r="E5735" t="e">
        <f>cubic_spline(CURVA!$B$6:$B$20,CURVA!$G$6:$G$20,#REF!)</f>
        <v>#VALUE!</v>
      </c>
    </row>
    <row r="5736" spans="1:5" x14ac:dyDescent="0.2">
      <c r="A5736" s="28">
        <v>5735</v>
      </c>
      <c r="B5736" s="28" t="e">
        <f>interpola(#REF!,CURVA!$B$6:$B$20,CURVA!$G$6:$G$20)</f>
        <v>#VALUE!</v>
      </c>
      <c r="C5736" s="29" t="e">
        <f t="shared" si="89"/>
        <v>#VALUE!</v>
      </c>
      <c r="E5736" t="e">
        <f>cubic_spline(CURVA!$B$6:$B$20,CURVA!$G$6:$G$20,#REF!)</f>
        <v>#VALUE!</v>
      </c>
    </row>
    <row r="5737" spans="1:5" x14ac:dyDescent="0.2">
      <c r="A5737" s="28">
        <v>5736</v>
      </c>
      <c r="B5737" s="28" t="e">
        <f>interpola(#REF!,CURVA!$B$6:$B$20,CURVA!$G$6:$G$20)</f>
        <v>#VALUE!</v>
      </c>
      <c r="C5737" s="29" t="e">
        <f t="shared" si="89"/>
        <v>#VALUE!</v>
      </c>
      <c r="E5737" t="e">
        <f>cubic_spline(CURVA!$B$6:$B$20,CURVA!$G$6:$G$20,#REF!)</f>
        <v>#VALUE!</v>
      </c>
    </row>
    <row r="5738" spans="1:5" x14ac:dyDescent="0.2">
      <c r="A5738" s="28">
        <v>5737</v>
      </c>
      <c r="B5738" s="28" t="e">
        <f>interpola(#REF!,CURVA!$B$6:$B$20,CURVA!$G$6:$G$20)</f>
        <v>#VALUE!</v>
      </c>
      <c r="C5738" s="29" t="e">
        <f t="shared" si="89"/>
        <v>#VALUE!</v>
      </c>
      <c r="E5738" t="e">
        <f>cubic_spline(CURVA!$B$6:$B$20,CURVA!$G$6:$G$20,#REF!)</f>
        <v>#VALUE!</v>
      </c>
    </row>
    <row r="5739" spans="1:5" x14ac:dyDescent="0.2">
      <c r="A5739" s="28">
        <v>5738</v>
      </c>
      <c r="B5739" s="28" t="e">
        <f>interpola(#REF!,CURVA!$B$6:$B$20,CURVA!$G$6:$G$20)</f>
        <v>#VALUE!</v>
      </c>
      <c r="C5739" s="29" t="e">
        <f t="shared" si="89"/>
        <v>#VALUE!</v>
      </c>
      <c r="E5739" t="e">
        <f>cubic_spline(CURVA!$B$6:$B$20,CURVA!$G$6:$G$20,#REF!)</f>
        <v>#VALUE!</v>
      </c>
    </row>
    <row r="5740" spans="1:5" x14ac:dyDescent="0.2">
      <c r="A5740" s="28">
        <v>5739</v>
      </c>
      <c r="B5740" s="28" t="e">
        <f>interpola(#REF!,CURVA!$B$6:$B$20,CURVA!$G$6:$G$20)</f>
        <v>#VALUE!</v>
      </c>
      <c r="C5740" s="29" t="e">
        <f t="shared" si="89"/>
        <v>#VALUE!</v>
      </c>
      <c r="E5740" t="e">
        <f>cubic_spline(CURVA!$B$6:$B$20,CURVA!$G$6:$G$20,#REF!)</f>
        <v>#VALUE!</v>
      </c>
    </row>
    <row r="5741" spans="1:5" x14ac:dyDescent="0.2">
      <c r="A5741" s="28">
        <v>5740</v>
      </c>
      <c r="B5741" s="28" t="e">
        <f>interpola(#REF!,CURVA!$B$6:$B$20,CURVA!$G$6:$G$20)</f>
        <v>#VALUE!</v>
      </c>
      <c r="C5741" s="29" t="e">
        <f t="shared" si="89"/>
        <v>#VALUE!</v>
      </c>
      <c r="E5741" t="e">
        <f>cubic_spline(CURVA!$B$6:$B$20,CURVA!$G$6:$G$20,#REF!)</f>
        <v>#VALUE!</v>
      </c>
    </row>
    <row r="5742" spans="1:5" x14ac:dyDescent="0.2">
      <c r="A5742" s="28">
        <v>5741</v>
      </c>
      <c r="B5742" s="28" t="e">
        <f>interpola(#REF!,CURVA!$B$6:$B$20,CURVA!$G$6:$G$20)</f>
        <v>#VALUE!</v>
      </c>
      <c r="C5742" s="29" t="e">
        <f t="shared" si="89"/>
        <v>#VALUE!</v>
      </c>
      <c r="E5742" t="e">
        <f>cubic_spline(CURVA!$B$6:$B$20,CURVA!$G$6:$G$20,#REF!)</f>
        <v>#VALUE!</v>
      </c>
    </row>
    <row r="5743" spans="1:5" x14ac:dyDescent="0.2">
      <c r="A5743" s="28">
        <v>5742</v>
      </c>
      <c r="B5743" s="28" t="e">
        <f>interpola(#REF!,CURVA!$B$6:$B$20,CURVA!$G$6:$G$20)</f>
        <v>#VALUE!</v>
      </c>
      <c r="C5743" s="29" t="e">
        <f t="shared" si="89"/>
        <v>#VALUE!</v>
      </c>
      <c r="E5743" t="e">
        <f>cubic_spline(CURVA!$B$6:$B$20,CURVA!$G$6:$G$20,#REF!)</f>
        <v>#VALUE!</v>
      </c>
    </row>
    <row r="5744" spans="1:5" x14ac:dyDescent="0.2">
      <c r="A5744" s="28">
        <v>5743</v>
      </c>
      <c r="B5744" s="28" t="e">
        <f>interpola(#REF!,CURVA!$B$6:$B$20,CURVA!$G$6:$G$20)</f>
        <v>#VALUE!</v>
      </c>
      <c r="C5744" s="29" t="e">
        <f t="shared" si="89"/>
        <v>#VALUE!</v>
      </c>
      <c r="E5744" t="e">
        <f>cubic_spline(CURVA!$B$6:$B$20,CURVA!$G$6:$G$20,#REF!)</f>
        <v>#VALUE!</v>
      </c>
    </row>
    <row r="5745" spans="1:5" x14ac:dyDescent="0.2">
      <c r="A5745" s="28">
        <v>5744</v>
      </c>
      <c r="B5745" s="28" t="e">
        <f>interpola(#REF!,CURVA!$B$6:$B$20,CURVA!$G$6:$G$20)</f>
        <v>#VALUE!</v>
      </c>
      <c r="C5745" s="29" t="e">
        <f t="shared" si="89"/>
        <v>#VALUE!</v>
      </c>
      <c r="E5745" t="e">
        <f>cubic_spline(CURVA!$B$6:$B$20,CURVA!$G$6:$G$20,#REF!)</f>
        <v>#VALUE!</v>
      </c>
    </row>
    <row r="5746" spans="1:5" x14ac:dyDescent="0.2">
      <c r="A5746" s="28">
        <v>5745</v>
      </c>
      <c r="B5746" s="28" t="e">
        <f>interpola(#REF!,CURVA!$B$6:$B$20,CURVA!$G$6:$G$20)</f>
        <v>#VALUE!</v>
      </c>
      <c r="C5746" s="29" t="e">
        <f t="shared" si="89"/>
        <v>#VALUE!</v>
      </c>
      <c r="E5746" t="e">
        <f>cubic_spline(CURVA!$B$6:$B$20,CURVA!$G$6:$G$20,#REF!)</f>
        <v>#VALUE!</v>
      </c>
    </row>
    <row r="5747" spans="1:5" x14ac:dyDescent="0.2">
      <c r="A5747" s="28">
        <v>5746</v>
      </c>
      <c r="B5747" s="28" t="e">
        <f>interpola(#REF!,CURVA!$B$6:$B$20,CURVA!$G$6:$G$20)</f>
        <v>#VALUE!</v>
      </c>
      <c r="C5747" s="29" t="e">
        <f t="shared" si="89"/>
        <v>#VALUE!</v>
      </c>
      <c r="E5747" t="e">
        <f>cubic_spline(CURVA!$B$6:$B$20,CURVA!$G$6:$G$20,#REF!)</f>
        <v>#VALUE!</v>
      </c>
    </row>
    <row r="5748" spans="1:5" x14ac:dyDescent="0.2">
      <c r="A5748" s="28">
        <v>5747</v>
      </c>
      <c r="B5748" s="28" t="e">
        <f>interpola(#REF!,CURVA!$B$6:$B$20,CURVA!$G$6:$G$20)</f>
        <v>#VALUE!</v>
      </c>
      <c r="C5748" s="29" t="e">
        <f t="shared" si="89"/>
        <v>#VALUE!</v>
      </c>
      <c r="E5748" t="e">
        <f>cubic_spline(CURVA!$B$6:$B$20,CURVA!$G$6:$G$20,#REF!)</f>
        <v>#VALUE!</v>
      </c>
    </row>
    <row r="5749" spans="1:5" x14ac:dyDescent="0.2">
      <c r="A5749" s="28">
        <v>5748</v>
      </c>
      <c r="B5749" s="28" t="e">
        <f>interpola(#REF!,CURVA!$B$6:$B$20,CURVA!$G$6:$G$20)</f>
        <v>#VALUE!</v>
      </c>
      <c r="C5749" s="29" t="e">
        <f t="shared" si="89"/>
        <v>#VALUE!</v>
      </c>
      <c r="E5749" t="e">
        <f>cubic_spline(CURVA!$B$6:$B$20,CURVA!$G$6:$G$20,#REF!)</f>
        <v>#VALUE!</v>
      </c>
    </row>
    <row r="5750" spans="1:5" x14ac:dyDescent="0.2">
      <c r="A5750" s="28">
        <v>5749</v>
      </c>
      <c r="B5750" s="28" t="e">
        <f>interpola(#REF!,CURVA!$B$6:$B$20,CURVA!$G$6:$G$20)</f>
        <v>#VALUE!</v>
      </c>
      <c r="C5750" s="29" t="e">
        <f t="shared" si="89"/>
        <v>#VALUE!</v>
      </c>
      <c r="E5750" t="e">
        <f>cubic_spline(CURVA!$B$6:$B$20,CURVA!$G$6:$G$20,#REF!)</f>
        <v>#VALUE!</v>
      </c>
    </row>
    <row r="5751" spans="1:5" x14ac:dyDescent="0.2">
      <c r="A5751" s="28">
        <v>5750</v>
      </c>
      <c r="B5751" s="28" t="e">
        <f>interpola(#REF!,CURVA!$B$6:$B$20,CURVA!$G$6:$G$20)</f>
        <v>#VALUE!</v>
      </c>
      <c r="C5751" s="29" t="e">
        <f t="shared" si="89"/>
        <v>#VALUE!</v>
      </c>
      <c r="E5751" t="e">
        <f>cubic_spline(CURVA!$B$6:$B$20,CURVA!$G$6:$G$20,#REF!)</f>
        <v>#VALUE!</v>
      </c>
    </row>
    <row r="5752" spans="1:5" x14ac:dyDescent="0.2">
      <c r="A5752" s="28">
        <v>5751</v>
      </c>
      <c r="B5752" s="28" t="e">
        <f>interpola(#REF!,CURVA!$B$6:$B$20,CURVA!$G$6:$G$20)</f>
        <v>#VALUE!</v>
      </c>
      <c r="C5752" s="29" t="e">
        <f t="shared" si="89"/>
        <v>#VALUE!</v>
      </c>
      <c r="E5752" t="e">
        <f>cubic_spline(CURVA!$B$6:$B$20,CURVA!$G$6:$G$20,#REF!)</f>
        <v>#VALUE!</v>
      </c>
    </row>
    <row r="5753" spans="1:5" x14ac:dyDescent="0.2">
      <c r="A5753" s="28">
        <v>5752</v>
      </c>
      <c r="B5753" s="28" t="e">
        <f>interpola(#REF!,CURVA!$B$6:$B$20,CURVA!$G$6:$G$20)</f>
        <v>#VALUE!</v>
      </c>
      <c r="C5753" s="29" t="e">
        <f t="shared" si="89"/>
        <v>#VALUE!</v>
      </c>
      <c r="E5753" t="e">
        <f>cubic_spline(CURVA!$B$6:$B$20,CURVA!$G$6:$G$20,#REF!)</f>
        <v>#VALUE!</v>
      </c>
    </row>
    <row r="5754" spans="1:5" x14ac:dyDescent="0.2">
      <c r="A5754" s="28">
        <v>5753</v>
      </c>
      <c r="B5754" s="28" t="e">
        <f>interpola(#REF!,CURVA!$B$6:$B$20,CURVA!$G$6:$G$20)</f>
        <v>#VALUE!</v>
      </c>
      <c r="C5754" s="29" t="e">
        <f t="shared" si="89"/>
        <v>#VALUE!</v>
      </c>
      <c r="E5754" t="e">
        <f>cubic_spline(CURVA!$B$6:$B$20,CURVA!$G$6:$G$20,#REF!)</f>
        <v>#VALUE!</v>
      </c>
    </row>
    <row r="5755" spans="1:5" x14ac:dyDescent="0.2">
      <c r="A5755" s="28">
        <v>5754</v>
      </c>
      <c r="B5755" s="28" t="e">
        <f>interpola(#REF!,CURVA!$B$6:$B$20,CURVA!$G$6:$G$20)</f>
        <v>#VALUE!</v>
      </c>
      <c r="C5755" s="29" t="e">
        <f t="shared" si="89"/>
        <v>#VALUE!</v>
      </c>
      <c r="E5755" t="e">
        <f>cubic_spline(CURVA!$B$6:$B$20,CURVA!$G$6:$G$20,#REF!)</f>
        <v>#VALUE!</v>
      </c>
    </row>
    <row r="5756" spans="1:5" x14ac:dyDescent="0.2">
      <c r="A5756" s="28">
        <v>5755</v>
      </c>
      <c r="B5756" s="28" t="e">
        <f>interpola(#REF!,CURVA!$B$6:$B$20,CURVA!$G$6:$G$20)</f>
        <v>#VALUE!</v>
      </c>
      <c r="C5756" s="29" t="e">
        <f t="shared" si="89"/>
        <v>#VALUE!</v>
      </c>
      <c r="E5756" t="e">
        <f>cubic_spline(CURVA!$B$6:$B$20,CURVA!$G$6:$G$20,#REF!)</f>
        <v>#VALUE!</v>
      </c>
    </row>
    <row r="5757" spans="1:5" x14ac:dyDescent="0.2">
      <c r="A5757" s="28">
        <v>5756</v>
      </c>
      <c r="B5757" s="28" t="e">
        <f>interpola(#REF!,CURVA!$B$6:$B$20,CURVA!$G$6:$G$20)</f>
        <v>#VALUE!</v>
      </c>
      <c r="C5757" s="29" t="e">
        <f t="shared" si="89"/>
        <v>#VALUE!</v>
      </c>
      <c r="E5757" t="e">
        <f>cubic_spline(CURVA!$B$6:$B$20,CURVA!$G$6:$G$20,#REF!)</f>
        <v>#VALUE!</v>
      </c>
    </row>
    <row r="5758" spans="1:5" x14ac:dyDescent="0.2">
      <c r="A5758" s="28">
        <v>5757</v>
      </c>
      <c r="B5758" s="28" t="e">
        <f>interpola(#REF!,CURVA!$B$6:$B$20,CURVA!$G$6:$G$20)</f>
        <v>#VALUE!</v>
      </c>
      <c r="C5758" s="29" t="e">
        <f t="shared" si="89"/>
        <v>#VALUE!</v>
      </c>
      <c r="E5758" t="e">
        <f>cubic_spline(CURVA!$B$6:$B$20,CURVA!$G$6:$G$20,#REF!)</f>
        <v>#VALUE!</v>
      </c>
    </row>
    <row r="5759" spans="1:5" x14ac:dyDescent="0.2">
      <c r="A5759" s="28">
        <v>5758</v>
      </c>
      <c r="B5759" s="28" t="e">
        <f>interpola(#REF!,CURVA!$B$6:$B$20,CURVA!$G$6:$G$20)</f>
        <v>#VALUE!</v>
      </c>
      <c r="C5759" s="29" t="e">
        <f t="shared" si="89"/>
        <v>#VALUE!</v>
      </c>
      <c r="E5759" t="e">
        <f>cubic_spline(CURVA!$B$6:$B$20,CURVA!$G$6:$G$20,#REF!)</f>
        <v>#VALUE!</v>
      </c>
    </row>
    <row r="5760" spans="1:5" x14ac:dyDescent="0.2">
      <c r="A5760" s="28">
        <v>5759</v>
      </c>
      <c r="B5760" s="28" t="e">
        <f>interpola(#REF!,CURVA!$B$6:$B$20,CURVA!$G$6:$G$20)</f>
        <v>#VALUE!</v>
      </c>
      <c r="C5760" s="29" t="e">
        <f t="shared" si="89"/>
        <v>#VALUE!</v>
      </c>
      <c r="E5760" t="e">
        <f>cubic_spline(CURVA!$B$6:$B$20,CURVA!$G$6:$G$20,#REF!)</f>
        <v>#VALUE!</v>
      </c>
    </row>
    <row r="5761" spans="1:5" x14ac:dyDescent="0.2">
      <c r="A5761" s="28">
        <v>5760</v>
      </c>
      <c r="B5761" s="28" t="e">
        <f>interpola(#REF!,CURVA!$B$6:$B$20,CURVA!$G$6:$G$20)</f>
        <v>#VALUE!</v>
      </c>
      <c r="C5761" s="29" t="e">
        <f t="shared" si="89"/>
        <v>#VALUE!</v>
      </c>
      <c r="E5761" t="e">
        <f>cubic_spline(CURVA!$B$6:$B$20,CURVA!$G$6:$G$20,#REF!)</f>
        <v>#VALUE!</v>
      </c>
    </row>
    <row r="5762" spans="1:5" x14ac:dyDescent="0.2">
      <c r="A5762" s="28">
        <v>5761</v>
      </c>
      <c r="B5762" s="28" t="e">
        <f>interpola(#REF!,CURVA!$B$6:$B$20,CURVA!$G$6:$G$20)</f>
        <v>#VALUE!</v>
      </c>
      <c r="C5762" s="29" t="e">
        <f t="shared" ref="C5762:C5825" si="90">(EXP(B5762*A5762/360)-1)*360/A5762</f>
        <v>#VALUE!</v>
      </c>
      <c r="E5762" t="e">
        <f>cubic_spline(CURVA!$B$6:$B$20,CURVA!$G$6:$G$20,#REF!)</f>
        <v>#VALUE!</v>
      </c>
    </row>
    <row r="5763" spans="1:5" x14ac:dyDescent="0.2">
      <c r="A5763" s="28">
        <v>5762</v>
      </c>
      <c r="B5763" s="28" t="e">
        <f>interpola(#REF!,CURVA!$B$6:$B$20,CURVA!$G$6:$G$20)</f>
        <v>#VALUE!</v>
      </c>
      <c r="C5763" s="29" t="e">
        <f t="shared" si="90"/>
        <v>#VALUE!</v>
      </c>
      <c r="E5763" t="e">
        <f>cubic_spline(CURVA!$B$6:$B$20,CURVA!$G$6:$G$20,#REF!)</f>
        <v>#VALUE!</v>
      </c>
    </row>
    <row r="5764" spans="1:5" x14ac:dyDescent="0.2">
      <c r="A5764" s="28">
        <v>5763</v>
      </c>
      <c r="B5764" s="28" t="e">
        <f>interpola(#REF!,CURVA!$B$6:$B$20,CURVA!$G$6:$G$20)</f>
        <v>#VALUE!</v>
      </c>
      <c r="C5764" s="29" t="e">
        <f t="shared" si="90"/>
        <v>#VALUE!</v>
      </c>
      <c r="E5764" t="e">
        <f>cubic_spline(CURVA!$B$6:$B$20,CURVA!$G$6:$G$20,#REF!)</f>
        <v>#VALUE!</v>
      </c>
    </row>
    <row r="5765" spans="1:5" x14ac:dyDescent="0.2">
      <c r="A5765" s="28">
        <v>5764</v>
      </c>
      <c r="B5765" s="28" t="e">
        <f>interpola(#REF!,CURVA!$B$6:$B$20,CURVA!$G$6:$G$20)</f>
        <v>#VALUE!</v>
      </c>
      <c r="C5765" s="29" t="e">
        <f t="shared" si="90"/>
        <v>#VALUE!</v>
      </c>
      <c r="E5765" t="e">
        <f>cubic_spline(CURVA!$B$6:$B$20,CURVA!$G$6:$G$20,#REF!)</f>
        <v>#VALUE!</v>
      </c>
    </row>
    <row r="5766" spans="1:5" x14ac:dyDescent="0.2">
      <c r="A5766" s="28">
        <v>5765</v>
      </c>
      <c r="B5766" s="28" t="e">
        <f>interpola(#REF!,CURVA!$B$6:$B$20,CURVA!$G$6:$G$20)</f>
        <v>#VALUE!</v>
      </c>
      <c r="C5766" s="29" t="e">
        <f t="shared" si="90"/>
        <v>#VALUE!</v>
      </c>
      <c r="E5766" t="e">
        <f>cubic_spline(CURVA!$B$6:$B$20,CURVA!$G$6:$G$20,#REF!)</f>
        <v>#VALUE!</v>
      </c>
    </row>
    <row r="5767" spans="1:5" x14ac:dyDescent="0.2">
      <c r="A5767" s="28">
        <v>5766</v>
      </c>
      <c r="B5767" s="28" t="e">
        <f>interpola(#REF!,CURVA!$B$6:$B$20,CURVA!$G$6:$G$20)</f>
        <v>#VALUE!</v>
      </c>
      <c r="C5767" s="29" t="e">
        <f t="shared" si="90"/>
        <v>#VALUE!</v>
      </c>
      <c r="E5767" t="e">
        <f>cubic_spline(CURVA!$B$6:$B$20,CURVA!$G$6:$G$20,#REF!)</f>
        <v>#VALUE!</v>
      </c>
    </row>
    <row r="5768" spans="1:5" x14ac:dyDescent="0.2">
      <c r="A5768" s="28">
        <v>5767</v>
      </c>
      <c r="B5768" s="28" t="e">
        <f>interpola(#REF!,CURVA!$B$6:$B$20,CURVA!$G$6:$G$20)</f>
        <v>#VALUE!</v>
      </c>
      <c r="C5768" s="29" t="e">
        <f t="shared" si="90"/>
        <v>#VALUE!</v>
      </c>
      <c r="E5768" t="e">
        <f>cubic_spline(CURVA!$B$6:$B$20,CURVA!$G$6:$G$20,#REF!)</f>
        <v>#VALUE!</v>
      </c>
    </row>
    <row r="5769" spans="1:5" x14ac:dyDescent="0.2">
      <c r="A5769" s="28">
        <v>5768</v>
      </c>
      <c r="B5769" s="28" t="e">
        <f>interpola(#REF!,CURVA!$B$6:$B$20,CURVA!$G$6:$G$20)</f>
        <v>#VALUE!</v>
      </c>
      <c r="C5769" s="29" t="e">
        <f t="shared" si="90"/>
        <v>#VALUE!</v>
      </c>
      <c r="E5769" t="e">
        <f>cubic_spline(CURVA!$B$6:$B$20,CURVA!$G$6:$G$20,#REF!)</f>
        <v>#VALUE!</v>
      </c>
    </row>
    <row r="5770" spans="1:5" x14ac:dyDescent="0.2">
      <c r="A5770" s="28">
        <v>5769</v>
      </c>
      <c r="B5770" s="28" t="e">
        <f>interpola(#REF!,CURVA!$B$6:$B$20,CURVA!$G$6:$G$20)</f>
        <v>#VALUE!</v>
      </c>
      <c r="C5770" s="29" t="e">
        <f t="shared" si="90"/>
        <v>#VALUE!</v>
      </c>
      <c r="E5770" t="e">
        <f>cubic_spline(CURVA!$B$6:$B$20,CURVA!$G$6:$G$20,#REF!)</f>
        <v>#VALUE!</v>
      </c>
    </row>
    <row r="5771" spans="1:5" x14ac:dyDescent="0.2">
      <c r="A5771" s="28">
        <v>5770</v>
      </c>
      <c r="B5771" s="28" t="e">
        <f>interpola(#REF!,CURVA!$B$6:$B$20,CURVA!$G$6:$G$20)</f>
        <v>#VALUE!</v>
      </c>
      <c r="C5771" s="29" t="e">
        <f t="shared" si="90"/>
        <v>#VALUE!</v>
      </c>
      <c r="E5771" t="e">
        <f>cubic_spline(CURVA!$B$6:$B$20,CURVA!$G$6:$G$20,#REF!)</f>
        <v>#VALUE!</v>
      </c>
    </row>
    <row r="5772" spans="1:5" x14ac:dyDescent="0.2">
      <c r="A5772" s="28">
        <v>5771</v>
      </c>
      <c r="B5772" s="28" t="e">
        <f>interpola(#REF!,CURVA!$B$6:$B$20,CURVA!$G$6:$G$20)</f>
        <v>#VALUE!</v>
      </c>
      <c r="C5772" s="29" t="e">
        <f t="shared" si="90"/>
        <v>#VALUE!</v>
      </c>
      <c r="E5772" t="e">
        <f>cubic_spline(CURVA!$B$6:$B$20,CURVA!$G$6:$G$20,#REF!)</f>
        <v>#VALUE!</v>
      </c>
    </row>
    <row r="5773" spans="1:5" x14ac:dyDescent="0.2">
      <c r="A5773" s="28">
        <v>5772</v>
      </c>
      <c r="B5773" s="28" t="e">
        <f>interpola(#REF!,CURVA!$B$6:$B$20,CURVA!$G$6:$G$20)</f>
        <v>#VALUE!</v>
      </c>
      <c r="C5773" s="29" t="e">
        <f t="shared" si="90"/>
        <v>#VALUE!</v>
      </c>
      <c r="E5773" t="e">
        <f>cubic_spline(CURVA!$B$6:$B$20,CURVA!$G$6:$G$20,#REF!)</f>
        <v>#VALUE!</v>
      </c>
    </row>
    <row r="5774" spans="1:5" x14ac:dyDescent="0.2">
      <c r="A5774" s="28">
        <v>5773</v>
      </c>
      <c r="B5774" s="28" t="e">
        <f>interpola(#REF!,CURVA!$B$6:$B$20,CURVA!$G$6:$G$20)</f>
        <v>#VALUE!</v>
      </c>
      <c r="C5774" s="29" t="e">
        <f t="shared" si="90"/>
        <v>#VALUE!</v>
      </c>
      <c r="E5774" t="e">
        <f>cubic_spline(CURVA!$B$6:$B$20,CURVA!$G$6:$G$20,#REF!)</f>
        <v>#VALUE!</v>
      </c>
    </row>
    <row r="5775" spans="1:5" x14ac:dyDescent="0.2">
      <c r="A5775" s="28">
        <v>5774</v>
      </c>
      <c r="B5775" s="28" t="e">
        <f>interpola(#REF!,CURVA!$B$6:$B$20,CURVA!$G$6:$G$20)</f>
        <v>#VALUE!</v>
      </c>
      <c r="C5775" s="29" t="e">
        <f t="shared" si="90"/>
        <v>#VALUE!</v>
      </c>
      <c r="E5775" t="e">
        <f>cubic_spline(CURVA!$B$6:$B$20,CURVA!$G$6:$G$20,#REF!)</f>
        <v>#VALUE!</v>
      </c>
    </row>
    <row r="5776" spans="1:5" x14ac:dyDescent="0.2">
      <c r="A5776" s="28">
        <v>5775</v>
      </c>
      <c r="B5776" s="28" t="e">
        <f>interpola(#REF!,CURVA!$B$6:$B$20,CURVA!$G$6:$G$20)</f>
        <v>#VALUE!</v>
      </c>
      <c r="C5776" s="29" t="e">
        <f t="shared" si="90"/>
        <v>#VALUE!</v>
      </c>
      <c r="E5776" t="e">
        <f>cubic_spline(CURVA!$B$6:$B$20,CURVA!$G$6:$G$20,#REF!)</f>
        <v>#VALUE!</v>
      </c>
    </row>
    <row r="5777" spans="1:5" x14ac:dyDescent="0.2">
      <c r="A5777" s="28">
        <v>5776</v>
      </c>
      <c r="B5777" s="28" t="e">
        <f>interpola(#REF!,CURVA!$B$6:$B$20,CURVA!$G$6:$G$20)</f>
        <v>#VALUE!</v>
      </c>
      <c r="C5777" s="29" t="e">
        <f t="shared" si="90"/>
        <v>#VALUE!</v>
      </c>
      <c r="E5777" t="e">
        <f>cubic_spline(CURVA!$B$6:$B$20,CURVA!$G$6:$G$20,#REF!)</f>
        <v>#VALUE!</v>
      </c>
    </row>
    <row r="5778" spans="1:5" x14ac:dyDescent="0.2">
      <c r="A5778" s="28">
        <v>5777</v>
      </c>
      <c r="B5778" s="28" t="e">
        <f>interpola(#REF!,CURVA!$B$6:$B$20,CURVA!$G$6:$G$20)</f>
        <v>#VALUE!</v>
      </c>
      <c r="C5778" s="29" t="e">
        <f t="shared" si="90"/>
        <v>#VALUE!</v>
      </c>
      <c r="E5778" t="e">
        <f>cubic_spline(CURVA!$B$6:$B$20,CURVA!$G$6:$G$20,#REF!)</f>
        <v>#VALUE!</v>
      </c>
    </row>
    <row r="5779" spans="1:5" x14ac:dyDescent="0.2">
      <c r="A5779" s="28">
        <v>5778</v>
      </c>
      <c r="B5779" s="28" t="e">
        <f>interpola(#REF!,CURVA!$B$6:$B$20,CURVA!$G$6:$G$20)</f>
        <v>#VALUE!</v>
      </c>
      <c r="C5779" s="29" t="e">
        <f t="shared" si="90"/>
        <v>#VALUE!</v>
      </c>
      <c r="E5779" t="e">
        <f>cubic_spline(CURVA!$B$6:$B$20,CURVA!$G$6:$G$20,#REF!)</f>
        <v>#VALUE!</v>
      </c>
    </row>
    <row r="5780" spans="1:5" x14ac:dyDescent="0.2">
      <c r="A5780" s="28">
        <v>5779</v>
      </c>
      <c r="B5780" s="28" t="e">
        <f>interpola(#REF!,CURVA!$B$6:$B$20,CURVA!$G$6:$G$20)</f>
        <v>#VALUE!</v>
      </c>
      <c r="C5780" s="29" t="e">
        <f t="shared" si="90"/>
        <v>#VALUE!</v>
      </c>
      <c r="E5780" t="e">
        <f>cubic_spline(CURVA!$B$6:$B$20,CURVA!$G$6:$G$20,#REF!)</f>
        <v>#VALUE!</v>
      </c>
    </row>
    <row r="5781" spans="1:5" x14ac:dyDescent="0.2">
      <c r="A5781" s="28">
        <v>5780</v>
      </c>
      <c r="B5781" s="28" t="e">
        <f>interpola(#REF!,CURVA!$B$6:$B$20,CURVA!$G$6:$G$20)</f>
        <v>#VALUE!</v>
      </c>
      <c r="C5781" s="29" t="e">
        <f t="shared" si="90"/>
        <v>#VALUE!</v>
      </c>
      <c r="E5781" t="e">
        <f>cubic_spline(CURVA!$B$6:$B$20,CURVA!$G$6:$G$20,#REF!)</f>
        <v>#VALUE!</v>
      </c>
    </row>
    <row r="5782" spans="1:5" x14ac:dyDescent="0.2">
      <c r="A5782" s="28">
        <v>5781</v>
      </c>
      <c r="B5782" s="28" t="e">
        <f>interpola(#REF!,CURVA!$B$6:$B$20,CURVA!$G$6:$G$20)</f>
        <v>#VALUE!</v>
      </c>
      <c r="C5782" s="29" t="e">
        <f t="shared" si="90"/>
        <v>#VALUE!</v>
      </c>
      <c r="E5782" t="e">
        <f>cubic_spline(CURVA!$B$6:$B$20,CURVA!$G$6:$G$20,#REF!)</f>
        <v>#VALUE!</v>
      </c>
    </row>
    <row r="5783" spans="1:5" x14ac:dyDescent="0.2">
      <c r="A5783" s="28">
        <v>5782</v>
      </c>
      <c r="B5783" s="28" t="e">
        <f>interpola(#REF!,CURVA!$B$6:$B$20,CURVA!$G$6:$G$20)</f>
        <v>#VALUE!</v>
      </c>
      <c r="C5783" s="29" t="e">
        <f t="shared" si="90"/>
        <v>#VALUE!</v>
      </c>
      <c r="E5783" t="e">
        <f>cubic_spline(CURVA!$B$6:$B$20,CURVA!$G$6:$G$20,#REF!)</f>
        <v>#VALUE!</v>
      </c>
    </row>
    <row r="5784" spans="1:5" x14ac:dyDescent="0.2">
      <c r="A5784" s="28">
        <v>5783</v>
      </c>
      <c r="B5784" s="28" t="e">
        <f>interpola(#REF!,CURVA!$B$6:$B$20,CURVA!$G$6:$G$20)</f>
        <v>#VALUE!</v>
      </c>
      <c r="C5784" s="29" t="e">
        <f t="shared" si="90"/>
        <v>#VALUE!</v>
      </c>
      <c r="E5784" t="e">
        <f>cubic_spline(CURVA!$B$6:$B$20,CURVA!$G$6:$G$20,#REF!)</f>
        <v>#VALUE!</v>
      </c>
    </row>
    <row r="5785" spans="1:5" x14ac:dyDescent="0.2">
      <c r="A5785" s="28">
        <v>5784</v>
      </c>
      <c r="B5785" s="28" t="e">
        <f>interpola(#REF!,CURVA!$B$6:$B$20,CURVA!$G$6:$G$20)</f>
        <v>#VALUE!</v>
      </c>
      <c r="C5785" s="29" t="e">
        <f t="shared" si="90"/>
        <v>#VALUE!</v>
      </c>
      <c r="E5785" t="e">
        <f>cubic_spline(CURVA!$B$6:$B$20,CURVA!$G$6:$G$20,#REF!)</f>
        <v>#VALUE!</v>
      </c>
    </row>
    <row r="5786" spans="1:5" x14ac:dyDescent="0.2">
      <c r="A5786" s="28">
        <v>5785</v>
      </c>
      <c r="B5786" s="28" t="e">
        <f>interpola(#REF!,CURVA!$B$6:$B$20,CURVA!$G$6:$G$20)</f>
        <v>#VALUE!</v>
      </c>
      <c r="C5786" s="29" t="e">
        <f t="shared" si="90"/>
        <v>#VALUE!</v>
      </c>
      <c r="E5786" t="e">
        <f>cubic_spline(CURVA!$B$6:$B$20,CURVA!$G$6:$G$20,#REF!)</f>
        <v>#VALUE!</v>
      </c>
    </row>
    <row r="5787" spans="1:5" x14ac:dyDescent="0.2">
      <c r="A5787" s="28">
        <v>5786</v>
      </c>
      <c r="B5787" s="28" t="e">
        <f>interpola(#REF!,CURVA!$B$6:$B$20,CURVA!$G$6:$G$20)</f>
        <v>#VALUE!</v>
      </c>
      <c r="C5787" s="29" t="e">
        <f t="shared" si="90"/>
        <v>#VALUE!</v>
      </c>
      <c r="E5787" t="e">
        <f>cubic_spline(CURVA!$B$6:$B$20,CURVA!$G$6:$G$20,#REF!)</f>
        <v>#VALUE!</v>
      </c>
    </row>
    <row r="5788" spans="1:5" x14ac:dyDescent="0.2">
      <c r="A5788" s="28">
        <v>5787</v>
      </c>
      <c r="B5788" s="28" t="e">
        <f>interpola(#REF!,CURVA!$B$6:$B$20,CURVA!$G$6:$G$20)</f>
        <v>#VALUE!</v>
      </c>
      <c r="C5788" s="29" t="e">
        <f t="shared" si="90"/>
        <v>#VALUE!</v>
      </c>
      <c r="E5788" t="e">
        <f>cubic_spline(CURVA!$B$6:$B$20,CURVA!$G$6:$G$20,#REF!)</f>
        <v>#VALUE!</v>
      </c>
    </row>
    <row r="5789" spans="1:5" x14ac:dyDescent="0.2">
      <c r="A5789" s="28">
        <v>5788</v>
      </c>
      <c r="B5789" s="28" t="e">
        <f>interpola(#REF!,CURVA!$B$6:$B$20,CURVA!$G$6:$G$20)</f>
        <v>#VALUE!</v>
      </c>
      <c r="C5789" s="29" t="e">
        <f t="shared" si="90"/>
        <v>#VALUE!</v>
      </c>
      <c r="E5789" t="e">
        <f>cubic_spline(CURVA!$B$6:$B$20,CURVA!$G$6:$G$20,#REF!)</f>
        <v>#VALUE!</v>
      </c>
    </row>
    <row r="5790" spans="1:5" x14ac:dyDescent="0.2">
      <c r="A5790" s="28">
        <v>5789</v>
      </c>
      <c r="B5790" s="28" t="e">
        <f>interpola(#REF!,CURVA!$B$6:$B$20,CURVA!$G$6:$G$20)</f>
        <v>#VALUE!</v>
      </c>
      <c r="C5790" s="29" t="e">
        <f t="shared" si="90"/>
        <v>#VALUE!</v>
      </c>
      <c r="E5790" t="e">
        <f>cubic_spline(CURVA!$B$6:$B$20,CURVA!$G$6:$G$20,#REF!)</f>
        <v>#VALUE!</v>
      </c>
    </row>
    <row r="5791" spans="1:5" x14ac:dyDescent="0.2">
      <c r="A5791" s="28">
        <v>5790</v>
      </c>
      <c r="B5791" s="28" t="e">
        <f>interpola(#REF!,CURVA!$B$6:$B$20,CURVA!$G$6:$G$20)</f>
        <v>#VALUE!</v>
      </c>
      <c r="C5791" s="29" t="e">
        <f t="shared" si="90"/>
        <v>#VALUE!</v>
      </c>
      <c r="E5791" t="e">
        <f>cubic_spline(CURVA!$B$6:$B$20,CURVA!$G$6:$G$20,#REF!)</f>
        <v>#VALUE!</v>
      </c>
    </row>
    <row r="5792" spans="1:5" x14ac:dyDescent="0.2">
      <c r="A5792" s="28">
        <v>5791</v>
      </c>
      <c r="B5792" s="28" t="e">
        <f>interpola(#REF!,CURVA!$B$6:$B$20,CURVA!$G$6:$G$20)</f>
        <v>#VALUE!</v>
      </c>
      <c r="C5792" s="29" t="e">
        <f t="shared" si="90"/>
        <v>#VALUE!</v>
      </c>
      <c r="E5792" t="e">
        <f>cubic_spline(CURVA!$B$6:$B$20,CURVA!$G$6:$G$20,#REF!)</f>
        <v>#VALUE!</v>
      </c>
    </row>
    <row r="5793" spans="1:5" x14ac:dyDescent="0.2">
      <c r="A5793" s="28">
        <v>5792</v>
      </c>
      <c r="B5793" s="28" t="e">
        <f>interpola(#REF!,CURVA!$B$6:$B$20,CURVA!$G$6:$G$20)</f>
        <v>#VALUE!</v>
      </c>
      <c r="C5793" s="29" t="e">
        <f t="shared" si="90"/>
        <v>#VALUE!</v>
      </c>
      <c r="E5793" t="e">
        <f>cubic_spline(CURVA!$B$6:$B$20,CURVA!$G$6:$G$20,#REF!)</f>
        <v>#VALUE!</v>
      </c>
    </row>
    <row r="5794" spans="1:5" x14ac:dyDescent="0.2">
      <c r="A5794" s="28">
        <v>5793</v>
      </c>
      <c r="B5794" s="28" t="e">
        <f>interpola(#REF!,CURVA!$B$6:$B$20,CURVA!$G$6:$G$20)</f>
        <v>#VALUE!</v>
      </c>
      <c r="C5794" s="29" t="e">
        <f t="shared" si="90"/>
        <v>#VALUE!</v>
      </c>
      <c r="E5794" t="e">
        <f>cubic_spline(CURVA!$B$6:$B$20,CURVA!$G$6:$G$20,#REF!)</f>
        <v>#VALUE!</v>
      </c>
    </row>
    <row r="5795" spans="1:5" x14ac:dyDescent="0.2">
      <c r="A5795" s="28">
        <v>5794</v>
      </c>
      <c r="B5795" s="28" t="e">
        <f>interpola(#REF!,CURVA!$B$6:$B$20,CURVA!$G$6:$G$20)</f>
        <v>#VALUE!</v>
      </c>
      <c r="C5795" s="29" t="e">
        <f t="shared" si="90"/>
        <v>#VALUE!</v>
      </c>
      <c r="E5795" t="e">
        <f>cubic_spline(CURVA!$B$6:$B$20,CURVA!$G$6:$G$20,#REF!)</f>
        <v>#VALUE!</v>
      </c>
    </row>
    <row r="5796" spans="1:5" x14ac:dyDescent="0.2">
      <c r="A5796" s="28">
        <v>5795</v>
      </c>
      <c r="B5796" s="28" t="e">
        <f>interpola(#REF!,CURVA!$B$6:$B$20,CURVA!$G$6:$G$20)</f>
        <v>#VALUE!</v>
      </c>
      <c r="C5796" s="29" t="e">
        <f t="shared" si="90"/>
        <v>#VALUE!</v>
      </c>
      <c r="E5796" t="e">
        <f>cubic_spline(CURVA!$B$6:$B$20,CURVA!$G$6:$G$20,#REF!)</f>
        <v>#VALUE!</v>
      </c>
    </row>
    <row r="5797" spans="1:5" x14ac:dyDescent="0.2">
      <c r="A5797" s="28">
        <v>5796</v>
      </c>
      <c r="B5797" s="28" t="e">
        <f>interpola(#REF!,CURVA!$B$6:$B$20,CURVA!$G$6:$G$20)</f>
        <v>#VALUE!</v>
      </c>
      <c r="C5797" s="29" t="e">
        <f t="shared" si="90"/>
        <v>#VALUE!</v>
      </c>
      <c r="E5797" t="e">
        <f>cubic_spline(CURVA!$B$6:$B$20,CURVA!$G$6:$G$20,#REF!)</f>
        <v>#VALUE!</v>
      </c>
    </row>
    <row r="5798" spans="1:5" x14ac:dyDescent="0.2">
      <c r="A5798" s="28">
        <v>5797</v>
      </c>
      <c r="B5798" s="28" t="e">
        <f>interpola(#REF!,CURVA!$B$6:$B$20,CURVA!$G$6:$G$20)</f>
        <v>#VALUE!</v>
      </c>
      <c r="C5798" s="29" t="e">
        <f t="shared" si="90"/>
        <v>#VALUE!</v>
      </c>
      <c r="E5798" t="e">
        <f>cubic_spline(CURVA!$B$6:$B$20,CURVA!$G$6:$G$20,#REF!)</f>
        <v>#VALUE!</v>
      </c>
    </row>
    <row r="5799" spans="1:5" x14ac:dyDescent="0.2">
      <c r="A5799" s="28">
        <v>5798</v>
      </c>
      <c r="B5799" s="28" t="e">
        <f>interpola(#REF!,CURVA!$B$6:$B$20,CURVA!$G$6:$G$20)</f>
        <v>#VALUE!</v>
      </c>
      <c r="C5799" s="29" t="e">
        <f t="shared" si="90"/>
        <v>#VALUE!</v>
      </c>
      <c r="E5799" t="e">
        <f>cubic_spline(CURVA!$B$6:$B$20,CURVA!$G$6:$G$20,#REF!)</f>
        <v>#VALUE!</v>
      </c>
    </row>
    <row r="5800" spans="1:5" x14ac:dyDescent="0.2">
      <c r="A5800" s="28">
        <v>5799</v>
      </c>
      <c r="B5800" s="28" t="e">
        <f>interpola(#REF!,CURVA!$B$6:$B$20,CURVA!$G$6:$G$20)</f>
        <v>#VALUE!</v>
      </c>
      <c r="C5800" s="29" t="e">
        <f t="shared" si="90"/>
        <v>#VALUE!</v>
      </c>
      <c r="E5800" t="e">
        <f>cubic_spline(CURVA!$B$6:$B$20,CURVA!$G$6:$G$20,#REF!)</f>
        <v>#VALUE!</v>
      </c>
    </row>
    <row r="5801" spans="1:5" x14ac:dyDescent="0.2">
      <c r="A5801" s="28">
        <v>5800</v>
      </c>
      <c r="B5801" s="28" t="e">
        <f>interpola(#REF!,CURVA!$B$6:$B$20,CURVA!$G$6:$G$20)</f>
        <v>#VALUE!</v>
      </c>
      <c r="C5801" s="29" t="e">
        <f t="shared" si="90"/>
        <v>#VALUE!</v>
      </c>
      <c r="E5801" t="e">
        <f>cubic_spline(CURVA!$B$6:$B$20,CURVA!$G$6:$G$20,#REF!)</f>
        <v>#VALUE!</v>
      </c>
    </row>
    <row r="5802" spans="1:5" x14ac:dyDescent="0.2">
      <c r="A5802" s="28">
        <v>5801</v>
      </c>
      <c r="B5802" s="28" t="e">
        <f>interpola(#REF!,CURVA!$B$6:$B$20,CURVA!$G$6:$G$20)</f>
        <v>#VALUE!</v>
      </c>
      <c r="C5802" s="29" t="e">
        <f t="shared" si="90"/>
        <v>#VALUE!</v>
      </c>
      <c r="E5802" t="e">
        <f>cubic_spline(CURVA!$B$6:$B$20,CURVA!$G$6:$G$20,#REF!)</f>
        <v>#VALUE!</v>
      </c>
    </row>
    <row r="5803" spans="1:5" x14ac:dyDescent="0.2">
      <c r="A5803" s="28">
        <v>5802</v>
      </c>
      <c r="B5803" s="28" t="e">
        <f>interpola(#REF!,CURVA!$B$6:$B$20,CURVA!$G$6:$G$20)</f>
        <v>#VALUE!</v>
      </c>
      <c r="C5803" s="29" t="e">
        <f t="shared" si="90"/>
        <v>#VALUE!</v>
      </c>
      <c r="E5803" t="e">
        <f>cubic_spline(CURVA!$B$6:$B$20,CURVA!$G$6:$G$20,#REF!)</f>
        <v>#VALUE!</v>
      </c>
    </row>
    <row r="5804" spans="1:5" x14ac:dyDescent="0.2">
      <c r="A5804" s="28">
        <v>5803</v>
      </c>
      <c r="B5804" s="28" t="e">
        <f>interpola(#REF!,CURVA!$B$6:$B$20,CURVA!$G$6:$G$20)</f>
        <v>#VALUE!</v>
      </c>
      <c r="C5804" s="29" t="e">
        <f t="shared" si="90"/>
        <v>#VALUE!</v>
      </c>
      <c r="E5804" t="e">
        <f>cubic_spline(CURVA!$B$6:$B$20,CURVA!$G$6:$G$20,#REF!)</f>
        <v>#VALUE!</v>
      </c>
    </row>
    <row r="5805" spans="1:5" x14ac:dyDescent="0.2">
      <c r="A5805" s="28">
        <v>5804</v>
      </c>
      <c r="B5805" s="28" t="e">
        <f>interpola(#REF!,CURVA!$B$6:$B$20,CURVA!$G$6:$G$20)</f>
        <v>#VALUE!</v>
      </c>
      <c r="C5805" s="29" t="e">
        <f t="shared" si="90"/>
        <v>#VALUE!</v>
      </c>
      <c r="E5805" t="e">
        <f>cubic_spline(CURVA!$B$6:$B$20,CURVA!$G$6:$G$20,#REF!)</f>
        <v>#VALUE!</v>
      </c>
    </row>
    <row r="5806" spans="1:5" x14ac:dyDescent="0.2">
      <c r="A5806" s="28">
        <v>5805</v>
      </c>
      <c r="B5806" s="28" t="e">
        <f>interpola(#REF!,CURVA!$B$6:$B$20,CURVA!$G$6:$G$20)</f>
        <v>#VALUE!</v>
      </c>
      <c r="C5806" s="29" t="e">
        <f t="shared" si="90"/>
        <v>#VALUE!</v>
      </c>
      <c r="E5806" t="e">
        <f>cubic_spline(CURVA!$B$6:$B$20,CURVA!$G$6:$G$20,#REF!)</f>
        <v>#VALUE!</v>
      </c>
    </row>
    <row r="5807" spans="1:5" x14ac:dyDescent="0.2">
      <c r="A5807" s="28">
        <v>5806</v>
      </c>
      <c r="B5807" s="28" t="e">
        <f>interpola(#REF!,CURVA!$B$6:$B$20,CURVA!$G$6:$G$20)</f>
        <v>#VALUE!</v>
      </c>
      <c r="C5807" s="29" t="e">
        <f t="shared" si="90"/>
        <v>#VALUE!</v>
      </c>
      <c r="E5807" t="e">
        <f>cubic_spline(CURVA!$B$6:$B$20,CURVA!$G$6:$G$20,#REF!)</f>
        <v>#VALUE!</v>
      </c>
    </row>
    <row r="5808" spans="1:5" x14ac:dyDescent="0.2">
      <c r="A5808" s="28">
        <v>5807</v>
      </c>
      <c r="B5808" s="28" t="e">
        <f>interpola(#REF!,CURVA!$B$6:$B$20,CURVA!$G$6:$G$20)</f>
        <v>#VALUE!</v>
      </c>
      <c r="C5808" s="29" t="e">
        <f t="shared" si="90"/>
        <v>#VALUE!</v>
      </c>
      <c r="E5808" t="e">
        <f>cubic_spline(CURVA!$B$6:$B$20,CURVA!$G$6:$G$20,#REF!)</f>
        <v>#VALUE!</v>
      </c>
    </row>
    <row r="5809" spans="1:5" x14ac:dyDescent="0.2">
      <c r="A5809" s="28">
        <v>5808</v>
      </c>
      <c r="B5809" s="28" t="e">
        <f>interpola(#REF!,CURVA!$B$6:$B$20,CURVA!$G$6:$G$20)</f>
        <v>#VALUE!</v>
      </c>
      <c r="C5809" s="29" t="e">
        <f t="shared" si="90"/>
        <v>#VALUE!</v>
      </c>
      <c r="E5809" t="e">
        <f>cubic_spline(CURVA!$B$6:$B$20,CURVA!$G$6:$G$20,#REF!)</f>
        <v>#VALUE!</v>
      </c>
    </row>
    <row r="5810" spans="1:5" x14ac:dyDescent="0.2">
      <c r="A5810" s="28">
        <v>5809</v>
      </c>
      <c r="B5810" s="28" t="e">
        <f>interpola(#REF!,CURVA!$B$6:$B$20,CURVA!$G$6:$G$20)</f>
        <v>#VALUE!</v>
      </c>
      <c r="C5810" s="29" t="e">
        <f t="shared" si="90"/>
        <v>#VALUE!</v>
      </c>
      <c r="E5810" t="e">
        <f>cubic_spline(CURVA!$B$6:$B$20,CURVA!$G$6:$G$20,#REF!)</f>
        <v>#VALUE!</v>
      </c>
    </row>
    <row r="5811" spans="1:5" x14ac:dyDescent="0.2">
      <c r="A5811" s="28">
        <v>5810</v>
      </c>
      <c r="B5811" s="28" t="e">
        <f>interpola(#REF!,CURVA!$B$6:$B$20,CURVA!$G$6:$G$20)</f>
        <v>#VALUE!</v>
      </c>
      <c r="C5811" s="29" t="e">
        <f t="shared" si="90"/>
        <v>#VALUE!</v>
      </c>
      <c r="E5811" t="e">
        <f>cubic_spline(CURVA!$B$6:$B$20,CURVA!$G$6:$G$20,#REF!)</f>
        <v>#VALUE!</v>
      </c>
    </row>
    <row r="5812" spans="1:5" x14ac:dyDescent="0.2">
      <c r="A5812" s="28">
        <v>5811</v>
      </c>
      <c r="B5812" s="28" t="e">
        <f>interpola(#REF!,CURVA!$B$6:$B$20,CURVA!$G$6:$G$20)</f>
        <v>#VALUE!</v>
      </c>
      <c r="C5812" s="29" t="e">
        <f t="shared" si="90"/>
        <v>#VALUE!</v>
      </c>
      <c r="E5812" t="e">
        <f>cubic_spline(CURVA!$B$6:$B$20,CURVA!$G$6:$G$20,#REF!)</f>
        <v>#VALUE!</v>
      </c>
    </row>
    <row r="5813" spans="1:5" x14ac:dyDescent="0.2">
      <c r="A5813" s="28">
        <v>5812</v>
      </c>
      <c r="B5813" s="28" t="e">
        <f>interpola(#REF!,CURVA!$B$6:$B$20,CURVA!$G$6:$G$20)</f>
        <v>#VALUE!</v>
      </c>
      <c r="C5813" s="29" t="e">
        <f t="shared" si="90"/>
        <v>#VALUE!</v>
      </c>
      <c r="E5813" t="e">
        <f>cubic_spline(CURVA!$B$6:$B$20,CURVA!$G$6:$G$20,#REF!)</f>
        <v>#VALUE!</v>
      </c>
    </row>
    <row r="5814" spans="1:5" x14ac:dyDescent="0.2">
      <c r="A5814" s="28">
        <v>5813</v>
      </c>
      <c r="B5814" s="28" t="e">
        <f>interpola(#REF!,CURVA!$B$6:$B$20,CURVA!$G$6:$G$20)</f>
        <v>#VALUE!</v>
      </c>
      <c r="C5814" s="29" t="e">
        <f t="shared" si="90"/>
        <v>#VALUE!</v>
      </c>
      <c r="E5814" t="e">
        <f>cubic_spline(CURVA!$B$6:$B$20,CURVA!$G$6:$G$20,#REF!)</f>
        <v>#VALUE!</v>
      </c>
    </row>
    <row r="5815" spans="1:5" x14ac:dyDescent="0.2">
      <c r="A5815" s="28">
        <v>5814</v>
      </c>
      <c r="B5815" s="28" t="e">
        <f>interpola(#REF!,CURVA!$B$6:$B$20,CURVA!$G$6:$G$20)</f>
        <v>#VALUE!</v>
      </c>
      <c r="C5815" s="29" t="e">
        <f t="shared" si="90"/>
        <v>#VALUE!</v>
      </c>
      <c r="E5815" t="e">
        <f>cubic_spline(CURVA!$B$6:$B$20,CURVA!$G$6:$G$20,#REF!)</f>
        <v>#VALUE!</v>
      </c>
    </row>
    <row r="5816" spans="1:5" x14ac:dyDescent="0.2">
      <c r="A5816" s="28">
        <v>5815</v>
      </c>
      <c r="B5816" s="28" t="e">
        <f>interpola(#REF!,CURVA!$B$6:$B$20,CURVA!$G$6:$G$20)</f>
        <v>#VALUE!</v>
      </c>
      <c r="C5816" s="29" t="e">
        <f t="shared" si="90"/>
        <v>#VALUE!</v>
      </c>
      <c r="E5816" t="e">
        <f>cubic_spline(CURVA!$B$6:$B$20,CURVA!$G$6:$G$20,#REF!)</f>
        <v>#VALUE!</v>
      </c>
    </row>
    <row r="5817" spans="1:5" x14ac:dyDescent="0.2">
      <c r="A5817" s="28">
        <v>5816</v>
      </c>
      <c r="B5817" s="28" t="e">
        <f>interpola(#REF!,CURVA!$B$6:$B$20,CURVA!$G$6:$G$20)</f>
        <v>#VALUE!</v>
      </c>
      <c r="C5817" s="29" t="e">
        <f t="shared" si="90"/>
        <v>#VALUE!</v>
      </c>
      <c r="E5817" t="e">
        <f>cubic_spline(CURVA!$B$6:$B$20,CURVA!$G$6:$G$20,#REF!)</f>
        <v>#VALUE!</v>
      </c>
    </row>
    <row r="5818" spans="1:5" x14ac:dyDescent="0.2">
      <c r="A5818" s="28">
        <v>5817</v>
      </c>
      <c r="B5818" s="28" t="e">
        <f>interpola(#REF!,CURVA!$B$6:$B$20,CURVA!$G$6:$G$20)</f>
        <v>#VALUE!</v>
      </c>
      <c r="C5818" s="29" t="e">
        <f t="shared" si="90"/>
        <v>#VALUE!</v>
      </c>
      <c r="E5818" t="e">
        <f>cubic_spline(CURVA!$B$6:$B$20,CURVA!$G$6:$G$20,#REF!)</f>
        <v>#VALUE!</v>
      </c>
    </row>
    <row r="5819" spans="1:5" x14ac:dyDescent="0.2">
      <c r="A5819" s="28">
        <v>5818</v>
      </c>
      <c r="B5819" s="28" t="e">
        <f>interpola(#REF!,CURVA!$B$6:$B$20,CURVA!$G$6:$G$20)</f>
        <v>#VALUE!</v>
      </c>
      <c r="C5819" s="29" t="e">
        <f t="shared" si="90"/>
        <v>#VALUE!</v>
      </c>
      <c r="E5819" t="e">
        <f>cubic_spline(CURVA!$B$6:$B$20,CURVA!$G$6:$G$20,#REF!)</f>
        <v>#VALUE!</v>
      </c>
    </row>
    <row r="5820" spans="1:5" x14ac:dyDescent="0.2">
      <c r="A5820" s="28">
        <v>5819</v>
      </c>
      <c r="B5820" s="28" t="e">
        <f>interpola(#REF!,CURVA!$B$6:$B$20,CURVA!$G$6:$G$20)</f>
        <v>#VALUE!</v>
      </c>
      <c r="C5820" s="29" t="e">
        <f t="shared" si="90"/>
        <v>#VALUE!</v>
      </c>
      <c r="E5820" t="e">
        <f>cubic_spline(CURVA!$B$6:$B$20,CURVA!$G$6:$G$20,#REF!)</f>
        <v>#VALUE!</v>
      </c>
    </row>
    <row r="5821" spans="1:5" x14ac:dyDescent="0.2">
      <c r="A5821" s="28">
        <v>5820</v>
      </c>
      <c r="B5821" s="28" t="e">
        <f>interpola(#REF!,CURVA!$B$6:$B$20,CURVA!$G$6:$G$20)</f>
        <v>#VALUE!</v>
      </c>
      <c r="C5821" s="29" t="e">
        <f t="shared" si="90"/>
        <v>#VALUE!</v>
      </c>
      <c r="E5821" t="e">
        <f>cubic_spline(CURVA!$B$6:$B$20,CURVA!$G$6:$G$20,#REF!)</f>
        <v>#VALUE!</v>
      </c>
    </row>
    <row r="5822" spans="1:5" x14ac:dyDescent="0.2">
      <c r="A5822" s="28">
        <v>5821</v>
      </c>
      <c r="B5822" s="28" t="e">
        <f>interpola(#REF!,CURVA!$B$6:$B$20,CURVA!$G$6:$G$20)</f>
        <v>#VALUE!</v>
      </c>
      <c r="C5822" s="29" t="e">
        <f t="shared" si="90"/>
        <v>#VALUE!</v>
      </c>
      <c r="E5822" t="e">
        <f>cubic_spline(CURVA!$B$6:$B$20,CURVA!$G$6:$G$20,#REF!)</f>
        <v>#VALUE!</v>
      </c>
    </row>
    <row r="5823" spans="1:5" x14ac:dyDescent="0.2">
      <c r="A5823" s="28">
        <v>5822</v>
      </c>
      <c r="B5823" s="28" t="e">
        <f>interpola(#REF!,CURVA!$B$6:$B$20,CURVA!$G$6:$G$20)</f>
        <v>#VALUE!</v>
      </c>
      <c r="C5823" s="29" t="e">
        <f t="shared" si="90"/>
        <v>#VALUE!</v>
      </c>
      <c r="E5823" t="e">
        <f>cubic_spline(CURVA!$B$6:$B$20,CURVA!$G$6:$G$20,#REF!)</f>
        <v>#VALUE!</v>
      </c>
    </row>
    <row r="5824" spans="1:5" x14ac:dyDescent="0.2">
      <c r="A5824" s="28">
        <v>5823</v>
      </c>
      <c r="B5824" s="28" t="e">
        <f>interpola(#REF!,CURVA!$B$6:$B$20,CURVA!$G$6:$G$20)</f>
        <v>#VALUE!</v>
      </c>
      <c r="C5824" s="29" t="e">
        <f t="shared" si="90"/>
        <v>#VALUE!</v>
      </c>
      <c r="E5824" t="e">
        <f>cubic_spline(CURVA!$B$6:$B$20,CURVA!$G$6:$G$20,#REF!)</f>
        <v>#VALUE!</v>
      </c>
    </row>
    <row r="5825" spans="1:5" x14ac:dyDescent="0.2">
      <c r="A5825" s="28">
        <v>5824</v>
      </c>
      <c r="B5825" s="28" t="e">
        <f>interpola(#REF!,CURVA!$B$6:$B$20,CURVA!$G$6:$G$20)</f>
        <v>#VALUE!</v>
      </c>
      <c r="C5825" s="29" t="e">
        <f t="shared" si="90"/>
        <v>#VALUE!</v>
      </c>
      <c r="E5825" t="e">
        <f>cubic_spline(CURVA!$B$6:$B$20,CURVA!$G$6:$G$20,#REF!)</f>
        <v>#VALUE!</v>
      </c>
    </row>
    <row r="5826" spans="1:5" x14ac:dyDescent="0.2">
      <c r="A5826" s="28">
        <v>5825</v>
      </c>
      <c r="B5826" s="28" t="e">
        <f>interpola(#REF!,CURVA!$B$6:$B$20,CURVA!$G$6:$G$20)</f>
        <v>#VALUE!</v>
      </c>
      <c r="C5826" s="29" t="e">
        <f t="shared" ref="C5826:C5889" si="91">(EXP(B5826*A5826/360)-1)*360/A5826</f>
        <v>#VALUE!</v>
      </c>
      <c r="E5826" t="e">
        <f>cubic_spline(CURVA!$B$6:$B$20,CURVA!$G$6:$G$20,#REF!)</f>
        <v>#VALUE!</v>
      </c>
    </row>
    <row r="5827" spans="1:5" x14ac:dyDescent="0.2">
      <c r="A5827" s="28">
        <v>5826</v>
      </c>
      <c r="B5827" s="28" t="e">
        <f>interpola(#REF!,CURVA!$B$6:$B$20,CURVA!$G$6:$G$20)</f>
        <v>#VALUE!</v>
      </c>
      <c r="C5827" s="29" t="e">
        <f t="shared" si="91"/>
        <v>#VALUE!</v>
      </c>
      <c r="E5827" t="e">
        <f>cubic_spline(CURVA!$B$6:$B$20,CURVA!$G$6:$G$20,#REF!)</f>
        <v>#VALUE!</v>
      </c>
    </row>
    <row r="5828" spans="1:5" x14ac:dyDescent="0.2">
      <c r="A5828" s="28">
        <v>5827</v>
      </c>
      <c r="B5828" s="28" t="e">
        <f>interpola(#REF!,CURVA!$B$6:$B$20,CURVA!$G$6:$G$20)</f>
        <v>#VALUE!</v>
      </c>
      <c r="C5828" s="29" t="e">
        <f t="shared" si="91"/>
        <v>#VALUE!</v>
      </c>
      <c r="E5828" t="e">
        <f>cubic_spline(CURVA!$B$6:$B$20,CURVA!$G$6:$G$20,#REF!)</f>
        <v>#VALUE!</v>
      </c>
    </row>
    <row r="5829" spans="1:5" x14ac:dyDescent="0.2">
      <c r="A5829" s="28">
        <v>5828</v>
      </c>
      <c r="B5829" s="28" t="e">
        <f>interpola(#REF!,CURVA!$B$6:$B$20,CURVA!$G$6:$G$20)</f>
        <v>#VALUE!</v>
      </c>
      <c r="C5829" s="29" t="e">
        <f t="shared" si="91"/>
        <v>#VALUE!</v>
      </c>
      <c r="E5829" t="e">
        <f>cubic_spline(CURVA!$B$6:$B$20,CURVA!$G$6:$G$20,#REF!)</f>
        <v>#VALUE!</v>
      </c>
    </row>
    <row r="5830" spans="1:5" x14ac:dyDescent="0.2">
      <c r="A5830" s="28">
        <v>5829</v>
      </c>
      <c r="B5830" s="28" t="e">
        <f>interpola(#REF!,CURVA!$B$6:$B$20,CURVA!$G$6:$G$20)</f>
        <v>#VALUE!</v>
      </c>
      <c r="C5830" s="29" t="e">
        <f t="shared" si="91"/>
        <v>#VALUE!</v>
      </c>
      <c r="E5830" t="e">
        <f>cubic_spline(CURVA!$B$6:$B$20,CURVA!$G$6:$G$20,#REF!)</f>
        <v>#VALUE!</v>
      </c>
    </row>
    <row r="5831" spans="1:5" x14ac:dyDescent="0.2">
      <c r="A5831" s="28">
        <v>5830</v>
      </c>
      <c r="B5831" s="28" t="e">
        <f>interpola(#REF!,CURVA!$B$6:$B$20,CURVA!$G$6:$G$20)</f>
        <v>#VALUE!</v>
      </c>
      <c r="C5831" s="29" t="e">
        <f t="shared" si="91"/>
        <v>#VALUE!</v>
      </c>
      <c r="E5831" t="e">
        <f>cubic_spline(CURVA!$B$6:$B$20,CURVA!$G$6:$G$20,#REF!)</f>
        <v>#VALUE!</v>
      </c>
    </row>
    <row r="5832" spans="1:5" x14ac:dyDescent="0.2">
      <c r="A5832" s="28">
        <v>5831</v>
      </c>
      <c r="B5832" s="28" t="e">
        <f>interpola(#REF!,CURVA!$B$6:$B$20,CURVA!$G$6:$G$20)</f>
        <v>#VALUE!</v>
      </c>
      <c r="C5832" s="29" t="e">
        <f t="shared" si="91"/>
        <v>#VALUE!</v>
      </c>
      <c r="E5832" t="e">
        <f>cubic_spline(CURVA!$B$6:$B$20,CURVA!$G$6:$G$20,#REF!)</f>
        <v>#VALUE!</v>
      </c>
    </row>
    <row r="5833" spans="1:5" x14ac:dyDescent="0.2">
      <c r="A5833" s="28">
        <v>5832</v>
      </c>
      <c r="B5833" s="28" t="e">
        <f>interpola(#REF!,CURVA!$B$6:$B$20,CURVA!$G$6:$G$20)</f>
        <v>#VALUE!</v>
      </c>
      <c r="C5833" s="29" t="e">
        <f t="shared" si="91"/>
        <v>#VALUE!</v>
      </c>
      <c r="E5833" t="e">
        <f>cubic_spline(CURVA!$B$6:$B$20,CURVA!$G$6:$G$20,#REF!)</f>
        <v>#VALUE!</v>
      </c>
    </row>
    <row r="5834" spans="1:5" x14ac:dyDescent="0.2">
      <c r="A5834" s="28">
        <v>5833</v>
      </c>
      <c r="B5834" s="28" t="e">
        <f>interpola(#REF!,CURVA!$B$6:$B$20,CURVA!$G$6:$G$20)</f>
        <v>#VALUE!</v>
      </c>
      <c r="C5834" s="29" t="e">
        <f t="shared" si="91"/>
        <v>#VALUE!</v>
      </c>
      <c r="E5834" t="e">
        <f>cubic_spline(CURVA!$B$6:$B$20,CURVA!$G$6:$G$20,#REF!)</f>
        <v>#VALUE!</v>
      </c>
    </row>
    <row r="5835" spans="1:5" x14ac:dyDescent="0.2">
      <c r="A5835" s="28">
        <v>5834</v>
      </c>
      <c r="B5835" s="28" t="e">
        <f>interpola(#REF!,CURVA!$B$6:$B$20,CURVA!$G$6:$G$20)</f>
        <v>#VALUE!</v>
      </c>
      <c r="C5835" s="29" t="e">
        <f t="shared" si="91"/>
        <v>#VALUE!</v>
      </c>
      <c r="E5835" t="e">
        <f>cubic_spline(CURVA!$B$6:$B$20,CURVA!$G$6:$G$20,#REF!)</f>
        <v>#VALUE!</v>
      </c>
    </row>
    <row r="5836" spans="1:5" x14ac:dyDescent="0.2">
      <c r="A5836" s="28">
        <v>5835</v>
      </c>
      <c r="B5836" s="28" t="e">
        <f>interpola(#REF!,CURVA!$B$6:$B$20,CURVA!$G$6:$G$20)</f>
        <v>#VALUE!</v>
      </c>
      <c r="C5836" s="29" t="e">
        <f t="shared" si="91"/>
        <v>#VALUE!</v>
      </c>
      <c r="E5836" t="e">
        <f>cubic_spline(CURVA!$B$6:$B$20,CURVA!$G$6:$G$20,#REF!)</f>
        <v>#VALUE!</v>
      </c>
    </row>
    <row r="5837" spans="1:5" x14ac:dyDescent="0.2">
      <c r="A5837" s="28">
        <v>5836</v>
      </c>
      <c r="B5837" s="28" t="e">
        <f>interpola(#REF!,CURVA!$B$6:$B$20,CURVA!$G$6:$G$20)</f>
        <v>#VALUE!</v>
      </c>
      <c r="C5837" s="29" t="e">
        <f t="shared" si="91"/>
        <v>#VALUE!</v>
      </c>
      <c r="E5837" t="e">
        <f>cubic_spline(CURVA!$B$6:$B$20,CURVA!$G$6:$G$20,#REF!)</f>
        <v>#VALUE!</v>
      </c>
    </row>
    <row r="5838" spans="1:5" x14ac:dyDescent="0.2">
      <c r="A5838" s="28">
        <v>5837</v>
      </c>
      <c r="B5838" s="28" t="e">
        <f>interpola(#REF!,CURVA!$B$6:$B$20,CURVA!$G$6:$G$20)</f>
        <v>#VALUE!</v>
      </c>
      <c r="C5838" s="29" t="e">
        <f t="shared" si="91"/>
        <v>#VALUE!</v>
      </c>
      <c r="E5838" t="e">
        <f>cubic_spline(CURVA!$B$6:$B$20,CURVA!$G$6:$G$20,#REF!)</f>
        <v>#VALUE!</v>
      </c>
    </row>
    <row r="5839" spans="1:5" x14ac:dyDescent="0.2">
      <c r="A5839" s="28">
        <v>5838</v>
      </c>
      <c r="B5839" s="28" t="e">
        <f>interpola(#REF!,CURVA!$B$6:$B$20,CURVA!$G$6:$G$20)</f>
        <v>#VALUE!</v>
      </c>
      <c r="C5839" s="29" t="e">
        <f t="shared" si="91"/>
        <v>#VALUE!</v>
      </c>
      <c r="E5839" t="e">
        <f>cubic_spline(CURVA!$B$6:$B$20,CURVA!$G$6:$G$20,#REF!)</f>
        <v>#VALUE!</v>
      </c>
    </row>
    <row r="5840" spans="1:5" x14ac:dyDescent="0.2">
      <c r="A5840" s="28">
        <v>5839</v>
      </c>
      <c r="B5840" s="28" t="e">
        <f>interpola(#REF!,CURVA!$B$6:$B$20,CURVA!$G$6:$G$20)</f>
        <v>#VALUE!</v>
      </c>
      <c r="C5840" s="29" t="e">
        <f t="shared" si="91"/>
        <v>#VALUE!</v>
      </c>
      <c r="E5840" t="e">
        <f>cubic_spline(CURVA!$B$6:$B$20,CURVA!$G$6:$G$20,#REF!)</f>
        <v>#VALUE!</v>
      </c>
    </row>
    <row r="5841" spans="1:5" x14ac:dyDescent="0.2">
      <c r="A5841" s="28">
        <v>5840</v>
      </c>
      <c r="B5841" s="28" t="e">
        <f>interpola(#REF!,CURVA!$B$6:$B$20,CURVA!$G$6:$G$20)</f>
        <v>#VALUE!</v>
      </c>
      <c r="C5841" s="29" t="e">
        <f t="shared" si="91"/>
        <v>#VALUE!</v>
      </c>
      <c r="E5841" t="e">
        <f>cubic_spline(CURVA!$B$6:$B$20,CURVA!$G$6:$G$20,#REF!)</f>
        <v>#VALUE!</v>
      </c>
    </row>
    <row r="5842" spans="1:5" x14ac:dyDescent="0.2">
      <c r="A5842" s="28">
        <v>5841</v>
      </c>
      <c r="B5842" s="28" t="e">
        <f>interpola(#REF!,CURVA!$B$6:$B$20,CURVA!$G$6:$G$20)</f>
        <v>#VALUE!</v>
      </c>
      <c r="C5842" s="29" t="e">
        <f t="shared" si="91"/>
        <v>#VALUE!</v>
      </c>
      <c r="E5842" t="e">
        <f>cubic_spline(CURVA!$B$6:$B$20,CURVA!$G$6:$G$20,#REF!)</f>
        <v>#VALUE!</v>
      </c>
    </row>
    <row r="5843" spans="1:5" x14ac:dyDescent="0.2">
      <c r="A5843" s="28">
        <v>5842</v>
      </c>
      <c r="B5843" s="28" t="e">
        <f>interpola(#REF!,CURVA!$B$6:$B$20,CURVA!$G$6:$G$20)</f>
        <v>#VALUE!</v>
      </c>
      <c r="C5843" s="29" t="e">
        <f t="shared" si="91"/>
        <v>#VALUE!</v>
      </c>
      <c r="E5843" t="e">
        <f>cubic_spline(CURVA!$B$6:$B$20,CURVA!$G$6:$G$20,#REF!)</f>
        <v>#VALUE!</v>
      </c>
    </row>
    <row r="5844" spans="1:5" x14ac:dyDescent="0.2">
      <c r="A5844" s="28">
        <v>5843</v>
      </c>
      <c r="B5844" s="28" t="e">
        <f>interpola(#REF!,CURVA!$B$6:$B$20,CURVA!$G$6:$G$20)</f>
        <v>#VALUE!</v>
      </c>
      <c r="C5844" s="29" t="e">
        <f t="shared" si="91"/>
        <v>#VALUE!</v>
      </c>
      <c r="E5844" t="e">
        <f>cubic_spline(CURVA!$B$6:$B$20,CURVA!$G$6:$G$20,#REF!)</f>
        <v>#VALUE!</v>
      </c>
    </row>
    <row r="5845" spans="1:5" x14ac:dyDescent="0.2">
      <c r="A5845" s="28">
        <v>5844</v>
      </c>
      <c r="B5845" s="28" t="e">
        <f>interpola(#REF!,CURVA!$B$6:$B$20,CURVA!$G$6:$G$20)</f>
        <v>#VALUE!</v>
      </c>
      <c r="C5845" s="29" t="e">
        <f t="shared" si="91"/>
        <v>#VALUE!</v>
      </c>
      <c r="E5845" t="e">
        <f>cubic_spline(CURVA!$B$6:$B$20,CURVA!$G$6:$G$20,#REF!)</f>
        <v>#VALUE!</v>
      </c>
    </row>
    <row r="5846" spans="1:5" x14ac:dyDescent="0.2">
      <c r="A5846" s="28">
        <v>5845</v>
      </c>
      <c r="B5846" s="28" t="e">
        <f>interpola(#REF!,CURVA!$B$6:$B$20,CURVA!$G$6:$G$20)</f>
        <v>#VALUE!</v>
      </c>
      <c r="C5846" s="29" t="e">
        <f t="shared" si="91"/>
        <v>#VALUE!</v>
      </c>
      <c r="E5846" t="e">
        <f>cubic_spline(CURVA!$B$6:$B$20,CURVA!$G$6:$G$20,#REF!)</f>
        <v>#VALUE!</v>
      </c>
    </row>
    <row r="5847" spans="1:5" x14ac:dyDescent="0.2">
      <c r="A5847" s="28">
        <v>5846</v>
      </c>
      <c r="B5847" s="28" t="e">
        <f>interpola(#REF!,CURVA!$B$6:$B$20,CURVA!$G$6:$G$20)</f>
        <v>#VALUE!</v>
      </c>
      <c r="C5847" s="29" t="e">
        <f t="shared" si="91"/>
        <v>#VALUE!</v>
      </c>
      <c r="E5847" t="e">
        <f>cubic_spline(CURVA!$B$6:$B$20,CURVA!$G$6:$G$20,#REF!)</f>
        <v>#VALUE!</v>
      </c>
    </row>
    <row r="5848" spans="1:5" x14ac:dyDescent="0.2">
      <c r="A5848" s="28">
        <v>5847</v>
      </c>
      <c r="B5848" s="28" t="e">
        <f>interpola(#REF!,CURVA!$B$6:$B$20,CURVA!$G$6:$G$20)</f>
        <v>#VALUE!</v>
      </c>
      <c r="C5848" s="29" t="e">
        <f t="shared" si="91"/>
        <v>#VALUE!</v>
      </c>
      <c r="E5848" t="e">
        <f>cubic_spline(CURVA!$B$6:$B$20,CURVA!$G$6:$G$20,#REF!)</f>
        <v>#VALUE!</v>
      </c>
    </row>
    <row r="5849" spans="1:5" x14ac:dyDescent="0.2">
      <c r="A5849" s="28">
        <v>5848</v>
      </c>
      <c r="B5849" s="28" t="e">
        <f>interpola(#REF!,CURVA!$B$6:$B$20,CURVA!$G$6:$G$20)</f>
        <v>#VALUE!</v>
      </c>
      <c r="C5849" s="29" t="e">
        <f t="shared" si="91"/>
        <v>#VALUE!</v>
      </c>
      <c r="E5849" t="e">
        <f>cubic_spline(CURVA!$B$6:$B$20,CURVA!$G$6:$G$20,#REF!)</f>
        <v>#VALUE!</v>
      </c>
    </row>
    <row r="5850" spans="1:5" x14ac:dyDescent="0.2">
      <c r="A5850" s="28">
        <v>5849</v>
      </c>
      <c r="B5850" s="28" t="e">
        <f>interpola(#REF!,CURVA!$B$6:$B$20,CURVA!$G$6:$G$20)</f>
        <v>#VALUE!</v>
      </c>
      <c r="C5850" s="29" t="e">
        <f t="shared" si="91"/>
        <v>#VALUE!</v>
      </c>
      <c r="E5850" t="e">
        <f>cubic_spline(CURVA!$B$6:$B$20,CURVA!$G$6:$G$20,#REF!)</f>
        <v>#VALUE!</v>
      </c>
    </row>
    <row r="5851" spans="1:5" x14ac:dyDescent="0.2">
      <c r="A5851" s="28">
        <v>5850</v>
      </c>
      <c r="B5851" s="28" t="e">
        <f>interpola(#REF!,CURVA!$B$6:$B$20,CURVA!$G$6:$G$20)</f>
        <v>#VALUE!</v>
      </c>
      <c r="C5851" s="29" t="e">
        <f t="shared" si="91"/>
        <v>#VALUE!</v>
      </c>
      <c r="E5851" t="e">
        <f>cubic_spline(CURVA!$B$6:$B$20,CURVA!$G$6:$G$20,#REF!)</f>
        <v>#VALUE!</v>
      </c>
    </row>
    <row r="5852" spans="1:5" x14ac:dyDescent="0.2">
      <c r="A5852" s="28">
        <v>5851</v>
      </c>
      <c r="B5852" s="28" t="e">
        <f>interpola(#REF!,CURVA!$B$6:$B$20,CURVA!$G$6:$G$20)</f>
        <v>#VALUE!</v>
      </c>
      <c r="C5852" s="29" t="e">
        <f t="shared" si="91"/>
        <v>#VALUE!</v>
      </c>
      <c r="E5852" t="e">
        <f>cubic_spline(CURVA!$B$6:$B$20,CURVA!$G$6:$G$20,#REF!)</f>
        <v>#VALUE!</v>
      </c>
    </row>
    <row r="5853" spans="1:5" x14ac:dyDescent="0.2">
      <c r="A5853" s="28">
        <v>5852</v>
      </c>
      <c r="B5853" s="28" t="e">
        <f>interpola(#REF!,CURVA!$B$6:$B$20,CURVA!$G$6:$G$20)</f>
        <v>#VALUE!</v>
      </c>
      <c r="C5853" s="29" t="e">
        <f t="shared" si="91"/>
        <v>#VALUE!</v>
      </c>
      <c r="E5853" t="e">
        <f>cubic_spline(CURVA!$B$6:$B$20,CURVA!$G$6:$G$20,#REF!)</f>
        <v>#VALUE!</v>
      </c>
    </row>
    <row r="5854" spans="1:5" x14ac:dyDescent="0.2">
      <c r="A5854" s="28">
        <v>5853</v>
      </c>
      <c r="B5854" s="28" t="e">
        <f>interpola(#REF!,CURVA!$B$6:$B$20,CURVA!$G$6:$G$20)</f>
        <v>#VALUE!</v>
      </c>
      <c r="C5854" s="29" t="e">
        <f t="shared" si="91"/>
        <v>#VALUE!</v>
      </c>
      <c r="E5854" t="e">
        <f>cubic_spline(CURVA!$B$6:$B$20,CURVA!$G$6:$G$20,#REF!)</f>
        <v>#VALUE!</v>
      </c>
    </row>
    <row r="5855" spans="1:5" x14ac:dyDescent="0.2">
      <c r="A5855" s="28">
        <v>5854</v>
      </c>
      <c r="B5855" s="28" t="e">
        <f>interpola(#REF!,CURVA!$B$6:$B$20,CURVA!$G$6:$G$20)</f>
        <v>#VALUE!</v>
      </c>
      <c r="C5855" s="29" t="e">
        <f t="shared" si="91"/>
        <v>#VALUE!</v>
      </c>
      <c r="E5855" t="e">
        <f>cubic_spline(CURVA!$B$6:$B$20,CURVA!$G$6:$G$20,#REF!)</f>
        <v>#VALUE!</v>
      </c>
    </row>
    <row r="5856" spans="1:5" x14ac:dyDescent="0.2">
      <c r="A5856" s="28">
        <v>5855</v>
      </c>
      <c r="B5856" s="28" t="e">
        <f>interpola(#REF!,CURVA!$B$6:$B$20,CURVA!$G$6:$G$20)</f>
        <v>#VALUE!</v>
      </c>
      <c r="C5856" s="29" t="e">
        <f t="shared" si="91"/>
        <v>#VALUE!</v>
      </c>
      <c r="E5856" t="e">
        <f>cubic_spline(CURVA!$B$6:$B$20,CURVA!$G$6:$G$20,#REF!)</f>
        <v>#VALUE!</v>
      </c>
    </row>
    <row r="5857" spans="1:5" x14ac:dyDescent="0.2">
      <c r="A5857" s="28">
        <v>5856</v>
      </c>
      <c r="B5857" s="28" t="e">
        <f>interpola(#REF!,CURVA!$B$6:$B$20,CURVA!$G$6:$G$20)</f>
        <v>#VALUE!</v>
      </c>
      <c r="C5857" s="29" t="e">
        <f t="shared" si="91"/>
        <v>#VALUE!</v>
      </c>
      <c r="E5857" t="e">
        <f>cubic_spline(CURVA!$B$6:$B$20,CURVA!$G$6:$G$20,#REF!)</f>
        <v>#VALUE!</v>
      </c>
    </row>
    <row r="5858" spans="1:5" x14ac:dyDescent="0.2">
      <c r="A5858" s="28">
        <v>5857</v>
      </c>
      <c r="B5858" s="28" t="e">
        <f>interpola(#REF!,CURVA!$B$6:$B$20,CURVA!$G$6:$G$20)</f>
        <v>#VALUE!</v>
      </c>
      <c r="C5858" s="29" t="e">
        <f t="shared" si="91"/>
        <v>#VALUE!</v>
      </c>
      <c r="E5858" t="e">
        <f>cubic_spline(CURVA!$B$6:$B$20,CURVA!$G$6:$G$20,#REF!)</f>
        <v>#VALUE!</v>
      </c>
    </row>
    <row r="5859" spans="1:5" x14ac:dyDescent="0.2">
      <c r="A5859" s="28">
        <v>5858</v>
      </c>
      <c r="B5859" s="28" t="e">
        <f>interpola(#REF!,CURVA!$B$6:$B$20,CURVA!$G$6:$G$20)</f>
        <v>#VALUE!</v>
      </c>
      <c r="C5859" s="29" t="e">
        <f t="shared" si="91"/>
        <v>#VALUE!</v>
      </c>
      <c r="E5859" t="e">
        <f>cubic_spline(CURVA!$B$6:$B$20,CURVA!$G$6:$G$20,#REF!)</f>
        <v>#VALUE!</v>
      </c>
    </row>
    <row r="5860" spans="1:5" x14ac:dyDescent="0.2">
      <c r="A5860" s="28">
        <v>5859</v>
      </c>
      <c r="B5860" s="28" t="e">
        <f>interpola(#REF!,CURVA!$B$6:$B$20,CURVA!$G$6:$G$20)</f>
        <v>#VALUE!</v>
      </c>
      <c r="C5860" s="29" t="e">
        <f t="shared" si="91"/>
        <v>#VALUE!</v>
      </c>
      <c r="E5860" t="e">
        <f>cubic_spline(CURVA!$B$6:$B$20,CURVA!$G$6:$G$20,#REF!)</f>
        <v>#VALUE!</v>
      </c>
    </row>
    <row r="5861" spans="1:5" x14ac:dyDescent="0.2">
      <c r="A5861" s="28">
        <v>5860</v>
      </c>
      <c r="B5861" s="28" t="e">
        <f>interpola(#REF!,CURVA!$B$6:$B$20,CURVA!$G$6:$G$20)</f>
        <v>#VALUE!</v>
      </c>
      <c r="C5861" s="29" t="e">
        <f t="shared" si="91"/>
        <v>#VALUE!</v>
      </c>
      <c r="E5861" t="e">
        <f>cubic_spline(CURVA!$B$6:$B$20,CURVA!$G$6:$G$20,#REF!)</f>
        <v>#VALUE!</v>
      </c>
    </row>
    <row r="5862" spans="1:5" x14ac:dyDescent="0.2">
      <c r="A5862" s="28">
        <v>5861</v>
      </c>
      <c r="B5862" s="28" t="e">
        <f>interpola(#REF!,CURVA!$B$6:$B$20,CURVA!$G$6:$G$20)</f>
        <v>#VALUE!</v>
      </c>
      <c r="C5862" s="29" t="e">
        <f t="shared" si="91"/>
        <v>#VALUE!</v>
      </c>
      <c r="E5862" t="e">
        <f>cubic_spline(CURVA!$B$6:$B$20,CURVA!$G$6:$G$20,#REF!)</f>
        <v>#VALUE!</v>
      </c>
    </row>
    <row r="5863" spans="1:5" x14ac:dyDescent="0.2">
      <c r="A5863" s="28">
        <v>5862</v>
      </c>
      <c r="B5863" s="28" t="e">
        <f>interpola(#REF!,CURVA!$B$6:$B$20,CURVA!$G$6:$G$20)</f>
        <v>#VALUE!</v>
      </c>
      <c r="C5863" s="29" t="e">
        <f t="shared" si="91"/>
        <v>#VALUE!</v>
      </c>
      <c r="E5863" t="e">
        <f>cubic_spline(CURVA!$B$6:$B$20,CURVA!$G$6:$G$20,#REF!)</f>
        <v>#VALUE!</v>
      </c>
    </row>
    <row r="5864" spans="1:5" x14ac:dyDescent="0.2">
      <c r="A5864" s="28">
        <v>5863</v>
      </c>
      <c r="B5864" s="28" t="e">
        <f>interpola(#REF!,CURVA!$B$6:$B$20,CURVA!$G$6:$G$20)</f>
        <v>#VALUE!</v>
      </c>
      <c r="C5864" s="29" t="e">
        <f t="shared" si="91"/>
        <v>#VALUE!</v>
      </c>
      <c r="E5864" t="e">
        <f>cubic_spline(CURVA!$B$6:$B$20,CURVA!$G$6:$G$20,#REF!)</f>
        <v>#VALUE!</v>
      </c>
    </row>
    <row r="5865" spans="1:5" x14ac:dyDescent="0.2">
      <c r="A5865" s="28">
        <v>5864</v>
      </c>
      <c r="B5865" s="28" t="e">
        <f>interpola(#REF!,CURVA!$B$6:$B$20,CURVA!$G$6:$G$20)</f>
        <v>#VALUE!</v>
      </c>
      <c r="C5865" s="29" t="e">
        <f t="shared" si="91"/>
        <v>#VALUE!</v>
      </c>
      <c r="E5865" t="e">
        <f>cubic_spline(CURVA!$B$6:$B$20,CURVA!$G$6:$G$20,#REF!)</f>
        <v>#VALUE!</v>
      </c>
    </row>
    <row r="5866" spans="1:5" x14ac:dyDescent="0.2">
      <c r="A5866" s="28">
        <v>5865</v>
      </c>
      <c r="B5866" s="28" t="e">
        <f>interpola(#REF!,CURVA!$B$6:$B$20,CURVA!$G$6:$G$20)</f>
        <v>#VALUE!</v>
      </c>
      <c r="C5866" s="29" t="e">
        <f t="shared" si="91"/>
        <v>#VALUE!</v>
      </c>
      <c r="E5866" t="e">
        <f>cubic_spline(CURVA!$B$6:$B$20,CURVA!$G$6:$G$20,#REF!)</f>
        <v>#VALUE!</v>
      </c>
    </row>
    <row r="5867" spans="1:5" x14ac:dyDescent="0.2">
      <c r="A5867" s="28">
        <v>5866</v>
      </c>
      <c r="B5867" s="28" t="e">
        <f>interpola(#REF!,CURVA!$B$6:$B$20,CURVA!$G$6:$G$20)</f>
        <v>#VALUE!</v>
      </c>
      <c r="C5867" s="29" t="e">
        <f t="shared" si="91"/>
        <v>#VALUE!</v>
      </c>
      <c r="E5867" t="e">
        <f>cubic_spline(CURVA!$B$6:$B$20,CURVA!$G$6:$G$20,#REF!)</f>
        <v>#VALUE!</v>
      </c>
    </row>
    <row r="5868" spans="1:5" x14ac:dyDescent="0.2">
      <c r="A5868" s="28">
        <v>5867</v>
      </c>
      <c r="B5868" s="28" t="e">
        <f>interpola(#REF!,CURVA!$B$6:$B$20,CURVA!$G$6:$G$20)</f>
        <v>#VALUE!</v>
      </c>
      <c r="C5868" s="29" t="e">
        <f t="shared" si="91"/>
        <v>#VALUE!</v>
      </c>
      <c r="E5868" t="e">
        <f>cubic_spline(CURVA!$B$6:$B$20,CURVA!$G$6:$G$20,#REF!)</f>
        <v>#VALUE!</v>
      </c>
    </row>
    <row r="5869" spans="1:5" x14ac:dyDescent="0.2">
      <c r="A5869" s="28">
        <v>5868</v>
      </c>
      <c r="B5869" s="28" t="e">
        <f>interpola(#REF!,CURVA!$B$6:$B$20,CURVA!$G$6:$G$20)</f>
        <v>#VALUE!</v>
      </c>
      <c r="C5869" s="29" t="e">
        <f t="shared" si="91"/>
        <v>#VALUE!</v>
      </c>
      <c r="E5869" t="e">
        <f>cubic_spline(CURVA!$B$6:$B$20,CURVA!$G$6:$G$20,#REF!)</f>
        <v>#VALUE!</v>
      </c>
    </row>
    <row r="5870" spans="1:5" x14ac:dyDescent="0.2">
      <c r="A5870" s="28">
        <v>5869</v>
      </c>
      <c r="B5870" s="28" t="e">
        <f>interpola(#REF!,CURVA!$B$6:$B$20,CURVA!$G$6:$G$20)</f>
        <v>#VALUE!</v>
      </c>
      <c r="C5870" s="29" t="e">
        <f t="shared" si="91"/>
        <v>#VALUE!</v>
      </c>
      <c r="E5870" t="e">
        <f>cubic_spline(CURVA!$B$6:$B$20,CURVA!$G$6:$G$20,#REF!)</f>
        <v>#VALUE!</v>
      </c>
    </row>
    <row r="5871" spans="1:5" x14ac:dyDescent="0.2">
      <c r="A5871" s="28">
        <v>5870</v>
      </c>
      <c r="B5871" s="28" t="e">
        <f>interpola(#REF!,CURVA!$B$6:$B$20,CURVA!$G$6:$G$20)</f>
        <v>#VALUE!</v>
      </c>
      <c r="C5871" s="29" t="e">
        <f t="shared" si="91"/>
        <v>#VALUE!</v>
      </c>
      <c r="E5871" t="e">
        <f>cubic_spline(CURVA!$B$6:$B$20,CURVA!$G$6:$G$20,#REF!)</f>
        <v>#VALUE!</v>
      </c>
    </row>
    <row r="5872" spans="1:5" x14ac:dyDescent="0.2">
      <c r="A5872" s="28">
        <v>5871</v>
      </c>
      <c r="B5872" s="28" t="e">
        <f>interpola(#REF!,CURVA!$B$6:$B$20,CURVA!$G$6:$G$20)</f>
        <v>#VALUE!</v>
      </c>
      <c r="C5872" s="29" t="e">
        <f t="shared" si="91"/>
        <v>#VALUE!</v>
      </c>
      <c r="E5872" t="e">
        <f>cubic_spline(CURVA!$B$6:$B$20,CURVA!$G$6:$G$20,#REF!)</f>
        <v>#VALUE!</v>
      </c>
    </row>
    <row r="5873" spans="1:5" x14ac:dyDescent="0.2">
      <c r="A5873" s="28">
        <v>5872</v>
      </c>
      <c r="B5873" s="28" t="e">
        <f>interpola(#REF!,CURVA!$B$6:$B$20,CURVA!$G$6:$G$20)</f>
        <v>#VALUE!</v>
      </c>
      <c r="C5873" s="29" t="e">
        <f t="shared" si="91"/>
        <v>#VALUE!</v>
      </c>
      <c r="E5873" t="e">
        <f>cubic_spline(CURVA!$B$6:$B$20,CURVA!$G$6:$G$20,#REF!)</f>
        <v>#VALUE!</v>
      </c>
    </row>
    <row r="5874" spans="1:5" x14ac:dyDescent="0.2">
      <c r="A5874" s="28">
        <v>5873</v>
      </c>
      <c r="B5874" s="28" t="e">
        <f>interpola(#REF!,CURVA!$B$6:$B$20,CURVA!$G$6:$G$20)</f>
        <v>#VALUE!</v>
      </c>
      <c r="C5874" s="29" t="e">
        <f t="shared" si="91"/>
        <v>#VALUE!</v>
      </c>
      <c r="E5874" t="e">
        <f>cubic_spline(CURVA!$B$6:$B$20,CURVA!$G$6:$G$20,#REF!)</f>
        <v>#VALUE!</v>
      </c>
    </row>
    <row r="5875" spans="1:5" x14ac:dyDescent="0.2">
      <c r="A5875" s="28">
        <v>5874</v>
      </c>
      <c r="B5875" s="28" t="e">
        <f>interpola(#REF!,CURVA!$B$6:$B$20,CURVA!$G$6:$G$20)</f>
        <v>#VALUE!</v>
      </c>
      <c r="C5875" s="29" t="e">
        <f t="shared" si="91"/>
        <v>#VALUE!</v>
      </c>
      <c r="E5875" t="e">
        <f>cubic_spline(CURVA!$B$6:$B$20,CURVA!$G$6:$G$20,#REF!)</f>
        <v>#VALUE!</v>
      </c>
    </row>
    <row r="5876" spans="1:5" x14ac:dyDescent="0.2">
      <c r="A5876" s="28">
        <v>5875</v>
      </c>
      <c r="B5876" s="28" t="e">
        <f>interpola(#REF!,CURVA!$B$6:$B$20,CURVA!$G$6:$G$20)</f>
        <v>#VALUE!</v>
      </c>
      <c r="C5876" s="29" t="e">
        <f t="shared" si="91"/>
        <v>#VALUE!</v>
      </c>
      <c r="E5876" t="e">
        <f>cubic_spline(CURVA!$B$6:$B$20,CURVA!$G$6:$G$20,#REF!)</f>
        <v>#VALUE!</v>
      </c>
    </row>
    <row r="5877" spans="1:5" x14ac:dyDescent="0.2">
      <c r="A5877" s="28">
        <v>5876</v>
      </c>
      <c r="B5877" s="28" t="e">
        <f>interpola(#REF!,CURVA!$B$6:$B$20,CURVA!$G$6:$G$20)</f>
        <v>#VALUE!</v>
      </c>
      <c r="C5877" s="29" t="e">
        <f t="shared" si="91"/>
        <v>#VALUE!</v>
      </c>
      <c r="E5877" t="e">
        <f>cubic_spline(CURVA!$B$6:$B$20,CURVA!$G$6:$G$20,#REF!)</f>
        <v>#VALUE!</v>
      </c>
    </row>
    <row r="5878" spans="1:5" x14ac:dyDescent="0.2">
      <c r="A5878" s="28">
        <v>5877</v>
      </c>
      <c r="B5878" s="28" t="e">
        <f>interpola(#REF!,CURVA!$B$6:$B$20,CURVA!$G$6:$G$20)</f>
        <v>#VALUE!</v>
      </c>
      <c r="C5878" s="29" t="e">
        <f t="shared" si="91"/>
        <v>#VALUE!</v>
      </c>
      <c r="E5878" t="e">
        <f>cubic_spline(CURVA!$B$6:$B$20,CURVA!$G$6:$G$20,#REF!)</f>
        <v>#VALUE!</v>
      </c>
    </row>
    <row r="5879" spans="1:5" x14ac:dyDescent="0.2">
      <c r="A5879" s="28">
        <v>5878</v>
      </c>
      <c r="B5879" s="28" t="e">
        <f>interpola(#REF!,CURVA!$B$6:$B$20,CURVA!$G$6:$G$20)</f>
        <v>#VALUE!</v>
      </c>
      <c r="C5879" s="29" t="e">
        <f t="shared" si="91"/>
        <v>#VALUE!</v>
      </c>
      <c r="E5879" t="e">
        <f>cubic_spline(CURVA!$B$6:$B$20,CURVA!$G$6:$G$20,#REF!)</f>
        <v>#VALUE!</v>
      </c>
    </row>
    <row r="5880" spans="1:5" x14ac:dyDescent="0.2">
      <c r="A5880" s="28">
        <v>5879</v>
      </c>
      <c r="B5880" s="28" t="e">
        <f>interpola(#REF!,CURVA!$B$6:$B$20,CURVA!$G$6:$G$20)</f>
        <v>#VALUE!</v>
      </c>
      <c r="C5880" s="29" t="e">
        <f t="shared" si="91"/>
        <v>#VALUE!</v>
      </c>
      <c r="E5880" t="e">
        <f>cubic_spline(CURVA!$B$6:$B$20,CURVA!$G$6:$G$20,#REF!)</f>
        <v>#VALUE!</v>
      </c>
    </row>
    <row r="5881" spans="1:5" x14ac:dyDescent="0.2">
      <c r="A5881" s="28">
        <v>5880</v>
      </c>
      <c r="B5881" s="28" t="e">
        <f>interpola(#REF!,CURVA!$B$6:$B$20,CURVA!$G$6:$G$20)</f>
        <v>#VALUE!</v>
      </c>
      <c r="C5881" s="29" t="e">
        <f t="shared" si="91"/>
        <v>#VALUE!</v>
      </c>
      <c r="E5881" t="e">
        <f>cubic_spline(CURVA!$B$6:$B$20,CURVA!$G$6:$G$20,#REF!)</f>
        <v>#VALUE!</v>
      </c>
    </row>
    <row r="5882" spans="1:5" x14ac:dyDescent="0.2">
      <c r="A5882" s="28">
        <v>5881</v>
      </c>
      <c r="B5882" s="28" t="e">
        <f>interpola(#REF!,CURVA!$B$6:$B$20,CURVA!$G$6:$G$20)</f>
        <v>#VALUE!</v>
      </c>
      <c r="C5882" s="29" t="e">
        <f t="shared" si="91"/>
        <v>#VALUE!</v>
      </c>
      <c r="E5882" t="e">
        <f>cubic_spline(CURVA!$B$6:$B$20,CURVA!$G$6:$G$20,#REF!)</f>
        <v>#VALUE!</v>
      </c>
    </row>
    <row r="5883" spans="1:5" x14ac:dyDescent="0.2">
      <c r="A5883" s="28">
        <v>5882</v>
      </c>
      <c r="B5883" s="28" t="e">
        <f>interpola(#REF!,CURVA!$B$6:$B$20,CURVA!$G$6:$G$20)</f>
        <v>#VALUE!</v>
      </c>
      <c r="C5883" s="29" t="e">
        <f t="shared" si="91"/>
        <v>#VALUE!</v>
      </c>
      <c r="E5883" t="e">
        <f>cubic_spline(CURVA!$B$6:$B$20,CURVA!$G$6:$G$20,#REF!)</f>
        <v>#VALUE!</v>
      </c>
    </row>
    <row r="5884" spans="1:5" x14ac:dyDescent="0.2">
      <c r="A5884" s="28">
        <v>5883</v>
      </c>
      <c r="B5884" s="28" t="e">
        <f>interpola(#REF!,CURVA!$B$6:$B$20,CURVA!$G$6:$G$20)</f>
        <v>#VALUE!</v>
      </c>
      <c r="C5884" s="29" t="e">
        <f t="shared" si="91"/>
        <v>#VALUE!</v>
      </c>
      <c r="E5884" t="e">
        <f>cubic_spline(CURVA!$B$6:$B$20,CURVA!$G$6:$G$20,#REF!)</f>
        <v>#VALUE!</v>
      </c>
    </row>
    <row r="5885" spans="1:5" x14ac:dyDescent="0.2">
      <c r="A5885" s="28">
        <v>5884</v>
      </c>
      <c r="B5885" s="28" t="e">
        <f>interpola(#REF!,CURVA!$B$6:$B$20,CURVA!$G$6:$G$20)</f>
        <v>#VALUE!</v>
      </c>
      <c r="C5885" s="29" t="e">
        <f t="shared" si="91"/>
        <v>#VALUE!</v>
      </c>
      <c r="E5885" t="e">
        <f>cubic_spline(CURVA!$B$6:$B$20,CURVA!$G$6:$G$20,#REF!)</f>
        <v>#VALUE!</v>
      </c>
    </row>
    <row r="5886" spans="1:5" x14ac:dyDescent="0.2">
      <c r="A5886" s="28">
        <v>5885</v>
      </c>
      <c r="B5886" s="28" t="e">
        <f>interpola(#REF!,CURVA!$B$6:$B$20,CURVA!$G$6:$G$20)</f>
        <v>#VALUE!</v>
      </c>
      <c r="C5886" s="29" t="e">
        <f t="shared" si="91"/>
        <v>#VALUE!</v>
      </c>
      <c r="E5886" t="e">
        <f>cubic_spline(CURVA!$B$6:$B$20,CURVA!$G$6:$G$20,#REF!)</f>
        <v>#VALUE!</v>
      </c>
    </row>
    <row r="5887" spans="1:5" x14ac:dyDescent="0.2">
      <c r="A5887" s="28">
        <v>5886</v>
      </c>
      <c r="B5887" s="28" t="e">
        <f>interpola(#REF!,CURVA!$B$6:$B$20,CURVA!$G$6:$G$20)</f>
        <v>#VALUE!</v>
      </c>
      <c r="C5887" s="29" t="e">
        <f t="shared" si="91"/>
        <v>#VALUE!</v>
      </c>
      <c r="E5887" t="e">
        <f>cubic_spline(CURVA!$B$6:$B$20,CURVA!$G$6:$G$20,#REF!)</f>
        <v>#VALUE!</v>
      </c>
    </row>
    <row r="5888" spans="1:5" x14ac:dyDescent="0.2">
      <c r="A5888" s="28">
        <v>5887</v>
      </c>
      <c r="B5888" s="28" t="e">
        <f>interpola(#REF!,CURVA!$B$6:$B$20,CURVA!$G$6:$G$20)</f>
        <v>#VALUE!</v>
      </c>
      <c r="C5888" s="29" t="e">
        <f t="shared" si="91"/>
        <v>#VALUE!</v>
      </c>
      <c r="E5888" t="e">
        <f>cubic_spline(CURVA!$B$6:$B$20,CURVA!$G$6:$G$20,#REF!)</f>
        <v>#VALUE!</v>
      </c>
    </row>
    <row r="5889" spans="1:5" x14ac:dyDescent="0.2">
      <c r="A5889" s="28">
        <v>5888</v>
      </c>
      <c r="B5889" s="28" t="e">
        <f>interpola(#REF!,CURVA!$B$6:$B$20,CURVA!$G$6:$G$20)</f>
        <v>#VALUE!</v>
      </c>
      <c r="C5889" s="29" t="e">
        <f t="shared" si="91"/>
        <v>#VALUE!</v>
      </c>
      <c r="E5889" t="e">
        <f>cubic_spline(CURVA!$B$6:$B$20,CURVA!$G$6:$G$20,#REF!)</f>
        <v>#VALUE!</v>
      </c>
    </row>
    <row r="5890" spans="1:5" x14ac:dyDescent="0.2">
      <c r="A5890" s="28">
        <v>5889</v>
      </c>
      <c r="B5890" s="28" t="e">
        <f>interpola(#REF!,CURVA!$B$6:$B$20,CURVA!$G$6:$G$20)</f>
        <v>#VALUE!</v>
      </c>
      <c r="C5890" s="29" t="e">
        <f t="shared" ref="C5890:C5953" si="92">(EXP(B5890*A5890/360)-1)*360/A5890</f>
        <v>#VALUE!</v>
      </c>
      <c r="E5890" t="e">
        <f>cubic_spline(CURVA!$B$6:$B$20,CURVA!$G$6:$G$20,#REF!)</f>
        <v>#VALUE!</v>
      </c>
    </row>
    <row r="5891" spans="1:5" x14ac:dyDescent="0.2">
      <c r="A5891" s="28">
        <v>5890</v>
      </c>
      <c r="B5891" s="28" t="e">
        <f>interpola(#REF!,CURVA!$B$6:$B$20,CURVA!$G$6:$G$20)</f>
        <v>#VALUE!</v>
      </c>
      <c r="C5891" s="29" t="e">
        <f t="shared" si="92"/>
        <v>#VALUE!</v>
      </c>
      <c r="E5891" t="e">
        <f>cubic_spline(CURVA!$B$6:$B$20,CURVA!$G$6:$G$20,#REF!)</f>
        <v>#VALUE!</v>
      </c>
    </row>
    <row r="5892" spans="1:5" x14ac:dyDescent="0.2">
      <c r="A5892" s="28">
        <v>5891</v>
      </c>
      <c r="B5892" s="28" t="e">
        <f>interpola(#REF!,CURVA!$B$6:$B$20,CURVA!$G$6:$G$20)</f>
        <v>#VALUE!</v>
      </c>
      <c r="C5892" s="29" t="e">
        <f t="shared" si="92"/>
        <v>#VALUE!</v>
      </c>
      <c r="E5892" t="e">
        <f>cubic_spline(CURVA!$B$6:$B$20,CURVA!$G$6:$G$20,#REF!)</f>
        <v>#VALUE!</v>
      </c>
    </row>
    <row r="5893" spans="1:5" x14ac:dyDescent="0.2">
      <c r="A5893" s="28">
        <v>5892</v>
      </c>
      <c r="B5893" s="28" t="e">
        <f>interpola(#REF!,CURVA!$B$6:$B$20,CURVA!$G$6:$G$20)</f>
        <v>#VALUE!</v>
      </c>
      <c r="C5893" s="29" t="e">
        <f t="shared" si="92"/>
        <v>#VALUE!</v>
      </c>
      <c r="E5893" t="e">
        <f>cubic_spline(CURVA!$B$6:$B$20,CURVA!$G$6:$G$20,#REF!)</f>
        <v>#VALUE!</v>
      </c>
    </row>
    <row r="5894" spans="1:5" x14ac:dyDescent="0.2">
      <c r="A5894" s="28">
        <v>5893</v>
      </c>
      <c r="B5894" s="28" t="e">
        <f>interpola(#REF!,CURVA!$B$6:$B$20,CURVA!$G$6:$G$20)</f>
        <v>#VALUE!</v>
      </c>
      <c r="C5894" s="29" t="e">
        <f t="shared" si="92"/>
        <v>#VALUE!</v>
      </c>
      <c r="E5894" t="e">
        <f>cubic_spline(CURVA!$B$6:$B$20,CURVA!$G$6:$G$20,#REF!)</f>
        <v>#VALUE!</v>
      </c>
    </row>
    <row r="5895" spans="1:5" x14ac:dyDescent="0.2">
      <c r="A5895" s="28">
        <v>5894</v>
      </c>
      <c r="B5895" s="28" t="e">
        <f>interpola(#REF!,CURVA!$B$6:$B$20,CURVA!$G$6:$G$20)</f>
        <v>#VALUE!</v>
      </c>
      <c r="C5895" s="29" t="e">
        <f t="shared" si="92"/>
        <v>#VALUE!</v>
      </c>
      <c r="E5895" t="e">
        <f>cubic_spline(CURVA!$B$6:$B$20,CURVA!$G$6:$G$20,#REF!)</f>
        <v>#VALUE!</v>
      </c>
    </row>
    <row r="5896" spans="1:5" x14ac:dyDescent="0.2">
      <c r="A5896" s="28">
        <v>5895</v>
      </c>
      <c r="B5896" s="28" t="e">
        <f>interpola(#REF!,CURVA!$B$6:$B$20,CURVA!$G$6:$G$20)</f>
        <v>#VALUE!</v>
      </c>
      <c r="C5896" s="29" t="e">
        <f t="shared" si="92"/>
        <v>#VALUE!</v>
      </c>
      <c r="E5896" t="e">
        <f>cubic_spline(CURVA!$B$6:$B$20,CURVA!$G$6:$G$20,#REF!)</f>
        <v>#VALUE!</v>
      </c>
    </row>
    <row r="5897" spans="1:5" x14ac:dyDescent="0.2">
      <c r="A5897" s="28">
        <v>5896</v>
      </c>
      <c r="B5897" s="28" t="e">
        <f>interpola(#REF!,CURVA!$B$6:$B$20,CURVA!$G$6:$G$20)</f>
        <v>#VALUE!</v>
      </c>
      <c r="C5897" s="29" t="e">
        <f t="shared" si="92"/>
        <v>#VALUE!</v>
      </c>
      <c r="E5897" t="e">
        <f>cubic_spline(CURVA!$B$6:$B$20,CURVA!$G$6:$G$20,#REF!)</f>
        <v>#VALUE!</v>
      </c>
    </row>
    <row r="5898" spans="1:5" x14ac:dyDescent="0.2">
      <c r="A5898" s="28">
        <v>5897</v>
      </c>
      <c r="B5898" s="28" t="e">
        <f>interpola(#REF!,CURVA!$B$6:$B$20,CURVA!$G$6:$G$20)</f>
        <v>#VALUE!</v>
      </c>
      <c r="C5898" s="29" t="e">
        <f t="shared" si="92"/>
        <v>#VALUE!</v>
      </c>
      <c r="E5898" t="e">
        <f>cubic_spline(CURVA!$B$6:$B$20,CURVA!$G$6:$G$20,#REF!)</f>
        <v>#VALUE!</v>
      </c>
    </row>
    <row r="5899" spans="1:5" x14ac:dyDescent="0.2">
      <c r="A5899" s="28">
        <v>5898</v>
      </c>
      <c r="B5899" s="28" t="e">
        <f>interpola(#REF!,CURVA!$B$6:$B$20,CURVA!$G$6:$G$20)</f>
        <v>#VALUE!</v>
      </c>
      <c r="C5899" s="29" t="e">
        <f t="shared" si="92"/>
        <v>#VALUE!</v>
      </c>
      <c r="E5899" t="e">
        <f>cubic_spline(CURVA!$B$6:$B$20,CURVA!$G$6:$G$20,#REF!)</f>
        <v>#VALUE!</v>
      </c>
    </row>
    <row r="5900" spans="1:5" x14ac:dyDescent="0.2">
      <c r="A5900" s="28">
        <v>5899</v>
      </c>
      <c r="B5900" s="28" t="e">
        <f>interpola(#REF!,CURVA!$B$6:$B$20,CURVA!$G$6:$G$20)</f>
        <v>#VALUE!</v>
      </c>
      <c r="C5900" s="29" t="e">
        <f t="shared" si="92"/>
        <v>#VALUE!</v>
      </c>
      <c r="E5900" t="e">
        <f>cubic_spline(CURVA!$B$6:$B$20,CURVA!$G$6:$G$20,#REF!)</f>
        <v>#VALUE!</v>
      </c>
    </row>
    <row r="5901" spans="1:5" x14ac:dyDescent="0.2">
      <c r="A5901" s="28">
        <v>5900</v>
      </c>
      <c r="B5901" s="28" t="e">
        <f>interpola(#REF!,CURVA!$B$6:$B$20,CURVA!$G$6:$G$20)</f>
        <v>#VALUE!</v>
      </c>
      <c r="C5901" s="29" t="e">
        <f t="shared" si="92"/>
        <v>#VALUE!</v>
      </c>
      <c r="E5901" t="e">
        <f>cubic_spline(CURVA!$B$6:$B$20,CURVA!$G$6:$G$20,#REF!)</f>
        <v>#VALUE!</v>
      </c>
    </row>
    <row r="5902" spans="1:5" x14ac:dyDescent="0.2">
      <c r="A5902" s="28">
        <v>5901</v>
      </c>
      <c r="B5902" s="28" t="e">
        <f>interpola(#REF!,CURVA!$B$6:$B$20,CURVA!$G$6:$G$20)</f>
        <v>#VALUE!</v>
      </c>
      <c r="C5902" s="29" t="e">
        <f t="shared" si="92"/>
        <v>#VALUE!</v>
      </c>
      <c r="E5902" t="e">
        <f>cubic_spline(CURVA!$B$6:$B$20,CURVA!$G$6:$G$20,#REF!)</f>
        <v>#VALUE!</v>
      </c>
    </row>
    <row r="5903" spans="1:5" x14ac:dyDescent="0.2">
      <c r="A5903" s="28">
        <v>5902</v>
      </c>
      <c r="B5903" s="28" t="e">
        <f>interpola(#REF!,CURVA!$B$6:$B$20,CURVA!$G$6:$G$20)</f>
        <v>#VALUE!</v>
      </c>
      <c r="C5903" s="29" t="e">
        <f t="shared" si="92"/>
        <v>#VALUE!</v>
      </c>
      <c r="E5903" t="e">
        <f>cubic_spline(CURVA!$B$6:$B$20,CURVA!$G$6:$G$20,#REF!)</f>
        <v>#VALUE!</v>
      </c>
    </row>
    <row r="5904" spans="1:5" x14ac:dyDescent="0.2">
      <c r="A5904" s="28">
        <v>5903</v>
      </c>
      <c r="B5904" s="28" t="e">
        <f>interpola(#REF!,CURVA!$B$6:$B$20,CURVA!$G$6:$G$20)</f>
        <v>#VALUE!</v>
      </c>
      <c r="C5904" s="29" t="e">
        <f t="shared" si="92"/>
        <v>#VALUE!</v>
      </c>
      <c r="E5904" t="e">
        <f>cubic_spline(CURVA!$B$6:$B$20,CURVA!$G$6:$G$20,#REF!)</f>
        <v>#VALUE!</v>
      </c>
    </row>
    <row r="5905" spans="1:5" x14ac:dyDescent="0.2">
      <c r="A5905" s="28">
        <v>5904</v>
      </c>
      <c r="B5905" s="28" t="e">
        <f>interpola(#REF!,CURVA!$B$6:$B$20,CURVA!$G$6:$G$20)</f>
        <v>#VALUE!</v>
      </c>
      <c r="C5905" s="29" t="e">
        <f t="shared" si="92"/>
        <v>#VALUE!</v>
      </c>
      <c r="E5905" t="e">
        <f>cubic_spline(CURVA!$B$6:$B$20,CURVA!$G$6:$G$20,#REF!)</f>
        <v>#VALUE!</v>
      </c>
    </row>
    <row r="5906" spans="1:5" x14ac:dyDescent="0.2">
      <c r="A5906" s="28">
        <v>5905</v>
      </c>
      <c r="B5906" s="28" t="e">
        <f>interpola(#REF!,CURVA!$B$6:$B$20,CURVA!$G$6:$G$20)</f>
        <v>#VALUE!</v>
      </c>
      <c r="C5906" s="29" t="e">
        <f t="shared" si="92"/>
        <v>#VALUE!</v>
      </c>
      <c r="E5906" t="e">
        <f>cubic_spline(CURVA!$B$6:$B$20,CURVA!$G$6:$G$20,#REF!)</f>
        <v>#VALUE!</v>
      </c>
    </row>
    <row r="5907" spans="1:5" x14ac:dyDescent="0.2">
      <c r="A5907" s="28">
        <v>5906</v>
      </c>
      <c r="B5907" s="28" t="e">
        <f>interpola(#REF!,CURVA!$B$6:$B$20,CURVA!$G$6:$G$20)</f>
        <v>#VALUE!</v>
      </c>
      <c r="C5907" s="29" t="e">
        <f t="shared" si="92"/>
        <v>#VALUE!</v>
      </c>
      <c r="E5907" t="e">
        <f>cubic_spline(CURVA!$B$6:$B$20,CURVA!$G$6:$G$20,#REF!)</f>
        <v>#VALUE!</v>
      </c>
    </row>
    <row r="5908" spans="1:5" x14ac:dyDescent="0.2">
      <c r="A5908" s="28">
        <v>5907</v>
      </c>
      <c r="B5908" s="28" t="e">
        <f>interpola(#REF!,CURVA!$B$6:$B$20,CURVA!$G$6:$G$20)</f>
        <v>#VALUE!</v>
      </c>
      <c r="C5908" s="29" t="e">
        <f t="shared" si="92"/>
        <v>#VALUE!</v>
      </c>
      <c r="E5908" t="e">
        <f>cubic_spline(CURVA!$B$6:$B$20,CURVA!$G$6:$G$20,#REF!)</f>
        <v>#VALUE!</v>
      </c>
    </row>
    <row r="5909" spans="1:5" x14ac:dyDescent="0.2">
      <c r="A5909" s="28">
        <v>5908</v>
      </c>
      <c r="B5909" s="28" t="e">
        <f>interpola(#REF!,CURVA!$B$6:$B$20,CURVA!$G$6:$G$20)</f>
        <v>#VALUE!</v>
      </c>
      <c r="C5909" s="29" t="e">
        <f t="shared" si="92"/>
        <v>#VALUE!</v>
      </c>
      <c r="E5909" t="e">
        <f>cubic_spline(CURVA!$B$6:$B$20,CURVA!$G$6:$G$20,#REF!)</f>
        <v>#VALUE!</v>
      </c>
    </row>
    <row r="5910" spans="1:5" x14ac:dyDescent="0.2">
      <c r="A5910" s="28">
        <v>5909</v>
      </c>
      <c r="B5910" s="28" t="e">
        <f>interpola(#REF!,CURVA!$B$6:$B$20,CURVA!$G$6:$G$20)</f>
        <v>#VALUE!</v>
      </c>
      <c r="C5910" s="29" t="e">
        <f t="shared" si="92"/>
        <v>#VALUE!</v>
      </c>
      <c r="E5910" t="e">
        <f>cubic_spline(CURVA!$B$6:$B$20,CURVA!$G$6:$G$20,#REF!)</f>
        <v>#VALUE!</v>
      </c>
    </row>
    <row r="5911" spans="1:5" x14ac:dyDescent="0.2">
      <c r="A5911" s="28">
        <v>5910</v>
      </c>
      <c r="B5911" s="28" t="e">
        <f>interpola(#REF!,CURVA!$B$6:$B$20,CURVA!$G$6:$G$20)</f>
        <v>#VALUE!</v>
      </c>
      <c r="C5911" s="29" t="e">
        <f t="shared" si="92"/>
        <v>#VALUE!</v>
      </c>
      <c r="E5911" t="e">
        <f>cubic_spline(CURVA!$B$6:$B$20,CURVA!$G$6:$G$20,#REF!)</f>
        <v>#VALUE!</v>
      </c>
    </row>
    <row r="5912" spans="1:5" x14ac:dyDescent="0.2">
      <c r="A5912" s="28">
        <v>5911</v>
      </c>
      <c r="B5912" s="28" t="e">
        <f>interpola(#REF!,CURVA!$B$6:$B$20,CURVA!$G$6:$G$20)</f>
        <v>#VALUE!</v>
      </c>
      <c r="C5912" s="29" t="e">
        <f t="shared" si="92"/>
        <v>#VALUE!</v>
      </c>
      <c r="E5912" t="e">
        <f>cubic_spline(CURVA!$B$6:$B$20,CURVA!$G$6:$G$20,#REF!)</f>
        <v>#VALUE!</v>
      </c>
    </row>
    <row r="5913" spans="1:5" x14ac:dyDescent="0.2">
      <c r="A5913" s="28">
        <v>5912</v>
      </c>
      <c r="B5913" s="28" t="e">
        <f>interpola(#REF!,CURVA!$B$6:$B$20,CURVA!$G$6:$G$20)</f>
        <v>#VALUE!</v>
      </c>
      <c r="C5913" s="29" t="e">
        <f t="shared" si="92"/>
        <v>#VALUE!</v>
      </c>
      <c r="E5913" t="e">
        <f>cubic_spline(CURVA!$B$6:$B$20,CURVA!$G$6:$G$20,#REF!)</f>
        <v>#VALUE!</v>
      </c>
    </row>
    <row r="5914" spans="1:5" x14ac:dyDescent="0.2">
      <c r="A5914" s="28">
        <v>5913</v>
      </c>
      <c r="B5914" s="28" t="e">
        <f>interpola(#REF!,CURVA!$B$6:$B$20,CURVA!$G$6:$G$20)</f>
        <v>#VALUE!</v>
      </c>
      <c r="C5914" s="29" t="e">
        <f t="shared" si="92"/>
        <v>#VALUE!</v>
      </c>
      <c r="E5914" t="e">
        <f>cubic_spline(CURVA!$B$6:$B$20,CURVA!$G$6:$G$20,#REF!)</f>
        <v>#VALUE!</v>
      </c>
    </row>
    <row r="5915" spans="1:5" x14ac:dyDescent="0.2">
      <c r="A5915" s="28">
        <v>5914</v>
      </c>
      <c r="B5915" s="28" t="e">
        <f>interpola(#REF!,CURVA!$B$6:$B$20,CURVA!$G$6:$G$20)</f>
        <v>#VALUE!</v>
      </c>
      <c r="C5915" s="29" t="e">
        <f t="shared" si="92"/>
        <v>#VALUE!</v>
      </c>
      <c r="E5915" t="e">
        <f>cubic_spline(CURVA!$B$6:$B$20,CURVA!$G$6:$G$20,#REF!)</f>
        <v>#VALUE!</v>
      </c>
    </row>
    <row r="5916" spans="1:5" x14ac:dyDescent="0.2">
      <c r="A5916" s="28">
        <v>5915</v>
      </c>
      <c r="B5916" s="28" t="e">
        <f>interpola(#REF!,CURVA!$B$6:$B$20,CURVA!$G$6:$G$20)</f>
        <v>#VALUE!</v>
      </c>
      <c r="C5916" s="29" t="e">
        <f t="shared" si="92"/>
        <v>#VALUE!</v>
      </c>
      <c r="E5916" t="e">
        <f>cubic_spline(CURVA!$B$6:$B$20,CURVA!$G$6:$G$20,#REF!)</f>
        <v>#VALUE!</v>
      </c>
    </row>
    <row r="5917" spans="1:5" x14ac:dyDescent="0.2">
      <c r="A5917" s="28">
        <v>5916</v>
      </c>
      <c r="B5917" s="28" t="e">
        <f>interpola(#REF!,CURVA!$B$6:$B$20,CURVA!$G$6:$G$20)</f>
        <v>#VALUE!</v>
      </c>
      <c r="C5917" s="29" t="e">
        <f t="shared" si="92"/>
        <v>#VALUE!</v>
      </c>
      <c r="E5917" t="e">
        <f>cubic_spline(CURVA!$B$6:$B$20,CURVA!$G$6:$G$20,#REF!)</f>
        <v>#VALUE!</v>
      </c>
    </row>
    <row r="5918" spans="1:5" x14ac:dyDescent="0.2">
      <c r="A5918" s="28">
        <v>5917</v>
      </c>
      <c r="B5918" s="28" t="e">
        <f>interpola(#REF!,CURVA!$B$6:$B$20,CURVA!$G$6:$G$20)</f>
        <v>#VALUE!</v>
      </c>
      <c r="C5918" s="29" t="e">
        <f t="shared" si="92"/>
        <v>#VALUE!</v>
      </c>
      <c r="E5918" t="e">
        <f>cubic_spline(CURVA!$B$6:$B$20,CURVA!$G$6:$G$20,#REF!)</f>
        <v>#VALUE!</v>
      </c>
    </row>
    <row r="5919" spans="1:5" x14ac:dyDescent="0.2">
      <c r="A5919" s="28">
        <v>5918</v>
      </c>
      <c r="B5919" s="28" t="e">
        <f>interpola(#REF!,CURVA!$B$6:$B$20,CURVA!$G$6:$G$20)</f>
        <v>#VALUE!</v>
      </c>
      <c r="C5919" s="29" t="e">
        <f t="shared" si="92"/>
        <v>#VALUE!</v>
      </c>
      <c r="E5919" t="e">
        <f>cubic_spline(CURVA!$B$6:$B$20,CURVA!$G$6:$G$20,#REF!)</f>
        <v>#VALUE!</v>
      </c>
    </row>
    <row r="5920" spans="1:5" x14ac:dyDescent="0.2">
      <c r="A5920" s="28">
        <v>5919</v>
      </c>
      <c r="B5920" s="28" t="e">
        <f>interpola(#REF!,CURVA!$B$6:$B$20,CURVA!$G$6:$G$20)</f>
        <v>#VALUE!</v>
      </c>
      <c r="C5920" s="29" t="e">
        <f t="shared" si="92"/>
        <v>#VALUE!</v>
      </c>
      <c r="E5920" t="e">
        <f>cubic_spline(CURVA!$B$6:$B$20,CURVA!$G$6:$G$20,#REF!)</f>
        <v>#VALUE!</v>
      </c>
    </row>
    <row r="5921" spans="1:5" x14ac:dyDescent="0.2">
      <c r="A5921" s="28">
        <v>5920</v>
      </c>
      <c r="B5921" s="28" t="e">
        <f>interpola(#REF!,CURVA!$B$6:$B$20,CURVA!$G$6:$G$20)</f>
        <v>#VALUE!</v>
      </c>
      <c r="C5921" s="29" t="e">
        <f t="shared" si="92"/>
        <v>#VALUE!</v>
      </c>
      <c r="E5921" t="e">
        <f>cubic_spline(CURVA!$B$6:$B$20,CURVA!$G$6:$G$20,#REF!)</f>
        <v>#VALUE!</v>
      </c>
    </row>
    <row r="5922" spans="1:5" x14ac:dyDescent="0.2">
      <c r="A5922" s="28">
        <v>5921</v>
      </c>
      <c r="B5922" s="28" t="e">
        <f>interpola(#REF!,CURVA!$B$6:$B$20,CURVA!$G$6:$G$20)</f>
        <v>#VALUE!</v>
      </c>
      <c r="C5922" s="29" t="e">
        <f t="shared" si="92"/>
        <v>#VALUE!</v>
      </c>
      <c r="E5922" t="e">
        <f>cubic_spline(CURVA!$B$6:$B$20,CURVA!$G$6:$G$20,#REF!)</f>
        <v>#VALUE!</v>
      </c>
    </row>
    <row r="5923" spans="1:5" x14ac:dyDescent="0.2">
      <c r="A5923" s="28">
        <v>5922</v>
      </c>
      <c r="B5923" s="28" t="e">
        <f>interpola(#REF!,CURVA!$B$6:$B$20,CURVA!$G$6:$G$20)</f>
        <v>#VALUE!</v>
      </c>
      <c r="C5923" s="29" t="e">
        <f t="shared" si="92"/>
        <v>#VALUE!</v>
      </c>
      <c r="E5923" t="e">
        <f>cubic_spline(CURVA!$B$6:$B$20,CURVA!$G$6:$G$20,#REF!)</f>
        <v>#VALUE!</v>
      </c>
    </row>
    <row r="5924" spans="1:5" x14ac:dyDescent="0.2">
      <c r="A5924" s="28">
        <v>5923</v>
      </c>
      <c r="B5924" s="28" t="e">
        <f>interpola(#REF!,CURVA!$B$6:$B$20,CURVA!$G$6:$G$20)</f>
        <v>#VALUE!</v>
      </c>
      <c r="C5924" s="29" t="e">
        <f t="shared" si="92"/>
        <v>#VALUE!</v>
      </c>
      <c r="E5924" t="e">
        <f>cubic_spline(CURVA!$B$6:$B$20,CURVA!$G$6:$G$20,#REF!)</f>
        <v>#VALUE!</v>
      </c>
    </row>
    <row r="5925" spans="1:5" x14ac:dyDescent="0.2">
      <c r="A5925" s="28">
        <v>5924</v>
      </c>
      <c r="B5925" s="28" t="e">
        <f>interpola(#REF!,CURVA!$B$6:$B$20,CURVA!$G$6:$G$20)</f>
        <v>#VALUE!</v>
      </c>
      <c r="C5925" s="29" t="e">
        <f t="shared" si="92"/>
        <v>#VALUE!</v>
      </c>
      <c r="E5925" t="e">
        <f>cubic_spline(CURVA!$B$6:$B$20,CURVA!$G$6:$G$20,#REF!)</f>
        <v>#VALUE!</v>
      </c>
    </row>
    <row r="5926" spans="1:5" x14ac:dyDescent="0.2">
      <c r="A5926" s="28">
        <v>5925</v>
      </c>
      <c r="B5926" s="28" t="e">
        <f>interpola(#REF!,CURVA!$B$6:$B$20,CURVA!$G$6:$G$20)</f>
        <v>#VALUE!</v>
      </c>
      <c r="C5926" s="29" t="e">
        <f t="shared" si="92"/>
        <v>#VALUE!</v>
      </c>
      <c r="E5926" t="e">
        <f>cubic_spline(CURVA!$B$6:$B$20,CURVA!$G$6:$G$20,#REF!)</f>
        <v>#VALUE!</v>
      </c>
    </row>
    <row r="5927" spans="1:5" x14ac:dyDescent="0.2">
      <c r="A5927" s="28">
        <v>5926</v>
      </c>
      <c r="B5927" s="28" t="e">
        <f>interpola(#REF!,CURVA!$B$6:$B$20,CURVA!$G$6:$G$20)</f>
        <v>#VALUE!</v>
      </c>
      <c r="C5927" s="29" t="e">
        <f t="shared" si="92"/>
        <v>#VALUE!</v>
      </c>
      <c r="E5927" t="e">
        <f>cubic_spline(CURVA!$B$6:$B$20,CURVA!$G$6:$G$20,#REF!)</f>
        <v>#VALUE!</v>
      </c>
    </row>
    <row r="5928" spans="1:5" x14ac:dyDescent="0.2">
      <c r="A5928" s="28">
        <v>5927</v>
      </c>
      <c r="B5928" s="28" t="e">
        <f>interpola(#REF!,CURVA!$B$6:$B$20,CURVA!$G$6:$G$20)</f>
        <v>#VALUE!</v>
      </c>
      <c r="C5928" s="29" t="e">
        <f t="shared" si="92"/>
        <v>#VALUE!</v>
      </c>
      <c r="E5928" t="e">
        <f>cubic_spline(CURVA!$B$6:$B$20,CURVA!$G$6:$G$20,#REF!)</f>
        <v>#VALUE!</v>
      </c>
    </row>
    <row r="5929" spans="1:5" x14ac:dyDescent="0.2">
      <c r="A5929" s="28">
        <v>5928</v>
      </c>
      <c r="B5929" s="28" t="e">
        <f>interpola(#REF!,CURVA!$B$6:$B$20,CURVA!$G$6:$G$20)</f>
        <v>#VALUE!</v>
      </c>
      <c r="C5929" s="29" t="e">
        <f t="shared" si="92"/>
        <v>#VALUE!</v>
      </c>
      <c r="E5929" t="e">
        <f>cubic_spline(CURVA!$B$6:$B$20,CURVA!$G$6:$G$20,#REF!)</f>
        <v>#VALUE!</v>
      </c>
    </row>
    <row r="5930" spans="1:5" x14ac:dyDescent="0.2">
      <c r="A5930" s="28">
        <v>5929</v>
      </c>
      <c r="B5930" s="28" t="e">
        <f>interpola(#REF!,CURVA!$B$6:$B$20,CURVA!$G$6:$G$20)</f>
        <v>#VALUE!</v>
      </c>
      <c r="C5930" s="29" t="e">
        <f t="shared" si="92"/>
        <v>#VALUE!</v>
      </c>
      <c r="E5930" t="e">
        <f>cubic_spline(CURVA!$B$6:$B$20,CURVA!$G$6:$G$20,#REF!)</f>
        <v>#VALUE!</v>
      </c>
    </row>
    <row r="5931" spans="1:5" x14ac:dyDescent="0.2">
      <c r="A5931" s="28">
        <v>5930</v>
      </c>
      <c r="B5931" s="28" t="e">
        <f>interpola(#REF!,CURVA!$B$6:$B$20,CURVA!$G$6:$G$20)</f>
        <v>#VALUE!</v>
      </c>
      <c r="C5931" s="29" t="e">
        <f t="shared" si="92"/>
        <v>#VALUE!</v>
      </c>
      <c r="E5931" t="e">
        <f>cubic_spline(CURVA!$B$6:$B$20,CURVA!$G$6:$G$20,#REF!)</f>
        <v>#VALUE!</v>
      </c>
    </row>
    <row r="5932" spans="1:5" x14ac:dyDescent="0.2">
      <c r="A5932" s="28">
        <v>5931</v>
      </c>
      <c r="B5932" s="28" t="e">
        <f>interpola(#REF!,CURVA!$B$6:$B$20,CURVA!$G$6:$G$20)</f>
        <v>#VALUE!</v>
      </c>
      <c r="C5932" s="29" t="e">
        <f t="shared" si="92"/>
        <v>#VALUE!</v>
      </c>
      <c r="E5932" t="e">
        <f>cubic_spline(CURVA!$B$6:$B$20,CURVA!$G$6:$G$20,#REF!)</f>
        <v>#VALUE!</v>
      </c>
    </row>
    <row r="5933" spans="1:5" x14ac:dyDescent="0.2">
      <c r="A5933" s="28">
        <v>5932</v>
      </c>
      <c r="B5933" s="28" t="e">
        <f>interpola(#REF!,CURVA!$B$6:$B$20,CURVA!$G$6:$G$20)</f>
        <v>#VALUE!</v>
      </c>
      <c r="C5933" s="29" t="e">
        <f t="shared" si="92"/>
        <v>#VALUE!</v>
      </c>
      <c r="E5933" t="e">
        <f>cubic_spline(CURVA!$B$6:$B$20,CURVA!$G$6:$G$20,#REF!)</f>
        <v>#VALUE!</v>
      </c>
    </row>
    <row r="5934" spans="1:5" x14ac:dyDescent="0.2">
      <c r="A5934" s="28">
        <v>5933</v>
      </c>
      <c r="B5934" s="28" t="e">
        <f>interpola(#REF!,CURVA!$B$6:$B$20,CURVA!$G$6:$G$20)</f>
        <v>#VALUE!</v>
      </c>
      <c r="C5934" s="29" t="e">
        <f t="shared" si="92"/>
        <v>#VALUE!</v>
      </c>
      <c r="E5934" t="e">
        <f>cubic_spline(CURVA!$B$6:$B$20,CURVA!$G$6:$G$20,#REF!)</f>
        <v>#VALUE!</v>
      </c>
    </row>
    <row r="5935" spans="1:5" x14ac:dyDescent="0.2">
      <c r="A5935" s="28">
        <v>5934</v>
      </c>
      <c r="B5935" s="28" t="e">
        <f>interpola(#REF!,CURVA!$B$6:$B$20,CURVA!$G$6:$G$20)</f>
        <v>#VALUE!</v>
      </c>
      <c r="C5935" s="29" t="e">
        <f t="shared" si="92"/>
        <v>#VALUE!</v>
      </c>
      <c r="E5935" t="e">
        <f>cubic_spline(CURVA!$B$6:$B$20,CURVA!$G$6:$G$20,#REF!)</f>
        <v>#VALUE!</v>
      </c>
    </row>
    <row r="5936" spans="1:5" x14ac:dyDescent="0.2">
      <c r="A5936" s="28">
        <v>5935</v>
      </c>
      <c r="B5936" s="28" t="e">
        <f>interpola(#REF!,CURVA!$B$6:$B$20,CURVA!$G$6:$G$20)</f>
        <v>#VALUE!</v>
      </c>
      <c r="C5936" s="29" t="e">
        <f t="shared" si="92"/>
        <v>#VALUE!</v>
      </c>
      <c r="E5936" t="e">
        <f>cubic_spline(CURVA!$B$6:$B$20,CURVA!$G$6:$G$20,#REF!)</f>
        <v>#VALUE!</v>
      </c>
    </row>
    <row r="5937" spans="1:5" x14ac:dyDescent="0.2">
      <c r="A5937" s="28">
        <v>5936</v>
      </c>
      <c r="B5937" s="28" t="e">
        <f>interpola(#REF!,CURVA!$B$6:$B$20,CURVA!$G$6:$G$20)</f>
        <v>#VALUE!</v>
      </c>
      <c r="C5937" s="29" t="e">
        <f t="shared" si="92"/>
        <v>#VALUE!</v>
      </c>
      <c r="E5937" t="e">
        <f>cubic_spline(CURVA!$B$6:$B$20,CURVA!$G$6:$G$20,#REF!)</f>
        <v>#VALUE!</v>
      </c>
    </row>
    <row r="5938" spans="1:5" x14ac:dyDescent="0.2">
      <c r="A5938" s="28">
        <v>5937</v>
      </c>
      <c r="B5938" s="28" t="e">
        <f>interpola(#REF!,CURVA!$B$6:$B$20,CURVA!$G$6:$G$20)</f>
        <v>#VALUE!</v>
      </c>
      <c r="C5938" s="29" t="e">
        <f t="shared" si="92"/>
        <v>#VALUE!</v>
      </c>
      <c r="E5938" t="e">
        <f>cubic_spline(CURVA!$B$6:$B$20,CURVA!$G$6:$G$20,#REF!)</f>
        <v>#VALUE!</v>
      </c>
    </row>
    <row r="5939" spans="1:5" x14ac:dyDescent="0.2">
      <c r="A5939" s="28">
        <v>5938</v>
      </c>
      <c r="B5939" s="28" t="e">
        <f>interpola(#REF!,CURVA!$B$6:$B$20,CURVA!$G$6:$G$20)</f>
        <v>#VALUE!</v>
      </c>
      <c r="C5939" s="29" t="e">
        <f t="shared" si="92"/>
        <v>#VALUE!</v>
      </c>
      <c r="E5939" t="e">
        <f>cubic_spline(CURVA!$B$6:$B$20,CURVA!$G$6:$G$20,#REF!)</f>
        <v>#VALUE!</v>
      </c>
    </row>
    <row r="5940" spans="1:5" x14ac:dyDescent="0.2">
      <c r="A5940" s="28">
        <v>5939</v>
      </c>
      <c r="B5940" s="28" t="e">
        <f>interpola(#REF!,CURVA!$B$6:$B$20,CURVA!$G$6:$G$20)</f>
        <v>#VALUE!</v>
      </c>
      <c r="C5940" s="29" t="e">
        <f t="shared" si="92"/>
        <v>#VALUE!</v>
      </c>
      <c r="E5940" t="e">
        <f>cubic_spline(CURVA!$B$6:$B$20,CURVA!$G$6:$G$20,#REF!)</f>
        <v>#VALUE!</v>
      </c>
    </row>
    <row r="5941" spans="1:5" x14ac:dyDescent="0.2">
      <c r="A5941" s="28">
        <v>5940</v>
      </c>
      <c r="B5941" s="28" t="e">
        <f>interpola(#REF!,CURVA!$B$6:$B$20,CURVA!$G$6:$G$20)</f>
        <v>#VALUE!</v>
      </c>
      <c r="C5941" s="29" t="e">
        <f t="shared" si="92"/>
        <v>#VALUE!</v>
      </c>
      <c r="E5941" t="e">
        <f>cubic_spline(CURVA!$B$6:$B$20,CURVA!$G$6:$G$20,#REF!)</f>
        <v>#VALUE!</v>
      </c>
    </row>
    <row r="5942" spans="1:5" x14ac:dyDescent="0.2">
      <c r="A5942" s="28">
        <v>5941</v>
      </c>
      <c r="B5942" s="28" t="e">
        <f>interpola(#REF!,CURVA!$B$6:$B$20,CURVA!$G$6:$G$20)</f>
        <v>#VALUE!</v>
      </c>
      <c r="C5942" s="29" t="e">
        <f t="shared" si="92"/>
        <v>#VALUE!</v>
      </c>
      <c r="E5942" t="e">
        <f>cubic_spline(CURVA!$B$6:$B$20,CURVA!$G$6:$G$20,#REF!)</f>
        <v>#VALUE!</v>
      </c>
    </row>
    <row r="5943" spans="1:5" x14ac:dyDescent="0.2">
      <c r="A5943" s="28">
        <v>5942</v>
      </c>
      <c r="B5943" s="28" t="e">
        <f>interpola(#REF!,CURVA!$B$6:$B$20,CURVA!$G$6:$G$20)</f>
        <v>#VALUE!</v>
      </c>
      <c r="C5943" s="29" t="e">
        <f t="shared" si="92"/>
        <v>#VALUE!</v>
      </c>
      <c r="E5943" t="e">
        <f>cubic_spline(CURVA!$B$6:$B$20,CURVA!$G$6:$G$20,#REF!)</f>
        <v>#VALUE!</v>
      </c>
    </row>
    <row r="5944" spans="1:5" x14ac:dyDescent="0.2">
      <c r="A5944" s="28">
        <v>5943</v>
      </c>
      <c r="B5944" s="28" t="e">
        <f>interpola(#REF!,CURVA!$B$6:$B$20,CURVA!$G$6:$G$20)</f>
        <v>#VALUE!</v>
      </c>
      <c r="C5944" s="29" t="e">
        <f t="shared" si="92"/>
        <v>#VALUE!</v>
      </c>
      <c r="E5944" t="e">
        <f>cubic_spline(CURVA!$B$6:$B$20,CURVA!$G$6:$G$20,#REF!)</f>
        <v>#VALUE!</v>
      </c>
    </row>
    <row r="5945" spans="1:5" x14ac:dyDescent="0.2">
      <c r="A5945" s="28">
        <v>5944</v>
      </c>
      <c r="B5945" s="28" t="e">
        <f>interpola(#REF!,CURVA!$B$6:$B$20,CURVA!$G$6:$G$20)</f>
        <v>#VALUE!</v>
      </c>
      <c r="C5945" s="29" t="e">
        <f t="shared" si="92"/>
        <v>#VALUE!</v>
      </c>
      <c r="E5945" t="e">
        <f>cubic_spline(CURVA!$B$6:$B$20,CURVA!$G$6:$G$20,#REF!)</f>
        <v>#VALUE!</v>
      </c>
    </row>
    <row r="5946" spans="1:5" x14ac:dyDescent="0.2">
      <c r="A5946" s="28">
        <v>5945</v>
      </c>
      <c r="B5946" s="28" t="e">
        <f>interpola(#REF!,CURVA!$B$6:$B$20,CURVA!$G$6:$G$20)</f>
        <v>#VALUE!</v>
      </c>
      <c r="C5946" s="29" t="e">
        <f t="shared" si="92"/>
        <v>#VALUE!</v>
      </c>
      <c r="E5946" t="e">
        <f>cubic_spline(CURVA!$B$6:$B$20,CURVA!$G$6:$G$20,#REF!)</f>
        <v>#VALUE!</v>
      </c>
    </row>
    <row r="5947" spans="1:5" x14ac:dyDescent="0.2">
      <c r="A5947" s="28">
        <v>5946</v>
      </c>
      <c r="B5947" s="28" t="e">
        <f>interpola(#REF!,CURVA!$B$6:$B$20,CURVA!$G$6:$G$20)</f>
        <v>#VALUE!</v>
      </c>
      <c r="C5947" s="29" t="e">
        <f t="shared" si="92"/>
        <v>#VALUE!</v>
      </c>
      <c r="E5947" t="e">
        <f>cubic_spline(CURVA!$B$6:$B$20,CURVA!$G$6:$G$20,#REF!)</f>
        <v>#VALUE!</v>
      </c>
    </row>
    <row r="5948" spans="1:5" x14ac:dyDescent="0.2">
      <c r="A5948" s="28">
        <v>5947</v>
      </c>
      <c r="B5948" s="28" t="e">
        <f>interpola(#REF!,CURVA!$B$6:$B$20,CURVA!$G$6:$G$20)</f>
        <v>#VALUE!</v>
      </c>
      <c r="C5948" s="29" t="e">
        <f t="shared" si="92"/>
        <v>#VALUE!</v>
      </c>
      <c r="E5948" t="e">
        <f>cubic_spline(CURVA!$B$6:$B$20,CURVA!$G$6:$G$20,#REF!)</f>
        <v>#VALUE!</v>
      </c>
    </row>
    <row r="5949" spans="1:5" x14ac:dyDescent="0.2">
      <c r="A5949" s="28">
        <v>5948</v>
      </c>
      <c r="B5949" s="28" t="e">
        <f>interpola(#REF!,CURVA!$B$6:$B$20,CURVA!$G$6:$G$20)</f>
        <v>#VALUE!</v>
      </c>
      <c r="C5949" s="29" t="e">
        <f t="shared" si="92"/>
        <v>#VALUE!</v>
      </c>
      <c r="E5949" t="e">
        <f>cubic_spline(CURVA!$B$6:$B$20,CURVA!$G$6:$G$20,#REF!)</f>
        <v>#VALUE!</v>
      </c>
    </row>
    <row r="5950" spans="1:5" x14ac:dyDescent="0.2">
      <c r="A5950" s="28">
        <v>5949</v>
      </c>
      <c r="B5950" s="28" t="e">
        <f>interpola(#REF!,CURVA!$B$6:$B$20,CURVA!$G$6:$G$20)</f>
        <v>#VALUE!</v>
      </c>
      <c r="C5950" s="29" t="e">
        <f t="shared" si="92"/>
        <v>#VALUE!</v>
      </c>
      <c r="E5950" t="e">
        <f>cubic_spline(CURVA!$B$6:$B$20,CURVA!$G$6:$G$20,#REF!)</f>
        <v>#VALUE!</v>
      </c>
    </row>
    <row r="5951" spans="1:5" x14ac:dyDescent="0.2">
      <c r="A5951" s="28">
        <v>5950</v>
      </c>
      <c r="B5951" s="28" t="e">
        <f>interpola(#REF!,CURVA!$B$6:$B$20,CURVA!$G$6:$G$20)</f>
        <v>#VALUE!</v>
      </c>
      <c r="C5951" s="29" t="e">
        <f t="shared" si="92"/>
        <v>#VALUE!</v>
      </c>
      <c r="E5951" t="e">
        <f>cubic_spline(CURVA!$B$6:$B$20,CURVA!$G$6:$G$20,#REF!)</f>
        <v>#VALUE!</v>
      </c>
    </row>
    <row r="5952" spans="1:5" x14ac:dyDescent="0.2">
      <c r="A5952" s="28">
        <v>5951</v>
      </c>
      <c r="B5952" s="28" t="e">
        <f>interpola(#REF!,CURVA!$B$6:$B$20,CURVA!$G$6:$G$20)</f>
        <v>#VALUE!</v>
      </c>
      <c r="C5952" s="29" t="e">
        <f t="shared" si="92"/>
        <v>#VALUE!</v>
      </c>
      <c r="E5952" t="e">
        <f>cubic_spline(CURVA!$B$6:$B$20,CURVA!$G$6:$G$20,#REF!)</f>
        <v>#VALUE!</v>
      </c>
    </row>
    <row r="5953" spans="1:5" x14ac:dyDescent="0.2">
      <c r="A5953" s="28">
        <v>5952</v>
      </c>
      <c r="B5953" s="28" t="e">
        <f>interpola(#REF!,CURVA!$B$6:$B$20,CURVA!$G$6:$G$20)</f>
        <v>#VALUE!</v>
      </c>
      <c r="C5953" s="29" t="e">
        <f t="shared" si="92"/>
        <v>#VALUE!</v>
      </c>
      <c r="E5953" t="e">
        <f>cubic_spline(CURVA!$B$6:$B$20,CURVA!$G$6:$G$20,#REF!)</f>
        <v>#VALUE!</v>
      </c>
    </row>
    <row r="5954" spans="1:5" x14ac:dyDescent="0.2">
      <c r="A5954" s="28">
        <v>5953</v>
      </c>
      <c r="B5954" s="28" t="e">
        <f>interpola(#REF!,CURVA!$B$6:$B$20,CURVA!$G$6:$G$20)</f>
        <v>#VALUE!</v>
      </c>
      <c r="C5954" s="29" t="e">
        <f t="shared" ref="C5954:C6017" si="93">(EXP(B5954*A5954/360)-1)*360/A5954</f>
        <v>#VALUE!</v>
      </c>
      <c r="E5954" t="e">
        <f>cubic_spline(CURVA!$B$6:$B$20,CURVA!$G$6:$G$20,#REF!)</f>
        <v>#VALUE!</v>
      </c>
    </row>
    <row r="5955" spans="1:5" x14ac:dyDescent="0.2">
      <c r="A5955" s="28">
        <v>5954</v>
      </c>
      <c r="B5955" s="28" t="e">
        <f>interpola(#REF!,CURVA!$B$6:$B$20,CURVA!$G$6:$G$20)</f>
        <v>#VALUE!</v>
      </c>
      <c r="C5955" s="29" t="e">
        <f t="shared" si="93"/>
        <v>#VALUE!</v>
      </c>
      <c r="E5955" t="e">
        <f>cubic_spline(CURVA!$B$6:$B$20,CURVA!$G$6:$G$20,#REF!)</f>
        <v>#VALUE!</v>
      </c>
    </row>
    <row r="5956" spans="1:5" x14ac:dyDescent="0.2">
      <c r="A5956" s="28">
        <v>5955</v>
      </c>
      <c r="B5956" s="28" t="e">
        <f>interpola(#REF!,CURVA!$B$6:$B$20,CURVA!$G$6:$G$20)</f>
        <v>#VALUE!</v>
      </c>
      <c r="C5956" s="29" t="e">
        <f t="shared" si="93"/>
        <v>#VALUE!</v>
      </c>
      <c r="E5956" t="e">
        <f>cubic_spline(CURVA!$B$6:$B$20,CURVA!$G$6:$G$20,#REF!)</f>
        <v>#VALUE!</v>
      </c>
    </row>
    <row r="5957" spans="1:5" x14ac:dyDescent="0.2">
      <c r="A5957" s="28">
        <v>5956</v>
      </c>
      <c r="B5957" s="28" t="e">
        <f>interpola(#REF!,CURVA!$B$6:$B$20,CURVA!$G$6:$G$20)</f>
        <v>#VALUE!</v>
      </c>
      <c r="C5957" s="29" t="e">
        <f t="shared" si="93"/>
        <v>#VALUE!</v>
      </c>
      <c r="E5957" t="e">
        <f>cubic_spline(CURVA!$B$6:$B$20,CURVA!$G$6:$G$20,#REF!)</f>
        <v>#VALUE!</v>
      </c>
    </row>
    <row r="5958" spans="1:5" x14ac:dyDescent="0.2">
      <c r="A5958" s="28">
        <v>5957</v>
      </c>
      <c r="B5958" s="28" t="e">
        <f>interpola(#REF!,CURVA!$B$6:$B$20,CURVA!$G$6:$G$20)</f>
        <v>#VALUE!</v>
      </c>
      <c r="C5958" s="29" t="e">
        <f t="shared" si="93"/>
        <v>#VALUE!</v>
      </c>
      <c r="E5958" t="e">
        <f>cubic_spline(CURVA!$B$6:$B$20,CURVA!$G$6:$G$20,#REF!)</f>
        <v>#VALUE!</v>
      </c>
    </row>
    <row r="5959" spans="1:5" x14ac:dyDescent="0.2">
      <c r="A5959" s="28">
        <v>5958</v>
      </c>
      <c r="B5959" s="28" t="e">
        <f>interpola(#REF!,CURVA!$B$6:$B$20,CURVA!$G$6:$G$20)</f>
        <v>#VALUE!</v>
      </c>
      <c r="C5959" s="29" t="e">
        <f t="shared" si="93"/>
        <v>#VALUE!</v>
      </c>
      <c r="E5959" t="e">
        <f>cubic_spline(CURVA!$B$6:$B$20,CURVA!$G$6:$G$20,#REF!)</f>
        <v>#VALUE!</v>
      </c>
    </row>
    <row r="5960" spans="1:5" x14ac:dyDescent="0.2">
      <c r="A5960" s="28">
        <v>5959</v>
      </c>
      <c r="B5960" s="28" t="e">
        <f>interpola(#REF!,CURVA!$B$6:$B$20,CURVA!$G$6:$G$20)</f>
        <v>#VALUE!</v>
      </c>
      <c r="C5960" s="29" t="e">
        <f t="shared" si="93"/>
        <v>#VALUE!</v>
      </c>
      <c r="E5960" t="e">
        <f>cubic_spline(CURVA!$B$6:$B$20,CURVA!$G$6:$G$20,#REF!)</f>
        <v>#VALUE!</v>
      </c>
    </row>
    <row r="5961" spans="1:5" x14ac:dyDescent="0.2">
      <c r="A5961" s="28">
        <v>5960</v>
      </c>
      <c r="B5961" s="28" t="e">
        <f>interpola(#REF!,CURVA!$B$6:$B$20,CURVA!$G$6:$G$20)</f>
        <v>#VALUE!</v>
      </c>
      <c r="C5961" s="29" t="e">
        <f t="shared" si="93"/>
        <v>#VALUE!</v>
      </c>
      <c r="E5961" t="e">
        <f>cubic_spline(CURVA!$B$6:$B$20,CURVA!$G$6:$G$20,#REF!)</f>
        <v>#VALUE!</v>
      </c>
    </row>
    <row r="5962" spans="1:5" x14ac:dyDescent="0.2">
      <c r="A5962" s="28">
        <v>5961</v>
      </c>
      <c r="B5962" s="28" t="e">
        <f>interpola(#REF!,CURVA!$B$6:$B$20,CURVA!$G$6:$G$20)</f>
        <v>#VALUE!</v>
      </c>
      <c r="C5962" s="29" t="e">
        <f t="shared" si="93"/>
        <v>#VALUE!</v>
      </c>
      <c r="E5962" t="e">
        <f>cubic_spline(CURVA!$B$6:$B$20,CURVA!$G$6:$G$20,#REF!)</f>
        <v>#VALUE!</v>
      </c>
    </row>
    <row r="5963" spans="1:5" x14ac:dyDescent="0.2">
      <c r="A5963" s="28">
        <v>5962</v>
      </c>
      <c r="B5963" s="28" t="e">
        <f>interpola(#REF!,CURVA!$B$6:$B$20,CURVA!$G$6:$G$20)</f>
        <v>#VALUE!</v>
      </c>
      <c r="C5963" s="29" t="e">
        <f t="shared" si="93"/>
        <v>#VALUE!</v>
      </c>
      <c r="E5963" t="e">
        <f>cubic_spline(CURVA!$B$6:$B$20,CURVA!$G$6:$G$20,#REF!)</f>
        <v>#VALUE!</v>
      </c>
    </row>
    <row r="5964" spans="1:5" x14ac:dyDescent="0.2">
      <c r="A5964" s="28">
        <v>5963</v>
      </c>
      <c r="B5964" s="28" t="e">
        <f>interpola(#REF!,CURVA!$B$6:$B$20,CURVA!$G$6:$G$20)</f>
        <v>#VALUE!</v>
      </c>
      <c r="C5964" s="29" t="e">
        <f t="shared" si="93"/>
        <v>#VALUE!</v>
      </c>
      <c r="E5964" t="e">
        <f>cubic_spline(CURVA!$B$6:$B$20,CURVA!$G$6:$G$20,#REF!)</f>
        <v>#VALUE!</v>
      </c>
    </row>
    <row r="5965" spans="1:5" x14ac:dyDescent="0.2">
      <c r="A5965" s="28">
        <v>5964</v>
      </c>
      <c r="B5965" s="28" t="e">
        <f>interpola(#REF!,CURVA!$B$6:$B$20,CURVA!$G$6:$G$20)</f>
        <v>#VALUE!</v>
      </c>
      <c r="C5965" s="29" t="e">
        <f t="shared" si="93"/>
        <v>#VALUE!</v>
      </c>
      <c r="E5965" t="e">
        <f>cubic_spline(CURVA!$B$6:$B$20,CURVA!$G$6:$G$20,#REF!)</f>
        <v>#VALUE!</v>
      </c>
    </row>
    <row r="5966" spans="1:5" x14ac:dyDescent="0.2">
      <c r="A5966" s="28">
        <v>5965</v>
      </c>
      <c r="B5966" s="28" t="e">
        <f>interpola(#REF!,CURVA!$B$6:$B$20,CURVA!$G$6:$G$20)</f>
        <v>#VALUE!</v>
      </c>
      <c r="C5966" s="29" t="e">
        <f t="shared" si="93"/>
        <v>#VALUE!</v>
      </c>
      <c r="E5966" t="e">
        <f>cubic_spline(CURVA!$B$6:$B$20,CURVA!$G$6:$G$20,#REF!)</f>
        <v>#VALUE!</v>
      </c>
    </row>
    <row r="5967" spans="1:5" x14ac:dyDescent="0.2">
      <c r="A5967" s="28">
        <v>5966</v>
      </c>
      <c r="B5967" s="28" t="e">
        <f>interpola(#REF!,CURVA!$B$6:$B$20,CURVA!$G$6:$G$20)</f>
        <v>#VALUE!</v>
      </c>
      <c r="C5967" s="29" t="e">
        <f t="shared" si="93"/>
        <v>#VALUE!</v>
      </c>
      <c r="E5967" t="e">
        <f>cubic_spline(CURVA!$B$6:$B$20,CURVA!$G$6:$G$20,#REF!)</f>
        <v>#VALUE!</v>
      </c>
    </row>
    <row r="5968" spans="1:5" x14ac:dyDescent="0.2">
      <c r="A5968" s="28">
        <v>5967</v>
      </c>
      <c r="B5968" s="28" t="e">
        <f>interpola(#REF!,CURVA!$B$6:$B$20,CURVA!$G$6:$G$20)</f>
        <v>#VALUE!</v>
      </c>
      <c r="C5968" s="29" t="e">
        <f t="shared" si="93"/>
        <v>#VALUE!</v>
      </c>
      <c r="E5968" t="e">
        <f>cubic_spline(CURVA!$B$6:$B$20,CURVA!$G$6:$G$20,#REF!)</f>
        <v>#VALUE!</v>
      </c>
    </row>
    <row r="5969" spans="1:5" x14ac:dyDescent="0.2">
      <c r="A5969" s="28">
        <v>5968</v>
      </c>
      <c r="B5969" s="28" t="e">
        <f>interpola(#REF!,CURVA!$B$6:$B$20,CURVA!$G$6:$G$20)</f>
        <v>#VALUE!</v>
      </c>
      <c r="C5969" s="29" t="e">
        <f t="shared" si="93"/>
        <v>#VALUE!</v>
      </c>
      <c r="E5969" t="e">
        <f>cubic_spline(CURVA!$B$6:$B$20,CURVA!$G$6:$G$20,#REF!)</f>
        <v>#VALUE!</v>
      </c>
    </row>
    <row r="5970" spans="1:5" x14ac:dyDescent="0.2">
      <c r="A5970" s="28">
        <v>5969</v>
      </c>
      <c r="B5970" s="28" t="e">
        <f>interpola(#REF!,CURVA!$B$6:$B$20,CURVA!$G$6:$G$20)</f>
        <v>#VALUE!</v>
      </c>
      <c r="C5970" s="29" t="e">
        <f t="shared" si="93"/>
        <v>#VALUE!</v>
      </c>
      <c r="E5970" t="e">
        <f>cubic_spline(CURVA!$B$6:$B$20,CURVA!$G$6:$G$20,#REF!)</f>
        <v>#VALUE!</v>
      </c>
    </row>
    <row r="5971" spans="1:5" x14ac:dyDescent="0.2">
      <c r="A5971" s="28">
        <v>5970</v>
      </c>
      <c r="B5971" s="28" t="e">
        <f>interpola(#REF!,CURVA!$B$6:$B$20,CURVA!$G$6:$G$20)</f>
        <v>#VALUE!</v>
      </c>
      <c r="C5971" s="29" t="e">
        <f t="shared" si="93"/>
        <v>#VALUE!</v>
      </c>
      <c r="E5971" t="e">
        <f>cubic_spline(CURVA!$B$6:$B$20,CURVA!$G$6:$G$20,#REF!)</f>
        <v>#VALUE!</v>
      </c>
    </row>
    <row r="5972" spans="1:5" x14ac:dyDescent="0.2">
      <c r="A5972" s="28">
        <v>5971</v>
      </c>
      <c r="B5972" s="28" t="e">
        <f>interpola(#REF!,CURVA!$B$6:$B$20,CURVA!$G$6:$G$20)</f>
        <v>#VALUE!</v>
      </c>
      <c r="C5972" s="29" t="e">
        <f t="shared" si="93"/>
        <v>#VALUE!</v>
      </c>
      <c r="E5972" t="e">
        <f>cubic_spline(CURVA!$B$6:$B$20,CURVA!$G$6:$G$20,#REF!)</f>
        <v>#VALUE!</v>
      </c>
    </row>
    <row r="5973" spans="1:5" x14ac:dyDescent="0.2">
      <c r="A5973" s="28">
        <v>5972</v>
      </c>
      <c r="B5973" s="28" t="e">
        <f>interpola(#REF!,CURVA!$B$6:$B$20,CURVA!$G$6:$G$20)</f>
        <v>#VALUE!</v>
      </c>
      <c r="C5973" s="29" t="e">
        <f t="shared" si="93"/>
        <v>#VALUE!</v>
      </c>
      <c r="E5973" t="e">
        <f>cubic_spline(CURVA!$B$6:$B$20,CURVA!$G$6:$G$20,#REF!)</f>
        <v>#VALUE!</v>
      </c>
    </row>
    <row r="5974" spans="1:5" x14ac:dyDescent="0.2">
      <c r="A5974" s="28">
        <v>5973</v>
      </c>
      <c r="B5974" s="28" t="e">
        <f>interpola(#REF!,CURVA!$B$6:$B$20,CURVA!$G$6:$G$20)</f>
        <v>#VALUE!</v>
      </c>
      <c r="C5974" s="29" t="e">
        <f t="shared" si="93"/>
        <v>#VALUE!</v>
      </c>
      <c r="E5974" t="e">
        <f>cubic_spline(CURVA!$B$6:$B$20,CURVA!$G$6:$G$20,#REF!)</f>
        <v>#VALUE!</v>
      </c>
    </row>
    <row r="5975" spans="1:5" x14ac:dyDescent="0.2">
      <c r="A5975" s="28">
        <v>5974</v>
      </c>
      <c r="B5975" s="28" t="e">
        <f>interpola(#REF!,CURVA!$B$6:$B$20,CURVA!$G$6:$G$20)</f>
        <v>#VALUE!</v>
      </c>
      <c r="C5975" s="29" t="e">
        <f t="shared" si="93"/>
        <v>#VALUE!</v>
      </c>
      <c r="E5975" t="e">
        <f>cubic_spline(CURVA!$B$6:$B$20,CURVA!$G$6:$G$20,#REF!)</f>
        <v>#VALUE!</v>
      </c>
    </row>
    <row r="5976" spans="1:5" x14ac:dyDescent="0.2">
      <c r="A5976" s="28">
        <v>5975</v>
      </c>
      <c r="B5976" s="28" t="e">
        <f>interpola(#REF!,CURVA!$B$6:$B$20,CURVA!$G$6:$G$20)</f>
        <v>#VALUE!</v>
      </c>
      <c r="C5976" s="29" t="e">
        <f t="shared" si="93"/>
        <v>#VALUE!</v>
      </c>
      <c r="E5976" t="e">
        <f>cubic_spline(CURVA!$B$6:$B$20,CURVA!$G$6:$G$20,#REF!)</f>
        <v>#VALUE!</v>
      </c>
    </row>
    <row r="5977" spans="1:5" x14ac:dyDescent="0.2">
      <c r="A5977" s="28">
        <v>5976</v>
      </c>
      <c r="B5977" s="28" t="e">
        <f>interpola(#REF!,CURVA!$B$6:$B$20,CURVA!$G$6:$G$20)</f>
        <v>#VALUE!</v>
      </c>
      <c r="C5977" s="29" t="e">
        <f t="shared" si="93"/>
        <v>#VALUE!</v>
      </c>
      <c r="E5977" t="e">
        <f>cubic_spline(CURVA!$B$6:$B$20,CURVA!$G$6:$G$20,#REF!)</f>
        <v>#VALUE!</v>
      </c>
    </row>
    <row r="5978" spans="1:5" x14ac:dyDescent="0.2">
      <c r="A5978" s="28">
        <v>5977</v>
      </c>
      <c r="B5978" s="28" t="e">
        <f>interpola(#REF!,CURVA!$B$6:$B$20,CURVA!$G$6:$G$20)</f>
        <v>#VALUE!</v>
      </c>
      <c r="C5978" s="29" t="e">
        <f t="shared" si="93"/>
        <v>#VALUE!</v>
      </c>
      <c r="E5978" t="e">
        <f>cubic_spline(CURVA!$B$6:$B$20,CURVA!$G$6:$G$20,#REF!)</f>
        <v>#VALUE!</v>
      </c>
    </row>
    <row r="5979" spans="1:5" x14ac:dyDescent="0.2">
      <c r="A5979" s="28">
        <v>5978</v>
      </c>
      <c r="B5979" s="28" t="e">
        <f>interpola(#REF!,CURVA!$B$6:$B$20,CURVA!$G$6:$G$20)</f>
        <v>#VALUE!</v>
      </c>
      <c r="C5979" s="29" t="e">
        <f t="shared" si="93"/>
        <v>#VALUE!</v>
      </c>
      <c r="E5979" t="e">
        <f>cubic_spline(CURVA!$B$6:$B$20,CURVA!$G$6:$G$20,#REF!)</f>
        <v>#VALUE!</v>
      </c>
    </row>
    <row r="5980" spans="1:5" x14ac:dyDescent="0.2">
      <c r="A5980" s="28">
        <v>5979</v>
      </c>
      <c r="B5980" s="28" t="e">
        <f>interpola(#REF!,CURVA!$B$6:$B$20,CURVA!$G$6:$G$20)</f>
        <v>#VALUE!</v>
      </c>
      <c r="C5980" s="29" t="e">
        <f t="shared" si="93"/>
        <v>#VALUE!</v>
      </c>
      <c r="E5980" t="e">
        <f>cubic_spline(CURVA!$B$6:$B$20,CURVA!$G$6:$G$20,#REF!)</f>
        <v>#VALUE!</v>
      </c>
    </row>
    <row r="5981" spans="1:5" x14ac:dyDescent="0.2">
      <c r="A5981" s="28">
        <v>5980</v>
      </c>
      <c r="B5981" s="28" t="e">
        <f>interpola(#REF!,CURVA!$B$6:$B$20,CURVA!$G$6:$G$20)</f>
        <v>#VALUE!</v>
      </c>
      <c r="C5981" s="29" t="e">
        <f t="shared" si="93"/>
        <v>#VALUE!</v>
      </c>
      <c r="E5981" t="e">
        <f>cubic_spline(CURVA!$B$6:$B$20,CURVA!$G$6:$G$20,#REF!)</f>
        <v>#VALUE!</v>
      </c>
    </row>
    <row r="5982" spans="1:5" x14ac:dyDescent="0.2">
      <c r="A5982" s="28">
        <v>5981</v>
      </c>
      <c r="B5982" s="28" t="e">
        <f>interpola(#REF!,CURVA!$B$6:$B$20,CURVA!$G$6:$G$20)</f>
        <v>#VALUE!</v>
      </c>
      <c r="C5982" s="29" t="e">
        <f t="shared" si="93"/>
        <v>#VALUE!</v>
      </c>
      <c r="E5982" t="e">
        <f>cubic_spline(CURVA!$B$6:$B$20,CURVA!$G$6:$G$20,#REF!)</f>
        <v>#VALUE!</v>
      </c>
    </row>
    <row r="5983" spans="1:5" x14ac:dyDescent="0.2">
      <c r="A5983" s="28">
        <v>5982</v>
      </c>
      <c r="B5983" s="28" t="e">
        <f>interpola(#REF!,CURVA!$B$6:$B$20,CURVA!$G$6:$G$20)</f>
        <v>#VALUE!</v>
      </c>
      <c r="C5983" s="29" t="e">
        <f t="shared" si="93"/>
        <v>#VALUE!</v>
      </c>
      <c r="E5983" t="e">
        <f>cubic_spline(CURVA!$B$6:$B$20,CURVA!$G$6:$G$20,#REF!)</f>
        <v>#VALUE!</v>
      </c>
    </row>
    <row r="5984" spans="1:5" x14ac:dyDescent="0.2">
      <c r="A5984" s="28">
        <v>5983</v>
      </c>
      <c r="B5984" s="28" t="e">
        <f>interpola(#REF!,CURVA!$B$6:$B$20,CURVA!$G$6:$G$20)</f>
        <v>#VALUE!</v>
      </c>
      <c r="C5984" s="29" t="e">
        <f t="shared" si="93"/>
        <v>#VALUE!</v>
      </c>
      <c r="E5984" t="e">
        <f>cubic_spline(CURVA!$B$6:$B$20,CURVA!$G$6:$G$20,#REF!)</f>
        <v>#VALUE!</v>
      </c>
    </row>
    <row r="5985" spans="1:5" x14ac:dyDescent="0.2">
      <c r="A5985" s="28">
        <v>5984</v>
      </c>
      <c r="B5985" s="28" t="e">
        <f>interpola(#REF!,CURVA!$B$6:$B$20,CURVA!$G$6:$G$20)</f>
        <v>#VALUE!</v>
      </c>
      <c r="C5985" s="29" t="e">
        <f t="shared" si="93"/>
        <v>#VALUE!</v>
      </c>
      <c r="E5985" t="e">
        <f>cubic_spline(CURVA!$B$6:$B$20,CURVA!$G$6:$G$20,#REF!)</f>
        <v>#VALUE!</v>
      </c>
    </row>
    <row r="5986" spans="1:5" x14ac:dyDescent="0.2">
      <c r="A5986" s="28">
        <v>5985</v>
      </c>
      <c r="B5986" s="28" t="e">
        <f>interpola(#REF!,CURVA!$B$6:$B$20,CURVA!$G$6:$G$20)</f>
        <v>#VALUE!</v>
      </c>
      <c r="C5986" s="29" t="e">
        <f t="shared" si="93"/>
        <v>#VALUE!</v>
      </c>
      <c r="E5986" t="e">
        <f>cubic_spline(CURVA!$B$6:$B$20,CURVA!$G$6:$G$20,#REF!)</f>
        <v>#VALUE!</v>
      </c>
    </row>
    <row r="5987" spans="1:5" x14ac:dyDescent="0.2">
      <c r="A5987" s="28">
        <v>5986</v>
      </c>
      <c r="B5987" s="28" t="e">
        <f>interpola(#REF!,CURVA!$B$6:$B$20,CURVA!$G$6:$G$20)</f>
        <v>#VALUE!</v>
      </c>
      <c r="C5987" s="29" t="e">
        <f t="shared" si="93"/>
        <v>#VALUE!</v>
      </c>
      <c r="E5987" t="e">
        <f>cubic_spline(CURVA!$B$6:$B$20,CURVA!$G$6:$G$20,#REF!)</f>
        <v>#VALUE!</v>
      </c>
    </row>
    <row r="5988" spans="1:5" x14ac:dyDescent="0.2">
      <c r="A5988" s="28">
        <v>5987</v>
      </c>
      <c r="B5988" s="28" t="e">
        <f>interpola(#REF!,CURVA!$B$6:$B$20,CURVA!$G$6:$G$20)</f>
        <v>#VALUE!</v>
      </c>
      <c r="C5988" s="29" t="e">
        <f t="shared" si="93"/>
        <v>#VALUE!</v>
      </c>
      <c r="E5988" t="e">
        <f>cubic_spline(CURVA!$B$6:$B$20,CURVA!$G$6:$G$20,#REF!)</f>
        <v>#VALUE!</v>
      </c>
    </row>
    <row r="5989" spans="1:5" x14ac:dyDescent="0.2">
      <c r="A5989" s="28">
        <v>5988</v>
      </c>
      <c r="B5989" s="28" t="e">
        <f>interpola(#REF!,CURVA!$B$6:$B$20,CURVA!$G$6:$G$20)</f>
        <v>#VALUE!</v>
      </c>
      <c r="C5989" s="29" t="e">
        <f t="shared" si="93"/>
        <v>#VALUE!</v>
      </c>
      <c r="E5989" t="e">
        <f>cubic_spline(CURVA!$B$6:$B$20,CURVA!$G$6:$G$20,#REF!)</f>
        <v>#VALUE!</v>
      </c>
    </row>
    <row r="5990" spans="1:5" x14ac:dyDescent="0.2">
      <c r="A5990" s="28">
        <v>5989</v>
      </c>
      <c r="B5990" s="28" t="e">
        <f>interpola(#REF!,CURVA!$B$6:$B$20,CURVA!$G$6:$G$20)</f>
        <v>#VALUE!</v>
      </c>
      <c r="C5990" s="29" t="e">
        <f t="shared" si="93"/>
        <v>#VALUE!</v>
      </c>
      <c r="E5990" t="e">
        <f>cubic_spline(CURVA!$B$6:$B$20,CURVA!$G$6:$G$20,#REF!)</f>
        <v>#VALUE!</v>
      </c>
    </row>
    <row r="5991" spans="1:5" x14ac:dyDescent="0.2">
      <c r="A5991" s="28">
        <v>5990</v>
      </c>
      <c r="B5991" s="28" t="e">
        <f>interpola(#REF!,CURVA!$B$6:$B$20,CURVA!$G$6:$G$20)</f>
        <v>#VALUE!</v>
      </c>
      <c r="C5991" s="29" t="e">
        <f t="shared" si="93"/>
        <v>#VALUE!</v>
      </c>
      <c r="E5991" t="e">
        <f>cubic_spline(CURVA!$B$6:$B$20,CURVA!$G$6:$G$20,#REF!)</f>
        <v>#VALUE!</v>
      </c>
    </row>
    <row r="5992" spans="1:5" x14ac:dyDescent="0.2">
      <c r="A5992" s="28">
        <v>5991</v>
      </c>
      <c r="B5992" s="28" t="e">
        <f>interpola(#REF!,CURVA!$B$6:$B$20,CURVA!$G$6:$G$20)</f>
        <v>#VALUE!</v>
      </c>
      <c r="C5992" s="29" t="e">
        <f t="shared" si="93"/>
        <v>#VALUE!</v>
      </c>
      <c r="E5992" t="e">
        <f>cubic_spline(CURVA!$B$6:$B$20,CURVA!$G$6:$G$20,#REF!)</f>
        <v>#VALUE!</v>
      </c>
    </row>
    <row r="5993" spans="1:5" x14ac:dyDescent="0.2">
      <c r="A5993" s="28">
        <v>5992</v>
      </c>
      <c r="B5993" s="28" t="e">
        <f>interpola(#REF!,CURVA!$B$6:$B$20,CURVA!$G$6:$G$20)</f>
        <v>#VALUE!</v>
      </c>
      <c r="C5993" s="29" t="e">
        <f t="shared" si="93"/>
        <v>#VALUE!</v>
      </c>
      <c r="E5993" t="e">
        <f>cubic_spline(CURVA!$B$6:$B$20,CURVA!$G$6:$G$20,#REF!)</f>
        <v>#VALUE!</v>
      </c>
    </row>
    <row r="5994" spans="1:5" x14ac:dyDescent="0.2">
      <c r="A5994" s="28">
        <v>5993</v>
      </c>
      <c r="B5994" s="28" t="e">
        <f>interpola(#REF!,CURVA!$B$6:$B$20,CURVA!$G$6:$G$20)</f>
        <v>#VALUE!</v>
      </c>
      <c r="C5994" s="29" t="e">
        <f t="shared" si="93"/>
        <v>#VALUE!</v>
      </c>
      <c r="E5994" t="e">
        <f>cubic_spline(CURVA!$B$6:$B$20,CURVA!$G$6:$G$20,#REF!)</f>
        <v>#VALUE!</v>
      </c>
    </row>
    <row r="5995" spans="1:5" x14ac:dyDescent="0.2">
      <c r="A5995" s="28">
        <v>5994</v>
      </c>
      <c r="B5995" s="28" t="e">
        <f>interpola(#REF!,CURVA!$B$6:$B$20,CURVA!$G$6:$G$20)</f>
        <v>#VALUE!</v>
      </c>
      <c r="C5995" s="29" t="e">
        <f t="shared" si="93"/>
        <v>#VALUE!</v>
      </c>
      <c r="E5995" t="e">
        <f>cubic_spline(CURVA!$B$6:$B$20,CURVA!$G$6:$G$20,#REF!)</f>
        <v>#VALUE!</v>
      </c>
    </row>
    <row r="5996" spans="1:5" x14ac:dyDescent="0.2">
      <c r="A5996" s="28">
        <v>5995</v>
      </c>
      <c r="B5996" s="28" t="e">
        <f>interpola(#REF!,CURVA!$B$6:$B$20,CURVA!$G$6:$G$20)</f>
        <v>#VALUE!</v>
      </c>
      <c r="C5996" s="29" t="e">
        <f t="shared" si="93"/>
        <v>#VALUE!</v>
      </c>
      <c r="E5996" t="e">
        <f>cubic_spline(CURVA!$B$6:$B$20,CURVA!$G$6:$G$20,#REF!)</f>
        <v>#VALUE!</v>
      </c>
    </row>
    <row r="5997" spans="1:5" x14ac:dyDescent="0.2">
      <c r="A5997" s="28">
        <v>5996</v>
      </c>
      <c r="B5997" s="28" t="e">
        <f>interpola(#REF!,CURVA!$B$6:$B$20,CURVA!$G$6:$G$20)</f>
        <v>#VALUE!</v>
      </c>
      <c r="C5997" s="29" t="e">
        <f t="shared" si="93"/>
        <v>#VALUE!</v>
      </c>
      <c r="E5997" t="e">
        <f>cubic_spline(CURVA!$B$6:$B$20,CURVA!$G$6:$G$20,#REF!)</f>
        <v>#VALUE!</v>
      </c>
    </row>
    <row r="5998" spans="1:5" x14ac:dyDescent="0.2">
      <c r="A5998" s="28">
        <v>5997</v>
      </c>
      <c r="B5998" s="28" t="e">
        <f>interpola(#REF!,CURVA!$B$6:$B$20,CURVA!$G$6:$G$20)</f>
        <v>#VALUE!</v>
      </c>
      <c r="C5998" s="29" t="e">
        <f t="shared" si="93"/>
        <v>#VALUE!</v>
      </c>
      <c r="E5998" t="e">
        <f>cubic_spline(CURVA!$B$6:$B$20,CURVA!$G$6:$G$20,#REF!)</f>
        <v>#VALUE!</v>
      </c>
    </row>
    <row r="5999" spans="1:5" x14ac:dyDescent="0.2">
      <c r="A5999" s="28">
        <v>5998</v>
      </c>
      <c r="B5999" s="28" t="e">
        <f>interpola(#REF!,CURVA!$B$6:$B$20,CURVA!$G$6:$G$20)</f>
        <v>#VALUE!</v>
      </c>
      <c r="C5999" s="29" t="e">
        <f t="shared" si="93"/>
        <v>#VALUE!</v>
      </c>
      <c r="E5999" t="e">
        <f>cubic_spline(CURVA!$B$6:$B$20,CURVA!$G$6:$G$20,#REF!)</f>
        <v>#VALUE!</v>
      </c>
    </row>
    <row r="6000" spans="1:5" x14ac:dyDescent="0.2">
      <c r="A6000" s="28">
        <v>5999</v>
      </c>
      <c r="B6000" s="28" t="e">
        <f>interpola(#REF!,CURVA!$B$6:$B$20,CURVA!$G$6:$G$20)</f>
        <v>#VALUE!</v>
      </c>
      <c r="C6000" s="29" t="e">
        <f t="shared" si="93"/>
        <v>#VALUE!</v>
      </c>
      <c r="E6000" t="e">
        <f>cubic_spline(CURVA!$B$6:$B$20,CURVA!$G$6:$G$20,#REF!)</f>
        <v>#VALUE!</v>
      </c>
    </row>
    <row r="6001" spans="1:5" x14ac:dyDescent="0.2">
      <c r="A6001" s="28">
        <v>6000</v>
      </c>
      <c r="B6001" s="28" t="e">
        <f>interpola(#REF!,CURVA!$B$6:$B$20,CURVA!$G$6:$G$20)</f>
        <v>#VALUE!</v>
      </c>
      <c r="C6001" s="29" t="e">
        <f t="shared" si="93"/>
        <v>#VALUE!</v>
      </c>
      <c r="E6001" t="e">
        <f>cubic_spline(CURVA!$B$6:$B$20,CURVA!$G$6:$G$20,#REF!)</f>
        <v>#VALUE!</v>
      </c>
    </row>
    <row r="6002" spans="1:5" x14ac:dyDescent="0.2">
      <c r="A6002" s="28">
        <v>6001</v>
      </c>
      <c r="B6002" s="28" t="e">
        <f>interpola(#REF!,CURVA!$B$6:$B$20,CURVA!$G$6:$G$20)</f>
        <v>#VALUE!</v>
      </c>
      <c r="C6002" s="29" t="e">
        <f t="shared" si="93"/>
        <v>#VALUE!</v>
      </c>
      <c r="E6002" t="e">
        <f>cubic_spline(CURVA!$B$6:$B$20,CURVA!$G$6:$G$20,#REF!)</f>
        <v>#VALUE!</v>
      </c>
    </row>
    <row r="6003" spans="1:5" x14ac:dyDescent="0.2">
      <c r="A6003" s="28">
        <v>6002</v>
      </c>
      <c r="B6003" s="28" t="e">
        <f>interpola(#REF!,CURVA!$B$6:$B$20,CURVA!$G$6:$G$20)</f>
        <v>#VALUE!</v>
      </c>
      <c r="C6003" s="29" t="e">
        <f t="shared" si="93"/>
        <v>#VALUE!</v>
      </c>
      <c r="E6003" t="e">
        <f>cubic_spline(CURVA!$B$6:$B$20,CURVA!$G$6:$G$20,#REF!)</f>
        <v>#VALUE!</v>
      </c>
    </row>
    <row r="6004" spans="1:5" x14ac:dyDescent="0.2">
      <c r="A6004" s="28">
        <v>6003</v>
      </c>
      <c r="B6004" s="28" t="e">
        <f>interpola(#REF!,CURVA!$B$6:$B$20,CURVA!$G$6:$G$20)</f>
        <v>#VALUE!</v>
      </c>
      <c r="C6004" s="29" t="e">
        <f t="shared" si="93"/>
        <v>#VALUE!</v>
      </c>
      <c r="E6004" t="e">
        <f>cubic_spline(CURVA!$B$6:$B$20,CURVA!$G$6:$G$20,#REF!)</f>
        <v>#VALUE!</v>
      </c>
    </row>
    <row r="6005" spans="1:5" x14ac:dyDescent="0.2">
      <c r="A6005" s="28">
        <v>6004</v>
      </c>
      <c r="B6005" s="28" t="e">
        <f>interpola(#REF!,CURVA!$B$6:$B$20,CURVA!$G$6:$G$20)</f>
        <v>#VALUE!</v>
      </c>
      <c r="C6005" s="29" t="e">
        <f t="shared" si="93"/>
        <v>#VALUE!</v>
      </c>
      <c r="E6005" t="e">
        <f>cubic_spline(CURVA!$B$6:$B$20,CURVA!$G$6:$G$20,#REF!)</f>
        <v>#VALUE!</v>
      </c>
    </row>
    <row r="6006" spans="1:5" x14ac:dyDescent="0.2">
      <c r="A6006" s="28">
        <v>6005</v>
      </c>
      <c r="B6006" s="28" t="e">
        <f>interpola(#REF!,CURVA!$B$6:$B$20,CURVA!$G$6:$G$20)</f>
        <v>#VALUE!</v>
      </c>
      <c r="C6006" s="29" t="e">
        <f t="shared" si="93"/>
        <v>#VALUE!</v>
      </c>
      <c r="E6006" t="e">
        <f>cubic_spline(CURVA!$B$6:$B$20,CURVA!$G$6:$G$20,#REF!)</f>
        <v>#VALUE!</v>
      </c>
    </row>
    <row r="6007" spans="1:5" x14ac:dyDescent="0.2">
      <c r="A6007" s="28">
        <v>6006</v>
      </c>
      <c r="B6007" s="28" t="e">
        <f>interpola(#REF!,CURVA!$B$6:$B$20,CURVA!$G$6:$G$20)</f>
        <v>#VALUE!</v>
      </c>
      <c r="C6007" s="29" t="e">
        <f t="shared" si="93"/>
        <v>#VALUE!</v>
      </c>
      <c r="E6007" t="e">
        <f>cubic_spline(CURVA!$B$6:$B$20,CURVA!$G$6:$G$20,#REF!)</f>
        <v>#VALUE!</v>
      </c>
    </row>
    <row r="6008" spans="1:5" x14ac:dyDescent="0.2">
      <c r="A6008" s="28">
        <v>6007</v>
      </c>
      <c r="B6008" s="28" t="e">
        <f>interpola(#REF!,CURVA!$B$6:$B$20,CURVA!$G$6:$G$20)</f>
        <v>#VALUE!</v>
      </c>
      <c r="C6008" s="29" t="e">
        <f t="shared" si="93"/>
        <v>#VALUE!</v>
      </c>
      <c r="E6008" t="e">
        <f>cubic_spline(CURVA!$B$6:$B$20,CURVA!$G$6:$G$20,#REF!)</f>
        <v>#VALUE!</v>
      </c>
    </row>
    <row r="6009" spans="1:5" x14ac:dyDescent="0.2">
      <c r="A6009" s="28">
        <v>6008</v>
      </c>
      <c r="B6009" s="28" t="e">
        <f>interpola(#REF!,CURVA!$B$6:$B$20,CURVA!$G$6:$G$20)</f>
        <v>#VALUE!</v>
      </c>
      <c r="C6009" s="29" t="e">
        <f t="shared" si="93"/>
        <v>#VALUE!</v>
      </c>
      <c r="E6009" t="e">
        <f>cubic_spline(CURVA!$B$6:$B$20,CURVA!$G$6:$G$20,#REF!)</f>
        <v>#VALUE!</v>
      </c>
    </row>
    <row r="6010" spans="1:5" x14ac:dyDescent="0.2">
      <c r="A6010" s="28">
        <v>6009</v>
      </c>
      <c r="B6010" s="28" t="e">
        <f>interpola(#REF!,CURVA!$B$6:$B$20,CURVA!$G$6:$G$20)</f>
        <v>#VALUE!</v>
      </c>
      <c r="C6010" s="29" t="e">
        <f t="shared" si="93"/>
        <v>#VALUE!</v>
      </c>
      <c r="E6010" t="e">
        <f>cubic_spline(CURVA!$B$6:$B$20,CURVA!$G$6:$G$20,#REF!)</f>
        <v>#VALUE!</v>
      </c>
    </row>
    <row r="6011" spans="1:5" x14ac:dyDescent="0.2">
      <c r="A6011" s="28">
        <v>6010</v>
      </c>
      <c r="B6011" s="28" t="e">
        <f>interpola(#REF!,CURVA!$B$6:$B$20,CURVA!$G$6:$G$20)</f>
        <v>#VALUE!</v>
      </c>
      <c r="C6011" s="29" t="e">
        <f t="shared" si="93"/>
        <v>#VALUE!</v>
      </c>
      <c r="E6011" t="e">
        <f>cubic_spline(CURVA!$B$6:$B$20,CURVA!$G$6:$G$20,#REF!)</f>
        <v>#VALUE!</v>
      </c>
    </row>
    <row r="6012" spans="1:5" x14ac:dyDescent="0.2">
      <c r="A6012" s="28">
        <v>6011</v>
      </c>
      <c r="B6012" s="28" t="e">
        <f>interpola(#REF!,CURVA!$B$6:$B$20,CURVA!$G$6:$G$20)</f>
        <v>#VALUE!</v>
      </c>
      <c r="C6012" s="29" t="e">
        <f t="shared" si="93"/>
        <v>#VALUE!</v>
      </c>
      <c r="E6012" t="e">
        <f>cubic_spline(CURVA!$B$6:$B$20,CURVA!$G$6:$G$20,#REF!)</f>
        <v>#VALUE!</v>
      </c>
    </row>
    <row r="6013" spans="1:5" x14ac:dyDescent="0.2">
      <c r="A6013" s="28">
        <v>6012</v>
      </c>
      <c r="B6013" s="28" t="e">
        <f>interpola(#REF!,CURVA!$B$6:$B$20,CURVA!$G$6:$G$20)</f>
        <v>#VALUE!</v>
      </c>
      <c r="C6013" s="29" t="e">
        <f t="shared" si="93"/>
        <v>#VALUE!</v>
      </c>
      <c r="E6013" t="e">
        <f>cubic_spline(CURVA!$B$6:$B$20,CURVA!$G$6:$G$20,#REF!)</f>
        <v>#VALUE!</v>
      </c>
    </row>
    <row r="6014" spans="1:5" x14ac:dyDescent="0.2">
      <c r="A6014" s="28">
        <v>6013</v>
      </c>
      <c r="B6014" s="28" t="e">
        <f>interpola(#REF!,CURVA!$B$6:$B$20,CURVA!$G$6:$G$20)</f>
        <v>#VALUE!</v>
      </c>
      <c r="C6014" s="29" t="e">
        <f t="shared" si="93"/>
        <v>#VALUE!</v>
      </c>
      <c r="E6014" t="e">
        <f>cubic_spline(CURVA!$B$6:$B$20,CURVA!$G$6:$G$20,#REF!)</f>
        <v>#VALUE!</v>
      </c>
    </row>
    <row r="6015" spans="1:5" x14ac:dyDescent="0.2">
      <c r="A6015" s="28">
        <v>6014</v>
      </c>
      <c r="B6015" s="28" t="e">
        <f>interpola(#REF!,CURVA!$B$6:$B$20,CURVA!$G$6:$G$20)</f>
        <v>#VALUE!</v>
      </c>
      <c r="C6015" s="29" t="e">
        <f t="shared" si="93"/>
        <v>#VALUE!</v>
      </c>
      <c r="E6015" t="e">
        <f>cubic_spline(CURVA!$B$6:$B$20,CURVA!$G$6:$G$20,#REF!)</f>
        <v>#VALUE!</v>
      </c>
    </row>
    <row r="6016" spans="1:5" x14ac:dyDescent="0.2">
      <c r="A6016" s="28">
        <v>6015</v>
      </c>
      <c r="B6016" s="28" t="e">
        <f>interpola(#REF!,CURVA!$B$6:$B$20,CURVA!$G$6:$G$20)</f>
        <v>#VALUE!</v>
      </c>
      <c r="C6016" s="29" t="e">
        <f t="shared" si="93"/>
        <v>#VALUE!</v>
      </c>
      <c r="E6016" t="e">
        <f>cubic_spline(CURVA!$B$6:$B$20,CURVA!$G$6:$G$20,#REF!)</f>
        <v>#VALUE!</v>
      </c>
    </row>
    <row r="6017" spans="1:5" x14ac:dyDescent="0.2">
      <c r="A6017" s="28">
        <v>6016</v>
      </c>
      <c r="B6017" s="28" t="e">
        <f>interpola(#REF!,CURVA!$B$6:$B$20,CURVA!$G$6:$G$20)</f>
        <v>#VALUE!</v>
      </c>
      <c r="C6017" s="29" t="e">
        <f t="shared" si="93"/>
        <v>#VALUE!</v>
      </c>
      <c r="E6017" t="e">
        <f>cubic_spline(CURVA!$B$6:$B$20,CURVA!$G$6:$G$20,#REF!)</f>
        <v>#VALUE!</v>
      </c>
    </row>
    <row r="6018" spans="1:5" x14ac:dyDescent="0.2">
      <c r="A6018" s="28">
        <v>6017</v>
      </c>
      <c r="B6018" s="28" t="e">
        <f>interpola(#REF!,CURVA!$B$6:$B$20,CURVA!$G$6:$G$20)</f>
        <v>#VALUE!</v>
      </c>
      <c r="C6018" s="29" t="e">
        <f t="shared" ref="C6018:C6081" si="94">(EXP(B6018*A6018/360)-1)*360/A6018</f>
        <v>#VALUE!</v>
      </c>
      <c r="E6018" t="e">
        <f>cubic_spline(CURVA!$B$6:$B$20,CURVA!$G$6:$G$20,#REF!)</f>
        <v>#VALUE!</v>
      </c>
    </row>
    <row r="6019" spans="1:5" x14ac:dyDescent="0.2">
      <c r="A6019" s="28">
        <v>6018</v>
      </c>
      <c r="B6019" s="28" t="e">
        <f>interpola(#REF!,CURVA!$B$6:$B$20,CURVA!$G$6:$G$20)</f>
        <v>#VALUE!</v>
      </c>
      <c r="C6019" s="29" t="e">
        <f t="shared" si="94"/>
        <v>#VALUE!</v>
      </c>
      <c r="E6019" t="e">
        <f>cubic_spline(CURVA!$B$6:$B$20,CURVA!$G$6:$G$20,#REF!)</f>
        <v>#VALUE!</v>
      </c>
    </row>
    <row r="6020" spans="1:5" x14ac:dyDescent="0.2">
      <c r="A6020" s="28">
        <v>6019</v>
      </c>
      <c r="B6020" s="28" t="e">
        <f>interpola(#REF!,CURVA!$B$6:$B$20,CURVA!$G$6:$G$20)</f>
        <v>#VALUE!</v>
      </c>
      <c r="C6020" s="29" t="e">
        <f t="shared" si="94"/>
        <v>#VALUE!</v>
      </c>
      <c r="E6020" t="e">
        <f>cubic_spline(CURVA!$B$6:$B$20,CURVA!$G$6:$G$20,#REF!)</f>
        <v>#VALUE!</v>
      </c>
    </row>
    <row r="6021" spans="1:5" x14ac:dyDescent="0.2">
      <c r="A6021" s="28">
        <v>6020</v>
      </c>
      <c r="B6021" s="28" t="e">
        <f>interpola(#REF!,CURVA!$B$6:$B$20,CURVA!$G$6:$G$20)</f>
        <v>#VALUE!</v>
      </c>
      <c r="C6021" s="29" t="e">
        <f t="shared" si="94"/>
        <v>#VALUE!</v>
      </c>
      <c r="E6021" t="e">
        <f>cubic_spline(CURVA!$B$6:$B$20,CURVA!$G$6:$G$20,#REF!)</f>
        <v>#VALUE!</v>
      </c>
    </row>
    <row r="6022" spans="1:5" x14ac:dyDescent="0.2">
      <c r="A6022" s="28">
        <v>6021</v>
      </c>
      <c r="B6022" s="28" t="e">
        <f>interpola(#REF!,CURVA!$B$6:$B$20,CURVA!$G$6:$G$20)</f>
        <v>#VALUE!</v>
      </c>
      <c r="C6022" s="29" t="e">
        <f t="shared" si="94"/>
        <v>#VALUE!</v>
      </c>
      <c r="E6022" t="e">
        <f>cubic_spline(CURVA!$B$6:$B$20,CURVA!$G$6:$G$20,#REF!)</f>
        <v>#VALUE!</v>
      </c>
    </row>
    <row r="6023" spans="1:5" x14ac:dyDescent="0.2">
      <c r="A6023" s="28">
        <v>6022</v>
      </c>
      <c r="B6023" s="28" t="e">
        <f>interpola(#REF!,CURVA!$B$6:$B$20,CURVA!$G$6:$G$20)</f>
        <v>#VALUE!</v>
      </c>
      <c r="C6023" s="29" t="e">
        <f t="shared" si="94"/>
        <v>#VALUE!</v>
      </c>
      <c r="E6023" t="e">
        <f>cubic_spline(CURVA!$B$6:$B$20,CURVA!$G$6:$G$20,#REF!)</f>
        <v>#VALUE!</v>
      </c>
    </row>
    <row r="6024" spans="1:5" x14ac:dyDescent="0.2">
      <c r="A6024" s="28">
        <v>6023</v>
      </c>
      <c r="B6024" s="28" t="e">
        <f>interpola(#REF!,CURVA!$B$6:$B$20,CURVA!$G$6:$G$20)</f>
        <v>#VALUE!</v>
      </c>
      <c r="C6024" s="29" t="e">
        <f t="shared" si="94"/>
        <v>#VALUE!</v>
      </c>
      <c r="E6024" t="e">
        <f>cubic_spline(CURVA!$B$6:$B$20,CURVA!$G$6:$G$20,#REF!)</f>
        <v>#VALUE!</v>
      </c>
    </row>
    <row r="6025" spans="1:5" x14ac:dyDescent="0.2">
      <c r="A6025" s="28">
        <v>6024</v>
      </c>
      <c r="B6025" s="28" t="e">
        <f>interpola(#REF!,CURVA!$B$6:$B$20,CURVA!$G$6:$G$20)</f>
        <v>#VALUE!</v>
      </c>
      <c r="C6025" s="29" t="e">
        <f t="shared" si="94"/>
        <v>#VALUE!</v>
      </c>
      <c r="E6025" t="e">
        <f>cubic_spline(CURVA!$B$6:$B$20,CURVA!$G$6:$G$20,#REF!)</f>
        <v>#VALUE!</v>
      </c>
    </row>
    <row r="6026" spans="1:5" x14ac:dyDescent="0.2">
      <c r="A6026" s="28">
        <v>6025</v>
      </c>
      <c r="B6026" s="28" t="e">
        <f>interpola(#REF!,CURVA!$B$6:$B$20,CURVA!$G$6:$G$20)</f>
        <v>#VALUE!</v>
      </c>
      <c r="C6026" s="29" t="e">
        <f t="shared" si="94"/>
        <v>#VALUE!</v>
      </c>
      <c r="E6026" t="e">
        <f>cubic_spline(CURVA!$B$6:$B$20,CURVA!$G$6:$G$20,#REF!)</f>
        <v>#VALUE!</v>
      </c>
    </row>
    <row r="6027" spans="1:5" x14ac:dyDescent="0.2">
      <c r="A6027" s="28">
        <v>6026</v>
      </c>
      <c r="B6027" s="28" t="e">
        <f>interpola(#REF!,CURVA!$B$6:$B$20,CURVA!$G$6:$G$20)</f>
        <v>#VALUE!</v>
      </c>
      <c r="C6027" s="29" t="e">
        <f t="shared" si="94"/>
        <v>#VALUE!</v>
      </c>
      <c r="E6027" t="e">
        <f>cubic_spline(CURVA!$B$6:$B$20,CURVA!$G$6:$G$20,#REF!)</f>
        <v>#VALUE!</v>
      </c>
    </row>
    <row r="6028" spans="1:5" x14ac:dyDescent="0.2">
      <c r="A6028" s="28">
        <v>6027</v>
      </c>
      <c r="B6028" s="28" t="e">
        <f>interpola(#REF!,CURVA!$B$6:$B$20,CURVA!$G$6:$G$20)</f>
        <v>#VALUE!</v>
      </c>
      <c r="C6028" s="29" t="e">
        <f t="shared" si="94"/>
        <v>#VALUE!</v>
      </c>
      <c r="E6028" t="e">
        <f>cubic_spline(CURVA!$B$6:$B$20,CURVA!$G$6:$G$20,#REF!)</f>
        <v>#VALUE!</v>
      </c>
    </row>
    <row r="6029" spans="1:5" x14ac:dyDescent="0.2">
      <c r="A6029" s="28">
        <v>6028</v>
      </c>
      <c r="B6029" s="28" t="e">
        <f>interpola(#REF!,CURVA!$B$6:$B$20,CURVA!$G$6:$G$20)</f>
        <v>#VALUE!</v>
      </c>
      <c r="C6029" s="29" t="e">
        <f t="shared" si="94"/>
        <v>#VALUE!</v>
      </c>
      <c r="E6029" t="e">
        <f>cubic_spline(CURVA!$B$6:$B$20,CURVA!$G$6:$G$20,#REF!)</f>
        <v>#VALUE!</v>
      </c>
    </row>
    <row r="6030" spans="1:5" x14ac:dyDescent="0.2">
      <c r="A6030" s="28">
        <v>6029</v>
      </c>
      <c r="B6030" s="28" t="e">
        <f>interpola(#REF!,CURVA!$B$6:$B$20,CURVA!$G$6:$G$20)</f>
        <v>#VALUE!</v>
      </c>
      <c r="C6030" s="29" t="e">
        <f t="shared" si="94"/>
        <v>#VALUE!</v>
      </c>
      <c r="E6030" t="e">
        <f>cubic_spline(CURVA!$B$6:$B$20,CURVA!$G$6:$G$20,#REF!)</f>
        <v>#VALUE!</v>
      </c>
    </row>
    <row r="6031" spans="1:5" x14ac:dyDescent="0.2">
      <c r="A6031" s="28">
        <v>6030</v>
      </c>
      <c r="B6031" s="28" t="e">
        <f>interpola(#REF!,CURVA!$B$6:$B$20,CURVA!$G$6:$G$20)</f>
        <v>#VALUE!</v>
      </c>
      <c r="C6031" s="29" t="e">
        <f t="shared" si="94"/>
        <v>#VALUE!</v>
      </c>
      <c r="E6031" t="e">
        <f>cubic_spline(CURVA!$B$6:$B$20,CURVA!$G$6:$G$20,#REF!)</f>
        <v>#VALUE!</v>
      </c>
    </row>
    <row r="6032" spans="1:5" x14ac:dyDescent="0.2">
      <c r="A6032" s="28">
        <v>6031</v>
      </c>
      <c r="B6032" s="28" t="e">
        <f>interpola(#REF!,CURVA!$B$6:$B$20,CURVA!$G$6:$G$20)</f>
        <v>#VALUE!</v>
      </c>
      <c r="C6032" s="29" t="e">
        <f t="shared" si="94"/>
        <v>#VALUE!</v>
      </c>
      <c r="E6032" t="e">
        <f>cubic_spline(CURVA!$B$6:$B$20,CURVA!$G$6:$G$20,#REF!)</f>
        <v>#VALUE!</v>
      </c>
    </row>
    <row r="6033" spans="1:5" x14ac:dyDescent="0.2">
      <c r="A6033" s="28">
        <v>6032</v>
      </c>
      <c r="B6033" s="28" t="e">
        <f>interpola(#REF!,CURVA!$B$6:$B$20,CURVA!$G$6:$G$20)</f>
        <v>#VALUE!</v>
      </c>
      <c r="C6033" s="29" t="e">
        <f t="shared" si="94"/>
        <v>#VALUE!</v>
      </c>
      <c r="E6033" t="e">
        <f>cubic_spline(CURVA!$B$6:$B$20,CURVA!$G$6:$G$20,#REF!)</f>
        <v>#VALUE!</v>
      </c>
    </row>
    <row r="6034" spans="1:5" x14ac:dyDescent="0.2">
      <c r="A6034" s="28">
        <v>6033</v>
      </c>
      <c r="B6034" s="28" t="e">
        <f>interpola(#REF!,CURVA!$B$6:$B$20,CURVA!$G$6:$G$20)</f>
        <v>#VALUE!</v>
      </c>
      <c r="C6034" s="29" t="e">
        <f t="shared" si="94"/>
        <v>#VALUE!</v>
      </c>
      <c r="E6034" t="e">
        <f>cubic_spline(CURVA!$B$6:$B$20,CURVA!$G$6:$G$20,#REF!)</f>
        <v>#VALUE!</v>
      </c>
    </row>
    <row r="6035" spans="1:5" x14ac:dyDescent="0.2">
      <c r="A6035" s="28">
        <v>6034</v>
      </c>
      <c r="B6035" s="28" t="e">
        <f>interpola(#REF!,CURVA!$B$6:$B$20,CURVA!$G$6:$G$20)</f>
        <v>#VALUE!</v>
      </c>
      <c r="C6035" s="29" t="e">
        <f t="shared" si="94"/>
        <v>#VALUE!</v>
      </c>
      <c r="E6035" t="e">
        <f>cubic_spline(CURVA!$B$6:$B$20,CURVA!$G$6:$G$20,#REF!)</f>
        <v>#VALUE!</v>
      </c>
    </row>
    <row r="6036" spans="1:5" x14ac:dyDescent="0.2">
      <c r="A6036" s="28">
        <v>6035</v>
      </c>
      <c r="B6036" s="28" t="e">
        <f>interpola(#REF!,CURVA!$B$6:$B$20,CURVA!$G$6:$G$20)</f>
        <v>#VALUE!</v>
      </c>
      <c r="C6036" s="29" t="e">
        <f t="shared" si="94"/>
        <v>#VALUE!</v>
      </c>
      <c r="E6036" t="e">
        <f>cubic_spline(CURVA!$B$6:$B$20,CURVA!$G$6:$G$20,#REF!)</f>
        <v>#VALUE!</v>
      </c>
    </row>
    <row r="6037" spans="1:5" x14ac:dyDescent="0.2">
      <c r="A6037" s="28">
        <v>6036</v>
      </c>
      <c r="B6037" s="28" t="e">
        <f>interpola(#REF!,CURVA!$B$6:$B$20,CURVA!$G$6:$G$20)</f>
        <v>#VALUE!</v>
      </c>
      <c r="C6037" s="29" t="e">
        <f t="shared" si="94"/>
        <v>#VALUE!</v>
      </c>
      <c r="E6037" t="e">
        <f>cubic_spline(CURVA!$B$6:$B$20,CURVA!$G$6:$G$20,#REF!)</f>
        <v>#VALUE!</v>
      </c>
    </row>
    <row r="6038" spans="1:5" x14ac:dyDescent="0.2">
      <c r="A6038" s="28">
        <v>6037</v>
      </c>
      <c r="B6038" s="28" t="e">
        <f>interpola(#REF!,CURVA!$B$6:$B$20,CURVA!$G$6:$G$20)</f>
        <v>#VALUE!</v>
      </c>
      <c r="C6038" s="29" t="e">
        <f t="shared" si="94"/>
        <v>#VALUE!</v>
      </c>
      <c r="E6038" t="e">
        <f>cubic_spline(CURVA!$B$6:$B$20,CURVA!$G$6:$G$20,#REF!)</f>
        <v>#VALUE!</v>
      </c>
    </row>
    <row r="6039" spans="1:5" x14ac:dyDescent="0.2">
      <c r="A6039" s="28">
        <v>6038</v>
      </c>
      <c r="B6039" s="28" t="e">
        <f>interpola(#REF!,CURVA!$B$6:$B$20,CURVA!$G$6:$G$20)</f>
        <v>#VALUE!</v>
      </c>
      <c r="C6039" s="29" t="e">
        <f t="shared" si="94"/>
        <v>#VALUE!</v>
      </c>
      <c r="E6039" t="e">
        <f>cubic_spline(CURVA!$B$6:$B$20,CURVA!$G$6:$G$20,#REF!)</f>
        <v>#VALUE!</v>
      </c>
    </row>
    <row r="6040" spans="1:5" x14ac:dyDescent="0.2">
      <c r="A6040" s="28">
        <v>6039</v>
      </c>
      <c r="B6040" s="28" t="e">
        <f>interpola(#REF!,CURVA!$B$6:$B$20,CURVA!$G$6:$G$20)</f>
        <v>#VALUE!</v>
      </c>
      <c r="C6040" s="29" t="e">
        <f t="shared" si="94"/>
        <v>#VALUE!</v>
      </c>
      <c r="E6040" t="e">
        <f>cubic_spline(CURVA!$B$6:$B$20,CURVA!$G$6:$G$20,#REF!)</f>
        <v>#VALUE!</v>
      </c>
    </row>
    <row r="6041" spans="1:5" x14ac:dyDescent="0.2">
      <c r="A6041" s="28">
        <v>6040</v>
      </c>
      <c r="B6041" s="28" t="e">
        <f>interpola(#REF!,CURVA!$B$6:$B$20,CURVA!$G$6:$G$20)</f>
        <v>#VALUE!</v>
      </c>
      <c r="C6041" s="29" t="e">
        <f t="shared" si="94"/>
        <v>#VALUE!</v>
      </c>
      <c r="E6041" t="e">
        <f>cubic_spline(CURVA!$B$6:$B$20,CURVA!$G$6:$G$20,#REF!)</f>
        <v>#VALUE!</v>
      </c>
    </row>
    <row r="6042" spans="1:5" x14ac:dyDescent="0.2">
      <c r="A6042" s="28">
        <v>6041</v>
      </c>
      <c r="B6042" s="28" t="e">
        <f>interpola(#REF!,CURVA!$B$6:$B$20,CURVA!$G$6:$G$20)</f>
        <v>#VALUE!</v>
      </c>
      <c r="C6042" s="29" t="e">
        <f t="shared" si="94"/>
        <v>#VALUE!</v>
      </c>
      <c r="E6042" t="e">
        <f>cubic_spline(CURVA!$B$6:$B$20,CURVA!$G$6:$G$20,#REF!)</f>
        <v>#VALUE!</v>
      </c>
    </row>
    <row r="6043" spans="1:5" x14ac:dyDescent="0.2">
      <c r="A6043" s="28">
        <v>6042</v>
      </c>
      <c r="B6043" s="28" t="e">
        <f>interpola(#REF!,CURVA!$B$6:$B$20,CURVA!$G$6:$G$20)</f>
        <v>#VALUE!</v>
      </c>
      <c r="C6043" s="29" t="e">
        <f t="shared" si="94"/>
        <v>#VALUE!</v>
      </c>
      <c r="E6043" t="e">
        <f>cubic_spline(CURVA!$B$6:$B$20,CURVA!$G$6:$G$20,#REF!)</f>
        <v>#VALUE!</v>
      </c>
    </row>
    <row r="6044" spans="1:5" x14ac:dyDescent="0.2">
      <c r="A6044" s="28">
        <v>6043</v>
      </c>
      <c r="B6044" s="28" t="e">
        <f>interpola(#REF!,CURVA!$B$6:$B$20,CURVA!$G$6:$G$20)</f>
        <v>#VALUE!</v>
      </c>
      <c r="C6044" s="29" t="e">
        <f t="shared" si="94"/>
        <v>#VALUE!</v>
      </c>
      <c r="E6044" t="e">
        <f>cubic_spline(CURVA!$B$6:$B$20,CURVA!$G$6:$G$20,#REF!)</f>
        <v>#VALUE!</v>
      </c>
    </row>
    <row r="6045" spans="1:5" x14ac:dyDescent="0.2">
      <c r="A6045" s="28">
        <v>6044</v>
      </c>
      <c r="B6045" s="28" t="e">
        <f>interpola(#REF!,CURVA!$B$6:$B$20,CURVA!$G$6:$G$20)</f>
        <v>#VALUE!</v>
      </c>
      <c r="C6045" s="29" t="e">
        <f t="shared" si="94"/>
        <v>#VALUE!</v>
      </c>
      <c r="E6045" t="e">
        <f>cubic_spline(CURVA!$B$6:$B$20,CURVA!$G$6:$G$20,#REF!)</f>
        <v>#VALUE!</v>
      </c>
    </row>
    <row r="6046" spans="1:5" x14ac:dyDescent="0.2">
      <c r="A6046" s="28">
        <v>6045</v>
      </c>
      <c r="B6046" s="28" t="e">
        <f>interpola(#REF!,CURVA!$B$6:$B$20,CURVA!$G$6:$G$20)</f>
        <v>#VALUE!</v>
      </c>
      <c r="C6046" s="29" t="e">
        <f t="shared" si="94"/>
        <v>#VALUE!</v>
      </c>
      <c r="E6046" t="e">
        <f>cubic_spline(CURVA!$B$6:$B$20,CURVA!$G$6:$G$20,#REF!)</f>
        <v>#VALUE!</v>
      </c>
    </row>
    <row r="6047" spans="1:5" x14ac:dyDescent="0.2">
      <c r="A6047" s="28">
        <v>6046</v>
      </c>
      <c r="B6047" s="28" t="e">
        <f>interpola(#REF!,CURVA!$B$6:$B$20,CURVA!$G$6:$G$20)</f>
        <v>#VALUE!</v>
      </c>
      <c r="C6047" s="29" t="e">
        <f t="shared" si="94"/>
        <v>#VALUE!</v>
      </c>
      <c r="E6047" t="e">
        <f>cubic_spline(CURVA!$B$6:$B$20,CURVA!$G$6:$G$20,#REF!)</f>
        <v>#VALUE!</v>
      </c>
    </row>
    <row r="6048" spans="1:5" x14ac:dyDescent="0.2">
      <c r="A6048" s="28">
        <v>6047</v>
      </c>
      <c r="B6048" s="28" t="e">
        <f>interpola(#REF!,CURVA!$B$6:$B$20,CURVA!$G$6:$G$20)</f>
        <v>#VALUE!</v>
      </c>
      <c r="C6048" s="29" t="e">
        <f t="shared" si="94"/>
        <v>#VALUE!</v>
      </c>
      <c r="E6048" t="e">
        <f>cubic_spline(CURVA!$B$6:$B$20,CURVA!$G$6:$G$20,#REF!)</f>
        <v>#VALUE!</v>
      </c>
    </row>
    <row r="6049" spans="1:5" x14ac:dyDescent="0.2">
      <c r="A6049" s="28">
        <v>6048</v>
      </c>
      <c r="B6049" s="28" t="e">
        <f>interpola(#REF!,CURVA!$B$6:$B$20,CURVA!$G$6:$G$20)</f>
        <v>#VALUE!</v>
      </c>
      <c r="C6049" s="29" t="e">
        <f t="shared" si="94"/>
        <v>#VALUE!</v>
      </c>
      <c r="E6049" t="e">
        <f>cubic_spline(CURVA!$B$6:$B$20,CURVA!$G$6:$G$20,#REF!)</f>
        <v>#VALUE!</v>
      </c>
    </row>
    <row r="6050" spans="1:5" x14ac:dyDescent="0.2">
      <c r="A6050" s="28">
        <v>6049</v>
      </c>
      <c r="B6050" s="28" t="e">
        <f>interpola(#REF!,CURVA!$B$6:$B$20,CURVA!$G$6:$G$20)</f>
        <v>#VALUE!</v>
      </c>
      <c r="C6050" s="29" t="e">
        <f t="shared" si="94"/>
        <v>#VALUE!</v>
      </c>
      <c r="E6050" t="e">
        <f>cubic_spline(CURVA!$B$6:$B$20,CURVA!$G$6:$G$20,#REF!)</f>
        <v>#VALUE!</v>
      </c>
    </row>
    <row r="6051" spans="1:5" x14ac:dyDescent="0.2">
      <c r="A6051" s="28">
        <v>6050</v>
      </c>
      <c r="B6051" s="28" t="e">
        <f>interpola(#REF!,CURVA!$B$6:$B$20,CURVA!$G$6:$G$20)</f>
        <v>#VALUE!</v>
      </c>
      <c r="C6051" s="29" t="e">
        <f t="shared" si="94"/>
        <v>#VALUE!</v>
      </c>
      <c r="E6051" t="e">
        <f>cubic_spline(CURVA!$B$6:$B$20,CURVA!$G$6:$G$20,#REF!)</f>
        <v>#VALUE!</v>
      </c>
    </row>
    <row r="6052" spans="1:5" x14ac:dyDescent="0.2">
      <c r="A6052" s="28">
        <v>6051</v>
      </c>
      <c r="B6052" s="28" t="e">
        <f>interpola(#REF!,CURVA!$B$6:$B$20,CURVA!$G$6:$G$20)</f>
        <v>#VALUE!</v>
      </c>
      <c r="C6052" s="29" t="e">
        <f t="shared" si="94"/>
        <v>#VALUE!</v>
      </c>
      <c r="E6052" t="e">
        <f>cubic_spline(CURVA!$B$6:$B$20,CURVA!$G$6:$G$20,#REF!)</f>
        <v>#VALUE!</v>
      </c>
    </row>
    <row r="6053" spans="1:5" x14ac:dyDescent="0.2">
      <c r="A6053" s="28">
        <v>6052</v>
      </c>
      <c r="B6053" s="28" t="e">
        <f>interpola(#REF!,CURVA!$B$6:$B$20,CURVA!$G$6:$G$20)</f>
        <v>#VALUE!</v>
      </c>
      <c r="C6053" s="29" t="e">
        <f t="shared" si="94"/>
        <v>#VALUE!</v>
      </c>
      <c r="E6053" t="e">
        <f>cubic_spline(CURVA!$B$6:$B$20,CURVA!$G$6:$G$20,#REF!)</f>
        <v>#VALUE!</v>
      </c>
    </row>
    <row r="6054" spans="1:5" x14ac:dyDescent="0.2">
      <c r="A6054" s="28">
        <v>6053</v>
      </c>
      <c r="B6054" s="28" t="e">
        <f>interpola(#REF!,CURVA!$B$6:$B$20,CURVA!$G$6:$G$20)</f>
        <v>#VALUE!</v>
      </c>
      <c r="C6054" s="29" t="e">
        <f t="shared" si="94"/>
        <v>#VALUE!</v>
      </c>
      <c r="E6054" t="e">
        <f>cubic_spline(CURVA!$B$6:$B$20,CURVA!$G$6:$G$20,#REF!)</f>
        <v>#VALUE!</v>
      </c>
    </row>
    <row r="6055" spans="1:5" x14ac:dyDescent="0.2">
      <c r="A6055" s="28">
        <v>6054</v>
      </c>
      <c r="B6055" s="28" t="e">
        <f>interpola(#REF!,CURVA!$B$6:$B$20,CURVA!$G$6:$G$20)</f>
        <v>#VALUE!</v>
      </c>
      <c r="C6055" s="29" t="e">
        <f t="shared" si="94"/>
        <v>#VALUE!</v>
      </c>
      <c r="E6055" t="e">
        <f>cubic_spline(CURVA!$B$6:$B$20,CURVA!$G$6:$G$20,#REF!)</f>
        <v>#VALUE!</v>
      </c>
    </row>
    <row r="6056" spans="1:5" x14ac:dyDescent="0.2">
      <c r="A6056" s="28">
        <v>6055</v>
      </c>
      <c r="B6056" s="28" t="e">
        <f>interpola(#REF!,CURVA!$B$6:$B$20,CURVA!$G$6:$G$20)</f>
        <v>#VALUE!</v>
      </c>
      <c r="C6056" s="29" t="e">
        <f t="shared" si="94"/>
        <v>#VALUE!</v>
      </c>
      <c r="E6056" t="e">
        <f>cubic_spline(CURVA!$B$6:$B$20,CURVA!$G$6:$G$20,#REF!)</f>
        <v>#VALUE!</v>
      </c>
    </row>
    <row r="6057" spans="1:5" x14ac:dyDescent="0.2">
      <c r="A6057" s="28">
        <v>6056</v>
      </c>
      <c r="B6057" s="28" t="e">
        <f>interpola(#REF!,CURVA!$B$6:$B$20,CURVA!$G$6:$G$20)</f>
        <v>#VALUE!</v>
      </c>
      <c r="C6057" s="29" t="e">
        <f t="shared" si="94"/>
        <v>#VALUE!</v>
      </c>
      <c r="E6057" t="e">
        <f>cubic_spline(CURVA!$B$6:$B$20,CURVA!$G$6:$G$20,#REF!)</f>
        <v>#VALUE!</v>
      </c>
    </row>
    <row r="6058" spans="1:5" x14ac:dyDescent="0.2">
      <c r="A6058" s="28">
        <v>6057</v>
      </c>
      <c r="B6058" s="28" t="e">
        <f>interpola(#REF!,CURVA!$B$6:$B$20,CURVA!$G$6:$G$20)</f>
        <v>#VALUE!</v>
      </c>
      <c r="C6058" s="29" t="e">
        <f t="shared" si="94"/>
        <v>#VALUE!</v>
      </c>
      <c r="E6058" t="e">
        <f>cubic_spline(CURVA!$B$6:$B$20,CURVA!$G$6:$G$20,#REF!)</f>
        <v>#VALUE!</v>
      </c>
    </row>
    <row r="6059" spans="1:5" x14ac:dyDescent="0.2">
      <c r="A6059" s="28">
        <v>6058</v>
      </c>
      <c r="B6059" s="28" t="e">
        <f>interpola(#REF!,CURVA!$B$6:$B$20,CURVA!$G$6:$G$20)</f>
        <v>#VALUE!</v>
      </c>
      <c r="C6059" s="29" t="e">
        <f t="shared" si="94"/>
        <v>#VALUE!</v>
      </c>
      <c r="E6059" t="e">
        <f>cubic_spline(CURVA!$B$6:$B$20,CURVA!$G$6:$G$20,#REF!)</f>
        <v>#VALUE!</v>
      </c>
    </row>
    <row r="6060" spans="1:5" x14ac:dyDescent="0.2">
      <c r="A6060" s="28">
        <v>6059</v>
      </c>
      <c r="B6060" s="28" t="e">
        <f>interpola(#REF!,CURVA!$B$6:$B$20,CURVA!$G$6:$G$20)</f>
        <v>#VALUE!</v>
      </c>
      <c r="C6060" s="29" t="e">
        <f t="shared" si="94"/>
        <v>#VALUE!</v>
      </c>
      <c r="E6060" t="e">
        <f>cubic_spline(CURVA!$B$6:$B$20,CURVA!$G$6:$G$20,#REF!)</f>
        <v>#VALUE!</v>
      </c>
    </row>
    <row r="6061" spans="1:5" x14ac:dyDescent="0.2">
      <c r="A6061" s="28">
        <v>6060</v>
      </c>
      <c r="B6061" s="28" t="e">
        <f>interpola(#REF!,CURVA!$B$6:$B$20,CURVA!$G$6:$G$20)</f>
        <v>#VALUE!</v>
      </c>
      <c r="C6061" s="29" t="e">
        <f t="shared" si="94"/>
        <v>#VALUE!</v>
      </c>
      <c r="E6061" t="e">
        <f>cubic_spline(CURVA!$B$6:$B$20,CURVA!$G$6:$G$20,#REF!)</f>
        <v>#VALUE!</v>
      </c>
    </row>
    <row r="6062" spans="1:5" x14ac:dyDescent="0.2">
      <c r="A6062" s="28">
        <v>6061</v>
      </c>
      <c r="B6062" s="28" t="e">
        <f>interpola(#REF!,CURVA!$B$6:$B$20,CURVA!$G$6:$G$20)</f>
        <v>#VALUE!</v>
      </c>
      <c r="C6062" s="29" t="e">
        <f t="shared" si="94"/>
        <v>#VALUE!</v>
      </c>
      <c r="E6062" t="e">
        <f>cubic_spline(CURVA!$B$6:$B$20,CURVA!$G$6:$G$20,#REF!)</f>
        <v>#VALUE!</v>
      </c>
    </row>
    <row r="6063" spans="1:5" x14ac:dyDescent="0.2">
      <c r="A6063" s="28">
        <v>6062</v>
      </c>
      <c r="B6063" s="28" t="e">
        <f>interpola(#REF!,CURVA!$B$6:$B$20,CURVA!$G$6:$G$20)</f>
        <v>#VALUE!</v>
      </c>
      <c r="C6063" s="29" t="e">
        <f t="shared" si="94"/>
        <v>#VALUE!</v>
      </c>
      <c r="E6063" t="e">
        <f>cubic_spline(CURVA!$B$6:$B$20,CURVA!$G$6:$G$20,#REF!)</f>
        <v>#VALUE!</v>
      </c>
    </row>
    <row r="6064" spans="1:5" x14ac:dyDescent="0.2">
      <c r="A6064" s="28">
        <v>6063</v>
      </c>
      <c r="B6064" s="28" t="e">
        <f>interpola(#REF!,CURVA!$B$6:$B$20,CURVA!$G$6:$G$20)</f>
        <v>#VALUE!</v>
      </c>
      <c r="C6064" s="29" t="e">
        <f t="shared" si="94"/>
        <v>#VALUE!</v>
      </c>
      <c r="E6064" t="e">
        <f>cubic_spline(CURVA!$B$6:$B$20,CURVA!$G$6:$G$20,#REF!)</f>
        <v>#VALUE!</v>
      </c>
    </row>
    <row r="6065" spans="1:5" x14ac:dyDescent="0.2">
      <c r="A6065" s="28">
        <v>6064</v>
      </c>
      <c r="B6065" s="28" t="e">
        <f>interpola(#REF!,CURVA!$B$6:$B$20,CURVA!$G$6:$G$20)</f>
        <v>#VALUE!</v>
      </c>
      <c r="C6065" s="29" t="e">
        <f t="shared" si="94"/>
        <v>#VALUE!</v>
      </c>
      <c r="E6065" t="e">
        <f>cubic_spline(CURVA!$B$6:$B$20,CURVA!$G$6:$G$20,#REF!)</f>
        <v>#VALUE!</v>
      </c>
    </row>
    <row r="6066" spans="1:5" x14ac:dyDescent="0.2">
      <c r="A6066" s="28">
        <v>6065</v>
      </c>
      <c r="B6066" s="28" t="e">
        <f>interpola(#REF!,CURVA!$B$6:$B$20,CURVA!$G$6:$G$20)</f>
        <v>#VALUE!</v>
      </c>
      <c r="C6066" s="29" t="e">
        <f t="shared" si="94"/>
        <v>#VALUE!</v>
      </c>
      <c r="E6066" t="e">
        <f>cubic_spline(CURVA!$B$6:$B$20,CURVA!$G$6:$G$20,#REF!)</f>
        <v>#VALUE!</v>
      </c>
    </row>
    <row r="6067" spans="1:5" x14ac:dyDescent="0.2">
      <c r="A6067" s="28">
        <v>6066</v>
      </c>
      <c r="B6067" s="28" t="e">
        <f>interpola(#REF!,CURVA!$B$6:$B$20,CURVA!$G$6:$G$20)</f>
        <v>#VALUE!</v>
      </c>
      <c r="C6067" s="29" t="e">
        <f t="shared" si="94"/>
        <v>#VALUE!</v>
      </c>
      <c r="E6067" t="e">
        <f>cubic_spline(CURVA!$B$6:$B$20,CURVA!$G$6:$G$20,#REF!)</f>
        <v>#VALUE!</v>
      </c>
    </row>
    <row r="6068" spans="1:5" x14ac:dyDescent="0.2">
      <c r="A6068" s="28">
        <v>6067</v>
      </c>
      <c r="B6068" s="28" t="e">
        <f>interpola(#REF!,CURVA!$B$6:$B$20,CURVA!$G$6:$G$20)</f>
        <v>#VALUE!</v>
      </c>
      <c r="C6068" s="29" t="e">
        <f t="shared" si="94"/>
        <v>#VALUE!</v>
      </c>
      <c r="E6068" t="e">
        <f>cubic_spline(CURVA!$B$6:$B$20,CURVA!$G$6:$G$20,#REF!)</f>
        <v>#VALUE!</v>
      </c>
    </row>
    <row r="6069" spans="1:5" x14ac:dyDescent="0.2">
      <c r="A6069" s="28">
        <v>6068</v>
      </c>
      <c r="B6069" s="28" t="e">
        <f>interpola(#REF!,CURVA!$B$6:$B$20,CURVA!$G$6:$G$20)</f>
        <v>#VALUE!</v>
      </c>
      <c r="C6069" s="29" t="e">
        <f t="shared" si="94"/>
        <v>#VALUE!</v>
      </c>
      <c r="E6069" t="e">
        <f>cubic_spline(CURVA!$B$6:$B$20,CURVA!$G$6:$G$20,#REF!)</f>
        <v>#VALUE!</v>
      </c>
    </row>
    <row r="6070" spans="1:5" x14ac:dyDescent="0.2">
      <c r="A6070" s="28">
        <v>6069</v>
      </c>
      <c r="B6070" s="28" t="e">
        <f>interpola(#REF!,CURVA!$B$6:$B$20,CURVA!$G$6:$G$20)</f>
        <v>#VALUE!</v>
      </c>
      <c r="C6070" s="29" t="e">
        <f t="shared" si="94"/>
        <v>#VALUE!</v>
      </c>
      <c r="E6070" t="e">
        <f>cubic_spline(CURVA!$B$6:$B$20,CURVA!$G$6:$G$20,#REF!)</f>
        <v>#VALUE!</v>
      </c>
    </row>
    <row r="6071" spans="1:5" x14ac:dyDescent="0.2">
      <c r="A6071" s="28">
        <v>6070</v>
      </c>
      <c r="B6071" s="28" t="e">
        <f>interpola(#REF!,CURVA!$B$6:$B$20,CURVA!$G$6:$G$20)</f>
        <v>#VALUE!</v>
      </c>
      <c r="C6071" s="29" t="e">
        <f t="shared" si="94"/>
        <v>#VALUE!</v>
      </c>
      <c r="E6071" t="e">
        <f>cubic_spline(CURVA!$B$6:$B$20,CURVA!$G$6:$G$20,#REF!)</f>
        <v>#VALUE!</v>
      </c>
    </row>
    <row r="6072" spans="1:5" x14ac:dyDescent="0.2">
      <c r="A6072" s="28">
        <v>6071</v>
      </c>
      <c r="B6072" s="28" t="e">
        <f>interpola(#REF!,CURVA!$B$6:$B$20,CURVA!$G$6:$G$20)</f>
        <v>#VALUE!</v>
      </c>
      <c r="C6072" s="29" t="e">
        <f t="shared" si="94"/>
        <v>#VALUE!</v>
      </c>
      <c r="E6072" t="e">
        <f>cubic_spline(CURVA!$B$6:$B$20,CURVA!$G$6:$G$20,#REF!)</f>
        <v>#VALUE!</v>
      </c>
    </row>
    <row r="6073" spans="1:5" x14ac:dyDescent="0.2">
      <c r="A6073" s="28">
        <v>6072</v>
      </c>
      <c r="B6073" s="28" t="e">
        <f>interpola(#REF!,CURVA!$B$6:$B$20,CURVA!$G$6:$G$20)</f>
        <v>#VALUE!</v>
      </c>
      <c r="C6073" s="29" t="e">
        <f t="shared" si="94"/>
        <v>#VALUE!</v>
      </c>
      <c r="E6073" t="e">
        <f>cubic_spline(CURVA!$B$6:$B$20,CURVA!$G$6:$G$20,#REF!)</f>
        <v>#VALUE!</v>
      </c>
    </row>
    <row r="6074" spans="1:5" x14ac:dyDescent="0.2">
      <c r="A6074" s="28">
        <v>6073</v>
      </c>
      <c r="B6074" s="28" t="e">
        <f>interpola(#REF!,CURVA!$B$6:$B$20,CURVA!$G$6:$G$20)</f>
        <v>#VALUE!</v>
      </c>
      <c r="C6074" s="29" t="e">
        <f t="shared" si="94"/>
        <v>#VALUE!</v>
      </c>
      <c r="E6074" t="e">
        <f>cubic_spline(CURVA!$B$6:$B$20,CURVA!$G$6:$G$20,#REF!)</f>
        <v>#VALUE!</v>
      </c>
    </row>
    <row r="6075" spans="1:5" x14ac:dyDescent="0.2">
      <c r="A6075" s="28">
        <v>6074</v>
      </c>
      <c r="B6075" s="28" t="e">
        <f>interpola(#REF!,CURVA!$B$6:$B$20,CURVA!$G$6:$G$20)</f>
        <v>#VALUE!</v>
      </c>
      <c r="C6075" s="29" t="e">
        <f t="shared" si="94"/>
        <v>#VALUE!</v>
      </c>
      <c r="E6075" t="e">
        <f>cubic_spline(CURVA!$B$6:$B$20,CURVA!$G$6:$G$20,#REF!)</f>
        <v>#VALUE!</v>
      </c>
    </row>
    <row r="6076" spans="1:5" x14ac:dyDescent="0.2">
      <c r="A6076" s="28">
        <v>6075</v>
      </c>
      <c r="B6076" s="28" t="e">
        <f>interpola(#REF!,CURVA!$B$6:$B$20,CURVA!$G$6:$G$20)</f>
        <v>#VALUE!</v>
      </c>
      <c r="C6076" s="29" t="e">
        <f t="shared" si="94"/>
        <v>#VALUE!</v>
      </c>
      <c r="E6076" t="e">
        <f>cubic_spline(CURVA!$B$6:$B$20,CURVA!$G$6:$G$20,#REF!)</f>
        <v>#VALUE!</v>
      </c>
    </row>
    <row r="6077" spans="1:5" x14ac:dyDescent="0.2">
      <c r="A6077" s="28">
        <v>6076</v>
      </c>
      <c r="B6077" s="28" t="e">
        <f>interpola(#REF!,CURVA!$B$6:$B$20,CURVA!$G$6:$G$20)</f>
        <v>#VALUE!</v>
      </c>
      <c r="C6077" s="29" t="e">
        <f t="shared" si="94"/>
        <v>#VALUE!</v>
      </c>
      <c r="E6077" t="e">
        <f>cubic_spline(CURVA!$B$6:$B$20,CURVA!$G$6:$G$20,#REF!)</f>
        <v>#VALUE!</v>
      </c>
    </row>
    <row r="6078" spans="1:5" x14ac:dyDescent="0.2">
      <c r="A6078" s="28">
        <v>6077</v>
      </c>
      <c r="B6078" s="28" t="e">
        <f>interpola(#REF!,CURVA!$B$6:$B$20,CURVA!$G$6:$G$20)</f>
        <v>#VALUE!</v>
      </c>
      <c r="C6078" s="29" t="e">
        <f t="shared" si="94"/>
        <v>#VALUE!</v>
      </c>
      <c r="E6078" t="e">
        <f>cubic_spline(CURVA!$B$6:$B$20,CURVA!$G$6:$G$20,#REF!)</f>
        <v>#VALUE!</v>
      </c>
    </row>
    <row r="6079" spans="1:5" x14ac:dyDescent="0.2">
      <c r="A6079" s="28">
        <v>6078</v>
      </c>
      <c r="B6079" s="28" t="e">
        <f>interpola(#REF!,CURVA!$B$6:$B$20,CURVA!$G$6:$G$20)</f>
        <v>#VALUE!</v>
      </c>
      <c r="C6079" s="29" t="e">
        <f t="shared" si="94"/>
        <v>#VALUE!</v>
      </c>
      <c r="E6079" t="e">
        <f>cubic_spline(CURVA!$B$6:$B$20,CURVA!$G$6:$G$20,#REF!)</f>
        <v>#VALUE!</v>
      </c>
    </row>
    <row r="6080" spans="1:5" x14ac:dyDescent="0.2">
      <c r="A6080" s="28">
        <v>6079</v>
      </c>
      <c r="B6080" s="28" t="e">
        <f>interpola(#REF!,CURVA!$B$6:$B$20,CURVA!$G$6:$G$20)</f>
        <v>#VALUE!</v>
      </c>
      <c r="C6080" s="29" t="e">
        <f t="shared" si="94"/>
        <v>#VALUE!</v>
      </c>
      <c r="E6080" t="e">
        <f>cubic_spline(CURVA!$B$6:$B$20,CURVA!$G$6:$G$20,#REF!)</f>
        <v>#VALUE!</v>
      </c>
    </row>
    <row r="6081" spans="1:5" x14ac:dyDescent="0.2">
      <c r="A6081" s="28">
        <v>6080</v>
      </c>
      <c r="B6081" s="28" t="e">
        <f>interpola(#REF!,CURVA!$B$6:$B$20,CURVA!$G$6:$G$20)</f>
        <v>#VALUE!</v>
      </c>
      <c r="C6081" s="29" t="e">
        <f t="shared" si="94"/>
        <v>#VALUE!</v>
      </c>
      <c r="E6081" t="e">
        <f>cubic_spline(CURVA!$B$6:$B$20,CURVA!$G$6:$G$20,#REF!)</f>
        <v>#VALUE!</v>
      </c>
    </row>
    <row r="6082" spans="1:5" x14ac:dyDescent="0.2">
      <c r="A6082" s="28">
        <v>6081</v>
      </c>
      <c r="B6082" s="28" t="e">
        <f>interpola(#REF!,CURVA!$B$6:$B$20,CURVA!$G$6:$G$20)</f>
        <v>#VALUE!</v>
      </c>
      <c r="C6082" s="29" t="e">
        <f t="shared" ref="C6082:C6145" si="95">(EXP(B6082*A6082/360)-1)*360/A6082</f>
        <v>#VALUE!</v>
      </c>
      <c r="E6082" t="e">
        <f>cubic_spline(CURVA!$B$6:$B$20,CURVA!$G$6:$G$20,#REF!)</f>
        <v>#VALUE!</v>
      </c>
    </row>
    <row r="6083" spans="1:5" x14ac:dyDescent="0.2">
      <c r="A6083" s="28">
        <v>6082</v>
      </c>
      <c r="B6083" s="28" t="e">
        <f>interpola(#REF!,CURVA!$B$6:$B$20,CURVA!$G$6:$G$20)</f>
        <v>#VALUE!</v>
      </c>
      <c r="C6083" s="29" t="e">
        <f t="shared" si="95"/>
        <v>#VALUE!</v>
      </c>
      <c r="E6083" t="e">
        <f>cubic_spline(CURVA!$B$6:$B$20,CURVA!$G$6:$G$20,#REF!)</f>
        <v>#VALUE!</v>
      </c>
    </row>
    <row r="6084" spans="1:5" x14ac:dyDescent="0.2">
      <c r="A6084" s="28">
        <v>6083</v>
      </c>
      <c r="B6084" s="28" t="e">
        <f>interpola(#REF!,CURVA!$B$6:$B$20,CURVA!$G$6:$G$20)</f>
        <v>#VALUE!</v>
      </c>
      <c r="C6084" s="29" t="e">
        <f t="shared" si="95"/>
        <v>#VALUE!</v>
      </c>
      <c r="E6084" t="e">
        <f>cubic_spline(CURVA!$B$6:$B$20,CURVA!$G$6:$G$20,#REF!)</f>
        <v>#VALUE!</v>
      </c>
    </row>
    <row r="6085" spans="1:5" x14ac:dyDescent="0.2">
      <c r="A6085" s="28">
        <v>6084</v>
      </c>
      <c r="B6085" s="28" t="e">
        <f>interpola(#REF!,CURVA!$B$6:$B$20,CURVA!$G$6:$G$20)</f>
        <v>#VALUE!</v>
      </c>
      <c r="C6085" s="29" t="e">
        <f t="shared" si="95"/>
        <v>#VALUE!</v>
      </c>
      <c r="E6085" t="e">
        <f>cubic_spline(CURVA!$B$6:$B$20,CURVA!$G$6:$G$20,#REF!)</f>
        <v>#VALUE!</v>
      </c>
    </row>
    <row r="6086" spans="1:5" x14ac:dyDescent="0.2">
      <c r="A6086" s="28">
        <v>6085</v>
      </c>
      <c r="B6086" s="28" t="e">
        <f>interpola(#REF!,CURVA!$B$6:$B$20,CURVA!$G$6:$G$20)</f>
        <v>#VALUE!</v>
      </c>
      <c r="C6086" s="29" t="e">
        <f t="shared" si="95"/>
        <v>#VALUE!</v>
      </c>
      <c r="E6086" t="e">
        <f>cubic_spline(CURVA!$B$6:$B$20,CURVA!$G$6:$G$20,#REF!)</f>
        <v>#VALUE!</v>
      </c>
    </row>
    <row r="6087" spans="1:5" x14ac:dyDescent="0.2">
      <c r="A6087" s="28">
        <v>6086</v>
      </c>
      <c r="B6087" s="28" t="e">
        <f>interpola(#REF!,CURVA!$B$6:$B$20,CURVA!$G$6:$G$20)</f>
        <v>#VALUE!</v>
      </c>
      <c r="C6087" s="29" t="e">
        <f t="shared" si="95"/>
        <v>#VALUE!</v>
      </c>
      <c r="E6087" t="e">
        <f>cubic_spline(CURVA!$B$6:$B$20,CURVA!$G$6:$G$20,#REF!)</f>
        <v>#VALUE!</v>
      </c>
    </row>
    <row r="6088" spans="1:5" x14ac:dyDescent="0.2">
      <c r="A6088" s="28">
        <v>6087</v>
      </c>
      <c r="B6088" s="28" t="e">
        <f>interpola(#REF!,CURVA!$B$6:$B$20,CURVA!$G$6:$G$20)</f>
        <v>#VALUE!</v>
      </c>
      <c r="C6088" s="29" t="e">
        <f t="shared" si="95"/>
        <v>#VALUE!</v>
      </c>
      <c r="E6088" t="e">
        <f>cubic_spline(CURVA!$B$6:$B$20,CURVA!$G$6:$G$20,#REF!)</f>
        <v>#VALUE!</v>
      </c>
    </row>
    <row r="6089" spans="1:5" x14ac:dyDescent="0.2">
      <c r="A6089" s="28">
        <v>6088</v>
      </c>
      <c r="B6089" s="28" t="e">
        <f>interpola(#REF!,CURVA!$B$6:$B$20,CURVA!$G$6:$G$20)</f>
        <v>#VALUE!</v>
      </c>
      <c r="C6089" s="29" t="e">
        <f t="shared" si="95"/>
        <v>#VALUE!</v>
      </c>
      <c r="E6089" t="e">
        <f>cubic_spline(CURVA!$B$6:$B$20,CURVA!$G$6:$G$20,#REF!)</f>
        <v>#VALUE!</v>
      </c>
    </row>
    <row r="6090" spans="1:5" x14ac:dyDescent="0.2">
      <c r="A6090" s="28">
        <v>6089</v>
      </c>
      <c r="B6090" s="28" t="e">
        <f>interpola(#REF!,CURVA!$B$6:$B$20,CURVA!$G$6:$G$20)</f>
        <v>#VALUE!</v>
      </c>
      <c r="C6090" s="29" t="e">
        <f t="shared" si="95"/>
        <v>#VALUE!</v>
      </c>
      <c r="E6090" t="e">
        <f>cubic_spline(CURVA!$B$6:$B$20,CURVA!$G$6:$G$20,#REF!)</f>
        <v>#VALUE!</v>
      </c>
    </row>
    <row r="6091" spans="1:5" x14ac:dyDescent="0.2">
      <c r="A6091" s="28">
        <v>6090</v>
      </c>
      <c r="B6091" s="28" t="e">
        <f>interpola(#REF!,CURVA!$B$6:$B$20,CURVA!$G$6:$G$20)</f>
        <v>#VALUE!</v>
      </c>
      <c r="C6091" s="29" t="e">
        <f t="shared" si="95"/>
        <v>#VALUE!</v>
      </c>
      <c r="E6091" t="e">
        <f>cubic_spline(CURVA!$B$6:$B$20,CURVA!$G$6:$G$20,#REF!)</f>
        <v>#VALUE!</v>
      </c>
    </row>
    <row r="6092" spans="1:5" x14ac:dyDescent="0.2">
      <c r="A6092" s="28">
        <v>6091</v>
      </c>
      <c r="B6092" s="28" t="e">
        <f>interpola(#REF!,CURVA!$B$6:$B$20,CURVA!$G$6:$G$20)</f>
        <v>#VALUE!</v>
      </c>
      <c r="C6092" s="29" t="e">
        <f t="shared" si="95"/>
        <v>#VALUE!</v>
      </c>
      <c r="E6092" t="e">
        <f>cubic_spline(CURVA!$B$6:$B$20,CURVA!$G$6:$G$20,#REF!)</f>
        <v>#VALUE!</v>
      </c>
    </row>
    <row r="6093" spans="1:5" x14ac:dyDescent="0.2">
      <c r="A6093" s="28">
        <v>6092</v>
      </c>
      <c r="B6093" s="28" t="e">
        <f>interpola(#REF!,CURVA!$B$6:$B$20,CURVA!$G$6:$G$20)</f>
        <v>#VALUE!</v>
      </c>
      <c r="C6093" s="29" t="e">
        <f t="shared" si="95"/>
        <v>#VALUE!</v>
      </c>
      <c r="E6093" t="e">
        <f>cubic_spline(CURVA!$B$6:$B$20,CURVA!$G$6:$G$20,#REF!)</f>
        <v>#VALUE!</v>
      </c>
    </row>
    <row r="6094" spans="1:5" x14ac:dyDescent="0.2">
      <c r="A6094" s="28">
        <v>6093</v>
      </c>
      <c r="B6094" s="28" t="e">
        <f>interpola(#REF!,CURVA!$B$6:$B$20,CURVA!$G$6:$G$20)</f>
        <v>#VALUE!</v>
      </c>
      <c r="C6094" s="29" t="e">
        <f t="shared" si="95"/>
        <v>#VALUE!</v>
      </c>
      <c r="E6094" t="e">
        <f>cubic_spline(CURVA!$B$6:$B$20,CURVA!$G$6:$G$20,#REF!)</f>
        <v>#VALUE!</v>
      </c>
    </row>
    <row r="6095" spans="1:5" x14ac:dyDescent="0.2">
      <c r="A6095" s="28">
        <v>6094</v>
      </c>
      <c r="B6095" s="28" t="e">
        <f>interpola(#REF!,CURVA!$B$6:$B$20,CURVA!$G$6:$G$20)</f>
        <v>#VALUE!</v>
      </c>
      <c r="C6095" s="29" t="e">
        <f t="shared" si="95"/>
        <v>#VALUE!</v>
      </c>
      <c r="E6095" t="e">
        <f>cubic_spline(CURVA!$B$6:$B$20,CURVA!$G$6:$G$20,#REF!)</f>
        <v>#VALUE!</v>
      </c>
    </row>
    <row r="6096" spans="1:5" x14ac:dyDescent="0.2">
      <c r="A6096" s="28">
        <v>6095</v>
      </c>
      <c r="B6096" s="28" t="e">
        <f>interpola(#REF!,CURVA!$B$6:$B$20,CURVA!$G$6:$G$20)</f>
        <v>#VALUE!</v>
      </c>
      <c r="C6096" s="29" t="e">
        <f t="shared" si="95"/>
        <v>#VALUE!</v>
      </c>
      <c r="E6096" t="e">
        <f>cubic_spline(CURVA!$B$6:$B$20,CURVA!$G$6:$G$20,#REF!)</f>
        <v>#VALUE!</v>
      </c>
    </row>
    <row r="6097" spans="1:5" x14ac:dyDescent="0.2">
      <c r="A6097" s="28">
        <v>6096</v>
      </c>
      <c r="B6097" s="28" t="e">
        <f>interpola(#REF!,CURVA!$B$6:$B$20,CURVA!$G$6:$G$20)</f>
        <v>#VALUE!</v>
      </c>
      <c r="C6097" s="29" t="e">
        <f t="shared" si="95"/>
        <v>#VALUE!</v>
      </c>
      <c r="E6097" t="e">
        <f>cubic_spline(CURVA!$B$6:$B$20,CURVA!$G$6:$G$20,#REF!)</f>
        <v>#VALUE!</v>
      </c>
    </row>
    <row r="6098" spans="1:5" x14ac:dyDescent="0.2">
      <c r="A6098" s="28">
        <v>6097</v>
      </c>
      <c r="B6098" s="28" t="e">
        <f>interpola(#REF!,CURVA!$B$6:$B$20,CURVA!$G$6:$G$20)</f>
        <v>#VALUE!</v>
      </c>
      <c r="C6098" s="29" t="e">
        <f t="shared" si="95"/>
        <v>#VALUE!</v>
      </c>
      <c r="E6098" t="e">
        <f>cubic_spline(CURVA!$B$6:$B$20,CURVA!$G$6:$G$20,#REF!)</f>
        <v>#VALUE!</v>
      </c>
    </row>
    <row r="6099" spans="1:5" x14ac:dyDescent="0.2">
      <c r="A6099" s="28">
        <v>6098</v>
      </c>
      <c r="B6099" s="28" t="e">
        <f>interpola(#REF!,CURVA!$B$6:$B$20,CURVA!$G$6:$G$20)</f>
        <v>#VALUE!</v>
      </c>
      <c r="C6099" s="29" t="e">
        <f t="shared" si="95"/>
        <v>#VALUE!</v>
      </c>
      <c r="E6099" t="e">
        <f>cubic_spline(CURVA!$B$6:$B$20,CURVA!$G$6:$G$20,#REF!)</f>
        <v>#VALUE!</v>
      </c>
    </row>
    <row r="6100" spans="1:5" x14ac:dyDescent="0.2">
      <c r="A6100" s="28">
        <v>6099</v>
      </c>
      <c r="B6100" s="28" t="e">
        <f>interpola(#REF!,CURVA!$B$6:$B$20,CURVA!$G$6:$G$20)</f>
        <v>#VALUE!</v>
      </c>
      <c r="C6100" s="29" t="e">
        <f t="shared" si="95"/>
        <v>#VALUE!</v>
      </c>
      <c r="E6100" t="e">
        <f>cubic_spline(CURVA!$B$6:$B$20,CURVA!$G$6:$G$20,#REF!)</f>
        <v>#VALUE!</v>
      </c>
    </row>
    <row r="6101" spans="1:5" x14ac:dyDescent="0.2">
      <c r="A6101" s="28">
        <v>6100</v>
      </c>
      <c r="B6101" s="28" t="e">
        <f>interpola(#REF!,CURVA!$B$6:$B$20,CURVA!$G$6:$G$20)</f>
        <v>#VALUE!</v>
      </c>
      <c r="C6101" s="29" t="e">
        <f t="shared" si="95"/>
        <v>#VALUE!</v>
      </c>
      <c r="E6101" t="e">
        <f>cubic_spline(CURVA!$B$6:$B$20,CURVA!$G$6:$G$20,#REF!)</f>
        <v>#VALUE!</v>
      </c>
    </row>
    <row r="6102" spans="1:5" x14ac:dyDescent="0.2">
      <c r="A6102" s="28">
        <v>6101</v>
      </c>
      <c r="B6102" s="28" t="e">
        <f>interpola(#REF!,CURVA!$B$6:$B$20,CURVA!$G$6:$G$20)</f>
        <v>#VALUE!</v>
      </c>
      <c r="C6102" s="29" t="e">
        <f t="shared" si="95"/>
        <v>#VALUE!</v>
      </c>
      <c r="E6102" t="e">
        <f>cubic_spline(CURVA!$B$6:$B$20,CURVA!$G$6:$G$20,#REF!)</f>
        <v>#VALUE!</v>
      </c>
    </row>
    <row r="6103" spans="1:5" x14ac:dyDescent="0.2">
      <c r="A6103" s="28">
        <v>6102</v>
      </c>
      <c r="B6103" s="28" t="e">
        <f>interpola(#REF!,CURVA!$B$6:$B$20,CURVA!$G$6:$G$20)</f>
        <v>#VALUE!</v>
      </c>
      <c r="C6103" s="29" t="e">
        <f t="shared" si="95"/>
        <v>#VALUE!</v>
      </c>
      <c r="E6103" t="e">
        <f>cubic_spline(CURVA!$B$6:$B$20,CURVA!$G$6:$G$20,#REF!)</f>
        <v>#VALUE!</v>
      </c>
    </row>
    <row r="6104" spans="1:5" x14ac:dyDescent="0.2">
      <c r="A6104" s="28">
        <v>6103</v>
      </c>
      <c r="B6104" s="28" t="e">
        <f>interpola(#REF!,CURVA!$B$6:$B$20,CURVA!$G$6:$G$20)</f>
        <v>#VALUE!</v>
      </c>
      <c r="C6104" s="29" t="e">
        <f t="shared" si="95"/>
        <v>#VALUE!</v>
      </c>
      <c r="E6104" t="e">
        <f>cubic_spline(CURVA!$B$6:$B$20,CURVA!$G$6:$G$20,#REF!)</f>
        <v>#VALUE!</v>
      </c>
    </row>
    <row r="6105" spans="1:5" x14ac:dyDescent="0.2">
      <c r="A6105" s="28">
        <v>6104</v>
      </c>
      <c r="B6105" s="28" t="e">
        <f>interpola(#REF!,CURVA!$B$6:$B$20,CURVA!$G$6:$G$20)</f>
        <v>#VALUE!</v>
      </c>
      <c r="C6105" s="29" t="e">
        <f t="shared" si="95"/>
        <v>#VALUE!</v>
      </c>
      <c r="E6105" t="e">
        <f>cubic_spline(CURVA!$B$6:$B$20,CURVA!$G$6:$G$20,#REF!)</f>
        <v>#VALUE!</v>
      </c>
    </row>
    <row r="6106" spans="1:5" x14ac:dyDescent="0.2">
      <c r="A6106" s="28">
        <v>6105</v>
      </c>
      <c r="B6106" s="28" t="e">
        <f>interpola(#REF!,CURVA!$B$6:$B$20,CURVA!$G$6:$G$20)</f>
        <v>#VALUE!</v>
      </c>
      <c r="C6106" s="29" t="e">
        <f t="shared" si="95"/>
        <v>#VALUE!</v>
      </c>
      <c r="E6106" t="e">
        <f>cubic_spline(CURVA!$B$6:$B$20,CURVA!$G$6:$G$20,#REF!)</f>
        <v>#VALUE!</v>
      </c>
    </row>
    <row r="6107" spans="1:5" x14ac:dyDescent="0.2">
      <c r="A6107" s="28">
        <v>6106</v>
      </c>
      <c r="B6107" s="28" t="e">
        <f>interpola(#REF!,CURVA!$B$6:$B$20,CURVA!$G$6:$G$20)</f>
        <v>#VALUE!</v>
      </c>
      <c r="C6107" s="29" t="e">
        <f t="shared" si="95"/>
        <v>#VALUE!</v>
      </c>
      <c r="E6107" t="e">
        <f>cubic_spline(CURVA!$B$6:$B$20,CURVA!$G$6:$G$20,#REF!)</f>
        <v>#VALUE!</v>
      </c>
    </row>
    <row r="6108" spans="1:5" x14ac:dyDescent="0.2">
      <c r="A6108" s="28">
        <v>6107</v>
      </c>
      <c r="B6108" s="28" t="e">
        <f>interpola(#REF!,CURVA!$B$6:$B$20,CURVA!$G$6:$G$20)</f>
        <v>#VALUE!</v>
      </c>
      <c r="C6108" s="29" t="e">
        <f t="shared" si="95"/>
        <v>#VALUE!</v>
      </c>
      <c r="E6108" t="e">
        <f>cubic_spline(CURVA!$B$6:$B$20,CURVA!$G$6:$G$20,#REF!)</f>
        <v>#VALUE!</v>
      </c>
    </row>
    <row r="6109" spans="1:5" x14ac:dyDescent="0.2">
      <c r="A6109" s="28">
        <v>6108</v>
      </c>
      <c r="B6109" s="28" t="e">
        <f>interpola(#REF!,CURVA!$B$6:$B$20,CURVA!$G$6:$G$20)</f>
        <v>#VALUE!</v>
      </c>
      <c r="C6109" s="29" t="e">
        <f t="shared" si="95"/>
        <v>#VALUE!</v>
      </c>
      <c r="E6109" t="e">
        <f>cubic_spline(CURVA!$B$6:$B$20,CURVA!$G$6:$G$20,#REF!)</f>
        <v>#VALUE!</v>
      </c>
    </row>
    <row r="6110" spans="1:5" x14ac:dyDescent="0.2">
      <c r="A6110" s="28">
        <v>6109</v>
      </c>
      <c r="B6110" s="28" t="e">
        <f>interpola(#REF!,CURVA!$B$6:$B$20,CURVA!$G$6:$G$20)</f>
        <v>#VALUE!</v>
      </c>
      <c r="C6110" s="29" t="e">
        <f t="shared" si="95"/>
        <v>#VALUE!</v>
      </c>
      <c r="E6110" t="e">
        <f>cubic_spline(CURVA!$B$6:$B$20,CURVA!$G$6:$G$20,#REF!)</f>
        <v>#VALUE!</v>
      </c>
    </row>
    <row r="6111" spans="1:5" x14ac:dyDescent="0.2">
      <c r="A6111" s="28">
        <v>6110</v>
      </c>
      <c r="B6111" s="28" t="e">
        <f>interpola(#REF!,CURVA!$B$6:$B$20,CURVA!$G$6:$G$20)</f>
        <v>#VALUE!</v>
      </c>
      <c r="C6111" s="29" t="e">
        <f t="shared" si="95"/>
        <v>#VALUE!</v>
      </c>
      <c r="E6111" t="e">
        <f>cubic_spline(CURVA!$B$6:$B$20,CURVA!$G$6:$G$20,#REF!)</f>
        <v>#VALUE!</v>
      </c>
    </row>
    <row r="6112" spans="1:5" x14ac:dyDescent="0.2">
      <c r="A6112" s="28">
        <v>6111</v>
      </c>
      <c r="B6112" s="28" t="e">
        <f>interpola(#REF!,CURVA!$B$6:$B$20,CURVA!$G$6:$G$20)</f>
        <v>#VALUE!</v>
      </c>
      <c r="C6112" s="29" t="e">
        <f t="shared" si="95"/>
        <v>#VALUE!</v>
      </c>
      <c r="E6112" t="e">
        <f>cubic_spline(CURVA!$B$6:$B$20,CURVA!$G$6:$G$20,#REF!)</f>
        <v>#VALUE!</v>
      </c>
    </row>
    <row r="6113" spans="1:5" x14ac:dyDescent="0.2">
      <c r="A6113" s="28">
        <v>6112</v>
      </c>
      <c r="B6113" s="28" t="e">
        <f>interpola(#REF!,CURVA!$B$6:$B$20,CURVA!$G$6:$G$20)</f>
        <v>#VALUE!</v>
      </c>
      <c r="C6113" s="29" t="e">
        <f t="shared" si="95"/>
        <v>#VALUE!</v>
      </c>
      <c r="E6113" t="e">
        <f>cubic_spline(CURVA!$B$6:$B$20,CURVA!$G$6:$G$20,#REF!)</f>
        <v>#VALUE!</v>
      </c>
    </row>
    <row r="6114" spans="1:5" x14ac:dyDescent="0.2">
      <c r="A6114" s="28">
        <v>6113</v>
      </c>
      <c r="B6114" s="28" t="e">
        <f>interpola(#REF!,CURVA!$B$6:$B$20,CURVA!$G$6:$G$20)</f>
        <v>#VALUE!</v>
      </c>
      <c r="C6114" s="29" t="e">
        <f t="shared" si="95"/>
        <v>#VALUE!</v>
      </c>
      <c r="E6114" t="e">
        <f>cubic_spline(CURVA!$B$6:$B$20,CURVA!$G$6:$G$20,#REF!)</f>
        <v>#VALUE!</v>
      </c>
    </row>
    <row r="6115" spans="1:5" x14ac:dyDescent="0.2">
      <c r="A6115" s="28">
        <v>6114</v>
      </c>
      <c r="B6115" s="28" t="e">
        <f>interpola(#REF!,CURVA!$B$6:$B$20,CURVA!$G$6:$G$20)</f>
        <v>#VALUE!</v>
      </c>
      <c r="C6115" s="29" t="e">
        <f t="shared" si="95"/>
        <v>#VALUE!</v>
      </c>
      <c r="E6115" t="e">
        <f>cubic_spline(CURVA!$B$6:$B$20,CURVA!$G$6:$G$20,#REF!)</f>
        <v>#VALUE!</v>
      </c>
    </row>
    <row r="6116" spans="1:5" x14ac:dyDescent="0.2">
      <c r="A6116" s="28">
        <v>6115</v>
      </c>
      <c r="B6116" s="28" t="e">
        <f>interpola(#REF!,CURVA!$B$6:$B$20,CURVA!$G$6:$G$20)</f>
        <v>#VALUE!</v>
      </c>
      <c r="C6116" s="29" t="e">
        <f t="shared" si="95"/>
        <v>#VALUE!</v>
      </c>
      <c r="E6116" t="e">
        <f>cubic_spline(CURVA!$B$6:$B$20,CURVA!$G$6:$G$20,#REF!)</f>
        <v>#VALUE!</v>
      </c>
    </row>
    <row r="6117" spans="1:5" x14ac:dyDescent="0.2">
      <c r="A6117" s="28">
        <v>6116</v>
      </c>
      <c r="B6117" s="28" t="e">
        <f>interpola(#REF!,CURVA!$B$6:$B$20,CURVA!$G$6:$G$20)</f>
        <v>#VALUE!</v>
      </c>
      <c r="C6117" s="29" t="e">
        <f t="shared" si="95"/>
        <v>#VALUE!</v>
      </c>
      <c r="E6117" t="e">
        <f>cubic_spline(CURVA!$B$6:$B$20,CURVA!$G$6:$G$20,#REF!)</f>
        <v>#VALUE!</v>
      </c>
    </row>
    <row r="6118" spans="1:5" x14ac:dyDescent="0.2">
      <c r="A6118" s="28">
        <v>6117</v>
      </c>
      <c r="B6118" s="28" t="e">
        <f>interpola(#REF!,CURVA!$B$6:$B$20,CURVA!$G$6:$G$20)</f>
        <v>#VALUE!</v>
      </c>
      <c r="C6118" s="29" t="e">
        <f t="shared" si="95"/>
        <v>#VALUE!</v>
      </c>
      <c r="E6118" t="e">
        <f>cubic_spline(CURVA!$B$6:$B$20,CURVA!$G$6:$G$20,#REF!)</f>
        <v>#VALUE!</v>
      </c>
    </row>
    <row r="6119" spans="1:5" x14ac:dyDescent="0.2">
      <c r="A6119" s="28">
        <v>6118</v>
      </c>
      <c r="B6119" s="28" t="e">
        <f>interpola(#REF!,CURVA!$B$6:$B$20,CURVA!$G$6:$G$20)</f>
        <v>#VALUE!</v>
      </c>
      <c r="C6119" s="29" t="e">
        <f t="shared" si="95"/>
        <v>#VALUE!</v>
      </c>
      <c r="E6119" t="e">
        <f>cubic_spline(CURVA!$B$6:$B$20,CURVA!$G$6:$G$20,#REF!)</f>
        <v>#VALUE!</v>
      </c>
    </row>
    <row r="6120" spans="1:5" x14ac:dyDescent="0.2">
      <c r="A6120" s="28">
        <v>6119</v>
      </c>
      <c r="B6120" s="28" t="e">
        <f>interpola(#REF!,CURVA!$B$6:$B$20,CURVA!$G$6:$G$20)</f>
        <v>#VALUE!</v>
      </c>
      <c r="C6120" s="29" t="e">
        <f t="shared" si="95"/>
        <v>#VALUE!</v>
      </c>
      <c r="E6120" t="e">
        <f>cubic_spline(CURVA!$B$6:$B$20,CURVA!$G$6:$G$20,#REF!)</f>
        <v>#VALUE!</v>
      </c>
    </row>
    <row r="6121" spans="1:5" x14ac:dyDescent="0.2">
      <c r="A6121" s="28">
        <v>6120</v>
      </c>
      <c r="B6121" s="28" t="e">
        <f>interpola(#REF!,CURVA!$B$6:$B$20,CURVA!$G$6:$G$20)</f>
        <v>#VALUE!</v>
      </c>
      <c r="C6121" s="29" t="e">
        <f t="shared" si="95"/>
        <v>#VALUE!</v>
      </c>
      <c r="E6121" t="e">
        <f>cubic_spline(CURVA!$B$6:$B$20,CURVA!$G$6:$G$20,#REF!)</f>
        <v>#VALUE!</v>
      </c>
    </row>
    <row r="6122" spans="1:5" x14ac:dyDescent="0.2">
      <c r="A6122" s="28">
        <v>6121</v>
      </c>
      <c r="B6122" s="28" t="e">
        <f>interpola(#REF!,CURVA!$B$6:$B$20,CURVA!$G$6:$G$20)</f>
        <v>#VALUE!</v>
      </c>
      <c r="C6122" s="29" t="e">
        <f t="shared" si="95"/>
        <v>#VALUE!</v>
      </c>
      <c r="E6122" t="e">
        <f>cubic_spline(CURVA!$B$6:$B$20,CURVA!$G$6:$G$20,#REF!)</f>
        <v>#VALUE!</v>
      </c>
    </row>
    <row r="6123" spans="1:5" x14ac:dyDescent="0.2">
      <c r="A6123" s="28">
        <v>6122</v>
      </c>
      <c r="B6123" s="28" t="e">
        <f>interpola(#REF!,CURVA!$B$6:$B$20,CURVA!$G$6:$G$20)</f>
        <v>#VALUE!</v>
      </c>
      <c r="C6123" s="29" t="e">
        <f t="shared" si="95"/>
        <v>#VALUE!</v>
      </c>
      <c r="E6123" t="e">
        <f>cubic_spline(CURVA!$B$6:$B$20,CURVA!$G$6:$G$20,#REF!)</f>
        <v>#VALUE!</v>
      </c>
    </row>
    <row r="6124" spans="1:5" x14ac:dyDescent="0.2">
      <c r="A6124" s="28">
        <v>6123</v>
      </c>
      <c r="B6124" s="28" t="e">
        <f>interpola(#REF!,CURVA!$B$6:$B$20,CURVA!$G$6:$G$20)</f>
        <v>#VALUE!</v>
      </c>
      <c r="C6124" s="29" t="e">
        <f t="shared" si="95"/>
        <v>#VALUE!</v>
      </c>
      <c r="E6124" t="e">
        <f>cubic_spline(CURVA!$B$6:$B$20,CURVA!$G$6:$G$20,#REF!)</f>
        <v>#VALUE!</v>
      </c>
    </row>
    <row r="6125" spans="1:5" x14ac:dyDescent="0.2">
      <c r="A6125" s="28">
        <v>6124</v>
      </c>
      <c r="B6125" s="28" t="e">
        <f>interpola(#REF!,CURVA!$B$6:$B$20,CURVA!$G$6:$G$20)</f>
        <v>#VALUE!</v>
      </c>
      <c r="C6125" s="29" t="e">
        <f t="shared" si="95"/>
        <v>#VALUE!</v>
      </c>
      <c r="E6125" t="e">
        <f>cubic_spline(CURVA!$B$6:$B$20,CURVA!$G$6:$G$20,#REF!)</f>
        <v>#VALUE!</v>
      </c>
    </row>
    <row r="6126" spans="1:5" x14ac:dyDescent="0.2">
      <c r="A6126" s="28">
        <v>6125</v>
      </c>
      <c r="B6126" s="28" t="e">
        <f>interpola(#REF!,CURVA!$B$6:$B$20,CURVA!$G$6:$G$20)</f>
        <v>#VALUE!</v>
      </c>
      <c r="C6126" s="29" t="e">
        <f t="shared" si="95"/>
        <v>#VALUE!</v>
      </c>
      <c r="E6126" t="e">
        <f>cubic_spline(CURVA!$B$6:$B$20,CURVA!$G$6:$G$20,#REF!)</f>
        <v>#VALUE!</v>
      </c>
    </row>
    <row r="6127" spans="1:5" x14ac:dyDescent="0.2">
      <c r="A6127" s="28">
        <v>6126</v>
      </c>
      <c r="B6127" s="28" t="e">
        <f>interpola(#REF!,CURVA!$B$6:$B$20,CURVA!$G$6:$G$20)</f>
        <v>#VALUE!</v>
      </c>
      <c r="C6127" s="29" t="e">
        <f t="shared" si="95"/>
        <v>#VALUE!</v>
      </c>
      <c r="E6127" t="e">
        <f>cubic_spline(CURVA!$B$6:$B$20,CURVA!$G$6:$G$20,#REF!)</f>
        <v>#VALUE!</v>
      </c>
    </row>
    <row r="6128" spans="1:5" x14ac:dyDescent="0.2">
      <c r="A6128" s="28">
        <v>6127</v>
      </c>
      <c r="B6128" s="28" t="e">
        <f>interpola(#REF!,CURVA!$B$6:$B$20,CURVA!$G$6:$G$20)</f>
        <v>#VALUE!</v>
      </c>
      <c r="C6128" s="29" t="e">
        <f t="shared" si="95"/>
        <v>#VALUE!</v>
      </c>
      <c r="E6128" t="e">
        <f>cubic_spline(CURVA!$B$6:$B$20,CURVA!$G$6:$G$20,#REF!)</f>
        <v>#VALUE!</v>
      </c>
    </row>
    <row r="6129" spans="1:5" x14ac:dyDescent="0.2">
      <c r="A6129" s="28">
        <v>6128</v>
      </c>
      <c r="B6129" s="28" t="e">
        <f>interpola(#REF!,CURVA!$B$6:$B$20,CURVA!$G$6:$G$20)</f>
        <v>#VALUE!</v>
      </c>
      <c r="C6129" s="29" t="e">
        <f t="shared" si="95"/>
        <v>#VALUE!</v>
      </c>
      <c r="E6129" t="e">
        <f>cubic_spline(CURVA!$B$6:$B$20,CURVA!$G$6:$G$20,#REF!)</f>
        <v>#VALUE!</v>
      </c>
    </row>
    <row r="6130" spans="1:5" x14ac:dyDescent="0.2">
      <c r="A6130" s="28">
        <v>6129</v>
      </c>
      <c r="B6130" s="28" t="e">
        <f>interpola(#REF!,CURVA!$B$6:$B$20,CURVA!$G$6:$G$20)</f>
        <v>#VALUE!</v>
      </c>
      <c r="C6130" s="29" t="e">
        <f t="shared" si="95"/>
        <v>#VALUE!</v>
      </c>
      <c r="E6130" t="e">
        <f>cubic_spline(CURVA!$B$6:$B$20,CURVA!$G$6:$G$20,#REF!)</f>
        <v>#VALUE!</v>
      </c>
    </row>
    <row r="6131" spans="1:5" x14ac:dyDescent="0.2">
      <c r="A6131" s="28">
        <v>6130</v>
      </c>
      <c r="B6131" s="28" t="e">
        <f>interpola(#REF!,CURVA!$B$6:$B$20,CURVA!$G$6:$G$20)</f>
        <v>#VALUE!</v>
      </c>
      <c r="C6131" s="29" t="e">
        <f t="shared" si="95"/>
        <v>#VALUE!</v>
      </c>
      <c r="E6131" t="e">
        <f>cubic_spline(CURVA!$B$6:$B$20,CURVA!$G$6:$G$20,#REF!)</f>
        <v>#VALUE!</v>
      </c>
    </row>
    <row r="6132" spans="1:5" x14ac:dyDescent="0.2">
      <c r="A6132" s="28">
        <v>6131</v>
      </c>
      <c r="B6132" s="28" t="e">
        <f>interpola(#REF!,CURVA!$B$6:$B$20,CURVA!$G$6:$G$20)</f>
        <v>#VALUE!</v>
      </c>
      <c r="C6132" s="29" t="e">
        <f t="shared" si="95"/>
        <v>#VALUE!</v>
      </c>
      <c r="E6132" t="e">
        <f>cubic_spline(CURVA!$B$6:$B$20,CURVA!$G$6:$G$20,#REF!)</f>
        <v>#VALUE!</v>
      </c>
    </row>
    <row r="6133" spans="1:5" x14ac:dyDescent="0.2">
      <c r="A6133" s="28">
        <v>6132</v>
      </c>
      <c r="B6133" s="28" t="e">
        <f>interpola(#REF!,CURVA!$B$6:$B$20,CURVA!$G$6:$G$20)</f>
        <v>#VALUE!</v>
      </c>
      <c r="C6133" s="29" t="e">
        <f t="shared" si="95"/>
        <v>#VALUE!</v>
      </c>
      <c r="E6133" t="e">
        <f>cubic_spline(CURVA!$B$6:$B$20,CURVA!$G$6:$G$20,#REF!)</f>
        <v>#VALUE!</v>
      </c>
    </row>
    <row r="6134" spans="1:5" x14ac:dyDescent="0.2">
      <c r="A6134" s="28">
        <v>6133</v>
      </c>
      <c r="B6134" s="28" t="e">
        <f>interpola(#REF!,CURVA!$B$6:$B$20,CURVA!$G$6:$G$20)</f>
        <v>#VALUE!</v>
      </c>
      <c r="C6134" s="29" t="e">
        <f t="shared" si="95"/>
        <v>#VALUE!</v>
      </c>
      <c r="E6134" t="e">
        <f>cubic_spline(CURVA!$B$6:$B$20,CURVA!$G$6:$G$20,#REF!)</f>
        <v>#VALUE!</v>
      </c>
    </row>
    <row r="6135" spans="1:5" x14ac:dyDescent="0.2">
      <c r="A6135" s="28">
        <v>6134</v>
      </c>
      <c r="B6135" s="28" t="e">
        <f>interpola(#REF!,CURVA!$B$6:$B$20,CURVA!$G$6:$G$20)</f>
        <v>#VALUE!</v>
      </c>
      <c r="C6135" s="29" t="e">
        <f t="shared" si="95"/>
        <v>#VALUE!</v>
      </c>
      <c r="E6135" t="e">
        <f>cubic_spline(CURVA!$B$6:$B$20,CURVA!$G$6:$G$20,#REF!)</f>
        <v>#VALUE!</v>
      </c>
    </row>
    <row r="6136" spans="1:5" x14ac:dyDescent="0.2">
      <c r="A6136" s="28">
        <v>6135</v>
      </c>
      <c r="B6136" s="28" t="e">
        <f>interpola(#REF!,CURVA!$B$6:$B$20,CURVA!$G$6:$G$20)</f>
        <v>#VALUE!</v>
      </c>
      <c r="C6136" s="29" t="e">
        <f t="shared" si="95"/>
        <v>#VALUE!</v>
      </c>
      <c r="E6136" t="e">
        <f>cubic_spline(CURVA!$B$6:$B$20,CURVA!$G$6:$G$20,#REF!)</f>
        <v>#VALUE!</v>
      </c>
    </row>
    <row r="6137" spans="1:5" x14ac:dyDescent="0.2">
      <c r="A6137" s="28">
        <v>6136</v>
      </c>
      <c r="B6137" s="28" t="e">
        <f>interpola(#REF!,CURVA!$B$6:$B$20,CURVA!$G$6:$G$20)</f>
        <v>#VALUE!</v>
      </c>
      <c r="C6137" s="29" t="e">
        <f t="shared" si="95"/>
        <v>#VALUE!</v>
      </c>
      <c r="E6137" t="e">
        <f>cubic_spline(CURVA!$B$6:$B$20,CURVA!$G$6:$G$20,#REF!)</f>
        <v>#VALUE!</v>
      </c>
    </row>
    <row r="6138" spans="1:5" x14ac:dyDescent="0.2">
      <c r="A6138" s="28">
        <v>6137</v>
      </c>
      <c r="B6138" s="28" t="e">
        <f>interpola(#REF!,CURVA!$B$6:$B$20,CURVA!$G$6:$G$20)</f>
        <v>#VALUE!</v>
      </c>
      <c r="C6138" s="29" t="e">
        <f t="shared" si="95"/>
        <v>#VALUE!</v>
      </c>
      <c r="E6138" t="e">
        <f>cubic_spline(CURVA!$B$6:$B$20,CURVA!$G$6:$G$20,#REF!)</f>
        <v>#VALUE!</v>
      </c>
    </row>
    <row r="6139" spans="1:5" x14ac:dyDescent="0.2">
      <c r="A6139" s="28">
        <v>6138</v>
      </c>
      <c r="B6139" s="28" t="e">
        <f>interpola(#REF!,CURVA!$B$6:$B$20,CURVA!$G$6:$G$20)</f>
        <v>#VALUE!</v>
      </c>
      <c r="C6139" s="29" t="e">
        <f t="shared" si="95"/>
        <v>#VALUE!</v>
      </c>
      <c r="E6139" t="e">
        <f>cubic_spline(CURVA!$B$6:$B$20,CURVA!$G$6:$G$20,#REF!)</f>
        <v>#VALUE!</v>
      </c>
    </row>
    <row r="6140" spans="1:5" x14ac:dyDescent="0.2">
      <c r="A6140" s="28">
        <v>6139</v>
      </c>
      <c r="B6140" s="28" t="e">
        <f>interpola(#REF!,CURVA!$B$6:$B$20,CURVA!$G$6:$G$20)</f>
        <v>#VALUE!</v>
      </c>
      <c r="C6140" s="29" t="e">
        <f t="shared" si="95"/>
        <v>#VALUE!</v>
      </c>
      <c r="E6140" t="e">
        <f>cubic_spline(CURVA!$B$6:$B$20,CURVA!$G$6:$G$20,#REF!)</f>
        <v>#VALUE!</v>
      </c>
    </row>
    <row r="6141" spans="1:5" x14ac:dyDescent="0.2">
      <c r="A6141" s="28">
        <v>6140</v>
      </c>
      <c r="B6141" s="28" t="e">
        <f>interpola(#REF!,CURVA!$B$6:$B$20,CURVA!$G$6:$G$20)</f>
        <v>#VALUE!</v>
      </c>
      <c r="C6141" s="29" t="e">
        <f t="shared" si="95"/>
        <v>#VALUE!</v>
      </c>
      <c r="E6141" t="e">
        <f>cubic_spline(CURVA!$B$6:$B$20,CURVA!$G$6:$G$20,#REF!)</f>
        <v>#VALUE!</v>
      </c>
    </row>
    <row r="6142" spans="1:5" x14ac:dyDescent="0.2">
      <c r="A6142" s="28">
        <v>6141</v>
      </c>
      <c r="B6142" s="28" t="e">
        <f>interpola(#REF!,CURVA!$B$6:$B$20,CURVA!$G$6:$G$20)</f>
        <v>#VALUE!</v>
      </c>
      <c r="C6142" s="29" t="e">
        <f t="shared" si="95"/>
        <v>#VALUE!</v>
      </c>
      <c r="E6142" t="e">
        <f>cubic_spline(CURVA!$B$6:$B$20,CURVA!$G$6:$G$20,#REF!)</f>
        <v>#VALUE!</v>
      </c>
    </row>
    <row r="6143" spans="1:5" x14ac:dyDescent="0.2">
      <c r="A6143" s="28">
        <v>6142</v>
      </c>
      <c r="B6143" s="28" t="e">
        <f>interpola(#REF!,CURVA!$B$6:$B$20,CURVA!$G$6:$G$20)</f>
        <v>#VALUE!</v>
      </c>
      <c r="C6143" s="29" t="e">
        <f t="shared" si="95"/>
        <v>#VALUE!</v>
      </c>
      <c r="E6143" t="e">
        <f>cubic_spline(CURVA!$B$6:$B$20,CURVA!$G$6:$G$20,#REF!)</f>
        <v>#VALUE!</v>
      </c>
    </row>
    <row r="6144" spans="1:5" x14ac:dyDescent="0.2">
      <c r="A6144" s="28">
        <v>6143</v>
      </c>
      <c r="B6144" s="28" t="e">
        <f>interpola(#REF!,CURVA!$B$6:$B$20,CURVA!$G$6:$G$20)</f>
        <v>#VALUE!</v>
      </c>
      <c r="C6144" s="29" t="e">
        <f t="shared" si="95"/>
        <v>#VALUE!</v>
      </c>
      <c r="E6144" t="e">
        <f>cubic_spline(CURVA!$B$6:$B$20,CURVA!$G$6:$G$20,#REF!)</f>
        <v>#VALUE!</v>
      </c>
    </row>
    <row r="6145" spans="1:5" x14ac:dyDescent="0.2">
      <c r="A6145" s="28">
        <v>6144</v>
      </c>
      <c r="B6145" s="28" t="e">
        <f>interpola(#REF!,CURVA!$B$6:$B$20,CURVA!$G$6:$G$20)</f>
        <v>#VALUE!</v>
      </c>
      <c r="C6145" s="29" t="e">
        <f t="shared" si="95"/>
        <v>#VALUE!</v>
      </c>
      <c r="E6145" t="e">
        <f>cubic_spline(CURVA!$B$6:$B$20,CURVA!$G$6:$G$20,#REF!)</f>
        <v>#VALUE!</v>
      </c>
    </row>
    <row r="6146" spans="1:5" x14ac:dyDescent="0.2">
      <c r="A6146" s="28">
        <v>6145</v>
      </c>
      <c r="B6146" s="28" t="e">
        <f>interpola(#REF!,CURVA!$B$6:$B$20,CURVA!$G$6:$G$20)</f>
        <v>#VALUE!</v>
      </c>
      <c r="C6146" s="29" t="e">
        <f t="shared" ref="C6146:C6209" si="96">(EXP(B6146*A6146/360)-1)*360/A6146</f>
        <v>#VALUE!</v>
      </c>
      <c r="E6146" t="e">
        <f>cubic_spline(CURVA!$B$6:$B$20,CURVA!$G$6:$G$20,#REF!)</f>
        <v>#VALUE!</v>
      </c>
    </row>
    <row r="6147" spans="1:5" x14ac:dyDescent="0.2">
      <c r="A6147" s="28">
        <v>6146</v>
      </c>
      <c r="B6147" s="28" t="e">
        <f>interpola(#REF!,CURVA!$B$6:$B$20,CURVA!$G$6:$G$20)</f>
        <v>#VALUE!</v>
      </c>
      <c r="C6147" s="29" t="e">
        <f t="shared" si="96"/>
        <v>#VALUE!</v>
      </c>
      <c r="E6147" t="e">
        <f>cubic_spline(CURVA!$B$6:$B$20,CURVA!$G$6:$G$20,#REF!)</f>
        <v>#VALUE!</v>
      </c>
    </row>
    <row r="6148" spans="1:5" x14ac:dyDescent="0.2">
      <c r="A6148" s="28">
        <v>6147</v>
      </c>
      <c r="B6148" s="28" t="e">
        <f>interpola(#REF!,CURVA!$B$6:$B$20,CURVA!$G$6:$G$20)</f>
        <v>#VALUE!</v>
      </c>
      <c r="C6148" s="29" t="e">
        <f t="shared" si="96"/>
        <v>#VALUE!</v>
      </c>
      <c r="E6148" t="e">
        <f>cubic_spline(CURVA!$B$6:$B$20,CURVA!$G$6:$G$20,#REF!)</f>
        <v>#VALUE!</v>
      </c>
    </row>
    <row r="6149" spans="1:5" x14ac:dyDescent="0.2">
      <c r="A6149" s="28">
        <v>6148</v>
      </c>
      <c r="B6149" s="28" t="e">
        <f>interpola(#REF!,CURVA!$B$6:$B$20,CURVA!$G$6:$G$20)</f>
        <v>#VALUE!</v>
      </c>
      <c r="C6149" s="29" t="e">
        <f t="shared" si="96"/>
        <v>#VALUE!</v>
      </c>
      <c r="E6149" t="e">
        <f>cubic_spline(CURVA!$B$6:$B$20,CURVA!$G$6:$G$20,#REF!)</f>
        <v>#VALUE!</v>
      </c>
    </row>
    <row r="6150" spans="1:5" x14ac:dyDescent="0.2">
      <c r="A6150" s="28">
        <v>6149</v>
      </c>
      <c r="B6150" s="28" t="e">
        <f>interpola(#REF!,CURVA!$B$6:$B$20,CURVA!$G$6:$G$20)</f>
        <v>#VALUE!</v>
      </c>
      <c r="C6150" s="29" t="e">
        <f t="shared" si="96"/>
        <v>#VALUE!</v>
      </c>
      <c r="E6150" t="e">
        <f>cubic_spline(CURVA!$B$6:$B$20,CURVA!$G$6:$G$20,#REF!)</f>
        <v>#VALUE!</v>
      </c>
    </row>
    <row r="6151" spans="1:5" x14ac:dyDescent="0.2">
      <c r="A6151" s="28">
        <v>6150</v>
      </c>
      <c r="B6151" s="28" t="e">
        <f>interpola(#REF!,CURVA!$B$6:$B$20,CURVA!$G$6:$G$20)</f>
        <v>#VALUE!</v>
      </c>
      <c r="C6151" s="29" t="e">
        <f t="shared" si="96"/>
        <v>#VALUE!</v>
      </c>
      <c r="E6151" t="e">
        <f>cubic_spline(CURVA!$B$6:$B$20,CURVA!$G$6:$G$20,#REF!)</f>
        <v>#VALUE!</v>
      </c>
    </row>
    <row r="6152" spans="1:5" x14ac:dyDescent="0.2">
      <c r="A6152" s="28">
        <v>6151</v>
      </c>
      <c r="B6152" s="28" t="e">
        <f>interpola(#REF!,CURVA!$B$6:$B$20,CURVA!$G$6:$G$20)</f>
        <v>#VALUE!</v>
      </c>
      <c r="C6152" s="29" t="e">
        <f t="shared" si="96"/>
        <v>#VALUE!</v>
      </c>
      <c r="E6152" t="e">
        <f>cubic_spline(CURVA!$B$6:$B$20,CURVA!$G$6:$G$20,#REF!)</f>
        <v>#VALUE!</v>
      </c>
    </row>
    <row r="6153" spans="1:5" x14ac:dyDescent="0.2">
      <c r="A6153" s="28">
        <v>6152</v>
      </c>
      <c r="B6153" s="28" t="e">
        <f>interpola(#REF!,CURVA!$B$6:$B$20,CURVA!$G$6:$G$20)</f>
        <v>#VALUE!</v>
      </c>
      <c r="C6153" s="29" t="e">
        <f t="shared" si="96"/>
        <v>#VALUE!</v>
      </c>
      <c r="E6153" t="e">
        <f>cubic_spline(CURVA!$B$6:$B$20,CURVA!$G$6:$G$20,#REF!)</f>
        <v>#VALUE!</v>
      </c>
    </row>
    <row r="6154" spans="1:5" x14ac:dyDescent="0.2">
      <c r="A6154" s="28">
        <v>6153</v>
      </c>
      <c r="B6154" s="28" t="e">
        <f>interpola(#REF!,CURVA!$B$6:$B$20,CURVA!$G$6:$G$20)</f>
        <v>#VALUE!</v>
      </c>
      <c r="C6154" s="29" t="e">
        <f t="shared" si="96"/>
        <v>#VALUE!</v>
      </c>
      <c r="E6154" t="e">
        <f>cubic_spline(CURVA!$B$6:$B$20,CURVA!$G$6:$G$20,#REF!)</f>
        <v>#VALUE!</v>
      </c>
    </row>
    <row r="6155" spans="1:5" x14ac:dyDescent="0.2">
      <c r="A6155" s="28">
        <v>6154</v>
      </c>
      <c r="B6155" s="28" t="e">
        <f>interpola(#REF!,CURVA!$B$6:$B$20,CURVA!$G$6:$G$20)</f>
        <v>#VALUE!</v>
      </c>
      <c r="C6155" s="29" t="e">
        <f t="shared" si="96"/>
        <v>#VALUE!</v>
      </c>
      <c r="E6155" t="e">
        <f>cubic_spline(CURVA!$B$6:$B$20,CURVA!$G$6:$G$20,#REF!)</f>
        <v>#VALUE!</v>
      </c>
    </row>
    <row r="6156" spans="1:5" x14ac:dyDescent="0.2">
      <c r="A6156" s="28">
        <v>6155</v>
      </c>
      <c r="B6156" s="28" t="e">
        <f>interpola(#REF!,CURVA!$B$6:$B$20,CURVA!$G$6:$G$20)</f>
        <v>#VALUE!</v>
      </c>
      <c r="C6156" s="29" t="e">
        <f t="shared" si="96"/>
        <v>#VALUE!</v>
      </c>
      <c r="E6156" t="e">
        <f>cubic_spline(CURVA!$B$6:$B$20,CURVA!$G$6:$G$20,#REF!)</f>
        <v>#VALUE!</v>
      </c>
    </row>
    <row r="6157" spans="1:5" x14ac:dyDescent="0.2">
      <c r="A6157" s="28">
        <v>6156</v>
      </c>
      <c r="B6157" s="28" t="e">
        <f>interpola(#REF!,CURVA!$B$6:$B$20,CURVA!$G$6:$G$20)</f>
        <v>#VALUE!</v>
      </c>
      <c r="C6157" s="29" t="e">
        <f t="shared" si="96"/>
        <v>#VALUE!</v>
      </c>
      <c r="E6157" t="e">
        <f>cubic_spline(CURVA!$B$6:$B$20,CURVA!$G$6:$G$20,#REF!)</f>
        <v>#VALUE!</v>
      </c>
    </row>
    <row r="6158" spans="1:5" x14ac:dyDescent="0.2">
      <c r="A6158" s="28">
        <v>6157</v>
      </c>
      <c r="B6158" s="28" t="e">
        <f>interpola(#REF!,CURVA!$B$6:$B$20,CURVA!$G$6:$G$20)</f>
        <v>#VALUE!</v>
      </c>
      <c r="C6158" s="29" t="e">
        <f t="shared" si="96"/>
        <v>#VALUE!</v>
      </c>
      <c r="E6158" t="e">
        <f>cubic_spline(CURVA!$B$6:$B$20,CURVA!$G$6:$G$20,#REF!)</f>
        <v>#VALUE!</v>
      </c>
    </row>
    <row r="6159" spans="1:5" x14ac:dyDescent="0.2">
      <c r="A6159" s="28">
        <v>6158</v>
      </c>
      <c r="B6159" s="28" t="e">
        <f>interpola(#REF!,CURVA!$B$6:$B$20,CURVA!$G$6:$G$20)</f>
        <v>#VALUE!</v>
      </c>
      <c r="C6159" s="29" t="e">
        <f t="shared" si="96"/>
        <v>#VALUE!</v>
      </c>
      <c r="E6159" t="e">
        <f>cubic_spline(CURVA!$B$6:$B$20,CURVA!$G$6:$G$20,#REF!)</f>
        <v>#VALUE!</v>
      </c>
    </row>
    <row r="6160" spans="1:5" x14ac:dyDescent="0.2">
      <c r="A6160" s="28">
        <v>6159</v>
      </c>
      <c r="B6160" s="28" t="e">
        <f>interpola(#REF!,CURVA!$B$6:$B$20,CURVA!$G$6:$G$20)</f>
        <v>#VALUE!</v>
      </c>
      <c r="C6160" s="29" t="e">
        <f t="shared" si="96"/>
        <v>#VALUE!</v>
      </c>
      <c r="E6160" t="e">
        <f>cubic_spline(CURVA!$B$6:$B$20,CURVA!$G$6:$G$20,#REF!)</f>
        <v>#VALUE!</v>
      </c>
    </row>
    <row r="6161" spans="1:5" x14ac:dyDescent="0.2">
      <c r="A6161" s="28">
        <v>6160</v>
      </c>
      <c r="B6161" s="28" t="e">
        <f>interpola(#REF!,CURVA!$B$6:$B$20,CURVA!$G$6:$G$20)</f>
        <v>#VALUE!</v>
      </c>
      <c r="C6161" s="29" t="e">
        <f t="shared" si="96"/>
        <v>#VALUE!</v>
      </c>
      <c r="E6161" t="e">
        <f>cubic_spline(CURVA!$B$6:$B$20,CURVA!$G$6:$G$20,#REF!)</f>
        <v>#VALUE!</v>
      </c>
    </row>
    <row r="6162" spans="1:5" x14ac:dyDescent="0.2">
      <c r="A6162" s="28">
        <v>6161</v>
      </c>
      <c r="B6162" s="28" t="e">
        <f>interpola(#REF!,CURVA!$B$6:$B$20,CURVA!$G$6:$G$20)</f>
        <v>#VALUE!</v>
      </c>
      <c r="C6162" s="29" t="e">
        <f t="shared" si="96"/>
        <v>#VALUE!</v>
      </c>
      <c r="E6162" t="e">
        <f>cubic_spline(CURVA!$B$6:$B$20,CURVA!$G$6:$G$20,#REF!)</f>
        <v>#VALUE!</v>
      </c>
    </row>
    <row r="6163" spans="1:5" x14ac:dyDescent="0.2">
      <c r="A6163" s="28">
        <v>6162</v>
      </c>
      <c r="B6163" s="28" t="e">
        <f>interpola(#REF!,CURVA!$B$6:$B$20,CURVA!$G$6:$G$20)</f>
        <v>#VALUE!</v>
      </c>
      <c r="C6163" s="29" t="e">
        <f t="shared" si="96"/>
        <v>#VALUE!</v>
      </c>
      <c r="E6163" t="e">
        <f>cubic_spline(CURVA!$B$6:$B$20,CURVA!$G$6:$G$20,#REF!)</f>
        <v>#VALUE!</v>
      </c>
    </row>
    <row r="6164" spans="1:5" x14ac:dyDescent="0.2">
      <c r="A6164" s="28">
        <v>6163</v>
      </c>
      <c r="B6164" s="28" t="e">
        <f>interpola(#REF!,CURVA!$B$6:$B$20,CURVA!$G$6:$G$20)</f>
        <v>#VALUE!</v>
      </c>
      <c r="C6164" s="29" t="e">
        <f t="shared" si="96"/>
        <v>#VALUE!</v>
      </c>
      <c r="E6164" t="e">
        <f>cubic_spline(CURVA!$B$6:$B$20,CURVA!$G$6:$G$20,#REF!)</f>
        <v>#VALUE!</v>
      </c>
    </row>
    <row r="6165" spans="1:5" x14ac:dyDescent="0.2">
      <c r="A6165" s="28">
        <v>6164</v>
      </c>
      <c r="B6165" s="28" t="e">
        <f>interpola(#REF!,CURVA!$B$6:$B$20,CURVA!$G$6:$G$20)</f>
        <v>#VALUE!</v>
      </c>
      <c r="C6165" s="29" t="e">
        <f t="shared" si="96"/>
        <v>#VALUE!</v>
      </c>
      <c r="E6165" t="e">
        <f>cubic_spline(CURVA!$B$6:$B$20,CURVA!$G$6:$G$20,#REF!)</f>
        <v>#VALUE!</v>
      </c>
    </row>
    <row r="6166" spans="1:5" x14ac:dyDescent="0.2">
      <c r="A6166" s="28">
        <v>6165</v>
      </c>
      <c r="B6166" s="28" t="e">
        <f>interpola(#REF!,CURVA!$B$6:$B$20,CURVA!$G$6:$G$20)</f>
        <v>#VALUE!</v>
      </c>
      <c r="C6166" s="29" t="e">
        <f t="shared" si="96"/>
        <v>#VALUE!</v>
      </c>
      <c r="E6166" t="e">
        <f>cubic_spline(CURVA!$B$6:$B$20,CURVA!$G$6:$G$20,#REF!)</f>
        <v>#VALUE!</v>
      </c>
    </row>
    <row r="6167" spans="1:5" x14ac:dyDescent="0.2">
      <c r="A6167" s="28">
        <v>6166</v>
      </c>
      <c r="B6167" s="28" t="e">
        <f>interpola(#REF!,CURVA!$B$6:$B$20,CURVA!$G$6:$G$20)</f>
        <v>#VALUE!</v>
      </c>
      <c r="C6167" s="29" t="e">
        <f t="shared" si="96"/>
        <v>#VALUE!</v>
      </c>
      <c r="E6167" t="e">
        <f>cubic_spline(CURVA!$B$6:$B$20,CURVA!$G$6:$G$20,#REF!)</f>
        <v>#VALUE!</v>
      </c>
    </row>
    <row r="6168" spans="1:5" x14ac:dyDescent="0.2">
      <c r="A6168" s="28">
        <v>6167</v>
      </c>
      <c r="B6168" s="28" t="e">
        <f>interpola(#REF!,CURVA!$B$6:$B$20,CURVA!$G$6:$G$20)</f>
        <v>#VALUE!</v>
      </c>
      <c r="C6168" s="29" t="e">
        <f t="shared" si="96"/>
        <v>#VALUE!</v>
      </c>
      <c r="E6168" t="e">
        <f>cubic_spline(CURVA!$B$6:$B$20,CURVA!$G$6:$G$20,#REF!)</f>
        <v>#VALUE!</v>
      </c>
    </row>
    <row r="6169" spans="1:5" x14ac:dyDescent="0.2">
      <c r="A6169" s="28">
        <v>6168</v>
      </c>
      <c r="B6169" s="28" t="e">
        <f>interpola(#REF!,CURVA!$B$6:$B$20,CURVA!$G$6:$G$20)</f>
        <v>#VALUE!</v>
      </c>
      <c r="C6169" s="29" t="e">
        <f t="shared" si="96"/>
        <v>#VALUE!</v>
      </c>
      <c r="E6169" t="e">
        <f>cubic_spline(CURVA!$B$6:$B$20,CURVA!$G$6:$G$20,#REF!)</f>
        <v>#VALUE!</v>
      </c>
    </row>
    <row r="6170" spans="1:5" x14ac:dyDescent="0.2">
      <c r="A6170" s="28">
        <v>6169</v>
      </c>
      <c r="B6170" s="28" t="e">
        <f>interpola(#REF!,CURVA!$B$6:$B$20,CURVA!$G$6:$G$20)</f>
        <v>#VALUE!</v>
      </c>
      <c r="C6170" s="29" t="e">
        <f t="shared" si="96"/>
        <v>#VALUE!</v>
      </c>
      <c r="E6170" t="e">
        <f>cubic_spline(CURVA!$B$6:$B$20,CURVA!$G$6:$G$20,#REF!)</f>
        <v>#VALUE!</v>
      </c>
    </row>
    <row r="6171" spans="1:5" x14ac:dyDescent="0.2">
      <c r="A6171" s="28">
        <v>6170</v>
      </c>
      <c r="B6171" s="28" t="e">
        <f>interpola(#REF!,CURVA!$B$6:$B$20,CURVA!$G$6:$G$20)</f>
        <v>#VALUE!</v>
      </c>
      <c r="C6171" s="29" t="e">
        <f t="shared" si="96"/>
        <v>#VALUE!</v>
      </c>
      <c r="E6171" t="e">
        <f>cubic_spline(CURVA!$B$6:$B$20,CURVA!$G$6:$G$20,#REF!)</f>
        <v>#VALUE!</v>
      </c>
    </row>
    <row r="6172" spans="1:5" x14ac:dyDescent="0.2">
      <c r="A6172" s="28">
        <v>6171</v>
      </c>
      <c r="B6172" s="28" t="e">
        <f>interpola(#REF!,CURVA!$B$6:$B$20,CURVA!$G$6:$G$20)</f>
        <v>#VALUE!</v>
      </c>
      <c r="C6172" s="29" t="e">
        <f t="shared" si="96"/>
        <v>#VALUE!</v>
      </c>
      <c r="E6172" t="e">
        <f>cubic_spline(CURVA!$B$6:$B$20,CURVA!$G$6:$G$20,#REF!)</f>
        <v>#VALUE!</v>
      </c>
    </row>
    <row r="6173" spans="1:5" x14ac:dyDescent="0.2">
      <c r="A6173" s="28">
        <v>6172</v>
      </c>
      <c r="B6173" s="28" t="e">
        <f>interpola(#REF!,CURVA!$B$6:$B$20,CURVA!$G$6:$G$20)</f>
        <v>#VALUE!</v>
      </c>
      <c r="C6173" s="29" t="e">
        <f t="shared" si="96"/>
        <v>#VALUE!</v>
      </c>
      <c r="E6173" t="e">
        <f>cubic_spline(CURVA!$B$6:$B$20,CURVA!$G$6:$G$20,#REF!)</f>
        <v>#VALUE!</v>
      </c>
    </row>
    <row r="6174" spans="1:5" x14ac:dyDescent="0.2">
      <c r="A6174" s="28">
        <v>6173</v>
      </c>
      <c r="B6174" s="28" t="e">
        <f>interpola(#REF!,CURVA!$B$6:$B$20,CURVA!$G$6:$G$20)</f>
        <v>#VALUE!</v>
      </c>
      <c r="C6174" s="29" t="e">
        <f t="shared" si="96"/>
        <v>#VALUE!</v>
      </c>
      <c r="E6174" t="e">
        <f>cubic_spline(CURVA!$B$6:$B$20,CURVA!$G$6:$G$20,#REF!)</f>
        <v>#VALUE!</v>
      </c>
    </row>
    <row r="6175" spans="1:5" x14ac:dyDescent="0.2">
      <c r="A6175" s="28">
        <v>6174</v>
      </c>
      <c r="B6175" s="28" t="e">
        <f>interpola(#REF!,CURVA!$B$6:$B$20,CURVA!$G$6:$G$20)</f>
        <v>#VALUE!</v>
      </c>
      <c r="C6175" s="29" t="e">
        <f t="shared" si="96"/>
        <v>#VALUE!</v>
      </c>
      <c r="E6175" t="e">
        <f>cubic_spline(CURVA!$B$6:$B$20,CURVA!$G$6:$G$20,#REF!)</f>
        <v>#VALUE!</v>
      </c>
    </row>
    <row r="6176" spans="1:5" x14ac:dyDescent="0.2">
      <c r="A6176" s="28">
        <v>6175</v>
      </c>
      <c r="B6176" s="28" t="e">
        <f>interpola(#REF!,CURVA!$B$6:$B$20,CURVA!$G$6:$G$20)</f>
        <v>#VALUE!</v>
      </c>
      <c r="C6176" s="29" t="e">
        <f t="shared" si="96"/>
        <v>#VALUE!</v>
      </c>
      <c r="E6176" t="e">
        <f>cubic_spline(CURVA!$B$6:$B$20,CURVA!$G$6:$G$20,#REF!)</f>
        <v>#VALUE!</v>
      </c>
    </row>
    <row r="6177" spans="1:5" x14ac:dyDescent="0.2">
      <c r="A6177" s="28">
        <v>6176</v>
      </c>
      <c r="B6177" s="28" t="e">
        <f>interpola(#REF!,CURVA!$B$6:$B$20,CURVA!$G$6:$G$20)</f>
        <v>#VALUE!</v>
      </c>
      <c r="C6177" s="29" t="e">
        <f t="shared" si="96"/>
        <v>#VALUE!</v>
      </c>
      <c r="E6177" t="e">
        <f>cubic_spline(CURVA!$B$6:$B$20,CURVA!$G$6:$G$20,#REF!)</f>
        <v>#VALUE!</v>
      </c>
    </row>
    <row r="6178" spans="1:5" x14ac:dyDescent="0.2">
      <c r="A6178" s="28">
        <v>6177</v>
      </c>
      <c r="B6178" s="28" t="e">
        <f>interpola(#REF!,CURVA!$B$6:$B$20,CURVA!$G$6:$G$20)</f>
        <v>#VALUE!</v>
      </c>
      <c r="C6178" s="29" t="e">
        <f t="shared" si="96"/>
        <v>#VALUE!</v>
      </c>
      <c r="E6178" t="e">
        <f>cubic_spline(CURVA!$B$6:$B$20,CURVA!$G$6:$G$20,#REF!)</f>
        <v>#VALUE!</v>
      </c>
    </row>
    <row r="6179" spans="1:5" x14ac:dyDescent="0.2">
      <c r="A6179" s="28">
        <v>6178</v>
      </c>
      <c r="B6179" s="28" t="e">
        <f>interpola(#REF!,CURVA!$B$6:$B$20,CURVA!$G$6:$G$20)</f>
        <v>#VALUE!</v>
      </c>
      <c r="C6179" s="29" t="e">
        <f t="shared" si="96"/>
        <v>#VALUE!</v>
      </c>
      <c r="E6179" t="e">
        <f>cubic_spline(CURVA!$B$6:$B$20,CURVA!$G$6:$G$20,#REF!)</f>
        <v>#VALUE!</v>
      </c>
    </row>
    <row r="6180" spans="1:5" x14ac:dyDescent="0.2">
      <c r="A6180" s="28">
        <v>6179</v>
      </c>
      <c r="B6180" s="28" t="e">
        <f>interpola(#REF!,CURVA!$B$6:$B$20,CURVA!$G$6:$G$20)</f>
        <v>#VALUE!</v>
      </c>
      <c r="C6180" s="29" t="e">
        <f t="shared" si="96"/>
        <v>#VALUE!</v>
      </c>
      <c r="E6180" t="e">
        <f>cubic_spline(CURVA!$B$6:$B$20,CURVA!$G$6:$G$20,#REF!)</f>
        <v>#VALUE!</v>
      </c>
    </row>
    <row r="6181" spans="1:5" x14ac:dyDescent="0.2">
      <c r="A6181" s="28">
        <v>6180</v>
      </c>
      <c r="B6181" s="28" t="e">
        <f>interpola(#REF!,CURVA!$B$6:$B$20,CURVA!$G$6:$G$20)</f>
        <v>#VALUE!</v>
      </c>
      <c r="C6181" s="29" t="e">
        <f t="shared" si="96"/>
        <v>#VALUE!</v>
      </c>
      <c r="E6181" t="e">
        <f>cubic_spline(CURVA!$B$6:$B$20,CURVA!$G$6:$G$20,#REF!)</f>
        <v>#VALUE!</v>
      </c>
    </row>
    <row r="6182" spans="1:5" x14ac:dyDescent="0.2">
      <c r="A6182" s="28">
        <v>6181</v>
      </c>
      <c r="B6182" s="28" t="e">
        <f>interpola(#REF!,CURVA!$B$6:$B$20,CURVA!$G$6:$G$20)</f>
        <v>#VALUE!</v>
      </c>
      <c r="C6182" s="29" t="e">
        <f t="shared" si="96"/>
        <v>#VALUE!</v>
      </c>
      <c r="E6182" t="e">
        <f>cubic_spline(CURVA!$B$6:$B$20,CURVA!$G$6:$G$20,#REF!)</f>
        <v>#VALUE!</v>
      </c>
    </row>
    <row r="6183" spans="1:5" x14ac:dyDescent="0.2">
      <c r="A6183" s="28">
        <v>6182</v>
      </c>
      <c r="B6183" s="28" t="e">
        <f>interpola(#REF!,CURVA!$B$6:$B$20,CURVA!$G$6:$G$20)</f>
        <v>#VALUE!</v>
      </c>
      <c r="C6183" s="29" t="e">
        <f t="shared" si="96"/>
        <v>#VALUE!</v>
      </c>
      <c r="E6183" t="e">
        <f>cubic_spline(CURVA!$B$6:$B$20,CURVA!$G$6:$G$20,#REF!)</f>
        <v>#VALUE!</v>
      </c>
    </row>
    <row r="6184" spans="1:5" x14ac:dyDescent="0.2">
      <c r="A6184" s="28">
        <v>6183</v>
      </c>
      <c r="B6184" s="28" t="e">
        <f>interpola(#REF!,CURVA!$B$6:$B$20,CURVA!$G$6:$G$20)</f>
        <v>#VALUE!</v>
      </c>
      <c r="C6184" s="29" t="e">
        <f t="shared" si="96"/>
        <v>#VALUE!</v>
      </c>
      <c r="E6184" t="e">
        <f>cubic_spline(CURVA!$B$6:$B$20,CURVA!$G$6:$G$20,#REF!)</f>
        <v>#VALUE!</v>
      </c>
    </row>
    <row r="6185" spans="1:5" x14ac:dyDescent="0.2">
      <c r="A6185" s="28">
        <v>6184</v>
      </c>
      <c r="B6185" s="28" t="e">
        <f>interpola(#REF!,CURVA!$B$6:$B$20,CURVA!$G$6:$G$20)</f>
        <v>#VALUE!</v>
      </c>
      <c r="C6185" s="29" t="e">
        <f t="shared" si="96"/>
        <v>#VALUE!</v>
      </c>
      <c r="E6185" t="e">
        <f>cubic_spline(CURVA!$B$6:$B$20,CURVA!$G$6:$G$20,#REF!)</f>
        <v>#VALUE!</v>
      </c>
    </row>
    <row r="6186" spans="1:5" x14ac:dyDescent="0.2">
      <c r="A6186" s="28">
        <v>6185</v>
      </c>
      <c r="B6186" s="28" t="e">
        <f>interpola(#REF!,CURVA!$B$6:$B$20,CURVA!$G$6:$G$20)</f>
        <v>#VALUE!</v>
      </c>
      <c r="C6186" s="29" t="e">
        <f t="shared" si="96"/>
        <v>#VALUE!</v>
      </c>
      <c r="E6186" t="e">
        <f>cubic_spline(CURVA!$B$6:$B$20,CURVA!$G$6:$G$20,#REF!)</f>
        <v>#VALUE!</v>
      </c>
    </row>
    <row r="6187" spans="1:5" x14ac:dyDescent="0.2">
      <c r="A6187" s="28">
        <v>6186</v>
      </c>
      <c r="B6187" s="28" t="e">
        <f>interpola(#REF!,CURVA!$B$6:$B$20,CURVA!$G$6:$G$20)</f>
        <v>#VALUE!</v>
      </c>
      <c r="C6187" s="29" t="e">
        <f t="shared" si="96"/>
        <v>#VALUE!</v>
      </c>
      <c r="E6187" t="e">
        <f>cubic_spline(CURVA!$B$6:$B$20,CURVA!$G$6:$G$20,#REF!)</f>
        <v>#VALUE!</v>
      </c>
    </row>
    <row r="6188" spans="1:5" x14ac:dyDescent="0.2">
      <c r="A6188" s="28">
        <v>6187</v>
      </c>
      <c r="B6188" s="28" t="e">
        <f>interpola(#REF!,CURVA!$B$6:$B$20,CURVA!$G$6:$G$20)</f>
        <v>#VALUE!</v>
      </c>
      <c r="C6188" s="29" t="e">
        <f t="shared" si="96"/>
        <v>#VALUE!</v>
      </c>
      <c r="E6188" t="e">
        <f>cubic_spline(CURVA!$B$6:$B$20,CURVA!$G$6:$G$20,#REF!)</f>
        <v>#VALUE!</v>
      </c>
    </row>
    <row r="6189" spans="1:5" x14ac:dyDescent="0.2">
      <c r="A6189" s="28">
        <v>6188</v>
      </c>
      <c r="B6189" s="28" t="e">
        <f>interpola(#REF!,CURVA!$B$6:$B$20,CURVA!$G$6:$G$20)</f>
        <v>#VALUE!</v>
      </c>
      <c r="C6189" s="29" t="e">
        <f t="shared" si="96"/>
        <v>#VALUE!</v>
      </c>
      <c r="E6189" t="e">
        <f>cubic_spline(CURVA!$B$6:$B$20,CURVA!$G$6:$G$20,#REF!)</f>
        <v>#VALUE!</v>
      </c>
    </row>
    <row r="6190" spans="1:5" x14ac:dyDescent="0.2">
      <c r="A6190" s="28">
        <v>6189</v>
      </c>
      <c r="B6190" s="28" t="e">
        <f>interpola(#REF!,CURVA!$B$6:$B$20,CURVA!$G$6:$G$20)</f>
        <v>#VALUE!</v>
      </c>
      <c r="C6190" s="29" t="e">
        <f t="shared" si="96"/>
        <v>#VALUE!</v>
      </c>
      <c r="E6190" t="e">
        <f>cubic_spline(CURVA!$B$6:$B$20,CURVA!$G$6:$G$20,#REF!)</f>
        <v>#VALUE!</v>
      </c>
    </row>
    <row r="6191" spans="1:5" x14ac:dyDescent="0.2">
      <c r="A6191" s="28">
        <v>6190</v>
      </c>
      <c r="B6191" s="28" t="e">
        <f>interpola(#REF!,CURVA!$B$6:$B$20,CURVA!$G$6:$G$20)</f>
        <v>#VALUE!</v>
      </c>
      <c r="C6191" s="29" t="e">
        <f t="shared" si="96"/>
        <v>#VALUE!</v>
      </c>
      <c r="E6191" t="e">
        <f>cubic_spline(CURVA!$B$6:$B$20,CURVA!$G$6:$G$20,#REF!)</f>
        <v>#VALUE!</v>
      </c>
    </row>
    <row r="6192" spans="1:5" x14ac:dyDescent="0.2">
      <c r="A6192" s="28">
        <v>6191</v>
      </c>
      <c r="B6192" s="28" t="e">
        <f>interpola(#REF!,CURVA!$B$6:$B$20,CURVA!$G$6:$G$20)</f>
        <v>#VALUE!</v>
      </c>
      <c r="C6192" s="29" t="e">
        <f t="shared" si="96"/>
        <v>#VALUE!</v>
      </c>
      <c r="E6192" t="e">
        <f>cubic_spline(CURVA!$B$6:$B$20,CURVA!$G$6:$G$20,#REF!)</f>
        <v>#VALUE!</v>
      </c>
    </row>
    <row r="6193" spans="1:5" x14ac:dyDescent="0.2">
      <c r="A6193" s="28">
        <v>6192</v>
      </c>
      <c r="B6193" s="28" t="e">
        <f>interpola(#REF!,CURVA!$B$6:$B$20,CURVA!$G$6:$G$20)</f>
        <v>#VALUE!</v>
      </c>
      <c r="C6193" s="29" t="e">
        <f t="shared" si="96"/>
        <v>#VALUE!</v>
      </c>
      <c r="E6193" t="e">
        <f>cubic_spline(CURVA!$B$6:$B$20,CURVA!$G$6:$G$20,#REF!)</f>
        <v>#VALUE!</v>
      </c>
    </row>
    <row r="6194" spans="1:5" x14ac:dyDescent="0.2">
      <c r="A6194" s="28">
        <v>6193</v>
      </c>
      <c r="B6194" s="28" t="e">
        <f>interpola(#REF!,CURVA!$B$6:$B$20,CURVA!$G$6:$G$20)</f>
        <v>#VALUE!</v>
      </c>
      <c r="C6194" s="29" t="e">
        <f t="shared" si="96"/>
        <v>#VALUE!</v>
      </c>
      <c r="E6194" t="e">
        <f>cubic_spline(CURVA!$B$6:$B$20,CURVA!$G$6:$G$20,#REF!)</f>
        <v>#VALUE!</v>
      </c>
    </row>
    <row r="6195" spans="1:5" x14ac:dyDescent="0.2">
      <c r="A6195" s="28">
        <v>6194</v>
      </c>
      <c r="B6195" s="28" t="e">
        <f>interpola(#REF!,CURVA!$B$6:$B$20,CURVA!$G$6:$G$20)</f>
        <v>#VALUE!</v>
      </c>
      <c r="C6195" s="29" t="e">
        <f t="shared" si="96"/>
        <v>#VALUE!</v>
      </c>
      <c r="E6195" t="e">
        <f>cubic_spline(CURVA!$B$6:$B$20,CURVA!$G$6:$G$20,#REF!)</f>
        <v>#VALUE!</v>
      </c>
    </row>
    <row r="6196" spans="1:5" x14ac:dyDescent="0.2">
      <c r="A6196" s="28">
        <v>6195</v>
      </c>
      <c r="B6196" s="28" t="e">
        <f>interpola(#REF!,CURVA!$B$6:$B$20,CURVA!$G$6:$G$20)</f>
        <v>#VALUE!</v>
      </c>
      <c r="C6196" s="29" t="e">
        <f t="shared" si="96"/>
        <v>#VALUE!</v>
      </c>
      <c r="E6196" t="e">
        <f>cubic_spline(CURVA!$B$6:$B$20,CURVA!$G$6:$G$20,#REF!)</f>
        <v>#VALUE!</v>
      </c>
    </row>
    <row r="6197" spans="1:5" x14ac:dyDescent="0.2">
      <c r="A6197" s="28">
        <v>6196</v>
      </c>
      <c r="B6197" s="28" t="e">
        <f>interpola(#REF!,CURVA!$B$6:$B$20,CURVA!$G$6:$G$20)</f>
        <v>#VALUE!</v>
      </c>
      <c r="C6197" s="29" t="e">
        <f t="shared" si="96"/>
        <v>#VALUE!</v>
      </c>
      <c r="E6197" t="e">
        <f>cubic_spline(CURVA!$B$6:$B$20,CURVA!$G$6:$G$20,#REF!)</f>
        <v>#VALUE!</v>
      </c>
    </row>
    <row r="6198" spans="1:5" x14ac:dyDescent="0.2">
      <c r="A6198" s="28">
        <v>6197</v>
      </c>
      <c r="B6198" s="28" t="e">
        <f>interpola(#REF!,CURVA!$B$6:$B$20,CURVA!$G$6:$G$20)</f>
        <v>#VALUE!</v>
      </c>
      <c r="C6198" s="29" t="e">
        <f t="shared" si="96"/>
        <v>#VALUE!</v>
      </c>
      <c r="E6198" t="e">
        <f>cubic_spline(CURVA!$B$6:$B$20,CURVA!$G$6:$G$20,#REF!)</f>
        <v>#VALUE!</v>
      </c>
    </row>
    <row r="6199" spans="1:5" x14ac:dyDescent="0.2">
      <c r="A6199" s="28">
        <v>6198</v>
      </c>
      <c r="B6199" s="28" t="e">
        <f>interpola(#REF!,CURVA!$B$6:$B$20,CURVA!$G$6:$G$20)</f>
        <v>#VALUE!</v>
      </c>
      <c r="C6199" s="29" t="e">
        <f t="shared" si="96"/>
        <v>#VALUE!</v>
      </c>
      <c r="E6199" t="e">
        <f>cubic_spline(CURVA!$B$6:$B$20,CURVA!$G$6:$G$20,#REF!)</f>
        <v>#VALUE!</v>
      </c>
    </row>
    <row r="6200" spans="1:5" x14ac:dyDescent="0.2">
      <c r="A6200" s="28">
        <v>6199</v>
      </c>
      <c r="B6200" s="28" t="e">
        <f>interpola(#REF!,CURVA!$B$6:$B$20,CURVA!$G$6:$G$20)</f>
        <v>#VALUE!</v>
      </c>
      <c r="C6200" s="29" t="e">
        <f t="shared" si="96"/>
        <v>#VALUE!</v>
      </c>
      <c r="E6200" t="e">
        <f>cubic_spline(CURVA!$B$6:$B$20,CURVA!$G$6:$G$20,#REF!)</f>
        <v>#VALUE!</v>
      </c>
    </row>
    <row r="6201" spans="1:5" x14ac:dyDescent="0.2">
      <c r="A6201" s="28">
        <v>6200</v>
      </c>
      <c r="B6201" s="28" t="e">
        <f>interpola(#REF!,CURVA!$B$6:$B$20,CURVA!$G$6:$G$20)</f>
        <v>#VALUE!</v>
      </c>
      <c r="C6201" s="29" t="e">
        <f t="shared" si="96"/>
        <v>#VALUE!</v>
      </c>
      <c r="E6201" t="e">
        <f>cubic_spline(CURVA!$B$6:$B$20,CURVA!$G$6:$G$20,#REF!)</f>
        <v>#VALUE!</v>
      </c>
    </row>
    <row r="6202" spans="1:5" x14ac:dyDescent="0.2">
      <c r="A6202" s="28">
        <v>6201</v>
      </c>
      <c r="B6202" s="28" t="e">
        <f>interpola(#REF!,CURVA!$B$6:$B$20,CURVA!$G$6:$G$20)</f>
        <v>#VALUE!</v>
      </c>
      <c r="C6202" s="29" t="e">
        <f t="shared" si="96"/>
        <v>#VALUE!</v>
      </c>
      <c r="E6202" t="e">
        <f>cubic_spline(CURVA!$B$6:$B$20,CURVA!$G$6:$G$20,#REF!)</f>
        <v>#VALUE!</v>
      </c>
    </row>
    <row r="6203" spans="1:5" x14ac:dyDescent="0.2">
      <c r="A6203" s="28">
        <v>6202</v>
      </c>
      <c r="B6203" s="28" t="e">
        <f>interpola(#REF!,CURVA!$B$6:$B$20,CURVA!$G$6:$G$20)</f>
        <v>#VALUE!</v>
      </c>
      <c r="C6203" s="29" t="e">
        <f t="shared" si="96"/>
        <v>#VALUE!</v>
      </c>
      <c r="E6203" t="e">
        <f>cubic_spline(CURVA!$B$6:$B$20,CURVA!$G$6:$G$20,#REF!)</f>
        <v>#VALUE!</v>
      </c>
    </row>
    <row r="6204" spans="1:5" x14ac:dyDescent="0.2">
      <c r="A6204" s="28">
        <v>6203</v>
      </c>
      <c r="B6204" s="28" t="e">
        <f>interpola(#REF!,CURVA!$B$6:$B$20,CURVA!$G$6:$G$20)</f>
        <v>#VALUE!</v>
      </c>
      <c r="C6204" s="29" t="e">
        <f t="shared" si="96"/>
        <v>#VALUE!</v>
      </c>
      <c r="E6204" t="e">
        <f>cubic_spline(CURVA!$B$6:$B$20,CURVA!$G$6:$G$20,#REF!)</f>
        <v>#VALUE!</v>
      </c>
    </row>
    <row r="6205" spans="1:5" x14ac:dyDescent="0.2">
      <c r="A6205" s="28">
        <v>6204</v>
      </c>
      <c r="B6205" s="28" t="e">
        <f>interpola(#REF!,CURVA!$B$6:$B$20,CURVA!$G$6:$G$20)</f>
        <v>#VALUE!</v>
      </c>
      <c r="C6205" s="29" t="e">
        <f t="shared" si="96"/>
        <v>#VALUE!</v>
      </c>
      <c r="E6205" t="e">
        <f>cubic_spline(CURVA!$B$6:$B$20,CURVA!$G$6:$G$20,#REF!)</f>
        <v>#VALUE!</v>
      </c>
    </row>
    <row r="6206" spans="1:5" x14ac:dyDescent="0.2">
      <c r="A6206" s="28">
        <v>6205</v>
      </c>
      <c r="B6206" s="28" t="e">
        <f>interpola(#REF!,CURVA!$B$6:$B$20,CURVA!$G$6:$G$20)</f>
        <v>#VALUE!</v>
      </c>
      <c r="C6206" s="29" t="e">
        <f t="shared" si="96"/>
        <v>#VALUE!</v>
      </c>
      <c r="E6206" t="e">
        <f>cubic_spline(CURVA!$B$6:$B$20,CURVA!$G$6:$G$20,#REF!)</f>
        <v>#VALUE!</v>
      </c>
    </row>
    <row r="6207" spans="1:5" x14ac:dyDescent="0.2">
      <c r="A6207" s="28">
        <v>6206</v>
      </c>
      <c r="B6207" s="28" t="e">
        <f>interpola(#REF!,CURVA!$B$6:$B$20,CURVA!$G$6:$G$20)</f>
        <v>#VALUE!</v>
      </c>
      <c r="C6207" s="29" t="e">
        <f t="shared" si="96"/>
        <v>#VALUE!</v>
      </c>
      <c r="E6207" t="e">
        <f>cubic_spline(CURVA!$B$6:$B$20,CURVA!$G$6:$G$20,#REF!)</f>
        <v>#VALUE!</v>
      </c>
    </row>
    <row r="6208" spans="1:5" x14ac:dyDescent="0.2">
      <c r="A6208" s="28">
        <v>6207</v>
      </c>
      <c r="B6208" s="28" t="e">
        <f>interpola(#REF!,CURVA!$B$6:$B$20,CURVA!$G$6:$G$20)</f>
        <v>#VALUE!</v>
      </c>
      <c r="C6208" s="29" t="e">
        <f t="shared" si="96"/>
        <v>#VALUE!</v>
      </c>
      <c r="E6208" t="e">
        <f>cubic_spline(CURVA!$B$6:$B$20,CURVA!$G$6:$G$20,#REF!)</f>
        <v>#VALUE!</v>
      </c>
    </row>
    <row r="6209" spans="1:5" x14ac:dyDescent="0.2">
      <c r="A6209" s="28">
        <v>6208</v>
      </c>
      <c r="B6209" s="28" t="e">
        <f>interpola(#REF!,CURVA!$B$6:$B$20,CURVA!$G$6:$G$20)</f>
        <v>#VALUE!</v>
      </c>
      <c r="C6209" s="29" t="e">
        <f t="shared" si="96"/>
        <v>#VALUE!</v>
      </c>
      <c r="E6209" t="e">
        <f>cubic_spline(CURVA!$B$6:$B$20,CURVA!$G$6:$G$20,#REF!)</f>
        <v>#VALUE!</v>
      </c>
    </row>
    <row r="6210" spans="1:5" x14ac:dyDescent="0.2">
      <c r="A6210" s="28">
        <v>6209</v>
      </c>
      <c r="B6210" s="28" t="e">
        <f>interpola(#REF!,CURVA!$B$6:$B$20,CURVA!$G$6:$G$20)</f>
        <v>#VALUE!</v>
      </c>
      <c r="C6210" s="29" t="e">
        <f t="shared" ref="C6210:C6273" si="97">(EXP(B6210*A6210/360)-1)*360/A6210</f>
        <v>#VALUE!</v>
      </c>
      <c r="E6210" t="e">
        <f>cubic_spline(CURVA!$B$6:$B$20,CURVA!$G$6:$G$20,#REF!)</f>
        <v>#VALUE!</v>
      </c>
    </row>
    <row r="6211" spans="1:5" x14ac:dyDescent="0.2">
      <c r="A6211" s="28">
        <v>6210</v>
      </c>
      <c r="B6211" s="28" t="e">
        <f>interpola(#REF!,CURVA!$B$6:$B$20,CURVA!$G$6:$G$20)</f>
        <v>#VALUE!</v>
      </c>
      <c r="C6211" s="29" t="e">
        <f t="shared" si="97"/>
        <v>#VALUE!</v>
      </c>
      <c r="E6211" t="e">
        <f>cubic_spline(CURVA!$B$6:$B$20,CURVA!$G$6:$G$20,#REF!)</f>
        <v>#VALUE!</v>
      </c>
    </row>
    <row r="6212" spans="1:5" x14ac:dyDescent="0.2">
      <c r="A6212" s="28">
        <v>6211</v>
      </c>
      <c r="B6212" s="28" t="e">
        <f>interpola(#REF!,CURVA!$B$6:$B$20,CURVA!$G$6:$G$20)</f>
        <v>#VALUE!</v>
      </c>
      <c r="C6212" s="29" t="e">
        <f t="shared" si="97"/>
        <v>#VALUE!</v>
      </c>
      <c r="E6212" t="e">
        <f>cubic_spline(CURVA!$B$6:$B$20,CURVA!$G$6:$G$20,#REF!)</f>
        <v>#VALUE!</v>
      </c>
    </row>
    <row r="6213" spans="1:5" x14ac:dyDescent="0.2">
      <c r="A6213" s="28">
        <v>6212</v>
      </c>
      <c r="B6213" s="28" t="e">
        <f>interpola(#REF!,CURVA!$B$6:$B$20,CURVA!$G$6:$G$20)</f>
        <v>#VALUE!</v>
      </c>
      <c r="C6213" s="29" t="e">
        <f t="shared" si="97"/>
        <v>#VALUE!</v>
      </c>
      <c r="E6213" t="e">
        <f>cubic_spline(CURVA!$B$6:$B$20,CURVA!$G$6:$G$20,#REF!)</f>
        <v>#VALUE!</v>
      </c>
    </row>
    <row r="6214" spans="1:5" x14ac:dyDescent="0.2">
      <c r="A6214" s="28">
        <v>6213</v>
      </c>
      <c r="B6214" s="28" t="e">
        <f>interpola(#REF!,CURVA!$B$6:$B$20,CURVA!$G$6:$G$20)</f>
        <v>#VALUE!</v>
      </c>
      <c r="C6214" s="29" t="e">
        <f t="shared" si="97"/>
        <v>#VALUE!</v>
      </c>
      <c r="E6214" t="e">
        <f>cubic_spline(CURVA!$B$6:$B$20,CURVA!$G$6:$G$20,#REF!)</f>
        <v>#VALUE!</v>
      </c>
    </row>
    <row r="6215" spans="1:5" x14ac:dyDescent="0.2">
      <c r="A6215" s="28">
        <v>6214</v>
      </c>
      <c r="B6215" s="28" t="e">
        <f>interpola(#REF!,CURVA!$B$6:$B$20,CURVA!$G$6:$G$20)</f>
        <v>#VALUE!</v>
      </c>
      <c r="C6215" s="29" t="e">
        <f t="shared" si="97"/>
        <v>#VALUE!</v>
      </c>
      <c r="E6215" t="e">
        <f>cubic_spline(CURVA!$B$6:$B$20,CURVA!$G$6:$G$20,#REF!)</f>
        <v>#VALUE!</v>
      </c>
    </row>
    <row r="6216" spans="1:5" x14ac:dyDescent="0.2">
      <c r="A6216" s="28">
        <v>6215</v>
      </c>
      <c r="B6216" s="28" t="e">
        <f>interpola(#REF!,CURVA!$B$6:$B$20,CURVA!$G$6:$G$20)</f>
        <v>#VALUE!</v>
      </c>
      <c r="C6216" s="29" t="e">
        <f t="shared" si="97"/>
        <v>#VALUE!</v>
      </c>
      <c r="E6216" t="e">
        <f>cubic_spline(CURVA!$B$6:$B$20,CURVA!$G$6:$G$20,#REF!)</f>
        <v>#VALUE!</v>
      </c>
    </row>
    <row r="6217" spans="1:5" x14ac:dyDescent="0.2">
      <c r="A6217" s="28">
        <v>6216</v>
      </c>
      <c r="B6217" s="28" t="e">
        <f>interpola(#REF!,CURVA!$B$6:$B$20,CURVA!$G$6:$G$20)</f>
        <v>#VALUE!</v>
      </c>
      <c r="C6217" s="29" t="e">
        <f t="shared" si="97"/>
        <v>#VALUE!</v>
      </c>
      <c r="E6217" t="e">
        <f>cubic_spline(CURVA!$B$6:$B$20,CURVA!$G$6:$G$20,#REF!)</f>
        <v>#VALUE!</v>
      </c>
    </row>
    <row r="6218" spans="1:5" x14ac:dyDescent="0.2">
      <c r="A6218" s="28">
        <v>6217</v>
      </c>
      <c r="B6218" s="28" t="e">
        <f>interpola(#REF!,CURVA!$B$6:$B$20,CURVA!$G$6:$G$20)</f>
        <v>#VALUE!</v>
      </c>
      <c r="C6218" s="29" t="e">
        <f t="shared" si="97"/>
        <v>#VALUE!</v>
      </c>
      <c r="E6218" t="e">
        <f>cubic_spline(CURVA!$B$6:$B$20,CURVA!$G$6:$G$20,#REF!)</f>
        <v>#VALUE!</v>
      </c>
    </row>
    <row r="6219" spans="1:5" x14ac:dyDescent="0.2">
      <c r="A6219" s="28">
        <v>6218</v>
      </c>
      <c r="B6219" s="28" t="e">
        <f>interpola(#REF!,CURVA!$B$6:$B$20,CURVA!$G$6:$G$20)</f>
        <v>#VALUE!</v>
      </c>
      <c r="C6219" s="29" t="e">
        <f t="shared" si="97"/>
        <v>#VALUE!</v>
      </c>
      <c r="E6219" t="e">
        <f>cubic_spline(CURVA!$B$6:$B$20,CURVA!$G$6:$G$20,#REF!)</f>
        <v>#VALUE!</v>
      </c>
    </row>
    <row r="6220" spans="1:5" x14ac:dyDescent="0.2">
      <c r="A6220" s="28">
        <v>6219</v>
      </c>
      <c r="B6220" s="28" t="e">
        <f>interpola(#REF!,CURVA!$B$6:$B$20,CURVA!$G$6:$G$20)</f>
        <v>#VALUE!</v>
      </c>
      <c r="C6220" s="29" t="e">
        <f t="shared" si="97"/>
        <v>#VALUE!</v>
      </c>
      <c r="E6220" t="e">
        <f>cubic_spline(CURVA!$B$6:$B$20,CURVA!$G$6:$G$20,#REF!)</f>
        <v>#VALUE!</v>
      </c>
    </row>
    <row r="6221" spans="1:5" x14ac:dyDescent="0.2">
      <c r="A6221" s="28">
        <v>6220</v>
      </c>
      <c r="B6221" s="28" t="e">
        <f>interpola(#REF!,CURVA!$B$6:$B$20,CURVA!$G$6:$G$20)</f>
        <v>#VALUE!</v>
      </c>
      <c r="C6221" s="29" t="e">
        <f t="shared" si="97"/>
        <v>#VALUE!</v>
      </c>
      <c r="E6221" t="e">
        <f>cubic_spline(CURVA!$B$6:$B$20,CURVA!$G$6:$G$20,#REF!)</f>
        <v>#VALUE!</v>
      </c>
    </row>
    <row r="6222" spans="1:5" x14ac:dyDescent="0.2">
      <c r="A6222" s="28">
        <v>6221</v>
      </c>
      <c r="B6222" s="28" t="e">
        <f>interpola(#REF!,CURVA!$B$6:$B$20,CURVA!$G$6:$G$20)</f>
        <v>#VALUE!</v>
      </c>
      <c r="C6222" s="29" t="e">
        <f t="shared" si="97"/>
        <v>#VALUE!</v>
      </c>
      <c r="E6222" t="e">
        <f>cubic_spline(CURVA!$B$6:$B$20,CURVA!$G$6:$G$20,#REF!)</f>
        <v>#VALUE!</v>
      </c>
    </row>
    <row r="6223" spans="1:5" x14ac:dyDescent="0.2">
      <c r="A6223" s="28">
        <v>6222</v>
      </c>
      <c r="B6223" s="28" t="e">
        <f>interpola(#REF!,CURVA!$B$6:$B$20,CURVA!$G$6:$G$20)</f>
        <v>#VALUE!</v>
      </c>
      <c r="C6223" s="29" t="e">
        <f t="shared" si="97"/>
        <v>#VALUE!</v>
      </c>
      <c r="E6223" t="e">
        <f>cubic_spline(CURVA!$B$6:$B$20,CURVA!$G$6:$G$20,#REF!)</f>
        <v>#VALUE!</v>
      </c>
    </row>
    <row r="6224" spans="1:5" x14ac:dyDescent="0.2">
      <c r="A6224" s="28">
        <v>6223</v>
      </c>
      <c r="B6224" s="28" t="e">
        <f>interpola(#REF!,CURVA!$B$6:$B$20,CURVA!$G$6:$G$20)</f>
        <v>#VALUE!</v>
      </c>
      <c r="C6224" s="29" t="e">
        <f t="shared" si="97"/>
        <v>#VALUE!</v>
      </c>
      <c r="E6224" t="e">
        <f>cubic_spline(CURVA!$B$6:$B$20,CURVA!$G$6:$G$20,#REF!)</f>
        <v>#VALUE!</v>
      </c>
    </row>
    <row r="6225" spans="1:5" x14ac:dyDescent="0.2">
      <c r="A6225" s="28">
        <v>6224</v>
      </c>
      <c r="B6225" s="28" t="e">
        <f>interpola(#REF!,CURVA!$B$6:$B$20,CURVA!$G$6:$G$20)</f>
        <v>#VALUE!</v>
      </c>
      <c r="C6225" s="29" t="e">
        <f t="shared" si="97"/>
        <v>#VALUE!</v>
      </c>
      <c r="E6225" t="e">
        <f>cubic_spline(CURVA!$B$6:$B$20,CURVA!$G$6:$G$20,#REF!)</f>
        <v>#VALUE!</v>
      </c>
    </row>
    <row r="6226" spans="1:5" x14ac:dyDescent="0.2">
      <c r="A6226" s="28">
        <v>6225</v>
      </c>
      <c r="B6226" s="28" t="e">
        <f>interpola(#REF!,CURVA!$B$6:$B$20,CURVA!$G$6:$G$20)</f>
        <v>#VALUE!</v>
      </c>
      <c r="C6226" s="29" t="e">
        <f t="shared" si="97"/>
        <v>#VALUE!</v>
      </c>
      <c r="E6226" t="e">
        <f>cubic_spline(CURVA!$B$6:$B$20,CURVA!$G$6:$G$20,#REF!)</f>
        <v>#VALUE!</v>
      </c>
    </row>
    <row r="6227" spans="1:5" x14ac:dyDescent="0.2">
      <c r="A6227" s="28">
        <v>6226</v>
      </c>
      <c r="B6227" s="28" t="e">
        <f>interpola(#REF!,CURVA!$B$6:$B$20,CURVA!$G$6:$G$20)</f>
        <v>#VALUE!</v>
      </c>
      <c r="C6227" s="29" t="e">
        <f t="shared" si="97"/>
        <v>#VALUE!</v>
      </c>
      <c r="E6227" t="e">
        <f>cubic_spline(CURVA!$B$6:$B$20,CURVA!$G$6:$G$20,#REF!)</f>
        <v>#VALUE!</v>
      </c>
    </row>
    <row r="6228" spans="1:5" x14ac:dyDescent="0.2">
      <c r="A6228" s="28">
        <v>6227</v>
      </c>
      <c r="B6228" s="28" t="e">
        <f>interpola(#REF!,CURVA!$B$6:$B$20,CURVA!$G$6:$G$20)</f>
        <v>#VALUE!</v>
      </c>
      <c r="C6228" s="29" t="e">
        <f t="shared" si="97"/>
        <v>#VALUE!</v>
      </c>
      <c r="E6228" t="e">
        <f>cubic_spline(CURVA!$B$6:$B$20,CURVA!$G$6:$G$20,#REF!)</f>
        <v>#VALUE!</v>
      </c>
    </row>
    <row r="6229" spans="1:5" x14ac:dyDescent="0.2">
      <c r="A6229" s="28">
        <v>6228</v>
      </c>
      <c r="B6229" s="28" t="e">
        <f>interpola(#REF!,CURVA!$B$6:$B$20,CURVA!$G$6:$G$20)</f>
        <v>#VALUE!</v>
      </c>
      <c r="C6229" s="29" t="e">
        <f t="shared" si="97"/>
        <v>#VALUE!</v>
      </c>
      <c r="E6229" t="e">
        <f>cubic_spline(CURVA!$B$6:$B$20,CURVA!$G$6:$G$20,#REF!)</f>
        <v>#VALUE!</v>
      </c>
    </row>
    <row r="6230" spans="1:5" x14ac:dyDescent="0.2">
      <c r="A6230" s="28">
        <v>6229</v>
      </c>
      <c r="B6230" s="28" t="e">
        <f>interpola(#REF!,CURVA!$B$6:$B$20,CURVA!$G$6:$G$20)</f>
        <v>#VALUE!</v>
      </c>
      <c r="C6230" s="29" t="e">
        <f t="shared" si="97"/>
        <v>#VALUE!</v>
      </c>
      <c r="E6230" t="e">
        <f>cubic_spline(CURVA!$B$6:$B$20,CURVA!$G$6:$G$20,#REF!)</f>
        <v>#VALUE!</v>
      </c>
    </row>
    <row r="6231" spans="1:5" x14ac:dyDescent="0.2">
      <c r="A6231" s="28">
        <v>6230</v>
      </c>
      <c r="B6231" s="28" t="e">
        <f>interpola(#REF!,CURVA!$B$6:$B$20,CURVA!$G$6:$G$20)</f>
        <v>#VALUE!</v>
      </c>
      <c r="C6231" s="29" t="e">
        <f t="shared" si="97"/>
        <v>#VALUE!</v>
      </c>
      <c r="E6231" t="e">
        <f>cubic_spline(CURVA!$B$6:$B$20,CURVA!$G$6:$G$20,#REF!)</f>
        <v>#VALUE!</v>
      </c>
    </row>
    <row r="6232" spans="1:5" x14ac:dyDescent="0.2">
      <c r="A6232" s="28">
        <v>6231</v>
      </c>
      <c r="B6232" s="28" t="e">
        <f>interpola(#REF!,CURVA!$B$6:$B$20,CURVA!$G$6:$G$20)</f>
        <v>#VALUE!</v>
      </c>
      <c r="C6232" s="29" t="e">
        <f t="shared" si="97"/>
        <v>#VALUE!</v>
      </c>
      <c r="E6232" t="e">
        <f>cubic_spline(CURVA!$B$6:$B$20,CURVA!$G$6:$G$20,#REF!)</f>
        <v>#VALUE!</v>
      </c>
    </row>
    <row r="6233" spans="1:5" x14ac:dyDescent="0.2">
      <c r="A6233" s="28">
        <v>6232</v>
      </c>
      <c r="B6233" s="28" t="e">
        <f>interpola(#REF!,CURVA!$B$6:$B$20,CURVA!$G$6:$G$20)</f>
        <v>#VALUE!</v>
      </c>
      <c r="C6233" s="29" t="e">
        <f t="shared" si="97"/>
        <v>#VALUE!</v>
      </c>
      <c r="E6233" t="e">
        <f>cubic_spline(CURVA!$B$6:$B$20,CURVA!$G$6:$G$20,#REF!)</f>
        <v>#VALUE!</v>
      </c>
    </row>
    <row r="6234" spans="1:5" x14ac:dyDescent="0.2">
      <c r="A6234" s="28">
        <v>6233</v>
      </c>
      <c r="B6234" s="28" t="e">
        <f>interpola(#REF!,CURVA!$B$6:$B$20,CURVA!$G$6:$G$20)</f>
        <v>#VALUE!</v>
      </c>
      <c r="C6234" s="29" t="e">
        <f t="shared" si="97"/>
        <v>#VALUE!</v>
      </c>
      <c r="E6234" t="e">
        <f>cubic_spline(CURVA!$B$6:$B$20,CURVA!$G$6:$G$20,#REF!)</f>
        <v>#VALUE!</v>
      </c>
    </row>
    <row r="6235" spans="1:5" x14ac:dyDescent="0.2">
      <c r="A6235" s="28">
        <v>6234</v>
      </c>
      <c r="B6235" s="28" t="e">
        <f>interpola(#REF!,CURVA!$B$6:$B$20,CURVA!$G$6:$G$20)</f>
        <v>#VALUE!</v>
      </c>
      <c r="C6235" s="29" t="e">
        <f t="shared" si="97"/>
        <v>#VALUE!</v>
      </c>
      <c r="E6235" t="e">
        <f>cubic_spline(CURVA!$B$6:$B$20,CURVA!$G$6:$G$20,#REF!)</f>
        <v>#VALUE!</v>
      </c>
    </row>
    <row r="6236" spans="1:5" x14ac:dyDescent="0.2">
      <c r="A6236" s="28">
        <v>6235</v>
      </c>
      <c r="B6236" s="28" t="e">
        <f>interpola(#REF!,CURVA!$B$6:$B$20,CURVA!$G$6:$G$20)</f>
        <v>#VALUE!</v>
      </c>
      <c r="C6236" s="29" t="e">
        <f t="shared" si="97"/>
        <v>#VALUE!</v>
      </c>
      <c r="E6236" t="e">
        <f>cubic_spline(CURVA!$B$6:$B$20,CURVA!$G$6:$G$20,#REF!)</f>
        <v>#VALUE!</v>
      </c>
    </row>
    <row r="6237" spans="1:5" x14ac:dyDescent="0.2">
      <c r="A6237" s="28">
        <v>6236</v>
      </c>
      <c r="B6237" s="28" t="e">
        <f>interpola(#REF!,CURVA!$B$6:$B$20,CURVA!$G$6:$G$20)</f>
        <v>#VALUE!</v>
      </c>
      <c r="C6237" s="29" t="e">
        <f t="shared" si="97"/>
        <v>#VALUE!</v>
      </c>
      <c r="E6237" t="e">
        <f>cubic_spline(CURVA!$B$6:$B$20,CURVA!$G$6:$G$20,#REF!)</f>
        <v>#VALUE!</v>
      </c>
    </row>
    <row r="6238" spans="1:5" x14ac:dyDescent="0.2">
      <c r="A6238" s="28">
        <v>6237</v>
      </c>
      <c r="B6238" s="28" t="e">
        <f>interpola(#REF!,CURVA!$B$6:$B$20,CURVA!$G$6:$G$20)</f>
        <v>#VALUE!</v>
      </c>
      <c r="C6238" s="29" t="e">
        <f t="shared" si="97"/>
        <v>#VALUE!</v>
      </c>
      <c r="E6238" t="e">
        <f>cubic_spline(CURVA!$B$6:$B$20,CURVA!$G$6:$G$20,#REF!)</f>
        <v>#VALUE!</v>
      </c>
    </row>
    <row r="6239" spans="1:5" x14ac:dyDescent="0.2">
      <c r="A6239" s="28">
        <v>6238</v>
      </c>
      <c r="B6239" s="28" t="e">
        <f>interpola(#REF!,CURVA!$B$6:$B$20,CURVA!$G$6:$G$20)</f>
        <v>#VALUE!</v>
      </c>
      <c r="C6239" s="29" t="e">
        <f t="shared" si="97"/>
        <v>#VALUE!</v>
      </c>
      <c r="E6239" t="e">
        <f>cubic_spline(CURVA!$B$6:$B$20,CURVA!$G$6:$G$20,#REF!)</f>
        <v>#VALUE!</v>
      </c>
    </row>
    <row r="6240" spans="1:5" x14ac:dyDescent="0.2">
      <c r="A6240" s="28">
        <v>6239</v>
      </c>
      <c r="B6240" s="28" t="e">
        <f>interpola(#REF!,CURVA!$B$6:$B$20,CURVA!$G$6:$G$20)</f>
        <v>#VALUE!</v>
      </c>
      <c r="C6240" s="29" t="e">
        <f t="shared" si="97"/>
        <v>#VALUE!</v>
      </c>
      <c r="E6240" t="e">
        <f>cubic_spline(CURVA!$B$6:$B$20,CURVA!$G$6:$G$20,#REF!)</f>
        <v>#VALUE!</v>
      </c>
    </row>
    <row r="6241" spans="1:5" x14ac:dyDescent="0.2">
      <c r="A6241" s="28">
        <v>6240</v>
      </c>
      <c r="B6241" s="28" t="e">
        <f>interpola(#REF!,CURVA!$B$6:$B$20,CURVA!$G$6:$G$20)</f>
        <v>#VALUE!</v>
      </c>
      <c r="C6241" s="29" t="e">
        <f t="shared" si="97"/>
        <v>#VALUE!</v>
      </c>
      <c r="E6241" t="e">
        <f>cubic_spline(CURVA!$B$6:$B$20,CURVA!$G$6:$G$20,#REF!)</f>
        <v>#VALUE!</v>
      </c>
    </row>
    <row r="6242" spans="1:5" x14ac:dyDescent="0.2">
      <c r="A6242" s="28">
        <v>6241</v>
      </c>
      <c r="B6242" s="28" t="e">
        <f>interpola(#REF!,CURVA!$B$6:$B$20,CURVA!$G$6:$G$20)</f>
        <v>#VALUE!</v>
      </c>
      <c r="C6242" s="29" t="e">
        <f t="shared" si="97"/>
        <v>#VALUE!</v>
      </c>
      <c r="E6242" t="e">
        <f>cubic_spline(CURVA!$B$6:$B$20,CURVA!$G$6:$G$20,#REF!)</f>
        <v>#VALUE!</v>
      </c>
    </row>
    <row r="6243" spans="1:5" x14ac:dyDescent="0.2">
      <c r="A6243" s="28">
        <v>6242</v>
      </c>
      <c r="B6243" s="28" t="e">
        <f>interpola(#REF!,CURVA!$B$6:$B$20,CURVA!$G$6:$G$20)</f>
        <v>#VALUE!</v>
      </c>
      <c r="C6243" s="29" t="e">
        <f t="shared" si="97"/>
        <v>#VALUE!</v>
      </c>
      <c r="E6243" t="e">
        <f>cubic_spline(CURVA!$B$6:$B$20,CURVA!$G$6:$G$20,#REF!)</f>
        <v>#VALUE!</v>
      </c>
    </row>
    <row r="6244" spans="1:5" x14ac:dyDescent="0.2">
      <c r="A6244" s="28">
        <v>6243</v>
      </c>
      <c r="B6244" s="28" t="e">
        <f>interpola(#REF!,CURVA!$B$6:$B$20,CURVA!$G$6:$G$20)</f>
        <v>#VALUE!</v>
      </c>
      <c r="C6244" s="29" t="e">
        <f t="shared" si="97"/>
        <v>#VALUE!</v>
      </c>
      <c r="E6244" t="e">
        <f>cubic_spline(CURVA!$B$6:$B$20,CURVA!$G$6:$G$20,#REF!)</f>
        <v>#VALUE!</v>
      </c>
    </row>
    <row r="6245" spans="1:5" x14ac:dyDescent="0.2">
      <c r="A6245" s="28">
        <v>6244</v>
      </c>
      <c r="B6245" s="28" t="e">
        <f>interpola(#REF!,CURVA!$B$6:$B$20,CURVA!$G$6:$G$20)</f>
        <v>#VALUE!</v>
      </c>
      <c r="C6245" s="29" t="e">
        <f t="shared" si="97"/>
        <v>#VALUE!</v>
      </c>
      <c r="E6245" t="e">
        <f>cubic_spline(CURVA!$B$6:$B$20,CURVA!$G$6:$G$20,#REF!)</f>
        <v>#VALUE!</v>
      </c>
    </row>
    <row r="6246" spans="1:5" x14ac:dyDescent="0.2">
      <c r="A6246" s="28">
        <v>6245</v>
      </c>
      <c r="B6246" s="28" t="e">
        <f>interpola(#REF!,CURVA!$B$6:$B$20,CURVA!$G$6:$G$20)</f>
        <v>#VALUE!</v>
      </c>
      <c r="C6246" s="29" t="e">
        <f t="shared" si="97"/>
        <v>#VALUE!</v>
      </c>
      <c r="E6246" t="e">
        <f>cubic_spline(CURVA!$B$6:$B$20,CURVA!$G$6:$G$20,#REF!)</f>
        <v>#VALUE!</v>
      </c>
    </row>
    <row r="6247" spans="1:5" x14ac:dyDescent="0.2">
      <c r="A6247" s="28">
        <v>6246</v>
      </c>
      <c r="B6247" s="28" t="e">
        <f>interpola(#REF!,CURVA!$B$6:$B$20,CURVA!$G$6:$G$20)</f>
        <v>#VALUE!</v>
      </c>
      <c r="C6247" s="29" t="e">
        <f t="shared" si="97"/>
        <v>#VALUE!</v>
      </c>
      <c r="E6247" t="e">
        <f>cubic_spline(CURVA!$B$6:$B$20,CURVA!$G$6:$G$20,#REF!)</f>
        <v>#VALUE!</v>
      </c>
    </row>
    <row r="6248" spans="1:5" x14ac:dyDescent="0.2">
      <c r="A6248" s="28">
        <v>6247</v>
      </c>
      <c r="B6248" s="28" t="e">
        <f>interpola(#REF!,CURVA!$B$6:$B$20,CURVA!$G$6:$G$20)</f>
        <v>#VALUE!</v>
      </c>
      <c r="C6248" s="29" t="e">
        <f t="shared" si="97"/>
        <v>#VALUE!</v>
      </c>
      <c r="E6248" t="e">
        <f>cubic_spline(CURVA!$B$6:$B$20,CURVA!$G$6:$G$20,#REF!)</f>
        <v>#VALUE!</v>
      </c>
    </row>
    <row r="6249" spans="1:5" x14ac:dyDescent="0.2">
      <c r="A6249" s="28">
        <v>6248</v>
      </c>
      <c r="B6249" s="28" t="e">
        <f>interpola(#REF!,CURVA!$B$6:$B$20,CURVA!$G$6:$G$20)</f>
        <v>#VALUE!</v>
      </c>
      <c r="C6249" s="29" t="e">
        <f t="shared" si="97"/>
        <v>#VALUE!</v>
      </c>
      <c r="E6249" t="e">
        <f>cubic_spline(CURVA!$B$6:$B$20,CURVA!$G$6:$G$20,#REF!)</f>
        <v>#VALUE!</v>
      </c>
    </row>
    <row r="6250" spans="1:5" x14ac:dyDescent="0.2">
      <c r="A6250" s="28">
        <v>6249</v>
      </c>
      <c r="B6250" s="28" t="e">
        <f>interpola(#REF!,CURVA!$B$6:$B$20,CURVA!$G$6:$G$20)</f>
        <v>#VALUE!</v>
      </c>
      <c r="C6250" s="29" t="e">
        <f t="shared" si="97"/>
        <v>#VALUE!</v>
      </c>
      <c r="E6250" t="e">
        <f>cubic_spline(CURVA!$B$6:$B$20,CURVA!$G$6:$G$20,#REF!)</f>
        <v>#VALUE!</v>
      </c>
    </row>
    <row r="6251" spans="1:5" x14ac:dyDescent="0.2">
      <c r="A6251" s="28">
        <v>6250</v>
      </c>
      <c r="B6251" s="28" t="e">
        <f>interpola(#REF!,CURVA!$B$6:$B$20,CURVA!$G$6:$G$20)</f>
        <v>#VALUE!</v>
      </c>
      <c r="C6251" s="29" t="e">
        <f t="shared" si="97"/>
        <v>#VALUE!</v>
      </c>
      <c r="E6251" t="e">
        <f>cubic_spline(CURVA!$B$6:$B$20,CURVA!$G$6:$G$20,#REF!)</f>
        <v>#VALUE!</v>
      </c>
    </row>
    <row r="6252" spans="1:5" x14ac:dyDescent="0.2">
      <c r="A6252" s="28">
        <v>6251</v>
      </c>
      <c r="B6252" s="28" t="e">
        <f>interpola(#REF!,CURVA!$B$6:$B$20,CURVA!$G$6:$G$20)</f>
        <v>#VALUE!</v>
      </c>
      <c r="C6252" s="29" t="e">
        <f t="shared" si="97"/>
        <v>#VALUE!</v>
      </c>
      <c r="E6252" t="e">
        <f>cubic_spline(CURVA!$B$6:$B$20,CURVA!$G$6:$G$20,#REF!)</f>
        <v>#VALUE!</v>
      </c>
    </row>
    <row r="6253" spans="1:5" x14ac:dyDescent="0.2">
      <c r="A6253" s="28">
        <v>6252</v>
      </c>
      <c r="B6253" s="28" t="e">
        <f>interpola(#REF!,CURVA!$B$6:$B$20,CURVA!$G$6:$G$20)</f>
        <v>#VALUE!</v>
      </c>
      <c r="C6253" s="29" t="e">
        <f t="shared" si="97"/>
        <v>#VALUE!</v>
      </c>
      <c r="E6253" t="e">
        <f>cubic_spline(CURVA!$B$6:$B$20,CURVA!$G$6:$G$20,#REF!)</f>
        <v>#VALUE!</v>
      </c>
    </row>
    <row r="6254" spans="1:5" x14ac:dyDescent="0.2">
      <c r="A6254" s="28">
        <v>6253</v>
      </c>
      <c r="B6254" s="28" t="e">
        <f>interpola(#REF!,CURVA!$B$6:$B$20,CURVA!$G$6:$G$20)</f>
        <v>#VALUE!</v>
      </c>
      <c r="C6254" s="29" t="e">
        <f t="shared" si="97"/>
        <v>#VALUE!</v>
      </c>
      <c r="E6254" t="e">
        <f>cubic_spline(CURVA!$B$6:$B$20,CURVA!$G$6:$G$20,#REF!)</f>
        <v>#VALUE!</v>
      </c>
    </row>
    <row r="6255" spans="1:5" x14ac:dyDescent="0.2">
      <c r="A6255" s="28">
        <v>6254</v>
      </c>
      <c r="B6255" s="28" t="e">
        <f>interpola(#REF!,CURVA!$B$6:$B$20,CURVA!$G$6:$G$20)</f>
        <v>#VALUE!</v>
      </c>
      <c r="C6255" s="29" t="e">
        <f t="shared" si="97"/>
        <v>#VALUE!</v>
      </c>
      <c r="E6255" t="e">
        <f>cubic_spline(CURVA!$B$6:$B$20,CURVA!$G$6:$G$20,#REF!)</f>
        <v>#VALUE!</v>
      </c>
    </row>
    <row r="6256" spans="1:5" x14ac:dyDescent="0.2">
      <c r="A6256" s="28">
        <v>6255</v>
      </c>
      <c r="B6256" s="28" t="e">
        <f>interpola(#REF!,CURVA!$B$6:$B$20,CURVA!$G$6:$G$20)</f>
        <v>#VALUE!</v>
      </c>
      <c r="C6256" s="29" t="e">
        <f t="shared" si="97"/>
        <v>#VALUE!</v>
      </c>
      <c r="E6256" t="e">
        <f>cubic_spline(CURVA!$B$6:$B$20,CURVA!$G$6:$G$20,#REF!)</f>
        <v>#VALUE!</v>
      </c>
    </row>
    <row r="6257" spans="1:5" x14ac:dyDescent="0.2">
      <c r="A6257" s="28">
        <v>6256</v>
      </c>
      <c r="B6257" s="28" t="e">
        <f>interpola(#REF!,CURVA!$B$6:$B$20,CURVA!$G$6:$G$20)</f>
        <v>#VALUE!</v>
      </c>
      <c r="C6257" s="29" t="e">
        <f t="shared" si="97"/>
        <v>#VALUE!</v>
      </c>
      <c r="E6257" t="e">
        <f>cubic_spline(CURVA!$B$6:$B$20,CURVA!$G$6:$G$20,#REF!)</f>
        <v>#VALUE!</v>
      </c>
    </row>
    <row r="6258" spans="1:5" x14ac:dyDescent="0.2">
      <c r="A6258" s="28">
        <v>6257</v>
      </c>
      <c r="B6258" s="28" t="e">
        <f>interpola(#REF!,CURVA!$B$6:$B$20,CURVA!$G$6:$G$20)</f>
        <v>#VALUE!</v>
      </c>
      <c r="C6258" s="29" t="e">
        <f t="shared" si="97"/>
        <v>#VALUE!</v>
      </c>
      <c r="E6258" t="e">
        <f>cubic_spline(CURVA!$B$6:$B$20,CURVA!$G$6:$G$20,#REF!)</f>
        <v>#VALUE!</v>
      </c>
    </row>
    <row r="6259" spans="1:5" x14ac:dyDescent="0.2">
      <c r="A6259" s="28">
        <v>6258</v>
      </c>
      <c r="B6259" s="28" t="e">
        <f>interpola(#REF!,CURVA!$B$6:$B$20,CURVA!$G$6:$G$20)</f>
        <v>#VALUE!</v>
      </c>
      <c r="C6259" s="29" t="e">
        <f t="shared" si="97"/>
        <v>#VALUE!</v>
      </c>
      <c r="E6259" t="e">
        <f>cubic_spline(CURVA!$B$6:$B$20,CURVA!$G$6:$G$20,#REF!)</f>
        <v>#VALUE!</v>
      </c>
    </row>
    <row r="6260" spans="1:5" x14ac:dyDescent="0.2">
      <c r="A6260" s="28">
        <v>6259</v>
      </c>
      <c r="B6260" s="28" t="e">
        <f>interpola(#REF!,CURVA!$B$6:$B$20,CURVA!$G$6:$G$20)</f>
        <v>#VALUE!</v>
      </c>
      <c r="C6260" s="29" t="e">
        <f t="shared" si="97"/>
        <v>#VALUE!</v>
      </c>
      <c r="E6260" t="e">
        <f>cubic_spline(CURVA!$B$6:$B$20,CURVA!$G$6:$G$20,#REF!)</f>
        <v>#VALUE!</v>
      </c>
    </row>
    <row r="6261" spans="1:5" x14ac:dyDescent="0.2">
      <c r="A6261" s="28">
        <v>6260</v>
      </c>
      <c r="B6261" s="28" t="e">
        <f>interpola(#REF!,CURVA!$B$6:$B$20,CURVA!$G$6:$G$20)</f>
        <v>#VALUE!</v>
      </c>
      <c r="C6261" s="29" t="e">
        <f t="shared" si="97"/>
        <v>#VALUE!</v>
      </c>
      <c r="E6261" t="e">
        <f>cubic_spline(CURVA!$B$6:$B$20,CURVA!$G$6:$G$20,#REF!)</f>
        <v>#VALUE!</v>
      </c>
    </row>
    <row r="6262" spans="1:5" x14ac:dyDescent="0.2">
      <c r="A6262" s="28">
        <v>6261</v>
      </c>
      <c r="B6262" s="28" t="e">
        <f>interpola(#REF!,CURVA!$B$6:$B$20,CURVA!$G$6:$G$20)</f>
        <v>#VALUE!</v>
      </c>
      <c r="C6262" s="29" t="e">
        <f t="shared" si="97"/>
        <v>#VALUE!</v>
      </c>
      <c r="E6262" t="e">
        <f>cubic_spline(CURVA!$B$6:$B$20,CURVA!$G$6:$G$20,#REF!)</f>
        <v>#VALUE!</v>
      </c>
    </row>
    <row r="6263" spans="1:5" x14ac:dyDescent="0.2">
      <c r="A6263" s="28">
        <v>6262</v>
      </c>
      <c r="B6263" s="28" t="e">
        <f>interpola(#REF!,CURVA!$B$6:$B$20,CURVA!$G$6:$G$20)</f>
        <v>#VALUE!</v>
      </c>
      <c r="C6263" s="29" t="e">
        <f t="shared" si="97"/>
        <v>#VALUE!</v>
      </c>
      <c r="E6263" t="e">
        <f>cubic_spline(CURVA!$B$6:$B$20,CURVA!$G$6:$G$20,#REF!)</f>
        <v>#VALUE!</v>
      </c>
    </row>
    <row r="6264" spans="1:5" x14ac:dyDescent="0.2">
      <c r="A6264" s="28">
        <v>6263</v>
      </c>
      <c r="B6264" s="28" t="e">
        <f>interpola(#REF!,CURVA!$B$6:$B$20,CURVA!$G$6:$G$20)</f>
        <v>#VALUE!</v>
      </c>
      <c r="C6264" s="29" t="e">
        <f t="shared" si="97"/>
        <v>#VALUE!</v>
      </c>
      <c r="E6264" t="e">
        <f>cubic_spline(CURVA!$B$6:$B$20,CURVA!$G$6:$G$20,#REF!)</f>
        <v>#VALUE!</v>
      </c>
    </row>
    <row r="6265" spans="1:5" x14ac:dyDescent="0.2">
      <c r="A6265" s="28">
        <v>6264</v>
      </c>
      <c r="B6265" s="28" t="e">
        <f>interpola(#REF!,CURVA!$B$6:$B$20,CURVA!$G$6:$G$20)</f>
        <v>#VALUE!</v>
      </c>
      <c r="C6265" s="29" t="e">
        <f t="shared" si="97"/>
        <v>#VALUE!</v>
      </c>
      <c r="E6265" t="e">
        <f>cubic_spline(CURVA!$B$6:$B$20,CURVA!$G$6:$G$20,#REF!)</f>
        <v>#VALUE!</v>
      </c>
    </row>
    <row r="6266" spans="1:5" x14ac:dyDescent="0.2">
      <c r="A6266" s="28">
        <v>6265</v>
      </c>
      <c r="B6266" s="28" t="e">
        <f>interpola(#REF!,CURVA!$B$6:$B$20,CURVA!$G$6:$G$20)</f>
        <v>#VALUE!</v>
      </c>
      <c r="C6266" s="29" t="e">
        <f t="shared" si="97"/>
        <v>#VALUE!</v>
      </c>
      <c r="E6266" t="e">
        <f>cubic_spline(CURVA!$B$6:$B$20,CURVA!$G$6:$G$20,#REF!)</f>
        <v>#VALUE!</v>
      </c>
    </row>
    <row r="6267" spans="1:5" x14ac:dyDescent="0.2">
      <c r="A6267" s="28">
        <v>6266</v>
      </c>
      <c r="B6267" s="28" t="e">
        <f>interpola(#REF!,CURVA!$B$6:$B$20,CURVA!$G$6:$G$20)</f>
        <v>#VALUE!</v>
      </c>
      <c r="C6267" s="29" t="e">
        <f t="shared" si="97"/>
        <v>#VALUE!</v>
      </c>
      <c r="E6267" t="e">
        <f>cubic_spline(CURVA!$B$6:$B$20,CURVA!$G$6:$G$20,#REF!)</f>
        <v>#VALUE!</v>
      </c>
    </row>
    <row r="6268" spans="1:5" x14ac:dyDescent="0.2">
      <c r="A6268" s="28">
        <v>6267</v>
      </c>
      <c r="B6268" s="28" t="e">
        <f>interpola(#REF!,CURVA!$B$6:$B$20,CURVA!$G$6:$G$20)</f>
        <v>#VALUE!</v>
      </c>
      <c r="C6268" s="29" t="e">
        <f t="shared" si="97"/>
        <v>#VALUE!</v>
      </c>
      <c r="E6268" t="e">
        <f>cubic_spline(CURVA!$B$6:$B$20,CURVA!$G$6:$G$20,#REF!)</f>
        <v>#VALUE!</v>
      </c>
    </row>
    <row r="6269" spans="1:5" x14ac:dyDescent="0.2">
      <c r="A6269" s="28">
        <v>6268</v>
      </c>
      <c r="B6269" s="28" t="e">
        <f>interpola(#REF!,CURVA!$B$6:$B$20,CURVA!$G$6:$G$20)</f>
        <v>#VALUE!</v>
      </c>
      <c r="C6269" s="29" t="e">
        <f t="shared" si="97"/>
        <v>#VALUE!</v>
      </c>
      <c r="E6269" t="e">
        <f>cubic_spline(CURVA!$B$6:$B$20,CURVA!$G$6:$G$20,#REF!)</f>
        <v>#VALUE!</v>
      </c>
    </row>
    <row r="6270" spans="1:5" x14ac:dyDescent="0.2">
      <c r="A6270" s="28">
        <v>6269</v>
      </c>
      <c r="B6270" s="28" t="e">
        <f>interpola(#REF!,CURVA!$B$6:$B$20,CURVA!$G$6:$G$20)</f>
        <v>#VALUE!</v>
      </c>
      <c r="C6270" s="29" t="e">
        <f t="shared" si="97"/>
        <v>#VALUE!</v>
      </c>
      <c r="E6270" t="e">
        <f>cubic_spline(CURVA!$B$6:$B$20,CURVA!$G$6:$G$20,#REF!)</f>
        <v>#VALUE!</v>
      </c>
    </row>
    <row r="6271" spans="1:5" x14ac:dyDescent="0.2">
      <c r="A6271" s="28">
        <v>6270</v>
      </c>
      <c r="B6271" s="28" t="e">
        <f>interpola(#REF!,CURVA!$B$6:$B$20,CURVA!$G$6:$G$20)</f>
        <v>#VALUE!</v>
      </c>
      <c r="C6271" s="29" t="e">
        <f t="shared" si="97"/>
        <v>#VALUE!</v>
      </c>
      <c r="E6271" t="e">
        <f>cubic_spline(CURVA!$B$6:$B$20,CURVA!$G$6:$G$20,#REF!)</f>
        <v>#VALUE!</v>
      </c>
    </row>
    <row r="6272" spans="1:5" x14ac:dyDescent="0.2">
      <c r="A6272" s="28">
        <v>6271</v>
      </c>
      <c r="B6272" s="28" t="e">
        <f>interpola(#REF!,CURVA!$B$6:$B$20,CURVA!$G$6:$G$20)</f>
        <v>#VALUE!</v>
      </c>
      <c r="C6272" s="29" t="e">
        <f t="shared" si="97"/>
        <v>#VALUE!</v>
      </c>
      <c r="E6272" t="e">
        <f>cubic_spline(CURVA!$B$6:$B$20,CURVA!$G$6:$G$20,#REF!)</f>
        <v>#VALUE!</v>
      </c>
    </row>
    <row r="6273" spans="1:5" x14ac:dyDescent="0.2">
      <c r="A6273" s="28">
        <v>6272</v>
      </c>
      <c r="B6273" s="28" t="e">
        <f>interpola(#REF!,CURVA!$B$6:$B$20,CURVA!$G$6:$G$20)</f>
        <v>#VALUE!</v>
      </c>
      <c r="C6273" s="29" t="e">
        <f t="shared" si="97"/>
        <v>#VALUE!</v>
      </c>
      <c r="E6273" t="e">
        <f>cubic_spline(CURVA!$B$6:$B$20,CURVA!$G$6:$G$20,#REF!)</f>
        <v>#VALUE!</v>
      </c>
    </row>
    <row r="6274" spans="1:5" x14ac:dyDescent="0.2">
      <c r="A6274" s="28">
        <v>6273</v>
      </c>
      <c r="B6274" s="28" t="e">
        <f>interpola(#REF!,CURVA!$B$6:$B$20,CURVA!$G$6:$G$20)</f>
        <v>#VALUE!</v>
      </c>
      <c r="C6274" s="29" t="e">
        <f t="shared" ref="C6274:C6337" si="98">(EXP(B6274*A6274/360)-1)*360/A6274</f>
        <v>#VALUE!</v>
      </c>
      <c r="E6274" t="e">
        <f>cubic_spline(CURVA!$B$6:$B$20,CURVA!$G$6:$G$20,#REF!)</f>
        <v>#VALUE!</v>
      </c>
    </row>
    <row r="6275" spans="1:5" x14ac:dyDescent="0.2">
      <c r="A6275" s="28">
        <v>6274</v>
      </c>
      <c r="B6275" s="28" t="e">
        <f>interpola(#REF!,CURVA!$B$6:$B$20,CURVA!$G$6:$G$20)</f>
        <v>#VALUE!</v>
      </c>
      <c r="C6275" s="29" t="e">
        <f t="shared" si="98"/>
        <v>#VALUE!</v>
      </c>
      <c r="E6275" t="e">
        <f>cubic_spline(CURVA!$B$6:$B$20,CURVA!$G$6:$G$20,#REF!)</f>
        <v>#VALUE!</v>
      </c>
    </row>
    <row r="6276" spans="1:5" x14ac:dyDescent="0.2">
      <c r="A6276" s="28">
        <v>6275</v>
      </c>
      <c r="B6276" s="28" t="e">
        <f>interpola(#REF!,CURVA!$B$6:$B$20,CURVA!$G$6:$G$20)</f>
        <v>#VALUE!</v>
      </c>
      <c r="C6276" s="29" t="e">
        <f t="shared" si="98"/>
        <v>#VALUE!</v>
      </c>
      <c r="E6276" t="e">
        <f>cubic_spline(CURVA!$B$6:$B$20,CURVA!$G$6:$G$20,#REF!)</f>
        <v>#VALUE!</v>
      </c>
    </row>
    <row r="6277" spans="1:5" x14ac:dyDescent="0.2">
      <c r="A6277" s="28">
        <v>6276</v>
      </c>
      <c r="B6277" s="28" t="e">
        <f>interpola(#REF!,CURVA!$B$6:$B$20,CURVA!$G$6:$G$20)</f>
        <v>#VALUE!</v>
      </c>
      <c r="C6277" s="29" t="e">
        <f t="shared" si="98"/>
        <v>#VALUE!</v>
      </c>
      <c r="E6277" t="e">
        <f>cubic_spline(CURVA!$B$6:$B$20,CURVA!$G$6:$G$20,#REF!)</f>
        <v>#VALUE!</v>
      </c>
    </row>
    <row r="6278" spans="1:5" x14ac:dyDescent="0.2">
      <c r="A6278" s="28">
        <v>6277</v>
      </c>
      <c r="B6278" s="28" t="e">
        <f>interpola(#REF!,CURVA!$B$6:$B$20,CURVA!$G$6:$G$20)</f>
        <v>#VALUE!</v>
      </c>
      <c r="C6278" s="29" t="e">
        <f t="shared" si="98"/>
        <v>#VALUE!</v>
      </c>
      <c r="E6278" t="e">
        <f>cubic_spline(CURVA!$B$6:$B$20,CURVA!$G$6:$G$20,#REF!)</f>
        <v>#VALUE!</v>
      </c>
    </row>
    <row r="6279" spans="1:5" x14ac:dyDescent="0.2">
      <c r="A6279" s="28">
        <v>6278</v>
      </c>
      <c r="B6279" s="28" t="e">
        <f>interpola(#REF!,CURVA!$B$6:$B$20,CURVA!$G$6:$G$20)</f>
        <v>#VALUE!</v>
      </c>
      <c r="C6279" s="29" t="e">
        <f t="shared" si="98"/>
        <v>#VALUE!</v>
      </c>
      <c r="E6279" t="e">
        <f>cubic_spline(CURVA!$B$6:$B$20,CURVA!$G$6:$G$20,#REF!)</f>
        <v>#VALUE!</v>
      </c>
    </row>
    <row r="6280" spans="1:5" x14ac:dyDescent="0.2">
      <c r="A6280" s="28">
        <v>6279</v>
      </c>
      <c r="B6280" s="28" t="e">
        <f>interpola(#REF!,CURVA!$B$6:$B$20,CURVA!$G$6:$G$20)</f>
        <v>#VALUE!</v>
      </c>
      <c r="C6280" s="29" t="e">
        <f t="shared" si="98"/>
        <v>#VALUE!</v>
      </c>
      <c r="E6280" t="e">
        <f>cubic_spline(CURVA!$B$6:$B$20,CURVA!$G$6:$G$20,#REF!)</f>
        <v>#VALUE!</v>
      </c>
    </row>
    <row r="6281" spans="1:5" x14ac:dyDescent="0.2">
      <c r="A6281" s="28">
        <v>6280</v>
      </c>
      <c r="B6281" s="28" t="e">
        <f>interpola(#REF!,CURVA!$B$6:$B$20,CURVA!$G$6:$G$20)</f>
        <v>#VALUE!</v>
      </c>
      <c r="C6281" s="29" t="e">
        <f t="shared" si="98"/>
        <v>#VALUE!</v>
      </c>
      <c r="E6281" t="e">
        <f>cubic_spline(CURVA!$B$6:$B$20,CURVA!$G$6:$G$20,#REF!)</f>
        <v>#VALUE!</v>
      </c>
    </row>
    <row r="6282" spans="1:5" x14ac:dyDescent="0.2">
      <c r="A6282" s="28">
        <v>6281</v>
      </c>
      <c r="B6282" s="28" t="e">
        <f>interpola(#REF!,CURVA!$B$6:$B$20,CURVA!$G$6:$G$20)</f>
        <v>#VALUE!</v>
      </c>
      <c r="C6282" s="29" t="e">
        <f t="shared" si="98"/>
        <v>#VALUE!</v>
      </c>
      <c r="E6282" t="e">
        <f>cubic_spline(CURVA!$B$6:$B$20,CURVA!$G$6:$G$20,#REF!)</f>
        <v>#VALUE!</v>
      </c>
    </row>
    <row r="6283" spans="1:5" x14ac:dyDescent="0.2">
      <c r="A6283" s="28">
        <v>6282</v>
      </c>
      <c r="B6283" s="28" t="e">
        <f>interpola(#REF!,CURVA!$B$6:$B$20,CURVA!$G$6:$G$20)</f>
        <v>#VALUE!</v>
      </c>
      <c r="C6283" s="29" t="e">
        <f t="shared" si="98"/>
        <v>#VALUE!</v>
      </c>
      <c r="E6283" t="e">
        <f>cubic_spline(CURVA!$B$6:$B$20,CURVA!$G$6:$G$20,#REF!)</f>
        <v>#VALUE!</v>
      </c>
    </row>
    <row r="6284" spans="1:5" x14ac:dyDescent="0.2">
      <c r="A6284" s="28">
        <v>6283</v>
      </c>
      <c r="B6284" s="28" t="e">
        <f>interpola(#REF!,CURVA!$B$6:$B$20,CURVA!$G$6:$G$20)</f>
        <v>#VALUE!</v>
      </c>
      <c r="C6284" s="29" t="e">
        <f t="shared" si="98"/>
        <v>#VALUE!</v>
      </c>
      <c r="E6284" t="e">
        <f>cubic_spline(CURVA!$B$6:$B$20,CURVA!$G$6:$G$20,#REF!)</f>
        <v>#VALUE!</v>
      </c>
    </row>
    <row r="6285" spans="1:5" x14ac:dyDescent="0.2">
      <c r="A6285" s="28">
        <v>6284</v>
      </c>
      <c r="B6285" s="28" t="e">
        <f>interpola(#REF!,CURVA!$B$6:$B$20,CURVA!$G$6:$G$20)</f>
        <v>#VALUE!</v>
      </c>
      <c r="C6285" s="29" t="e">
        <f t="shared" si="98"/>
        <v>#VALUE!</v>
      </c>
      <c r="E6285" t="e">
        <f>cubic_spline(CURVA!$B$6:$B$20,CURVA!$G$6:$G$20,#REF!)</f>
        <v>#VALUE!</v>
      </c>
    </row>
    <row r="6286" spans="1:5" x14ac:dyDescent="0.2">
      <c r="A6286" s="28">
        <v>6285</v>
      </c>
      <c r="B6286" s="28" t="e">
        <f>interpola(#REF!,CURVA!$B$6:$B$20,CURVA!$G$6:$G$20)</f>
        <v>#VALUE!</v>
      </c>
      <c r="C6286" s="29" t="e">
        <f t="shared" si="98"/>
        <v>#VALUE!</v>
      </c>
      <c r="E6286" t="e">
        <f>cubic_spline(CURVA!$B$6:$B$20,CURVA!$G$6:$G$20,#REF!)</f>
        <v>#VALUE!</v>
      </c>
    </row>
    <row r="6287" spans="1:5" x14ac:dyDescent="0.2">
      <c r="A6287" s="28">
        <v>6286</v>
      </c>
      <c r="B6287" s="28" t="e">
        <f>interpola(#REF!,CURVA!$B$6:$B$20,CURVA!$G$6:$G$20)</f>
        <v>#VALUE!</v>
      </c>
      <c r="C6287" s="29" t="e">
        <f t="shared" si="98"/>
        <v>#VALUE!</v>
      </c>
      <c r="E6287" t="e">
        <f>cubic_spline(CURVA!$B$6:$B$20,CURVA!$G$6:$G$20,#REF!)</f>
        <v>#VALUE!</v>
      </c>
    </row>
    <row r="6288" spans="1:5" x14ac:dyDescent="0.2">
      <c r="A6288" s="28">
        <v>6287</v>
      </c>
      <c r="B6288" s="28" t="e">
        <f>interpola(#REF!,CURVA!$B$6:$B$20,CURVA!$G$6:$G$20)</f>
        <v>#VALUE!</v>
      </c>
      <c r="C6288" s="29" t="e">
        <f t="shared" si="98"/>
        <v>#VALUE!</v>
      </c>
      <c r="E6288" t="e">
        <f>cubic_spline(CURVA!$B$6:$B$20,CURVA!$G$6:$G$20,#REF!)</f>
        <v>#VALUE!</v>
      </c>
    </row>
    <row r="6289" spans="1:5" x14ac:dyDescent="0.2">
      <c r="A6289" s="28">
        <v>6288</v>
      </c>
      <c r="B6289" s="28" t="e">
        <f>interpola(#REF!,CURVA!$B$6:$B$20,CURVA!$G$6:$G$20)</f>
        <v>#VALUE!</v>
      </c>
      <c r="C6289" s="29" t="e">
        <f t="shared" si="98"/>
        <v>#VALUE!</v>
      </c>
      <c r="E6289" t="e">
        <f>cubic_spline(CURVA!$B$6:$B$20,CURVA!$G$6:$G$20,#REF!)</f>
        <v>#VALUE!</v>
      </c>
    </row>
    <row r="6290" spans="1:5" x14ac:dyDescent="0.2">
      <c r="A6290" s="28">
        <v>6289</v>
      </c>
      <c r="B6290" s="28" t="e">
        <f>interpola(#REF!,CURVA!$B$6:$B$20,CURVA!$G$6:$G$20)</f>
        <v>#VALUE!</v>
      </c>
      <c r="C6290" s="29" t="e">
        <f t="shared" si="98"/>
        <v>#VALUE!</v>
      </c>
      <c r="E6290" t="e">
        <f>cubic_spline(CURVA!$B$6:$B$20,CURVA!$G$6:$G$20,#REF!)</f>
        <v>#VALUE!</v>
      </c>
    </row>
    <row r="6291" spans="1:5" x14ac:dyDescent="0.2">
      <c r="A6291" s="28">
        <v>6290</v>
      </c>
      <c r="B6291" s="28" t="e">
        <f>interpola(#REF!,CURVA!$B$6:$B$20,CURVA!$G$6:$G$20)</f>
        <v>#VALUE!</v>
      </c>
      <c r="C6291" s="29" t="e">
        <f t="shared" si="98"/>
        <v>#VALUE!</v>
      </c>
      <c r="E6291" t="e">
        <f>cubic_spline(CURVA!$B$6:$B$20,CURVA!$G$6:$G$20,#REF!)</f>
        <v>#VALUE!</v>
      </c>
    </row>
    <row r="6292" spans="1:5" x14ac:dyDescent="0.2">
      <c r="A6292" s="28">
        <v>6291</v>
      </c>
      <c r="B6292" s="28" t="e">
        <f>interpola(#REF!,CURVA!$B$6:$B$20,CURVA!$G$6:$G$20)</f>
        <v>#VALUE!</v>
      </c>
      <c r="C6292" s="29" t="e">
        <f t="shared" si="98"/>
        <v>#VALUE!</v>
      </c>
      <c r="E6292" t="e">
        <f>cubic_spline(CURVA!$B$6:$B$20,CURVA!$G$6:$G$20,#REF!)</f>
        <v>#VALUE!</v>
      </c>
    </row>
    <row r="6293" spans="1:5" x14ac:dyDescent="0.2">
      <c r="A6293" s="28">
        <v>6292</v>
      </c>
      <c r="B6293" s="28" t="e">
        <f>interpola(#REF!,CURVA!$B$6:$B$20,CURVA!$G$6:$G$20)</f>
        <v>#VALUE!</v>
      </c>
      <c r="C6293" s="29" t="e">
        <f t="shared" si="98"/>
        <v>#VALUE!</v>
      </c>
      <c r="E6293" t="e">
        <f>cubic_spline(CURVA!$B$6:$B$20,CURVA!$G$6:$G$20,#REF!)</f>
        <v>#VALUE!</v>
      </c>
    </row>
    <row r="6294" spans="1:5" x14ac:dyDescent="0.2">
      <c r="A6294" s="28">
        <v>6293</v>
      </c>
      <c r="B6294" s="28" t="e">
        <f>interpola(#REF!,CURVA!$B$6:$B$20,CURVA!$G$6:$G$20)</f>
        <v>#VALUE!</v>
      </c>
      <c r="C6294" s="29" t="e">
        <f t="shared" si="98"/>
        <v>#VALUE!</v>
      </c>
      <c r="E6294" t="e">
        <f>cubic_spline(CURVA!$B$6:$B$20,CURVA!$G$6:$G$20,#REF!)</f>
        <v>#VALUE!</v>
      </c>
    </row>
    <row r="6295" spans="1:5" x14ac:dyDescent="0.2">
      <c r="A6295" s="28">
        <v>6294</v>
      </c>
      <c r="B6295" s="28" t="e">
        <f>interpola(#REF!,CURVA!$B$6:$B$20,CURVA!$G$6:$G$20)</f>
        <v>#VALUE!</v>
      </c>
      <c r="C6295" s="29" t="e">
        <f t="shared" si="98"/>
        <v>#VALUE!</v>
      </c>
      <c r="E6295" t="e">
        <f>cubic_spline(CURVA!$B$6:$B$20,CURVA!$G$6:$G$20,#REF!)</f>
        <v>#VALUE!</v>
      </c>
    </row>
    <row r="6296" spans="1:5" x14ac:dyDescent="0.2">
      <c r="A6296" s="28">
        <v>6295</v>
      </c>
      <c r="B6296" s="28" t="e">
        <f>interpola(#REF!,CURVA!$B$6:$B$20,CURVA!$G$6:$G$20)</f>
        <v>#VALUE!</v>
      </c>
      <c r="C6296" s="29" t="e">
        <f t="shared" si="98"/>
        <v>#VALUE!</v>
      </c>
      <c r="E6296" t="e">
        <f>cubic_spline(CURVA!$B$6:$B$20,CURVA!$G$6:$G$20,#REF!)</f>
        <v>#VALUE!</v>
      </c>
    </row>
    <row r="6297" spans="1:5" x14ac:dyDescent="0.2">
      <c r="A6297" s="28">
        <v>6296</v>
      </c>
      <c r="B6297" s="28" t="e">
        <f>interpola(#REF!,CURVA!$B$6:$B$20,CURVA!$G$6:$G$20)</f>
        <v>#VALUE!</v>
      </c>
      <c r="C6297" s="29" t="e">
        <f t="shared" si="98"/>
        <v>#VALUE!</v>
      </c>
      <c r="E6297" t="e">
        <f>cubic_spline(CURVA!$B$6:$B$20,CURVA!$G$6:$G$20,#REF!)</f>
        <v>#VALUE!</v>
      </c>
    </row>
    <row r="6298" spans="1:5" x14ac:dyDescent="0.2">
      <c r="A6298" s="28">
        <v>6297</v>
      </c>
      <c r="B6298" s="28" t="e">
        <f>interpola(#REF!,CURVA!$B$6:$B$20,CURVA!$G$6:$G$20)</f>
        <v>#VALUE!</v>
      </c>
      <c r="C6298" s="29" t="e">
        <f t="shared" si="98"/>
        <v>#VALUE!</v>
      </c>
      <c r="E6298" t="e">
        <f>cubic_spline(CURVA!$B$6:$B$20,CURVA!$G$6:$G$20,#REF!)</f>
        <v>#VALUE!</v>
      </c>
    </row>
    <row r="6299" spans="1:5" x14ac:dyDescent="0.2">
      <c r="A6299" s="28">
        <v>6298</v>
      </c>
      <c r="B6299" s="28" t="e">
        <f>interpola(#REF!,CURVA!$B$6:$B$20,CURVA!$G$6:$G$20)</f>
        <v>#VALUE!</v>
      </c>
      <c r="C6299" s="29" t="e">
        <f t="shared" si="98"/>
        <v>#VALUE!</v>
      </c>
      <c r="E6299" t="e">
        <f>cubic_spline(CURVA!$B$6:$B$20,CURVA!$G$6:$G$20,#REF!)</f>
        <v>#VALUE!</v>
      </c>
    </row>
    <row r="6300" spans="1:5" x14ac:dyDescent="0.2">
      <c r="A6300" s="28">
        <v>6299</v>
      </c>
      <c r="B6300" s="28" t="e">
        <f>interpola(#REF!,CURVA!$B$6:$B$20,CURVA!$G$6:$G$20)</f>
        <v>#VALUE!</v>
      </c>
      <c r="C6300" s="29" t="e">
        <f t="shared" si="98"/>
        <v>#VALUE!</v>
      </c>
      <c r="E6300" t="e">
        <f>cubic_spline(CURVA!$B$6:$B$20,CURVA!$G$6:$G$20,#REF!)</f>
        <v>#VALUE!</v>
      </c>
    </row>
    <row r="6301" spans="1:5" x14ac:dyDescent="0.2">
      <c r="A6301" s="28">
        <v>6300</v>
      </c>
      <c r="B6301" s="28" t="e">
        <f>interpola(#REF!,CURVA!$B$6:$B$20,CURVA!$G$6:$G$20)</f>
        <v>#VALUE!</v>
      </c>
      <c r="C6301" s="29" t="e">
        <f t="shared" si="98"/>
        <v>#VALUE!</v>
      </c>
      <c r="E6301" t="e">
        <f>cubic_spline(CURVA!$B$6:$B$20,CURVA!$G$6:$G$20,#REF!)</f>
        <v>#VALUE!</v>
      </c>
    </row>
    <row r="6302" spans="1:5" x14ac:dyDescent="0.2">
      <c r="A6302" s="28">
        <v>6301</v>
      </c>
      <c r="B6302" s="28" t="e">
        <f>interpola(#REF!,CURVA!$B$6:$B$20,CURVA!$G$6:$G$20)</f>
        <v>#VALUE!</v>
      </c>
      <c r="C6302" s="29" t="e">
        <f t="shared" si="98"/>
        <v>#VALUE!</v>
      </c>
      <c r="E6302" t="e">
        <f>cubic_spline(CURVA!$B$6:$B$20,CURVA!$G$6:$G$20,#REF!)</f>
        <v>#VALUE!</v>
      </c>
    </row>
    <row r="6303" spans="1:5" x14ac:dyDescent="0.2">
      <c r="A6303" s="28">
        <v>6302</v>
      </c>
      <c r="B6303" s="28" t="e">
        <f>interpola(#REF!,CURVA!$B$6:$B$20,CURVA!$G$6:$G$20)</f>
        <v>#VALUE!</v>
      </c>
      <c r="C6303" s="29" t="e">
        <f t="shared" si="98"/>
        <v>#VALUE!</v>
      </c>
      <c r="E6303" t="e">
        <f>cubic_spline(CURVA!$B$6:$B$20,CURVA!$G$6:$G$20,#REF!)</f>
        <v>#VALUE!</v>
      </c>
    </row>
    <row r="6304" spans="1:5" x14ac:dyDescent="0.2">
      <c r="A6304" s="28">
        <v>6303</v>
      </c>
      <c r="B6304" s="28" t="e">
        <f>interpola(#REF!,CURVA!$B$6:$B$20,CURVA!$G$6:$G$20)</f>
        <v>#VALUE!</v>
      </c>
      <c r="C6304" s="29" t="e">
        <f t="shared" si="98"/>
        <v>#VALUE!</v>
      </c>
      <c r="E6304" t="e">
        <f>cubic_spline(CURVA!$B$6:$B$20,CURVA!$G$6:$G$20,#REF!)</f>
        <v>#VALUE!</v>
      </c>
    </row>
    <row r="6305" spans="1:5" x14ac:dyDescent="0.2">
      <c r="A6305" s="28">
        <v>6304</v>
      </c>
      <c r="B6305" s="28" t="e">
        <f>interpola(#REF!,CURVA!$B$6:$B$20,CURVA!$G$6:$G$20)</f>
        <v>#VALUE!</v>
      </c>
      <c r="C6305" s="29" t="e">
        <f t="shared" si="98"/>
        <v>#VALUE!</v>
      </c>
      <c r="E6305" t="e">
        <f>cubic_spline(CURVA!$B$6:$B$20,CURVA!$G$6:$G$20,#REF!)</f>
        <v>#VALUE!</v>
      </c>
    </row>
    <row r="6306" spans="1:5" x14ac:dyDescent="0.2">
      <c r="A6306" s="28">
        <v>6305</v>
      </c>
      <c r="B6306" s="28" t="e">
        <f>interpola(#REF!,CURVA!$B$6:$B$20,CURVA!$G$6:$G$20)</f>
        <v>#VALUE!</v>
      </c>
      <c r="C6306" s="29" t="e">
        <f t="shared" si="98"/>
        <v>#VALUE!</v>
      </c>
      <c r="E6306" t="e">
        <f>cubic_spline(CURVA!$B$6:$B$20,CURVA!$G$6:$G$20,#REF!)</f>
        <v>#VALUE!</v>
      </c>
    </row>
    <row r="6307" spans="1:5" x14ac:dyDescent="0.2">
      <c r="A6307" s="28">
        <v>6306</v>
      </c>
      <c r="B6307" s="28" t="e">
        <f>interpola(#REF!,CURVA!$B$6:$B$20,CURVA!$G$6:$G$20)</f>
        <v>#VALUE!</v>
      </c>
      <c r="C6307" s="29" t="e">
        <f t="shared" si="98"/>
        <v>#VALUE!</v>
      </c>
      <c r="E6307" t="e">
        <f>cubic_spline(CURVA!$B$6:$B$20,CURVA!$G$6:$G$20,#REF!)</f>
        <v>#VALUE!</v>
      </c>
    </row>
    <row r="6308" spans="1:5" x14ac:dyDescent="0.2">
      <c r="A6308" s="28">
        <v>6307</v>
      </c>
      <c r="B6308" s="28" t="e">
        <f>interpola(#REF!,CURVA!$B$6:$B$20,CURVA!$G$6:$G$20)</f>
        <v>#VALUE!</v>
      </c>
      <c r="C6308" s="29" t="e">
        <f t="shared" si="98"/>
        <v>#VALUE!</v>
      </c>
      <c r="E6308" t="e">
        <f>cubic_spline(CURVA!$B$6:$B$20,CURVA!$G$6:$G$20,#REF!)</f>
        <v>#VALUE!</v>
      </c>
    </row>
    <row r="6309" spans="1:5" x14ac:dyDescent="0.2">
      <c r="A6309" s="28">
        <v>6308</v>
      </c>
      <c r="B6309" s="28" t="e">
        <f>interpola(#REF!,CURVA!$B$6:$B$20,CURVA!$G$6:$G$20)</f>
        <v>#VALUE!</v>
      </c>
      <c r="C6309" s="29" t="e">
        <f t="shared" si="98"/>
        <v>#VALUE!</v>
      </c>
      <c r="E6309" t="e">
        <f>cubic_spline(CURVA!$B$6:$B$20,CURVA!$G$6:$G$20,#REF!)</f>
        <v>#VALUE!</v>
      </c>
    </row>
    <row r="6310" spans="1:5" x14ac:dyDescent="0.2">
      <c r="A6310" s="28">
        <v>6309</v>
      </c>
      <c r="B6310" s="28" t="e">
        <f>interpola(#REF!,CURVA!$B$6:$B$20,CURVA!$G$6:$G$20)</f>
        <v>#VALUE!</v>
      </c>
      <c r="C6310" s="29" t="e">
        <f t="shared" si="98"/>
        <v>#VALUE!</v>
      </c>
      <c r="E6310" t="e">
        <f>cubic_spline(CURVA!$B$6:$B$20,CURVA!$G$6:$G$20,#REF!)</f>
        <v>#VALUE!</v>
      </c>
    </row>
    <row r="6311" spans="1:5" x14ac:dyDescent="0.2">
      <c r="A6311" s="28">
        <v>6310</v>
      </c>
      <c r="B6311" s="28" t="e">
        <f>interpola(#REF!,CURVA!$B$6:$B$20,CURVA!$G$6:$G$20)</f>
        <v>#VALUE!</v>
      </c>
      <c r="C6311" s="29" t="e">
        <f t="shared" si="98"/>
        <v>#VALUE!</v>
      </c>
      <c r="E6311" t="e">
        <f>cubic_spline(CURVA!$B$6:$B$20,CURVA!$G$6:$G$20,#REF!)</f>
        <v>#VALUE!</v>
      </c>
    </row>
    <row r="6312" spans="1:5" x14ac:dyDescent="0.2">
      <c r="A6312" s="28">
        <v>6311</v>
      </c>
      <c r="B6312" s="28" t="e">
        <f>interpola(#REF!,CURVA!$B$6:$B$20,CURVA!$G$6:$G$20)</f>
        <v>#VALUE!</v>
      </c>
      <c r="C6312" s="29" t="e">
        <f t="shared" si="98"/>
        <v>#VALUE!</v>
      </c>
      <c r="E6312" t="e">
        <f>cubic_spline(CURVA!$B$6:$B$20,CURVA!$G$6:$G$20,#REF!)</f>
        <v>#VALUE!</v>
      </c>
    </row>
    <row r="6313" spans="1:5" x14ac:dyDescent="0.2">
      <c r="A6313" s="28">
        <v>6312</v>
      </c>
      <c r="B6313" s="28" t="e">
        <f>interpola(#REF!,CURVA!$B$6:$B$20,CURVA!$G$6:$G$20)</f>
        <v>#VALUE!</v>
      </c>
      <c r="C6313" s="29" t="e">
        <f t="shared" si="98"/>
        <v>#VALUE!</v>
      </c>
      <c r="E6313" t="e">
        <f>cubic_spline(CURVA!$B$6:$B$20,CURVA!$G$6:$G$20,#REF!)</f>
        <v>#VALUE!</v>
      </c>
    </row>
    <row r="6314" spans="1:5" x14ac:dyDescent="0.2">
      <c r="A6314" s="28">
        <v>6313</v>
      </c>
      <c r="B6314" s="28" t="e">
        <f>interpola(#REF!,CURVA!$B$6:$B$20,CURVA!$G$6:$G$20)</f>
        <v>#VALUE!</v>
      </c>
      <c r="C6314" s="29" t="e">
        <f t="shared" si="98"/>
        <v>#VALUE!</v>
      </c>
      <c r="E6314" t="e">
        <f>cubic_spline(CURVA!$B$6:$B$20,CURVA!$G$6:$G$20,#REF!)</f>
        <v>#VALUE!</v>
      </c>
    </row>
    <row r="6315" spans="1:5" x14ac:dyDescent="0.2">
      <c r="A6315" s="28">
        <v>6314</v>
      </c>
      <c r="B6315" s="28" t="e">
        <f>interpola(#REF!,CURVA!$B$6:$B$20,CURVA!$G$6:$G$20)</f>
        <v>#VALUE!</v>
      </c>
      <c r="C6315" s="29" t="e">
        <f t="shared" si="98"/>
        <v>#VALUE!</v>
      </c>
      <c r="E6315" t="e">
        <f>cubic_spline(CURVA!$B$6:$B$20,CURVA!$G$6:$G$20,#REF!)</f>
        <v>#VALUE!</v>
      </c>
    </row>
    <row r="6316" spans="1:5" x14ac:dyDescent="0.2">
      <c r="A6316" s="28">
        <v>6315</v>
      </c>
      <c r="B6316" s="28" t="e">
        <f>interpola(#REF!,CURVA!$B$6:$B$20,CURVA!$G$6:$G$20)</f>
        <v>#VALUE!</v>
      </c>
      <c r="C6316" s="29" t="e">
        <f t="shared" si="98"/>
        <v>#VALUE!</v>
      </c>
      <c r="E6316" t="e">
        <f>cubic_spline(CURVA!$B$6:$B$20,CURVA!$G$6:$G$20,#REF!)</f>
        <v>#VALUE!</v>
      </c>
    </row>
    <row r="6317" spans="1:5" x14ac:dyDescent="0.2">
      <c r="A6317" s="28">
        <v>6316</v>
      </c>
      <c r="B6317" s="28" t="e">
        <f>interpola(#REF!,CURVA!$B$6:$B$20,CURVA!$G$6:$G$20)</f>
        <v>#VALUE!</v>
      </c>
      <c r="C6317" s="29" t="e">
        <f t="shared" si="98"/>
        <v>#VALUE!</v>
      </c>
      <c r="E6317" t="e">
        <f>cubic_spline(CURVA!$B$6:$B$20,CURVA!$G$6:$G$20,#REF!)</f>
        <v>#VALUE!</v>
      </c>
    </row>
    <row r="6318" spans="1:5" x14ac:dyDescent="0.2">
      <c r="A6318" s="28">
        <v>6317</v>
      </c>
      <c r="B6318" s="28" t="e">
        <f>interpola(#REF!,CURVA!$B$6:$B$20,CURVA!$G$6:$G$20)</f>
        <v>#VALUE!</v>
      </c>
      <c r="C6318" s="29" t="e">
        <f t="shared" si="98"/>
        <v>#VALUE!</v>
      </c>
      <c r="E6318" t="e">
        <f>cubic_spline(CURVA!$B$6:$B$20,CURVA!$G$6:$G$20,#REF!)</f>
        <v>#VALUE!</v>
      </c>
    </row>
    <row r="6319" spans="1:5" x14ac:dyDescent="0.2">
      <c r="A6319" s="28">
        <v>6318</v>
      </c>
      <c r="B6319" s="28" t="e">
        <f>interpola(#REF!,CURVA!$B$6:$B$20,CURVA!$G$6:$G$20)</f>
        <v>#VALUE!</v>
      </c>
      <c r="C6319" s="29" t="e">
        <f t="shared" si="98"/>
        <v>#VALUE!</v>
      </c>
      <c r="E6319" t="e">
        <f>cubic_spline(CURVA!$B$6:$B$20,CURVA!$G$6:$G$20,#REF!)</f>
        <v>#VALUE!</v>
      </c>
    </row>
    <row r="6320" spans="1:5" x14ac:dyDescent="0.2">
      <c r="A6320" s="28">
        <v>6319</v>
      </c>
      <c r="B6320" s="28" t="e">
        <f>interpola(#REF!,CURVA!$B$6:$B$20,CURVA!$G$6:$G$20)</f>
        <v>#VALUE!</v>
      </c>
      <c r="C6320" s="29" t="e">
        <f t="shared" si="98"/>
        <v>#VALUE!</v>
      </c>
      <c r="E6320" t="e">
        <f>cubic_spline(CURVA!$B$6:$B$20,CURVA!$G$6:$G$20,#REF!)</f>
        <v>#VALUE!</v>
      </c>
    </row>
    <row r="6321" spans="1:5" x14ac:dyDescent="0.2">
      <c r="A6321" s="28">
        <v>6320</v>
      </c>
      <c r="B6321" s="28" t="e">
        <f>interpola(#REF!,CURVA!$B$6:$B$20,CURVA!$G$6:$G$20)</f>
        <v>#VALUE!</v>
      </c>
      <c r="C6321" s="29" t="e">
        <f t="shared" si="98"/>
        <v>#VALUE!</v>
      </c>
      <c r="E6321" t="e">
        <f>cubic_spline(CURVA!$B$6:$B$20,CURVA!$G$6:$G$20,#REF!)</f>
        <v>#VALUE!</v>
      </c>
    </row>
    <row r="6322" spans="1:5" x14ac:dyDescent="0.2">
      <c r="A6322" s="28">
        <v>6321</v>
      </c>
      <c r="B6322" s="28" t="e">
        <f>interpola(#REF!,CURVA!$B$6:$B$20,CURVA!$G$6:$G$20)</f>
        <v>#VALUE!</v>
      </c>
      <c r="C6322" s="29" t="e">
        <f t="shared" si="98"/>
        <v>#VALUE!</v>
      </c>
      <c r="E6322" t="e">
        <f>cubic_spline(CURVA!$B$6:$B$20,CURVA!$G$6:$G$20,#REF!)</f>
        <v>#VALUE!</v>
      </c>
    </row>
    <row r="6323" spans="1:5" x14ac:dyDescent="0.2">
      <c r="A6323" s="28">
        <v>6322</v>
      </c>
      <c r="B6323" s="28" t="e">
        <f>interpola(#REF!,CURVA!$B$6:$B$20,CURVA!$G$6:$G$20)</f>
        <v>#VALUE!</v>
      </c>
      <c r="C6323" s="29" t="e">
        <f t="shared" si="98"/>
        <v>#VALUE!</v>
      </c>
      <c r="E6323" t="e">
        <f>cubic_spline(CURVA!$B$6:$B$20,CURVA!$G$6:$G$20,#REF!)</f>
        <v>#VALUE!</v>
      </c>
    </row>
    <row r="6324" spans="1:5" x14ac:dyDescent="0.2">
      <c r="A6324" s="28">
        <v>6323</v>
      </c>
      <c r="B6324" s="28" t="e">
        <f>interpola(#REF!,CURVA!$B$6:$B$20,CURVA!$G$6:$G$20)</f>
        <v>#VALUE!</v>
      </c>
      <c r="C6324" s="29" t="e">
        <f t="shared" si="98"/>
        <v>#VALUE!</v>
      </c>
      <c r="E6324" t="e">
        <f>cubic_spline(CURVA!$B$6:$B$20,CURVA!$G$6:$G$20,#REF!)</f>
        <v>#VALUE!</v>
      </c>
    </row>
    <row r="6325" spans="1:5" x14ac:dyDescent="0.2">
      <c r="A6325" s="28">
        <v>6324</v>
      </c>
      <c r="B6325" s="28" t="e">
        <f>interpola(#REF!,CURVA!$B$6:$B$20,CURVA!$G$6:$G$20)</f>
        <v>#VALUE!</v>
      </c>
      <c r="C6325" s="29" t="e">
        <f t="shared" si="98"/>
        <v>#VALUE!</v>
      </c>
      <c r="E6325" t="e">
        <f>cubic_spline(CURVA!$B$6:$B$20,CURVA!$G$6:$G$20,#REF!)</f>
        <v>#VALUE!</v>
      </c>
    </row>
    <row r="6326" spans="1:5" x14ac:dyDescent="0.2">
      <c r="A6326" s="28">
        <v>6325</v>
      </c>
      <c r="B6326" s="28" t="e">
        <f>interpola(#REF!,CURVA!$B$6:$B$20,CURVA!$G$6:$G$20)</f>
        <v>#VALUE!</v>
      </c>
      <c r="C6326" s="29" t="e">
        <f t="shared" si="98"/>
        <v>#VALUE!</v>
      </c>
      <c r="E6326" t="e">
        <f>cubic_spline(CURVA!$B$6:$B$20,CURVA!$G$6:$G$20,#REF!)</f>
        <v>#VALUE!</v>
      </c>
    </row>
    <row r="6327" spans="1:5" x14ac:dyDescent="0.2">
      <c r="A6327" s="28">
        <v>6326</v>
      </c>
      <c r="B6327" s="28" t="e">
        <f>interpola(#REF!,CURVA!$B$6:$B$20,CURVA!$G$6:$G$20)</f>
        <v>#VALUE!</v>
      </c>
      <c r="C6327" s="29" t="e">
        <f t="shared" si="98"/>
        <v>#VALUE!</v>
      </c>
      <c r="E6327" t="e">
        <f>cubic_spline(CURVA!$B$6:$B$20,CURVA!$G$6:$G$20,#REF!)</f>
        <v>#VALUE!</v>
      </c>
    </row>
    <row r="6328" spans="1:5" x14ac:dyDescent="0.2">
      <c r="A6328" s="28">
        <v>6327</v>
      </c>
      <c r="B6328" s="28" t="e">
        <f>interpola(#REF!,CURVA!$B$6:$B$20,CURVA!$G$6:$G$20)</f>
        <v>#VALUE!</v>
      </c>
      <c r="C6328" s="29" t="e">
        <f t="shared" si="98"/>
        <v>#VALUE!</v>
      </c>
      <c r="E6328" t="e">
        <f>cubic_spline(CURVA!$B$6:$B$20,CURVA!$G$6:$G$20,#REF!)</f>
        <v>#VALUE!</v>
      </c>
    </row>
    <row r="6329" spans="1:5" x14ac:dyDescent="0.2">
      <c r="A6329" s="28">
        <v>6328</v>
      </c>
      <c r="B6329" s="28" t="e">
        <f>interpola(#REF!,CURVA!$B$6:$B$20,CURVA!$G$6:$G$20)</f>
        <v>#VALUE!</v>
      </c>
      <c r="C6329" s="29" t="e">
        <f t="shared" si="98"/>
        <v>#VALUE!</v>
      </c>
      <c r="E6329" t="e">
        <f>cubic_spline(CURVA!$B$6:$B$20,CURVA!$G$6:$G$20,#REF!)</f>
        <v>#VALUE!</v>
      </c>
    </row>
    <row r="6330" spans="1:5" x14ac:dyDescent="0.2">
      <c r="A6330" s="28">
        <v>6329</v>
      </c>
      <c r="B6330" s="28" t="e">
        <f>interpola(#REF!,CURVA!$B$6:$B$20,CURVA!$G$6:$G$20)</f>
        <v>#VALUE!</v>
      </c>
      <c r="C6330" s="29" t="e">
        <f t="shared" si="98"/>
        <v>#VALUE!</v>
      </c>
      <c r="E6330" t="e">
        <f>cubic_spline(CURVA!$B$6:$B$20,CURVA!$G$6:$G$20,#REF!)</f>
        <v>#VALUE!</v>
      </c>
    </row>
    <row r="6331" spans="1:5" x14ac:dyDescent="0.2">
      <c r="A6331" s="28">
        <v>6330</v>
      </c>
      <c r="B6331" s="28" t="e">
        <f>interpola(#REF!,CURVA!$B$6:$B$20,CURVA!$G$6:$G$20)</f>
        <v>#VALUE!</v>
      </c>
      <c r="C6331" s="29" t="e">
        <f t="shared" si="98"/>
        <v>#VALUE!</v>
      </c>
      <c r="E6331" t="e">
        <f>cubic_spline(CURVA!$B$6:$B$20,CURVA!$G$6:$G$20,#REF!)</f>
        <v>#VALUE!</v>
      </c>
    </row>
    <row r="6332" spans="1:5" x14ac:dyDescent="0.2">
      <c r="A6332" s="28">
        <v>6331</v>
      </c>
      <c r="B6332" s="28" t="e">
        <f>interpola(#REF!,CURVA!$B$6:$B$20,CURVA!$G$6:$G$20)</f>
        <v>#VALUE!</v>
      </c>
      <c r="C6332" s="29" t="e">
        <f t="shared" si="98"/>
        <v>#VALUE!</v>
      </c>
      <c r="E6332" t="e">
        <f>cubic_spline(CURVA!$B$6:$B$20,CURVA!$G$6:$G$20,#REF!)</f>
        <v>#VALUE!</v>
      </c>
    </row>
    <row r="6333" spans="1:5" x14ac:dyDescent="0.2">
      <c r="A6333" s="28">
        <v>6332</v>
      </c>
      <c r="B6333" s="28" t="e">
        <f>interpola(#REF!,CURVA!$B$6:$B$20,CURVA!$G$6:$G$20)</f>
        <v>#VALUE!</v>
      </c>
      <c r="C6333" s="29" t="e">
        <f t="shared" si="98"/>
        <v>#VALUE!</v>
      </c>
      <c r="E6333" t="e">
        <f>cubic_spline(CURVA!$B$6:$B$20,CURVA!$G$6:$G$20,#REF!)</f>
        <v>#VALUE!</v>
      </c>
    </row>
    <row r="6334" spans="1:5" x14ac:dyDescent="0.2">
      <c r="A6334" s="28">
        <v>6333</v>
      </c>
      <c r="B6334" s="28" t="e">
        <f>interpola(#REF!,CURVA!$B$6:$B$20,CURVA!$G$6:$G$20)</f>
        <v>#VALUE!</v>
      </c>
      <c r="C6334" s="29" t="e">
        <f t="shared" si="98"/>
        <v>#VALUE!</v>
      </c>
      <c r="E6334" t="e">
        <f>cubic_spline(CURVA!$B$6:$B$20,CURVA!$G$6:$G$20,#REF!)</f>
        <v>#VALUE!</v>
      </c>
    </row>
    <row r="6335" spans="1:5" x14ac:dyDescent="0.2">
      <c r="A6335" s="28">
        <v>6334</v>
      </c>
      <c r="B6335" s="28" t="e">
        <f>interpola(#REF!,CURVA!$B$6:$B$20,CURVA!$G$6:$G$20)</f>
        <v>#VALUE!</v>
      </c>
      <c r="C6335" s="29" t="e">
        <f t="shared" si="98"/>
        <v>#VALUE!</v>
      </c>
      <c r="E6335" t="e">
        <f>cubic_spline(CURVA!$B$6:$B$20,CURVA!$G$6:$G$20,#REF!)</f>
        <v>#VALUE!</v>
      </c>
    </row>
    <row r="6336" spans="1:5" x14ac:dyDescent="0.2">
      <c r="A6336" s="28">
        <v>6335</v>
      </c>
      <c r="B6336" s="28" t="e">
        <f>interpola(#REF!,CURVA!$B$6:$B$20,CURVA!$G$6:$G$20)</f>
        <v>#VALUE!</v>
      </c>
      <c r="C6336" s="29" t="e">
        <f t="shared" si="98"/>
        <v>#VALUE!</v>
      </c>
      <c r="E6336" t="e">
        <f>cubic_spline(CURVA!$B$6:$B$20,CURVA!$G$6:$G$20,#REF!)</f>
        <v>#VALUE!</v>
      </c>
    </row>
    <row r="6337" spans="1:5" x14ac:dyDescent="0.2">
      <c r="A6337" s="28">
        <v>6336</v>
      </c>
      <c r="B6337" s="28" t="e">
        <f>interpola(#REF!,CURVA!$B$6:$B$20,CURVA!$G$6:$G$20)</f>
        <v>#VALUE!</v>
      </c>
      <c r="C6337" s="29" t="e">
        <f t="shared" si="98"/>
        <v>#VALUE!</v>
      </c>
      <c r="E6337" t="e">
        <f>cubic_spline(CURVA!$B$6:$B$20,CURVA!$G$6:$G$20,#REF!)</f>
        <v>#VALUE!</v>
      </c>
    </row>
    <row r="6338" spans="1:5" x14ac:dyDescent="0.2">
      <c r="A6338" s="28">
        <v>6337</v>
      </c>
      <c r="B6338" s="28" t="e">
        <f>interpola(#REF!,CURVA!$B$6:$B$20,CURVA!$G$6:$G$20)</f>
        <v>#VALUE!</v>
      </c>
      <c r="C6338" s="29" t="e">
        <f t="shared" ref="C6338:C6401" si="99">(EXP(B6338*A6338/360)-1)*360/A6338</f>
        <v>#VALUE!</v>
      </c>
      <c r="E6338" t="e">
        <f>cubic_spline(CURVA!$B$6:$B$20,CURVA!$G$6:$G$20,#REF!)</f>
        <v>#VALUE!</v>
      </c>
    </row>
    <row r="6339" spans="1:5" x14ac:dyDescent="0.2">
      <c r="A6339" s="28">
        <v>6338</v>
      </c>
      <c r="B6339" s="28" t="e">
        <f>interpola(#REF!,CURVA!$B$6:$B$20,CURVA!$G$6:$G$20)</f>
        <v>#VALUE!</v>
      </c>
      <c r="C6339" s="29" t="e">
        <f t="shared" si="99"/>
        <v>#VALUE!</v>
      </c>
      <c r="E6339" t="e">
        <f>cubic_spline(CURVA!$B$6:$B$20,CURVA!$G$6:$G$20,#REF!)</f>
        <v>#VALUE!</v>
      </c>
    </row>
    <row r="6340" spans="1:5" x14ac:dyDescent="0.2">
      <c r="A6340" s="28">
        <v>6339</v>
      </c>
      <c r="B6340" s="28" t="e">
        <f>interpola(#REF!,CURVA!$B$6:$B$20,CURVA!$G$6:$G$20)</f>
        <v>#VALUE!</v>
      </c>
      <c r="C6340" s="29" t="e">
        <f t="shared" si="99"/>
        <v>#VALUE!</v>
      </c>
      <c r="E6340" t="e">
        <f>cubic_spline(CURVA!$B$6:$B$20,CURVA!$G$6:$G$20,#REF!)</f>
        <v>#VALUE!</v>
      </c>
    </row>
    <row r="6341" spans="1:5" x14ac:dyDescent="0.2">
      <c r="A6341" s="28">
        <v>6340</v>
      </c>
      <c r="B6341" s="28" t="e">
        <f>interpola(#REF!,CURVA!$B$6:$B$20,CURVA!$G$6:$G$20)</f>
        <v>#VALUE!</v>
      </c>
      <c r="C6341" s="29" t="e">
        <f t="shared" si="99"/>
        <v>#VALUE!</v>
      </c>
      <c r="E6341" t="e">
        <f>cubic_spline(CURVA!$B$6:$B$20,CURVA!$G$6:$G$20,#REF!)</f>
        <v>#VALUE!</v>
      </c>
    </row>
    <row r="6342" spans="1:5" x14ac:dyDescent="0.2">
      <c r="A6342" s="28">
        <v>6341</v>
      </c>
      <c r="B6342" s="28" t="e">
        <f>interpola(#REF!,CURVA!$B$6:$B$20,CURVA!$G$6:$G$20)</f>
        <v>#VALUE!</v>
      </c>
      <c r="C6342" s="29" t="e">
        <f t="shared" si="99"/>
        <v>#VALUE!</v>
      </c>
      <c r="E6342" t="e">
        <f>cubic_spline(CURVA!$B$6:$B$20,CURVA!$G$6:$G$20,#REF!)</f>
        <v>#VALUE!</v>
      </c>
    </row>
    <row r="6343" spans="1:5" x14ac:dyDescent="0.2">
      <c r="A6343" s="28">
        <v>6342</v>
      </c>
      <c r="B6343" s="28" t="e">
        <f>interpola(#REF!,CURVA!$B$6:$B$20,CURVA!$G$6:$G$20)</f>
        <v>#VALUE!</v>
      </c>
      <c r="C6343" s="29" t="e">
        <f t="shared" si="99"/>
        <v>#VALUE!</v>
      </c>
      <c r="E6343" t="e">
        <f>cubic_spline(CURVA!$B$6:$B$20,CURVA!$G$6:$G$20,#REF!)</f>
        <v>#VALUE!</v>
      </c>
    </row>
    <row r="6344" spans="1:5" x14ac:dyDescent="0.2">
      <c r="A6344" s="28">
        <v>6343</v>
      </c>
      <c r="B6344" s="28" t="e">
        <f>interpola(#REF!,CURVA!$B$6:$B$20,CURVA!$G$6:$G$20)</f>
        <v>#VALUE!</v>
      </c>
      <c r="C6344" s="29" t="e">
        <f t="shared" si="99"/>
        <v>#VALUE!</v>
      </c>
      <c r="E6344" t="e">
        <f>cubic_spline(CURVA!$B$6:$B$20,CURVA!$G$6:$G$20,#REF!)</f>
        <v>#VALUE!</v>
      </c>
    </row>
    <row r="6345" spans="1:5" x14ac:dyDescent="0.2">
      <c r="A6345" s="28">
        <v>6344</v>
      </c>
      <c r="B6345" s="28" t="e">
        <f>interpola(#REF!,CURVA!$B$6:$B$20,CURVA!$G$6:$G$20)</f>
        <v>#VALUE!</v>
      </c>
      <c r="C6345" s="29" t="e">
        <f t="shared" si="99"/>
        <v>#VALUE!</v>
      </c>
      <c r="E6345" t="e">
        <f>cubic_spline(CURVA!$B$6:$B$20,CURVA!$G$6:$G$20,#REF!)</f>
        <v>#VALUE!</v>
      </c>
    </row>
    <row r="6346" spans="1:5" x14ac:dyDescent="0.2">
      <c r="A6346" s="28">
        <v>6345</v>
      </c>
      <c r="B6346" s="28" t="e">
        <f>interpola(#REF!,CURVA!$B$6:$B$20,CURVA!$G$6:$G$20)</f>
        <v>#VALUE!</v>
      </c>
      <c r="C6346" s="29" t="e">
        <f t="shared" si="99"/>
        <v>#VALUE!</v>
      </c>
      <c r="E6346" t="e">
        <f>cubic_spline(CURVA!$B$6:$B$20,CURVA!$G$6:$G$20,#REF!)</f>
        <v>#VALUE!</v>
      </c>
    </row>
    <row r="6347" spans="1:5" x14ac:dyDescent="0.2">
      <c r="A6347" s="28">
        <v>6346</v>
      </c>
      <c r="B6347" s="28" t="e">
        <f>interpola(#REF!,CURVA!$B$6:$B$20,CURVA!$G$6:$G$20)</f>
        <v>#VALUE!</v>
      </c>
      <c r="C6347" s="29" t="e">
        <f t="shared" si="99"/>
        <v>#VALUE!</v>
      </c>
      <c r="E6347" t="e">
        <f>cubic_spline(CURVA!$B$6:$B$20,CURVA!$G$6:$G$20,#REF!)</f>
        <v>#VALUE!</v>
      </c>
    </row>
    <row r="6348" spans="1:5" x14ac:dyDescent="0.2">
      <c r="A6348" s="28">
        <v>6347</v>
      </c>
      <c r="B6348" s="28" t="e">
        <f>interpola(#REF!,CURVA!$B$6:$B$20,CURVA!$G$6:$G$20)</f>
        <v>#VALUE!</v>
      </c>
      <c r="C6348" s="29" t="e">
        <f t="shared" si="99"/>
        <v>#VALUE!</v>
      </c>
      <c r="E6348" t="e">
        <f>cubic_spline(CURVA!$B$6:$B$20,CURVA!$G$6:$G$20,#REF!)</f>
        <v>#VALUE!</v>
      </c>
    </row>
    <row r="6349" spans="1:5" x14ac:dyDescent="0.2">
      <c r="A6349" s="28">
        <v>6348</v>
      </c>
      <c r="B6349" s="28" t="e">
        <f>interpola(#REF!,CURVA!$B$6:$B$20,CURVA!$G$6:$G$20)</f>
        <v>#VALUE!</v>
      </c>
      <c r="C6349" s="29" t="e">
        <f t="shared" si="99"/>
        <v>#VALUE!</v>
      </c>
      <c r="E6349" t="e">
        <f>cubic_spline(CURVA!$B$6:$B$20,CURVA!$G$6:$G$20,#REF!)</f>
        <v>#VALUE!</v>
      </c>
    </row>
    <row r="6350" spans="1:5" x14ac:dyDescent="0.2">
      <c r="A6350" s="28">
        <v>6349</v>
      </c>
      <c r="B6350" s="28" t="e">
        <f>interpola(#REF!,CURVA!$B$6:$B$20,CURVA!$G$6:$G$20)</f>
        <v>#VALUE!</v>
      </c>
      <c r="C6350" s="29" t="e">
        <f t="shared" si="99"/>
        <v>#VALUE!</v>
      </c>
      <c r="E6350" t="e">
        <f>cubic_spline(CURVA!$B$6:$B$20,CURVA!$G$6:$G$20,#REF!)</f>
        <v>#VALUE!</v>
      </c>
    </row>
    <row r="6351" spans="1:5" x14ac:dyDescent="0.2">
      <c r="A6351" s="28">
        <v>6350</v>
      </c>
      <c r="B6351" s="28" t="e">
        <f>interpola(#REF!,CURVA!$B$6:$B$20,CURVA!$G$6:$G$20)</f>
        <v>#VALUE!</v>
      </c>
      <c r="C6351" s="29" t="e">
        <f t="shared" si="99"/>
        <v>#VALUE!</v>
      </c>
      <c r="E6351" t="e">
        <f>cubic_spline(CURVA!$B$6:$B$20,CURVA!$G$6:$G$20,#REF!)</f>
        <v>#VALUE!</v>
      </c>
    </row>
    <row r="6352" spans="1:5" x14ac:dyDescent="0.2">
      <c r="A6352" s="28">
        <v>6351</v>
      </c>
      <c r="B6352" s="28" t="e">
        <f>interpola(#REF!,CURVA!$B$6:$B$20,CURVA!$G$6:$G$20)</f>
        <v>#VALUE!</v>
      </c>
      <c r="C6352" s="29" t="e">
        <f t="shared" si="99"/>
        <v>#VALUE!</v>
      </c>
      <c r="E6352" t="e">
        <f>cubic_spline(CURVA!$B$6:$B$20,CURVA!$G$6:$G$20,#REF!)</f>
        <v>#VALUE!</v>
      </c>
    </row>
    <row r="6353" spans="1:5" x14ac:dyDescent="0.2">
      <c r="A6353" s="28">
        <v>6352</v>
      </c>
      <c r="B6353" s="28" t="e">
        <f>interpola(#REF!,CURVA!$B$6:$B$20,CURVA!$G$6:$G$20)</f>
        <v>#VALUE!</v>
      </c>
      <c r="C6353" s="29" t="e">
        <f t="shared" si="99"/>
        <v>#VALUE!</v>
      </c>
      <c r="E6353" t="e">
        <f>cubic_spline(CURVA!$B$6:$B$20,CURVA!$G$6:$G$20,#REF!)</f>
        <v>#VALUE!</v>
      </c>
    </row>
    <row r="6354" spans="1:5" x14ac:dyDescent="0.2">
      <c r="A6354" s="28">
        <v>6353</v>
      </c>
      <c r="B6354" s="28" t="e">
        <f>interpola(#REF!,CURVA!$B$6:$B$20,CURVA!$G$6:$G$20)</f>
        <v>#VALUE!</v>
      </c>
      <c r="C6354" s="29" t="e">
        <f t="shared" si="99"/>
        <v>#VALUE!</v>
      </c>
      <c r="E6354" t="e">
        <f>cubic_spline(CURVA!$B$6:$B$20,CURVA!$G$6:$G$20,#REF!)</f>
        <v>#VALUE!</v>
      </c>
    </row>
    <row r="6355" spans="1:5" x14ac:dyDescent="0.2">
      <c r="A6355" s="28">
        <v>6354</v>
      </c>
      <c r="B6355" s="28" t="e">
        <f>interpola(#REF!,CURVA!$B$6:$B$20,CURVA!$G$6:$G$20)</f>
        <v>#VALUE!</v>
      </c>
      <c r="C6355" s="29" t="e">
        <f t="shared" si="99"/>
        <v>#VALUE!</v>
      </c>
      <c r="E6355" t="e">
        <f>cubic_spline(CURVA!$B$6:$B$20,CURVA!$G$6:$G$20,#REF!)</f>
        <v>#VALUE!</v>
      </c>
    </row>
    <row r="6356" spans="1:5" x14ac:dyDescent="0.2">
      <c r="A6356" s="28">
        <v>6355</v>
      </c>
      <c r="B6356" s="28" t="e">
        <f>interpola(#REF!,CURVA!$B$6:$B$20,CURVA!$G$6:$G$20)</f>
        <v>#VALUE!</v>
      </c>
      <c r="C6356" s="29" t="e">
        <f t="shared" si="99"/>
        <v>#VALUE!</v>
      </c>
      <c r="E6356" t="e">
        <f>cubic_spline(CURVA!$B$6:$B$20,CURVA!$G$6:$G$20,#REF!)</f>
        <v>#VALUE!</v>
      </c>
    </row>
    <row r="6357" spans="1:5" x14ac:dyDescent="0.2">
      <c r="A6357" s="28">
        <v>6356</v>
      </c>
      <c r="B6357" s="28" t="e">
        <f>interpola(#REF!,CURVA!$B$6:$B$20,CURVA!$G$6:$G$20)</f>
        <v>#VALUE!</v>
      </c>
      <c r="C6357" s="29" t="e">
        <f t="shared" si="99"/>
        <v>#VALUE!</v>
      </c>
      <c r="E6357" t="e">
        <f>cubic_spline(CURVA!$B$6:$B$20,CURVA!$G$6:$G$20,#REF!)</f>
        <v>#VALUE!</v>
      </c>
    </row>
    <row r="6358" spans="1:5" x14ac:dyDescent="0.2">
      <c r="A6358" s="28">
        <v>6357</v>
      </c>
      <c r="B6358" s="28" t="e">
        <f>interpola(#REF!,CURVA!$B$6:$B$20,CURVA!$G$6:$G$20)</f>
        <v>#VALUE!</v>
      </c>
      <c r="C6358" s="29" t="e">
        <f t="shared" si="99"/>
        <v>#VALUE!</v>
      </c>
      <c r="E6358" t="e">
        <f>cubic_spline(CURVA!$B$6:$B$20,CURVA!$G$6:$G$20,#REF!)</f>
        <v>#VALUE!</v>
      </c>
    </row>
    <row r="6359" spans="1:5" x14ac:dyDescent="0.2">
      <c r="A6359" s="28">
        <v>6358</v>
      </c>
      <c r="B6359" s="28" t="e">
        <f>interpola(#REF!,CURVA!$B$6:$B$20,CURVA!$G$6:$G$20)</f>
        <v>#VALUE!</v>
      </c>
      <c r="C6359" s="29" t="e">
        <f t="shared" si="99"/>
        <v>#VALUE!</v>
      </c>
      <c r="E6359" t="e">
        <f>cubic_spline(CURVA!$B$6:$B$20,CURVA!$G$6:$G$20,#REF!)</f>
        <v>#VALUE!</v>
      </c>
    </row>
    <row r="6360" spans="1:5" x14ac:dyDescent="0.2">
      <c r="A6360" s="28">
        <v>6359</v>
      </c>
      <c r="B6360" s="28" t="e">
        <f>interpola(#REF!,CURVA!$B$6:$B$20,CURVA!$G$6:$G$20)</f>
        <v>#VALUE!</v>
      </c>
      <c r="C6360" s="29" t="e">
        <f t="shared" si="99"/>
        <v>#VALUE!</v>
      </c>
      <c r="E6360" t="e">
        <f>cubic_spline(CURVA!$B$6:$B$20,CURVA!$G$6:$G$20,#REF!)</f>
        <v>#VALUE!</v>
      </c>
    </row>
    <row r="6361" spans="1:5" x14ac:dyDescent="0.2">
      <c r="A6361" s="28">
        <v>6360</v>
      </c>
      <c r="B6361" s="28" t="e">
        <f>interpola(#REF!,CURVA!$B$6:$B$20,CURVA!$G$6:$G$20)</f>
        <v>#VALUE!</v>
      </c>
      <c r="C6361" s="29" t="e">
        <f t="shared" si="99"/>
        <v>#VALUE!</v>
      </c>
      <c r="E6361" t="e">
        <f>cubic_spline(CURVA!$B$6:$B$20,CURVA!$G$6:$G$20,#REF!)</f>
        <v>#VALUE!</v>
      </c>
    </row>
    <row r="6362" spans="1:5" x14ac:dyDescent="0.2">
      <c r="A6362" s="28">
        <v>6361</v>
      </c>
      <c r="B6362" s="28" t="e">
        <f>interpola(#REF!,CURVA!$B$6:$B$20,CURVA!$G$6:$G$20)</f>
        <v>#VALUE!</v>
      </c>
      <c r="C6362" s="29" t="e">
        <f t="shared" si="99"/>
        <v>#VALUE!</v>
      </c>
      <c r="E6362" t="e">
        <f>cubic_spline(CURVA!$B$6:$B$20,CURVA!$G$6:$G$20,#REF!)</f>
        <v>#VALUE!</v>
      </c>
    </row>
    <row r="6363" spans="1:5" x14ac:dyDescent="0.2">
      <c r="A6363" s="28">
        <v>6362</v>
      </c>
      <c r="B6363" s="28" t="e">
        <f>interpola(#REF!,CURVA!$B$6:$B$20,CURVA!$G$6:$G$20)</f>
        <v>#VALUE!</v>
      </c>
      <c r="C6363" s="29" t="e">
        <f t="shared" si="99"/>
        <v>#VALUE!</v>
      </c>
      <c r="E6363" t="e">
        <f>cubic_spline(CURVA!$B$6:$B$20,CURVA!$G$6:$G$20,#REF!)</f>
        <v>#VALUE!</v>
      </c>
    </row>
    <row r="6364" spans="1:5" x14ac:dyDescent="0.2">
      <c r="A6364" s="28">
        <v>6363</v>
      </c>
      <c r="B6364" s="28" t="e">
        <f>interpola(#REF!,CURVA!$B$6:$B$20,CURVA!$G$6:$G$20)</f>
        <v>#VALUE!</v>
      </c>
      <c r="C6364" s="29" t="e">
        <f t="shared" si="99"/>
        <v>#VALUE!</v>
      </c>
      <c r="E6364" t="e">
        <f>cubic_spline(CURVA!$B$6:$B$20,CURVA!$G$6:$G$20,#REF!)</f>
        <v>#VALUE!</v>
      </c>
    </row>
    <row r="6365" spans="1:5" x14ac:dyDescent="0.2">
      <c r="A6365" s="28">
        <v>6364</v>
      </c>
      <c r="B6365" s="28" t="e">
        <f>interpola(#REF!,CURVA!$B$6:$B$20,CURVA!$G$6:$G$20)</f>
        <v>#VALUE!</v>
      </c>
      <c r="C6365" s="29" t="e">
        <f t="shared" si="99"/>
        <v>#VALUE!</v>
      </c>
      <c r="E6365" t="e">
        <f>cubic_spline(CURVA!$B$6:$B$20,CURVA!$G$6:$G$20,#REF!)</f>
        <v>#VALUE!</v>
      </c>
    </row>
    <row r="6366" spans="1:5" x14ac:dyDescent="0.2">
      <c r="A6366" s="28">
        <v>6365</v>
      </c>
      <c r="B6366" s="28" t="e">
        <f>interpola(#REF!,CURVA!$B$6:$B$20,CURVA!$G$6:$G$20)</f>
        <v>#VALUE!</v>
      </c>
      <c r="C6366" s="29" t="e">
        <f t="shared" si="99"/>
        <v>#VALUE!</v>
      </c>
      <c r="E6366" t="e">
        <f>cubic_spline(CURVA!$B$6:$B$20,CURVA!$G$6:$G$20,#REF!)</f>
        <v>#VALUE!</v>
      </c>
    </row>
    <row r="6367" spans="1:5" x14ac:dyDescent="0.2">
      <c r="A6367" s="28">
        <v>6366</v>
      </c>
      <c r="B6367" s="28" t="e">
        <f>interpola(#REF!,CURVA!$B$6:$B$20,CURVA!$G$6:$G$20)</f>
        <v>#VALUE!</v>
      </c>
      <c r="C6367" s="29" t="e">
        <f t="shared" si="99"/>
        <v>#VALUE!</v>
      </c>
      <c r="E6367" t="e">
        <f>cubic_spline(CURVA!$B$6:$B$20,CURVA!$G$6:$G$20,#REF!)</f>
        <v>#VALUE!</v>
      </c>
    </row>
    <row r="6368" spans="1:5" x14ac:dyDescent="0.2">
      <c r="A6368" s="28">
        <v>6367</v>
      </c>
      <c r="B6368" s="28" t="e">
        <f>interpola(#REF!,CURVA!$B$6:$B$20,CURVA!$G$6:$G$20)</f>
        <v>#VALUE!</v>
      </c>
      <c r="C6368" s="29" t="e">
        <f t="shared" si="99"/>
        <v>#VALUE!</v>
      </c>
      <c r="E6368" t="e">
        <f>cubic_spline(CURVA!$B$6:$B$20,CURVA!$G$6:$G$20,#REF!)</f>
        <v>#VALUE!</v>
      </c>
    </row>
    <row r="6369" spans="1:5" x14ac:dyDescent="0.2">
      <c r="A6369" s="28">
        <v>6368</v>
      </c>
      <c r="B6369" s="28" t="e">
        <f>interpola(#REF!,CURVA!$B$6:$B$20,CURVA!$G$6:$G$20)</f>
        <v>#VALUE!</v>
      </c>
      <c r="C6369" s="29" t="e">
        <f t="shared" si="99"/>
        <v>#VALUE!</v>
      </c>
      <c r="E6369" t="e">
        <f>cubic_spline(CURVA!$B$6:$B$20,CURVA!$G$6:$G$20,#REF!)</f>
        <v>#VALUE!</v>
      </c>
    </row>
    <row r="6370" spans="1:5" x14ac:dyDescent="0.2">
      <c r="A6370" s="28">
        <v>6369</v>
      </c>
      <c r="B6370" s="28" t="e">
        <f>interpola(#REF!,CURVA!$B$6:$B$20,CURVA!$G$6:$G$20)</f>
        <v>#VALUE!</v>
      </c>
      <c r="C6370" s="29" t="e">
        <f t="shared" si="99"/>
        <v>#VALUE!</v>
      </c>
      <c r="E6370" t="e">
        <f>cubic_spline(CURVA!$B$6:$B$20,CURVA!$G$6:$G$20,#REF!)</f>
        <v>#VALUE!</v>
      </c>
    </row>
    <row r="6371" spans="1:5" x14ac:dyDescent="0.2">
      <c r="A6371" s="28">
        <v>6370</v>
      </c>
      <c r="B6371" s="28" t="e">
        <f>interpola(#REF!,CURVA!$B$6:$B$20,CURVA!$G$6:$G$20)</f>
        <v>#VALUE!</v>
      </c>
      <c r="C6371" s="29" t="e">
        <f t="shared" si="99"/>
        <v>#VALUE!</v>
      </c>
      <c r="E6371" t="e">
        <f>cubic_spline(CURVA!$B$6:$B$20,CURVA!$G$6:$G$20,#REF!)</f>
        <v>#VALUE!</v>
      </c>
    </row>
    <row r="6372" spans="1:5" x14ac:dyDescent="0.2">
      <c r="A6372" s="28">
        <v>6371</v>
      </c>
      <c r="B6372" s="28" t="e">
        <f>interpola(#REF!,CURVA!$B$6:$B$20,CURVA!$G$6:$G$20)</f>
        <v>#VALUE!</v>
      </c>
      <c r="C6372" s="29" t="e">
        <f t="shared" si="99"/>
        <v>#VALUE!</v>
      </c>
      <c r="E6372" t="e">
        <f>cubic_spline(CURVA!$B$6:$B$20,CURVA!$G$6:$G$20,#REF!)</f>
        <v>#VALUE!</v>
      </c>
    </row>
    <row r="6373" spans="1:5" x14ac:dyDescent="0.2">
      <c r="A6373" s="28">
        <v>6372</v>
      </c>
      <c r="B6373" s="28" t="e">
        <f>interpola(#REF!,CURVA!$B$6:$B$20,CURVA!$G$6:$G$20)</f>
        <v>#VALUE!</v>
      </c>
      <c r="C6373" s="29" t="e">
        <f t="shared" si="99"/>
        <v>#VALUE!</v>
      </c>
      <c r="E6373" t="e">
        <f>cubic_spline(CURVA!$B$6:$B$20,CURVA!$G$6:$G$20,#REF!)</f>
        <v>#VALUE!</v>
      </c>
    </row>
    <row r="6374" spans="1:5" x14ac:dyDescent="0.2">
      <c r="A6374" s="28">
        <v>6373</v>
      </c>
      <c r="B6374" s="28" t="e">
        <f>interpola(#REF!,CURVA!$B$6:$B$20,CURVA!$G$6:$G$20)</f>
        <v>#VALUE!</v>
      </c>
      <c r="C6374" s="29" t="e">
        <f t="shared" si="99"/>
        <v>#VALUE!</v>
      </c>
      <c r="E6374" t="e">
        <f>cubic_spline(CURVA!$B$6:$B$20,CURVA!$G$6:$G$20,#REF!)</f>
        <v>#VALUE!</v>
      </c>
    </row>
    <row r="6375" spans="1:5" x14ac:dyDescent="0.2">
      <c r="A6375" s="28">
        <v>6374</v>
      </c>
      <c r="B6375" s="28" t="e">
        <f>interpola(#REF!,CURVA!$B$6:$B$20,CURVA!$G$6:$G$20)</f>
        <v>#VALUE!</v>
      </c>
      <c r="C6375" s="29" t="e">
        <f t="shared" si="99"/>
        <v>#VALUE!</v>
      </c>
      <c r="E6375" t="e">
        <f>cubic_spline(CURVA!$B$6:$B$20,CURVA!$G$6:$G$20,#REF!)</f>
        <v>#VALUE!</v>
      </c>
    </row>
    <row r="6376" spans="1:5" x14ac:dyDescent="0.2">
      <c r="A6376" s="28">
        <v>6375</v>
      </c>
      <c r="B6376" s="28" t="e">
        <f>interpola(#REF!,CURVA!$B$6:$B$20,CURVA!$G$6:$G$20)</f>
        <v>#VALUE!</v>
      </c>
      <c r="C6376" s="29" t="e">
        <f t="shared" si="99"/>
        <v>#VALUE!</v>
      </c>
      <c r="E6376" t="e">
        <f>cubic_spline(CURVA!$B$6:$B$20,CURVA!$G$6:$G$20,#REF!)</f>
        <v>#VALUE!</v>
      </c>
    </row>
    <row r="6377" spans="1:5" x14ac:dyDescent="0.2">
      <c r="A6377" s="28">
        <v>6376</v>
      </c>
      <c r="B6377" s="28" t="e">
        <f>interpola(#REF!,CURVA!$B$6:$B$20,CURVA!$G$6:$G$20)</f>
        <v>#VALUE!</v>
      </c>
      <c r="C6377" s="29" t="e">
        <f t="shared" si="99"/>
        <v>#VALUE!</v>
      </c>
      <c r="E6377" t="e">
        <f>cubic_spline(CURVA!$B$6:$B$20,CURVA!$G$6:$G$20,#REF!)</f>
        <v>#VALUE!</v>
      </c>
    </row>
    <row r="6378" spans="1:5" x14ac:dyDescent="0.2">
      <c r="A6378" s="28">
        <v>6377</v>
      </c>
      <c r="B6378" s="28" t="e">
        <f>interpola(#REF!,CURVA!$B$6:$B$20,CURVA!$G$6:$G$20)</f>
        <v>#VALUE!</v>
      </c>
      <c r="C6378" s="29" t="e">
        <f t="shared" si="99"/>
        <v>#VALUE!</v>
      </c>
      <c r="E6378" t="e">
        <f>cubic_spline(CURVA!$B$6:$B$20,CURVA!$G$6:$G$20,#REF!)</f>
        <v>#VALUE!</v>
      </c>
    </row>
    <row r="6379" spans="1:5" x14ac:dyDescent="0.2">
      <c r="A6379" s="28">
        <v>6378</v>
      </c>
      <c r="B6379" s="28" t="e">
        <f>interpola(#REF!,CURVA!$B$6:$B$20,CURVA!$G$6:$G$20)</f>
        <v>#VALUE!</v>
      </c>
      <c r="C6379" s="29" t="e">
        <f t="shared" si="99"/>
        <v>#VALUE!</v>
      </c>
      <c r="E6379" t="e">
        <f>cubic_spline(CURVA!$B$6:$B$20,CURVA!$G$6:$G$20,#REF!)</f>
        <v>#VALUE!</v>
      </c>
    </row>
    <row r="6380" spans="1:5" x14ac:dyDescent="0.2">
      <c r="A6380" s="28">
        <v>6379</v>
      </c>
      <c r="B6380" s="28" t="e">
        <f>interpola(#REF!,CURVA!$B$6:$B$20,CURVA!$G$6:$G$20)</f>
        <v>#VALUE!</v>
      </c>
      <c r="C6380" s="29" t="e">
        <f t="shared" si="99"/>
        <v>#VALUE!</v>
      </c>
      <c r="E6380" t="e">
        <f>cubic_spline(CURVA!$B$6:$B$20,CURVA!$G$6:$G$20,#REF!)</f>
        <v>#VALUE!</v>
      </c>
    </row>
    <row r="6381" spans="1:5" x14ac:dyDescent="0.2">
      <c r="A6381" s="28">
        <v>6380</v>
      </c>
      <c r="B6381" s="28" t="e">
        <f>interpola(#REF!,CURVA!$B$6:$B$20,CURVA!$G$6:$G$20)</f>
        <v>#VALUE!</v>
      </c>
      <c r="C6381" s="29" t="e">
        <f t="shared" si="99"/>
        <v>#VALUE!</v>
      </c>
      <c r="E6381" t="e">
        <f>cubic_spline(CURVA!$B$6:$B$20,CURVA!$G$6:$G$20,#REF!)</f>
        <v>#VALUE!</v>
      </c>
    </row>
    <row r="6382" spans="1:5" x14ac:dyDescent="0.2">
      <c r="A6382" s="28">
        <v>6381</v>
      </c>
      <c r="B6382" s="28" t="e">
        <f>interpola(#REF!,CURVA!$B$6:$B$20,CURVA!$G$6:$G$20)</f>
        <v>#VALUE!</v>
      </c>
      <c r="C6382" s="29" t="e">
        <f t="shared" si="99"/>
        <v>#VALUE!</v>
      </c>
      <c r="E6382" t="e">
        <f>cubic_spline(CURVA!$B$6:$B$20,CURVA!$G$6:$G$20,#REF!)</f>
        <v>#VALUE!</v>
      </c>
    </row>
    <row r="6383" spans="1:5" x14ac:dyDescent="0.2">
      <c r="A6383" s="28">
        <v>6382</v>
      </c>
      <c r="B6383" s="28" t="e">
        <f>interpola(#REF!,CURVA!$B$6:$B$20,CURVA!$G$6:$G$20)</f>
        <v>#VALUE!</v>
      </c>
      <c r="C6383" s="29" t="e">
        <f t="shared" si="99"/>
        <v>#VALUE!</v>
      </c>
      <c r="E6383" t="e">
        <f>cubic_spline(CURVA!$B$6:$B$20,CURVA!$G$6:$G$20,#REF!)</f>
        <v>#VALUE!</v>
      </c>
    </row>
    <row r="6384" spans="1:5" x14ac:dyDescent="0.2">
      <c r="A6384" s="28">
        <v>6383</v>
      </c>
      <c r="B6384" s="28" t="e">
        <f>interpola(#REF!,CURVA!$B$6:$B$20,CURVA!$G$6:$G$20)</f>
        <v>#VALUE!</v>
      </c>
      <c r="C6384" s="29" t="e">
        <f t="shared" si="99"/>
        <v>#VALUE!</v>
      </c>
      <c r="E6384" t="e">
        <f>cubic_spline(CURVA!$B$6:$B$20,CURVA!$G$6:$G$20,#REF!)</f>
        <v>#VALUE!</v>
      </c>
    </row>
    <row r="6385" spans="1:5" x14ac:dyDescent="0.2">
      <c r="A6385" s="28">
        <v>6384</v>
      </c>
      <c r="B6385" s="28" t="e">
        <f>interpola(#REF!,CURVA!$B$6:$B$20,CURVA!$G$6:$G$20)</f>
        <v>#VALUE!</v>
      </c>
      <c r="C6385" s="29" t="e">
        <f t="shared" si="99"/>
        <v>#VALUE!</v>
      </c>
      <c r="E6385" t="e">
        <f>cubic_spline(CURVA!$B$6:$B$20,CURVA!$G$6:$G$20,#REF!)</f>
        <v>#VALUE!</v>
      </c>
    </row>
    <row r="6386" spans="1:5" x14ac:dyDescent="0.2">
      <c r="A6386" s="28">
        <v>6385</v>
      </c>
      <c r="B6386" s="28" t="e">
        <f>interpola(#REF!,CURVA!$B$6:$B$20,CURVA!$G$6:$G$20)</f>
        <v>#VALUE!</v>
      </c>
      <c r="C6386" s="29" t="e">
        <f t="shared" si="99"/>
        <v>#VALUE!</v>
      </c>
      <c r="E6386" t="e">
        <f>cubic_spline(CURVA!$B$6:$B$20,CURVA!$G$6:$G$20,#REF!)</f>
        <v>#VALUE!</v>
      </c>
    </row>
    <row r="6387" spans="1:5" x14ac:dyDescent="0.2">
      <c r="A6387" s="28">
        <v>6386</v>
      </c>
      <c r="B6387" s="28" t="e">
        <f>interpola(#REF!,CURVA!$B$6:$B$20,CURVA!$G$6:$G$20)</f>
        <v>#VALUE!</v>
      </c>
      <c r="C6387" s="29" t="e">
        <f t="shared" si="99"/>
        <v>#VALUE!</v>
      </c>
      <c r="E6387" t="e">
        <f>cubic_spline(CURVA!$B$6:$B$20,CURVA!$G$6:$G$20,#REF!)</f>
        <v>#VALUE!</v>
      </c>
    </row>
    <row r="6388" spans="1:5" x14ac:dyDescent="0.2">
      <c r="A6388" s="28">
        <v>6387</v>
      </c>
      <c r="B6388" s="28" t="e">
        <f>interpola(#REF!,CURVA!$B$6:$B$20,CURVA!$G$6:$G$20)</f>
        <v>#VALUE!</v>
      </c>
      <c r="C6388" s="29" t="e">
        <f t="shared" si="99"/>
        <v>#VALUE!</v>
      </c>
      <c r="E6388" t="e">
        <f>cubic_spline(CURVA!$B$6:$B$20,CURVA!$G$6:$G$20,#REF!)</f>
        <v>#VALUE!</v>
      </c>
    </row>
    <row r="6389" spans="1:5" x14ac:dyDescent="0.2">
      <c r="A6389" s="28">
        <v>6388</v>
      </c>
      <c r="B6389" s="28" t="e">
        <f>interpola(#REF!,CURVA!$B$6:$B$20,CURVA!$G$6:$G$20)</f>
        <v>#VALUE!</v>
      </c>
      <c r="C6389" s="29" t="e">
        <f t="shared" si="99"/>
        <v>#VALUE!</v>
      </c>
      <c r="E6389" t="e">
        <f>cubic_spline(CURVA!$B$6:$B$20,CURVA!$G$6:$G$20,#REF!)</f>
        <v>#VALUE!</v>
      </c>
    </row>
    <row r="6390" spans="1:5" x14ac:dyDescent="0.2">
      <c r="A6390" s="28">
        <v>6389</v>
      </c>
      <c r="B6390" s="28" t="e">
        <f>interpola(#REF!,CURVA!$B$6:$B$20,CURVA!$G$6:$G$20)</f>
        <v>#VALUE!</v>
      </c>
      <c r="C6390" s="29" t="e">
        <f t="shared" si="99"/>
        <v>#VALUE!</v>
      </c>
      <c r="E6390" t="e">
        <f>cubic_spline(CURVA!$B$6:$B$20,CURVA!$G$6:$G$20,#REF!)</f>
        <v>#VALUE!</v>
      </c>
    </row>
    <row r="6391" spans="1:5" x14ac:dyDescent="0.2">
      <c r="A6391" s="28">
        <v>6390</v>
      </c>
      <c r="B6391" s="28" t="e">
        <f>interpola(#REF!,CURVA!$B$6:$B$20,CURVA!$G$6:$G$20)</f>
        <v>#VALUE!</v>
      </c>
      <c r="C6391" s="29" t="e">
        <f t="shared" si="99"/>
        <v>#VALUE!</v>
      </c>
      <c r="E6391" t="e">
        <f>cubic_spline(CURVA!$B$6:$B$20,CURVA!$G$6:$G$20,#REF!)</f>
        <v>#VALUE!</v>
      </c>
    </row>
    <row r="6392" spans="1:5" x14ac:dyDescent="0.2">
      <c r="A6392" s="28">
        <v>6391</v>
      </c>
      <c r="B6392" s="28" t="e">
        <f>interpola(#REF!,CURVA!$B$6:$B$20,CURVA!$G$6:$G$20)</f>
        <v>#VALUE!</v>
      </c>
      <c r="C6392" s="29" t="e">
        <f t="shared" si="99"/>
        <v>#VALUE!</v>
      </c>
      <c r="E6392" t="e">
        <f>cubic_spline(CURVA!$B$6:$B$20,CURVA!$G$6:$G$20,#REF!)</f>
        <v>#VALUE!</v>
      </c>
    </row>
    <row r="6393" spans="1:5" x14ac:dyDescent="0.2">
      <c r="A6393" s="28">
        <v>6392</v>
      </c>
      <c r="B6393" s="28" t="e">
        <f>interpola(#REF!,CURVA!$B$6:$B$20,CURVA!$G$6:$G$20)</f>
        <v>#VALUE!</v>
      </c>
      <c r="C6393" s="29" t="e">
        <f t="shared" si="99"/>
        <v>#VALUE!</v>
      </c>
      <c r="E6393" t="e">
        <f>cubic_spline(CURVA!$B$6:$B$20,CURVA!$G$6:$G$20,#REF!)</f>
        <v>#VALUE!</v>
      </c>
    </row>
    <row r="6394" spans="1:5" x14ac:dyDescent="0.2">
      <c r="A6394" s="28">
        <v>6393</v>
      </c>
      <c r="B6394" s="28" t="e">
        <f>interpola(#REF!,CURVA!$B$6:$B$20,CURVA!$G$6:$G$20)</f>
        <v>#VALUE!</v>
      </c>
      <c r="C6394" s="29" t="e">
        <f t="shared" si="99"/>
        <v>#VALUE!</v>
      </c>
      <c r="E6394" t="e">
        <f>cubic_spline(CURVA!$B$6:$B$20,CURVA!$G$6:$G$20,#REF!)</f>
        <v>#VALUE!</v>
      </c>
    </row>
    <row r="6395" spans="1:5" x14ac:dyDescent="0.2">
      <c r="A6395" s="28">
        <v>6394</v>
      </c>
      <c r="B6395" s="28" t="e">
        <f>interpola(#REF!,CURVA!$B$6:$B$20,CURVA!$G$6:$G$20)</f>
        <v>#VALUE!</v>
      </c>
      <c r="C6395" s="29" t="e">
        <f t="shared" si="99"/>
        <v>#VALUE!</v>
      </c>
      <c r="E6395" t="e">
        <f>cubic_spline(CURVA!$B$6:$B$20,CURVA!$G$6:$G$20,#REF!)</f>
        <v>#VALUE!</v>
      </c>
    </row>
    <row r="6396" spans="1:5" x14ac:dyDescent="0.2">
      <c r="A6396" s="28">
        <v>6395</v>
      </c>
      <c r="B6396" s="28" t="e">
        <f>interpola(#REF!,CURVA!$B$6:$B$20,CURVA!$G$6:$G$20)</f>
        <v>#VALUE!</v>
      </c>
      <c r="C6396" s="29" t="e">
        <f t="shared" si="99"/>
        <v>#VALUE!</v>
      </c>
      <c r="E6396" t="e">
        <f>cubic_spline(CURVA!$B$6:$B$20,CURVA!$G$6:$G$20,#REF!)</f>
        <v>#VALUE!</v>
      </c>
    </row>
    <row r="6397" spans="1:5" x14ac:dyDescent="0.2">
      <c r="A6397" s="28">
        <v>6396</v>
      </c>
      <c r="B6397" s="28" t="e">
        <f>interpola(#REF!,CURVA!$B$6:$B$20,CURVA!$G$6:$G$20)</f>
        <v>#VALUE!</v>
      </c>
      <c r="C6397" s="29" t="e">
        <f t="shared" si="99"/>
        <v>#VALUE!</v>
      </c>
      <c r="E6397" t="e">
        <f>cubic_spline(CURVA!$B$6:$B$20,CURVA!$G$6:$G$20,#REF!)</f>
        <v>#VALUE!</v>
      </c>
    </row>
    <row r="6398" spans="1:5" x14ac:dyDescent="0.2">
      <c r="A6398" s="28">
        <v>6397</v>
      </c>
      <c r="B6398" s="28" t="e">
        <f>interpola(#REF!,CURVA!$B$6:$B$20,CURVA!$G$6:$G$20)</f>
        <v>#VALUE!</v>
      </c>
      <c r="C6398" s="29" t="e">
        <f t="shared" si="99"/>
        <v>#VALUE!</v>
      </c>
      <c r="E6398" t="e">
        <f>cubic_spline(CURVA!$B$6:$B$20,CURVA!$G$6:$G$20,#REF!)</f>
        <v>#VALUE!</v>
      </c>
    </row>
    <row r="6399" spans="1:5" x14ac:dyDescent="0.2">
      <c r="A6399" s="28">
        <v>6398</v>
      </c>
      <c r="B6399" s="28" t="e">
        <f>interpola(#REF!,CURVA!$B$6:$B$20,CURVA!$G$6:$G$20)</f>
        <v>#VALUE!</v>
      </c>
      <c r="C6399" s="29" t="e">
        <f t="shared" si="99"/>
        <v>#VALUE!</v>
      </c>
      <c r="E6399" t="e">
        <f>cubic_spline(CURVA!$B$6:$B$20,CURVA!$G$6:$G$20,#REF!)</f>
        <v>#VALUE!</v>
      </c>
    </row>
    <row r="6400" spans="1:5" x14ac:dyDescent="0.2">
      <c r="A6400" s="28">
        <v>6399</v>
      </c>
      <c r="B6400" s="28" t="e">
        <f>interpola(#REF!,CURVA!$B$6:$B$20,CURVA!$G$6:$G$20)</f>
        <v>#VALUE!</v>
      </c>
      <c r="C6400" s="29" t="e">
        <f t="shared" si="99"/>
        <v>#VALUE!</v>
      </c>
      <c r="E6400" t="e">
        <f>cubic_spline(CURVA!$B$6:$B$20,CURVA!$G$6:$G$20,#REF!)</f>
        <v>#VALUE!</v>
      </c>
    </row>
    <row r="6401" spans="1:5" x14ac:dyDescent="0.2">
      <c r="A6401" s="28">
        <v>6400</v>
      </c>
      <c r="B6401" s="28" t="e">
        <f>interpola(#REF!,CURVA!$B$6:$B$20,CURVA!$G$6:$G$20)</f>
        <v>#VALUE!</v>
      </c>
      <c r="C6401" s="29" t="e">
        <f t="shared" si="99"/>
        <v>#VALUE!</v>
      </c>
      <c r="E6401" t="e">
        <f>cubic_spline(CURVA!$B$6:$B$20,CURVA!$G$6:$G$20,#REF!)</f>
        <v>#VALUE!</v>
      </c>
    </row>
    <row r="6402" spans="1:5" x14ac:dyDescent="0.2">
      <c r="A6402" s="28">
        <v>6401</v>
      </c>
      <c r="B6402" s="28" t="e">
        <f>interpola(#REF!,CURVA!$B$6:$B$20,CURVA!$G$6:$G$20)</f>
        <v>#VALUE!</v>
      </c>
      <c r="C6402" s="29" t="e">
        <f t="shared" ref="C6402:C6465" si="100">(EXP(B6402*A6402/360)-1)*360/A6402</f>
        <v>#VALUE!</v>
      </c>
      <c r="E6402" t="e">
        <f>cubic_spline(CURVA!$B$6:$B$20,CURVA!$G$6:$G$20,#REF!)</f>
        <v>#VALUE!</v>
      </c>
    </row>
    <row r="6403" spans="1:5" x14ac:dyDescent="0.2">
      <c r="A6403" s="28">
        <v>6402</v>
      </c>
      <c r="B6403" s="28" t="e">
        <f>interpola(#REF!,CURVA!$B$6:$B$20,CURVA!$G$6:$G$20)</f>
        <v>#VALUE!</v>
      </c>
      <c r="C6403" s="29" t="e">
        <f t="shared" si="100"/>
        <v>#VALUE!</v>
      </c>
      <c r="E6403" t="e">
        <f>cubic_spline(CURVA!$B$6:$B$20,CURVA!$G$6:$G$20,#REF!)</f>
        <v>#VALUE!</v>
      </c>
    </row>
    <row r="6404" spans="1:5" x14ac:dyDescent="0.2">
      <c r="A6404" s="28">
        <v>6403</v>
      </c>
      <c r="B6404" s="28" t="e">
        <f>interpola(#REF!,CURVA!$B$6:$B$20,CURVA!$G$6:$G$20)</f>
        <v>#VALUE!</v>
      </c>
      <c r="C6404" s="29" t="e">
        <f t="shared" si="100"/>
        <v>#VALUE!</v>
      </c>
      <c r="E6404" t="e">
        <f>cubic_spline(CURVA!$B$6:$B$20,CURVA!$G$6:$G$20,#REF!)</f>
        <v>#VALUE!</v>
      </c>
    </row>
    <row r="6405" spans="1:5" x14ac:dyDescent="0.2">
      <c r="A6405" s="28">
        <v>6404</v>
      </c>
      <c r="B6405" s="28" t="e">
        <f>interpola(#REF!,CURVA!$B$6:$B$20,CURVA!$G$6:$G$20)</f>
        <v>#VALUE!</v>
      </c>
      <c r="C6405" s="29" t="e">
        <f t="shared" si="100"/>
        <v>#VALUE!</v>
      </c>
      <c r="E6405" t="e">
        <f>cubic_spline(CURVA!$B$6:$B$20,CURVA!$G$6:$G$20,#REF!)</f>
        <v>#VALUE!</v>
      </c>
    </row>
    <row r="6406" spans="1:5" x14ac:dyDescent="0.2">
      <c r="A6406" s="28">
        <v>6405</v>
      </c>
      <c r="B6406" s="28" t="e">
        <f>interpola(#REF!,CURVA!$B$6:$B$20,CURVA!$G$6:$G$20)</f>
        <v>#VALUE!</v>
      </c>
      <c r="C6406" s="29" t="e">
        <f t="shared" si="100"/>
        <v>#VALUE!</v>
      </c>
      <c r="E6406" t="e">
        <f>cubic_spline(CURVA!$B$6:$B$20,CURVA!$G$6:$G$20,#REF!)</f>
        <v>#VALUE!</v>
      </c>
    </row>
    <row r="6407" spans="1:5" x14ac:dyDescent="0.2">
      <c r="A6407" s="28">
        <v>6406</v>
      </c>
      <c r="B6407" s="28" t="e">
        <f>interpola(#REF!,CURVA!$B$6:$B$20,CURVA!$G$6:$G$20)</f>
        <v>#VALUE!</v>
      </c>
      <c r="C6407" s="29" t="e">
        <f t="shared" si="100"/>
        <v>#VALUE!</v>
      </c>
      <c r="E6407" t="e">
        <f>cubic_spline(CURVA!$B$6:$B$20,CURVA!$G$6:$G$20,#REF!)</f>
        <v>#VALUE!</v>
      </c>
    </row>
    <row r="6408" spans="1:5" x14ac:dyDescent="0.2">
      <c r="A6408" s="28">
        <v>6407</v>
      </c>
      <c r="B6408" s="28" t="e">
        <f>interpola(#REF!,CURVA!$B$6:$B$20,CURVA!$G$6:$G$20)</f>
        <v>#VALUE!</v>
      </c>
      <c r="C6408" s="29" t="e">
        <f t="shared" si="100"/>
        <v>#VALUE!</v>
      </c>
      <c r="E6408" t="e">
        <f>cubic_spline(CURVA!$B$6:$B$20,CURVA!$G$6:$G$20,#REF!)</f>
        <v>#VALUE!</v>
      </c>
    </row>
    <row r="6409" spans="1:5" x14ac:dyDescent="0.2">
      <c r="A6409" s="28">
        <v>6408</v>
      </c>
      <c r="B6409" s="28" t="e">
        <f>interpola(#REF!,CURVA!$B$6:$B$20,CURVA!$G$6:$G$20)</f>
        <v>#VALUE!</v>
      </c>
      <c r="C6409" s="29" t="e">
        <f t="shared" si="100"/>
        <v>#VALUE!</v>
      </c>
      <c r="E6409" t="e">
        <f>cubic_spline(CURVA!$B$6:$B$20,CURVA!$G$6:$G$20,#REF!)</f>
        <v>#VALUE!</v>
      </c>
    </row>
    <row r="6410" spans="1:5" x14ac:dyDescent="0.2">
      <c r="A6410" s="28">
        <v>6409</v>
      </c>
      <c r="B6410" s="28" t="e">
        <f>interpola(#REF!,CURVA!$B$6:$B$20,CURVA!$G$6:$G$20)</f>
        <v>#VALUE!</v>
      </c>
      <c r="C6410" s="29" t="e">
        <f t="shared" si="100"/>
        <v>#VALUE!</v>
      </c>
      <c r="E6410" t="e">
        <f>cubic_spline(CURVA!$B$6:$B$20,CURVA!$G$6:$G$20,#REF!)</f>
        <v>#VALUE!</v>
      </c>
    </row>
    <row r="6411" spans="1:5" x14ac:dyDescent="0.2">
      <c r="A6411" s="28">
        <v>6410</v>
      </c>
      <c r="B6411" s="28" t="e">
        <f>interpola(#REF!,CURVA!$B$6:$B$20,CURVA!$G$6:$G$20)</f>
        <v>#VALUE!</v>
      </c>
      <c r="C6411" s="29" t="e">
        <f t="shared" si="100"/>
        <v>#VALUE!</v>
      </c>
      <c r="E6411" t="e">
        <f>cubic_spline(CURVA!$B$6:$B$20,CURVA!$G$6:$G$20,#REF!)</f>
        <v>#VALUE!</v>
      </c>
    </row>
    <row r="6412" spans="1:5" x14ac:dyDescent="0.2">
      <c r="A6412" s="28">
        <v>6411</v>
      </c>
      <c r="B6412" s="28" t="e">
        <f>interpola(#REF!,CURVA!$B$6:$B$20,CURVA!$G$6:$G$20)</f>
        <v>#VALUE!</v>
      </c>
      <c r="C6412" s="29" t="e">
        <f t="shared" si="100"/>
        <v>#VALUE!</v>
      </c>
      <c r="E6412" t="e">
        <f>cubic_spline(CURVA!$B$6:$B$20,CURVA!$G$6:$G$20,#REF!)</f>
        <v>#VALUE!</v>
      </c>
    </row>
    <row r="6413" spans="1:5" x14ac:dyDescent="0.2">
      <c r="A6413" s="28">
        <v>6412</v>
      </c>
      <c r="B6413" s="28" t="e">
        <f>interpola(#REF!,CURVA!$B$6:$B$20,CURVA!$G$6:$G$20)</f>
        <v>#VALUE!</v>
      </c>
      <c r="C6413" s="29" t="e">
        <f t="shared" si="100"/>
        <v>#VALUE!</v>
      </c>
      <c r="E6413" t="e">
        <f>cubic_spline(CURVA!$B$6:$B$20,CURVA!$G$6:$G$20,#REF!)</f>
        <v>#VALUE!</v>
      </c>
    </row>
    <row r="6414" spans="1:5" x14ac:dyDescent="0.2">
      <c r="A6414" s="28">
        <v>6413</v>
      </c>
      <c r="B6414" s="28" t="e">
        <f>interpola(#REF!,CURVA!$B$6:$B$20,CURVA!$G$6:$G$20)</f>
        <v>#VALUE!</v>
      </c>
      <c r="C6414" s="29" t="e">
        <f t="shared" si="100"/>
        <v>#VALUE!</v>
      </c>
      <c r="E6414" t="e">
        <f>cubic_spline(CURVA!$B$6:$B$20,CURVA!$G$6:$G$20,#REF!)</f>
        <v>#VALUE!</v>
      </c>
    </row>
    <row r="6415" spans="1:5" x14ac:dyDescent="0.2">
      <c r="A6415" s="28">
        <v>6414</v>
      </c>
      <c r="B6415" s="28" t="e">
        <f>interpola(#REF!,CURVA!$B$6:$B$20,CURVA!$G$6:$G$20)</f>
        <v>#VALUE!</v>
      </c>
      <c r="C6415" s="29" t="e">
        <f t="shared" si="100"/>
        <v>#VALUE!</v>
      </c>
      <c r="E6415" t="e">
        <f>cubic_spline(CURVA!$B$6:$B$20,CURVA!$G$6:$G$20,#REF!)</f>
        <v>#VALUE!</v>
      </c>
    </row>
    <row r="6416" spans="1:5" x14ac:dyDescent="0.2">
      <c r="A6416" s="28">
        <v>6415</v>
      </c>
      <c r="B6416" s="28" t="e">
        <f>interpola(#REF!,CURVA!$B$6:$B$20,CURVA!$G$6:$G$20)</f>
        <v>#VALUE!</v>
      </c>
      <c r="C6416" s="29" t="e">
        <f t="shared" si="100"/>
        <v>#VALUE!</v>
      </c>
      <c r="E6416" t="e">
        <f>cubic_spline(CURVA!$B$6:$B$20,CURVA!$G$6:$G$20,#REF!)</f>
        <v>#VALUE!</v>
      </c>
    </row>
    <row r="6417" spans="1:5" x14ac:dyDescent="0.2">
      <c r="A6417" s="28">
        <v>6416</v>
      </c>
      <c r="B6417" s="28" t="e">
        <f>interpola(#REF!,CURVA!$B$6:$B$20,CURVA!$G$6:$G$20)</f>
        <v>#VALUE!</v>
      </c>
      <c r="C6417" s="29" t="e">
        <f t="shared" si="100"/>
        <v>#VALUE!</v>
      </c>
      <c r="E6417" t="e">
        <f>cubic_spline(CURVA!$B$6:$B$20,CURVA!$G$6:$G$20,#REF!)</f>
        <v>#VALUE!</v>
      </c>
    </row>
    <row r="6418" spans="1:5" x14ac:dyDescent="0.2">
      <c r="A6418" s="28">
        <v>6417</v>
      </c>
      <c r="B6418" s="28" t="e">
        <f>interpola(#REF!,CURVA!$B$6:$B$20,CURVA!$G$6:$G$20)</f>
        <v>#VALUE!</v>
      </c>
      <c r="C6418" s="29" t="e">
        <f t="shared" si="100"/>
        <v>#VALUE!</v>
      </c>
      <c r="E6418" t="e">
        <f>cubic_spline(CURVA!$B$6:$B$20,CURVA!$G$6:$G$20,#REF!)</f>
        <v>#VALUE!</v>
      </c>
    </row>
    <row r="6419" spans="1:5" x14ac:dyDescent="0.2">
      <c r="A6419" s="28">
        <v>6418</v>
      </c>
      <c r="B6419" s="28" t="e">
        <f>interpola(#REF!,CURVA!$B$6:$B$20,CURVA!$G$6:$G$20)</f>
        <v>#VALUE!</v>
      </c>
      <c r="C6419" s="29" t="e">
        <f t="shared" si="100"/>
        <v>#VALUE!</v>
      </c>
      <c r="E6419" t="e">
        <f>cubic_spline(CURVA!$B$6:$B$20,CURVA!$G$6:$G$20,#REF!)</f>
        <v>#VALUE!</v>
      </c>
    </row>
    <row r="6420" spans="1:5" x14ac:dyDescent="0.2">
      <c r="A6420" s="28">
        <v>6419</v>
      </c>
      <c r="B6420" s="28" t="e">
        <f>interpola(#REF!,CURVA!$B$6:$B$20,CURVA!$G$6:$G$20)</f>
        <v>#VALUE!</v>
      </c>
      <c r="C6420" s="29" t="e">
        <f t="shared" si="100"/>
        <v>#VALUE!</v>
      </c>
      <c r="E6420" t="e">
        <f>cubic_spline(CURVA!$B$6:$B$20,CURVA!$G$6:$G$20,#REF!)</f>
        <v>#VALUE!</v>
      </c>
    </row>
    <row r="6421" spans="1:5" x14ac:dyDescent="0.2">
      <c r="A6421" s="28">
        <v>6420</v>
      </c>
      <c r="B6421" s="28" t="e">
        <f>interpola(#REF!,CURVA!$B$6:$B$20,CURVA!$G$6:$G$20)</f>
        <v>#VALUE!</v>
      </c>
      <c r="C6421" s="29" t="e">
        <f t="shared" si="100"/>
        <v>#VALUE!</v>
      </c>
      <c r="E6421" t="e">
        <f>cubic_spline(CURVA!$B$6:$B$20,CURVA!$G$6:$G$20,#REF!)</f>
        <v>#VALUE!</v>
      </c>
    </row>
    <row r="6422" spans="1:5" x14ac:dyDescent="0.2">
      <c r="A6422" s="28">
        <v>6421</v>
      </c>
      <c r="B6422" s="28" t="e">
        <f>interpola(#REF!,CURVA!$B$6:$B$20,CURVA!$G$6:$G$20)</f>
        <v>#VALUE!</v>
      </c>
      <c r="C6422" s="29" t="e">
        <f t="shared" si="100"/>
        <v>#VALUE!</v>
      </c>
      <c r="E6422" t="e">
        <f>cubic_spline(CURVA!$B$6:$B$20,CURVA!$G$6:$G$20,#REF!)</f>
        <v>#VALUE!</v>
      </c>
    </row>
    <row r="6423" spans="1:5" x14ac:dyDescent="0.2">
      <c r="A6423" s="28">
        <v>6422</v>
      </c>
      <c r="B6423" s="28" t="e">
        <f>interpola(#REF!,CURVA!$B$6:$B$20,CURVA!$G$6:$G$20)</f>
        <v>#VALUE!</v>
      </c>
      <c r="C6423" s="29" t="e">
        <f t="shared" si="100"/>
        <v>#VALUE!</v>
      </c>
      <c r="E6423" t="e">
        <f>cubic_spline(CURVA!$B$6:$B$20,CURVA!$G$6:$G$20,#REF!)</f>
        <v>#VALUE!</v>
      </c>
    </row>
    <row r="6424" spans="1:5" x14ac:dyDescent="0.2">
      <c r="A6424" s="28">
        <v>6423</v>
      </c>
      <c r="B6424" s="28" t="e">
        <f>interpola(#REF!,CURVA!$B$6:$B$20,CURVA!$G$6:$G$20)</f>
        <v>#VALUE!</v>
      </c>
      <c r="C6424" s="29" t="e">
        <f t="shared" si="100"/>
        <v>#VALUE!</v>
      </c>
      <c r="E6424" t="e">
        <f>cubic_spline(CURVA!$B$6:$B$20,CURVA!$G$6:$G$20,#REF!)</f>
        <v>#VALUE!</v>
      </c>
    </row>
    <row r="6425" spans="1:5" x14ac:dyDescent="0.2">
      <c r="A6425" s="28">
        <v>6424</v>
      </c>
      <c r="B6425" s="28" t="e">
        <f>interpola(#REF!,CURVA!$B$6:$B$20,CURVA!$G$6:$G$20)</f>
        <v>#VALUE!</v>
      </c>
      <c r="C6425" s="29" t="e">
        <f t="shared" si="100"/>
        <v>#VALUE!</v>
      </c>
      <c r="E6425" t="e">
        <f>cubic_spline(CURVA!$B$6:$B$20,CURVA!$G$6:$G$20,#REF!)</f>
        <v>#VALUE!</v>
      </c>
    </row>
    <row r="6426" spans="1:5" x14ac:dyDescent="0.2">
      <c r="A6426" s="28">
        <v>6425</v>
      </c>
      <c r="B6426" s="28" t="e">
        <f>interpola(#REF!,CURVA!$B$6:$B$20,CURVA!$G$6:$G$20)</f>
        <v>#VALUE!</v>
      </c>
      <c r="C6426" s="29" t="e">
        <f t="shared" si="100"/>
        <v>#VALUE!</v>
      </c>
      <c r="E6426" t="e">
        <f>cubic_spline(CURVA!$B$6:$B$20,CURVA!$G$6:$G$20,#REF!)</f>
        <v>#VALUE!</v>
      </c>
    </row>
    <row r="6427" spans="1:5" x14ac:dyDescent="0.2">
      <c r="A6427" s="28">
        <v>6426</v>
      </c>
      <c r="B6427" s="28" t="e">
        <f>interpola(#REF!,CURVA!$B$6:$B$20,CURVA!$G$6:$G$20)</f>
        <v>#VALUE!</v>
      </c>
      <c r="C6427" s="29" t="e">
        <f t="shared" si="100"/>
        <v>#VALUE!</v>
      </c>
      <c r="E6427" t="e">
        <f>cubic_spline(CURVA!$B$6:$B$20,CURVA!$G$6:$G$20,#REF!)</f>
        <v>#VALUE!</v>
      </c>
    </row>
    <row r="6428" spans="1:5" x14ac:dyDescent="0.2">
      <c r="A6428" s="28">
        <v>6427</v>
      </c>
      <c r="B6428" s="28" t="e">
        <f>interpola(#REF!,CURVA!$B$6:$B$20,CURVA!$G$6:$G$20)</f>
        <v>#VALUE!</v>
      </c>
      <c r="C6428" s="29" t="e">
        <f t="shared" si="100"/>
        <v>#VALUE!</v>
      </c>
      <c r="E6428" t="e">
        <f>cubic_spline(CURVA!$B$6:$B$20,CURVA!$G$6:$G$20,#REF!)</f>
        <v>#VALUE!</v>
      </c>
    </row>
    <row r="6429" spans="1:5" x14ac:dyDescent="0.2">
      <c r="A6429" s="28">
        <v>6428</v>
      </c>
      <c r="B6429" s="28" t="e">
        <f>interpola(#REF!,CURVA!$B$6:$B$20,CURVA!$G$6:$G$20)</f>
        <v>#VALUE!</v>
      </c>
      <c r="C6429" s="29" t="e">
        <f t="shared" si="100"/>
        <v>#VALUE!</v>
      </c>
      <c r="E6429" t="e">
        <f>cubic_spline(CURVA!$B$6:$B$20,CURVA!$G$6:$G$20,#REF!)</f>
        <v>#VALUE!</v>
      </c>
    </row>
    <row r="6430" spans="1:5" x14ac:dyDescent="0.2">
      <c r="A6430" s="28">
        <v>6429</v>
      </c>
      <c r="B6430" s="28" t="e">
        <f>interpola(#REF!,CURVA!$B$6:$B$20,CURVA!$G$6:$G$20)</f>
        <v>#VALUE!</v>
      </c>
      <c r="C6430" s="29" t="e">
        <f t="shared" si="100"/>
        <v>#VALUE!</v>
      </c>
      <c r="E6430" t="e">
        <f>cubic_spline(CURVA!$B$6:$B$20,CURVA!$G$6:$G$20,#REF!)</f>
        <v>#VALUE!</v>
      </c>
    </row>
    <row r="6431" spans="1:5" x14ac:dyDescent="0.2">
      <c r="A6431" s="28">
        <v>6430</v>
      </c>
      <c r="B6431" s="28" t="e">
        <f>interpola(#REF!,CURVA!$B$6:$B$20,CURVA!$G$6:$G$20)</f>
        <v>#VALUE!</v>
      </c>
      <c r="C6431" s="29" t="e">
        <f t="shared" si="100"/>
        <v>#VALUE!</v>
      </c>
      <c r="E6431" t="e">
        <f>cubic_spline(CURVA!$B$6:$B$20,CURVA!$G$6:$G$20,#REF!)</f>
        <v>#VALUE!</v>
      </c>
    </row>
    <row r="6432" spans="1:5" x14ac:dyDescent="0.2">
      <c r="A6432" s="28">
        <v>6431</v>
      </c>
      <c r="B6432" s="28" t="e">
        <f>interpola(#REF!,CURVA!$B$6:$B$20,CURVA!$G$6:$G$20)</f>
        <v>#VALUE!</v>
      </c>
      <c r="C6432" s="29" t="e">
        <f t="shared" si="100"/>
        <v>#VALUE!</v>
      </c>
      <c r="E6432" t="e">
        <f>cubic_spline(CURVA!$B$6:$B$20,CURVA!$G$6:$G$20,#REF!)</f>
        <v>#VALUE!</v>
      </c>
    </row>
    <row r="6433" spans="1:5" x14ac:dyDescent="0.2">
      <c r="A6433" s="28">
        <v>6432</v>
      </c>
      <c r="B6433" s="28" t="e">
        <f>interpola(#REF!,CURVA!$B$6:$B$20,CURVA!$G$6:$G$20)</f>
        <v>#VALUE!</v>
      </c>
      <c r="C6433" s="29" t="e">
        <f t="shared" si="100"/>
        <v>#VALUE!</v>
      </c>
      <c r="E6433" t="e">
        <f>cubic_spline(CURVA!$B$6:$B$20,CURVA!$G$6:$G$20,#REF!)</f>
        <v>#VALUE!</v>
      </c>
    </row>
    <row r="6434" spans="1:5" x14ac:dyDescent="0.2">
      <c r="A6434" s="28">
        <v>6433</v>
      </c>
      <c r="B6434" s="28" t="e">
        <f>interpola(#REF!,CURVA!$B$6:$B$20,CURVA!$G$6:$G$20)</f>
        <v>#VALUE!</v>
      </c>
      <c r="C6434" s="29" t="e">
        <f t="shared" si="100"/>
        <v>#VALUE!</v>
      </c>
      <c r="E6434" t="e">
        <f>cubic_spline(CURVA!$B$6:$B$20,CURVA!$G$6:$G$20,#REF!)</f>
        <v>#VALUE!</v>
      </c>
    </row>
    <row r="6435" spans="1:5" x14ac:dyDescent="0.2">
      <c r="A6435" s="28">
        <v>6434</v>
      </c>
      <c r="B6435" s="28" t="e">
        <f>interpola(#REF!,CURVA!$B$6:$B$20,CURVA!$G$6:$G$20)</f>
        <v>#VALUE!</v>
      </c>
      <c r="C6435" s="29" t="e">
        <f t="shared" si="100"/>
        <v>#VALUE!</v>
      </c>
      <c r="E6435" t="e">
        <f>cubic_spline(CURVA!$B$6:$B$20,CURVA!$G$6:$G$20,#REF!)</f>
        <v>#VALUE!</v>
      </c>
    </row>
    <row r="6436" spans="1:5" x14ac:dyDescent="0.2">
      <c r="A6436" s="28">
        <v>6435</v>
      </c>
      <c r="B6436" s="28" t="e">
        <f>interpola(#REF!,CURVA!$B$6:$B$20,CURVA!$G$6:$G$20)</f>
        <v>#VALUE!</v>
      </c>
      <c r="C6436" s="29" t="e">
        <f t="shared" si="100"/>
        <v>#VALUE!</v>
      </c>
      <c r="E6436" t="e">
        <f>cubic_spline(CURVA!$B$6:$B$20,CURVA!$G$6:$G$20,#REF!)</f>
        <v>#VALUE!</v>
      </c>
    </row>
    <row r="6437" spans="1:5" x14ac:dyDescent="0.2">
      <c r="A6437" s="28">
        <v>6436</v>
      </c>
      <c r="B6437" s="28" t="e">
        <f>interpola(#REF!,CURVA!$B$6:$B$20,CURVA!$G$6:$G$20)</f>
        <v>#VALUE!</v>
      </c>
      <c r="C6437" s="29" t="e">
        <f t="shared" si="100"/>
        <v>#VALUE!</v>
      </c>
      <c r="E6437" t="e">
        <f>cubic_spline(CURVA!$B$6:$B$20,CURVA!$G$6:$G$20,#REF!)</f>
        <v>#VALUE!</v>
      </c>
    </row>
    <row r="6438" spans="1:5" x14ac:dyDescent="0.2">
      <c r="A6438" s="28">
        <v>6437</v>
      </c>
      <c r="B6438" s="28" t="e">
        <f>interpola(#REF!,CURVA!$B$6:$B$20,CURVA!$G$6:$G$20)</f>
        <v>#VALUE!</v>
      </c>
      <c r="C6438" s="29" t="e">
        <f t="shared" si="100"/>
        <v>#VALUE!</v>
      </c>
      <c r="E6438" t="e">
        <f>cubic_spline(CURVA!$B$6:$B$20,CURVA!$G$6:$G$20,#REF!)</f>
        <v>#VALUE!</v>
      </c>
    </row>
    <row r="6439" spans="1:5" x14ac:dyDescent="0.2">
      <c r="A6439" s="28">
        <v>6438</v>
      </c>
      <c r="B6439" s="28" t="e">
        <f>interpola(#REF!,CURVA!$B$6:$B$20,CURVA!$G$6:$G$20)</f>
        <v>#VALUE!</v>
      </c>
      <c r="C6439" s="29" t="e">
        <f t="shared" si="100"/>
        <v>#VALUE!</v>
      </c>
      <c r="E6439" t="e">
        <f>cubic_spline(CURVA!$B$6:$B$20,CURVA!$G$6:$G$20,#REF!)</f>
        <v>#VALUE!</v>
      </c>
    </row>
    <row r="6440" spans="1:5" x14ac:dyDescent="0.2">
      <c r="A6440" s="28">
        <v>6439</v>
      </c>
      <c r="B6440" s="28" t="e">
        <f>interpola(#REF!,CURVA!$B$6:$B$20,CURVA!$G$6:$G$20)</f>
        <v>#VALUE!</v>
      </c>
      <c r="C6440" s="29" t="e">
        <f t="shared" si="100"/>
        <v>#VALUE!</v>
      </c>
      <c r="E6440" t="e">
        <f>cubic_spline(CURVA!$B$6:$B$20,CURVA!$G$6:$G$20,#REF!)</f>
        <v>#VALUE!</v>
      </c>
    </row>
    <row r="6441" spans="1:5" x14ac:dyDescent="0.2">
      <c r="A6441" s="28">
        <v>6440</v>
      </c>
      <c r="B6441" s="28" t="e">
        <f>interpola(#REF!,CURVA!$B$6:$B$20,CURVA!$G$6:$G$20)</f>
        <v>#VALUE!</v>
      </c>
      <c r="C6441" s="29" t="e">
        <f t="shared" si="100"/>
        <v>#VALUE!</v>
      </c>
      <c r="E6441" t="e">
        <f>cubic_spline(CURVA!$B$6:$B$20,CURVA!$G$6:$G$20,#REF!)</f>
        <v>#VALUE!</v>
      </c>
    </row>
    <row r="6442" spans="1:5" x14ac:dyDescent="0.2">
      <c r="A6442" s="28">
        <v>6441</v>
      </c>
      <c r="B6442" s="28" t="e">
        <f>interpola(#REF!,CURVA!$B$6:$B$20,CURVA!$G$6:$G$20)</f>
        <v>#VALUE!</v>
      </c>
      <c r="C6442" s="29" t="e">
        <f t="shared" si="100"/>
        <v>#VALUE!</v>
      </c>
      <c r="E6442" t="e">
        <f>cubic_spline(CURVA!$B$6:$B$20,CURVA!$G$6:$G$20,#REF!)</f>
        <v>#VALUE!</v>
      </c>
    </row>
    <row r="6443" spans="1:5" x14ac:dyDescent="0.2">
      <c r="A6443" s="28">
        <v>6442</v>
      </c>
      <c r="B6443" s="28" t="e">
        <f>interpola(#REF!,CURVA!$B$6:$B$20,CURVA!$G$6:$G$20)</f>
        <v>#VALUE!</v>
      </c>
      <c r="C6443" s="29" t="e">
        <f t="shared" si="100"/>
        <v>#VALUE!</v>
      </c>
      <c r="E6443" t="e">
        <f>cubic_spline(CURVA!$B$6:$B$20,CURVA!$G$6:$G$20,#REF!)</f>
        <v>#VALUE!</v>
      </c>
    </row>
    <row r="6444" spans="1:5" x14ac:dyDescent="0.2">
      <c r="A6444" s="28">
        <v>6443</v>
      </c>
      <c r="B6444" s="28" t="e">
        <f>interpola(#REF!,CURVA!$B$6:$B$20,CURVA!$G$6:$G$20)</f>
        <v>#VALUE!</v>
      </c>
      <c r="C6444" s="29" t="e">
        <f t="shared" si="100"/>
        <v>#VALUE!</v>
      </c>
      <c r="E6444" t="e">
        <f>cubic_spline(CURVA!$B$6:$B$20,CURVA!$G$6:$G$20,#REF!)</f>
        <v>#VALUE!</v>
      </c>
    </row>
    <row r="6445" spans="1:5" x14ac:dyDescent="0.2">
      <c r="A6445" s="28">
        <v>6444</v>
      </c>
      <c r="B6445" s="28" t="e">
        <f>interpola(#REF!,CURVA!$B$6:$B$20,CURVA!$G$6:$G$20)</f>
        <v>#VALUE!</v>
      </c>
      <c r="C6445" s="29" t="e">
        <f t="shared" si="100"/>
        <v>#VALUE!</v>
      </c>
      <c r="E6445" t="e">
        <f>cubic_spline(CURVA!$B$6:$B$20,CURVA!$G$6:$G$20,#REF!)</f>
        <v>#VALUE!</v>
      </c>
    </row>
    <row r="6446" spans="1:5" x14ac:dyDescent="0.2">
      <c r="A6446" s="28">
        <v>6445</v>
      </c>
      <c r="B6446" s="28" t="e">
        <f>interpola(#REF!,CURVA!$B$6:$B$20,CURVA!$G$6:$G$20)</f>
        <v>#VALUE!</v>
      </c>
      <c r="C6446" s="29" t="e">
        <f t="shared" si="100"/>
        <v>#VALUE!</v>
      </c>
      <c r="E6446" t="e">
        <f>cubic_spline(CURVA!$B$6:$B$20,CURVA!$G$6:$G$20,#REF!)</f>
        <v>#VALUE!</v>
      </c>
    </row>
    <row r="6447" spans="1:5" x14ac:dyDescent="0.2">
      <c r="A6447" s="28">
        <v>6446</v>
      </c>
      <c r="B6447" s="28" t="e">
        <f>interpola(#REF!,CURVA!$B$6:$B$20,CURVA!$G$6:$G$20)</f>
        <v>#VALUE!</v>
      </c>
      <c r="C6447" s="29" t="e">
        <f t="shared" si="100"/>
        <v>#VALUE!</v>
      </c>
      <c r="E6447" t="e">
        <f>cubic_spline(CURVA!$B$6:$B$20,CURVA!$G$6:$G$20,#REF!)</f>
        <v>#VALUE!</v>
      </c>
    </row>
    <row r="6448" spans="1:5" x14ac:dyDescent="0.2">
      <c r="A6448" s="28">
        <v>6447</v>
      </c>
      <c r="B6448" s="28" t="e">
        <f>interpola(#REF!,CURVA!$B$6:$B$20,CURVA!$G$6:$G$20)</f>
        <v>#VALUE!</v>
      </c>
      <c r="C6448" s="29" t="e">
        <f t="shared" si="100"/>
        <v>#VALUE!</v>
      </c>
      <c r="E6448" t="e">
        <f>cubic_spline(CURVA!$B$6:$B$20,CURVA!$G$6:$G$20,#REF!)</f>
        <v>#VALUE!</v>
      </c>
    </row>
    <row r="6449" spans="1:5" x14ac:dyDescent="0.2">
      <c r="A6449" s="28">
        <v>6448</v>
      </c>
      <c r="B6449" s="28" t="e">
        <f>interpola(#REF!,CURVA!$B$6:$B$20,CURVA!$G$6:$G$20)</f>
        <v>#VALUE!</v>
      </c>
      <c r="C6449" s="29" t="e">
        <f t="shared" si="100"/>
        <v>#VALUE!</v>
      </c>
      <c r="E6449" t="e">
        <f>cubic_spline(CURVA!$B$6:$B$20,CURVA!$G$6:$G$20,#REF!)</f>
        <v>#VALUE!</v>
      </c>
    </row>
    <row r="6450" spans="1:5" x14ac:dyDescent="0.2">
      <c r="A6450" s="28">
        <v>6449</v>
      </c>
      <c r="B6450" s="28" t="e">
        <f>interpola(#REF!,CURVA!$B$6:$B$20,CURVA!$G$6:$G$20)</f>
        <v>#VALUE!</v>
      </c>
      <c r="C6450" s="29" t="e">
        <f t="shared" si="100"/>
        <v>#VALUE!</v>
      </c>
      <c r="E6450" t="e">
        <f>cubic_spline(CURVA!$B$6:$B$20,CURVA!$G$6:$G$20,#REF!)</f>
        <v>#VALUE!</v>
      </c>
    </row>
    <row r="6451" spans="1:5" x14ac:dyDescent="0.2">
      <c r="A6451" s="28">
        <v>6450</v>
      </c>
      <c r="B6451" s="28" t="e">
        <f>interpola(#REF!,CURVA!$B$6:$B$20,CURVA!$G$6:$G$20)</f>
        <v>#VALUE!</v>
      </c>
      <c r="C6451" s="29" t="e">
        <f t="shared" si="100"/>
        <v>#VALUE!</v>
      </c>
      <c r="E6451" t="e">
        <f>cubic_spline(CURVA!$B$6:$B$20,CURVA!$G$6:$G$20,#REF!)</f>
        <v>#VALUE!</v>
      </c>
    </row>
    <row r="6452" spans="1:5" x14ac:dyDescent="0.2">
      <c r="A6452" s="28">
        <v>6451</v>
      </c>
      <c r="B6452" s="28" t="e">
        <f>interpola(#REF!,CURVA!$B$6:$B$20,CURVA!$G$6:$G$20)</f>
        <v>#VALUE!</v>
      </c>
      <c r="C6452" s="29" t="e">
        <f t="shared" si="100"/>
        <v>#VALUE!</v>
      </c>
      <c r="E6452" t="e">
        <f>cubic_spline(CURVA!$B$6:$B$20,CURVA!$G$6:$G$20,#REF!)</f>
        <v>#VALUE!</v>
      </c>
    </row>
    <row r="6453" spans="1:5" x14ac:dyDescent="0.2">
      <c r="A6453" s="28">
        <v>6452</v>
      </c>
      <c r="B6453" s="28" t="e">
        <f>interpola(#REF!,CURVA!$B$6:$B$20,CURVA!$G$6:$G$20)</f>
        <v>#VALUE!</v>
      </c>
      <c r="C6453" s="29" t="e">
        <f t="shared" si="100"/>
        <v>#VALUE!</v>
      </c>
      <c r="E6453" t="e">
        <f>cubic_spline(CURVA!$B$6:$B$20,CURVA!$G$6:$G$20,#REF!)</f>
        <v>#VALUE!</v>
      </c>
    </row>
    <row r="6454" spans="1:5" x14ac:dyDescent="0.2">
      <c r="A6454" s="28">
        <v>6453</v>
      </c>
      <c r="B6454" s="28" t="e">
        <f>interpola(#REF!,CURVA!$B$6:$B$20,CURVA!$G$6:$G$20)</f>
        <v>#VALUE!</v>
      </c>
      <c r="C6454" s="29" t="e">
        <f t="shared" si="100"/>
        <v>#VALUE!</v>
      </c>
      <c r="E6454" t="e">
        <f>cubic_spline(CURVA!$B$6:$B$20,CURVA!$G$6:$G$20,#REF!)</f>
        <v>#VALUE!</v>
      </c>
    </row>
    <row r="6455" spans="1:5" x14ac:dyDescent="0.2">
      <c r="A6455" s="28">
        <v>6454</v>
      </c>
      <c r="B6455" s="28" t="e">
        <f>interpola(#REF!,CURVA!$B$6:$B$20,CURVA!$G$6:$G$20)</f>
        <v>#VALUE!</v>
      </c>
      <c r="C6455" s="29" t="e">
        <f t="shared" si="100"/>
        <v>#VALUE!</v>
      </c>
      <c r="E6455" t="e">
        <f>cubic_spline(CURVA!$B$6:$B$20,CURVA!$G$6:$G$20,#REF!)</f>
        <v>#VALUE!</v>
      </c>
    </row>
    <row r="6456" spans="1:5" x14ac:dyDescent="0.2">
      <c r="A6456" s="28">
        <v>6455</v>
      </c>
      <c r="B6456" s="28" t="e">
        <f>interpola(#REF!,CURVA!$B$6:$B$20,CURVA!$G$6:$G$20)</f>
        <v>#VALUE!</v>
      </c>
      <c r="C6456" s="29" t="e">
        <f t="shared" si="100"/>
        <v>#VALUE!</v>
      </c>
      <c r="E6456" t="e">
        <f>cubic_spline(CURVA!$B$6:$B$20,CURVA!$G$6:$G$20,#REF!)</f>
        <v>#VALUE!</v>
      </c>
    </row>
    <row r="6457" spans="1:5" x14ac:dyDescent="0.2">
      <c r="A6457" s="28">
        <v>6456</v>
      </c>
      <c r="B6457" s="28" t="e">
        <f>interpola(#REF!,CURVA!$B$6:$B$20,CURVA!$G$6:$G$20)</f>
        <v>#VALUE!</v>
      </c>
      <c r="C6457" s="29" t="e">
        <f t="shared" si="100"/>
        <v>#VALUE!</v>
      </c>
      <c r="E6457" t="e">
        <f>cubic_spline(CURVA!$B$6:$B$20,CURVA!$G$6:$G$20,#REF!)</f>
        <v>#VALUE!</v>
      </c>
    </row>
    <row r="6458" spans="1:5" x14ac:dyDescent="0.2">
      <c r="A6458" s="28">
        <v>6457</v>
      </c>
      <c r="B6458" s="28" t="e">
        <f>interpola(#REF!,CURVA!$B$6:$B$20,CURVA!$G$6:$G$20)</f>
        <v>#VALUE!</v>
      </c>
      <c r="C6458" s="29" t="e">
        <f t="shared" si="100"/>
        <v>#VALUE!</v>
      </c>
      <c r="E6458" t="e">
        <f>cubic_spline(CURVA!$B$6:$B$20,CURVA!$G$6:$G$20,#REF!)</f>
        <v>#VALUE!</v>
      </c>
    </row>
    <row r="6459" spans="1:5" x14ac:dyDescent="0.2">
      <c r="A6459" s="28">
        <v>6458</v>
      </c>
      <c r="B6459" s="28" t="e">
        <f>interpola(#REF!,CURVA!$B$6:$B$20,CURVA!$G$6:$G$20)</f>
        <v>#VALUE!</v>
      </c>
      <c r="C6459" s="29" t="e">
        <f t="shared" si="100"/>
        <v>#VALUE!</v>
      </c>
      <c r="E6459" t="e">
        <f>cubic_spline(CURVA!$B$6:$B$20,CURVA!$G$6:$G$20,#REF!)</f>
        <v>#VALUE!</v>
      </c>
    </row>
    <row r="6460" spans="1:5" x14ac:dyDescent="0.2">
      <c r="A6460" s="28">
        <v>6459</v>
      </c>
      <c r="B6460" s="28" t="e">
        <f>interpola(#REF!,CURVA!$B$6:$B$20,CURVA!$G$6:$G$20)</f>
        <v>#VALUE!</v>
      </c>
      <c r="C6460" s="29" t="e">
        <f t="shared" si="100"/>
        <v>#VALUE!</v>
      </c>
      <c r="E6460" t="e">
        <f>cubic_spline(CURVA!$B$6:$B$20,CURVA!$G$6:$G$20,#REF!)</f>
        <v>#VALUE!</v>
      </c>
    </row>
    <row r="6461" spans="1:5" x14ac:dyDescent="0.2">
      <c r="A6461" s="28">
        <v>6460</v>
      </c>
      <c r="B6461" s="28" t="e">
        <f>interpola(#REF!,CURVA!$B$6:$B$20,CURVA!$G$6:$G$20)</f>
        <v>#VALUE!</v>
      </c>
      <c r="C6461" s="29" t="e">
        <f t="shared" si="100"/>
        <v>#VALUE!</v>
      </c>
      <c r="E6461" t="e">
        <f>cubic_spline(CURVA!$B$6:$B$20,CURVA!$G$6:$G$20,#REF!)</f>
        <v>#VALUE!</v>
      </c>
    </row>
    <row r="6462" spans="1:5" x14ac:dyDescent="0.2">
      <c r="A6462" s="28">
        <v>6461</v>
      </c>
      <c r="B6462" s="28" t="e">
        <f>interpola(#REF!,CURVA!$B$6:$B$20,CURVA!$G$6:$G$20)</f>
        <v>#VALUE!</v>
      </c>
      <c r="C6462" s="29" t="e">
        <f t="shared" si="100"/>
        <v>#VALUE!</v>
      </c>
      <c r="E6462" t="e">
        <f>cubic_spline(CURVA!$B$6:$B$20,CURVA!$G$6:$G$20,#REF!)</f>
        <v>#VALUE!</v>
      </c>
    </row>
    <row r="6463" spans="1:5" x14ac:dyDescent="0.2">
      <c r="A6463" s="28">
        <v>6462</v>
      </c>
      <c r="B6463" s="28" t="e">
        <f>interpola(#REF!,CURVA!$B$6:$B$20,CURVA!$G$6:$G$20)</f>
        <v>#VALUE!</v>
      </c>
      <c r="C6463" s="29" t="e">
        <f t="shared" si="100"/>
        <v>#VALUE!</v>
      </c>
      <c r="E6463" t="e">
        <f>cubic_spline(CURVA!$B$6:$B$20,CURVA!$G$6:$G$20,#REF!)</f>
        <v>#VALUE!</v>
      </c>
    </row>
    <row r="6464" spans="1:5" x14ac:dyDescent="0.2">
      <c r="A6464" s="28">
        <v>6463</v>
      </c>
      <c r="B6464" s="28" t="e">
        <f>interpola(#REF!,CURVA!$B$6:$B$20,CURVA!$G$6:$G$20)</f>
        <v>#VALUE!</v>
      </c>
      <c r="C6464" s="29" t="e">
        <f t="shared" si="100"/>
        <v>#VALUE!</v>
      </c>
      <c r="E6464" t="e">
        <f>cubic_spline(CURVA!$B$6:$B$20,CURVA!$G$6:$G$20,#REF!)</f>
        <v>#VALUE!</v>
      </c>
    </row>
    <row r="6465" spans="1:5" x14ac:dyDescent="0.2">
      <c r="A6465" s="28">
        <v>6464</v>
      </c>
      <c r="B6465" s="28" t="e">
        <f>interpola(#REF!,CURVA!$B$6:$B$20,CURVA!$G$6:$G$20)</f>
        <v>#VALUE!</v>
      </c>
      <c r="C6465" s="29" t="e">
        <f t="shared" si="100"/>
        <v>#VALUE!</v>
      </c>
      <c r="E6465" t="e">
        <f>cubic_spline(CURVA!$B$6:$B$20,CURVA!$G$6:$G$20,#REF!)</f>
        <v>#VALUE!</v>
      </c>
    </row>
    <row r="6466" spans="1:5" x14ac:dyDescent="0.2">
      <c r="A6466" s="28">
        <v>6465</v>
      </c>
      <c r="B6466" s="28" t="e">
        <f>interpola(#REF!,CURVA!$B$6:$B$20,CURVA!$G$6:$G$20)</f>
        <v>#VALUE!</v>
      </c>
      <c r="C6466" s="29" t="e">
        <f t="shared" ref="C6466:C6529" si="101">(EXP(B6466*A6466/360)-1)*360/A6466</f>
        <v>#VALUE!</v>
      </c>
      <c r="E6466" t="e">
        <f>cubic_spline(CURVA!$B$6:$B$20,CURVA!$G$6:$G$20,#REF!)</f>
        <v>#VALUE!</v>
      </c>
    </row>
    <row r="6467" spans="1:5" x14ac:dyDescent="0.2">
      <c r="A6467" s="28">
        <v>6466</v>
      </c>
      <c r="B6467" s="28" t="e">
        <f>interpola(#REF!,CURVA!$B$6:$B$20,CURVA!$G$6:$G$20)</f>
        <v>#VALUE!</v>
      </c>
      <c r="C6467" s="29" t="e">
        <f t="shared" si="101"/>
        <v>#VALUE!</v>
      </c>
      <c r="E6467" t="e">
        <f>cubic_spline(CURVA!$B$6:$B$20,CURVA!$G$6:$G$20,#REF!)</f>
        <v>#VALUE!</v>
      </c>
    </row>
    <row r="6468" spans="1:5" x14ac:dyDescent="0.2">
      <c r="A6468" s="28">
        <v>6467</v>
      </c>
      <c r="B6468" s="28" t="e">
        <f>interpola(#REF!,CURVA!$B$6:$B$20,CURVA!$G$6:$G$20)</f>
        <v>#VALUE!</v>
      </c>
      <c r="C6468" s="29" t="e">
        <f t="shared" si="101"/>
        <v>#VALUE!</v>
      </c>
      <c r="E6468" t="e">
        <f>cubic_spline(CURVA!$B$6:$B$20,CURVA!$G$6:$G$20,#REF!)</f>
        <v>#VALUE!</v>
      </c>
    </row>
    <row r="6469" spans="1:5" x14ac:dyDescent="0.2">
      <c r="A6469" s="28">
        <v>6468</v>
      </c>
      <c r="B6469" s="28" t="e">
        <f>interpola(#REF!,CURVA!$B$6:$B$20,CURVA!$G$6:$G$20)</f>
        <v>#VALUE!</v>
      </c>
      <c r="C6469" s="29" t="e">
        <f t="shared" si="101"/>
        <v>#VALUE!</v>
      </c>
      <c r="E6469" t="e">
        <f>cubic_spline(CURVA!$B$6:$B$20,CURVA!$G$6:$G$20,#REF!)</f>
        <v>#VALUE!</v>
      </c>
    </row>
    <row r="6470" spans="1:5" x14ac:dyDescent="0.2">
      <c r="A6470" s="28">
        <v>6469</v>
      </c>
      <c r="B6470" s="28" t="e">
        <f>interpola(#REF!,CURVA!$B$6:$B$20,CURVA!$G$6:$G$20)</f>
        <v>#VALUE!</v>
      </c>
      <c r="C6470" s="29" t="e">
        <f t="shared" si="101"/>
        <v>#VALUE!</v>
      </c>
      <c r="E6470" t="e">
        <f>cubic_spline(CURVA!$B$6:$B$20,CURVA!$G$6:$G$20,#REF!)</f>
        <v>#VALUE!</v>
      </c>
    </row>
    <row r="6471" spans="1:5" x14ac:dyDescent="0.2">
      <c r="A6471" s="28">
        <v>6470</v>
      </c>
      <c r="B6471" s="28" t="e">
        <f>interpola(#REF!,CURVA!$B$6:$B$20,CURVA!$G$6:$G$20)</f>
        <v>#VALUE!</v>
      </c>
      <c r="C6471" s="29" t="e">
        <f t="shared" si="101"/>
        <v>#VALUE!</v>
      </c>
      <c r="E6471" t="e">
        <f>cubic_spline(CURVA!$B$6:$B$20,CURVA!$G$6:$G$20,#REF!)</f>
        <v>#VALUE!</v>
      </c>
    </row>
    <row r="6472" spans="1:5" x14ac:dyDescent="0.2">
      <c r="A6472" s="28">
        <v>6471</v>
      </c>
      <c r="B6472" s="28" t="e">
        <f>interpola(#REF!,CURVA!$B$6:$B$20,CURVA!$G$6:$G$20)</f>
        <v>#VALUE!</v>
      </c>
      <c r="C6472" s="29" t="e">
        <f t="shared" si="101"/>
        <v>#VALUE!</v>
      </c>
      <c r="E6472" t="e">
        <f>cubic_spline(CURVA!$B$6:$B$20,CURVA!$G$6:$G$20,#REF!)</f>
        <v>#VALUE!</v>
      </c>
    </row>
    <row r="6473" spans="1:5" x14ac:dyDescent="0.2">
      <c r="A6473" s="28">
        <v>6472</v>
      </c>
      <c r="B6473" s="28" t="e">
        <f>interpola(#REF!,CURVA!$B$6:$B$20,CURVA!$G$6:$G$20)</f>
        <v>#VALUE!</v>
      </c>
      <c r="C6473" s="29" t="e">
        <f t="shared" si="101"/>
        <v>#VALUE!</v>
      </c>
      <c r="E6473" t="e">
        <f>cubic_spline(CURVA!$B$6:$B$20,CURVA!$G$6:$G$20,#REF!)</f>
        <v>#VALUE!</v>
      </c>
    </row>
    <row r="6474" spans="1:5" x14ac:dyDescent="0.2">
      <c r="A6474" s="28">
        <v>6473</v>
      </c>
      <c r="B6474" s="28" t="e">
        <f>interpola(#REF!,CURVA!$B$6:$B$20,CURVA!$G$6:$G$20)</f>
        <v>#VALUE!</v>
      </c>
      <c r="C6474" s="29" t="e">
        <f t="shared" si="101"/>
        <v>#VALUE!</v>
      </c>
      <c r="E6474" t="e">
        <f>cubic_spline(CURVA!$B$6:$B$20,CURVA!$G$6:$G$20,#REF!)</f>
        <v>#VALUE!</v>
      </c>
    </row>
    <row r="6475" spans="1:5" x14ac:dyDescent="0.2">
      <c r="A6475" s="28">
        <v>6474</v>
      </c>
      <c r="B6475" s="28" t="e">
        <f>interpola(#REF!,CURVA!$B$6:$B$20,CURVA!$G$6:$G$20)</f>
        <v>#VALUE!</v>
      </c>
      <c r="C6475" s="29" t="e">
        <f t="shared" si="101"/>
        <v>#VALUE!</v>
      </c>
      <c r="E6475" t="e">
        <f>cubic_spline(CURVA!$B$6:$B$20,CURVA!$G$6:$G$20,#REF!)</f>
        <v>#VALUE!</v>
      </c>
    </row>
    <row r="6476" spans="1:5" x14ac:dyDescent="0.2">
      <c r="A6476" s="28">
        <v>6475</v>
      </c>
      <c r="B6476" s="28" t="e">
        <f>interpola(#REF!,CURVA!$B$6:$B$20,CURVA!$G$6:$G$20)</f>
        <v>#VALUE!</v>
      </c>
      <c r="C6476" s="29" t="e">
        <f t="shared" si="101"/>
        <v>#VALUE!</v>
      </c>
      <c r="E6476" t="e">
        <f>cubic_spline(CURVA!$B$6:$B$20,CURVA!$G$6:$G$20,#REF!)</f>
        <v>#VALUE!</v>
      </c>
    </row>
    <row r="6477" spans="1:5" x14ac:dyDescent="0.2">
      <c r="A6477" s="28">
        <v>6476</v>
      </c>
      <c r="B6477" s="28" t="e">
        <f>interpola(#REF!,CURVA!$B$6:$B$20,CURVA!$G$6:$G$20)</f>
        <v>#VALUE!</v>
      </c>
      <c r="C6477" s="29" t="e">
        <f t="shared" si="101"/>
        <v>#VALUE!</v>
      </c>
      <c r="E6477" t="e">
        <f>cubic_spline(CURVA!$B$6:$B$20,CURVA!$G$6:$G$20,#REF!)</f>
        <v>#VALUE!</v>
      </c>
    </row>
    <row r="6478" spans="1:5" x14ac:dyDescent="0.2">
      <c r="A6478" s="28">
        <v>6477</v>
      </c>
      <c r="B6478" s="28" t="e">
        <f>interpola(#REF!,CURVA!$B$6:$B$20,CURVA!$G$6:$G$20)</f>
        <v>#VALUE!</v>
      </c>
      <c r="C6478" s="29" t="e">
        <f t="shared" si="101"/>
        <v>#VALUE!</v>
      </c>
      <c r="E6478" t="e">
        <f>cubic_spline(CURVA!$B$6:$B$20,CURVA!$G$6:$G$20,#REF!)</f>
        <v>#VALUE!</v>
      </c>
    </row>
    <row r="6479" spans="1:5" x14ac:dyDescent="0.2">
      <c r="A6479" s="28">
        <v>6478</v>
      </c>
      <c r="B6479" s="28" t="e">
        <f>interpola(#REF!,CURVA!$B$6:$B$20,CURVA!$G$6:$G$20)</f>
        <v>#VALUE!</v>
      </c>
      <c r="C6479" s="29" t="e">
        <f t="shared" si="101"/>
        <v>#VALUE!</v>
      </c>
      <c r="E6479" t="e">
        <f>cubic_spline(CURVA!$B$6:$B$20,CURVA!$G$6:$G$20,#REF!)</f>
        <v>#VALUE!</v>
      </c>
    </row>
    <row r="6480" spans="1:5" x14ac:dyDescent="0.2">
      <c r="A6480" s="28">
        <v>6479</v>
      </c>
      <c r="B6480" s="28" t="e">
        <f>interpola(#REF!,CURVA!$B$6:$B$20,CURVA!$G$6:$G$20)</f>
        <v>#VALUE!</v>
      </c>
      <c r="C6480" s="29" t="e">
        <f t="shared" si="101"/>
        <v>#VALUE!</v>
      </c>
      <c r="E6480" t="e">
        <f>cubic_spline(CURVA!$B$6:$B$20,CURVA!$G$6:$G$20,#REF!)</f>
        <v>#VALUE!</v>
      </c>
    </row>
    <row r="6481" spans="1:5" x14ac:dyDescent="0.2">
      <c r="A6481" s="28">
        <v>6480</v>
      </c>
      <c r="B6481" s="28" t="e">
        <f>interpola(#REF!,CURVA!$B$6:$B$20,CURVA!$G$6:$G$20)</f>
        <v>#VALUE!</v>
      </c>
      <c r="C6481" s="29" t="e">
        <f t="shared" si="101"/>
        <v>#VALUE!</v>
      </c>
      <c r="E6481" t="e">
        <f>cubic_spline(CURVA!$B$6:$B$20,CURVA!$G$6:$G$20,#REF!)</f>
        <v>#VALUE!</v>
      </c>
    </row>
    <row r="6482" spans="1:5" x14ac:dyDescent="0.2">
      <c r="A6482" s="28">
        <v>6481</v>
      </c>
      <c r="B6482" s="28" t="e">
        <f>interpola(#REF!,CURVA!$B$6:$B$20,CURVA!$G$6:$G$20)</f>
        <v>#VALUE!</v>
      </c>
      <c r="C6482" s="29" t="e">
        <f t="shared" si="101"/>
        <v>#VALUE!</v>
      </c>
      <c r="E6482" t="e">
        <f>cubic_spline(CURVA!$B$6:$B$20,CURVA!$G$6:$G$20,#REF!)</f>
        <v>#VALUE!</v>
      </c>
    </row>
    <row r="6483" spans="1:5" x14ac:dyDescent="0.2">
      <c r="A6483" s="28">
        <v>6482</v>
      </c>
      <c r="B6483" s="28" t="e">
        <f>interpola(#REF!,CURVA!$B$6:$B$20,CURVA!$G$6:$G$20)</f>
        <v>#VALUE!</v>
      </c>
      <c r="C6483" s="29" t="e">
        <f t="shared" si="101"/>
        <v>#VALUE!</v>
      </c>
      <c r="E6483" t="e">
        <f>cubic_spline(CURVA!$B$6:$B$20,CURVA!$G$6:$G$20,#REF!)</f>
        <v>#VALUE!</v>
      </c>
    </row>
    <row r="6484" spans="1:5" x14ac:dyDescent="0.2">
      <c r="A6484" s="28">
        <v>6483</v>
      </c>
      <c r="B6484" s="28" t="e">
        <f>interpola(#REF!,CURVA!$B$6:$B$20,CURVA!$G$6:$G$20)</f>
        <v>#VALUE!</v>
      </c>
      <c r="C6484" s="29" t="e">
        <f t="shared" si="101"/>
        <v>#VALUE!</v>
      </c>
      <c r="E6484" t="e">
        <f>cubic_spline(CURVA!$B$6:$B$20,CURVA!$G$6:$G$20,#REF!)</f>
        <v>#VALUE!</v>
      </c>
    </row>
    <row r="6485" spans="1:5" x14ac:dyDescent="0.2">
      <c r="A6485" s="28">
        <v>6484</v>
      </c>
      <c r="B6485" s="28" t="e">
        <f>interpola(#REF!,CURVA!$B$6:$B$20,CURVA!$G$6:$G$20)</f>
        <v>#VALUE!</v>
      </c>
      <c r="C6485" s="29" t="e">
        <f t="shared" si="101"/>
        <v>#VALUE!</v>
      </c>
      <c r="E6485" t="e">
        <f>cubic_spline(CURVA!$B$6:$B$20,CURVA!$G$6:$G$20,#REF!)</f>
        <v>#VALUE!</v>
      </c>
    </row>
    <row r="6486" spans="1:5" x14ac:dyDescent="0.2">
      <c r="A6486" s="28">
        <v>6485</v>
      </c>
      <c r="B6486" s="28" t="e">
        <f>interpola(#REF!,CURVA!$B$6:$B$20,CURVA!$G$6:$G$20)</f>
        <v>#VALUE!</v>
      </c>
      <c r="C6486" s="29" t="e">
        <f t="shared" si="101"/>
        <v>#VALUE!</v>
      </c>
      <c r="E6486" t="e">
        <f>cubic_spline(CURVA!$B$6:$B$20,CURVA!$G$6:$G$20,#REF!)</f>
        <v>#VALUE!</v>
      </c>
    </row>
    <row r="6487" spans="1:5" x14ac:dyDescent="0.2">
      <c r="A6487" s="28">
        <v>6486</v>
      </c>
      <c r="B6487" s="28" t="e">
        <f>interpola(#REF!,CURVA!$B$6:$B$20,CURVA!$G$6:$G$20)</f>
        <v>#VALUE!</v>
      </c>
      <c r="C6487" s="29" t="e">
        <f t="shared" si="101"/>
        <v>#VALUE!</v>
      </c>
      <c r="E6487" t="e">
        <f>cubic_spline(CURVA!$B$6:$B$20,CURVA!$G$6:$G$20,#REF!)</f>
        <v>#VALUE!</v>
      </c>
    </row>
    <row r="6488" spans="1:5" x14ac:dyDescent="0.2">
      <c r="A6488" s="28">
        <v>6487</v>
      </c>
      <c r="B6488" s="28" t="e">
        <f>interpola(#REF!,CURVA!$B$6:$B$20,CURVA!$G$6:$G$20)</f>
        <v>#VALUE!</v>
      </c>
      <c r="C6488" s="29" t="e">
        <f t="shared" si="101"/>
        <v>#VALUE!</v>
      </c>
      <c r="E6488" t="e">
        <f>cubic_spline(CURVA!$B$6:$B$20,CURVA!$G$6:$G$20,#REF!)</f>
        <v>#VALUE!</v>
      </c>
    </row>
    <row r="6489" spans="1:5" x14ac:dyDescent="0.2">
      <c r="A6489" s="28">
        <v>6488</v>
      </c>
      <c r="B6489" s="28" t="e">
        <f>interpola(#REF!,CURVA!$B$6:$B$20,CURVA!$G$6:$G$20)</f>
        <v>#VALUE!</v>
      </c>
      <c r="C6489" s="29" t="e">
        <f t="shared" si="101"/>
        <v>#VALUE!</v>
      </c>
      <c r="E6489" t="e">
        <f>cubic_spline(CURVA!$B$6:$B$20,CURVA!$G$6:$G$20,#REF!)</f>
        <v>#VALUE!</v>
      </c>
    </row>
    <row r="6490" spans="1:5" x14ac:dyDescent="0.2">
      <c r="A6490" s="28">
        <v>6489</v>
      </c>
      <c r="B6490" s="28" t="e">
        <f>interpola(#REF!,CURVA!$B$6:$B$20,CURVA!$G$6:$G$20)</f>
        <v>#VALUE!</v>
      </c>
      <c r="C6490" s="29" t="e">
        <f t="shared" si="101"/>
        <v>#VALUE!</v>
      </c>
      <c r="E6490" t="e">
        <f>cubic_spline(CURVA!$B$6:$B$20,CURVA!$G$6:$G$20,#REF!)</f>
        <v>#VALUE!</v>
      </c>
    </row>
    <row r="6491" spans="1:5" x14ac:dyDescent="0.2">
      <c r="A6491" s="28">
        <v>6490</v>
      </c>
      <c r="B6491" s="28" t="e">
        <f>interpola(#REF!,CURVA!$B$6:$B$20,CURVA!$G$6:$G$20)</f>
        <v>#VALUE!</v>
      </c>
      <c r="C6491" s="29" t="e">
        <f t="shared" si="101"/>
        <v>#VALUE!</v>
      </c>
      <c r="E6491" t="e">
        <f>cubic_spline(CURVA!$B$6:$B$20,CURVA!$G$6:$G$20,#REF!)</f>
        <v>#VALUE!</v>
      </c>
    </row>
    <row r="6492" spans="1:5" x14ac:dyDescent="0.2">
      <c r="A6492" s="28">
        <v>6491</v>
      </c>
      <c r="B6492" s="28" t="e">
        <f>interpola(#REF!,CURVA!$B$6:$B$20,CURVA!$G$6:$G$20)</f>
        <v>#VALUE!</v>
      </c>
      <c r="C6492" s="29" t="e">
        <f t="shared" si="101"/>
        <v>#VALUE!</v>
      </c>
      <c r="E6492" t="e">
        <f>cubic_spline(CURVA!$B$6:$B$20,CURVA!$G$6:$G$20,#REF!)</f>
        <v>#VALUE!</v>
      </c>
    </row>
    <row r="6493" spans="1:5" x14ac:dyDescent="0.2">
      <c r="A6493" s="28">
        <v>6492</v>
      </c>
      <c r="B6493" s="28" t="e">
        <f>interpola(#REF!,CURVA!$B$6:$B$20,CURVA!$G$6:$G$20)</f>
        <v>#VALUE!</v>
      </c>
      <c r="C6493" s="29" t="e">
        <f t="shared" si="101"/>
        <v>#VALUE!</v>
      </c>
      <c r="E6493" t="e">
        <f>cubic_spline(CURVA!$B$6:$B$20,CURVA!$G$6:$G$20,#REF!)</f>
        <v>#VALUE!</v>
      </c>
    </row>
    <row r="6494" spans="1:5" x14ac:dyDescent="0.2">
      <c r="A6494" s="28">
        <v>6493</v>
      </c>
      <c r="B6494" s="28" t="e">
        <f>interpola(#REF!,CURVA!$B$6:$B$20,CURVA!$G$6:$G$20)</f>
        <v>#VALUE!</v>
      </c>
      <c r="C6494" s="29" t="e">
        <f t="shared" si="101"/>
        <v>#VALUE!</v>
      </c>
      <c r="E6494" t="e">
        <f>cubic_spline(CURVA!$B$6:$B$20,CURVA!$G$6:$G$20,#REF!)</f>
        <v>#VALUE!</v>
      </c>
    </row>
    <row r="6495" spans="1:5" x14ac:dyDescent="0.2">
      <c r="A6495" s="28">
        <v>6494</v>
      </c>
      <c r="B6495" s="28" t="e">
        <f>interpola(#REF!,CURVA!$B$6:$B$20,CURVA!$G$6:$G$20)</f>
        <v>#VALUE!</v>
      </c>
      <c r="C6495" s="29" t="e">
        <f t="shared" si="101"/>
        <v>#VALUE!</v>
      </c>
      <c r="E6495" t="e">
        <f>cubic_spline(CURVA!$B$6:$B$20,CURVA!$G$6:$G$20,#REF!)</f>
        <v>#VALUE!</v>
      </c>
    </row>
    <row r="6496" spans="1:5" x14ac:dyDescent="0.2">
      <c r="A6496" s="28">
        <v>6495</v>
      </c>
      <c r="B6496" s="28" t="e">
        <f>interpola(#REF!,CURVA!$B$6:$B$20,CURVA!$G$6:$G$20)</f>
        <v>#VALUE!</v>
      </c>
      <c r="C6496" s="29" t="e">
        <f t="shared" si="101"/>
        <v>#VALUE!</v>
      </c>
      <c r="E6496" t="e">
        <f>cubic_spline(CURVA!$B$6:$B$20,CURVA!$G$6:$G$20,#REF!)</f>
        <v>#VALUE!</v>
      </c>
    </row>
    <row r="6497" spans="1:5" x14ac:dyDescent="0.2">
      <c r="A6497" s="28">
        <v>6496</v>
      </c>
      <c r="B6497" s="28" t="e">
        <f>interpola(#REF!,CURVA!$B$6:$B$20,CURVA!$G$6:$G$20)</f>
        <v>#VALUE!</v>
      </c>
      <c r="C6497" s="29" t="e">
        <f t="shared" si="101"/>
        <v>#VALUE!</v>
      </c>
      <c r="E6497" t="e">
        <f>cubic_spline(CURVA!$B$6:$B$20,CURVA!$G$6:$G$20,#REF!)</f>
        <v>#VALUE!</v>
      </c>
    </row>
    <row r="6498" spans="1:5" x14ac:dyDescent="0.2">
      <c r="A6498" s="28">
        <v>6497</v>
      </c>
      <c r="B6498" s="28" t="e">
        <f>interpola(#REF!,CURVA!$B$6:$B$20,CURVA!$G$6:$G$20)</f>
        <v>#VALUE!</v>
      </c>
      <c r="C6498" s="29" t="e">
        <f t="shared" si="101"/>
        <v>#VALUE!</v>
      </c>
      <c r="E6498" t="e">
        <f>cubic_spline(CURVA!$B$6:$B$20,CURVA!$G$6:$G$20,#REF!)</f>
        <v>#VALUE!</v>
      </c>
    </row>
    <row r="6499" spans="1:5" x14ac:dyDescent="0.2">
      <c r="A6499" s="28">
        <v>6498</v>
      </c>
      <c r="B6499" s="28" t="e">
        <f>interpola(#REF!,CURVA!$B$6:$B$20,CURVA!$G$6:$G$20)</f>
        <v>#VALUE!</v>
      </c>
      <c r="C6499" s="29" t="e">
        <f t="shared" si="101"/>
        <v>#VALUE!</v>
      </c>
      <c r="E6499" t="e">
        <f>cubic_spline(CURVA!$B$6:$B$20,CURVA!$G$6:$G$20,#REF!)</f>
        <v>#VALUE!</v>
      </c>
    </row>
    <row r="6500" spans="1:5" x14ac:dyDescent="0.2">
      <c r="A6500" s="28">
        <v>6499</v>
      </c>
      <c r="B6500" s="28" t="e">
        <f>interpola(#REF!,CURVA!$B$6:$B$20,CURVA!$G$6:$G$20)</f>
        <v>#VALUE!</v>
      </c>
      <c r="C6500" s="29" t="e">
        <f t="shared" si="101"/>
        <v>#VALUE!</v>
      </c>
      <c r="E6500" t="e">
        <f>cubic_spline(CURVA!$B$6:$B$20,CURVA!$G$6:$G$20,#REF!)</f>
        <v>#VALUE!</v>
      </c>
    </row>
    <row r="6501" spans="1:5" x14ac:dyDescent="0.2">
      <c r="A6501" s="28">
        <v>6500</v>
      </c>
      <c r="B6501" s="28" t="e">
        <f>interpola(#REF!,CURVA!$B$6:$B$20,CURVA!$G$6:$G$20)</f>
        <v>#VALUE!</v>
      </c>
      <c r="C6501" s="29" t="e">
        <f t="shared" si="101"/>
        <v>#VALUE!</v>
      </c>
      <c r="E6501" t="e">
        <f>cubic_spline(CURVA!$B$6:$B$20,CURVA!$G$6:$G$20,#REF!)</f>
        <v>#VALUE!</v>
      </c>
    </row>
    <row r="6502" spans="1:5" x14ac:dyDescent="0.2">
      <c r="A6502" s="28">
        <v>6501</v>
      </c>
      <c r="B6502" s="28" t="e">
        <f>interpola(#REF!,CURVA!$B$6:$B$20,CURVA!$G$6:$G$20)</f>
        <v>#VALUE!</v>
      </c>
      <c r="C6502" s="29" t="e">
        <f t="shared" si="101"/>
        <v>#VALUE!</v>
      </c>
      <c r="E6502" t="e">
        <f>cubic_spline(CURVA!$B$6:$B$20,CURVA!$G$6:$G$20,#REF!)</f>
        <v>#VALUE!</v>
      </c>
    </row>
    <row r="6503" spans="1:5" x14ac:dyDescent="0.2">
      <c r="A6503" s="28">
        <v>6502</v>
      </c>
      <c r="B6503" s="28" t="e">
        <f>interpola(#REF!,CURVA!$B$6:$B$20,CURVA!$G$6:$G$20)</f>
        <v>#VALUE!</v>
      </c>
      <c r="C6503" s="29" t="e">
        <f t="shared" si="101"/>
        <v>#VALUE!</v>
      </c>
      <c r="E6503" t="e">
        <f>cubic_spline(CURVA!$B$6:$B$20,CURVA!$G$6:$G$20,#REF!)</f>
        <v>#VALUE!</v>
      </c>
    </row>
    <row r="6504" spans="1:5" x14ac:dyDescent="0.2">
      <c r="A6504" s="28">
        <v>6503</v>
      </c>
      <c r="B6504" s="28" t="e">
        <f>interpola(#REF!,CURVA!$B$6:$B$20,CURVA!$G$6:$G$20)</f>
        <v>#VALUE!</v>
      </c>
      <c r="C6504" s="29" t="e">
        <f t="shared" si="101"/>
        <v>#VALUE!</v>
      </c>
      <c r="E6504" t="e">
        <f>cubic_spline(CURVA!$B$6:$B$20,CURVA!$G$6:$G$20,#REF!)</f>
        <v>#VALUE!</v>
      </c>
    </row>
    <row r="6505" spans="1:5" x14ac:dyDescent="0.2">
      <c r="A6505" s="28">
        <v>6504</v>
      </c>
      <c r="B6505" s="28" t="e">
        <f>interpola(#REF!,CURVA!$B$6:$B$20,CURVA!$G$6:$G$20)</f>
        <v>#VALUE!</v>
      </c>
      <c r="C6505" s="29" t="e">
        <f t="shared" si="101"/>
        <v>#VALUE!</v>
      </c>
      <c r="E6505" t="e">
        <f>cubic_spline(CURVA!$B$6:$B$20,CURVA!$G$6:$G$20,#REF!)</f>
        <v>#VALUE!</v>
      </c>
    </row>
    <row r="6506" spans="1:5" x14ac:dyDescent="0.2">
      <c r="A6506" s="28">
        <v>6505</v>
      </c>
      <c r="B6506" s="28" t="e">
        <f>interpola(#REF!,CURVA!$B$6:$B$20,CURVA!$G$6:$G$20)</f>
        <v>#VALUE!</v>
      </c>
      <c r="C6506" s="29" t="e">
        <f t="shared" si="101"/>
        <v>#VALUE!</v>
      </c>
      <c r="E6506" t="e">
        <f>cubic_spline(CURVA!$B$6:$B$20,CURVA!$G$6:$G$20,#REF!)</f>
        <v>#VALUE!</v>
      </c>
    </row>
    <row r="6507" spans="1:5" x14ac:dyDescent="0.2">
      <c r="A6507" s="28">
        <v>6506</v>
      </c>
      <c r="B6507" s="28" t="e">
        <f>interpola(#REF!,CURVA!$B$6:$B$20,CURVA!$G$6:$G$20)</f>
        <v>#VALUE!</v>
      </c>
      <c r="C6507" s="29" t="e">
        <f t="shared" si="101"/>
        <v>#VALUE!</v>
      </c>
      <c r="E6507" t="e">
        <f>cubic_spline(CURVA!$B$6:$B$20,CURVA!$G$6:$G$20,#REF!)</f>
        <v>#VALUE!</v>
      </c>
    </row>
    <row r="6508" spans="1:5" x14ac:dyDescent="0.2">
      <c r="A6508" s="28">
        <v>6507</v>
      </c>
      <c r="B6508" s="28" t="e">
        <f>interpola(#REF!,CURVA!$B$6:$B$20,CURVA!$G$6:$G$20)</f>
        <v>#VALUE!</v>
      </c>
      <c r="C6508" s="29" t="e">
        <f t="shared" si="101"/>
        <v>#VALUE!</v>
      </c>
      <c r="E6508" t="e">
        <f>cubic_spline(CURVA!$B$6:$B$20,CURVA!$G$6:$G$20,#REF!)</f>
        <v>#VALUE!</v>
      </c>
    </row>
    <row r="6509" spans="1:5" x14ac:dyDescent="0.2">
      <c r="A6509" s="28">
        <v>6508</v>
      </c>
      <c r="B6509" s="28" t="e">
        <f>interpola(#REF!,CURVA!$B$6:$B$20,CURVA!$G$6:$G$20)</f>
        <v>#VALUE!</v>
      </c>
      <c r="C6509" s="29" t="e">
        <f t="shared" si="101"/>
        <v>#VALUE!</v>
      </c>
      <c r="E6509" t="e">
        <f>cubic_spline(CURVA!$B$6:$B$20,CURVA!$G$6:$G$20,#REF!)</f>
        <v>#VALUE!</v>
      </c>
    </row>
    <row r="6510" spans="1:5" x14ac:dyDescent="0.2">
      <c r="A6510" s="28">
        <v>6509</v>
      </c>
      <c r="B6510" s="28" t="e">
        <f>interpola(#REF!,CURVA!$B$6:$B$20,CURVA!$G$6:$G$20)</f>
        <v>#VALUE!</v>
      </c>
      <c r="C6510" s="29" t="e">
        <f t="shared" si="101"/>
        <v>#VALUE!</v>
      </c>
      <c r="E6510" t="e">
        <f>cubic_spline(CURVA!$B$6:$B$20,CURVA!$G$6:$G$20,#REF!)</f>
        <v>#VALUE!</v>
      </c>
    </row>
    <row r="6511" spans="1:5" x14ac:dyDescent="0.2">
      <c r="A6511" s="28">
        <v>6510</v>
      </c>
      <c r="B6511" s="28" t="e">
        <f>interpola(#REF!,CURVA!$B$6:$B$20,CURVA!$G$6:$G$20)</f>
        <v>#VALUE!</v>
      </c>
      <c r="C6511" s="29" t="e">
        <f t="shared" si="101"/>
        <v>#VALUE!</v>
      </c>
      <c r="E6511" t="e">
        <f>cubic_spline(CURVA!$B$6:$B$20,CURVA!$G$6:$G$20,#REF!)</f>
        <v>#VALUE!</v>
      </c>
    </row>
    <row r="6512" spans="1:5" x14ac:dyDescent="0.2">
      <c r="A6512" s="28">
        <v>6511</v>
      </c>
      <c r="B6512" s="28" t="e">
        <f>interpola(#REF!,CURVA!$B$6:$B$20,CURVA!$G$6:$G$20)</f>
        <v>#VALUE!</v>
      </c>
      <c r="C6512" s="29" t="e">
        <f t="shared" si="101"/>
        <v>#VALUE!</v>
      </c>
      <c r="E6512" t="e">
        <f>cubic_spline(CURVA!$B$6:$B$20,CURVA!$G$6:$G$20,#REF!)</f>
        <v>#VALUE!</v>
      </c>
    </row>
    <row r="6513" spans="1:5" x14ac:dyDescent="0.2">
      <c r="A6513" s="28">
        <v>6512</v>
      </c>
      <c r="B6513" s="28" t="e">
        <f>interpola(#REF!,CURVA!$B$6:$B$20,CURVA!$G$6:$G$20)</f>
        <v>#VALUE!</v>
      </c>
      <c r="C6513" s="29" t="e">
        <f t="shared" si="101"/>
        <v>#VALUE!</v>
      </c>
      <c r="E6513" t="e">
        <f>cubic_spline(CURVA!$B$6:$B$20,CURVA!$G$6:$G$20,#REF!)</f>
        <v>#VALUE!</v>
      </c>
    </row>
    <row r="6514" spans="1:5" x14ac:dyDescent="0.2">
      <c r="A6514" s="28">
        <v>6513</v>
      </c>
      <c r="B6514" s="28" t="e">
        <f>interpola(#REF!,CURVA!$B$6:$B$20,CURVA!$G$6:$G$20)</f>
        <v>#VALUE!</v>
      </c>
      <c r="C6514" s="29" t="e">
        <f t="shared" si="101"/>
        <v>#VALUE!</v>
      </c>
      <c r="E6514" t="e">
        <f>cubic_spline(CURVA!$B$6:$B$20,CURVA!$G$6:$G$20,#REF!)</f>
        <v>#VALUE!</v>
      </c>
    </row>
    <row r="6515" spans="1:5" x14ac:dyDescent="0.2">
      <c r="A6515" s="28">
        <v>6514</v>
      </c>
      <c r="B6515" s="28" t="e">
        <f>interpola(#REF!,CURVA!$B$6:$B$20,CURVA!$G$6:$G$20)</f>
        <v>#VALUE!</v>
      </c>
      <c r="C6515" s="29" t="e">
        <f t="shared" si="101"/>
        <v>#VALUE!</v>
      </c>
      <c r="E6515" t="e">
        <f>cubic_spline(CURVA!$B$6:$B$20,CURVA!$G$6:$G$20,#REF!)</f>
        <v>#VALUE!</v>
      </c>
    </row>
    <row r="6516" spans="1:5" x14ac:dyDescent="0.2">
      <c r="A6516" s="28">
        <v>6515</v>
      </c>
      <c r="B6516" s="28" t="e">
        <f>interpola(#REF!,CURVA!$B$6:$B$20,CURVA!$G$6:$G$20)</f>
        <v>#VALUE!</v>
      </c>
      <c r="C6516" s="29" t="e">
        <f t="shared" si="101"/>
        <v>#VALUE!</v>
      </c>
      <c r="E6516" t="e">
        <f>cubic_spline(CURVA!$B$6:$B$20,CURVA!$G$6:$G$20,#REF!)</f>
        <v>#VALUE!</v>
      </c>
    </row>
    <row r="6517" spans="1:5" x14ac:dyDescent="0.2">
      <c r="A6517" s="28">
        <v>6516</v>
      </c>
      <c r="B6517" s="28" t="e">
        <f>interpola(#REF!,CURVA!$B$6:$B$20,CURVA!$G$6:$G$20)</f>
        <v>#VALUE!</v>
      </c>
      <c r="C6517" s="29" t="e">
        <f t="shared" si="101"/>
        <v>#VALUE!</v>
      </c>
      <c r="E6517" t="e">
        <f>cubic_spline(CURVA!$B$6:$B$20,CURVA!$G$6:$G$20,#REF!)</f>
        <v>#VALUE!</v>
      </c>
    </row>
    <row r="6518" spans="1:5" x14ac:dyDescent="0.2">
      <c r="A6518" s="28">
        <v>6517</v>
      </c>
      <c r="B6518" s="28" t="e">
        <f>interpola(#REF!,CURVA!$B$6:$B$20,CURVA!$G$6:$G$20)</f>
        <v>#VALUE!</v>
      </c>
      <c r="C6518" s="29" t="e">
        <f t="shared" si="101"/>
        <v>#VALUE!</v>
      </c>
      <c r="E6518" t="e">
        <f>cubic_spline(CURVA!$B$6:$B$20,CURVA!$G$6:$G$20,#REF!)</f>
        <v>#VALUE!</v>
      </c>
    </row>
    <row r="6519" spans="1:5" x14ac:dyDescent="0.2">
      <c r="A6519" s="28">
        <v>6518</v>
      </c>
      <c r="B6519" s="28" t="e">
        <f>interpola(#REF!,CURVA!$B$6:$B$20,CURVA!$G$6:$G$20)</f>
        <v>#VALUE!</v>
      </c>
      <c r="C6519" s="29" t="e">
        <f t="shared" si="101"/>
        <v>#VALUE!</v>
      </c>
      <c r="E6519" t="e">
        <f>cubic_spline(CURVA!$B$6:$B$20,CURVA!$G$6:$G$20,#REF!)</f>
        <v>#VALUE!</v>
      </c>
    </row>
    <row r="6520" spans="1:5" x14ac:dyDescent="0.2">
      <c r="A6520" s="28">
        <v>6519</v>
      </c>
      <c r="B6520" s="28" t="e">
        <f>interpola(#REF!,CURVA!$B$6:$B$20,CURVA!$G$6:$G$20)</f>
        <v>#VALUE!</v>
      </c>
      <c r="C6520" s="29" t="e">
        <f t="shared" si="101"/>
        <v>#VALUE!</v>
      </c>
      <c r="E6520" t="e">
        <f>cubic_spline(CURVA!$B$6:$B$20,CURVA!$G$6:$G$20,#REF!)</f>
        <v>#VALUE!</v>
      </c>
    </row>
    <row r="6521" spans="1:5" x14ac:dyDescent="0.2">
      <c r="A6521" s="28">
        <v>6520</v>
      </c>
      <c r="B6521" s="28" t="e">
        <f>interpola(#REF!,CURVA!$B$6:$B$20,CURVA!$G$6:$G$20)</f>
        <v>#VALUE!</v>
      </c>
      <c r="C6521" s="29" t="e">
        <f t="shared" si="101"/>
        <v>#VALUE!</v>
      </c>
      <c r="E6521" t="e">
        <f>cubic_spline(CURVA!$B$6:$B$20,CURVA!$G$6:$G$20,#REF!)</f>
        <v>#VALUE!</v>
      </c>
    </row>
    <row r="6522" spans="1:5" x14ac:dyDescent="0.2">
      <c r="A6522" s="28">
        <v>6521</v>
      </c>
      <c r="B6522" s="28" t="e">
        <f>interpola(#REF!,CURVA!$B$6:$B$20,CURVA!$G$6:$G$20)</f>
        <v>#VALUE!</v>
      </c>
      <c r="C6522" s="29" t="e">
        <f t="shared" si="101"/>
        <v>#VALUE!</v>
      </c>
      <c r="E6522" t="e">
        <f>cubic_spline(CURVA!$B$6:$B$20,CURVA!$G$6:$G$20,#REF!)</f>
        <v>#VALUE!</v>
      </c>
    </row>
    <row r="6523" spans="1:5" x14ac:dyDescent="0.2">
      <c r="A6523" s="28">
        <v>6522</v>
      </c>
      <c r="B6523" s="28" t="e">
        <f>interpola(#REF!,CURVA!$B$6:$B$20,CURVA!$G$6:$G$20)</f>
        <v>#VALUE!</v>
      </c>
      <c r="C6523" s="29" t="e">
        <f t="shared" si="101"/>
        <v>#VALUE!</v>
      </c>
      <c r="E6523" t="e">
        <f>cubic_spline(CURVA!$B$6:$B$20,CURVA!$G$6:$G$20,#REF!)</f>
        <v>#VALUE!</v>
      </c>
    </row>
    <row r="6524" spans="1:5" x14ac:dyDescent="0.2">
      <c r="A6524" s="28">
        <v>6523</v>
      </c>
      <c r="B6524" s="28" t="e">
        <f>interpola(#REF!,CURVA!$B$6:$B$20,CURVA!$G$6:$G$20)</f>
        <v>#VALUE!</v>
      </c>
      <c r="C6524" s="29" t="e">
        <f t="shared" si="101"/>
        <v>#VALUE!</v>
      </c>
      <c r="E6524" t="e">
        <f>cubic_spline(CURVA!$B$6:$B$20,CURVA!$G$6:$G$20,#REF!)</f>
        <v>#VALUE!</v>
      </c>
    </row>
    <row r="6525" spans="1:5" x14ac:dyDescent="0.2">
      <c r="A6525" s="28">
        <v>6524</v>
      </c>
      <c r="B6525" s="28" t="e">
        <f>interpola(#REF!,CURVA!$B$6:$B$20,CURVA!$G$6:$G$20)</f>
        <v>#VALUE!</v>
      </c>
      <c r="C6525" s="29" t="e">
        <f t="shared" si="101"/>
        <v>#VALUE!</v>
      </c>
      <c r="E6525" t="e">
        <f>cubic_spline(CURVA!$B$6:$B$20,CURVA!$G$6:$G$20,#REF!)</f>
        <v>#VALUE!</v>
      </c>
    </row>
    <row r="6526" spans="1:5" x14ac:dyDescent="0.2">
      <c r="A6526" s="28">
        <v>6525</v>
      </c>
      <c r="B6526" s="28" t="e">
        <f>interpola(#REF!,CURVA!$B$6:$B$20,CURVA!$G$6:$G$20)</f>
        <v>#VALUE!</v>
      </c>
      <c r="C6526" s="29" t="e">
        <f t="shared" si="101"/>
        <v>#VALUE!</v>
      </c>
      <c r="E6526" t="e">
        <f>cubic_spline(CURVA!$B$6:$B$20,CURVA!$G$6:$G$20,#REF!)</f>
        <v>#VALUE!</v>
      </c>
    </row>
    <row r="6527" spans="1:5" x14ac:dyDescent="0.2">
      <c r="A6527" s="28">
        <v>6526</v>
      </c>
      <c r="B6527" s="28" t="e">
        <f>interpola(#REF!,CURVA!$B$6:$B$20,CURVA!$G$6:$G$20)</f>
        <v>#VALUE!</v>
      </c>
      <c r="C6527" s="29" t="e">
        <f t="shared" si="101"/>
        <v>#VALUE!</v>
      </c>
      <c r="E6527" t="e">
        <f>cubic_spline(CURVA!$B$6:$B$20,CURVA!$G$6:$G$20,#REF!)</f>
        <v>#VALUE!</v>
      </c>
    </row>
    <row r="6528" spans="1:5" x14ac:dyDescent="0.2">
      <c r="A6528" s="28">
        <v>6527</v>
      </c>
      <c r="B6528" s="28" t="e">
        <f>interpola(#REF!,CURVA!$B$6:$B$20,CURVA!$G$6:$G$20)</f>
        <v>#VALUE!</v>
      </c>
      <c r="C6528" s="29" t="e">
        <f t="shared" si="101"/>
        <v>#VALUE!</v>
      </c>
      <c r="E6528" t="e">
        <f>cubic_spline(CURVA!$B$6:$B$20,CURVA!$G$6:$G$20,#REF!)</f>
        <v>#VALUE!</v>
      </c>
    </row>
    <row r="6529" spans="1:5" x14ac:dyDescent="0.2">
      <c r="A6529" s="28">
        <v>6528</v>
      </c>
      <c r="B6529" s="28" t="e">
        <f>interpola(#REF!,CURVA!$B$6:$B$20,CURVA!$G$6:$G$20)</f>
        <v>#VALUE!</v>
      </c>
      <c r="C6529" s="29" t="e">
        <f t="shared" si="101"/>
        <v>#VALUE!</v>
      </c>
      <c r="E6529" t="e">
        <f>cubic_spline(CURVA!$B$6:$B$20,CURVA!$G$6:$G$20,#REF!)</f>
        <v>#VALUE!</v>
      </c>
    </row>
    <row r="6530" spans="1:5" x14ac:dyDescent="0.2">
      <c r="A6530" s="28">
        <v>6529</v>
      </c>
      <c r="B6530" s="28" t="e">
        <f>interpola(#REF!,CURVA!$B$6:$B$20,CURVA!$G$6:$G$20)</f>
        <v>#VALUE!</v>
      </c>
      <c r="C6530" s="29" t="e">
        <f t="shared" ref="C6530:C6593" si="102">(EXP(B6530*A6530/360)-1)*360/A6530</f>
        <v>#VALUE!</v>
      </c>
      <c r="E6530" t="e">
        <f>cubic_spline(CURVA!$B$6:$B$20,CURVA!$G$6:$G$20,#REF!)</f>
        <v>#VALUE!</v>
      </c>
    </row>
    <row r="6531" spans="1:5" x14ac:dyDescent="0.2">
      <c r="A6531" s="28">
        <v>6530</v>
      </c>
      <c r="B6531" s="28" t="e">
        <f>interpola(#REF!,CURVA!$B$6:$B$20,CURVA!$G$6:$G$20)</f>
        <v>#VALUE!</v>
      </c>
      <c r="C6531" s="29" t="e">
        <f t="shared" si="102"/>
        <v>#VALUE!</v>
      </c>
      <c r="E6531" t="e">
        <f>cubic_spline(CURVA!$B$6:$B$20,CURVA!$G$6:$G$20,#REF!)</f>
        <v>#VALUE!</v>
      </c>
    </row>
    <row r="6532" spans="1:5" x14ac:dyDescent="0.2">
      <c r="A6532" s="28">
        <v>6531</v>
      </c>
      <c r="B6532" s="28" t="e">
        <f>interpola(#REF!,CURVA!$B$6:$B$20,CURVA!$G$6:$G$20)</f>
        <v>#VALUE!</v>
      </c>
      <c r="C6532" s="29" t="e">
        <f t="shared" si="102"/>
        <v>#VALUE!</v>
      </c>
      <c r="E6532" t="e">
        <f>cubic_spline(CURVA!$B$6:$B$20,CURVA!$G$6:$G$20,#REF!)</f>
        <v>#VALUE!</v>
      </c>
    </row>
    <row r="6533" spans="1:5" x14ac:dyDescent="0.2">
      <c r="A6533" s="28">
        <v>6532</v>
      </c>
      <c r="B6533" s="28" t="e">
        <f>interpola(#REF!,CURVA!$B$6:$B$20,CURVA!$G$6:$G$20)</f>
        <v>#VALUE!</v>
      </c>
      <c r="C6533" s="29" t="e">
        <f t="shared" si="102"/>
        <v>#VALUE!</v>
      </c>
      <c r="E6533" t="e">
        <f>cubic_spline(CURVA!$B$6:$B$20,CURVA!$G$6:$G$20,#REF!)</f>
        <v>#VALUE!</v>
      </c>
    </row>
    <row r="6534" spans="1:5" x14ac:dyDescent="0.2">
      <c r="A6534" s="28">
        <v>6533</v>
      </c>
      <c r="B6534" s="28" t="e">
        <f>interpola(#REF!,CURVA!$B$6:$B$20,CURVA!$G$6:$G$20)</f>
        <v>#VALUE!</v>
      </c>
      <c r="C6534" s="29" t="e">
        <f t="shared" si="102"/>
        <v>#VALUE!</v>
      </c>
      <c r="E6534" t="e">
        <f>cubic_spline(CURVA!$B$6:$B$20,CURVA!$G$6:$G$20,#REF!)</f>
        <v>#VALUE!</v>
      </c>
    </row>
    <row r="6535" spans="1:5" x14ac:dyDescent="0.2">
      <c r="A6535" s="28">
        <v>6534</v>
      </c>
      <c r="B6535" s="28" t="e">
        <f>interpola(#REF!,CURVA!$B$6:$B$20,CURVA!$G$6:$G$20)</f>
        <v>#VALUE!</v>
      </c>
      <c r="C6535" s="29" t="e">
        <f t="shared" si="102"/>
        <v>#VALUE!</v>
      </c>
      <c r="E6535" t="e">
        <f>cubic_spline(CURVA!$B$6:$B$20,CURVA!$G$6:$G$20,#REF!)</f>
        <v>#VALUE!</v>
      </c>
    </row>
    <row r="6536" spans="1:5" x14ac:dyDescent="0.2">
      <c r="A6536" s="28">
        <v>6535</v>
      </c>
      <c r="B6536" s="28" t="e">
        <f>interpola(#REF!,CURVA!$B$6:$B$20,CURVA!$G$6:$G$20)</f>
        <v>#VALUE!</v>
      </c>
      <c r="C6536" s="29" t="e">
        <f t="shared" si="102"/>
        <v>#VALUE!</v>
      </c>
      <c r="E6536" t="e">
        <f>cubic_spline(CURVA!$B$6:$B$20,CURVA!$G$6:$G$20,#REF!)</f>
        <v>#VALUE!</v>
      </c>
    </row>
    <row r="6537" spans="1:5" x14ac:dyDescent="0.2">
      <c r="A6537" s="28">
        <v>6536</v>
      </c>
      <c r="B6537" s="28" t="e">
        <f>interpola(#REF!,CURVA!$B$6:$B$20,CURVA!$G$6:$G$20)</f>
        <v>#VALUE!</v>
      </c>
      <c r="C6537" s="29" t="e">
        <f t="shared" si="102"/>
        <v>#VALUE!</v>
      </c>
      <c r="E6537" t="e">
        <f>cubic_spline(CURVA!$B$6:$B$20,CURVA!$G$6:$G$20,#REF!)</f>
        <v>#VALUE!</v>
      </c>
    </row>
    <row r="6538" spans="1:5" x14ac:dyDescent="0.2">
      <c r="A6538" s="28">
        <v>6537</v>
      </c>
      <c r="B6538" s="28" t="e">
        <f>interpola(#REF!,CURVA!$B$6:$B$20,CURVA!$G$6:$G$20)</f>
        <v>#VALUE!</v>
      </c>
      <c r="C6538" s="29" t="e">
        <f t="shared" si="102"/>
        <v>#VALUE!</v>
      </c>
      <c r="E6538" t="e">
        <f>cubic_spline(CURVA!$B$6:$B$20,CURVA!$G$6:$G$20,#REF!)</f>
        <v>#VALUE!</v>
      </c>
    </row>
    <row r="6539" spans="1:5" x14ac:dyDescent="0.2">
      <c r="A6539" s="28">
        <v>6538</v>
      </c>
      <c r="B6539" s="28" t="e">
        <f>interpola(#REF!,CURVA!$B$6:$B$20,CURVA!$G$6:$G$20)</f>
        <v>#VALUE!</v>
      </c>
      <c r="C6539" s="29" t="e">
        <f t="shared" si="102"/>
        <v>#VALUE!</v>
      </c>
      <c r="E6539" t="e">
        <f>cubic_spline(CURVA!$B$6:$B$20,CURVA!$G$6:$G$20,#REF!)</f>
        <v>#VALUE!</v>
      </c>
    </row>
    <row r="6540" spans="1:5" x14ac:dyDescent="0.2">
      <c r="A6540" s="28">
        <v>6539</v>
      </c>
      <c r="B6540" s="28" t="e">
        <f>interpola(#REF!,CURVA!$B$6:$B$20,CURVA!$G$6:$G$20)</f>
        <v>#VALUE!</v>
      </c>
      <c r="C6540" s="29" t="e">
        <f t="shared" si="102"/>
        <v>#VALUE!</v>
      </c>
      <c r="E6540" t="e">
        <f>cubic_spline(CURVA!$B$6:$B$20,CURVA!$G$6:$G$20,#REF!)</f>
        <v>#VALUE!</v>
      </c>
    </row>
    <row r="6541" spans="1:5" x14ac:dyDescent="0.2">
      <c r="A6541" s="28">
        <v>6540</v>
      </c>
      <c r="B6541" s="28" t="e">
        <f>interpola(#REF!,CURVA!$B$6:$B$20,CURVA!$G$6:$G$20)</f>
        <v>#VALUE!</v>
      </c>
      <c r="C6541" s="29" t="e">
        <f t="shared" si="102"/>
        <v>#VALUE!</v>
      </c>
      <c r="E6541" t="e">
        <f>cubic_spline(CURVA!$B$6:$B$20,CURVA!$G$6:$G$20,#REF!)</f>
        <v>#VALUE!</v>
      </c>
    </row>
    <row r="6542" spans="1:5" x14ac:dyDescent="0.2">
      <c r="A6542" s="28">
        <v>6541</v>
      </c>
      <c r="B6542" s="28" t="e">
        <f>interpola(#REF!,CURVA!$B$6:$B$20,CURVA!$G$6:$G$20)</f>
        <v>#VALUE!</v>
      </c>
      <c r="C6542" s="29" t="e">
        <f t="shared" si="102"/>
        <v>#VALUE!</v>
      </c>
      <c r="E6542" t="e">
        <f>cubic_spline(CURVA!$B$6:$B$20,CURVA!$G$6:$G$20,#REF!)</f>
        <v>#VALUE!</v>
      </c>
    </row>
    <row r="6543" spans="1:5" x14ac:dyDescent="0.2">
      <c r="A6543" s="28">
        <v>6542</v>
      </c>
      <c r="B6543" s="28" t="e">
        <f>interpola(#REF!,CURVA!$B$6:$B$20,CURVA!$G$6:$G$20)</f>
        <v>#VALUE!</v>
      </c>
      <c r="C6543" s="29" t="e">
        <f t="shared" si="102"/>
        <v>#VALUE!</v>
      </c>
      <c r="E6543" t="e">
        <f>cubic_spline(CURVA!$B$6:$B$20,CURVA!$G$6:$G$20,#REF!)</f>
        <v>#VALUE!</v>
      </c>
    </row>
    <row r="6544" spans="1:5" x14ac:dyDescent="0.2">
      <c r="A6544" s="28">
        <v>6543</v>
      </c>
      <c r="B6544" s="28" t="e">
        <f>interpola(#REF!,CURVA!$B$6:$B$20,CURVA!$G$6:$G$20)</f>
        <v>#VALUE!</v>
      </c>
      <c r="C6544" s="29" t="e">
        <f t="shared" si="102"/>
        <v>#VALUE!</v>
      </c>
      <c r="E6544" t="e">
        <f>cubic_spline(CURVA!$B$6:$B$20,CURVA!$G$6:$G$20,#REF!)</f>
        <v>#VALUE!</v>
      </c>
    </row>
    <row r="6545" spans="1:5" x14ac:dyDescent="0.2">
      <c r="A6545" s="28">
        <v>6544</v>
      </c>
      <c r="B6545" s="28" t="e">
        <f>interpola(#REF!,CURVA!$B$6:$B$20,CURVA!$G$6:$G$20)</f>
        <v>#VALUE!</v>
      </c>
      <c r="C6545" s="29" t="e">
        <f t="shared" si="102"/>
        <v>#VALUE!</v>
      </c>
      <c r="E6545" t="e">
        <f>cubic_spline(CURVA!$B$6:$B$20,CURVA!$G$6:$G$20,#REF!)</f>
        <v>#VALUE!</v>
      </c>
    </row>
    <row r="6546" spans="1:5" x14ac:dyDescent="0.2">
      <c r="A6546" s="28">
        <v>6545</v>
      </c>
      <c r="B6546" s="28" t="e">
        <f>interpola(#REF!,CURVA!$B$6:$B$20,CURVA!$G$6:$G$20)</f>
        <v>#VALUE!</v>
      </c>
      <c r="C6546" s="29" t="e">
        <f t="shared" si="102"/>
        <v>#VALUE!</v>
      </c>
      <c r="E6546" t="e">
        <f>cubic_spline(CURVA!$B$6:$B$20,CURVA!$G$6:$G$20,#REF!)</f>
        <v>#VALUE!</v>
      </c>
    </row>
    <row r="6547" spans="1:5" x14ac:dyDescent="0.2">
      <c r="A6547" s="28">
        <v>6546</v>
      </c>
      <c r="B6547" s="28" t="e">
        <f>interpola(#REF!,CURVA!$B$6:$B$20,CURVA!$G$6:$G$20)</f>
        <v>#VALUE!</v>
      </c>
      <c r="C6547" s="29" t="e">
        <f t="shared" si="102"/>
        <v>#VALUE!</v>
      </c>
      <c r="E6547" t="e">
        <f>cubic_spline(CURVA!$B$6:$B$20,CURVA!$G$6:$G$20,#REF!)</f>
        <v>#VALUE!</v>
      </c>
    </row>
    <row r="6548" spans="1:5" x14ac:dyDescent="0.2">
      <c r="A6548" s="28">
        <v>6547</v>
      </c>
      <c r="B6548" s="28" t="e">
        <f>interpola(#REF!,CURVA!$B$6:$B$20,CURVA!$G$6:$G$20)</f>
        <v>#VALUE!</v>
      </c>
      <c r="C6548" s="29" t="e">
        <f t="shared" si="102"/>
        <v>#VALUE!</v>
      </c>
      <c r="E6548" t="e">
        <f>cubic_spline(CURVA!$B$6:$B$20,CURVA!$G$6:$G$20,#REF!)</f>
        <v>#VALUE!</v>
      </c>
    </row>
    <row r="6549" spans="1:5" x14ac:dyDescent="0.2">
      <c r="A6549" s="28">
        <v>6548</v>
      </c>
      <c r="B6549" s="28" t="e">
        <f>interpola(#REF!,CURVA!$B$6:$B$20,CURVA!$G$6:$G$20)</f>
        <v>#VALUE!</v>
      </c>
      <c r="C6549" s="29" t="e">
        <f t="shared" si="102"/>
        <v>#VALUE!</v>
      </c>
      <c r="E6549" t="e">
        <f>cubic_spline(CURVA!$B$6:$B$20,CURVA!$G$6:$G$20,#REF!)</f>
        <v>#VALUE!</v>
      </c>
    </row>
    <row r="6550" spans="1:5" x14ac:dyDescent="0.2">
      <c r="A6550" s="28">
        <v>6549</v>
      </c>
      <c r="B6550" s="28" t="e">
        <f>interpola(#REF!,CURVA!$B$6:$B$20,CURVA!$G$6:$G$20)</f>
        <v>#VALUE!</v>
      </c>
      <c r="C6550" s="29" t="e">
        <f t="shared" si="102"/>
        <v>#VALUE!</v>
      </c>
      <c r="E6550" t="e">
        <f>cubic_spline(CURVA!$B$6:$B$20,CURVA!$G$6:$G$20,#REF!)</f>
        <v>#VALUE!</v>
      </c>
    </row>
    <row r="6551" spans="1:5" x14ac:dyDescent="0.2">
      <c r="A6551" s="28">
        <v>6550</v>
      </c>
      <c r="B6551" s="28" t="e">
        <f>interpola(#REF!,CURVA!$B$6:$B$20,CURVA!$G$6:$G$20)</f>
        <v>#VALUE!</v>
      </c>
      <c r="C6551" s="29" t="e">
        <f t="shared" si="102"/>
        <v>#VALUE!</v>
      </c>
      <c r="E6551" t="e">
        <f>cubic_spline(CURVA!$B$6:$B$20,CURVA!$G$6:$G$20,#REF!)</f>
        <v>#VALUE!</v>
      </c>
    </row>
    <row r="6552" spans="1:5" x14ac:dyDescent="0.2">
      <c r="A6552" s="28">
        <v>6551</v>
      </c>
      <c r="B6552" s="28" t="e">
        <f>interpola(#REF!,CURVA!$B$6:$B$20,CURVA!$G$6:$G$20)</f>
        <v>#VALUE!</v>
      </c>
      <c r="C6552" s="29" t="e">
        <f t="shared" si="102"/>
        <v>#VALUE!</v>
      </c>
      <c r="E6552" t="e">
        <f>cubic_spline(CURVA!$B$6:$B$20,CURVA!$G$6:$G$20,#REF!)</f>
        <v>#VALUE!</v>
      </c>
    </row>
    <row r="6553" spans="1:5" x14ac:dyDescent="0.2">
      <c r="A6553" s="28">
        <v>6552</v>
      </c>
      <c r="B6553" s="28" t="e">
        <f>interpola(#REF!,CURVA!$B$6:$B$20,CURVA!$G$6:$G$20)</f>
        <v>#VALUE!</v>
      </c>
      <c r="C6553" s="29" t="e">
        <f t="shared" si="102"/>
        <v>#VALUE!</v>
      </c>
      <c r="E6553" t="e">
        <f>cubic_spline(CURVA!$B$6:$B$20,CURVA!$G$6:$G$20,#REF!)</f>
        <v>#VALUE!</v>
      </c>
    </row>
    <row r="6554" spans="1:5" x14ac:dyDescent="0.2">
      <c r="A6554" s="28">
        <v>6553</v>
      </c>
      <c r="B6554" s="28" t="e">
        <f>interpola(#REF!,CURVA!$B$6:$B$20,CURVA!$G$6:$G$20)</f>
        <v>#VALUE!</v>
      </c>
      <c r="C6554" s="29" t="e">
        <f t="shared" si="102"/>
        <v>#VALUE!</v>
      </c>
      <c r="E6554" t="e">
        <f>cubic_spline(CURVA!$B$6:$B$20,CURVA!$G$6:$G$20,#REF!)</f>
        <v>#VALUE!</v>
      </c>
    </row>
    <row r="6555" spans="1:5" x14ac:dyDescent="0.2">
      <c r="A6555" s="28">
        <v>6554</v>
      </c>
      <c r="B6555" s="28" t="e">
        <f>interpola(#REF!,CURVA!$B$6:$B$20,CURVA!$G$6:$G$20)</f>
        <v>#VALUE!</v>
      </c>
      <c r="C6555" s="29" t="e">
        <f t="shared" si="102"/>
        <v>#VALUE!</v>
      </c>
      <c r="E6555" t="e">
        <f>cubic_spline(CURVA!$B$6:$B$20,CURVA!$G$6:$G$20,#REF!)</f>
        <v>#VALUE!</v>
      </c>
    </row>
    <row r="6556" spans="1:5" x14ac:dyDescent="0.2">
      <c r="A6556" s="28">
        <v>6555</v>
      </c>
      <c r="B6556" s="28" t="e">
        <f>interpola(#REF!,CURVA!$B$6:$B$20,CURVA!$G$6:$G$20)</f>
        <v>#VALUE!</v>
      </c>
      <c r="C6556" s="29" t="e">
        <f t="shared" si="102"/>
        <v>#VALUE!</v>
      </c>
      <c r="E6556" t="e">
        <f>cubic_spline(CURVA!$B$6:$B$20,CURVA!$G$6:$G$20,#REF!)</f>
        <v>#VALUE!</v>
      </c>
    </row>
    <row r="6557" spans="1:5" x14ac:dyDescent="0.2">
      <c r="A6557" s="28">
        <v>6556</v>
      </c>
      <c r="B6557" s="28" t="e">
        <f>interpola(#REF!,CURVA!$B$6:$B$20,CURVA!$G$6:$G$20)</f>
        <v>#VALUE!</v>
      </c>
      <c r="C6557" s="29" t="e">
        <f t="shared" si="102"/>
        <v>#VALUE!</v>
      </c>
      <c r="E6557" t="e">
        <f>cubic_spline(CURVA!$B$6:$B$20,CURVA!$G$6:$G$20,#REF!)</f>
        <v>#VALUE!</v>
      </c>
    </row>
    <row r="6558" spans="1:5" x14ac:dyDescent="0.2">
      <c r="A6558" s="28">
        <v>6557</v>
      </c>
      <c r="B6558" s="28" t="e">
        <f>interpola(#REF!,CURVA!$B$6:$B$20,CURVA!$G$6:$G$20)</f>
        <v>#VALUE!</v>
      </c>
      <c r="C6558" s="29" t="e">
        <f t="shared" si="102"/>
        <v>#VALUE!</v>
      </c>
      <c r="E6558" t="e">
        <f>cubic_spline(CURVA!$B$6:$B$20,CURVA!$G$6:$G$20,#REF!)</f>
        <v>#VALUE!</v>
      </c>
    </row>
    <row r="6559" spans="1:5" x14ac:dyDescent="0.2">
      <c r="A6559" s="28">
        <v>6558</v>
      </c>
      <c r="B6559" s="28" t="e">
        <f>interpola(#REF!,CURVA!$B$6:$B$20,CURVA!$G$6:$G$20)</f>
        <v>#VALUE!</v>
      </c>
      <c r="C6559" s="29" t="e">
        <f t="shared" si="102"/>
        <v>#VALUE!</v>
      </c>
      <c r="E6559" t="e">
        <f>cubic_spline(CURVA!$B$6:$B$20,CURVA!$G$6:$G$20,#REF!)</f>
        <v>#VALUE!</v>
      </c>
    </row>
    <row r="6560" spans="1:5" x14ac:dyDescent="0.2">
      <c r="A6560" s="28">
        <v>6559</v>
      </c>
      <c r="B6560" s="28" t="e">
        <f>interpola(#REF!,CURVA!$B$6:$B$20,CURVA!$G$6:$G$20)</f>
        <v>#VALUE!</v>
      </c>
      <c r="C6560" s="29" t="e">
        <f t="shared" si="102"/>
        <v>#VALUE!</v>
      </c>
      <c r="E6560" t="e">
        <f>cubic_spline(CURVA!$B$6:$B$20,CURVA!$G$6:$G$20,#REF!)</f>
        <v>#VALUE!</v>
      </c>
    </row>
    <row r="6561" spans="1:5" x14ac:dyDescent="0.2">
      <c r="A6561" s="28">
        <v>6560</v>
      </c>
      <c r="B6561" s="28" t="e">
        <f>interpola(#REF!,CURVA!$B$6:$B$20,CURVA!$G$6:$G$20)</f>
        <v>#VALUE!</v>
      </c>
      <c r="C6561" s="29" t="e">
        <f t="shared" si="102"/>
        <v>#VALUE!</v>
      </c>
      <c r="E6561" t="e">
        <f>cubic_spline(CURVA!$B$6:$B$20,CURVA!$G$6:$G$20,#REF!)</f>
        <v>#VALUE!</v>
      </c>
    </row>
    <row r="6562" spans="1:5" x14ac:dyDescent="0.2">
      <c r="A6562" s="28">
        <v>6561</v>
      </c>
      <c r="B6562" s="28" t="e">
        <f>interpola(#REF!,CURVA!$B$6:$B$20,CURVA!$G$6:$G$20)</f>
        <v>#VALUE!</v>
      </c>
      <c r="C6562" s="29" t="e">
        <f t="shared" si="102"/>
        <v>#VALUE!</v>
      </c>
      <c r="E6562" t="e">
        <f>cubic_spline(CURVA!$B$6:$B$20,CURVA!$G$6:$G$20,#REF!)</f>
        <v>#VALUE!</v>
      </c>
    </row>
    <row r="6563" spans="1:5" x14ac:dyDescent="0.2">
      <c r="A6563" s="28">
        <v>6562</v>
      </c>
      <c r="B6563" s="28" t="e">
        <f>interpola(#REF!,CURVA!$B$6:$B$20,CURVA!$G$6:$G$20)</f>
        <v>#VALUE!</v>
      </c>
      <c r="C6563" s="29" t="e">
        <f t="shared" si="102"/>
        <v>#VALUE!</v>
      </c>
      <c r="E6563" t="e">
        <f>cubic_spline(CURVA!$B$6:$B$20,CURVA!$G$6:$G$20,#REF!)</f>
        <v>#VALUE!</v>
      </c>
    </row>
    <row r="6564" spans="1:5" x14ac:dyDescent="0.2">
      <c r="A6564" s="28">
        <v>6563</v>
      </c>
      <c r="B6564" s="28" t="e">
        <f>interpola(#REF!,CURVA!$B$6:$B$20,CURVA!$G$6:$G$20)</f>
        <v>#VALUE!</v>
      </c>
      <c r="C6564" s="29" t="e">
        <f t="shared" si="102"/>
        <v>#VALUE!</v>
      </c>
      <c r="E6564" t="e">
        <f>cubic_spline(CURVA!$B$6:$B$20,CURVA!$G$6:$G$20,#REF!)</f>
        <v>#VALUE!</v>
      </c>
    </row>
    <row r="6565" spans="1:5" x14ac:dyDescent="0.2">
      <c r="A6565" s="28">
        <v>6564</v>
      </c>
      <c r="B6565" s="28" t="e">
        <f>interpola(#REF!,CURVA!$B$6:$B$20,CURVA!$G$6:$G$20)</f>
        <v>#VALUE!</v>
      </c>
      <c r="C6565" s="29" t="e">
        <f t="shared" si="102"/>
        <v>#VALUE!</v>
      </c>
      <c r="E6565" t="e">
        <f>cubic_spline(CURVA!$B$6:$B$20,CURVA!$G$6:$G$20,#REF!)</f>
        <v>#VALUE!</v>
      </c>
    </row>
    <row r="6566" spans="1:5" x14ac:dyDescent="0.2">
      <c r="A6566" s="28">
        <v>6565</v>
      </c>
      <c r="B6566" s="28" t="e">
        <f>interpola(#REF!,CURVA!$B$6:$B$20,CURVA!$G$6:$G$20)</f>
        <v>#VALUE!</v>
      </c>
      <c r="C6566" s="29" t="e">
        <f t="shared" si="102"/>
        <v>#VALUE!</v>
      </c>
      <c r="E6566" t="e">
        <f>cubic_spline(CURVA!$B$6:$B$20,CURVA!$G$6:$G$20,#REF!)</f>
        <v>#VALUE!</v>
      </c>
    </row>
    <row r="6567" spans="1:5" x14ac:dyDescent="0.2">
      <c r="A6567" s="28">
        <v>6566</v>
      </c>
      <c r="B6567" s="28" t="e">
        <f>interpola(#REF!,CURVA!$B$6:$B$20,CURVA!$G$6:$G$20)</f>
        <v>#VALUE!</v>
      </c>
      <c r="C6567" s="29" t="e">
        <f t="shared" si="102"/>
        <v>#VALUE!</v>
      </c>
      <c r="E6567" t="e">
        <f>cubic_spline(CURVA!$B$6:$B$20,CURVA!$G$6:$G$20,#REF!)</f>
        <v>#VALUE!</v>
      </c>
    </row>
    <row r="6568" spans="1:5" x14ac:dyDescent="0.2">
      <c r="A6568" s="28">
        <v>6567</v>
      </c>
      <c r="B6568" s="28" t="e">
        <f>interpola(#REF!,CURVA!$B$6:$B$20,CURVA!$G$6:$G$20)</f>
        <v>#VALUE!</v>
      </c>
      <c r="C6568" s="29" t="e">
        <f t="shared" si="102"/>
        <v>#VALUE!</v>
      </c>
      <c r="E6568" t="e">
        <f>cubic_spline(CURVA!$B$6:$B$20,CURVA!$G$6:$G$20,#REF!)</f>
        <v>#VALUE!</v>
      </c>
    </row>
    <row r="6569" spans="1:5" x14ac:dyDescent="0.2">
      <c r="A6569" s="28">
        <v>6568</v>
      </c>
      <c r="B6569" s="28" t="e">
        <f>interpola(#REF!,CURVA!$B$6:$B$20,CURVA!$G$6:$G$20)</f>
        <v>#VALUE!</v>
      </c>
      <c r="C6569" s="29" t="e">
        <f t="shared" si="102"/>
        <v>#VALUE!</v>
      </c>
      <c r="E6569" t="e">
        <f>cubic_spline(CURVA!$B$6:$B$20,CURVA!$G$6:$G$20,#REF!)</f>
        <v>#VALUE!</v>
      </c>
    </row>
    <row r="6570" spans="1:5" x14ac:dyDescent="0.2">
      <c r="A6570" s="28">
        <v>6569</v>
      </c>
      <c r="B6570" s="28" t="e">
        <f>interpola(#REF!,CURVA!$B$6:$B$20,CURVA!$G$6:$G$20)</f>
        <v>#VALUE!</v>
      </c>
      <c r="C6570" s="29" t="e">
        <f t="shared" si="102"/>
        <v>#VALUE!</v>
      </c>
      <c r="E6570" t="e">
        <f>cubic_spline(CURVA!$B$6:$B$20,CURVA!$G$6:$G$20,#REF!)</f>
        <v>#VALUE!</v>
      </c>
    </row>
    <row r="6571" spans="1:5" x14ac:dyDescent="0.2">
      <c r="A6571" s="28">
        <v>6570</v>
      </c>
      <c r="B6571" s="28" t="e">
        <f>interpola(#REF!,CURVA!$B$6:$B$20,CURVA!$G$6:$G$20)</f>
        <v>#VALUE!</v>
      </c>
      <c r="C6571" s="29" t="e">
        <f t="shared" si="102"/>
        <v>#VALUE!</v>
      </c>
      <c r="E6571" t="e">
        <f>cubic_spline(CURVA!$B$6:$B$20,CURVA!$G$6:$G$20,#REF!)</f>
        <v>#VALUE!</v>
      </c>
    </row>
    <row r="6572" spans="1:5" x14ac:dyDescent="0.2">
      <c r="A6572" s="28">
        <v>6571</v>
      </c>
      <c r="B6572" s="28" t="e">
        <f>interpola(#REF!,CURVA!$B$6:$B$20,CURVA!$G$6:$G$20)</f>
        <v>#VALUE!</v>
      </c>
      <c r="C6572" s="29" t="e">
        <f t="shared" si="102"/>
        <v>#VALUE!</v>
      </c>
      <c r="E6572" t="e">
        <f>cubic_spline(CURVA!$B$6:$B$20,CURVA!$G$6:$G$20,#REF!)</f>
        <v>#VALUE!</v>
      </c>
    </row>
    <row r="6573" spans="1:5" x14ac:dyDescent="0.2">
      <c r="A6573" s="28">
        <v>6572</v>
      </c>
      <c r="B6573" s="28" t="e">
        <f>interpola(#REF!,CURVA!$B$6:$B$20,CURVA!$G$6:$G$20)</f>
        <v>#VALUE!</v>
      </c>
      <c r="C6573" s="29" t="e">
        <f t="shared" si="102"/>
        <v>#VALUE!</v>
      </c>
      <c r="E6573" t="e">
        <f>cubic_spline(CURVA!$B$6:$B$20,CURVA!$G$6:$G$20,#REF!)</f>
        <v>#VALUE!</v>
      </c>
    </row>
    <row r="6574" spans="1:5" x14ac:dyDescent="0.2">
      <c r="A6574" s="28">
        <v>6573</v>
      </c>
      <c r="B6574" s="28" t="e">
        <f>interpola(#REF!,CURVA!$B$6:$B$20,CURVA!$G$6:$G$20)</f>
        <v>#VALUE!</v>
      </c>
      <c r="C6574" s="29" t="e">
        <f t="shared" si="102"/>
        <v>#VALUE!</v>
      </c>
      <c r="E6574" t="e">
        <f>cubic_spline(CURVA!$B$6:$B$20,CURVA!$G$6:$G$20,#REF!)</f>
        <v>#VALUE!</v>
      </c>
    </row>
    <row r="6575" spans="1:5" x14ac:dyDescent="0.2">
      <c r="A6575" s="28">
        <v>6574</v>
      </c>
      <c r="B6575" s="28" t="e">
        <f>interpola(#REF!,CURVA!$B$6:$B$20,CURVA!$G$6:$G$20)</f>
        <v>#VALUE!</v>
      </c>
      <c r="C6575" s="29" t="e">
        <f t="shared" si="102"/>
        <v>#VALUE!</v>
      </c>
      <c r="E6575" t="e">
        <f>cubic_spline(CURVA!$B$6:$B$20,CURVA!$G$6:$G$20,#REF!)</f>
        <v>#VALUE!</v>
      </c>
    </row>
    <row r="6576" spans="1:5" x14ac:dyDescent="0.2">
      <c r="A6576" s="28">
        <v>6575</v>
      </c>
      <c r="B6576" s="28" t="e">
        <f>interpola(#REF!,CURVA!$B$6:$B$20,CURVA!$G$6:$G$20)</f>
        <v>#VALUE!</v>
      </c>
      <c r="C6576" s="29" t="e">
        <f t="shared" si="102"/>
        <v>#VALUE!</v>
      </c>
      <c r="E6576" t="e">
        <f>cubic_spline(CURVA!$B$6:$B$20,CURVA!$G$6:$G$20,#REF!)</f>
        <v>#VALUE!</v>
      </c>
    </row>
    <row r="6577" spans="1:5" x14ac:dyDescent="0.2">
      <c r="A6577" s="28">
        <v>6576</v>
      </c>
      <c r="B6577" s="28" t="e">
        <f>interpola(#REF!,CURVA!$B$6:$B$20,CURVA!$G$6:$G$20)</f>
        <v>#VALUE!</v>
      </c>
      <c r="C6577" s="29" t="e">
        <f t="shared" si="102"/>
        <v>#VALUE!</v>
      </c>
      <c r="E6577" t="e">
        <f>cubic_spline(CURVA!$B$6:$B$20,CURVA!$G$6:$G$20,#REF!)</f>
        <v>#VALUE!</v>
      </c>
    </row>
    <row r="6578" spans="1:5" x14ac:dyDescent="0.2">
      <c r="A6578" s="28">
        <v>6577</v>
      </c>
      <c r="B6578" s="28" t="e">
        <f>interpola(#REF!,CURVA!$B$6:$B$20,CURVA!$G$6:$G$20)</f>
        <v>#VALUE!</v>
      </c>
      <c r="C6578" s="29" t="e">
        <f t="shared" si="102"/>
        <v>#VALUE!</v>
      </c>
      <c r="E6578" t="e">
        <f>cubic_spline(CURVA!$B$6:$B$20,CURVA!$G$6:$G$20,#REF!)</f>
        <v>#VALUE!</v>
      </c>
    </row>
    <row r="6579" spans="1:5" x14ac:dyDescent="0.2">
      <c r="A6579" s="28">
        <v>6578</v>
      </c>
      <c r="B6579" s="28" t="e">
        <f>interpola(#REF!,CURVA!$B$6:$B$20,CURVA!$G$6:$G$20)</f>
        <v>#VALUE!</v>
      </c>
      <c r="C6579" s="29" t="e">
        <f t="shared" si="102"/>
        <v>#VALUE!</v>
      </c>
      <c r="E6579" t="e">
        <f>cubic_spline(CURVA!$B$6:$B$20,CURVA!$G$6:$G$20,#REF!)</f>
        <v>#VALUE!</v>
      </c>
    </row>
    <row r="6580" spans="1:5" x14ac:dyDescent="0.2">
      <c r="A6580" s="28">
        <v>6579</v>
      </c>
      <c r="B6580" s="28" t="e">
        <f>interpola(#REF!,CURVA!$B$6:$B$20,CURVA!$G$6:$G$20)</f>
        <v>#VALUE!</v>
      </c>
      <c r="C6580" s="29" t="e">
        <f t="shared" si="102"/>
        <v>#VALUE!</v>
      </c>
      <c r="E6580" t="e">
        <f>cubic_spline(CURVA!$B$6:$B$20,CURVA!$G$6:$G$20,#REF!)</f>
        <v>#VALUE!</v>
      </c>
    </row>
    <row r="6581" spans="1:5" x14ac:dyDescent="0.2">
      <c r="A6581" s="28">
        <v>6580</v>
      </c>
      <c r="B6581" s="28" t="e">
        <f>interpola(#REF!,CURVA!$B$6:$B$20,CURVA!$G$6:$G$20)</f>
        <v>#VALUE!</v>
      </c>
      <c r="C6581" s="29" t="e">
        <f t="shared" si="102"/>
        <v>#VALUE!</v>
      </c>
      <c r="E6581" t="e">
        <f>cubic_spline(CURVA!$B$6:$B$20,CURVA!$G$6:$G$20,#REF!)</f>
        <v>#VALUE!</v>
      </c>
    </row>
    <row r="6582" spans="1:5" x14ac:dyDescent="0.2">
      <c r="A6582" s="28">
        <v>6581</v>
      </c>
      <c r="B6582" s="28" t="e">
        <f>interpola(#REF!,CURVA!$B$6:$B$20,CURVA!$G$6:$G$20)</f>
        <v>#VALUE!</v>
      </c>
      <c r="C6582" s="29" t="e">
        <f t="shared" si="102"/>
        <v>#VALUE!</v>
      </c>
      <c r="E6582" t="e">
        <f>cubic_spline(CURVA!$B$6:$B$20,CURVA!$G$6:$G$20,#REF!)</f>
        <v>#VALUE!</v>
      </c>
    </row>
    <row r="6583" spans="1:5" x14ac:dyDescent="0.2">
      <c r="A6583" s="28">
        <v>6582</v>
      </c>
      <c r="B6583" s="28" t="e">
        <f>interpola(#REF!,CURVA!$B$6:$B$20,CURVA!$G$6:$G$20)</f>
        <v>#VALUE!</v>
      </c>
      <c r="C6583" s="29" t="e">
        <f t="shared" si="102"/>
        <v>#VALUE!</v>
      </c>
      <c r="E6583" t="e">
        <f>cubic_spline(CURVA!$B$6:$B$20,CURVA!$G$6:$G$20,#REF!)</f>
        <v>#VALUE!</v>
      </c>
    </row>
    <row r="6584" spans="1:5" x14ac:dyDescent="0.2">
      <c r="A6584" s="28">
        <v>6583</v>
      </c>
      <c r="B6584" s="28" t="e">
        <f>interpola(#REF!,CURVA!$B$6:$B$20,CURVA!$G$6:$G$20)</f>
        <v>#VALUE!</v>
      </c>
      <c r="C6584" s="29" t="e">
        <f t="shared" si="102"/>
        <v>#VALUE!</v>
      </c>
      <c r="E6584" t="e">
        <f>cubic_spline(CURVA!$B$6:$B$20,CURVA!$G$6:$G$20,#REF!)</f>
        <v>#VALUE!</v>
      </c>
    </row>
    <row r="6585" spans="1:5" x14ac:dyDescent="0.2">
      <c r="A6585" s="28">
        <v>6584</v>
      </c>
      <c r="B6585" s="28" t="e">
        <f>interpola(#REF!,CURVA!$B$6:$B$20,CURVA!$G$6:$G$20)</f>
        <v>#VALUE!</v>
      </c>
      <c r="C6585" s="29" t="e">
        <f t="shared" si="102"/>
        <v>#VALUE!</v>
      </c>
      <c r="E6585" t="e">
        <f>cubic_spline(CURVA!$B$6:$B$20,CURVA!$G$6:$G$20,#REF!)</f>
        <v>#VALUE!</v>
      </c>
    </row>
    <row r="6586" spans="1:5" x14ac:dyDescent="0.2">
      <c r="A6586" s="28">
        <v>6585</v>
      </c>
      <c r="B6586" s="28" t="e">
        <f>interpola(#REF!,CURVA!$B$6:$B$20,CURVA!$G$6:$G$20)</f>
        <v>#VALUE!</v>
      </c>
      <c r="C6586" s="29" t="e">
        <f t="shared" si="102"/>
        <v>#VALUE!</v>
      </c>
      <c r="E6586" t="e">
        <f>cubic_spline(CURVA!$B$6:$B$20,CURVA!$G$6:$G$20,#REF!)</f>
        <v>#VALUE!</v>
      </c>
    </row>
    <row r="6587" spans="1:5" x14ac:dyDescent="0.2">
      <c r="A6587" s="28">
        <v>6586</v>
      </c>
      <c r="B6587" s="28" t="e">
        <f>interpola(#REF!,CURVA!$B$6:$B$20,CURVA!$G$6:$G$20)</f>
        <v>#VALUE!</v>
      </c>
      <c r="C6587" s="29" t="e">
        <f t="shared" si="102"/>
        <v>#VALUE!</v>
      </c>
      <c r="E6587" t="e">
        <f>cubic_spline(CURVA!$B$6:$B$20,CURVA!$G$6:$G$20,#REF!)</f>
        <v>#VALUE!</v>
      </c>
    </row>
    <row r="6588" spans="1:5" x14ac:dyDescent="0.2">
      <c r="A6588" s="28">
        <v>6587</v>
      </c>
      <c r="B6588" s="28" t="e">
        <f>interpola(#REF!,CURVA!$B$6:$B$20,CURVA!$G$6:$G$20)</f>
        <v>#VALUE!</v>
      </c>
      <c r="C6588" s="29" t="e">
        <f t="shared" si="102"/>
        <v>#VALUE!</v>
      </c>
      <c r="E6588" t="e">
        <f>cubic_spline(CURVA!$B$6:$B$20,CURVA!$G$6:$G$20,#REF!)</f>
        <v>#VALUE!</v>
      </c>
    </row>
    <row r="6589" spans="1:5" x14ac:dyDescent="0.2">
      <c r="A6589" s="28">
        <v>6588</v>
      </c>
      <c r="B6589" s="28" t="e">
        <f>interpola(#REF!,CURVA!$B$6:$B$20,CURVA!$G$6:$G$20)</f>
        <v>#VALUE!</v>
      </c>
      <c r="C6589" s="29" t="e">
        <f t="shared" si="102"/>
        <v>#VALUE!</v>
      </c>
      <c r="E6589" t="e">
        <f>cubic_spline(CURVA!$B$6:$B$20,CURVA!$G$6:$G$20,#REF!)</f>
        <v>#VALUE!</v>
      </c>
    </row>
    <row r="6590" spans="1:5" x14ac:dyDescent="0.2">
      <c r="A6590" s="28">
        <v>6589</v>
      </c>
      <c r="B6590" s="28" t="e">
        <f>interpola(#REF!,CURVA!$B$6:$B$20,CURVA!$G$6:$G$20)</f>
        <v>#VALUE!</v>
      </c>
      <c r="C6590" s="29" t="e">
        <f t="shared" si="102"/>
        <v>#VALUE!</v>
      </c>
      <c r="E6590" t="e">
        <f>cubic_spline(CURVA!$B$6:$B$20,CURVA!$G$6:$G$20,#REF!)</f>
        <v>#VALUE!</v>
      </c>
    </row>
    <row r="6591" spans="1:5" x14ac:dyDescent="0.2">
      <c r="A6591" s="28">
        <v>6590</v>
      </c>
      <c r="B6591" s="28" t="e">
        <f>interpola(#REF!,CURVA!$B$6:$B$20,CURVA!$G$6:$G$20)</f>
        <v>#VALUE!</v>
      </c>
      <c r="C6591" s="29" t="e">
        <f t="shared" si="102"/>
        <v>#VALUE!</v>
      </c>
      <c r="E6591" t="e">
        <f>cubic_spline(CURVA!$B$6:$B$20,CURVA!$G$6:$G$20,#REF!)</f>
        <v>#VALUE!</v>
      </c>
    </row>
    <row r="6592" spans="1:5" x14ac:dyDescent="0.2">
      <c r="A6592" s="28">
        <v>6591</v>
      </c>
      <c r="B6592" s="28" t="e">
        <f>interpola(#REF!,CURVA!$B$6:$B$20,CURVA!$G$6:$G$20)</f>
        <v>#VALUE!</v>
      </c>
      <c r="C6592" s="29" t="e">
        <f t="shared" si="102"/>
        <v>#VALUE!</v>
      </c>
      <c r="E6592" t="e">
        <f>cubic_spline(CURVA!$B$6:$B$20,CURVA!$G$6:$G$20,#REF!)</f>
        <v>#VALUE!</v>
      </c>
    </row>
    <row r="6593" spans="1:5" x14ac:dyDescent="0.2">
      <c r="A6593" s="28">
        <v>6592</v>
      </c>
      <c r="B6593" s="28" t="e">
        <f>interpola(#REF!,CURVA!$B$6:$B$20,CURVA!$G$6:$G$20)</f>
        <v>#VALUE!</v>
      </c>
      <c r="C6593" s="29" t="e">
        <f t="shared" si="102"/>
        <v>#VALUE!</v>
      </c>
      <c r="E6593" t="e">
        <f>cubic_spline(CURVA!$B$6:$B$20,CURVA!$G$6:$G$20,#REF!)</f>
        <v>#VALUE!</v>
      </c>
    </row>
    <row r="6594" spans="1:5" x14ac:dyDescent="0.2">
      <c r="A6594" s="28">
        <v>6593</v>
      </c>
      <c r="B6594" s="28" t="e">
        <f>interpola(#REF!,CURVA!$B$6:$B$20,CURVA!$G$6:$G$20)</f>
        <v>#VALUE!</v>
      </c>
      <c r="C6594" s="29" t="e">
        <f t="shared" ref="C6594:C6657" si="103">(EXP(B6594*A6594/360)-1)*360/A6594</f>
        <v>#VALUE!</v>
      </c>
      <c r="E6594" t="e">
        <f>cubic_spline(CURVA!$B$6:$B$20,CURVA!$G$6:$G$20,#REF!)</f>
        <v>#VALUE!</v>
      </c>
    </row>
    <row r="6595" spans="1:5" x14ac:dyDescent="0.2">
      <c r="A6595" s="28">
        <v>6594</v>
      </c>
      <c r="B6595" s="28" t="e">
        <f>interpola(#REF!,CURVA!$B$6:$B$20,CURVA!$G$6:$G$20)</f>
        <v>#VALUE!</v>
      </c>
      <c r="C6595" s="29" t="e">
        <f t="shared" si="103"/>
        <v>#VALUE!</v>
      </c>
      <c r="E6595" t="e">
        <f>cubic_spline(CURVA!$B$6:$B$20,CURVA!$G$6:$G$20,#REF!)</f>
        <v>#VALUE!</v>
      </c>
    </row>
    <row r="6596" spans="1:5" x14ac:dyDescent="0.2">
      <c r="A6596" s="28">
        <v>6595</v>
      </c>
      <c r="B6596" s="28" t="e">
        <f>interpola(#REF!,CURVA!$B$6:$B$20,CURVA!$G$6:$G$20)</f>
        <v>#VALUE!</v>
      </c>
      <c r="C6596" s="29" t="e">
        <f t="shared" si="103"/>
        <v>#VALUE!</v>
      </c>
      <c r="E6596" t="e">
        <f>cubic_spline(CURVA!$B$6:$B$20,CURVA!$G$6:$G$20,#REF!)</f>
        <v>#VALUE!</v>
      </c>
    </row>
    <row r="6597" spans="1:5" x14ac:dyDescent="0.2">
      <c r="A6597" s="28">
        <v>6596</v>
      </c>
      <c r="B6597" s="28" t="e">
        <f>interpola(#REF!,CURVA!$B$6:$B$20,CURVA!$G$6:$G$20)</f>
        <v>#VALUE!</v>
      </c>
      <c r="C6597" s="29" t="e">
        <f t="shared" si="103"/>
        <v>#VALUE!</v>
      </c>
      <c r="E6597" t="e">
        <f>cubic_spline(CURVA!$B$6:$B$20,CURVA!$G$6:$G$20,#REF!)</f>
        <v>#VALUE!</v>
      </c>
    </row>
    <row r="6598" spans="1:5" x14ac:dyDescent="0.2">
      <c r="A6598" s="28">
        <v>6597</v>
      </c>
      <c r="B6598" s="28" t="e">
        <f>interpola(#REF!,CURVA!$B$6:$B$20,CURVA!$G$6:$G$20)</f>
        <v>#VALUE!</v>
      </c>
      <c r="C6598" s="29" t="e">
        <f t="shared" si="103"/>
        <v>#VALUE!</v>
      </c>
      <c r="E6598" t="e">
        <f>cubic_spline(CURVA!$B$6:$B$20,CURVA!$G$6:$G$20,#REF!)</f>
        <v>#VALUE!</v>
      </c>
    </row>
    <row r="6599" spans="1:5" x14ac:dyDescent="0.2">
      <c r="A6599" s="28">
        <v>6598</v>
      </c>
      <c r="B6599" s="28" t="e">
        <f>interpola(#REF!,CURVA!$B$6:$B$20,CURVA!$G$6:$G$20)</f>
        <v>#VALUE!</v>
      </c>
      <c r="C6599" s="29" t="e">
        <f t="shared" si="103"/>
        <v>#VALUE!</v>
      </c>
      <c r="E6599" t="e">
        <f>cubic_spline(CURVA!$B$6:$B$20,CURVA!$G$6:$G$20,#REF!)</f>
        <v>#VALUE!</v>
      </c>
    </row>
    <row r="6600" spans="1:5" x14ac:dyDescent="0.2">
      <c r="A6600" s="28">
        <v>6599</v>
      </c>
      <c r="B6600" s="28" t="e">
        <f>interpola(#REF!,CURVA!$B$6:$B$20,CURVA!$G$6:$G$20)</f>
        <v>#VALUE!</v>
      </c>
      <c r="C6600" s="29" t="e">
        <f t="shared" si="103"/>
        <v>#VALUE!</v>
      </c>
      <c r="E6600" t="e">
        <f>cubic_spline(CURVA!$B$6:$B$20,CURVA!$G$6:$G$20,#REF!)</f>
        <v>#VALUE!</v>
      </c>
    </row>
    <row r="6601" spans="1:5" x14ac:dyDescent="0.2">
      <c r="A6601" s="28">
        <v>6600</v>
      </c>
      <c r="B6601" s="28" t="e">
        <f>interpola(#REF!,CURVA!$B$6:$B$20,CURVA!$G$6:$G$20)</f>
        <v>#VALUE!</v>
      </c>
      <c r="C6601" s="29" t="e">
        <f t="shared" si="103"/>
        <v>#VALUE!</v>
      </c>
      <c r="E6601" t="e">
        <f>cubic_spline(CURVA!$B$6:$B$20,CURVA!$G$6:$G$20,#REF!)</f>
        <v>#VALUE!</v>
      </c>
    </row>
    <row r="6602" spans="1:5" x14ac:dyDescent="0.2">
      <c r="A6602" s="28">
        <v>6601</v>
      </c>
      <c r="B6602" s="28" t="e">
        <f>interpola(#REF!,CURVA!$B$6:$B$20,CURVA!$G$6:$G$20)</f>
        <v>#VALUE!</v>
      </c>
      <c r="C6602" s="29" t="e">
        <f t="shared" si="103"/>
        <v>#VALUE!</v>
      </c>
      <c r="E6602" t="e">
        <f>cubic_spline(CURVA!$B$6:$B$20,CURVA!$G$6:$G$20,#REF!)</f>
        <v>#VALUE!</v>
      </c>
    </row>
    <row r="6603" spans="1:5" x14ac:dyDescent="0.2">
      <c r="A6603" s="28">
        <v>6602</v>
      </c>
      <c r="B6603" s="28" t="e">
        <f>interpola(#REF!,CURVA!$B$6:$B$20,CURVA!$G$6:$G$20)</f>
        <v>#VALUE!</v>
      </c>
      <c r="C6603" s="29" t="e">
        <f t="shared" si="103"/>
        <v>#VALUE!</v>
      </c>
      <c r="E6603" t="e">
        <f>cubic_spline(CURVA!$B$6:$B$20,CURVA!$G$6:$G$20,#REF!)</f>
        <v>#VALUE!</v>
      </c>
    </row>
    <row r="6604" spans="1:5" x14ac:dyDescent="0.2">
      <c r="A6604" s="28">
        <v>6603</v>
      </c>
      <c r="B6604" s="28" t="e">
        <f>interpola(#REF!,CURVA!$B$6:$B$20,CURVA!$G$6:$G$20)</f>
        <v>#VALUE!</v>
      </c>
      <c r="C6604" s="29" t="e">
        <f t="shared" si="103"/>
        <v>#VALUE!</v>
      </c>
      <c r="E6604" t="e">
        <f>cubic_spline(CURVA!$B$6:$B$20,CURVA!$G$6:$G$20,#REF!)</f>
        <v>#VALUE!</v>
      </c>
    </row>
    <row r="6605" spans="1:5" x14ac:dyDescent="0.2">
      <c r="A6605" s="28">
        <v>6604</v>
      </c>
      <c r="B6605" s="28" t="e">
        <f>interpola(#REF!,CURVA!$B$6:$B$20,CURVA!$G$6:$G$20)</f>
        <v>#VALUE!</v>
      </c>
      <c r="C6605" s="29" t="e">
        <f t="shared" si="103"/>
        <v>#VALUE!</v>
      </c>
      <c r="E6605" t="e">
        <f>cubic_spline(CURVA!$B$6:$B$20,CURVA!$G$6:$G$20,#REF!)</f>
        <v>#VALUE!</v>
      </c>
    </row>
    <row r="6606" spans="1:5" x14ac:dyDescent="0.2">
      <c r="A6606" s="28">
        <v>6605</v>
      </c>
      <c r="B6606" s="28" t="e">
        <f>interpola(#REF!,CURVA!$B$6:$B$20,CURVA!$G$6:$G$20)</f>
        <v>#VALUE!</v>
      </c>
      <c r="C6606" s="29" t="e">
        <f t="shared" si="103"/>
        <v>#VALUE!</v>
      </c>
      <c r="E6606" t="e">
        <f>cubic_spline(CURVA!$B$6:$B$20,CURVA!$G$6:$G$20,#REF!)</f>
        <v>#VALUE!</v>
      </c>
    </row>
    <row r="6607" spans="1:5" x14ac:dyDescent="0.2">
      <c r="A6607" s="28">
        <v>6606</v>
      </c>
      <c r="B6607" s="28" t="e">
        <f>interpola(#REF!,CURVA!$B$6:$B$20,CURVA!$G$6:$G$20)</f>
        <v>#VALUE!</v>
      </c>
      <c r="C6607" s="29" t="e">
        <f t="shared" si="103"/>
        <v>#VALUE!</v>
      </c>
      <c r="E6607" t="e">
        <f>cubic_spline(CURVA!$B$6:$B$20,CURVA!$G$6:$G$20,#REF!)</f>
        <v>#VALUE!</v>
      </c>
    </row>
    <row r="6608" spans="1:5" x14ac:dyDescent="0.2">
      <c r="A6608" s="28">
        <v>6607</v>
      </c>
      <c r="B6608" s="28" t="e">
        <f>interpola(#REF!,CURVA!$B$6:$B$20,CURVA!$G$6:$G$20)</f>
        <v>#VALUE!</v>
      </c>
      <c r="C6608" s="29" t="e">
        <f t="shared" si="103"/>
        <v>#VALUE!</v>
      </c>
      <c r="E6608" t="e">
        <f>cubic_spline(CURVA!$B$6:$B$20,CURVA!$G$6:$G$20,#REF!)</f>
        <v>#VALUE!</v>
      </c>
    </row>
    <row r="6609" spans="1:5" x14ac:dyDescent="0.2">
      <c r="A6609" s="28">
        <v>6608</v>
      </c>
      <c r="B6609" s="28" t="e">
        <f>interpola(#REF!,CURVA!$B$6:$B$20,CURVA!$G$6:$G$20)</f>
        <v>#VALUE!</v>
      </c>
      <c r="C6609" s="29" t="e">
        <f t="shared" si="103"/>
        <v>#VALUE!</v>
      </c>
      <c r="E6609" t="e">
        <f>cubic_spline(CURVA!$B$6:$B$20,CURVA!$G$6:$G$20,#REF!)</f>
        <v>#VALUE!</v>
      </c>
    </row>
    <row r="6610" spans="1:5" x14ac:dyDescent="0.2">
      <c r="A6610" s="28">
        <v>6609</v>
      </c>
      <c r="B6610" s="28" t="e">
        <f>interpola(#REF!,CURVA!$B$6:$B$20,CURVA!$G$6:$G$20)</f>
        <v>#VALUE!</v>
      </c>
      <c r="C6610" s="29" t="e">
        <f t="shared" si="103"/>
        <v>#VALUE!</v>
      </c>
      <c r="E6610" t="e">
        <f>cubic_spline(CURVA!$B$6:$B$20,CURVA!$G$6:$G$20,#REF!)</f>
        <v>#VALUE!</v>
      </c>
    </row>
    <row r="6611" spans="1:5" x14ac:dyDescent="0.2">
      <c r="A6611" s="28">
        <v>6610</v>
      </c>
      <c r="B6611" s="28" t="e">
        <f>interpola(#REF!,CURVA!$B$6:$B$20,CURVA!$G$6:$G$20)</f>
        <v>#VALUE!</v>
      </c>
      <c r="C6611" s="29" t="e">
        <f t="shared" si="103"/>
        <v>#VALUE!</v>
      </c>
      <c r="E6611" t="e">
        <f>cubic_spline(CURVA!$B$6:$B$20,CURVA!$G$6:$G$20,#REF!)</f>
        <v>#VALUE!</v>
      </c>
    </row>
    <row r="6612" spans="1:5" x14ac:dyDescent="0.2">
      <c r="A6612" s="28">
        <v>6611</v>
      </c>
      <c r="B6612" s="28" t="e">
        <f>interpola(#REF!,CURVA!$B$6:$B$20,CURVA!$G$6:$G$20)</f>
        <v>#VALUE!</v>
      </c>
      <c r="C6612" s="29" t="e">
        <f t="shared" si="103"/>
        <v>#VALUE!</v>
      </c>
      <c r="E6612" t="e">
        <f>cubic_spline(CURVA!$B$6:$B$20,CURVA!$G$6:$G$20,#REF!)</f>
        <v>#VALUE!</v>
      </c>
    </row>
    <row r="6613" spans="1:5" x14ac:dyDescent="0.2">
      <c r="A6613" s="28">
        <v>6612</v>
      </c>
      <c r="B6613" s="28" t="e">
        <f>interpola(#REF!,CURVA!$B$6:$B$20,CURVA!$G$6:$G$20)</f>
        <v>#VALUE!</v>
      </c>
      <c r="C6613" s="29" t="e">
        <f t="shared" si="103"/>
        <v>#VALUE!</v>
      </c>
      <c r="E6613" t="e">
        <f>cubic_spline(CURVA!$B$6:$B$20,CURVA!$G$6:$G$20,#REF!)</f>
        <v>#VALUE!</v>
      </c>
    </row>
    <row r="6614" spans="1:5" x14ac:dyDescent="0.2">
      <c r="A6614" s="28">
        <v>6613</v>
      </c>
      <c r="B6614" s="28" t="e">
        <f>interpola(#REF!,CURVA!$B$6:$B$20,CURVA!$G$6:$G$20)</f>
        <v>#VALUE!</v>
      </c>
      <c r="C6614" s="29" t="e">
        <f t="shared" si="103"/>
        <v>#VALUE!</v>
      </c>
      <c r="E6614" t="e">
        <f>cubic_spline(CURVA!$B$6:$B$20,CURVA!$G$6:$G$20,#REF!)</f>
        <v>#VALUE!</v>
      </c>
    </row>
    <row r="6615" spans="1:5" x14ac:dyDescent="0.2">
      <c r="A6615" s="28">
        <v>6614</v>
      </c>
      <c r="B6615" s="28" t="e">
        <f>interpola(#REF!,CURVA!$B$6:$B$20,CURVA!$G$6:$G$20)</f>
        <v>#VALUE!</v>
      </c>
      <c r="C6615" s="29" t="e">
        <f t="shared" si="103"/>
        <v>#VALUE!</v>
      </c>
      <c r="E6615" t="e">
        <f>cubic_spline(CURVA!$B$6:$B$20,CURVA!$G$6:$G$20,#REF!)</f>
        <v>#VALUE!</v>
      </c>
    </row>
    <row r="6616" spans="1:5" x14ac:dyDescent="0.2">
      <c r="A6616" s="28">
        <v>6615</v>
      </c>
      <c r="B6616" s="28" t="e">
        <f>interpola(#REF!,CURVA!$B$6:$B$20,CURVA!$G$6:$G$20)</f>
        <v>#VALUE!</v>
      </c>
      <c r="C6616" s="29" t="e">
        <f t="shared" si="103"/>
        <v>#VALUE!</v>
      </c>
      <c r="E6616" t="e">
        <f>cubic_spline(CURVA!$B$6:$B$20,CURVA!$G$6:$G$20,#REF!)</f>
        <v>#VALUE!</v>
      </c>
    </row>
    <row r="6617" spans="1:5" x14ac:dyDescent="0.2">
      <c r="A6617" s="28">
        <v>6616</v>
      </c>
      <c r="B6617" s="28" t="e">
        <f>interpola(#REF!,CURVA!$B$6:$B$20,CURVA!$G$6:$G$20)</f>
        <v>#VALUE!</v>
      </c>
      <c r="C6617" s="29" t="e">
        <f t="shared" si="103"/>
        <v>#VALUE!</v>
      </c>
      <c r="E6617" t="e">
        <f>cubic_spline(CURVA!$B$6:$B$20,CURVA!$G$6:$G$20,#REF!)</f>
        <v>#VALUE!</v>
      </c>
    </row>
    <row r="6618" spans="1:5" x14ac:dyDescent="0.2">
      <c r="A6618" s="28">
        <v>6617</v>
      </c>
      <c r="B6618" s="28" t="e">
        <f>interpola(#REF!,CURVA!$B$6:$B$20,CURVA!$G$6:$G$20)</f>
        <v>#VALUE!</v>
      </c>
      <c r="C6618" s="29" t="e">
        <f t="shared" si="103"/>
        <v>#VALUE!</v>
      </c>
      <c r="E6618" t="e">
        <f>cubic_spline(CURVA!$B$6:$B$20,CURVA!$G$6:$G$20,#REF!)</f>
        <v>#VALUE!</v>
      </c>
    </row>
    <row r="6619" spans="1:5" x14ac:dyDescent="0.2">
      <c r="A6619" s="28">
        <v>6618</v>
      </c>
      <c r="B6619" s="28" t="e">
        <f>interpola(#REF!,CURVA!$B$6:$B$20,CURVA!$G$6:$G$20)</f>
        <v>#VALUE!</v>
      </c>
      <c r="C6619" s="29" t="e">
        <f t="shared" si="103"/>
        <v>#VALUE!</v>
      </c>
      <c r="E6619" t="e">
        <f>cubic_spline(CURVA!$B$6:$B$20,CURVA!$G$6:$G$20,#REF!)</f>
        <v>#VALUE!</v>
      </c>
    </row>
    <row r="6620" spans="1:5" x14ac:dyDescent="0.2">
      <c r="A6620" s="28">
        <v>6619</v>
      </c>
      <c r="B6620" s="28" t="e">
        <f>interpola(#REF!,CURVA!$B$6:$B$20,CURVA!$G$6:$G$20)</f>
        <v>#VALUE!</v>
      </c>
      <c r="C6620" s="29" t="e">
        <f t="shared" si="103"/>
        <v>#VALUE!</v>
      </c>
      <c r="E6620" t="e">
        <f>cubic_spline(CURVA!$B$6:$B$20,CURVA!$G$6:$G$20,#REF!)</f>
        <v>#VALUE!</v>
      </c>
    </row>
    <row r="6621" spans="1:5" x14ac:dyDescent="0.2">
      <c r="A6621" s="28">
        <v>6620</v>
      </c>
      <c r="B6621" s="28" t="e">
        <f>interpola(#REF!,CURVA!$B$6:$B$20,CURVA!$G$6:$G$20)</f>
        <v>#VALUE!</v>
      </c>
      <c r="C6621" s="29" t="e">
        <f t="shared" si="103"/>
        <v>#VALUE!</v>
      </c>
      <c r="E6621" t="e">
        <f>cubic_spline(CURVA!$B$6:$B$20,CURVA!$G$6:$G$20,#REF!)</f>
        <v>#VALUE!</v>
      </c>
    </row>
    <row r="6622" spans="1:5" x14ac:dyDescent="0.2">
      <c r="A6622" s="28">
        <v>6621</v>
      </c>
      <c r="B6622" s="28" t="e">
        <f>interpola(#REF!,CURVA!$B$6:$B$20,CURVA!$G$6:$G$20)</f>
        <v>#VALUE!</v>
      </c>
      <c r="C6622" s="29" t="e">
        <f t="shared" si="103"/>
        <v>#VALUE!</v>
      </c>
      <c r="E6622" t="e">
        <f>cubic_spline(CURVA!$B$6:$B$20,CURVA!$G$6:$G$20,#REF!)</f>
        <v>#VALUE!</v>
      </c>
    </row>
    <row r="6623" spans="1:5" x14ac:dyDescent="0.2">
      <c r="A6623" s="28">
        <v>6622</v>
      </c>
      <c r="B6623" s="28" t="e">
        <f>interpola(#REF!,CURVA!$B$6:$B$20,CURVA!$G$6:$G$20)</f>
        <v>#VALUE!</v>
      </c>
      <c r="C6623" s="29" t="e">
        <f t="shared" si="103"/>
        <v>#VALUE!</v>
      </c>
      <c r="E6623" t="e">
        <f>cubic_spline(CURVA!$B$6:$B$20,CURVA!$G$6:$G$20,#REF!)</f>
        <v>#VALUE!</v>
      </c>
    </row>
    <row r="6624" spans="1:5" x14ac:dyDescent="0.2">
      <c r="A6624" s="28">
        <v>6623</v>
      </c>
      <c r="B6624" s="28" t="e">
        <f>interpola(#REF!,CURVA!$B$6:$B$20,CURVA!$G$6:$G$20)</f>
        <v>#VALUE!</v>
      </c>
      <c r="C6624" s="29" t="e">
        <f t="shared" si="103"/>
        <v>#VALUE!</v>
      </c>
      <c r="E6624" t="e">
        <f>cubic_spline(CURVA!$B$6:$B$20,CURVA!$G$6:$G$20,#REF!)</f>
        <v>#VALUE!</v>
      </c>
    </row>
    <row r="6625" spans="1:5" x14ac:dyDescent="0.2">
      <c r="A6625" s="28">
        <v>6624</v>
      </c>
      <c r="B6625" s="28" t="e">
        <f>interpola(#REF!,CURVA!$B$6:$B$20,CURVA!$G$6:$G$20)</f>
        <v>#VALUE!</v>
      </c>
      <c r="C6625" s="29" t="e">
        <f t="shared" si="103"/>
        <v>#VALUE!</v>
      </c>
      <c r="E6625" t="e">
        <f>cubic_spline(CURVA!$B$6:$B$20,CURVA!$G$6:$G$20,#REF!)</f>
        <v>#VALUE!</v>
      </c>
    </row>
    <row r="6626" spans="1:5" x14ac:dyDescent="0.2">
      <c r="A6626" s="28">
        <v>6625</v>
      </c>
      <c r="B6626" s="28" t="e">
        <f>interpola(#REF!,CURVA!$B$6:$B$20,CURVA!$G$6:$G$20)</f>
        <v>#VALUE!</v>
      </c>
      <c r="C6626" s="29" t="e">
        <f t="shared" si="103"/>
        <v>#VALUE!</v>
      </c>
      <c r="E6626" t="e">
        <f>cubic_spline(CURVA!$B$6:$B$20,CURVA!$G$6:$G$20,#REF!)</f>
        <v>#VALUE!</v>
      </c>
    </row>
    <row r="6627" spans="1:5" x14ac:dyDescent="0.2">
      <c r="A6627" s="28">
        <v>6626</v>
      </c>
      <c r="B6627" s="28" t="e">
        <f>interpola(#REF!,CURVA!$B$6:$B$20,CURVA!$G$6:$G$20)</f>
        <v>#VALUE!</v>
      </c>
      <c r="C6627" s="29" t="e">
        <f t="shared" si="103"/>
        <v>#VALUE!</v>
      </c>
      <c r="E6627" t="e">
        <f>cubic_spline(CURVA!$B$6:$B$20,CURVA!$G$6:$G$20,#REF!)</f>
        <v>#VALUE!</v>
      </c>
    </row>
    <row r="6628" spans="1:5" x14ac:dyDescent="0.2">
      <c r="A6628" s="28">
        <v>6627</v>
      </c>
      <c r="B6628" s="28" t="e">
        <f>interpola(#REF!,CURVA!$B$6:$B$20,CURVA!$G$6:$G$20)</f>
        <v>#VALUE!</v>
      </c>
      <c r="C6628" s="29" t="e">
        <f t="shared" si="103"/>
        <v>#VALUE!</v>
      </c>
      <c r="E6628" t="e">
        <f>cubic_spline(CURVA!$B$6:$B$20,CURVA!$G$6:$G$20,#REF!)</f>
        <v>#VALUE!</v>
      </c>
    </row>
    <row r="6629" spans="1:5" x14ac:dyDescent="0.2">
      <c r="A6629" s="28">
        <v>6628</v>
      </c>
      <c r="B6629" s="28" t="e">
        <f>interpola(#REF!,CURVA!$B$6:$B$20,CURVA!$G$6:$G$20)</f>
        <v>#VALUE!</v>
      </c>
      <c r="C6629" s="29" t="e">
        <f t="shared" si="103"/>
        <v>#VALUE!</v>
      </c>
      <c r="E6629" t="e">
        <f>cubic_spline(CURVA!$B$6:$B$20,CURVA!$G$6:$G$20,#REF!)</f>
        <v>#VALUE!</v>
      </c>
    </row>
    <row r="6630" spans="1:5" x14ac:dyDescent="0.2">
      <c r="A6630" s="28">
        <v>6629</v>
      </c>
      <c r="B6630" s="28" t="e">
        <f>interpola(#REF!,CURVA!$B$6:$B$20,CURVA!$G$6:$G$20)</f>
        <v>#VALUE!</v>
      </c>
      <c r="C6630" s="29" t="e">
        <f t="shared" si="103"/>
        <v>#VALUE!</v>
      </c>
      <c r="E6630" t="e">
        <f>cubic_spline(CURVA!$B$6:$B$20,CURVA!$G$6:$G$20,#REF!)</f>
        <v>#VALUE!</v>
      </c>
    </row>
    <row r="6631" spans="1:5" x14ac:dyDescent="0.2">
      <c r="A6631" s="28">
        <v>6630</v>
      </c>
      <c r="B6631" s="28" t="e">
        <f>interpola(#REF!,CURVA!$B$6:$B$20,CURVA!$G$6:$G$20)</f>
        <v>#VALUE!</v>
      </c>
      <c r="C6631" s="29" t="e">
        <f t="shared" si="103"/>
        <v>#VALUE!</v>
      </c>
      <c r="E6631" t="e">
        <f>cubic_spline(CURVA!$B$6:$B$20,CURVA!$G$6:$G$20,#REF!)</f>
        <v>#VALUE!</v>
      </c>
    </row>
    <row r="6632" spans="1:5" x14ac:dyDescent="0.2">
      <c r="A6632" s="28">
        <v>6631</v>
      </c>
      <c r="B6632" s="28" t="e">
        <f>interpola(#REF!,CURVA!$B$6:$B$20,CURVA!$G$6:$G$20)</f>
        <v>#VALUE!</v>
      </c>
      <c r="C6632" s="29" t="e">
        <f t="shared" si="103"/>
        <v>#VALUE!</v>
      </c>
      <c r="E6632" t="e">
        <f>cubic_spline(CURVA!$B$6:$B$20,CURVA!$G$6:$G$20,#REF!)</f>
        <v>#VALUE!</v>
      </c>
    </row>
    <row r="6633" spans="1:5" x14ac:dyDescent="0.2">
      <c r="A6633" s="28">
        <v>6632</v>
      </c>
      <c r="B6633" s="28" t="e">
        <f>interpola(#REF!,CURVA!$B$6:$B$20,CURVA!$G$6:$G$20)</f>
        <v>#VALUE!</v>
      </c>
      <c r="C6633" s="29" t="e">
        <f t="shared" si="103"/>
        <v>#VALUE!</v>
      </c>
      <c r="E6633" t="e">
        <f>cubic_spline(CURVA!$B$6:$B$20,CURVA!$G$6:$G$20,#REF!)</f>
        <v>#VALUE!</v>
      </c>
    </row>
    <row r="6634" spans="1:5" x14ac:dyDescent="0.2">
      <c r="A6634" s="28">
        <v>6633</v>
      </c>
      <c r="B6634" s="28" t="e">
        <f>interpola(#REF!,CURVA!$B$6:$B$20,CURVA!$G$6:$G$20)</f>
        <v>#VALUE!</v>
      </c>
      <c r="C6634" s="29" t="e">
        <f t="shared" si="103"/>
        <v>#VALUE!</v>
      </c>
      <c r="E6634" t="e">
        <f>cubic_spline(CURVA!$B$6:$B$20,CURVA!$G$6:$G$20,#REF!)</f>
        <v>#VALUE!</v>
      </c>
    </row>
    <row r="6635" spans="1:5" x14ac:dyDescent="0.2">
      <c r="A6635" s="28">
        <v>6634</v>
      </c>
      <c r="B6635" s="28" t="e">
        <f>interpola(#REF!,CURVA!$B$6:$B$20,CURVA!$G$6:$G$20)</f>
        <v>#VALUE!</v>
      </c>
      <c r="C6635" s="29" t="e">
        <f t="shared" si="103"/>
        <v>#VALUE!</v>
      </c>
      <c r="E6635" t="e">
        <f>cubic_spline(CURVA!$B$6:$B$20,CURVA!$G$6:$G$20,#REF!)</f>
        <v>#VALUE!</v>
      </c>
    </row>
    <row r="6636" spans="1:5" x14ac:dyDescent="0.2">
      <c r="A6636" s="28">
        <v>6635</v>
      </c>
      <c r="B6636" s="28" t="e">
        <f>interpola(#REF!,CURVA!$B$6:$B$20,CURVA!$G$6:$G$20)</f>
        <v>#VALUE!</v>
      </c>
      <c r="C6636" s="29" t="e">
        <f t="shared" si="103"/>
        <v>#VALUE!</v>
      </c>
      <c r="E6636" t="e">
        <f>cubic_spline(CURVA!$B$6:$B$20,CURVA!$G$6:$G$20,#REF!)</f>
        <v>#VALUE!</v>
      </c>
    </row>
    <row r="6637" spans="1:5" x14ac:dyDescent="0.2">
      <c r="A6637" s="28">
        <v>6636</v>
      </c>
      <c r="B6637" s="28" t="e">
        <f>interpola(#REF!,CURVA!$B$6:$B$20,CURVA!$G$6:$G$20)</f>
        <v>#VALUE!</v>
      </c>
      <c r="C6637" s="29" t="e">
        <f t="shared" si="103"/>
        <v>#VALUE!</v>
      </c>
      <c r="E6637" t="e">
        <f>cubic_spline(CURVA!$B$6:$B$20,CURVA!$G$6:$G$20,#REF!)</f>
        <v>#VALUE!</v>
      </c>
    </row>
    <row r="6638" spans="1:5" x14ac:dyDescent="0.2">
      <c r="A6638" s="28">
        <v>6637</v>
      </c>
      <c r="B6638" s="28" t="e">
        <f>interpola(#REF!,CURVA!$B$6:$B$20,CURVA!$G$6:$G$20)</f>
        <v>#VALUE!</v>
      </c>
      <c r="C6638" s="29" t="e">
        <f t="shared" si="103"/>
        <v>#VALUE!</v>
      </c>
      <c r="E6638" t="e">
        <f>cubic_spline(CURVA!$B$6:$B$20,CURVA!$G$6:$G$20,#REF!)</f>
        <v>#VALUE!</v>
      </c>
    </row>
    <row r="6639" spans="1:5" x14ac:dyDescent="0.2">
      <c r="A6639" s="28">
        <v>6638</v>
      </c>
      <c r="B6639" s="28" t="e">
        <f>interpola(#REF!,CURVA!$B$6:$B$20,CURVA!$G$6:$G$20)</f>
        <v>#VALUE!</v>
      </c>
      <c r="C6639" s="29" t="e">
        <f t="shared" si="103"/>
        <v>#VALUE!</v>
      </c>
      <c r="E6639" t="e">
        <f>cubic_spline(CURVA!$B$6:$B$20,CURVA!$G$6:$G$20,#REF!)</f>
        <v>#VALUE!</v>
      </c>
    </row>
    <row r="6640" spans="1:5" x14ac:dyDescent="0.2">
      <c r="A6640" s="28">
        <v>6639</v>
      </c>
      <c r="B6640" s="28" t="e">
        <f>interpola(#REF!,CURVA!$B$6:$B$20,CURVA!$G$6:$G$20)</f>
        <v>#VALUE!</v>
      </c>
      <c r="C6640" s="29" t="e">
        <f t="shared" si="103"/>
        <v>#VALUE!</v>
      </c>
      <c r="E6640" t="e">
        <f>cubic_spline(CURVA!$B$6:$B$20,CURVA!$G$6:$G$20,#REF!)</f>
        <v>#VALUE!</v>
      </c>
    </row>
    <row r="6641" spans="1:5" x14ac:dyDescent="0.2">
      <c r="A6641" s="28">
        <v>6640</v>
      </c>
      <c r="B6641" s="28" t="e">
        <f>interpola(#REF!,CURVA!$B$6:$B$20,CURVA!$G$6:$G$20)</f>
        <v>#VALUE!</v>
      </c>
      <c r="C6641" s="29" t="e">
        <f t="shared" si="103"/>
        <v>#VALUE!</v>
      </c>
      <c r="E6641" t="e">
        <f>cubic_spline(CURVA!$B$6:$B$20,CURVA!$G$6:$G$20,#REF!)</f>
        <v>#VALUE!</v>
      </c>
    </row>
    <row r="6642" spans="1:5" x14ac:dyDescent="0.2">
      <c r="A6642" s="28">
        <v>6641</v>
      </c>
      <c r="B6642" s="28" t="e">
        <f>interpola(#REF!,CURVA!$B$6:$B$20,CURVA!$G$6:$G$20)</f>
        <v>#VALUE!</v>
      </c>
      <c r="C6642" s="29" t="e">
        <f t="shared" si="103"/>
        <v>#VALUE!</v>
      </c>
      <c r="E6642" t="e">
        <f>cubic_spline(CURVA!$B$6:$B$20,CURVA!$G$6:$G$20,#REF!)</f>
        <v>#VALUE!</v>
      </c>
    </row>
    <row r="6643" spans="1:5" x14ac:dyDescent="0.2">
      <c r="A6643" s="28">
        <v>6642</v>
      </c>
      <c r="B6643" s="28" t="e">
        <f>interpola(#REF!,CURVA!$B$6:$B$20,CURVA!$G$6:$G$20)</f>
        <v>#VALUE!</v>
      </c>
      <c r="C6643" s="29" t="e">
        <f t="shared" si="103"/>
        <v>#VALUE!</v>
      </c>
      <c r="E6643" t="e">
        <f>cubic_spline(CURVA!$B$6:$B$20,CURVA!$G$6:$G$20,#REF!)</f>
        <v>#VALUE!</v>
      </c>
    </row>
    <row r="6644" spans="1:5" x14ac:dyDescent="0.2">
      <c r="A6644" s="28">
        <v>6643</v>
      </c>
      <c r="B6644" s="28" t="e">
        <f>interpola(#REF!,CURVA!$B$6:$B$20,CURVA!$G$6:$G$20)</f>
        <v>#VALUE!</v>
      </c>
      <c r="C6644" s="29" t="e">
        <f t="shared" si="103"/>
        <v>#VALUE!</v>
      </c>
      <c r="E6644" t="e">
        <f>cubic_spline(CURVA!$B$6:$B$20,CURVA!$G$6:$G$20,#REF!)</f>
        <v>#VALUE!</v>
      </c>
    </row>
    <row r="6645" spans="1:5" x14ac:dyDescent="0.2">
      <c r="A6645" s="28">
        <v>6644</v>
      </c>
      <c r="B6645" s="28" t="e">
        <f>interpola(#REF!,CURVA!$B$6:$B$20,CURVA!$G$6:$G$20)</f>
        <v>#VALUE!</v>
      </c>
      <c r="C6645" s="29" t="e">
        <f t="shared" si="103"/>
        <v>#VALUE!</v>
      </c>
      <c r="E6645" t="e">
        <f>cubic_spline(CURVA!$B$6:$B$20,CURVA!$G$6:$G$20,#REF!)</f>
        <v>#VALUE!</v>
      </c>
    </row>
    <row r="6646" spans="1:5" x14ac:dyDescent="0.2">
      <c r="A6646" s="28">
        <v>6645</v>
      </c>
      <c r="B6646" s="28" t="e">
        <f>interpola(#REF!,CURVA!$B$6:$B$20,CURVA!$G$6:$G$20)</f>
        <v>#VALUE!</v>
      </c>
      <c r="C6646" s="29" t="e">
        <f t="shared" si="103"/>
        <v>#VALUE!</v>
      </c>
      <c r="E6646" t="e">
        <f>cubic_spline(CURVA!$B$6:$B$20,CURVA!$G$6:$G$20,#REF!)</f>
        <v>#VALUE!</v>
      </c>
    </row>
    <row r="6647" spans="1:5" x14ac:dyDescent="0.2">
      <c r="A6647" s="28">
        <v>6646</v>
      </c>
      <c r="B6647" s="28" t="e">
        <f>interpola(#REF!,CURVA!$B$6:$B$20,CURVA!$G$6:$G$20)</f>
        <v>#VALUE!</v>
      </c>
      <c r="C6647" s="29" t="e">
        <f t="shared" si="103"/>
        <v>#VALUE!</v>
      </c>
      <c r="E6647" t="e">
        <f>cubic_spline(CURVA!$B$6:$B$20,CURVA!$G$6:$G$20,#REF!)</f>
        <v>#VALUE!</v>
      </c>
    </row>
    <row r="6648" spans="1:5" x14ac:dyDescent="0.2">
      <c r="A6648" s="28">
        <v>6647</v>
      </c>
      <c r="B6648" s="28" t="e">
        <f>interpola(#REF!,CURVA!$B$6:$B$20,CURVA!$G$6:$G$20)</f>
        <v>#VALUE!</v>
      </c>
      <c r="C6648" s="29" t="e">
        <f t="shared" si="103"/>
        <v>#VALUE!</v>
      </c>
      <c r="E6648" t="e">
        <f>cubic_spline(CURVA!$B$6:$B$20,CURVA!$G$6:$G$20,#REF!)</f>
        <v>#VALUE!</v>
      </c>
    </row>
    <row r="6649" spans="1:5" x14ac:dyDescent="0.2">
      <c r="A6649" s="28">
        <v>6648</v>
      </c>
      <c r="B6649" s="28" t="e">
        <f>interpola(#REF!,CURVA!$B$6:$B$20,CURVA!$G$6:$G$20)</f>
        <v>#VALUE!</v>
      </c>
      <c r="C6649" s="29" t="e">
        <f t="shared" si="103"/>
        <v>#VALUE!</v>
      </c>
      <c r="E6649" t="e">
        <f>cubic_spline(CURVA!$B$6:$B$20,CURVA!$G$6:$G$20,#REF!)</f>
        <v>#VALUE!</v>
      </c>
    </row>
    <row r="6650" spans="1:5" x14ac:dyDescent="0.2">
      <c r="A6650" s="28">
        <v>6649</v>
      </c>
      <c r="B6650" s="28" t="e">
        <f>interpola(#REF!,CURVA!$B$6:$B$20,CURVA!$G$6:$G$20)</f>
        <v>#VALUE!</v>
      </c>
      <c r="C6650" s="29" t="e">
        <f t="shared" si="103"/>
        <v>#VALUE!</v>
      </c>
      <c r="E6650" t="e">
        <f>cubic_spline(CURVA!$B$6:$B$20,CURVA!$G$6:$G$20,#REF!)</f>
        <v>#VALUE!</v>
      </c>
    </row>
    <row r="6651" spans="1:5" x14ac:dyDescent="0.2">
      <c r="A6651" s="28">
        <v>6650</v>
      </c>
      <c r="B6651" s="28" t="e">
        <f>interpola(#REF!,CURVA!$B$6:$B$20,CURVA!$G$6:$G$20)</f>
        <v>#VALUE!</v>
      </c>
      <c r="C6651" s="29" t="e">
        <f t="shared" si="103"/>
        <v>#VALUE!</v>
      </c>
      <c r="E6651" t="e">
        <f>cubic_spline(CURVA!$B$6:$B$20,CURVA!$G$6:$G$20,#REF!)</f>
        <v>#VALUE!</v>
      </c>
    </row>
    <row r="6652" spans="1:5" x14ac:dyDescent="0.2">
      <c r="A6652" s="28">
        <v>6651</v>
      </c>
      <c r="B6652" s="28" t="e">
        <f>interpola(#REF!,CURVA!$B$6:$B$20,CURVA!$G$6:$G$20)</f>
        <v>#VALUE!</v>
      </c>
      <c r="C6652" s="29" t="e">
        <f t="shared" si="103"/>
        <v>#VALUE!</v>
      </c>
      <c r="E6652" t="e">
        <f>cubic_spline(CURVA!$B$6:$B$20,CURVA!$G$6:$G$20,#REF!)</f>
        <v>#VALUE!</v>
      </c>
    </row>
    <row r="6653" spans="1:5" x14ac:dyDescent="0.2">
      <c r="A6653" s="28">
        <v>6652</v>
      </c>
      <c r="B6653" s="28" t="e">
        <f>interpola(#REF!,CURVA!$B$6:$B$20,CURVA!$G$6:$G$20)</f>
        <v>#VALUE!</v>
      </c>
      <c r="C6653" s="29" t="e">
        <f t="shared" si="103"/>
        <v>#VALUE!</v>
      </c>
      <c r="E6653" t="e">
        <f>cubic_spline(CURVA!$B$6:$B$20,CURVA!$G$6:$G$20,#REF!)</f>
        <v>#VALUE!</v>
      </c>
    </row>
    <row r="6654" spans="1:5" x14ac:dyDescent="0.2">
      <c r="A6654" s="28">
        <v>6653</v>
      </c>
      <c r="B6654" s="28" t="e">
        <f>interpola(#REF!,CURVA!$B$6:$B$20,CURVA!$G$6:$G$20)</f>
        <v>#VALUE!</v>
      </c>
      <c r="C6654" s="29" t="e">
        <f t="shared" si="103"/>
        <v>#VALUE!</v>
      </c>
      <c r="E6654" t="e">
        <f>cubic_spline(CURVA!$B$6:$B$20,CURVA!$G$6:$G$20,#REF!)</f>
        <v>#VALUE!</v>
      </c>
    </row>
    <row r="6655" spans="1:5" x14ac:dyDescent="0.2">
      <c r="A6655" s="28">
        <v>6654</v>
      </c>
      <c r="B6655" s="28" t="e">
        <f>interpola(#REF!,CURVA!$B$6:$B$20,CURVA!$G$6:$G$20)</f>
        <v>#VALUE!</v>
      </c>
      <c r="C6655" s="29" t="e">
        <f t="shared" si="103"/>
        <v>#VALUE!</v>
      </c>
      <c r="E6655" t="e">
        <f>cubic_spline(CURVA!$B$6:$B$20,CURVA!$G$6:$G$20,#REF!)</f>
        <v>#VALUE!</v>
      </c>
    </row>
    <row r="6656" spans="1:5" x14ac:dyDescent="0.2">
      <c r="A6656" s="28">
        <v>6655</v>
      </c>
      <c r="B6656" s="28" t="e">
        <f>interpola(#REF!,CURVA!$B$6:$B$20,CURVA!$G$6:$G$20)</f>
        <v>#VALUE!</v>
      </c>
      <c r="C6656" s="29" t="e">
        <f t="shared" si="103"/>
        <v>#VALUE!</v>
      </c>
      <c r="E6656" t="e">
        <f>cubic_spline(CURVA!$B$6:$B$20,CURVA!$G$6:$G$20,#REF!)</f>
        <v>#VALUE!</v>
      </c>
    </row>
    <row r="6657" spans="1:5" x14ac:dyDescent="0.2">
      <c r="A6657" s="28">
        <v>6656</v>
      </c>
      <c r="B6657" s="28" t="e">
        <f>interpola(#REF!,CURVA!$B$6:$B$20,CURVA!$G$6:$G$20)</f>
        <v>#VALUE!</v>
      </c>
      <c r="C6657" s="29" t="e">
        <f t="shared" si="103"/>
        <v>#VALUE!</v>
      </c>
      <c r="E6657" t="e">
        <f>cubic_spline(CURVA!$B$6:$B$20,CURVA!$G$6:$G$20,#REF!)</f>
        <v>#VALUE!</v>
      </c>
    </row>
    <row r="6658" spans="1:5" x14ac:dyDescent="0.2">
      <c r="A6658" s="28">
        <v>6657</v>
      </c>
      <c r="B6658" s="28" t="e">
        <f>interpola(#REF!,CURVA!$B$6:$B$20,CURVA!$G$6:$G$20)</f>
        <v>#VALUE!</v>
      </c>
      <c r="C6658" s="29" t="e">
        <f t="shared" ref="C6658:C6721" si="104">(EXP(B6658*A6658/360)-1)*360/A6658</f>
        <v>#VALUE!</v>
      </c>
      <c r="E6658" t="e">
        <f>cubic_spline(CURVA!$B$6:$B$20,CURVA!$G$6:$G$20,#REF!)</f>
        <v>#VALUE!</v>
      </c>
    </row>
    <row r="6659" spans="1:5" x14ac:dyDescent="0.2">
      <c r="A6659" s="28">
        <v>6658</v>
      </c>
      <c r="B6659" s="28" t="e">
        <f>interpola(#REF!,CURVA!$B$6:$B$20,CURVA!$G$6:$G$20)</f>
        <v>#VALUE!</v>
      </c>
      <c r="C6659" s="29" t="e">
        <f t="shared" si="104"/>
        <v>#VALUE!</v>
      </c>
      <c r="E6659" t="e">
        <f>cubic_spline(CURVA!$B$6:$B$20,CURVA!$G$6:$G$20,#REF!)</f>
        <v>#VALUE!</v>
      </c>
    </row>
    <row r="6660" spans="1:5" x14ac:dyDescent="0.2">
      <c r="A6660" s="28">
        <v>6659</v>
      </c>
      <c r="B6660" s="28" t="e">
        <f>interpola(#REF!,CURVA!$B$6:$B$20,CURVA!$G$6:$G$20)</f>
        <v>#VALUE!</v>
      </c>
      <c r="C6660" s="29" t="e">
        <f t="shared" si="104"/>
        <v>#VALUE!</v>
      </c>
      <c r="E6660" t="e">
        <f>cubic_spline(CURVA!$B$6:$B$20,CURVA!$G$6:$G$20,#REF!)</f>
        <v>#VALUE!</v>
      </c>
    </row>
    <row r="6661" spans="1:5" x14ac:dyDescent="0.2">
      <c r="A6661" s="28">
        <v>6660</v>
      </c>
      <c r="B6661" s="28" t="e">
        <f>interpola(#REF!,CURVA!$B$6:$B$20,CURVA!$G$6:$G$20)</f>
        <v>#VALUE!</v>
      </c>
      <c r="C6661" s="29" t="e">
        <f t="shared" si="104"/>
        <v>#VALUE!</v>
      </c>
      <c r="E6661" t="e">
        <f>cubic_spline(CURVA!$B$6:$B$20,CURVA!$G$6:$G$20,#REF!)</f>
        <v>#VALUE!</v>
      </c>
    </row>
    <row r="6662" spans="1:5" x14ac:dyDescent="0.2">
      <c r="A6662" s="28">
        <v>6661</v>
      </c>
      <c r="B6662" s="28" t="e">
        <f>interpola(#REF!,CURVA!$B$6:$B$20,CURVA!$G$6:$G$20)</f>
        <v>#VALUE!</v>
      </c>
      <c r="C6662" s="29" t="e">
        <f t="shared" si="104"/>
        <v>#VALUE!</v>
      </c>
      <c r="E6662" t="e">
        <f>cubic_spline(CURVA!$B$6:$B$20,CURVA!$G$6:$G$20,#REF!)</f>
        <v>#VALUE!</v>
      </c>
    </row>
    <row r="6663" spans="1:5" x14ac:dyDescent="0.2">
      <c r="A6663" s="28">
        <v>6662</v>
      </c>
      <c r="B6663" s="28" t="e">
        <f>interpola(#REF!,CURVA!$B$6:$B$20,CURVA!$G$6:$G$20)</f>
        <v>#VALUE!</v>
      </c>
      <c r="C6663" s="29" t="e">
        <f t="shared" si="104"/>
        <v>#VALUE!</v>
      </c>
      <c r="E6663" t="e">
        <f>cubic_spline(CURVA!$B$6:$B$20,CURVA!$G$6:$G$20,#REF!)</f>
        <v>#VALUE!</v>
      </c>
    </row>
    <row r="6664" spans="1:5" x14ac:dyDescent="0.2">
      <c r="A6664" s="28">
        <v>6663</v>
      </c>
      <c r="B6664" s="28" t="e">
        <f>interpola(#REF!,CURVA!$B$6:$B$20,CURVA!$G$6:$G$20)</f>
        <v>#VALUE!</v>
      </c>
      <c r="C6664" s="29" t="e">
        <f t="shared" si="104"/>
        <v>#VALUE!</v>
      </c>
      <c r="E6664" t="e">
        <f>cubic_spline(CURVA!$B$6:$B$20,CURVA!$G$6:$G$20,#REF!)</f>
        <v>#VALUE!</v>
      </c>
    </row>
    <row r="6665" spans="1:5" x14ac:dyDescent="0.2">
      <c r="A6665" s="28">
        <v>6664</v>
      </c>
      <c r="B6665" s="28" t="e">
        <f>interpola(#REF!,CURVA!$B$6:$B$20,CURVA!$G$6:$G$20)</f>
        <v>#VALUE!</v>
      </c>
      <c r="C6665" s="29" t="e">
        <f t="shared" si="104"/>
        <v>#VALUE!</v>
      </c>
      <c r="E6665" t="e">
        <f>cubic_spline(CURVA!$B$6:$B$20,CURVA!$G$6:$G$20,#REF!)</f>
        <v>#VALUE!</v>
      </c>
    </row>
    <row r="6666" spans="1:5" x14ac:dyDescent="0.2">
      <c r="A6666" s="28">
        <v>6665</v>
      </c>
      <c r="B6666" s="28" t="e">
        <f>interpola(#REF!,CURVA!$B$6:$B$20,CURVA!$G$6:$G$20)</f>
        <v>#VALUE!</v>
      </c>
      <c r="C6666" s="29" t="e">
        <f t="shared" si="104"/>
        <v>#VALUE!</v>
      </c>
      <c r="E6666" t="e">
        <f>cubic_spline(CURVA!$B$6:$B$20,CURVA!$G$6:$G$20,#REF!)</f>
        <v>#VALUE!</v>
      </c>
    </row>
    <row r="6667" spans="1:5" x14ac:dyDescent="0.2">
      <c r="A6667" s="28">
        <v>6666</v>
      </c>
      <c r="B6667" s="28" t="e">
        <f>interpola(#REF!,CURVA!$B$6:$B$20,CURVA!$G$6:$G$20)</f>
        <v>#VALUE!</v>
      </c>
      <c r="C6667" s="29" t="e">
        <f t="shared" si="104"/>
        <v>#VALUE!</v>
      </c>
      <c r="E6667" t="e">
        <f>cubic_spline(CURVA!$B$6:$B$20,CURVA!$G$6:$G$20,#REF!)</f>
        <v>#VALUE!</v>
      </c>
    </row>
    <row r="6668" spans="1:5" x14ac:dyDescent="0.2">
      <c r="A6668" s="28">
        <v>6667</v>
      </c>
      <c r="B6668" s="28" t="e">
        <f>interpola(#REF!,CURVA!$B$6:$B$20,CURVA!$G$6:$G$20)</f>
        <v>#VALUE!</v>
      </c>
      <c r="C6668" s="29" t="e">
        <f t="shared" si="104"/>
        <v>#VALUE!</v>
      </c>
      <c r="E6668" t="e">
        <f>cubic_spline(CURVA!$B$6:$B$20,CURVA!$G$6:$G$20,#REF!)</f>
        <v>#VALUE!</v>
      </c>
    </row>
    <row r="6669" spans="1:5" x14ac:dyDescent="0.2">
      <c r="A6669" s="28">
        <v>6668</v>
      </c>
      <c r="B6669" s="28" t="e">
        <f>interpola(#REF!,CURVA!$B$6:$B$20,CURVA!$G$6:$G$20)</f>
        <v>#VALUE!</v>
      </c>
      <c r="C6669" s="29" t="e">
        <f t="shared" si="104"/>
        <v>#VALUE!</v>
      </c>
      <c r="E6669" t="e">
        <f>cubic_spline(CURVA!$B$6:$B$20,CURVA!$G$6:$G$20,#REF!)</f>
        <v>#VALUE!</v>
      </c>
    </row>
    <row r="6670" spans="1:5" x14ac:dyDescent="0.2">
      <c r="A6670" s="28">
        <v>6669</v>
      </c>
      <c r="B6670" s="28" t="e">
        <f>interpola(#REF!,CURVA!$B$6:$B$20,CURVA!$G$6:$G$20)</f>
        <v>#VALUE!</v>
      </c>
      <c r="C6670" s="29" t="e">
        <f t="shared" si="104"/>
        <v>#VALUE!</v>
      </c>
      <c r="E6670" t="e">
        <f>cubic_spline(CURVA!$B$6:$B$20,CURVA!$G$6:$G$20,#REF!)</f>
        <v>#VALUE!</v>
      </c>
    </row>
    <row r="6671" spans="1:5" x14ac:dyDescent="0.2">
      <c r="A6671" s="28">
        <v>6670</v>
      </c>
      <c r="B6671" s="28" t="e">
        <f>interpola(#REF!,CURVA!$B$6:$B$20,CURVA!$G$6:$G$20)</f>
        <v>#VALUE!</v>
      </c>
      <c r="C6671" s="29" t="e">
        <f t="shared" si="104"/>
        <v>#VALUE!</v>
      </c>
      <c r="E6671" t="e">
        <f>cubic_spline(CURVA!$B$6:$B$20,CURVA!$G$6:$G$20,#REF!)</f>
        <v>#VALUE!</v>
      </c>
    </row>
    <row r="6672" spans="1:5" x14ac:dyDescent="0.2">
      <c r="A6672" s="28">
        <v>6671</v>
      </c>
      <c r="B6672" s="28" t="e">
        <f>interpola(#REF!,CURVA!$B$6:$B$20,CURVA!$G$6:$G$20)</f>
        <v>#VALUE!</v>
      </c>
      <c r="C6672" s="29" t="e">
        <f t="shared" si="104"/>
        <v>#VALUE!</v>
      </c>
      <c r="E6672" t="e">
        <f>cubic_spline(CURVA!$B$6:$B$20,CURVA!$G$6:$G$20,#REF!)</f>
        <v>#VALUE!</v>
      </c>
    </row>
    <row r="6673" spans="1:5" x14ac:dyDescent="0.2">
      <c r="A6673" s="28">
        <v>6672</v>
      </c>
      <c r="B6673" s="28" t="e">
        <f>interpola(#REF!,CURVA!$B$6:$B$20,CURVA!$G$6:$G$20)</f>
        <v>#VALUE!</v>
      </c>
      <c r="C6673" s="29" t="e">
        <f t="shared" si="104"/>
        <v>#VALUE!</v>
      </c>
      <c r="E6673" t="e">
        <f>cubic_spline(CURVA!$B$6:$B$20,CURVA!$G$6:$G$20,#REF!)</f>
        <v>#VALUE!</v>
      </c>
    </row>
    <row r="6674" spans="1:5" x14ac:dyDescent="0.2">
      <c r="A6674" s="28">
        <v>6673</v>
      </c>
      <c r="B6674" s="28" t="e">
        <f>interpola(#REF!,CURVA!$B$6:$B$20,CURVA!$G$6:$G$20)</f>
        <v>#VALUE!</v>
      </c>
      <c r="C6674" s="29" t="e">
        <f t="shared" si="104"/>
        <v>#VALUE!</v>
      </c>
      <c r="E6674" t="e">
        <f>cubic_spline(CURVA!$B$6:$B$20,CURVA!$G$6:$G$20,#REF!)</f>
        <v>#VALUE!</v>
      </c>
    </row>
    <row r="6675" spans="1:5" x14ac:dyDescent="0.2">
      <c r="A6675" s="28">
        <v>6674</v>
      </c>
      <c r="B6675" s="28" t="e">
        <f>interpola(#REF!,CURVA!$B$6:$B$20,CURVA!$G$6:$G$20)</f>
        <v>#VALUE!</v>
      </c>
      <c r="C6675" s="29" t="e">
        <f t="shared" si="104"/>
        <v>#VALUE!</v>
      </c>
      <c r="E6675" t="e">
        <f>cubic_spline(CURVA!$B$6:$B$20,CURVA!$G$6:$G$20,#REF!)</f>
        <v>#VALUE!</v>
      </c>
    </row>
    <row r="6676" spans="1:5" x14ac:dyDescent="0.2">
      <c r="A6676" s="28">
        <v>6675</v>
      </c>
      <c r="B6676" s="28" t="e">
        <f>interpola(#REF!,CURVA!$B$6:$B$20,CURVA!$G$6:$G$20)</f>
        <v>#VALUE!</v>
      </c>
      <c r="C6676" s="29" t="e">
        <f t="shared" si="104"/>
        <v>#VALUE!</v>
      </c>
      <c r="E6676" t="e">
        <f>cubic_spline(CURVA!$B$6:$B$20,CURVA!$G$6:$G$20,#REF!)</f>
        <v>#VALUE!</v>
      </c>
    </row>
    <row r="6677" spans="1:5" x14ac:dyDescent="0.2">
      <c r="A6677" s="28">
        <v>6676</v>
      </c>
      <c r="B6677" s="28" t="e">
        <f>interpola(#REF!,CURVA!$B$6:$B$20,CURVA!$G$6:$G$20)</f>
        <v>#VALUE!</v>
      </c>
      <c r="C6677" s="29" t="e">
        <f t="shared" si="104"/>
        <v>#VALUE!</v>
      </c>
      <c r="E6677" t="e">
        <f>cubic_spline(CURVA!$B$6:$B$20,CURVA!$G$6:$G$20,#REF!)</f>
        <v>#VALUE!</v>
      </c>
    </row>
    <row r="6678" spans="1:5" x14ac:dyDescent="0.2">
      <c r="A6678" s="28">
        <v>6677</v>
      </c>
      <c r="B6678" s="28" t="e">
        <f>interpola(#REF!,CURVA!$B$6:$B$20,CURVA!$G$6:$G$20)</f>
        <v>#VALUE!</v>
      </c>
      <c r="C6678" s="29" t="e">
        <f t="shared" si="104"/>
        <v>#VALUE!</v>
      </c>
      <c r="E6678" t="e">
        <f>cubic_spline(CURVA!$B$6:$B$20,CURVA!$G$6:$G$20,#REF!)</f>
        <v>#VALUE!</v>
      </c>
    </row>
    <row r="6679" spans="1:5" x14ac:dyDescent="0.2">
      <c r="A6679" s="28">
        <v>6678</v>
      </c>
      <c r="B6679" s="28" t="e">
        <f>interpola(#REF!,CURVA!$B$6:$B$20,CURVA!$G$6:$G$20)</f>
        <v>#VALUE!</v>
      </c>
      <c r="C6679" s="29" t="e">
        <f t="shared" si="104"/>
        <v>#VALUE!</v>
      </c>
      <c r="E6679" t="e">
        <f>cubic_spline(CURVA!$B$6:$B$20,CURVA!$G$6:$G$20,#REF!)</f>
        <v>#VALUE!</v>
      </c>
    </row>
    <row r="6680" spans="1:5" x14ac:dyDescent="0.2">
      <c r="A6680" s="28">
        <v>6679</v>
      </c>
      <c r="B6680" s="28" t="e">
        <f>interpola(#REF!,CURVA!$B$6:$B$20,CURVA!$G$6:$G$20)</f>
        <v>#VALUE!</v>
      </c>
      <c r="C6680" s="29" t="e">
        <f t="shared" si="104"/>
        <v>#VALUE!</v>
      </c>
      <c r="E6680" t="e">
        <f>cubic_spline(CURVA!$B$6:$B$20,CURVA!$G$6:$G$20,#REF!)</f>
        <v>#VALUE!</v>
      </c>
    </row>
    <row r="6681" spans="1:5" x14ac:dyDescent="0.2">
      <c r="A6681" s="28">
        <v>6680</v>
      </c>
      <c r="B6681" s="28" t="e">
        <f>interpola(#REF!,CURVA!$B$6:$B$20,CURVA!$G$6:$G$20)</f>
        <v>#VALUE!</v>
      </c>
      <c r="C6681" s="29" t="e">
        <f t="shared" si="104"/>
        <v>#VALUE!</v>
      </c>
      <c r="E6681" t="e">
        <f>cubic_spline(CURVA!$B$6:$B$20,CURVA!$G$6:$G$20,#REF!)</f>
        <v>#VALUE!</v>
      </c>
    </row>
    <row r="6682" spans="1:5" x14ac:dyDescent="0.2">
      <c r="A6682" s="28">
        <v>6681</v>
      </c>
      <c r="B6682" s="28" t="e">
        <f>interpola(#REF!,CURVA!$B$6:$B$20,CURVA!$G$6:$G$20)</f>
        <v>#VALUE!</v>
      </c>
      <c r="C6682" s="29" t="e">
        <f t="shared" si="104"/>
        <v>#VALUE!</v>
      </c>
      <c r="E6682" t="e">
        <f>cubic_spline(CURVA!$B$6:$B$20,CURVA!$G$6:$G$20,#REF!)</f>
        <v>#VALUE!</v>
      </c>
    </row>
    <row r="6683" spans="1:5" x14ac:dyDescent="0.2">
      <c r="A6683" s="28">
        <v>6682</v>
      </c>
      <c r="B6683" s="28" t="e">
        <f>interpola(#REF!,CURVA!$B$6:$B$20,CURVA!$G$6:$G$20)</f>
        <v>#VALUE!</v>
      </c>
      <c r="C6683" s="29" t="e">
        <f t="shared" si="104"/>
        <v>#VALUE!</v>
      </c>
      <c r="E6683" t="e">
        <f>cubic_spline(CURVA!$B$6:$B$20,CURVA!$G$6:$G$20,#REF!)</f>
        <v>#VALUE!</v>
      </c>
    </row>
    <row r="6684" spans="1:5" x14ac:dyDescent="0.2">
      <c r="A6684" s="28">
        <v>6683</v>
      </c>
      <c r="B6684" s="28" t="e">
        <f>interpola(#REF!,CURVA!$B$6:$B$20,CURVA!$G$6:$G$20)</f>
        <v>#VALUE!</v>
      </c>
      <c r="C6684" s="29" t="e">
        <f t="shared" si="104"/>
        <v>#VALUE!</v>
      </c>
      <c r="E6684" t="e">
        <f>cubic_spline(CURVA!$B$6:$B$20,CURVA!$G$6:$G$20,#REF!)</f>
        <v>#VALUE!</v>
      </c>
    </row>
    <row r="6685" spans="1:5" x14ac:dyDescent="0.2">
      <c r="A6685" s="28">
        <v>6684</v>
      </c>
      <c r="B6685" s="28" t="e">
        <f>interpola(#REF!,CURVA!$B$6:$B$20,CURVA!$G$6:$G$20)</f>
        <v>#VALUE!</v>
      </c>
      <c r="C6685" s="29" t="e">
        <f t="shared" si="104"/>
        <v>#VALUE!</v>
      </c>
      <c r="E6685" t="e">
        <f>cubic_spline(CURVA!$B$6:$B$20,CURVA!$G$6:$G$20,#REF!)</f>
        <v>#VALUE!</v>
      </c>
    </row>
    <row r="6686" spans="1:5" x14ac:dyDescent="0.2">
      <c r="A6686" s="28">
        <v>6685</v>
      </c>
      <c r="B6686" s="28" t="e">
        <f>interpola(#REF!,CURVA!$B$6:$B$20,CURVA!$G$6:$G$20)</f>
        <v>#VALUE!</v>
      </c>
      <c r="C6686" s="29" t="e">
        <f t="shared" si="104"/>
        <v>#VALUE!</v>
      </c>
      <c r="E6686" t="e">
        <f>cubic_spline(CURVA!$B$6:$B$20,CURVA!$G$6:$G$20,#REF!)</f>
        <v>#VALUE!</v>
      </c>
    </row>
    <row r="6687" spans="1:5" x14ac:dyDescent="0.2">
      <c r="A6687" s="28">
        <v>6686</v>
      </c>
      <c r="B6687" s="28" t="e">
        <f>interpola(#REF!,CURVA!$B$6:$B$20,CURVA!$G$6:$G$20)</f>
        <v>#VALUE!</v>
      </c>
      <c r="C6687" s="29" t="e">
        <f t="shared" si="104"/>
        <v>#VALUE!</v>
      </c>
      <c r="E6687" t="e">
        <f>cubic_spline(CURVA!$B$6:$B$20,CURVA!$G$6:$G$20,#REF!)</f>
        <v>#VALUE!</v>
      </c>
    </row>
    <row r="6688" spans="1:5" x14ac:dyDescent="0.2">
      <c r="A6688" s="28">
        <v>6687</v>
      </c>
      <c r="B6688" s="28" t="e">
        <f>interpola(#REF!,CURVA!$B$6:$B$20,CURVA!$G$6:$G$20)</f>
        <v>#VALUE!</v>
      </c>
      <c r="C6688" s="29" t="e">
        <f t="shared" si="104"/>
        <v>#VALUE!</v>
      </c>
      <c r="E6688" t="e">
        <f>cubic_spline(CURVA!$B$6:$B$20,CURVA!$G$6:$G$20,#REF!)</f>
        <v>#VALUE!</v>
      </c>
    </row>
    <row r="6689" spans="1:5" x14ac:dyDescent="0.2">
      <c r="A6689" s="28">
        <v>6688</v>
      </c>
      <c r="B6689" s="28" t="e">
        <f>interpola(#REF!,CURVA!$B$6:$B$20,CURVA!$G$6:$G$20)</f>
        <v>#VALUE!</v>
      </c>
      <c r="C6689" s="29" t="e">
        <f t="shared" si="104"/>
        <v>#VALUE!</v>
      </c>
      <c r="E6689" t="e">
        <f>cubic_spline(CURVA!$B$6:$B$20,CURVA!$G$6:$G$20,#REF!)</f>
        <v>#VALUE!</v>
      </c>
    </row>
    <row r="6690" spans="1:5" x14ac:dyDescent="0.2">
      <c r="A6690" s="28">
        <v>6689</v>
      </c>
      <c r="B6690" s="28" t="e">
        <f>interpola(#REF!,CURVA!$B$6:$B$20,CURVA!$G$6:$G$20)</f>
        <v>#VALUE!</v>
      </c>
      <c r="C6690" s="29" t="e">
        <f t="shared" si="104"/>
        <v>#VALUE!</v>
      </c>
      <c r="E6690" t="e">
        <f>cubic_spline(CURVA!$B$6:$B$20,CURVA!$G$6:$G$20,#REF!)</f>
        <v>#VALUE!</v>
      </c>
    </row>
    <row r="6691" spans="1:5" x14ac:dyDescent="0.2">
      <c r="A6691" s="28">
        <v>6690</v>
      </c>
      <c r="B6691" s="28" t="e">
        <f>interpola(#REF!,CURVA!$B$6:$B$20,CURVA!$G$6:$G$20)</f>
        <v>#VALUE!</v>
      </c>
      <c r="C6691" s="29" t="e">
        <f t="shared" si="104"/>
        <v>#VALUE!</v>
      </c>
      <c r="E6691" t="e">
        <f>cubic_spline(CURVA!$B$6:$B$20,CURVA!$G$6:$G$20,#REF!)</f>
        <v>#VALUE!</v>
      </c>
    </row>
    <row r="6692" spans="1:5" x14ac:dyDescent="0.2">
      <c r="A6692" s="28">
        <v>6691</v>
      </c>
      <c r="B6692" s="28" t="e">
        <f>interpola(#REF!,CURVA!$B$6:$B$20,CURVA!$G$6:$G$20)</f>
        <v>#VALUE!</v>
      </c>
      <c r="C6692" s="29" t="e">
        <f t="shared" si="104"/>
        <v>#VALUE!</v>
      </c>
      <c r="E6692" t="e">
        <f>cubic_spline(CURVA!$B$6:$B$20,CURVA!$G$6:$G$20,#REF!)</f>
        <v>#VALUE!</v>
      </c>
    </row>
    <row r="6693" spans="1:5" x14ac:dyDescent="0.2">
      <c r="A6693" s="28">
        <v>6692</v>
      </c>
      <c r="B6693" s="28" t="e">
        <f>interpola(#REF!,CURVA!$B$6:$B$20,CURVA!$G$6:$G$20)</f>
        <v>#VALUE!</v>
      </c>
      <c r="C6693" s="29" t="e">
        <f t="shared" si="104"/>
        <v>#VALUE!</v>
      </c>
      <c r="E6693" t="e">
        <f>cubic_spline(CURVA!$B$6:$B$20,CURVA!$G$6:$G$20,#REF!)</f>
        <v>#VALUE!</v>
      </c>
    </row>
    <row r="6694" spans="1:5" x14ac:dyDescent="0.2">
      <c r="A6694" s="28">
        <v>6693</v>
      </c>
      <c r="B6694" s="28" t="e">
        <f>interpola(#REF!,CURVA!$B$6:$B$20,CURVA!$G$6:$G$20)</f>
        <v>#VALUE!</v>
      </c>
      <c r="C6694" s="29" t="e">
        <f t="shared" si="104"/>
        <v>#VALUE!</v>
      </c>
      <c r="E6694" t="e">
        <f>cubic_spline(CURVA!$B$6:$B$20,CURVA!$G$6:$G$20,#REF!)</f>
        <v>#VALUE!</v>
      </c>
    </row>
    <row r="6695" spans="1:5" x14ac:dyDescent="0.2">
      <c r="A6695" s="28">
        <v>6694</v>
      </c>
      <c r="B6695" s="28" t="e">
        <f>interpola(#REF!,CURVA!$B$6:$B$20,CURVA!$G$6:$G$20)</f>
        <v>#VALUE!</v>
      </c>
      <c r="C6695" s="29" t="e">
        <f t="shared" si="104"/>
        <v>#VALUE!</v>
      </c>
      <c r="E6695" t="e">
        <f>cubic_spline(CURVA!$B$6:$B$20,CURVA!$G$6:$G$20,#REF!)</f>
        <v>#VALUE!</v>
      </c>
    </row>
    <row r="6696" spans="1:5" x14ac:dyDescent="0.2">
      <c r="A6696" s="28">
        <v>6695</v>
      </c>
      <c r="B6696" s="28" t="e">
        <f>interpola(#REF!,CURVA!$B$6:$B$20,CURVA!$G$6:$G$20)</f>
        <v>#VALUE!</v>
      </c>
      <c r="C6696" s="29" t="e">
        <f t="shared" si="104"/>
        <v>#VALUE!</v>
      </c>
      <c r="E6696" t="e">
        <f>cubic_spline(CURVA!$B$6:$B$20,CURVA!$G$6:$G$20,#REF!)</f>
        <v>#VALUE!</v>
      </c>
    </row>
    <row r="6697" spans="1:5" x14ac:dyDescent="0.2">
      <c r="A6697" s="28">
        <v>6696</v>
      </c>
      <c r="B6697" s="28" t="e">
        <f>interpola(#REF!,CURVA!$B$6:$B$20,CURVA!$G$6:$G$20)</f>
        <v>#VALUE!</v>
      </c>
      <c r="C6697" s="29" t="e">
        <f t="shared" si="104"/>
        <v>#VALUE!</v>
      </c>
      <c r="E6697" t="e">
        <f>cubic_spline(CURVA!$B$6:$B$20,CURVA!$G$6:$G$20,#REF!)</f>
        <v>#VALUE!</v>
      </c>
    </row>
    <row r="6698" spans="1:5" x14ac:dyDescent="0.2">
      <c r="A6698" s="28">
        <v>6697</v>
      </c>
      <c r="B6698" s="28" t="e">
        <f>interpola(#REF!,CURVA!$B$6:$B$20,CURVA!$G$6:$G$20)</f>
        <v>#VALUE!</v>
      </c>
      <c r="C6698" s="29" t="e">
        <f t="shared" si="104"/>
        <v>#VALUE!</v>
      </c>
      <c r="E6698" t="e">
        <f>cubic_spline(CURVA!$B$6:$B$20,CURVA!$G$6:$G$20,#REF!)</f>
        <v>#VALUE!</v>
      </c>
    </row>
    <row r="6699" spans="1:5" x14ac:dyDescent="0.2">
      <c r="A6699" s="28">
        <v>6698</v>
      </c>
      <c r="B6699" s="28" t="e">
        <f>interpola(#REF!,CURVA!$B$6:$B$20,CURVA!$G$6:$G$20)</f>
        <v>#VALUE!</v>
      </c>
      <c r="C6699" s="29" t="e">
        <f t="shared" si="104"/>
        <v>#VALUE!</v>
      </c>
      <c r="E6699" t="e">
        <f>cubic_spline(CURVA!$B$6:$B$20,CURVA!$G$6:$G$20,#REF!)</f>
        <v>#VALUE!</v>
      </c>
    </row>
    <row r="6700" spans="1:5" x14ac:dyDescent="0.2">
      <c r="A6700" s="28">
        <v>6699</v>
      </c>
      <c r="B6700" s="28" t="e">
        <f>interpola(#REF!,CURVA!$B$6:$B$20,CURVA!$G$6:$G$20)</f>
        <v>#VALUE!</v>
      </c>
      <c r="C6700" s="29" t="e">
        <f t="shared" si="104"/>
        <v>#VALUE!</v>
      </c>
      <c r="E6700" t="e">
        <f>cubic_spline(CURVA!$B$6:$B$20,CURVA!$G$6:$G$20,#REF!)</f>
        <v>#VALUE!</v>
      </c>
    </row>
    <row r="6701" spans="1:5" x14ac:dyDescent="0.2">
      <c r="A6701" s="28">
        <v>6700</v>
      </c>
      <c r="B6701" s="28" t="e">
        <f>interpola(#REF!,CURVA!$B$6:$B$20,CURVA!$G$6:$G$20)</f>
        <v>#VALUE!</v>
      </c>
      <c r="C6701" s="29" t="e">
        <f t="shared" si="104"/>
        <v>#VALUE!</v>
      </c>
      <c r="E6701" t="e">
        <f>cubic_spline(CURVA!$B$6:$B$20,CURVA!$G$6:$G$20,#REF!)</f>
        <v>#VALUE!</v>
      </c>
    </row>
    <row r="6702" spans="1:5" x14ac:dyDescent="0.2">
      <c r="A6702" s="28">
        <v>6701</v>
      </c>
      <c r="B6702" s="28" t="e">
        <f>interpola(#REF!,CURVA!$B$6:$B$20,CURVA!$G$6:$G$20)</f>
        <v>#VALUE!</v>
      </c>
      <c r="C6702" s="29" t="e">
        <f t="shared" si="104"/>
        <v>#VALUE!</v>
      </c>
      <c r="E6702" t="e">
        <f>cubic_spline(CURVA!$B$6:$B$20,CURVA!$G$6:$G$20,#REF!)</f>
        <v>#VALUE!</v>
      </c>
    </row>
    <row r="6703" spans="1:5" x14ac:dyDescent="0.2">
      <c r="A6703" s="28">
        <v>6702</v>
      </c>
      <c r="B6703" s="28" t="e">
        <f>interpola(#REF!,CURVA!$B$6:$B$20,CURVA!$G$6:$G$20)</f>
        <v>#VALUE!</v>
      </c>
      <c r="C6703" s="29" t="e">
        <f t="shared" si="104"/>
        <v>#VALUE!</v>
      </c>
      <c r="E6703" t="e">
        <f>cubic_spline(CURVA!$B$6:$B$20,CURVA!$G$6:$G$20,#REF!)</f>
        <v>#VALUE!</v>
      </c>
    </row>
    <row r="6704" spans="1:5" x14ac:dyDescent="0.2">
      <c r="A6704" s="28">
        <v>6703</v>
      </c>
      <c r="B6704" s="28" t="e">
        <f>interpola(#REF!,CURVA!$B$6:$B$20,CURVA!$G$6:$G$20)</f>
        <v>#VALUE!</v>
      </c>
      <c r="C6704" s="29" t="e">
        <f t="shared" si="104"/>
        <v>#VALUE!</v>
      </c>
      <c r="E6704" t="e">
        <f>cubic_spline(CURVA!$B$6:$B$20,CURVA!$G$6:$G$20,#REF!)</f>
        <v>#VALUE!</v>
      </c>
    </row>
    <row r="6705" spans="1:5" x14ac:dyDescent="0.2">
      <c r="A6705" s="28">
        <v>6704</v>
      </c>
      <c r="B6705" s="28" t="e">
        <f>interpola(#REF!,CURVA!$B$6:$B$20,CURVA!$G$6:$G$20)</f>
        <v>#VALUE!</v>
      </c>
      <c r="C6705" s="29" t="e">
        <f t="shared" si="104"/>
        <v>#VALUE!</v>
      </c>
      <c r="E6705" t="e">
        <f>cubic_spline(CURVA!$B$6:$B$20,CURVA!$G$6:$G$20,#REF!)</f>
        <v>#VALUE!</v>
      </c>
    </row>
    <row r="6706" spans="1:5" x14ac:dyDescent="0.2">
      <c r="A6706" s="28">
        <v>6705</v>
      </c>
      <c r="B6706" s="28" t="e">
        <f>interpola(#REF!,CURVA!$B$6:$B$20,CURVA!$G$6:$G$20)</f>
        <v>#VALUE!</v>
      </c>
      <c r="C6706" s="29" t="e">
        <f t="shared" si="104"/>
        <v>#VALUE!</v>
      </c>
      <c r="E6706" t="e">
        <f>cubic_spline(CURVA!$B$6:$B$20,CURVA!$G$6:$G$20,#REF!)</f>
        <v>#VALUE!</v>
      </c>
    </row>
    <row r="6707" spans="1:5" x14ac:dyDescent="0.2">
      <c r="A6707" s="28">
        <v>6706</v>
      </c>
      <c r="B6707" s="28" t="e">
        <f>interpola(#REF!,CURVA!$B$6:$B$20,CURVA!$G$6:$G$20)</f>
        <v>#VALUE!</v>
      </c>
      <c r="C6707" s="29" t="e">
        <f t="shared" si="104"/>
        <v>#VALUE!</v>
      </c>
      <c r="E6707" t="e">
        <f>cubic_spline(CURVA!$B$6:$B$20,CURVA!$G$6:$G$20,#REF!)</f>
        <v>#VALUE!</v>
      </c>
    </row>
    <row r="6708" spans="1:5" x14ac:dyDescent="0.2">
      <c r="A6708" s="28">
        <v>6707</v>
      </c>
      <c r="B6708" s="28" t="e">
        <f>interpola(#REF!,CURVA!$B$6:$B$20,CURVA!$G$6:$G$20)</f>
        <v>#VALUE!</v>
      </c>
      <c r="C6708" s="29" t="e">
        <f t="shared" si="104"/>
        <v>#VALUE!</v>
      </c>
      <c r="E6708" t="e">
        <f>cubic_spline(CURVA!$B$6:$B$20,CURVA!$G$6:$G$20,#REF!)</f>
        <v>#VALUE!</v>
      </c>
    </row>
    <row r="6709" spans="1:5" x14ac:dyDescent="0.2">
      <c r="A6709" s="28">
        <v>6708</v>
      </c>
      <c r="B6709" s="28" t="e">
        <f>interpola(#REF!,CURVA!$B$6:$B$20,CURVA!$G$6:$G$20)</f>
        <v>#VALUE!</v>
      </c>
      <c r="C6709" s="29" t="e">
        <f t="shared" si="104"/>
        <v>#VALUE!</v>
      </c>
      <c r="E6709" t="e">
        <f>cubic_spline(CURVA!$B$6:$B$20,CURVA!$G$6:$G$20,#REF!)</f>
        <v>#VALUE!</v>
      </c>
    </row>
    <row r="6710" spans="1:5" x14ac:dyDescent="0.2">
      <c r="A6710" s="28">
        <v>6709</v>
      </c>
      <c r="B6710" s="28" t="e">
        <f>interpola(#REF!,CURVA!$B$6:$B$20,CURVA!$G$6:$G$20)</f>
        <v>#VALUE!</v>
      </c>
      <c r="C6710" s="29" t="e">
        <f t="shared" si="104"/>
        <v>#VALUE!</v>
      </c>
      <c r="E6710" t="e">
        <f>cubic_spline(CURVA!$B$6:$B$20,CURVA!$G$6:$G$20,#REF!)</f>
        <v>#VALUE!</v>
      </c>
    </row>
    <row r="6711" spans="1:5" x14ac:dyDescent="0.2">
      <c r="A6711" s="28">
        <v>6710</v>
      </c>
      <c r="B6711" s="28" t="e">
        <f>interpola(#REF!,CURVA!$B$6:$B$20,CURVA!$G$6:$G$20)</f>
        <v>#VALUE!</v>
      </c>
      <c r="C6711" s="29" t="e">
        <f t="shared" si="104"/>
        <v>#VALUE!</v>
      </c>
      <c r="E6711" t="e">
        <f>cubic_spline(CURVA!$B$6:$B$20,CURVA!$G$6:$G$20,#REF!)</f>
        <v>#VALUE!</v>
      </c>
    </row>
    <row r="6712" spans="1:5" x14ac:dyDescent="0.2">
      <c r="A6712" s="28">
        <v>6711</v>
      </c>
      <c r="B6712" s="28" t="e">
        <f>interpola(#REF!,CURVA!$B$6:$B$20,CURVA!$G$6:$G$20)</f>
        <v>#VALUE!</v>
      </c>
      <c r="C6712" s="29" t="e">
        <f t="shared" si="104"/>
        <v>#VALUE!</v>
      </c>
      <c r="E6712" t="e">
        <f>cubic_spline(CURVA!$B$6:$B$20,CURVA!$G$6:$G$20,#REF!)</f>
        <v>#VALUE!</v>
      </c>
    </row>
    <row r="6713" spans="1:5" x14ac:dyDescent="0.2">
      <c r="A6713" s="28">
        <v>6712</v>
      </c>
      <c r="B6713" s="28" t="e">
        <f>interpola(#REF!,CURVA!$B$6:$B$20,CURVA!$G$6:$G$20)</f>
        <v>#VALUE!</v>
      </c>
      <c r="C6713" s="29" t="e">
        <f t="shared" si="104"/>
        <v>#VALUE!</v>
      </c>
      <c r="E6713" t="e">
        <f>cubic_spline(CURVA!$B$6:$B$20,CURVA!$G$6:$G$20,#REF!)</f>
        <v>#VALUE!</v>
      </c>
    </row>
    <row r="6714" spans="1:5" x14ac:dyDescent="0.2">
      <c r="A6714" s="28">
        <v>6713</v>
      </c>
      <c r="B6714" s="28" t="e">
        <f>interpola(#REF!,CURVA!$B$6:$B$20,CURVA!$G$6:$G$20)</f>
        <v>#VALUE!</v>
      </c>
      <c r="C6714" s="29" t="e">
        <f t="shared" si="104"/>
        <v>#VALUE!</v>
      </c>
      <c r="E6714" t="e">
        <f>cubic_spline(CURVA!$B$6:$B$20,CURVA!$G$6:$G$20,#REF!)</f>
        <v>#VALUE!</v>
      </c>
    </row>
    <row r="6715" spans="1:5" x14ac:dyDescent="0.2">
      <c r="A6715" s="28">
        <v>6714</v>
      </c>
      <c r="B6715" s="28" t="e">
        <f>interpola(#REF!,CURVA!$B$6:$B$20,CURVA!$G$6:$G$20)</f>
        <v>#VALUE!</v>
      </c>
      <c r="C6715" s="29" t="e">
        <f t="shared" si="104"/>
        <v>#VALUE!</v>
      </c>
      <c r="E6715" t="e">
        <f>cubic_spline(CURVA!$B$6:$B$20,CURVA!$G$6:$G$20,#REF!)</f>
        <v>#VALUE!</v>
      </c>
    </row>
    <row r="6716" spans="1:5" x14ac:dyDescent="0.2">
      <c r="A6716" s="28">
        <v>6715</v>
      </c>
      <c r="B6716" s="28" t="e">
        <f>interpola(#REF!,CURVA!$B$6:$B$20,CURVA!$G$6:$G$20)</f>
        <v>#VALUE!</v>
      </c>
      <c r="C6716" s="29" t="e">
        <f t="shared" si="104"/>
        <v>#VALUE!</v>
      </c>
      <c r="E6716" t="e">
        <f>cubic_spline(CURVA!$B$6:$B$20,CURVA!$G$6:$G$20,#REF!)</f>
        <v>#VALUE!</v>
      </c>
    </row>
    <row r="6717" spans="1:5" x14ac:dyDescent="0.2">
      <c r="A6717" s="28">
        <v>6716</v>
      </c>
      <c r="B6717" s="28" t="e">
        <f>interpola(#REF!,CURVA!$B$6:$B$20,CURVA!$G$6:$G$20)</f>
        <v>#VALUE!</v>
      </c>
      <c r="C6717" s="29" t="e">
        <f t="shared" si="104"/>
        <v>#VALUE!</v>
      </c>
      <c r="E6717" t="e">
        <f>cubic_spline(CURVA!$B$6:$B$20,CURVA!$G$6:$G$20,#REF!)</f>
        <v>#VALUE!</v>
      </c>
    </row>
    <row r="6718" spans="1:5" x14ac:dyDescent="0.2">
      <c r="A6718" s="28">
        <v>6717</v>
      </c>
      <c r="B6718" s="28" t="e">
        <f>interpola(#REF!,CURVA!$B$6:$B$20,CURVA!$G$6:$G$20)</f>
        <v>#VALUE!</v>
      </c>
      <c r="C6718" s="29" t="e">
        <f t="shared" si="104"/>
        <v>#VALUE!</v>
      </c>
      <c r="E6718" t="e">
        <f>cubic_spline(CURVA!$B$6:$B$20,CURVA!$G$6:$G$20,#REF!)</f>
        <v>#VALUE!</v>
      </c>
    </row>
    <row r="6719" spans="1:5" x14ac:dyDescent="0.2">
      <c r="A6719" s="28">
        <v>6718</v>
      </c>
      <c r="B6719" s="28" t="e">
        <f>interpola(#REF!,CURVA!$B$6:$B$20,CURVA!$G$6:$G$20)</f>
        <v>#VALUE!</v>
      </c>
      <c r="C6719" s="29" t="e">
        <f t="shared" si="104"/>
        <v>#VALUE!</v>
      </c>
      <c r="E6719" t="e">
        <f>cubic_spline(CURVA!$B$6:$B$20,CURVA!$G$6:$G$20,#REF!)</f>
        <v>#VALUE!</v>
      </c>
    </row>
    <row r="6720" spans="1:5" x14ac:dyDescent="0.2">
      <c r="A6720" s="28">
        <v>6719</v>
      </c>
      <c r="B6720" s="28" t="e">
        <f>interpola(#REF!,CURVA!$B$6:$B$20,CURVA!$G$6:$G$20)</f>
        <v>#VALUE!</v>
      </c>
      <c r="C6720" s="29" t="e">
        <f t="shared" si="104"/>
        <v>#VALUE!</v>
      </c>
      <c r="E6720" t="e">
        <f>cubic_spline(CURVA!$B$6:$B$20,CURVA!$G$6:$G$20,#REF!)</f>
        <v>#VALUE!</v>
      </c>
    </row>
    <row r="6721" spans="1:5" x14ac:dyDescent="0.2">
      <c r="A6721" s="28">
        <v>6720</v>
      </c>
      <c r="B6721" s="28" t="e">
        <f>interpola(#REF!,CURVA!$B$6:$B$20,CURVA!$G$6:$G$20)</f>
        <v>#VALUE!</v>
      </c>
      <c r="C6721" s="29" t="e">
        <f t="shared" si="104"/>
        <v>#VALUE!</v>
      </c>
      <c r="E6721" t="e">
        <f>cubic_spline(CURVA!$B$6:$B$20,CURVA!$G$6:$G$20,#REF!)</f>
        <v>#VALUE!</v>
      </c>
    </row>
    <row r="6722" spans="1:5" x14ac:dyDescent="0.2">
      <c r="A6722" s="28">
        <v>6721</v>
      </c>
      <c r="B6722" s="28" t="e">
        <f>interpola(#REF!,CURVA!$B$6:$B$20,CURVA!$G$6:$G$20)</f>
        <v>#VALUE!</v>
      </c>
      <c r="C6722" s="29" t="e">
        <f t="shared" ref="C6722:C6785" si="105">(EXP(B6722*A6722/360)-1)*360/A6722</f>
        <v>#VALUE!</v>
      </c>
      <c r="E6722" t="e">
        <f>cubic_spline(CURVA!$B$6:$B$20,CURVA!$G$6:$G$20,#REF!)</f>
        <v>#VALUE!</v>
      </c>
    </row>
    <row r="6723" spans="1:5" x14ac:dyDescent="0.2">
      <c r="A6723" s="28">
        <v>6722</v>
      </c>
      <c r="B6723" s="28" t="e">
        <f>interpola(#REF!,CURVA!$B$6:$B$20,CURVA!$G$6:$G$20)</f>
        <v>#VALUE!</v>
      </c>
      <c r="C6723" s="29" t="e">
        <f t="shared" si="105"/>
        <v>#VALUE!</v>
      </c>
      <c r="E6723" t="e">
        <f>cubic_spline(CURVA!$B$6:$B$20,CURVA!$G$6:$G$20,#REF!)</f>
        <v>#VALUE!</v>
      </c>
    </row>
    <row r="6724" spans="1:5" x14ac:dyDescent="0.2">
      <c r="A6724" s="28">
        <v>6723</v>
      </c>
      <c r="B6724" s="28" t="e">
        <f>interpola(#REF!,CURVA!$B$6:$B$20,CURVA!$G$6:$G$20)</f>
        <v>#VALUE!</v>
      </c>
      <c r="C6724" s="29" t="e">
        <f t="shared" si="105"/>
        <v>#VALUE!</v>
      </c>
      <c r="E6724" t="e">
        <f>cubic_spline(CURVA!$B$6:$B$20,CURVA!$G$6:$G$20,#REF!)</f>
        <v>#VALUE!</v>
      </c>
    </row>
    <row r="6725" spans="1:5" x14ac:dyDescent="0.2">
      <c r="A6725" s="28">
        <v>6724</v>
      </c>
      <c r="B6725" s="28" t="e">
        <f>interpola(#REF!,CURVA!$B$6:$B$20,CURVA!$G$6:$G$20)</f>
        <v>#VALUE!</v>
      </c>
      <c r="C6725" s="29" t="e">
        <f t="shared" si="105"/>
        <v>#VALUE!</v>
      </c>
      <c r="E6725" t="e">
        <f>cubic_spline(CURVA!$B$6:$B$20,CURVA!$G$6:$G$20,#REF!)</f>
        <v>#VALUE!</v>
      </c>
    </row>
    <row r="6726" spans="1:5" x14ac:dyDescent="0.2">
      <c r="A6726" s="28">
        <v>6725</v>
      </c>
      <c r="B6726" s="28" t="e">
        <f>interpola(#REF!,CURVA!$B$6:$B$20,CURVA!$G$6:$G$20)</f>
        <v>#VALUE!</v>
      </c>
      <c r="C6726" s="29" t="e">
        <f t="shared" si="105"/>
        <v>#VALUE!</v>
      </c>
      <c r="E6726" t="e">
        <f>cubic_spline(CURVA!$B$6:$B$20,CURVA!$G$6:$G$20,#REF!)</f>
        <v>#VALUE!</v>
      </c>
    </row>
    <row r="6727" spans="1:5" x14ac:dyDescent="0.2">
      <c r="A6727" s="28">
        <v>6726</v>
      </c>
      <c r="B6727" s="28" t="e">
        <f>interpola(#REF!,CURVA!$B$6:$B$20,CURVA!$G$6:$G$20)</f>
        <v>#VALUE!</v>
      </c>
      <c r="C6727" s="29" t="e">
        <f t="shared" si="105"/>
        <v>#VALUE!</v>
      </c>
      <c r="E6727" t="e">
        <f>cubic_spline(CURVA!$B$6:$B$20,CURVA!$G$6:$G$20,#REF!)</f>
        <v>#VALUE!</v>
      </c>
    </row>
    <row r="6728" spans="1:5" x14ac:dyDescent="0.2">
      <c r="A6728" s="28">
        <v>6727</v>
      </c>
      <c r="B6728" s="28" t="e">
        <f>interpola(#REF!,CURVA!$B$6:$B$20,CURVA!$G$6:$G$20)</f>
        <v>#VALUE!</v>
      </c>
      <c r="C6728" s="29" t="e">
        <f t="shared" si="105"/>
        <v>#VALUE!</v>
      </c>
      <c r="E6728" t="e">
        <f>cubic_spline(CURVA!$B$6:$B$20,CURVA!$G$6:$G$20,#REF!)</f>
        <v>#VALUE!</v>
      </c>
    </row>
    <row r="6729" spans="1:5" x14ac:dyDescent="0.2">
      <c r="A6729" s="28">
        <v>6728</v>
      </c>
      <c r="B6729" s="28" t="e">
        <f>interpola(#REF!,CURVA!$B$6:$B$20,CURVA!$G$6:$G$20)</f>
        <v>#VALUE!</v>
      </c>
      <c r="C6729" s="29" t="e">
        <f t="shared" si="105"/>
        <v>#VALUE!</v>
      </c>
      <c r="E6729" t="e">
        <f>cubic_spline(CURVA!$B$6:$B$20,CURVA!$G$6:$G$20,#REF!)</f>
        <v>#VALUE!</v>
      </c>
    </row>
    <row r="6730" spans="1:5" x14ac:dyDescent="0.2">
      <c r="A6730" s="28">
        <v>6729</v>
      </c>
      <c r="B6730" s="28" t="e">
        <f>interpola(#REF!,CURVA!$B$6:$B$20,CURVA!$G$6:$G$20)</f>
        <v>#VALUE!</v>
      </c>
      <c r="C6730" s="29" t="e">
        <f t="shared" si="105"/>
        <v>#VALUE!</v>
      </c>
      <c r="E6730" t="e">
        <f>cubic_spline(CURVA!$B$6:$B$20,CURVA!$G$6:$G$20,#REF!)</f>
        <v>#VALUE!</v>
      </c>
    </row>
    <row r="6731" spans="1:5" x14ac:dyDescent="0.2">
      <c r="A6731" s="28">
        <v>6730</v>
      </c>
      <c r="B6731" s="28" t="e">
        <f>interpola(#REF!,CURVA!$B$6:$B$20,CURVA!$G$6:$G$20)</f>
        <v>#VALUE!</v>
      </c>
      <c r="C6731" s="29" t="e">
        <f t="shared" si="105"/>
        <v>#VALUE!</v>
      </c>
      <c r="E6731" t="e">
        <f>cubic_spline(CURVA!$B$6:$B$20,CURVA!$G$6:$G$20,#REF!)</f>
        <v>#VALUE!</v>
      </c>
    </row>
    <row r="6732" spans="1:5" x14ac:dyDescent="0.2">
      <c r="A6732" s="28">
        <v>6731</v>
      </c>
      <c r="B6732" s="28" t="e">
        <f>interpola(#REF!,CURVA!$B$6:$B$20,CURVA!$G$6:$G$20)</f>
        <v>#VALUE!</v>
      </c>
      <c r="C6732" s="29" t="e">
        <f t="shared" si="105"/>
        <v>#VALUE!</v>
      </c>
      <c r="E6732" t="e">
        <f>cubic_spline(CURVA!$B$6:$B$20,CURVA!$G$6:$G$20,#REF!)</f>
        <v>#VALUE!</v>
      </c>
    </row>
    <row r="6733" spans="1:5" x14ac:dyDescent="0.2">
      <c r="A6733" s="28">
        <v>6732</v>
      </c>
      <c r="B6733" s="28" t="e">
        <f>interpola(#REF!,CURVA!$B$6:$B$20,CURVA!$G$6:$G$20)</f>
        <v>#VALUE!</v>
      </c>
      <c r="C6733" s="29" t="e">
        <f t="shared" si="105"/>
        <v>#VALUE!</v>
      </c>
      <c r="E6733" t="e">
        <f>cubic_spline(CURVA!$B$6:$B$20,CURVA!$G$6:$G$20,#REF!)</f>
        <v>#VALUE!</v>
      </c>
    </row>
    <row r="6734" spans="1:5" x14ac:dyDescent="0.2">
      <c r="A6734" s="28">
        <v>6733</v>
      </c>
      <c r="B6734" s="28" t="e">
        <f>interpola(#REF!,CURVA!$B$6:$B$20,CURVA!$G$6:$G$20)</f>
        <v>#VALUE!</v>
      </c>
      <c r="C6734" s="29" t="e">
        <f t="shared" si="105"/>
        <v>#VALUE!</v>
      </c>
      <c r="E6734" t="e">
        <f>cubic_spline(CURVA!$B$6:$B$20,CURVA!$G$6:$G$20,#REF!)</f>
        <v>#VALUE!</v>
      </c>
    </row>
    <row r="6735" spans="1:5" x14ac:dyDescent="0.2">
      <c r="A6735" s="28">
        <v>6734</v>
      </c>
      <c r="B6735" s="28" t="e">
        <f>interpola(#REF!,CURVA!$B$6:$B$20,CURVA!$G$6:$G$20)</f>
        <v>#VALUE!</v>
      </c>
      <c r="C6735" s="29" t="e">
        <f t="shared" si="105"/>
        <v>#VALUE!</v>
      </c>
      <c r="E6735" t="e">
        <f>cubic_spline(CURVA!$B$6:$B$20,CURVA!$G$6:$G$20,#REF!)</f>
        <v>#VALUE!</v>
      </c>
    </row>
    <row r="6736" spans="1:5" x14ac:dyDescent="0.2">
      <c r="A6736" s="28">
        <v>6735</v>
      </c>
      <c r="B6736" s="28" t="e">
        <f>interpola(#REF!,CURVA!$B$6:$B$20,CURVA!$G$6:$G$20)</f>
        <v>#VALUE!</v>
      </c>
      <c r="C6736" s="29" t="e">
        <f t="shared" si="105"/>
        <v>#VALUE!</v>
      </c>
      <c r="E6736" t="e">
        <f>cubic_spline(CURVA!$B$6:$B$20,CURVA!$G$6:$G$20,#REF!)</f>
        <v>#VALUE!</v>
      </c>
    </row>
    <row r="6737" spans="1:5" x14ac:dyDescent="0.2">
      <c r="A6737" s="28">
        <v>6736</v>
      </c>
      <c r="B6737" s="28" t="e">
        <f>interpola(#REF!,CURVA!$B$6:$B$20,CURVA!$G$6:$G$20)</f>
        <v>#VALUE!</v>
      </c>
      <c r="C6737" s="29" t="e">
        <f t="shared" si="105"/>
        <v>#VALUE!</v>
      </c>
      <c r="E6737" t="e">
        <f>cubic_spline(CURVA!$B$6:$B$20,CURVA!$G$6:$G$20,#REF!)</f>
        <v>#VALUE!</v>
      </c>
    </row>
    <row r="6738" spans="1:5" x14ac:dyDescent="0.2">
      <c r="A6738" s="28">
        <v>6737</v>
      </c>
      <c r="B6738" s="28" t="e">
        <f>interpola(#REF!,CURVA!$B$6:$B$20,CURVA!$G$6:$G$20)</f>
        <v>#VALUE!</v>
      </c>
      <c r="C6738" s="29" t="e">
        <f t="shared" si="105"/>
        <v>#VALUE!</v>
      </c>
      <c r="E6738" t="e">
        <f>cubic_spline(CURVA!$B$6:$B$20,CURVA!$G$6:$G$20,#REF!)</f>
        <v>#VALUE!</v>
      </c>
    </row>
    <row r="6739" spans="1:5" x14ac:dyDescent="0.2">
      <c r="A6739" s="28">
        <v>6738</v>
      </c>
      <c r="B6739" s="28" t="e">
        <f>interpola(#REF!,CURVA!$B$6:$B$20,CURVA!$G$6:$G$20)</f>
        <v>#VALUE!</v>
      </c>
      <c r="C6739" s="29" t="e">
        <f t="shared" si="105"/>
        <v>#VALUE!</v>
      </c>
      <c r="E6739" t="e">
        <f>cubic_spline(CURVA!$B$6:$B$20,CURVA!$G$6:$G$20,#REF!)</f>
        <v>#VALUE!</v>
      </c>
    </row>
    <row r="6740" spans="1:5" x14ac:dyDescent="0.2">
      <c r="A6740" s="28">
        <v>6739</v>
      </c>
      <c r="B6740" s="28" t="e">
        <f>interpola(#REF!,CURVA!$B$6:$B$20,CURVA!$G$6:$G$20)</f>
        <v>#VALUE!</v>
      </c>
      <c r="C6740" s="29" t="e">
        <f t="shared" si="105"/>
        <v>#VALUE!</v>
      </c>
      <c r="E6740" t="e">
        <f>cubic_spline(CURVA!$B$6:$B$20,CURVA!$G$6:$G$20,#REF!)</f>
        <v>#VALUE!</v>
      </c>
    </row>
    <row r="6741" spans="1:5" x14ac:dyDescent="0.2">
      <c r="A6741" s="28">
        <v>6740</v>
      </c>
      <c r="B6741" s="28" t="e">
        <f>interpola(#REF!,CURVA!$B$6:$B$20,CURVA!$G$6:$G$20)</f>
        <v>#VALUE!</v>
      </c>
      <c r="C6741" s="29" t="e">
        <f t="shared" si="105"/>
        <v>#VALUE!</v>
      </c>
      <c r="E6741" t="e">
        <f>cubic_spline(CURVA!$B$6:$B$20,CURVA!$G$6:$G$20,#REF!)</f>
        <v>#VALUE!</v>
      </c>
    </row>
    <row r="6742" spans="1:5" x14ac:dyDescent="0.2">
      <c r="A6742" s="28">
        <v>6741</v>
      </c>
      <c r="B6742" s="28" t="e">
        <f>interpola(#REF!,CURVA!$B$6:$B$20,CURVA!$G$6:$G$20)</f>
        <v>#VALUE!</v>
      </c>
      <c r="C6742" s="29" t="e">
        <f t="shared" si="105"/>
        <v>#VALUE!</v>
      </c>
      <c r="E6742" t="e">
        <f>cubic_spline(CURVA!$B$6:$B$20,CURVA!$G$6:$G$20,#REF!)</f>
        <v>#VALUE!</v>
      </c>
    </row>
    <row r="6743" spans="1:5" x14ac:dyDescent="0.2">
      <c r="A6743" s="28">
        <v>6742</v>
      </c>
      <c r="B6743" s="28" t="e">
        <f>interpola(#REF!,CURVA!$B$6:$B$20,CURVA!$G$6:$G$20)</f>
        <v>#VALUE!</v>
      </c>
      <c r="C6743" s="29" t="e">
        <f t="shared" si="105"/>
        <v>#VALUE!</v>
      </c>
      <c r="E6743" t="e">
        <f>cubic_spline(CURVA!$B$6:$B$20,CURVA!$G$6:$G$20,#REF!)</f>
        <v>#VALUE!</v>
      </c>
    </row>
    <row r="6744" spans="1:5" x14ac:dyDescent="0.2">
      <c r="A6744" s="28">
        <v>6743</v>
      </c>
      <c r="B6744" s="28" t="e">
        <f>interpola(#REF!,CURVA!$B$6:$B$20,CURVA!$G$6:$G$20)</f>
        <v>#VALUE!</v>
      </c>
      <c r="C6744" s="29" t="e">
        <f t="shared" si="105"/>
        <v>#VALUE!</v>
      </c>
      <c r="E6744" t="e">
        <f>cubic_spline(CURVA!$B$6:$B$20,CURVA!$G$6:$G$20,#REF!)</f>
        <v>#VALUE!</v>
      </c>
    </row>
    <row r="6745" spans="1:5" x14ac:dyDescent="0.2">
      <c r="A6745" s="28">
        <v>6744</v>
      </c>
      <c r="B6745" s="28" t="e">
        <f>interpola(#REF!,CURVA!$B$6:$B$20,CURVA!$G$6:$G$20)</f>
        <v>#VALUE!</v>
      </c>
      <c r="C6745" s="29" t="e">
        <f t="shared" si="105"/>
        <v>#VALUE!</v>
      </c>
      <c r="E6745" t="e">
        <f>cubic_spline(CURVA!$B$6:$B$20,CURVA!$G$6:$G$20,#REF!)</f>
        <v>#VALUE!</v>
      </c>
    </row>
    <row r="6746" spans="1:5" x14ac:dyDescent="0.2">
      <c r="A6746" s="28">
        <v>6745</v>
      </c>
      <c r="B6746" s="28" t="e">
        <f>interpola(#REF!,CURVA!$B$6:$B$20,CURVA!$G$6:$G$20)</f>
        <v>#VALUE!</v>
      </c>
      <c r="C6746" s="29" t="e">
        <f t="shared" si="105"/>
        <v>#VALUE!</v>
      </c>
      <c r="E6746" t="e">
        <f>cubic_spline(CURVA!$B$6:$B$20,CURVA!$G$6:$G$20,#REF!)</f>
        <v>#VALUE!</v>
      </c>
    </row>
    <row r="6747" spans="1:5" x14ac:dyDescent="0.2">
      <c r="A6747" s="28">
        <v>6746</v>
      </c>
      <c r="B6747" s="28" t="e">
        <f>interpola(#REF!,CURVA!$B$6:$B$20,CURVA!$G$6:$G$20)</f>
        <v>#VALUE!</v>
      </c>
      <c r="C6747" s="29" t="e">
        <f t="shared" si="105"/>
        <v>#VALUE!</v>
      </c>
      <c r="E6747" t="e">
        <f>cubic_spline(CURVA!$B$6:$B$20,CURVA!$G$6:$G$20,#REF!)</f>
        <v>#VALUE!</v>
      </c>
    </row>
    <row r="6748" spans="1:5" x14ac:dyDescent="0.2">
      <c r="A6748" s="28">
        <v>6747</v>
      </c>
      <c r="B6748" s="28" t="e">
        <f>interpola(#REF!,CURVA!$B$6:$B$20,CURVA!$G$6:$G$20)</f>
        <v>#VALUE!</v>
      </c>
      <c r="C6748" s="29" t="e">
        <f t="shared" si="105"/>
        <v>#VALUE!</v>
      </c>
      <c r="E6748" t="e">
        <f>cubic_spline(CURVA!$B$6:$B$20,CURVA!$G$6:$G$20,#REF!)</f>
        <v>#VALUE!</v>
      </c>
    </row>
    <row r="6749" spans="1:5" x14ac:dyDescent="0.2">
      <c r="A6749" s="28">
        <v>6748</v>
      </c>
      <c r="B6749" s="28" t="e">
        <f>interpola(#REF!,CURVA!$B$6:$B$20,CURVA!$G$6:$G$20)</f>
        <v>#VALUE!</v>
      </c>
      <c r="C6749" s="29" t="e">
        <f t="shared" si="105"/>
        <v>#VALUE!</v>
      </c>
      <c r="E6749" t="e">
        <f>cubic_spline(CURVA!$B$6:$B$20,CURVA!$G$6:$G$20,#REF!)</f>
        <v>#VALUE!</v>
      </c>
    </row>
    <row r="6750" spans="1:5" x14ac:dyDescent="0.2">
      <c r="A6750" s="28">
        <v>6749</v>
      </c>
      <c r="B6750" s="28" t="e">
        <f>interpola(#REF!,CURVA!$B$6:$B$20,CURVA!$G$6:$G$20)</f>
        <v>#VALUE!</v>
      </c>
      <c r="C6750" s="29" t="e">
        <f t="shared" si="105"/>
        <v>#VALUE!</v>
      </c>
      <c r="E6750" t="e">
        <f>cubic_spline(CURVA!$B$6:$B$20,CURVA!$G$6:$G$20,#REF!)</f>
        <v>#VALUE!</v>
      </c>
    </row>
    <row r="6751" spans="1:5" x14ac:dyDescent="0.2">
      <c r="A6751" s="28">
        <v>6750</v>
      </c>
      <c r="B6751" s="28" t="e">
        <f>interpola(#REF!,CURVA!$B$6:$B$20,CURVA!$G$6:$G$20)</f>
        <v>#VALUE!</v>
      </c>
      <c r="C6751" s="29" t="e">
        <f t="shared" si="105"/>
        <v>#VALUE!</v>
      </c>
      <c r="E6751" t="e">
        <f>cubic_spline(CURVA!$B$6:$B$20,CURVA!$G$6:$G$20,#REF!)</f>
        <v>#VALUE!</v>
      </c>
    </row>
    <row r="6752" spans="1:5" x14ac:dyDescent="0.2">
      <c r="A6752" s="28">
        <v>6751</v>
      </c>
      <c r="B6752" s="28" t="e">
        <f>interpola(#REF!,CURVA!$B$6:$B$20,CURVA!$G$6:$G$20)</f>
        <v>#VALUE!</v>
      </c>
      <c r="C6752" s="29" t="e">
        <f t="shared" si="105"/>
        <v>#VALUE!</v>
      </c>
      <c r="E6752" t="e">
        <f>cubic_spline(CURVA!$B$6:$B$20,CURVA!$G$6:$G$20,#REF!)</f>
        <v>#VALUE!</v>
      </c>
    </row>
    <row r="6753" spans="1:5" x14ac:dyDescent="0.2">
      <c r="A6753" s="28">
        <v>6752</v>
      </c>
      <c r="B6753" s="28" t="e">
        <f>interpola(#REF!,CURVA!$B$6:$B$20,CURVA!$G$6:$G$20)</f>
        <v>#VALUE!</v>
      </c>
      <c r="C6753" s="29" t="e">
        <f t="shared" si="105"/>
        <v>#VALUE!</v>
      </c>
      <c r="E6753" t="e">
        <f>cubic_spline(CURVA!$B$6:$B$20,CURVA!$G$6:$G$20,#REF!)</f>
        <v>#VALUE!</v>
      </c>
    </row>
    <row r="6754" spans="1:5" x14ac:dyDescent="0.2">
      <c r="A6754" s="28">
        <v>6753</v>
      </c>
      <c r="B6754" s="28" t="e">
        <f>interpola(#REF!,CURVA!$B$6:$B$20,CURVA!$G$6:$G$20)</f>
        <v>#VALUE!</v>
      </c>
      <c r="C6754" s="29" t="e">
        <f t="shared" si="105"/>
        <v>#VALUE!</v>
      </c>
      <c r="E6754" t="e">
        <f>cubic_spline(CURVA!$B$6:$B$20,CURVA!$G$6:$G$20,#REF!)</f>
        <v>#VALUE!</v>
      </c>
    </row>
    <row r="6755" spans="1:5" x14ac:dyDescent="0.2">
      <c r="A6755" s="28">
        <v>6754</v>
      </c>
      <c r="B6755" s="28" t="e">
        <f>interpola(#REF!,CURVA!$B$6:$B$20,CURVA!$G$6:$G$20)</f>
        <v>#VALUE!</v>
      </c>
      <c r="C6755" s="29" t="e">
        <f t="shared" si="105"/>
        <v>#VALUE!</v>
      </c>
      <c r="E6755" t="e">
        <f>cubic_spline(CURVA!$B$6:$B$20,CURVA!$G$6:$G$20,#REF!)</f>
        <v>#VALUE!</v>
      </c>
    </row>
    <row r="6756" spans="1:5" x14ac:dyDescent="0.2">
      <c r="A6756" s="28">
        <v>6755</v>
      </c>
      <c r="B6756" s="28" t="e">
        <f>interpola(#REF!,CURVA!$B$6:$B$20,CURVA!$G$6:$G$20)</f>
        <v>#VALUE!</v>
      </c>
      <c r="C6756" s="29" t="e">
        <f t="shared" si="105"/>
        <v>#VALUE!</v>
      </c>
      <c r="E6756" t="e">
        <f>cubic_spline(CURVA!$B$6:$B$20,CURVA!$G$6:$G$20,#REF!)</f>
        <v>#VALUE!</v>
      </c>
    </row>
    <row r="6757" spans="1:5" x14ac:dyDescent="0.2">
      <c r="A6757" s="28">
        <v>6756</v>
      </c>
      <c r="B6757" s="28" t="e">
        <f>interpola(#REF!,CURVA!$B$6:$B$20,CURVA!$G$6:$G$20)</f>
        <v>#VALUE!</v>
      </c>
      <c r="C6757" s="29" t="e">
        <f t="shared" si="105"/>
        <v>#VALUE!</v>
      </c>
      <c r="E6757" t="e">
        <f>cubic_spline(CURVA!$B$6:$B$20,CURVA!$G$6:$G$20,#REF!)</f>
        <v>#VALUE!</v>
      </c>
    </row>
    <row r="6758" spans="1:5" x14ac:dyDescent="0.2">
      <c r="A6758" s="28">
        <v>6757</v>
      </c>
      <c r="B6758" s="28" t="e">
        <f>interpola(#REF!,CURVA!$B$6:$B$20,CURVA!$G$6:$G$20)</f>
        <v>#VALUE!</v>
      </c>
      <c r="C6758" s="29" t="e">
        <f t="shared" si="105"/>
        <v>#VALUE!</v>
      </c>
      <c r="E6758" t="e">
        <f>cubic_spline(CURVA!$B$6:$B$20,CURVA!$G$6:$G$20,#REF!)</f>
        <v>#VALUE!</v>
      </c>
    </row>
    <row r="6759" spans="1:5" x14ac:dyDescent="0.2">
      <c r="A6759" s="28">
        <v>6758</v>
      </c>
      <c r="B6759" s="28" t="e">
        <f>interpola(#REF!,CURVA!$B$6:$B$20,CURVA!$G$6:$G$20)</f>
        <v>#VALUE!</v>
      </c>
      <c r="C6759" s="29" t="e">
        <f t="shared" si="105"/>
        <v>#VALUE!</v>
      </c>
      <c r="E6759" t="e">
        <f>cubic_spline(CURVA!$B$6:$B$20,CURVA!$G$6:$G$20,#REF!)</f>
        <v>#VALUE!</v>
      </c>
    </row>
    <row r="6760" spans="1:5" x14ac:dyDescent="0.2">
      <c r="A6760" s="28">
        <v>6759</v>
      </c>
      <c r="B6760" s="28" t="e">
        <f>interpola(#REF!,CURVA!$B$6:$B$20,CURVA!$G$6:$G$20)</f>
        <v>#VALUE!</v>
      </c>
      <c r="C6760" s="29" t="e">
        <f t="shared" si="105"/>
        <v>#VALUE!</v>
      </c>
      <c r="E6760" t="e">
        <f>cubic_spline(CURVA!$B$6:$B$20,CURVA!$G$6:$G$20,#REF!)</f>
        <v>#VALUE!</v>
      </c>
    </row>
    <row r="6761" spans="1:5" x14ac:dyDescent="0.2">
      <c r="A6761" s="28">
        <v>6760</v>
      </c>
      <c r="B6761" s="28" t="e">
        <f>interpola(#REF!,CURVA!$B$6:$B$20,CURVA!$G$6:$G$20)</f>
        <v>#VALUE!</v>
      </c>
      <c r="C6761" s="29" t="e">
        <f t="shared" si="105"/>
        <v>#VALUE!</v>
      </c>
      <c r="E6761" t="e">
        <f>cubic_spline(CURVA!$B$6:$B$20,CURVA!$G$6:$G$20,#REF!)</f>
        <v>#VALUE!</v>
      </c>
    </row>
    <row r="6762" spans="1:5" x14ac:dyDescent="0.2">
      <c r="A6762" s="28">
        <v>6761</v>
      </c>
      <c r="B6762" s="28" t="e">
        <f>interpola(#REF!,CURVA!$B$6:$B$20,CURVA!$G$6:$G$20)</f>
        <v>#VALUE!</v>
      </c>
      <c r="C6762" s="29" t="e">
        <f t="shared" si="105"/>
        <v>#VALUE!</v>
      </c>
      <c r="E6762" t="e">
        <f>cubic_spline(CURVA!$B$6:$B$20,CURVA!$G$6:$G$20,#REF!)</f>
        <v>#VALUE!</v>
      </c>
    </row>
    <row r="6763" spans="1:5" x14ac:dyDescent="0.2">
      <c r="A6763" s="28">
        <v>6762</v>
      </c>
      <c r="B6763" s="28" t="e">
        <f>interpola(#REF!,CURVA!$B$6:$B$20,CURVA!$G$6:$G$20)</f>
        <v>#VALUE!</v>
      </c>
      <c r="C6763" s="29" t="e">
        <f t="shared" si="105"/>
        <v>#VALUE!</v>
      </c>
      <c r="E6763" t="e">
        <f>cubic_spline(CURVA!$B$6:$B$20,CURVA!$G$6:$G$20,#REF!)</f>
        <v>#VALUE!</v>
      </c>
    </row>
    <row r="6764" spans="1:5" x14ac:dyDescent="0.2">
      <c r="A6764" s="28">
        <v>6763</v>
      </c>
      <c r="B6764" s="28" t="e">
        <f>interpola(#REF!,CURVA!$B$6:$B$20,CURVA!$G$6:$G$20)</f>
        <v>#VALUE!</v>
      </c>
      <c r="C6764" s="29" t="e">
        <f t="shared" si="105"/>
        <v>#VALUE!</v>
      </c>
      <c r="E6764" t="e">
        <f>cubic_spline(CURVA!$B$6:$B$20,CURVA!$G$6:$G$20,#REF!)</f>
        <v>#VALUE!</v>
      </c>
    </row>
    <row r="6765" spans="1:5" x14ac:dyDescent="0.2">
      <c r="A6765" s="28">
        <v>6764</v>
      </c>
      <c r="B6765" s="28" t="e">
        <f>interpola(#REF!,CURVA!$B$6:$B$20,CURVA!$G$6:$G$20)</f>
        <v>#VALUE!</v>
      </c>
      <c r="C6765" s="29" t="e">
        <f t="shared" si="105"/>
        <v>#VALUE!</v>
      </c>
      <c r="E6765" t="e">
        <f>cubic_spline(CURVA!$B$6:$B$20,CURVA!$G$6:$G$20,#REF!)</f>
        <v>#VALUE!</v>
      </c>
    </row>
    <row r="6766" spans="1:5" x14ac:dyDescent="0.2">
      <c r="A6766" s="28">
        <v>6765</v>
      </c>
      <c r="B6766" s="28" t="e">
        <f>interpola(#REF!,CURVA!$B$6:$B$20,CURVA!$G$6:$G$20)</f>
        <v>#VALUE!</v>
      </c>
      <c r="C6766" s="29" t="e">
        <f t="shared" si="105"/>
        <v>#VALUE!</v>
      </c>
      <c r="E6766" t="e">
        <f>cubic_spline(CURVA!$B$6:$B$20,CURVA!$G$6:$G$20,#REF!)</f>
        <v>#VALUE!</v>
      </c>
    </row>
    <row r="6767" spans="1:5" x14ac:dyDescent="0.2">
      <c r="A6767" s="28">
        <v>6766</v>
      </c>
      <c r="B6767" s="28" t="e">
        <f>interpola(#REF!,CURVA!$B$6:$B$20,CURVA!$G$6:$G$20)</f>
        <v>#VALUE!</v>
      </c>
      <c r="C6767" s="29" t="e">
        <f t="shared" si="105"/>
        <v>#VALUE!</v>
      </c>
      <c r="E6767" t="e">
        <f>cubic_spline(CURVA!$B$6:$B$20,CURVA!$G$6:$G$20,#REF!)</f>
        <v>#VALUE!</v>
      </c>
    </row>
    <row r="6768" spans="1:5" x14ac:dyDescent="0.2">
      <c r="A6768" s="28">
        <v>6767</v>
      </c>
      <c r="B6768" s="28" t="e">
        <f>interpola(#REF!,CURVA!$B$6:$B$20,CURVA!$G$6:$G$20)</f>
        <v>#VALUE!</v>
      </c>
      <c r="C6768" s="29" t="e">
        <f t="shared" si="105"/>
        <v>#VALUE!</v>
      </c>
      <c r="E6768" t="e">
        <f>cubic_spline(CURVA!$B$6:$B$20,CURVA!$G$6:$G$20,#REF!)</f>
        <v>#VALUE!</v>
      </c>
    </row>
    <row r="6769" spans="1:5" x14ac:dyDescent="0.2">
      <c r="A6769" s="28">
        <v>6768</v>
      </c>
      <c r="B6769" s="28" t="e">
        <f>interpola(#REF!,CURVA!$B$6:$B$20,CURVA!$G$6:$G$20)</f>
        <v>#VALUE!</v>
      </c>
      <c r="C6769" s="29" t="e">
        <f t="shared" si="105"/>
        <v>#VALUE!</v>
      </c>
      <c r="E6769" t="e">
        <f>cubic_spline(CURVA!$B$6:$B$20,CURVA!$G$6:$G$20,#REF!)</f>
        <v>#VALUE!</v>
      </c>
    </row>
    <row r="6770" spans="1:5" x14ac:dyDescent="0.2">
      <c r="A6770" s="28">
        <v>6769</v>
      </c>
      <c r="B6770" s="28" t="e">
        <f>interpola(#REF!,CURVA!$B$6:$B$20,CURVA!$G$6:$G$20)</f>
        <v>#VALUE!</v>
      </c>
      <c r="C6770" s="29" t="e">
        <f t="shared" si="105"/>
        <v>#VALUE!</v>
      </c>
      <c r="E6770" t="e">
        <f>cubic_spline(CURVA!$B$6:$B$20,CURVA!$G$6:$G$20,#REF!)</f>
        <v>#VALUE!</v>
      </c>
    </row>
    <row r="6771" spans="1:5" x14ac:dyDescent="0.2">
      <c r="A6771" s="28">
        <v>6770</v>
      </c>
      <c r="B6771" s="28" t="e">
        <f>interpola(#REF!,CURVA!$B$6:$B$20,CURVA!$G$6:$G$20)</f>
        <v>#VALUE!</v>
      </c>
      <c r="C6771" s="29" t="e">
        <f t="shared" si="105"/>
        <v>#VALUE!</v>
      </c>
      <c r="E6771" t="e">
        <f>cubic_spline(CURVA!$B$6:$B$20,CURVA!$G$6:$G$20,#REF!)</f>
        <v>#VALUE!</v>
      </c>
    </row>
    <row r="6772" spans="1:5" x14ac:dyDescent="0.2">
      <c r="A6772" s="28">
        <v>6771</v>
      </c>
      <c r="B6772" s="28" t="e">
        <f>interpola(#REF!,CURVA!$B$6:$B$20,CURVA!$G$6:$G$20)</f>
        <v>#VALUE!</v>
      </c>
      <c r="C6772" s="29" t="e">
        <f t="shared" si="105"/>
        <v>#VALUE!</v>
      </c>
      <c r="E6772" t="e">
        <f>cubic_spline(CURVA!$B$6:$B$20,CURVA!$G$6:$G$20,#REF!)</f>
        <v>#VALUE!</v>
      </c>
    </row>
    <row r="6773" spans="1:5" x14ac:dyDescent="0.2">
      <c r="A6773" s="28">
        <v>6772</v>
      </c>
      <c r="B6773" s="28" t="e">
        <f>interpola(#REF!,CURVA!$B$6:$B$20,CURVA!$G$6:$G$20)</f>
        <v>#VALUE!</v>
      </c>
      <c r="C6773" s="29" t="e">
        <f t="shared" si="105"/>
        <v>#VALUE!</v>
      </c>
      <c r="E6773" t="e">
        <f>cubic_spline(CURVA!$B$6:$B$20,CURVA!$G$6:$G$20,#REF!)</f>
        <v>#VALUE!</v>
      </c>
    </row>
    <row r="6774" spans="1:5" x14ac:dyDescent="0.2">
      <c r="A6774" s="28">
        <v>6773</v>
      </c>
      <c r="B6774" s="28" t="e">
        <f>interpola(#REF!,CURVA!$B$6:$B$20,CURVA!$G$6:$G$20)</f>
        <v>#VALUE!</v>
      </c>
      <c r="C6774" s="29" t="e">
        <f t="shared" si="105"/>
        <v>#VALUE!</v>
      </c>
      <c r="E6774" t="e">
        <f>cubic_spline(CURVA!$B$6:$B$20,CURVA!$G$6:$G$20,#REF!)</f>
        <v>#VALUE!</v>
      </c>
    </row>
    <row r="6775" spans="1:5" x14ac:dyDescent="0.2">
      <c r="A6775" s="28">
        <v>6774</v>
      </c>
      <c r="B6775" s="28" t="e">
        <f>interpola(#REF!,CURVA!$B$6:$B$20,CURVA!$G$6:$G$20)</f>
        <v>#VALUE!</v>
      </c>
      <c r="C6775" s="29" t="e">
        <f t="shared" si="105"/>
        <v>#VALUE!</v>
      </c>
      <c r="E6775" t="e">
        <f>cubic_spline(CURVA!$B$6:$B$20,CURVA!$G$6:$G$20,#REF!)</f>
        <v>#VALUE!</v>
      </c>
    </row>
    <row r="6776" spans="1:5" x14ac:dyDescent="0.2">
      <c r="A6776" s="28">
        <v>6775</v>
      </c>
      <c r="B6776" s="28" t="e">
        <f>interpola(#REF!,CURVA!$B$6:$B$20,CURVA!$G$6:$G$20)</f>
        <v>#VALUE!</v>
      </c>
      <c r="C6776" s="29" t="e">
        <f t="shared" si="105"/>
        <v>#VALUE!</v>
      </c>
      <c r="E6776" t="e">
        <f>cubic_spline(CURVA!$B$6:$B$20,CURVA!$G$6:$G$20,#REF!)</f>
        <v>#VALUE!</v>
      </c>
    </row>
    <row r="6777" spans="1:5" x14ac:dyDescent="0.2">
      <c r="A6777" s="28">
        <v>6776</v>
      </c>
      <c r="B6777" s="28" t="e">
        <f>interpola(#REF!,CURVA!$B$6:$B$20,CURVA!$G$6:$G$20)</f>
        <v>#VALUE!</v>
      </c>
      <c r="C6777" s="29" t="e">
        <f t="shared" si="105"/>
        <v>#VALUE!</v>
      </c>
      <c r="E6777" t="e">
        <f>cubic_spline(CURVA!$B$6:$B$20,CURVA!$G$6:$G$20,#REF!)</f>
        <v>#VALUE!</v>
      </c>
    </row>
    <row r="6778" spans="1:5" x14ac:dyDescent="0.2">
      <c r="A6778" s="28">
        <v>6777</v>
      </c>
      <c r="B6778" s="28" t="e">
        <f>interpola(#REF!,CURVA!$B$6:$B$20,CURVA!$G$6:$G$20)</f>
        <v>#VALUE!</v>
      </c>
      <c r="C6778" s="29" t="e">
        <f t="shared" si="105"/>
        <v>#VALUE!</v>
      </c>
      <c r="E6778" t="e">
        <f>cubic_spline(CURVA!$B$6:$B$20,CURVA!$G$6:$G$20,#REF!)</f>
        <v>#VALUE!</v>
      </c>
    </row>
    <row r="6779" spans="1:5" x14ac:dyDescent="0.2">
      <c r="A6779" s="28">
        <v>6778</v>
      </c>
      <c r="B6779" s="28" t="e">
        <f>interpola(#REF!,CURVA!$B$6:$B$20,CURVA!$G$6:$G$20)</f>
        <v>#VALUE!</v>
      </c>
      <c r="C6779" s="29" t="e">
        <f t="shared" si="105"/>
        <v>#VALUE!</v>
      </c>
      <c r="E6779" t="e">
        <f>cubic_spline(CURVA!$B$6:$B$20,CURVA!$G$6:$G$20,#REF!)</f>
        <v>#VALUE!</v>
      </c>
    </row>
    <row r="6780" spans="1:5" x14ac:dyDescent="0.2">
      <c r="A6780" s="28">
        <v>6779</v>
      </c>
      <c r="B6780" s="28" t="e">
        <f>interpola(#REF!,CURVA!$B$6:$B$20,CURVA!$G$6:$G$20)</f>
        <v>#VALUE!</v>
      </c>
      <c r="C6780" s="29" t="e">
        <f t="shared" si="105"/>
        <v>#VALUE!</v>
      </c>
      <c r="E6780" t="e">
        <f>cubic_spline(CURVA!$B$6:$B$20,CURVA!$G$6:$G$20,#REF!)</f>
        <v>#VALUE!</v>
      </c>
    </row>
    <row r="6781" spans="1:5" x14ac:dyDescent="0.2">
      <c r="A6781" s="28">
        <v>6780</v>
      </c>
      <c r="B6781" s="28" t="e">
        <f>interpola(#REF!,CURVA!$B$6:$B$20,CURVA!$G$6:$G$20)</f>
        <v>#VALUE!</v>
      </c>
      <c r="C6781" s="29" t="e">
        <f t="shared" si="105"/>
        <v>#VALUE!</v>
      </c>
      <c r="E6781" t="e">
        <f>cubic_spline(CURVA!$B$6:$B$20,CURVA!$G$6:$G$20,#REF!)</f>
        <v>#VALUE!</v>
      </c>
    </row>
    <row r="6782" spans="1:5" x14ac:dyDescent="0.2">
      <c r="A6782" s="28">
        <v>6781</v>
      </c>
      <c r="B6782" s="28" t="e">
        <f>interpola(#REF!,CURVA!$B$6:$B$20,CURVA!$G$6:$G$20)</f>
        <v>#VALUE!</v>
      </c>
      <c r="C6782" s="29" t="e">
        <f t="shared" si="105"/>
        <v>#VALUE!</v>
      </c>
      <c r="E6782" t="e">
        <f>cubic_spline(CURVA!$B$6:$B$20,CURVA!$G$6:$G$20,#REF!)</f>
        <v>#VALUE!</v>
      </c>
    </row>
    <row r="6783" spans="1:5" x14ac:dyDescent="0.2">
      <c r="A6783" s="28">
        <v>6782</v>
      </c>
      <c r="B6783" s="28" t="e">
        <f>interpola(#REF!,CURVA!$B$6:$B$20,CURVA!$G$6:$G$20)</f>
        <v>#VALUE!</v>
      </c>
      <c r="C6783" s="29" t="e">
        <f t="shared" si="105"/>
        <v>#VALUE!</v>
      </c>
      <c r="E6783" t="e">
        <f>cubic_spline(CURVA!$B$6:$B$20,CURVA!$G$6:$G$20,#REF!)</f>
        <v>#VALUE!</v>
      </c>
    </row>
    <row r="6784" spans="1:5" x14ac:dyDescent="0.2">
      <c r="A6784" s="28">
        <v>6783</v>
      </c>
      <c r="B6784" s="28" t="e">
        <f>interpola(#REF!,CURVA!$B$6:$B$20,CURVA!$G$6:$G$20)</f>
        <v>#VALUE!</v>
      </c>
      <c r="C6784" s="29" t="e">
        <f t="shared" si="105"/>
        <v>#VALUE!</v>
      </c>
      <c r="E6784" t="e">
        <f>cubic_spline(CURVA!$B$6:$B$20,CURVA!$G$6:$G$20,#REF!)</f>
        <v>#VALUE!</v>
      </c>
    </row>
    <row r="6785" spans="1:5" x14ac:dyDescent="0.2">
      <c r="A6785" s="28">
        <v>6784</v>
      </c>
      <c r="B6785" s="28" t="e">
        <f>interpola(#REF!,CURVA!$B$6:$B$20,CURVA!$G$6:$G$20)</f>
        <v>#VALUE!</v>
      </c>
      <c r="C6785" s="29" t="e">
        <f t="shared" si="105"/>
        <v>#VALUE!</v>
      </c>
      <c r="E6785" t="e">
        <f>cubic_spline(CURVA!$B$6:$B$20,CURVA!$G$6:$G$20,#REF!)</f>
        <v>#VALUE!</v>
      </c>
    </row>
    <row r="6786" spans="1:5" x14ac:dyDescent="0.2">
      <c r="A6786" s="28">
        <v>6785</v>
      </c>
      <c r="B6786" s="28" t="e">
        <f>interpola(#REF!,CURVA!$B$6:$B$20,CURVA!$G$6:$G$20)</f>
        <v>#VALUE!</v>
      </c>
      <c r="C6786" s="29" t="e">
        <f t="shared" ref="C6786:C6849" si="106">(EXP(B6786*A6786/360)-1)*360/A6786</f>
        <v>#VALUE!</v>
      </c>
      <c r="E6786" t="e">
        <f>cubic_spline(CURVA!$B$6:$B$20,CURVA!$G$6:$G$20,#REF!)</f>
        <v>#VALUE!</v>
      </c>
    </row>
    <row r="6787" spans="1:5" x14ac:dyDescent="0.2">
      <c r="A6787" s="28">
        <v>6786</v>
      </c>
      <c r="B6787" s="28" t="e">
        <f>interpola(#REF!,CURVA!$B$6:$B$20,CURVA!$G$6:$G$20)</f>
        <v>#VALUE!</v>
      </c>
      <c r="C6787" s="29" t="e">
        <f t="shared" si="106"/>
        <v>#VALUE!</v>
      </c>
      <c r="E6787" t="e">
        <f>cubic_spline(CURVA!$B$6:$B$20,CURVA!$G$6:$G$20,#REF!)</f>
        <v>#VALUE!</v>
      </c>
    </row>
    <row r="6788" spans="1:5" x14ac:dyDescent="0.2">
      <c r="A6788" s="28">
        <v>6787</v>
      </c>
      <c r="B6788" s="28" t="e">
        <f>interpola(#REF!,CURVA!$B$6:$B$20,CURVA!$G$6:$G$20)</f>
        <v>#VALUE!</v>
      </c>
      <c r="C6788" s="29" t="e">
        <f t="shared" si="106"/>
        <v>#VALUE!</v>
      </c>
      <c r="E6788" t="e">
        <f>cubic_spline(CURVA!$B$6:$B$20,CURVA!$G$6:$G$20,#REF!)</f>
        <v>#VALUE!</v>
      </c>
    </row>
    <row r="6789" spans="1:5" x14ac:dyDescent="0.2">
      <c r="A6789" s="28">
        <v>6788</v>
      </c>
      <c r="B6789" s="28" t="e">
        <f>interpola(#REF!,CURVA!$B$6:$B$20,CURVA!$G$6:$G$20)</f>
        <v>#VALUE!</v>
      </c>
      <c r="C6789" s="29" t="e">
        <f t="shared" si="106"/>
        <v>#VALUE!</v>
      </c>
      <c r="E6789" t="e">
        <f>cubic_spline(CURVA!$B$6:$B$20,CURVA!$G$6:$G$20,#REF!)</f>
        <v>#VALUE!</v>
      </c>
    </row>
    <row r="6790" spans="1:5" x14ac:dyDescent="0.2">
      <c r="A6790" s="28">
        <v>6789</v>
      </c>
      <c r="B6790" s="28" t="e">
        <f>interpola(#REF!,CURVA!$B$6:$B$20,CURVA!$G$6:$G$20)</f>
        <v>#VALUE!</v>
      </c>
      <c r="C6790" s="29" t="e">
        <f t="shared" si="106"/>
        <v>#VALUE!</v>
      </c>
      <c r="E6790" t="e">
        <f>cubic_spline(CURVA!$B$6:$B$20,CURVA!$G$6:$G$20,#REF!)</f>
        <v>#VALUE!</v>
      </c>
    </row>
    <row r="6791" spans="1:5" x14ac:dyDescent="0.2">
      <c r="A6791" s="28">
        <v>6790</v>
      </c>
      <c r="B6791" s="28" t="e">
        <f>interpola(#REF!,CURVA!$B$6:$B$20,CURVA!$G$6:$G$20)</f>
        <v>#VALUE!</v>
      </c>
      <c r="C6791" s="29" t="e">
        <f t="shared" si="106"/>
        <v>#VALUE!</v>
      </c>
      <c r="E6791" t="e">
        <f>cubic_spline(CURVA!$B$6:$B$20,CURVA!$G$6:$G$20,#REF!)</f>
        <v>#VALUE!</v>
      </c>
    </row>
    <row r="6792" spans="1:5" x14ac:dyDescent="0.2">
      <c r="A6792" s="28">
        <v>6791</v>
      </c>
      <c r="B6792" s="28" t="e">
        <f>interpola(#REF!,CURVA!$B$6:$B$20,CURVA!$G$6:$G$20)</f>
        <v>#VALUE!</v>
      </c>
      <c r="C6792" s="29" t="e">
        <f t="shared" si="106"/>
        <v>#VALUE!</v>
      </c>
      <c r="E6792" t="e">
        <f>cubic_spline(CURVA!$B$6:$B$20,CURVA!$G$6:$G$20,#REF!)</f>
        <v>#VALUE!</v>
      </c>
    </row>
    <row r="6793" spans="1:5" x14ac:dyDescent="0.2">
      <c r="A6793" s="28">
        <v>6792</v>
      </c>
      <c r="B6793" s="28" t="e">
        <f>interpola(#REF!,CURVA!$B$6:$B$20,CURVA!$G$6:$G$20)</f>
        <v>#VALUE!</v>
      </c>
      <c r="C6793" s="29" t="e">
        <f t="shared" si="106"/>
        <v>#VALUE!</v>
      </c>
      <c r="E6793" t="e">
        <f>cubic_spline(CURVA!$B$6:$B$20,CURVA!$G$6:$G$20,#REF!)</f>
        <v>#VALUE!</v>
      </c>
    </row>
    <row r="6794" spans="1:5" x14ac:dyDescent="0.2">
      <c r="A6794" s="28">
        <v>6793</v>
      </c>
      <c r="B6794" s="28" t="e">
        <f>interpola(#REF!,CURVA!$B$6:$B$20,CURVA!$G$6:$G$20)</f>
        <v>#VALUE!</v>
      </c>
      <c r="C6794" s="29" t="e">
        <f t="shared" si="106"/>
        <v>#VALUE!</v>
      </c>
      <c r="E6794" t="e">
        <f>cubic_spline(CURVA!$B$6:$B$20,CURVA!$G$6:$G$20,#REF!)</f>
        <v>#VALUE!</v>
      </c>
    </row>
    <row r="6795" spans="1:5" x14ac:dyDescent="0.2">
      <c r="A6795" s="28">
        <v>6794</v>
      </c>
      <c r="B6795" s="28" t="e">
        <f>interpola(#REF!,CURVA!$B$6:$B$20,CURVA!$G$6:$G$20)</f>
        <v>#VALUE!</v>
      </c>
      <c r="C6795" s="29" t="e">
        <f t="shared" si="106"/>
        <v>#VALUE!</v>
      </c>
      <c r="E6795" t="e">
        <f>cubic_spline(CURVA!$B$6:$B$20,CURVA!$G$6:$G$20,#REF!)</f>
        <v>#VALUE!</v>
      </c>
    </row>
    <row r="6796" spans="1:5" x14ac:dyDescent="0.2">
      <c r="A6796" s="28">
        <v>6795</v>
      </c>
      <c r="B6796" s="28" t="e">
        <f>interpola(#REF!,CURVA!$B$6:$B$20,CURVA!$G$6:$G$20)</f>
        <v>#VALUE!</v>
      </c>
      <c r="C6796" s="29" t="e">
        <f t="shared" si="106"/>
        <v>#VALUE!</v>
      </c>
      <c r="E6796" t="e">
        <f>cubic_spline(CURVA!$B$6:$B$20,CURVA!$G$6:$G$20,#REF!)</f>
        <v>#VALUE!</v>
      </c>
    </row>
    <row r="6797" spans="1:5" x14ac:dyDescent="0.2">
      <c r="A6797" s="28">
        <v>6796</v>
      </c>
      <c r="B6797" s="28" t="e">
        <f>interpola(#REF!,CURVA!$B$6:$B$20,CURVA!$G$6:$G$20)</f>
        <v>#VALUE!</v>
      </c>
      <c r="C6797" s="29" t="e">
        <f t="shared" si="106"/>
        <v>#VALUE!</v>
      </c>
      <c r="E6797" t="e">
        <f>cubic_spline(CURVA!$B$6:$B$20,CURVA!$G$6:$G$20,#REF!)</f>
        <v>#VALUE!</v>
      </c>
    </row>
    <row r="6798" spans="1:5" x14ac:dyDescent="0.2">
      <c r="A6798" s="28">
        <v>6797</v>
      </c>
      <c r="B6798" s="28" t="e">
        <f>interpola(#REF!,CURVA!$B$6:$B$20,CURVA!$G$6:$G$20)</f>
        <v>#VALUE!</v>
      </c>
      <c r="C6798" s="29" t="e">
        <f t="shared" si="106"/>
        <v>#VALUE!</v>
      </c>
      <c r="E6798" t="e">
        <f>cubic_spline(CURVA!$B$6:$B$20,CURVA!$G$6:$G$20,#REF!)</f>
        <v>#VALUE!</v>
      </c>
    </row>
    <row r="6799" spans="1:5" x14ac:dyDescent="0.2">
      <c r="A6799" s="28">
        <v>6798</v>
      </c>
      <c r="B6799" s="28" t="e">
        <f>interpola(#REF!,CURVA!$B$6:$B$20,CURVA!$G$6:$G$20)</f>
        <v>#VALUE!</v>
      </c>
      <c r="C6799" s="29" t="e">
        <f t="shared" si="106"/>
        <v>#VALUE!</v>
      </c>
      <c r="E6799" t="e">
        <f>cubic_spline(CURVA!$B$6:$B$20,CURVA!$G$6:$G$20,#REF!)</f>
        <v>#VALUE!</v>
      </c>
    </row>
    <row r="6800" spans="1:5" x14ac:dyDescent="0.2">
      <c r="A6800" s="28">
        <v>6799</v>
      </c>
      <c r="B6800" s="28" t="e">
        <f>interpola(#REF!,CURVA!$B$6:$B$20,CURVA!$G$6:$G$20)</f>
        <v>#VALUE!</v>
      </c>
      <c r="C6800" s="29" t="e">
        <f t="shared" si="106"/>
        <v>#VALUE!</v>
      </c>
      <c r="E6800" t="e">
        <f>cubic_spline(CURVA!$B$6:$B$20,CURVA!$G$6:$G$20,#REF!)</f>
        <v>#VALUE!</v>
      </c>
    </row>
    <row r="6801" spans="1:5" x14ac:dyDescent="0.2">
      <c r="A6801" s="28">
        <v>6800</v>
      </c>
      <c r="B6801" s="28" t="e">
        <f>interpola(#REF!,CURVA!$B$6:$B$20,CURVA!$G$6:$G$20)</f>
        <v>#VALUE!</v>
      </c>
      <c r="C6801" s="29" t="e">
        <f t="shared" si="106"/>
        <v>#VALUE!</v>
      </c>
      <c r="E6801" t="e">
        <f>cubic_spline(CURVA!$B$6:$B$20,CURVA!$G$6:$G$20,#REF!)</f>
        <v>#VALUE!</v>
      </c>
    </row>
    <row r="6802" spans="1:5" x14ac:dyDescent="0.2">
      <c r="A6802" s="28">
        <v>6801</v>
      </c>
      <c r="B6802" s="28" t="e">
        <f>interpola(#REF!,CURVA!$B$6:$B$20,CURVA!$G$6:$G$20)</f>
        <v>#VALUE!</v>
      </c>
      <c r="C6802" s="29" t="e">
        <f t="shared" si="106"/>
        <v>#VALUE!</v>
      </c>
      <c r="E6802" t="e">
        <f>cubic_spline(CURVA!$B$6:$B$20,CURVA!$G$6:$G$20,#REF!)</f>
        <v>#VALUE!</v>
      </c>
    </row>
    <row r="6803" spans="1:5" x14ac:dyDescent="0.2">
      <c r="A6803" s="28">
        <v>6802</v>
      </c>
      <c r="B6803" s="28" t="e">
        <f>interpola(#REF!,CURVA!$B$6:$B$20,CURVA!$G$6:$G$20)</f>
        <v>#VALUE!</v>
      </c>
      <c r="C6803" s="29" t="e">
        <f t="shared" si="106"/>
        <v>#VALUE!</v>
      </c>
      <c r="E6803" t="e">
        <f>cubic_spline(CURVA!$B$6:$B$20,CURVA!$G$6:$G$20,#REF!)</f>
        <v>#VALUE!</v>
      </c>
    </row>
    <row r="6804" spans="1:5" x14ac:dyDescent="0.2">
      <c r="A6804" s="28">
        <v>6803</v>
      </c>
      <c r="B6804" s="28" t="e">
        <f>interpola(#REF!,CURVA!$B$6:$B$20,CURVA!$G$6:$G$20)</f>
        <v>#VALUE!</v>
      </c>
      <c r="C6804" s="29" t="e">
        <f t="shared" si="106"/>
        <v>#VALUE!</v>
      </c>
      <c r="E6804" t="e">
        <f>cubic_spline(CURVA!$B$6:$B$20,CURVA!$G$6:$G$20,#REF!)</f>
        <v>#VALUE!</v>
      </c>
    </row>
    <row r="6805" spans="1:5" x14ac:dyDescent="0.2">
      <c r="A6805" s="28">
        <v>6804</v>
      </c>
      <c r="B6805" s="28" t="e">
        <f>interpola(#REF!,CURVA!$B$6:$B$20,CURVA!$G$6:$G$20)</f>
        <v>#VALUE!</v>
      </c>
      <c r="C6805" s="29" t="e">
        <f t="shared" si="106"/>
        <v>#VALUE!</v>
      </c>
      <c r="E6805" t="e">
        <f>cubic_spline(CURVA!$B$6:$B$20,CURVA!$G$6:$G$20,#REF!)</f>
        <v>#VALUE!</v>
      </c>
    </row>
    <row r="6806" spans="1:5" x14ac:dyDescent="0.2">
      <c r="A6806" s="28">
        <v>6805</v>
      </c>
      <c r="B6806" s="28" t="e">
        <f>interpola(#REF!,CURVA!$B$6:$B$20,CURVA!$G$6:$G$20)</f>
        <v>#VALUE!</v>
      </c>
      <c r="C6806" s="29" t="e">
        <f t="shared" si="106"/>
        <v>#VALUE!</v>
      </c>
      <c r="E6806" t="e">
        <f>cubic_spline(CURVA!$B$6:$B$20,CURVA!$G$6:$G$20,#REF!)</f>
        <v>#VALUE!</v>
      </c>
    </row>
    <row r="6807" spans="1:5" x14ac:dyDescent="0.2">
      <c r="A6807" s="28">
        <v>6806</v>
      </c>
      <c r="B6807" s="28" t="e">
        <f>interpola(#REF!,CURVA!$B$6:$B$20,CURVA!$G$6:$G$20)</f>
        <v>#VALUE!</v>
      </c>
      <c r="C6807" s="29" t="e">
        <f t="shared" si="106"/>
        <v>#VALUE!</v>
      </c>
      <c r="E6807" t="e">
        <f>cubic_spline(CURVA!$B$6:$B$20,CURVA!$G$6:$G$20,#REF!)</f>
        <v>#VALUE!</v>
      </c>
    </row>
    <row r="6808" spans="1:5" x14ac:dyDescent="0.2">
      <c r="A6808" s="28">
        <v>6807</v>
      </c>
      <c r="B6808" s="28" t="e">
        <f>interpola(#REF!,CURVA!$B$6:$B$20,CURVA!$G$6:$G$20)</f>
        <v>#VALUE!</v>
      </c>
      <c r="C6808" s="29" t="e">
        <f t="shared" si="106"/>
        <v>#VALUE!</v>
      </c>
      <c r="E6808" t="e">
        <f>cubic_spline(CURVA!$B$6:$B$20,CURVA!$G$6:$G$20,#REF!)</f>
        <v>#VALUE!</v>
      </c>
    </row>
    <row r="6809" spans="1:5" x14ac:dyDescent="0.2">
      <c r="A6809" s="28">
        <v>6808</v>
      </c>
      <c r="B6809" s="28" t="e">
        <f>interpola(#REF!,CURVA!$B$6:$B$20,CURVA!$G$6:$G$20)</f>
        <v>#VALUE!</v>
      </c>
      <c r="C6809" s="29" t="e">
        <f t="shared" si="106"/>
        <v>#VALUE!</v>
      </c>
      <c r="E6809" t="e">
        <f>cubic_spline(CURVA!$B$6:$B$20,CURVA!$G$6:$G$20,#REF!)</f>
        <v>#VALUE!</v>
      </c>
    </row>
    <row r="6810" spans="1:5" x14ac:dyDescent="0.2">
      <c r="A6810" s="28">
        <v>6809</v>
      </c>
      <c r="B6810" s="28" t="e">
        <f>interpola(#REF!,CURVA!$B$6:$B$20,CURVA!$G$6:$G$20)</f>
        <v>#VALUE!</v>
      </c>
      <c r="C6810" s="29" t="e">
        <f t="shared" si="106"/>
        <v>#VALUE!</v>
      </c>
      <c r="E6810" t="e">
        <f>cubic_spline(CURVA!$B$6:$B$20,CURVA!$G$6:$G$20,#REF!)</f>
        <v>#VALUE!</v>
      </c>
    </row>
    <row r="6811" spans="1:5" x14ac:dyDescent="0.2">
      <c r="A6811" s="28">
        <v>6810</v>
      </c>
      <c r="B6811" s="28" t="e">
        <f>interpola(#REF!,CURVA!$B$6:$B$20,CURVA!$G$6:$G$20)</f>
        <v>#VALUE!</v>
      </c>
      <c r="C6811" s="29" t="e">
        <f t="shared" si="106"/>
        <v>#VALUE!</v>
      </c>
      <c r="E6811" t="e">
        <f>cubic_spline(CURVA!$B$6:$B$20,CURVA!$G$6:$G$20,#REF!)</f>
        <v>#VALUE!</v>
      </c>
    </row>
    <row r="6812" spans="1:5" x14ac:dyDescent="0.2">
      <c r="A6812" s="28">
        <v>6811</v>
      </c>
      <c r="B6812" s="28" t="e">
        <f>interpola(#REF!,CURVA!$B$6:$B$20,CURVA!$G$6:$G$20)</f>
        <v>#VALUE!</v>
      </c>
      <c r="C6812" s="29" t="e">
        <f t="shared" si="106"/>
        <v>#VALUE!</v>
      </c>
      <c r="E6812" t="e">
        <f>cubic_spline(CURVA!$B$6:$B$20,CURVA!$G$6:$G$20,#REF!)</f>
        <v>#VALUE!</v>
      </c>
    </row>
    <row r="6813" spans="1:5" x14ac:dyDescent="0.2">
      <c r="A6813" s="28">
        <v>6812</v>
      </c>
      <c r="B6813" s="28" t="e">
        <f>interpola(#REF!,CURVA!$B$6:$B$20,CURVA!$G$6:$G$20)</f>
        <v>#VALUE!</v>
      </c>
      <c r="C6813" s="29" t="e">
        <f t="shared" si="106"/>
        <v>#VALUE!</v>
      </c>
      <c r="E6813" t="e">
        <f>cubic_spline(CURVA!$B$6:$B$20,CURVA!$G$6:$G$20,#REF!)</f>
        <v>#VALUE!</v>
      </c>
    </row>
    <row r="6814" spans="1:5" x14ac:dyDescent="0.2">
      <c r="A6814" s="28">
        <v>6813</v>
      </c>
      <c r="B6814" s="28" t="e">
        <f>interpola(#REF!,CURVA!$B$6:$B$20,CURVA!$G$6:$G$20)</f>
        <v>#VALUE!</v>
      </c>
      <c r="C6814" s="29" t="e">
        <f t="shared" si="106"/>
        <v>#VALUE!</v>
      </c>
      <c r="E6814" t="e">
        <f>cubic_spline(CURVA!$B$6:$B$20,CURVA!$G$6:$G$20,#REF!)</f>
        <v>#VALUE!</v>
      </c>
    </row>
    <row r="6815" spans="1:5" x14ac:dyDescent="0.2">
      <c r="A6815" s="28">
        <v>6814</v>
      </c>
      <c r="B6815" s="28" t="e">
        <f>interpola(#REF!,CURVA!$B$6:$B$20,CURVA!$G$6:$G$20)</f>
        <v>#VALUE!</v>
      </c>
      <c r="C6815" s="29" t="e">
        <f t="shared" si="106"/>
        <v>#VALUE!</v>
      </c>
      <c r="E6815" t="e">
        <f>cubic_spline(CURVA!$B$6:$B$20,CURVA!$G$6:$G$20,#REF!)</f>
        <v>#VALUE!</v>
      </c>
    </row>
    <row r="6816" spans="1:5" x14ac:dyDescent="0.2">
      <c r="A6816" s="28">
        <v>6815</v>
      </c>
      <c r="B6816" s="28" t="e">
        <f>interpola(#REF!,CURVA!$B$6:$B$20,CURVA!$G$6:$G$20)</f>
        <v>#VALUE!</v>
      </c>
      <c r="C6816" s="29" t="e">
        <f t="shared" si="106"/>
        <v>#VALUE!</v>
      </c>
      <c r="E6816" t="e">
        <f>cubic_spline(CURVA!$B$6:$B$20,CURVA!$G$6:$G$20,#REF!)</f>
        <v>#VALUE!</v>
      </c>
    </row>
    <row r="6817" spans="1:5" x14ac:dyDescent="0.2">
      <c r="A6817" s="28">
        <v>6816</v>
      </c>
      <c r="B6817" s="28" t="e">
        <f>interpola(#REF!,CURVA!$B$6:$B$20,CURVA!$G$6:$G$20)</f>
        <v>#VALUE!</v>
      </c>
      <c r="C6817" s="29" t="e">
        <f t="shared" si="106"/>
        <v>#VALUE!</v>
      </c>
      <c r="E6817" t="e">
        <f>cubic_spline(CURVA!$B$6:$B$20,CURVA!$G$6:$G$20,#REF!)</f>
        <v>#VALUE!</v>
      </c>
    </row>
    <row r="6818" spans="1:5" x14ac:dyDescent="0.2">
      <c r="A6818" s="28">
        <v>6817</v>
      </c>
      <c r="B6818" s="28" t="e">
        <f>interpola(#REF!,CURVA!$B$6:$B$20,CURVA!$G$6:$G$20)</f>
        <v>#VALUE!</v>
      </c>
      <c r="C6818" s="29" t="e">
        <f t="shared" si="106"/>
        <v>#VALUE!</v>
      </c>
      <c r="E6818" t="e">
        <f>cubic_spline(CURVA!$B$6:$B$20,CURVA!$G$6:$G$20,#REF!)</f>
        <v>#VALUE!</v>
      </c>
    </row>
    <row r="6819" spans="1:5" x14ac:dyDescent="0.2">
      <c r="A6819" s="28">
        <v>6818</v>
      </c>
      <c r="B6819" s="28" t="e">
        <f>interpola(#REF!,CURVA!$B$6:$B$20,CURVA!$G$6:$G$20)</f>
        <v>#VALUE!</v>
      </c>
      <c r="C6819" s="29" t="e">
        <f t="shared" si="106"/>
        <v>#VALUE!</v>
      </c>
      <c r="E6819" t="e">
        <f>cubic_spline(CURVA!$B$6:$B$20,CURVA!$G$6:$G$20,#REF!)</f>
        <v>#VALUE!</v>
      </c>
    </row>
    <row r="6820" spans="1:5" x14ac:dyDescent="0.2">
      <c r="A6820" s="28">
        <v>6819</v>
      </c>
      <c r="B6820" s="28" t="e">
        <f>interpola(#REF!,CURVA!$B$6:$B$20,CURVA!$G$6:$G$20)</f>
        <v>#VALUE!</v>
      </c>
      <c r="C6820" s="29" t="e">
        <f t="shared" si="106"/>
        <v>#VALUE!</v>
      </c>
      <c r="E6820" t="e">
        <f>cubic_spline(CURVA!$B$6:$B$20,CURVA!$G$6:$G$20,#REF!)</f>
        <v>#VALUE!</v>
      </c>
    </row>
    <row r="6821" spans="1:5" x14ac:dyDescent="0.2">
      <c r="A6821" s="28">
        <v>6820</v>
      </c>
      <c r="B6821" s="28" t="e">
        <f>interpola(#REF!,CURVA!$B$6:$B$20,CURVA!$G$6:$G$20)</f>
        <v>#VALUE!</v>
      </c>
      <c r="C6821" s="29" t="e">
        <f t="shared" si="106"/>
        <v>#VALUE!</v>
      </c>
      <c r="E6821" t="e">
        <f>cubic_spline(CURVA!$B$6:$B$20,CURVA!$G$6:$G$20,#REF!)</f>
        <v>#VALUE!</v>
      </c>
    </row>
    <row r="6822" spans="1:5" x14ac:dyDescent="0.2">
      <c r="A6822" s="28">
        <v>6821</v>
      </c>
      <c r="B6822" s="28" t="e">
        <f>interpola(#REF!,CURVA!$B$6:$B$20,CURVA!$G$6:$G$20)</f>
        <v>#VALUE!</v>
      </c>
      <c r="C6822" s="29" t="e">
        <f t="shared" si="106"/>
        <v>#VALUE!</v>
      </c>
      <c r="E6822" t="e">
        <f>cubic_spline(CURVA!$B$6:$B$20,CURVA!$G$6:$G$20,#REF!)</f>
        <v>#VALUE!</v>
      </c>
    </row>
    <row r="6823" spans="1:5" x14ac:dyDescent="0.2">
      <c r="A6823" s="28">
        <v>6822</v>
      </c>
      <c r="B6823" s="28" t="e">
        <f>interpola(#REF!,CURVA!$B$6:$B$20,CURVA!$G$6:$G$20)</f>
        <v>#VALUE!</v>
      </c>
      <c r="C6823" s="29" t="e">
        <f t="shared" si="106"/>
        <v>#VALUE!</v>
      </c>
      <c r="E6823" t="e">
        <f>cubic_spline(CURVA!$B$6:$B$20,CURVA!$G$6:$G$20,#REF!)</f>
        <v>#VALUE!</v>
      </c>
    </row>
    <row r="6824" spans="1:5" x14ac:dyDescent="0.2">
      <c r="A6824" s="28">
        <v>6823</v>
      </c>
      <c r="B6824" s="28" t="e">
        <f>interpola(#REF!,CURVA!$B$6:$B$20,CURVA!$G$6:$G$20)</f>
        <v>#VALUE!</v>
      </c>
      <c r="C6824" s="29" t="e">
        <f t="shared" si="106"/>
        <v>#VALUE!</v>
      </c>
      <c r="E6824" t="e">
        <f>cubic_spline(CURVA!$B$6:$B$20,CURVA!$G$6:$G$20,#REF!)</f>
        <v>#VALUE!</v>
      </c>
    </row>
    <row r="6825" spans="1:5" x14ac:dyDescent="0.2">
      <c r="A6825" s="28">
        <v>6824</v>
      </c>
      <c r="B6825" s="28" t="e">
        <f>interpola(#REF!,CURVA!$B$6:$B$20,CURVA!$G$6:$G$20)</f>
        <v>#VALUE!</v>
      </c>
      <c r="C6825" s="29" t="e">
        <f t="shared" si="106"/>
        <v>#VALUE!</v>
      </c>
      <c r="E6825" t="e">
        <f>cubic_spline(CURVA!$B$6:$B$20,CURVA!$G$6:$G$20,#REF!)</f>
        <v>#VALUE!</v>
      </c>
    </row>
    <row r="6826" spans="1:5" x14ac:dyDescent="0.2">
      <c r="A6826" s="28">
        <v>6825</v>
      </c>
      <c r="B6826" s="28" t="e">
        <f>interpola(#REF!,CURVA!$B$6:$B$20,CURVA!$G$6:$G$20)</f>
        <v>#VALUE!</v>
      </c>
      <c r="C6826" s="29" t="e">
        <f t="shared" si="106"/>
        <v>#VALUE!</v>
      </c>
      <c r="E6826" t="e">
        <f>cubic_spline(CURVA!$B$6:$B$20,CURVA!$G$6:$G$20,#REF!)</f>
        <v>#VALUE!</v>
      </c>
    </row>
    <row r="6827" spans="1:5" x14ac:dyDescent="0.2">
      <c r="A6827" s="28">
        <v>6826</v>
      </c>
      <c r="B6827" s="28" t="e">
        <f>interpola(#REF!,CURVA!$B$6:$B$20,CURVA!$G$6:$G$20)</f>
        <v>#VALUE!</v>
      </c>
      <c r="C6827" s="29" t="e">
        <f t="shared" si="106"/>
        <v>#VALUE!</v>
      </c>
      <c r="E6827" t="e">
        <f>cubic_spline(CURVA!$B$6:$B$20,CURVA!$G$6:$G$20,#REF!)</f>
        <v>#VALUE!</v>
      </c>
    </row>
    <row r="6828" spans="1:5" x14ac:dyDescent="0.2">
      <c r="A6828" s="28">
        <v>6827</v>
      </c>
      <c r="B6828" s="28" t="e">
        <f>interpola(#REF!,CURVA!$B$6:$B$20,CURVA!$G$6:$G$20)</f>
        <v>#VALUE!</v>
      </c>
      <c r="C6828" s="29" t="e">
        <f t="shared" si="106"/>
        <v>#VALUE!</v>
      </c>
      <c r="E6828" t="e">
        <f>cubic_spline(CURVA!$B$6:$B$20,CURVA!$G$6:$G$20,#REF!)</f>
        <v>#VALUE!</v>
      </c>
    </row>
    <row r="6829" spans="1:5" x14ac:dyDescent="0.2">
      <c r="A6829" s="28">
        <v>6828</v>
      </c>
      <c r="B6829" s="28" t="e">
        <f>interpola(#REF!,CURVA!$B$6:$B$20,CURVA!$G$6:$G$20)</f>
        <v>#VALUE!</v>
      </c>
      <c r="C6829" s="29" t="e">
        <f t="shared" si="106"/>
        <v>#VALUE!</v>
      </c>
      <c r="E6829" t="e">
        <f>cubic_spline(CURVA!$B$6:$B$20,CURVA!$G$6:$G$20,#REF!)</f>
        <v>#VALUE!</v>
      </c>
    </row>
    <row r="6830" spans="1:5" x14ac:dyDescent="0.2">
      <c r="A6830" s="28">
        <v>6829</v>
      </c>
      <c r="B6830" s="28" t="e">
        <f>interpola(#REF!,CURVA!$B$6:$B$20,CURVA!$G$6:$G$20)</f>
        <v>#VALUE!</v>
      </c>
      <c r="C6830" s="29" t="e">
        <f t="shared" si="106"/>
        <v>#VALUE!</v>
      </c>
      <c r="E6830" t="e">
        <f>cubic_spline(CURVA!$B$6:$B$20,CURVA!$G$6:$G$20,#REF!)</f>
        <v>#VALUE!</v>
      </c>
    </row>
    <row r="6831" spans="1:5" x14ac:dyDescent="0.2">
      <c r="A6831" s="28">
        <v>6830</v>
      </c>
      <c r="B6831" s="28" t="e">
        <f>interpola(#REF!,CURVA!$B$6:$B$20,CURVA!$G$6:$G$20)</f>
        <v>#VALUE!</v>
      </c>
      <c r="C6831" s="29" t="e">
        <f t="shared" si="106"/>
        <v>#VALUE!</v>
      </c>
      <c r="E6831" t="e">
        <f>cubic_spline(CURVA!$B$6:$B$20,CURVA!$G$6:$G$20,#REF!)</f>
        <v>#VALUE!</v>
      </c>
    </row>
    <row r="6832" spans="1:5" x14ac:dyDescent="0.2">
      <c r="A6832" s="28">
        <v>6831</v>
      </c>
      <c r="B6832" s="28" t="e">
        <f>interpola(#REF!,CURVA!$B$6:$B$20,CURVA!$G$6:$G$20)</f>
        <v>#VALUE!</v>
      </c>
      <c r="C6832" s="29" t="e">
        <f t="shared" si="106"/>
        <v>#VALUE!</v>
      </c>
      <c r="E6832" t="e">
        <f>cubic_spline(CURVA!$B$6:$B$20,CURVA!$G$6:$G$20,#REF!)</f>
        <v>#VALUE!</v>
      </c>
    </row>
    <row r="6833" spans="1:5" x14ac:dyDescent="0.2">
      <c r="A6833" s="28">
        <v>6832</v>
      </c>
      <c r="B6833" s="28" t="e">
        <f>interpola(#REF!,CURVA!$B$6:$B$20,CURVA!$G$6:$G$20)</f>
        <v>#VALUE!</v>
      </c>
      <c r="C6833" s="29" t="e">
        <f t="shared" si="106"/>
        <v>#VALUE!</v>
      </c>
      <c r="E6833" t="e">
        <f>cubic_spline(CURVA!$B$6:$B$20,CURVA!$G$6:$G$20,#REF!)</f>
        <v>#VALUE!</v>
      </c>
    </row>
    <row r="6834" spans="1:5" x14ac:dyDescent="0.2">
      <c r="A6834" s="28">
        <v>6833</v>
      </c>
      <c r="B6834" s="28" t="e">
        <f>interpola(#REF!,CURVA!$B$6:$B$20,CURVA!$G$6:$G$20)</f>
        <v>#VALUE!</v>
      </c>
      <c r="C6834" s="29" t="e">
        <f t="shared" si="106"/>
        <v>#VALUE!</v>
      </c>
      <c r="E6834" t="e">
        <f>cubic_spline(CURVA!$B$6:$B$20,CURVA!$G$6:$G$20,#REF!)</f>
        <v>#VALUE!</v>
      </c>
    </row>
    <row r="6835" spans="1:5" x14ac:dyDescent="0.2">
      <c r="A6835" s="28">
        <v>6834</v>
      </c>
      <c r="B6835" s="28" t="e">
        <f>interpola(#REF!,CURVA!$B$6:$B$20,CURVA!$G$6:$G$20)</f>
        <v>#VALUE!</v>
      </c>
      <c r="C6835" s="29" t="e">
        <f t="shared" si="106"/>
        <v>#VALUE!</v>
      </c>
      <c r="E6835" t="e">
        <f>cubic_spline(CURVA!$B$6:$B$20,CURVA!$G$6:$G$20,#REF!)</f>
        <v>#VALUE!</v>
      </c>
    </row>
    <row r="6836" spans="1:5" x14ac:dyDescent="0.2">
      <c r="A6836" s="28">
        <v>6835</v>
      </c>
      <c r="B6836" s="28" t="e">
        <f>interpola(#REF!,CURVA!$B$6:$B$20,CURVA!$G$6:$G$20)</f>
        <v>#VALUE!</v>
      </c>
      <c r="C6836" s="29" t="e">
        <f t="shared" si="106"/>
        <v>#VALUE!</v>
      </c>
      <c r="E6836" t="e">
        <f>cubic_spline(CURVA!$B$6:$B$20,CURVA!$G$6:$G$20,#REF!)</f>
        <v>#VALUE!</v>
      </c>
    </row>
    <row r="6837" spans="1:5" x14ac:dyDescent="0.2">
      <c r="A6837" s="28">
        <v>6836</v>
      </c>
      <c r="B6837" s="28" t="e">
        <f>interpola(#REF!,CURVA!$B$6:$B$20,CURVA!$G$6:$G$20)</f>
        <v>#VALUE!</v>
      </c>
      <c r="C6837" s="29" t="e">
        <f t="shared" si="106"/>
        <v>#VALUE!</v>
      </c>
      <c r="E6837" t="e">
        <f>cubic_spline(CURVA!$B$6:$B$20,CURVA!$G$6:$G$20,#REF!)</f>
        <v>#VALUE!</v>
      </c>
    </row>
    <row r="6838" spans="1:5" x14ac:dyDescent="0.2">
      <c r="A6838" s="28">
        <v>6837</v>
      </c>
      <c r="B6838" s="28" t="e">
        <f>interpola(#REF!,CURVA!$B$6:$B$20,CURVA!$G$6:$G$20)</f>
        <v>#VALUE!</v>
      </c>
      <c r="C6838" s="29" t="e">
        <f t="shared" si="106"/>
        <v>#VALUE!</v>
      </c>
      <c r="E6838" t="e">
        <f>cubic_spline(CURVA!$B$6:$B$20,CURVA!$G$6:$G$20,#REF!)</f>
        <v>#VALUE!</v>
      </c>
    </row>
    <row r="6839" spans="1:5" x14ac:dyDescent="0.2">
      <c r="A6839" s="28">
        <v>6838</v>
      </c>
      <c r="B6839" s="28" t="e">
        <f>interpola(#REF!,CURVA!$B$6:$B$20,CURVA!$G$6:$G$20)</f>
        <v>#VALUE!</v>
      </c>
      <c r="C6839" s="29" t="e">
        <f t="shared" si="106"/>
        <v>#VALUE!</v>
      </c>
      <c r="E6839" t="e">
        <f>cubic_spline(CURVA!$B$6:$B$20,CURVA!$G$6:$G$20,#REF!)</f>
        <v>#VALUE!</v>
      </c>
    </row>
    <row r="6840" spans="1:5" x14ac:dyDescent="0.2">
      <c r="A6840" s="28">
        <v>6839</v>
      </c>
      <c r="B6840" s="28" t="e">
        <f>interpola(#REF!,CURVA!$B$6:$B$20,CURVA!$G$6:$G$20)</f>
        <v>#VALUE!</v>
      </c>
      <c r="C6840" s="29" t="e">
        <f t="shared" si="106"/>
        <v>#VALUE!</v>
      </c>
      <c r="E6840" t="e">
        <f>cubic_spline(CURVA!$B$6:$B$20,CURVA!$G$6:$G$20,#REF!)</f>
        <v>#VALUE!</v>
      </c>
    </row>
    <row r="6841" spans="1:5" x14ac:dyDescent="0.2">
      <c r="A6841" s="28">
        <v>6840</v>
      </c>
      <c r="B6841" s="28" t="e">
        <f>interpola(#REF!,CURVA!$B$6:$B$20,CURVA!$G$6:$G$20)</f>
        <v>#VALUE!</v>
      </c>
      <c r="C6841" s="29" t="e">
        <f t="shared" si="106"/>
        <v>#VALUE!</v>
      </c>
      <c r="E6841" t="e">
        <f>cubic_spline(CURVA!$B$6:$B$20,CURVA!$G$6:$G$20,#REF!)</f>
        <v>#VALUE!</v>
      </c>
    </row>
    <row r="6842" spans="1:5" x14ac:dyDescent="0.2">
      <c r="A6842" s="28">
        <v>6841</v>
      </c>
      <c r="B6842" s="28" t="e">
        <f>interpola(#REF!,CURVA!$B$6:$B$20,CURVA!$G$6:$G$20)</f>
        <v>#VALUE!</v>
      </c>
      <c r="C6842" s="29" t="e">
        <f t="shared" si="106"/>
        <v>#VALUE!</v>
      </c>
      <c r="E6842" t="e">
        <f>cubic_spline(CURVA!$B$6:$B$20,CURVA!$G$6:$G$20,#REF!)</f>
        <v>#VALUE!</v>
      </c>
    </row>
    <row r="6843" spans="1:5" x14ac:dyDescent="0.2">
      <c r="A6843" s="28">
        <v>6842</v>
      </c>
      <c r="B6843" s="28" t="e">
        <f>interpola(#REF!,CURVA!$B$6:$B$20,CURVA!$G$6:$G$20)</f>
        <v>#VALUE!</v>
      </c>
      <c r="C6843" s="29" t="e">
        <f t="shared" si="106"/>
        <v>#VALUE!</v>
      </c>
      <c r="E6843" t="e">
        <f>cubic_spline(CURVA!$B$6:$B$20,CURVA!$G$6:$G$20,#REF!)</f>
        <v>#VALUE!</v>
      </c>
    </row>
    <row r="6844" spans="1:5" x14ac:dyDescent="0.2">
      <c r="A6844" s="28">
        <v>6843</v>
      </c>
      <c r="B6844" s="28" t="e">
        <f>interpola(#REF!,CURVA!$B$6:$B$20,CURVA!$G$6:$G$20)</f>
        <v>#VALUE!</v>
      </c>
      <c r="C6844" s="29" t="e">
        <f t="shared" si="106"/>
        <v>#VALUE!</v>
      </c>
      <c r="E6844" t="e">
        <f>cubic_spline(CURVA!$B$6:$B$20,CURVA!$G$6:$G$20,#REF!)</f>
        <v>#VALUE!</v>
      </c>
    </row>
    <row r="6845" spans="1:5" x14ac:dyDescent="0.2">
      <c r="A6845" s="28">
        <v>6844</v>
      </c>
      <c r="B6845" s="28" t="e">
        <f>interpola(#REF!,CURVA!$B$6:$B$20,CURVA!$G$6:$G$20)</f>
        <v>#VALUE!</v>
      </c>
      <c r="C6845" s="29" t="e">
        <f t="shared" si="106"/>
        <v>#VALUE!</v>
      </c>
      <c r="E6845" t="e">
        <f>cubic_spline(CURVA!$B$6:$B$20,CURVA!$G$6:$G$20,#REF!)</f>
        <v>#VALUE!</v>
      </c>
    </row>
    <row r="6846" spans="1:5" x14ac:dyDescent="0.2">
      <c r="A6846" s="28">
        <v>6845</v>
      </c>
      <c r="B6846" s="28" t="e">
        <f>interpola(#REF!,CURVA!$B$6:$B$20,CURVA!$G$6:$G$20)</f>
        <v>#VALUE!</v>
      </c>
      <c r="C6846" s="29" t="e">
        <f t="shared" si="106"/>
        <v>#VALUE!</v>
      </c>
      <c r="E6846" t="e">
        <f>cubic_spline(CURVA!$B$6:$B$20,CURVA!$G$6:$G$20,#REF!)</f>
        <v>#VALUE!</v>
      </c>
    </row>
    <row r="6847" spans="1:5" x14ac:dyDescent="0.2">
      <c r="A6847" s="28">
        <v>6846</v>
      </c>
      <c r="B6847" s="28" t="e">
        <f>interpola(#REF!,CURVA!$B$6:$B$20,CURVA!$G$6:$G$20)</f>
        <v>#VALUE!</v>
      </c>
      <c r="C6847" s="29" t="e">
        <f t="shared" si="106"/>
        <v>#VALUE!</v>
      </c>
      <c r="E6847" t="e">
        <f>cubic_spline(CURVA!$B$6:$B$20,CURVA!$G$6:$G$20,#REF!)</f>
        <v>#VALUE!</v>
      </c>
    </row>
    <row r="6848" spans="1:5" x14ac:dyDescent="0.2">
      <c r="A6848" s="28">
        <v>6847</v>
      </c>
      <c r="B6848" s="28" t="e">
        <f>interpola(#REF!,CURVA!$B$6:$B$20,CURVA!$G$6:$G$20)</f>
        <v>#VALUE!</v>
      </c>
      <c r="C6848" s="29" t="e">
        <f t="shared" si="106"/>
        <v>#VALUE!</v>
      </c>
      <c r="E6848" t="e">
        <f>cubic_spline(CURVA!$B$6:$B$20,CURVA!$G$6:$G$20,#REF!)</f>
        <v>#VALUE!</v>
      </c>
    </row>
    <row r="6849" spans="1:5" x14ac:dyDescent="0.2">
      <c r="A6849" s="28">
        <v>6848</v>
      </c>
      <c r="B6849" s="28" t="e">
        <f>interpola(#REF!,CURVA!$B$6:$B$20,CURVA!$G$6:$G$20)</f>
        <v>#VALUE!</v>
      </c>
      <c r="C6849" s="29" t="e">
        <f t="shared" si="106"/>
        <v>#VALUE!</v>
      </c>
      <c r="E6849" t="e">
        <f>cubic_spline(CURVA!$B$6:$B$20,CURVA!$G$6:$G$20,#REF!)</f>
        <v>#VALUE!</v>
      </c>
    </row>
    <row r="6850" spans="1:5" x14ac:dyDescent="0.2">
      <c r="A6850" s="28">
        <v>6849</v>
      </c>
      <c r="B6850" s="28" t="e">
        <f>interpola(#REF!,CURVA!$B$6:$B$20,CURVA!$G$6:$G$20)</f>
        <v>#VALUE!</v>
      </c>
      <c r="C6850" s="29" t="e">
        <f t="shared" ref="C6850:C6913" si="107">(EXP(B6850*A6850/360)-1)*360/A6850</f>
        <v>#VALUE!</v>
      </c>
      <c r="E6850" t="e">
        <f>cubic_spline(CURVA!$B$6:$B$20,CURVA!$G$6:$G$20,#REF!)</f>
        <v>#VALUE!</v>
      </c>
    </row>
    <row r="6851" spans="1:5" x14ac:dyDescent="0.2">
      <c r="A6851" s="28">
        <v>6850</v>
      </c>
      <c r="B6851" s="28" t="e">
        <f>interpola(#REF!,CURVA!$B$6:$B$20,CURVA!$G$6:$G$20)</f>
        <v>#VALUE!</v>
      </c>
      <c r="C6851" s="29" t="e">
        <f t="shared" si="107"/>
        <v>#VALUE!</v>
      </c>
      <c r="E6851" t="e">
        <f>cubic_spline(CURVA!$B$6:$B$20,CURVA!$G$6:$G$20,#REF!)</f>
        <v>#VALUE!</v>
      </c>
    </row>
    <row r="6852" spans="1:5" x14ac:dyDescent="0.2">
      <c r="A6852" s="28">
        <v>6851</v>
      </c>
      <c r="B6852" s="28" t="e">
        <f>interpola(#REF!,CURVA!$B$6:$B$20,CURVA!$G$6:$G$20)</f>
        <v>#VALUE!</v>
      </c>
      <c r="C6852" s="29" t="e">
        <f t="shared" si="107"/>
        <v>#VALUE!</v>
      </c>
      <c r="E6852" t="e">
        <f>cubic_spline(CURVA!$B$6:$B$20,CURVA!$G$6:$G$20,#REF!)</f>
        <v>#VALUE!</v>
      </c>
    </row>
    <row r="6853" spans="1:5" x14ac:dyDescent="0.2">
      <c r="A6853" s="28">
        <v>6852</v>
      </c>
      <c r="B6853" s="28" t="e">
        <f>interpola(#REF!,CURVA!$B$6:$B$20,CURVA!$G$6:$G$20)</f>
        <v>#VALUE!</v>
      </c>
      <c r="C6853" s="29" t="e">
        <f t="shared" si="107"/>
        <v>#VALUE!</v>
      </c>
      <c r="E6853" t="e">
        <f>cubic_spline(CURVA!$B$6:$B$20,CURVA!$G$6:$G$20,#REF!)</f>
        <v>#VALUE!</v>
      </c>
    </row>
    <row r="6854" spans="1:5" x14ac:dyDescent="0.2">
      <c r="A6854" s="28">
        <v>6853</v>
      </c>
      <c r="B6854" s="28" t="e">
        <f>interpola(#REF!,CURVA!$B$6:$B$20,CURVA!$G$6:$G$20)</f>
        <v>#VALUE!</v>
      </c>
      <c r="C6854" s="29" t="e">
        <f t="shared" si="107"/>
        <v>#VALUE!</v>
      </c>
      <c r="E6854" t="e">
        <f>cubic_spline(CURVA!$B$6:$B$20,CURVA!$G$6:$G$20,#REF!)</f>
        <v>#VALUE!</v>
      </c>
    </row>
    <row r="6855" spans="1:5" x14ac:dyDescent="0.2">
      <c r="A6855" s="28">
        <v>6854</v>
      </c>
      <c r="B6855" s="28" t="e">
        <f>interpola(#REF!,CURVA!$B$6:$B$20,CURVA!$G$6:$G$20)</f>
        <v>#VALUE!</v>
      </c>
      <c r="C6855" s="29" t="e">
        <f t="shared" si="107"/>
        <v>#VALUE!</v>
      </c>
      <c r="E6855" t="e">
        <f>cubic_spline(CURVA!$B$6:$B$20,CURVA!$G$6:$G$20,#REF!)</f>
        <v>#VALUE!</v>
      </c>
    </row>
    <row r="6856" spans="1:5" x14ac:dyDescent="0.2">
      <c r="A6856" s="28">
        <v>6855</v>
      </c>
      <c r="B6856" s="28" t="e">
        <f>interpola(#REF!,CURVA!$B$6:$B$20,CURVA!$G$6:$G$20)</f>
        <v>#VALUE!</v>
      </c>
      <c r="C6856" s="29" t="e">
        <f t="shared" si="107"/>
        <v>#VALUE!</v>
      </c>
      <c r="E6856" t="e">
        <f>cubic_spline(CURVA!$B$6:$B$20,CURVA!$G$6:$G$20,#REF!)</f>
        <v>#VALUE!</v>
      </c>
    </row>
    <row r="6857" spans="1:5" x14ac:dyDescent="0.2">
      <c r="A6857" s="28">
        <v>6856</v>
      </c>
      <c r="B6857" s="28" t="e">
        <f>interpola(#REF!,CURVA!$B$6:$B$20,CURVA!$G$6:$G$20)</f>
        <v>#VALUE!</v>
      </c>
      <c r="C6857" s="29" t="e">
        <f t="shared" si="107"/>
        <v>#VALUE!</v>
      </c>
      <c r="E6857" t="e">
        <f>cubic_spline(CURVA!$B$6:$B$20,CURVA!$G$6:$G$20,#REF!)</f>
        <v>#VALUE!</v>
      </c>
    </row>
    <row r="6858" spans="1:5" x14ac:dyDescent="0.2">
      <c r="A6858" s="28">
        <v>6857</v>
      </c>
      <c r="B6858" s="28" t="e">
        <f>interpola(#REF!,CURVA!$B$6:$B$20,CURVA!$G$6:$G$20)</f>
        <v>#VALUE!</v>
      </c>
      <c r="C6858" s="29" t="e">
        <f t="shared" si="107"/>
        <v>#VALUE!</v>
      </c>
      <c r="E6858" t="e">
        <f>cubic_spline(CURVA!$B$6:$B$20,CURVA!$G$6:$G$20,#REF!)</f>
        <v>#VALUE!</v>
      </c>
    </row>
    <row r="6859" spans="1:5" x14ac:dyDescent="0.2">
      <c r="A6859" s="28">
        <v>6858</v>
      </c>
      <c r="B6859" s="28" t="e">
        <f>interpola(#REF!,CURVA!$B$6:$B$20,CURVA!$G$6:$G$20)</f>
        <v>#VALUE!</v>
      </c>
      <c r="C6859" s="29" t="e">
        <f t="shared" si="107"/>
        <v>#VALUE!</v>
      </c>
      <c r="E6859" t="e">
        <f>cubic_spline(CURVA!$B$6:$B$20,CURVA!$G$6:$G$20,#REF!)</f>
        <v>#VALUE!</v>
      </c>
    </row>
    <row r="6860" spans="1:5" x14ac:dyDescent="0.2">
      <c r="A6860" s="28">
        <v>6859</v>
      </c>
      <c r="B6860" s="28" t="e">
        <f>interpola(#REF!,CURVA!$B$6:$B$20,CURVA!$G$6:$G$20)</f>
        <v>#VALUE!</v>
      </c>
      <c r="C6860" s="29" t="e">
        <f t="shared" si="107"/>
        <v>#VALUE!</v>
      </c>
      <c r="E6860" t="e">
        <f>cubic_spline(CURVA!$B$6:$B$20,CURVA!$G$6:$G$20,#REF!)</f>
        <v>#VALUE!</v>
      </c>
    </row>
    <row r="6861" spans="1:5" x14ac:dyDescent="0.2">
      <c r="A6861" s="28">
        <v>6860</v>
      </c>
      <c r="B6861" s="28" t="e">
        <f>interpola(#REF!,CURVA!$B$6:$B$20,CURVA!$G$6:$G$20)</f>
        <v>#VALUE!</v>
      </c>
      <c r="C6861" s="29" t="e">
        <f t="shared" si="107"/>
        <v>#VALUE!</v>
      </c>
      <c r="E6861" t="e">
        <f>cubic_spline(CURVA!$B$6:$B$20,CURVA!$G$6:$G$20,#REF!)</f>
        <v>#VALUE!</v>
      </c>
    </row>
    <row r="6862" spans="1:5" x14ac:dyDescent="0.2">
      <c r="A6862" s="28">
        <v>6861</v>
      </c>
      <c r="B6862" s="28" t="e">
        <f>interpola(#REF!,CURVA!$B$6:$B$20,CURVA!$G$6:$G$20)</f>
        <v>#VALUE!</v>
      </c>
      <c r="C6862" s="29" t="e">
        <f t="shared" si="107"/>
        <v>#VALUE!</v>
      </c>
      <c r="E6862" t="e">
        <f>cubic_spline(CURVA!$B$6:$B$20,CURVA!$G$6:$G$20,#REF!)</f>
        <v>#VALUE!</v>
      </c>
    </row>
    <row r="6863" spans="1:5" x14ac:dyDescent="0.2">
      <c r="A6863" s="28">
        <v>6862</v>
      </c>
      <c r="B6863" s="28" t="e">
        <f>interpola(#REF!,CURVA!$B$6:$B$20,CURVA!$G$6:$G$20)</f>
        <v>#VALUE!</v>
      </c>
      <c r="C6863" s="29" t="e">
        <f t="shared" si="107"/>
        <v>#VALUE!</v>
      </c>
      <c r="E6863" t="e">
        <f>cubic_spline(CURVA!$B$6:$B$20,CURVA!$G$6:$G$20,#REF!)</f>
        <v>#VALUE!</v>
      </c>
    </row>
    <row r="6864" spans="1:5" x14ac:dyDescent="0.2">
      <c r="A6864" s="28">
        <v>6863</v>
      </c>
      <c r="B6864" s="28" t="e">
        <f>interpola(#REF!,CURVA!$B$6:$B$20,CURVA!$G$6:$G$20)</f>
        <v>#VALUE!</v>
      </c>
      <c r="C6864" s="29" t="e">
        <f t="shared" si="107"/>
        <v>#VALUE!</v>
      </c>
      <c r="E6864" t="e">
        <f>cubic_spline(CURVA!$B$6:$B$20,CURVA!$G$6:$G$20,#REF!)</f>
        <v>#VALUE!</v>
      </c>
    </row>
    <row r="6865" spans="1:5" x14ac:dyDescent="0.2">
      <c r="A6865" s="28">
        <v>6864</v>
      </c>
      <c r="B6865" s="28" t="e">
        <f>interpola(#REF!,CURVA!$B$6:$B$20,CURVA!$G$6:$G$20)</f>
        <v>#VALUE!</v>
      </c>
      <c r="C6865" s="29" t="e">
        <f t="shared" si="107"/>
        <v>#VALUE!</v>
      </c>
      <c r="E6865" t="e">
        <f>cubic_spline(CURVA!$B$6:$B$20,CURVA!$G$6:$G$20,#REF!)</f>
        <v>#VALUE!</v>
      </c>
    </row>
    <row r="6866" spans="1:5" x14ac:dyDescent="0.2">
      <c r="A6866" s="28">
        <v>6865</v>
      </c>
      <c r="B6866" s="28" t="e">
        <f>interpola(#REF!,CURVA!$B$6:$B$20,CURVA!$G$6:$G$20)</f>
        <v>#VALUE!</v>
      </c>
      <c r="C6866" s="29" t="e">
        <f t="shared" si="107"/>
        <v>#VALUE!</v>
      </c>
      <c r="E6866" t="e">
        <f>cubic_spline(CURVA!$B$6:$B$20,CURVA!$G$6:$G$20,#REF!)</f>
        <v>#VALUE!</v>
      </c>
    </row>
    <row r="6867" spans="1:5" x14ac:dyDescent="0.2">
      <c r="A6867" s="28">
        <v>6866</v>
      </c>
      <c r="B6867" s="28" t="e">
        <f>interpola(#REF!,CURVA!$B$6:$B$20,CURVA!$G$6:$G$20)</f>
        <v>#VALUE!</v>
      </c>
      <c r="C6867" s="29" t="e">
        <f t="shared" si="107"/>
        <v>#VALUE!</v>
      </c>
      <c r="E6867" t="e">
        <f>cubic_spline(CURVA!$B$6:$B$20,CURVA!$G$6:$G$20,#REF!)</f>
        <v>#VALUE!</v>
      </c>
    </row>
    <row r="6868" spans="1:5" x14ac:dyDescent="0.2">
      <c r="A6868" s="28">
        <v>6867</v>
      </c>
      <c r="B6868" s="28" t="e">
        <f>interpola(#REF!,CURVA!$B$6:$B$20,CURVA!$G$6:$G$20)</f>
        <v>#VALUE!</v>
      </c>
      <c r="C6868" s="29" t="e">
        <f t="shared" si="107"/>
        <v>#VALUE!</v>
      </c>
      <c r="E6868" t="e">
        <f>cubic_spline(CURVA!$B$6:$B$20,CURVA!$G$6:$G$20,#REF!)</f>
        <v>#VALUE!</v>
      </c>
    </row>
    <row r="6869" spans="1:5" x14ac:dyDescent="0.2">
      <c r="A6869" s="28">
        <v>6868</v>
      </c>
      <c r="B6869" s="28" t="e">
        <f>interpola(#REF!,CURVA!$B$6:$B$20,CURVA!$G$6:$G$20)</f>
        <v>#VALUE!</v>
      </c>
      <c r="C6869" s="29" t="e">
        <f t="shared" si="107"/>
        <v>#VALUE!</v>
      </c>
      <c r="E6869" t="e">
        <f>cubic_spline(CURVA!$B$6:$B$20,CURVA!$G$6:$G$20,#REF!)</f>
        <v>#VALUE!</v>
      </c>
    </row>
    <row r="6870" spans="1:5" x14ac:dyDescent="0.2">
      <c r="A6870" s="28">
        <v>6869</v>
      </c>
      <c r="B6870" s="28" t="e">
        <f>interpola(#REF!,CURVA!$B$6:$B$20,CURVA!$G$6:$G$20)</f>
        <v>#VALUE!</v>
      </c>
      <c r="C6870" s="29" t="e">
        <f t="shared" si="107"/>
        <v>#VALUE!</v>
      </c>
      <c r="E6870" t="e">
        <f>cubic_spline(CURVA!$B$6:$B$20,CURVA!$G$6:$G$20,#REF!)</f>
        <v>#VALUE!</v>
      </c>
    </row>
    <row r="6871" spans="1:5" x14ac:dyDescent="0.2">
      <c r="A6871" s="28">
        <v>6870</v>
      </c>
      <c r="B6871" s="28" t="e">
        <f>interpola(#REF!,CURVA!$B$6:$B$20,CURVA!$G$6:$G$20)</f>
        <v>#VALUE!</v>
      </c>
      <c r="C6871" s="29" t="e">
        <f t="shared" si="107"/>
        <v>#VALUE!</v>
      </c>
      <c r="E6871" t="e">
        <f>cubic_spline(CURVA!$B$6:$B$20,CURVA!$G$6:$G$20,#REF!)</f>
        <v>#VALUE!</v>
      </c>
    </row>
    <row r="6872" spans="1:5" x14ac:dyDescent="0.2">
      <c r="A6872" s="28">
        <v>6871</v>
      </c>
      <c r="B6872" s="28" t="e">
        <f>interpola(#REF!,CURVA!$B$6:$B$20,CURVA!$G$6:$G$20)</f>
        <v>#VALUE!</v>
      </c>
      <c r="C6872" s="29" t="e">
        <f t="shared" si="107"/>
        <v>#VALUE!</v>
      </c>
      <c r="E6872" t="e">
        <f>cubic_spline(CURVA!$B$6:$B$20,CURVA!$G$6:$G$20,#REF!)</f>
        <v>#VALUE!</v>
      </c>
    </row>
    <row r="6873" spans="1:5" x14ac:dyDescent="0.2">
      <c r="A6873" s="28">
        <v>6872</v>
      </c>
      <c r="B6873" s="28" t="e">
        <f>interpola(#REF!,CURVA!$B$6:$B$20,CURVA!$G$6:$G$20)</f>
        <v>#VALUE!</v>
      </c>
      <c r="C6873" s="29" t="e">
        <f t="shared" si="107"/>
        <v>#VALUE!</v>
      </c>
      <c r="E6873" t="e">
        <f>cubic_spline(CURVA!$B$6:$B$20,CURVA!$G$6:$G$20,#REF!)</f>
        <v>#VALUE!</v>
      </c>
    </row>
    <row r="6874" spans="1:5" x14ac:dyDescent="0.2">
      <c r="A6874" s="28">
        <v>6873</v>
      </c>
      <c r="B6874" s="28" t="e">
        <f>interpola(#REF!,CURVA!$B$6:$B$20,CURVA!$G$6:$G$20)</f>
        <v>#VALUE!</v>
      </c>
      <c r="C6874" s="29" t="e">
        <f t="shared" si="107"/>
        <v>#VALUE!</v>
      </c>
      <c r="E6874" t="e">
        <f>cubic_spline(CURVA!$B$6:$B$20,CURVA!$G$6:$G$20,#REF!)</f>
        <v>#VALUE!</v>
      </c>
    </row>
    <row r="6875" spans="1:5" x14ac:dyDescent="0.2">
      <c r="A6875" s="28">
        <v>6874</v>
      </c>
      <c r="B6875" s="28" t="e">
        <f>interpola(#REF!,CURVA!$B$6:$B$20,CURVA!$G$6:$G$20)</f>
        <v>#VALUE!</v>
      </c>
      <c r="C6875" s="29" t="e">
        <f t="shared" si="107"/>
        <v>#VALUE!</v>
      </c>
      <c r="E6875" t="e">
        <f>cubic_spline(CURVA!$B$6:$B$20,CURVA!$G$6:$G$20,#REF!)</f>
        <v>#VALUE!</v>
      </c>
    </row>
    <row r="6876" spans="1:5" x14ac:dyDescent="0.2">
      <c r="A6876" s="28">
        <v>6875</v>
      </c>
      <c r="B6876" s="28" t="e">
        <f>interpola(#REF!,CURVA!$B$6:$B$20,CURVA!$G$6:$G$20)</f>
        <v>#VALUE!</v>
      </c>
      <c r="C6876" s="29" t="e">
        <f t="shared" si="107"/>
        <v>#VALUE!</v>
      </c>
      <c r="E6876" t="e">
        <f>cubic_spline(CURVA!$B$6:$B$20,CURVA!$G$6:$G$20,#REF!)</f>
        <v>#VALUE!</v>
      </c>
    </row>
    <row r="6877" spans="1:5" x14ac:dyDescent="0.2">
      <c r="A6877" s="28">
        <v>6876</v>
      </c>
      <c r="B6877" s="28" t="e">
        <f>interpola(#REF!,CURVA!$B$6:$B$20,CURVA!$G$6:$G$20)</f>
        <v>#VALUE!</v>
      </c>
      <c r="C6877" s="29" t="e">
        <f t="shared" si="107"/>
        <v>#VALUE!</v>
      </c>
      <c r="E6877" t="e">
        <f>cubic_spline(CURVA!$B$6:$B$20,CURVA!$G$6:$G$20,#REF!)</f>
        <v>#VALUE!</v>
      </c>
    </row>
    <row r="6878" spans="1:5" x14ac:dyDescent="0.2">
      <c r="A6878" s="28">
        <v>6877</v>
      </c>
      <c r="B6878" s="28" t="e">
        <f>interpola(#REF!,CURVA!$B$6:$B$20,CURVA!$G$6:$G$20)</f>
        <v>#VALUE!</v>
      </c>
      <c r="C6878" s="29" t="e">
        <f t="shared" si="107"/>
        <v>#VALUE!</v>
      </c>
      <c r="E6878" t="e">
        <f>cubic_spline(CURVA!$B$6:$B$20,CURVA!$G$6:$G$20,#REF!)</f>
        <v>#VALUE!</v>
      </c>
    </row>
    <row r="6879" spans="1:5" x14ac:dyDescent="0.2">
      <c r="A6879" s="28">
        <v>6878</v>
      </c>
      <c r="B6879" s="28" t="e">
        <f>interpola(#REF!,CURVA!$B$6:$B$20,CURVA!$G$6:$G$20)</f>
        <v>#VALUE!</v>
      </c>
      <c r="C6879" s="29" t="e">
        <f t="shared" si="107"/>
        <v>#VALUE!</v>
      </c>
      <c r="E6879" t="e">
        <f>cubic_spline(CURVA!$B$6:$B$20,CURVA!$G$6:$G$20,#REF!)</f>
        <v>#VALUE!</v>
      </c>
    </row>
    <row r="6880" spans="1:5" x14ac:dyDescent="0.2">
      <c r="A6880" s="28">
        <v>6879</v>
      </c>
      <c r="B6880" s="28" t="e">
        <f>interpola(#REF!,CURVA!$B$6:$B$20,CURVA!$G$6:$G$20)</f>
        <v>#VALUE!</v>
      </c>
      <c r="C6880" s="29" t="e">
        <f t="shared" si="107"/>
        <v>#VALUE!</v>
      </c>
      <c r="E6880" t="e">
        <f>cubic_spline(CURVA!$B$6:$B$20,CURVA!$G$6:$G$20,#REF!)</f>
        <v>#VALUE!</v>
      </c>
    </row>
    <row r="6881" spans="1:5" x14ac:dyDescent="0.2">
      <c r="A6881" s="28">
        <v>6880</v>
      </c>
      <c r="B6881" s="28" t="e">
        <f>interpola(#REF!,CURVA!$B$6:$B$20,CURVA!$G$6:$G$20)</f>
        <v>#VALUE!</v>
      </c>
      <c r="C6881" s="29" t="e">
        <f t="shared" si="107"/>
        <v>#VALUE!</v>
      </c>
      <c r="E6881" t="e">
        <f>cubic_spline(CURVA!$B$6:$B$20,CURVA!$G$6:$G$20,#REF!)</f>
        <v>#VALUE!</v>
      </c>
    </row>
    <row r="6882" spans="1:5" x14ac:dyDescent="0.2">
      <c r="A6882" s="28">
        <v>6881</v>
      </c>
      <c r="B6882" s="28" t="e">
        <f>interpola(#REF!,CURVA!$B$6:$B$20,CURVA!$G$6:$G$20)</f>
        <v>#VALUE!</v>
      </c>
      <c r="C6882" s="29" t="e">
        <f t="shared" si="107"/>
        <v>#VALUE!</v>
      </c>
      <c r="E6882" t="e">
        <f>cubic_spline(CURVA!$B$6:$B$20,CURVA!$G$6:$G$20,#REF!)</f>
        <v>#VALUE!</v>
      </c>
    </row>
    <row r="6883" spans="1:5" x14ac:dyDescent="0.2">
      <c r="A6883" s="28">
        <v>6882</v>
      </c>
      <c r="B6883" s="28" t="e">
        <f>interpola(#REF!,CURVA!$B$6:$B$20,CURVA!$G$6:$G$20)</f>
        <v>#VALUE!</v>
      </c>
      <c r="C6883" s="29" t="e">
        <f t="shared" si="107"/>
        <v>#VALUE!</v>
      </c>
      <c r="E6883" t="e">
        <f>cubic_spline(CURVA!$B$6:$B$20,CURVA!$G$6:$G$20,#REF!)</f>
        <v>#VALUE!</v>
      </c>
    </row>
    <row r="6884" spans="1:5" x14ac:dyDescent="0.2">
      <c r="A6884" s="28">
        <v>6883</v>
      </c>
      <c r="B6884" s="28" t="e">
        <f>interpola(#REF!,CURVA!$B$6:$B$20,CURVA!$G$6:$G$20)</f>
        <v>#VALUE!</v>
      </c>
      <c r="C6884" s="29" t="e">
        <f t="shared" si="107"/>
        <v>#VALUE!</v>
      </c>
      <c r="E6884" t="e">
        <f>cubic_spline(CURVA!$B$6:$B$20,CURVA!$G$6:$G$20,#REF!)</f>
        <v>#VALUE!</v>
      </c>
    </row>
    <row r="6885" spans="1:5" x14ac:dyDescent="0.2">
      <c r="A6885" s="28">
        <v>6884</v>
      </c>
      <c r="B6885" s="28" t="e">
        <f>interpola(#REF!,CURVA!$B$6:$B$20,CURVA!$G$6:$G$20)</f>
        <v>#VALUE!</v>
      </c>
      <c r="C6885" s="29" t="e">
        <f t="shared" si="107"/>
        <v>#VALUE!</v>
      </c>
      <c r="E6885" t="e">
        <f>cubic_spline(CURVA!$B$6:$B$20,CURVA!$G$6:$G$20,#REF!)</f>
        <v>#VALUE!</v>
      </c>
    </row>
    <row r="6886" spans="1:5" x14ac:dyDescent="0.2">
      <c r="A6886" s="28">
        <v>6885</v>
      </c>
      <c r="B6886" s="28" t="e">
        <f>interpola(#REF!,CURVA!$B$6:$B$20,CURVA!$G$6:$G$20)</f>
        <v>#VALUE!</v>
      </c>
      <c r="C6886" s="29" t="e">
        <f t="shared" si="107"/>
        <v>#VALUE!</v>
      </c>
      <c r="E6886" t="e">
        <f>cubic_spline(CURVA!$B$6:$B$20,CURVA!$G$6:$G$20,#REF!)</f>
        <v>#VALUE!</v>
      </c>
    </row>
    <row r="6887" spans="1:5" x14ac:dyDescent="0.2">
      <c r="A6887" s="28">
        <v>6886</v>
      </c>
      <c r="B6887" s="28" t="e">
        <f>interpola(#REF!,CURVA!$B$6:$B$20,CURVA!$G$6:$G$20)</f>
        <v>#VALUE!</v>
      </c>
      <c r="C6887" s="29" t="e">
        <f t="shared" si="107"/>
        <v>#VALUE!</v>
      </c>
      <c r="E6887" t="e">
        <f>cubic_spline(CURVA!$B$6:$B$20,CURVA!$G$6:$G$20,#REF!)</f>
        <v>#VALUE!</v>
      </c>
    </row>
    <row r="6888" spans="1:5" x14ac:dyDescent="0.2">
      <c r="A6888" s="28">
        <v>6887</v>
      </c>
      <c r="B6888" s="28" t="e">
        <f>interpola(#REF!,CURVA!$B$6:$B$20,CURVA!$G$6:$G$20)</f>
        <v>#VALUE!</v>
      </c>
      <c r="C6888" s="29" t="e">
        <f t="shared" si="107"/>
        <v>#VALUE!</v>
      </c>
      <c r="E6888" t="e">
        <f>cubic_spline(CURVA!$B$6:$B$20,CURVA!$G$6:$G$20,#REF!)</f>
        <v>#VALUE!</v>
      </c>
    </row>
    <row r="6889" spans="1:5" x14ac:dyDescent="0.2">
      <c r="A6889" s="28">
        <v>6888</v>
      </c>
      <c r="B6889" s="28" t="e">
        <f>interpola(#REF!,CURVA!$B$6:$B$20,CURVA!$G$6:$G$20)</f>
        <v>#VALUE!</v>
      </c>
      <c r="C6889" s="29" t="e">
        <f t="shared" si="107"/>
        <v>#VALUE!</v>
      </c>
      <c r="E6889" t="e">
        <f>cubic_spline(CURVA!$B$6:$B$20,CURVA!$G$6:$G$20,#REF!)</f>
        <v>#VALUE!</v>
      </c>
    </row>
    <row r="6890" spans="1:5" x14ac:dyDescent="0.2">
      <c r="A6890" s="28">
        <v>6889</v>
      </c>
      <c r="B6890" s="28" t="e">
        <f>interpola(#REF!,CURVA!$B$6:$B$20,CURVA!$G$6:$G$20)</f>
        <v>#VALUE!</v>
      </c>
      <c r="C6890" s="29" t="e">
        <f t="shared" si="107"/>
        <v>#VALUE!</v>
      </c>
      <c r="E6890" t="e">
        <f>cubic_spline(CURVA!$B$6:$B$20,CURVA!$G$6:$G$20,#REF!)</f>
        <v>#VALUE!</v>
      </c>
    </row>
    <row r="6891" spans="1:5" x14ac:dyDescent="0.2">
      <c r="A6891" s="28">
        <v>6890</v>
      </c>
      <c r="B6891" s="28" t="e">
        <f>interpola(#REF!,CURVA!$B$6:$B$20,CURVA!$G$6:$G$20)</f>
        <v>#VALUE!</v>
      </c>
      <c r="C6891" s="29" t="e">
        <f t="shared" si="107"/>
        <v>#VALUE!</v>
      </c>
      <c r="E6891" t="e">
        <f>cubic_spline(CURVA!$B$6:$B$20,CURVA!$G$6:$G$20,#REF!)</f>
        <v>#VALUE!</v>
      </c>
    </row>
    <row r="6892" spans="1:5" x14ac:dyDescent="0.2">
      <c r="A6892" s="28">
        <v>6891</v>
      </c>
      <c r="B6892" s="28" t="e">
        <f>interpola(#REF!,CURVA!$B$6:$B$20,CURVA!$G$6:$G$20)</f>
        <v>#VALUE!</v>
      </c>
      <c r="C6892" s="29" t="e">
        <f t="shared" si="107"/>
        <v>#VALUE!</v>
      </c>
      <c r="E6892" t="e">
        <f>cubic_spline(CURVA!$B$6:$B$20,CURVA!$G$6:$G$20,#REF!)</f>
        <v>#VALUE!</v>
      </c>
    </row>
    <row r="6893" spans="1:5" x14ac:dyDescent="0.2">
      <c r="A6893" s="28">
        <v>6892</v>
      </c>
      <c r="B6893" s="28" t="e">
        <f>interpola(#REF!,CURVA!$B$6:$B$20,CURVA!$G$6:$G$20)</f>
        <v>#VALUE!</v>
      </c>
      <c r="C6893" s="29" t="e">
        <f t="shared" si="107"/>
        <v>#VALUE!</v>
      </c>
      <c r="E6893" t="e">
        <f>cubic_spline(CURVA!$B$6:$B$20,CURVA!$G$6:$G$20,#REF!)</f>
        <v>#VALUE!</v>
      </c>
    </row>
    <row r="6894" spans="1:5" x14ac:dyDescent="0.2">
      <c r="A6894" s="28">
        <v>6893</v>
      </c>
      <c r="B6894" s="28" t="e">
        <f>interpola(#REF!,CURVA!$B$6:$B$20,CURVA!$G$6:$G$20)</f>
        <v>#VALUE!</v>
      </c>
      <c r="C6894" s="29" t="e">
        <f t="shared" si="107"/>
        <v>#VALUE!</v>
      </c>
      <c r="E6894" t="e">
        <f>cubic_spline(CURVA!$B$6:$B$20,CURVA!$G$6:$G$20,#REF!)</f>
        <v>#VALUE!</v>
      </c>
    </row>
    <row r="6895" spans="1:5" x14ac:dyDescent="0.2">
      <c r="A6895" s="28">
        <v>6894</v>
      </c>
      <c r="B6895" s="28" t="e">
        <f>interpola(#REF!,CURVA!$B$6:$B$20,CURVA!$G$6:$G$20)</f>
        <v>#VALUE!</v>
      </c>
      <c r="C6895" s="29" t="e">
        <f t="shared" si="107"/>
        <v>#VALUE!</v>
      </c>
      <c r="E6895" t="e">
        <f>cubic_spline(CURVA!$B$6:$B$20,CURVA!$G$6:$G$20,#REF!)</f>
        <v>#VALUE!</v>
      </c>
    </row>
    <row r="6896" spans="1:5" x14ac:dyDescent="0.2">
      <c r="A6896" s="28">
        <v>6895</v>
      </c>
      <c r="B6896" s="28" t="e">
        <f>interpola(#REF!,CURVA!$B$6:$B$20,CURVA!$G$6:$G$20)</f>
        <v>#VALUE!</v>
      </c>
      <c r="C6896" s="29" t="e">
        <f t="shared" si="107"/>
        <v>#VALUE!</v>
      </c>
      <c r="E6896" t="e">
        <f>cubic_spline(CURVA!$B$6:$B$20,CURVA!$G$6:$G$20,#REF!)</f>
        <v>#VALUE!</v>
      </c>
    </row>
    <row r="6897" spans="1:5" x14ac:dyDescent="0.2">
      <c r="A6897" s="28">
        <v>6896</v>
      </c>
      <c r="B6897" s="28" t="e">
        <f>interpola(#REF!,CURVA!$B$6:$B$20,CURVA!$G$6:$G$20)</f>
        <v>#VALUE!</v>
      </c>
      <c r="C6897" s="29" t="e">
        <f t="shared" si="107"/>
        <v>#VALUE!</v>
      </c>
      <c r="E6897" t="e">
        <f>cubic_spline(CURVA!$B$6:$B$20,CURVA!$G$6:$G$20,#REF!)</f>
        <v>#VALUE!</v>
      </c>
    </row>
    <row r="6898" spans="1:5" x14ac:dyDescent="0.2">
      <c r="A6898" s="28">
        <v>6897</v>
      </c>
      <c r="B6898" s="28" t="e">
        <f>interpola(#REF!,CURVA!$B$6:$B$20,CURVA!$G$6:$G$20)</f>
        <v>#VALUE!</v>
      </c>
      <c r="C6898" s="29" t="e">
        <f t="shared" si="107"/>
        <v>#VALUE!</v>
      </c>
      <c r="E6898" t="e">
        <f>cubic_spline(CURVA!$B$6:$B$20,CURVA!$G$6:$G$20,#REF!)</f>
        <v>#VALUE!</v>
      </c>
    </row>
    <row r="6899" spans="1:5" x14ac:dyDescent="0.2">
      <c r="A6899" s="28">
        <v>6898</v>
      </c>
      <c r="B6899" s="28" t="e">
        <f>interpola(#REF!,CURVA!$B$6:$B$20,CURVA!$G$6:$G$20)</f>
        <v>#VALUE!</v>
      </c>
      <c r="C6899" s="29" t="e">
        <f t="shared" si="107"/>
        <v>#VALUE!</v>
      </c>
      <c r="E6899" t="e">
        <f>cubic_spline(CURVA!$B$6:$B$20,CURVA!$G$6:$G$20,#REF!)</f>
        <v>#VALUE!</v>
      </c>
    </row>
    <row r="6900" spans="1:5" x14ac:dyDescent="0.2">
      <c r="A6900" s="28">
        <v>6899</v>
      </c>
      <c r="B6900" s="28" t="e">
        <f>interpola(#REF!,CURVA!$B$6:$B$20,CURVA!$G$6:$G$20)</f>
        <v>#VALUE!</v>
      </c>
      <c r="C6900" s="29" t="e">
        <f t="shared" si="107"/>
        <v>#VALUE!</v>
      </c>
      <c r="E6900" t="e">
        <f>cubic_spline(CURVA!$B$6:$B$20,CURVA!$G$6:$G$20,#REF!)</f>
        <v>#VALUE!</v>
      </c>
    </row>
    <row r="6901" spans="1:5" x14ac:dyDescent="0.2">
      <c r="A6901" s="28">
        <v>6900</v>
      </c>
      <c r="B6901" s="28" t="e">
        <f>interpola(#REF!,CURVA!$B$6:$B$20,CURVA!$G$6:$G$20)</f>
        <v>#VALUE!</v>
      </c>
      <c r="C6901" s="29" t="e">
        <f t="shared" si="107"/>
        <v>#VALUE!</v>
      </c>
      <c r="E6901" t="e">
        <f>cubic_spline(CURVA!$B$6:$B$20,CURVA!$G$6:$G$20,#REF!)</f>
        <v>#VALUE!</v>
      </c>
    </row>
    <row r="6902" spans="1:5" x14ac:dyDescent="0.2">
      <c r="A6902" s="28">
        <v>6901</v>
      </c>
      <c r="B6902" s="28" t="e">
        <f>interpola(#REF!,CURVA!$B$6:$B$20,CURVA!$G$6:$G$20)</f>
        <v>#VALUE!</v>
      </c>
      <c r="C6902" s="29" t="e">
        <f t="shared" si="107"/>
        <v>#VALUE!</v>
      </c>
      <c r="E6902" t="e">
        <f>cubic_spline(CURVA!$B$6:$B$20,CURVA!$G$6:$G$20,#REF!)</f>
        <v>#VALUE!</v>
      </c>
    </row>
    <row r="6903" spans="1:5" x14ac:dyDescent="0.2">
      <c r="A6903" s="28">
        <v>6902</v>
      </c>
      <c r="B6903" s="28" t="e">
        <f>interpola(#REF!,CURVA!$B$6:$B$20,CURVA!$G$6:$G$20)</f>
        <v>#VALUE!</v>
      </c>
      <c r="C6903" s="29" t="e">
        <f t="shared" si="107"/>
        <v>#VALUE!</v>
      </c>
      <c r="E6903" t="e">
        <f>cubic_spline(CURVA!$B$6:$B$20,CURVA!$G$6:$G$20,#REF!)</f>
        <v>#VALUE!</v>
      </c>
    </row>
    <row r="6904" spans="1:5" x14ac:dyDescent="0.2">
      <c r="A6904" s="28">
        <v>6903</v>
      </c>
      <c r="B6904" s="28" t="e">
        <f>interpola(#REF!,CURVA!$B$6:$B$20,CURVA!$G$6:$G$20)</f>
        <v>#VALUE!</v>
      </c>
      <c r="C6904" s="29" t="e">
        <f t="shared" si="107"/>
        <v>#VALUE!</v>
      </c>
      <c r="E6904" t="e">
        <f>cubic_spline(CURVA!$B$6:$B$20,CURVA!$G$6:$G$20,#REF!)</f>
        <v>#VALUE!</v>
      </c>
    </row>
    <row r="6905" spans="1:5" x14ac:dyDescent="0.2">
      <c r="A6905" s="28">
        <v>6904</v>
      </c>
      <c r="B6905" s="28" t="e">
        <f>interpola(#REF!,CURVA!$B$6:$B$20,CURVA!$G$6:$G$20)</f>
        <v>#VALUE!</v>
      </c>
      <c r="C6905" s="29" t="e">
        <f t="shared" si="107"/>
        <v>#VALUE!</v>
      </c>
      <c r="E6905" t="e">
        <f>cubic_spline(CURVA!$B$6:$B$20,CURVA!$G$6:$G$20,#REF!)</f>
        <v>#VALUE!</v>
      </c>
    </row>
    <row r="6906" spans="1:5" x14ac:dyDescent="0.2">
      <c r="A6906" s="28">
        <v>6905</v>
      </c>
      <c r="B6906" s="28" t="e">
        <f>interpola(#REF!,CURVA!$B$6:$B$20,CURVA!$G$6:$G$20)</f>
        <v>#VALUE!</v>
      </c>
      <c r="C6906" s="29" t="e">
        <f t="shared" si="107"/>
        <v>#VALUE!</v>
      </c>
      <c r="E6906" t="e">
        <f>cubic_spline(CURVA!$B$6:$B$20,CURVA!$G$6:$G$20,#REF!)</f>
        <v>#VALUE!</v>
      </c>
    </row>
    <row r="6907" spans="1:5" x14ac:dyDescent="0.2">
      <c r="A6907" s="28">
        <v>6906</v>
      </c>
      <c r="B6907" s="28" t="e">
        <f>interpola(#REF!,CURVA!$B$6:$B$20,CURVA!$G$6:$G$20)</f>
        <v>#VALUE!</v>
      </c>
      <c r="C6907" s="29" t="e">
        <f t="shared" si="107"/>
        <v>#VALUE!</v>
      </c>
      <c r="E6907" t="e">
        <f>cubic_spline(CURVA!$B$6:$B$20,CURVA!$G$6:$G$20,#REF!)</f>
        <v>#VALUE!</v>
      </c>
    </row>
    <row r="6908" spans="1:5" x14ac:dyDescent="0.2">
      <c r="A6908" s="28">
        <v>6907</v>
      </c>
      <c r="B6908" s="28" t="e">
        <f>interpola(#REF!,CURVA!$B$6:$B$20,CURVA!$G$6:$G$20)</f>
        <v>#VALUE!</v>
      </c>
      <c r="C6908" s="29" t="e">
        <f t="shared" si="107"/>
        <v>#VALUE!</v>
      </c>
      <c r="E6908" t="e">
        <f>cubic_spline(CURVA!$B$6:$B$20,CURVA!$G$6:$G$20,#REF!)</f>
        <v>#VALUE!</v>
      </c>
    </row>
    <row r="6909" spans="1:5" x14ac:dyDescent="0.2">
      <c r="A6909" s="28">
        <v>6908</v>
      </c>
      <c r="B6909" s="28" t="e">
        <f>interpola(#REF!,CURVA!$B$6:$B$20,CURVA!$G$6:$G$20)</f>
        <v>#VALUE!</v>
      </c>
      <c r="C6909" s="29" t="e">
        <f t="shared" si="107"/>
        <v>#VALUE!</v>
      </c>
      <c r="E6909" t="e">
        <f>cubic_spline(CURVA!$B$6:$B$20,CURVA!$G$6:$G$20,#REF!)</f>
        <v>#VALUE!</v>
      </c>
    </row>
    <row r="6910" spans="1:5" x14ac:dyDescent="0.2">
      <c r="A6910" s="28">
        <v>6909</v>
      </c>
      <c r="B6910" s="28" t="e">
        <f>interpola(#REF!,CURVA!$B$6:$B$20,CURVA!$G$6:$G$20)</f>
        <v>#VALUE!</v>
      </c>
      <c r="C6910" s="29" t="e">
        <f t="shared" si="107"/>
        <v>#VALUE!</v>
      </c>
      <c r="E6910" t="e">
        <f>cubic_spline(CURVA!$B$6:$B$20,CURVA!$G$6:$G$20,#REF!)</f>
        <v>#VALUE!</v>
      </c>
    </row>
    <row r="6911" spans="1:5" x14ac:dyDescent="0.2">
      <c r="A6911" s="28">
        <v>6910</v>
      </c>
      <c r="B6911" s="28" t="e">
        <f>interpola(#REF!,CURVA!$B$6:$B$20,CURVA!$G$6:$G$20)</f>
        <v>#VALUE!</v>
      </c>
      <c r="C6911" s="29" t="e">
        <f t="shared" si="107"/>
        <v>#VALUE!</v>
      </c>
      <c r="E6911" t="e">
        <f>cubic_spline(CURVA!$B$6:$B$20,CURVA!$G$6:$G$20,#REF!)</f>
        <v>#VALUE!</v>
      </c>
    </row>
    <row r="6912" spans="1:5" x14ac:dyDescent="0.2">
      <c r="A6912" s="28">
        <v>6911</v>
      </c>
      <c r="B6912" s="28" t="e">
        <f>interpola(#REF!,CURVA!$B$6:$B$20,CURVA!$G$6:$G$20)</f>
        <v>#VALUE!</v>
      </c>
      <c r="C6912" s="29" t="e">
        <f t="shared" si="107"/>
        <v>#VALUE!</v>
      </c>
      <c r="E6912" t="e">
        <f>cubic_spline(CURVA!$B$6:$B$20,CURVA!$G$6:$G$20,#REF!)</f>
        <v>#VALUE!</v>
      </c>
    </row>
    <row r="6913" spans="1:5" x14ac:dyDescent="0.2">
      <c r="A6913" s="28">
        <v>6912</v>
      </c>
      <c r="B6913" s="28" t="e">
        <f>interpola(#REF!,CURVA!$B$6:$B$20,CURVA!$G$6:$G$20)</f>
        <v>#VALUE!</v>
      </c>
      <c r="C6913" s="29" t="e">
        <f t="shared" si="107"/>
        <v>#VALUE!</v>
      </c>
      <c r="E6913" t="e">
        <f>cubic_spline(CURVA!$B$6:$B$20,CURVA!$G$6:$G$20,#REF!)</f>
        <v>#VALUE!</v>
      </c>
    </row>
    <row r="6914" spans="1:5" x14ac:dyDescent="0.2">
      <c r="A6914" s="28">
        <v>6913</v>
      </c>
      <c r="B6914" s="28" t="e">
        <f>interpola(#REF!,CURVA!$B$6:$B$20,CURVA!$G$6:$G$20)</f>
        <v>#VALUE!</v>
      </c>
      <c r="C6914" s="29" t="e">
        <f t="shared" ref="C6914:C6977" si="108">(EXP(B6914*A6914/360)-1)*360/A6914</f>
        <v>#VALUE!</v>
      </c>
      <c r="E6914" t="e">
        <f>cubic_spline(CURVA!$B$6:$B$20,CURVA!$G$6:$G$20,#REF!)</f>
        <v>#VALUE!</v>
      </c>
    </row>
    <row r="6915" spans="1:5" x14ac:dyDescent="0.2">
      <c r="A6915" s="28">
        <v>6914</v>
      </c>
      <c r="B6915" s="28" t="e">
        <f>interpola(#REF!,CURVA!$B$6:$B$20,CURVA!$G$6:$G$20)</f>
        <v>#VALUE!</v>
      </c>
      <c r="C6915" s="29" t="e">
        <f t="shared" si="108"/>
        <v>#VALUE!</v>
      </c>
      <c r="E6915" t="e">
        <f>cubic_spline(CURVA!$B$6:$B$20,CURVA!$G$6:$G$20,#REF!)</f>
        <v>#VALUE!</v>
      </c>
    </row>
    <row r="6916" spans="1:5" x14ac:dyDescent="0.2">
      <c r="A6916" s="28">
        <v>6915</v>
      </c>
      <c r="B6916" s="28" t="e">
        <f>interpola(#REF!,CURVA!$B$6:$B$20,CURVA!$G$6:$G$20)</f>
        <v>#VALUE!</v>
      </c>
      <c r="C6916" s="29" t="e">
        <f t="shared" si="108"/>
        <v>#VALUE!</v>
      </c>
      <c r="E6916" t="e">
        <f>cubic_spline(CURVA!$B$6:$B$20,CURVA!$G$6:$G$20,#REF!)</f>
        <v>#VALUE!</v>
      </c>
    </row>
    <row r="6917" spans="1:5" x14ac:dyDescent="0.2">
      <c r="A6917" s="28">
        <v>6916</v>
      </c>
      <c r="B6917" s="28" t="e">
        <f>interpola(#REF!,CURVA!$B$6:$B$20,CURVA!$G$6:$G$20)</f>
        <v>#VALUE!</v>
      </c>
      <c r="C6917" s="29" t="e">
        <f t="shared" si="108"/>
        <v>#VALUE!</v>
      </c>
      <c r="E6917" t="e">
        <f>cubic_spline(CURVA!$B$6:$B$20,CURVA!$G$6:$G$20,#REF!)</f>
        <v>#VALUE!</v>
      </c>
    </row>
    <row r="6918" spans="1:5" x14ac:dyDescent="0.2">
      <c r="A6918" s="28">
        <v>6917</v>
      </c>
      <c r="B6918" s="28" t="e">
        <f>interpola(#REF!,CURVA!$B$6:$B$20,CURVA!$G$6:$G$20)</f>
        <v>#VALUE!</v>
      </c>
      <c r="C6918" s="29" t="e">
        <f t="shared" si="108"/>
        <v>#VALUE!</v>
      </c>
      <c r="E6918" t="e">
        <f>cubic_spline(CURVA!$B$6:$B$20,CURVA!$G$6:$G$20,#REF!)</f>
        <v>#VALUE!</v>
      </c>
    </row>
    <row r="6919" spans="1:5" x14ac:dyDescent="0.2">
      <c r="A6919" s="28">
        <v>6918</v>
      </c>
      <c r="B6919" s="28" t="e">
        <f>interpola(#REF!,CURVA!$B$6:$B$20,CURVA!$G$6:$G$20)</f>
        <v>#VALUE!</v>
      </c>
      <c r="C6919" s="29" t="e">
        <f t="shared" si="108"/>
        <v>#VALUE!</v>
      </c>
      <c r="E6919" t="e">
        <f>cubic_spline(CURVA!$B$6:$B$20,CURVA!$G$6:$G$20,#REF!)</f>
        <v>#VALUE!</v>
      </c>
    </row>
    <row r="6920" spans="1:5" x14ac:dyDescent="0.2">
      <c r="A6920" s="28">
        <v>6919</v>
      </c>
      <c r="B6920" s="28" t="e">
        <f>interpola(#REF!,CURVA!$B$6:$B$20,CURVA!$G$6:$G$20)</f>
        <v>#VALUE!</v>
      </c>
      <c r="C6920" s="29" t="e">
        <f t="shared" si="108"/>
        <v>#VALUE!</v>
      </c>
      <c r="E6920" t="e">
        <f>cubic_spline(CURVA!$B$6:$B$20,CURVA!$G$6:$G$20,#REF!)</f>
        <v>#VALUE!</v>
      </c>
    </row>
    <row r="6921" spans="1:5" x14ac:dyDescent="0.2">
      <c r="A6921" s="28">
        <v>6920</v>
      </c>
      <c r="B6921" s="28" t="e">
        <f>interpola(#REF!,CURVA!$B$6:$B$20,CURVA!$G$6:$G$20)</f>
        <v>#VALUE!</v>
      </c>
      <c r="C6921" s="29" t="e">
        <f t="shared" si="108"/>
        <v>#VALUE!</v>
      </c>
      <c r="E6921" t="e">
        <f>cubic_spline(CURVA!$B$6:$B$20,CURVA!$G$6:$G$20,#REF!)</f>
        <v>#VALUE!</v>
      </c>
    </row>
    <row r="6922" spans="1:5" x14ac:dyDescent="0.2">
      <c r="A6922" s="28">
        <v>6921</v>
      </c>
      <c r="B6922" s="28" t="e">
        <f>interpola(#REF!,CURVA!$B$6:$B$20,CURVA!$G$6:$G$20)</f>
        <v>#VALUE!</v>
      </c>
      <c r="C6922" s="29" t="e">
        <f t="shared" si="108"/>
        <v>#VALUE!</v>
      </c>
      <c r="E6922" t="e">
        <f>cubic_spline(CURVA!$B$6:$B$20,CURVA!$G$6:$G$20,#REF!)</f>
        <v>#VALUE!</v>
      </c>
    </row>
    <row r="6923" spans="1:5" x14ac:dyDescent="0.2">
      <c r="A6923" s="28">
        <v>6922</v>
      </c>
      <c r="B6923" s="28" t="e">
        <f>interpola(#REF!,CURVA!$B$6:$B$20,CURVA!$G$6:$G$20)</f>
        <v>#VALUE!</v>
      </c>
      <c r="C6923" s="29" t="e">
        <f t="shared" si="108"/>
        <v>#VALUE!</v>
      </c>
      <c r="E6923" t="e">
        <f>cubic_spline(CURVA!$B$6:$B$20,CURVA!$G$6:$G$20,#REF!)</f>
        <v>#VALUE!</v>
      </c>
    </row>
    <row r="6924" spans="1:5" x14ac:dyDescent="0.2">
      <c r="A6924" s="28">
        <v>6923</v>
      </c>
      <c r="B6924" s="28" t="e">
        <f>interpola(#REF!,CURVA!$B$6:$B$20,CURVA!$G$6:$G$20)</f>
        <v>#VALUE!</v>
      </c>
      <c r="C6924" s="29" t="e">
        <f t="shared" si="108"/>
        <v>#VALUE!</v>
      </c>
      <c r="E6924" t="e">
        <f>cubic_spline(CURVA!$B$6:$B$20,CURVA!$G$6:$G$20,#REF!)</f>
        <v>#VALUE!</v>
      </c>
    </row>
    <row r="6925" spans="1:5" x14ac:dyDescent="0.2">
      <c r="A6925" s="28">
        <v>6924</v>
      </c>
      <c r="B6925" s="28" t="e">
        <f>interpola(#REF!,CURVA!$B$6:$B$20,CURVA!$G$6:$G$20)</f>
        <v>#VALUE!</v>
      </c>
      <c r="C6925" s="29" t="e">
        <f t="shared" si="108"/>
        <v>#VALUE!</v>
      </c>
      <c r="E6925" t="e">
        <f>cubic_spline(CURVA!$B$6:$B$20,CURVA!$G$6:$G$20,#REF!)</f>
        <v>#VALUE!</v>
      </c>
    </row>
    <row r="6926" spans="1:5" x14ac:dyDescent="0.2">
      <c r="A6926" s="28">
        <v>6925</v>
      </c>
      <c r="B6926" s="28" t="e">
        <f>interpola(#REF!,CURVA!$B$6:$B$20,CURVA!$G$6:$G$20)</f>
        <v>#VALUE!</v>
      </c>
      <c r="C6926" s="29" t="e">
        <f t="shared" si="108"/>
        <v>#VALUE!</v>
      </c>
      <c r="E6926" t="e">
        <f>cubic_spline(CURVA!$B$6:$B$20,CURVA!$G$6:$G$20,#REF!)</f>
        <v>#VALUE!</v>
      </c>
    </row>
    <row r="6927" spans="1:5" x14ac:dyDescent="0.2">
      <c r="A6927" s="28">
        <v>6926</v>
      </c>
      <c r="B6927" s="28" t="e">
        <f>interpola(#REF!,CURVA!$B$6:$B$20,CURVA!$G$6:$G$20)</f>
        <v>#VALUE!</v>
      </c>
      <c r="C6927" s="29" t="e">
        <f t="shared" si="108"/>
        <v>#VALUE!</v>
      </c>
      <c r="E6927" t="e">
        <f>cubic_spline(CURVA!$B$6:$B$20,CURVA!$G$6:$G$20,#REF!)</f>
        <v>#VALUE!</v>
      </c>
    </row>
    <row r="6928" spans="1:5" x14ac:dyDescent="0.2">
      <c r="A6928" s="28">
        <v>6927</v>
      </c>
      <c r="B6928" s="28" t="e">
        <f>interpola(#REF!,CURVA!$B$6:$B$20,CURVA!$G$6:$G$20)</f>
        <v>#VALUE!</v>
      </c>
      <c r="C6928" s="29" t="e">
        <f t="shared" si="108"/>
        <v>#VALUE!</v>
      </c>
      <c r="E6928" t="e">
        <f>cubic_spline(CURVA!$B$6:$B$20,CURVA!$G$6:$G$20,#REF!)</f>
        <v>#VALUE!</v>
      </c>
    </row>
    <row r="6929" spans="1:5" x14ac:dyDescent="0.2">
      <c r="A6929" s="28">
        <v>6928</v>
      </c>
      <c r="B6929" s="28" t="e">
        <f>interpola(#REF!,CURVA!$B$6:$B$20,CURVA!$G$6:$G$20)</f>
        <v>#VALUE!</v>
      </c>
      <c r="C6929" s="29" t="e">
        <f t="shared" si="108"/>
        <v>#VALUE!</v>
      </c>
      <c r="E6929" t="e">
        <f>cubic_spline(CURVA!$B$6:$B$20,CURVA!$G$6:$G$20,#REF!)</f>
        <v>#VALUE!</v>
      </c>
    </row>
    <row r="6930" spans="1:5" x14ac:dyDescent="0.2">
      <c r="A6930" s="28">
        <v>6929</v>
      </c>
      <c r="B6930" s="28" t="e">
        <f>interpola(#REF!,CURVA!$B$6:$B$20,CURVA!$G$6:$G$20)</f>
        <v>#VALUE!</v>
      </c>
      <c r="C6930" s="29" t="e">
        <f t="shared" si="108"/>
        <v>#VALUE!</v>
      </c>
      <c r="E6930" t="e">
        <f>cubic_spline(CURVA!$B$6:$B$20,CURVA!$G$6:$G$20,#REF!)</f>
        <v>#VALUE!</v>
      </c>
    </row>
    <row r="6931" spans="1:5" x14ac:dyDescent="0.2">
      <c r="A6931" s="28">
        <v>6930</v>
      </c>
      <c r="B6931" s="28" t="e">
        <f>interpola(#REF!,CURVA!$B$6:$B$20,CURVA!$G$6:$G$20)</f>
        <v>#VALUE!</v>
      </c>
      <c r="C6931" s="29" t="e">
        <f t="shared" si="108"/>
        <v>#VALUE!</v>
      </c>
      <c r="E6931" t="e">
        <f>cubic_spline(CURVA!$B$6:$B$20,CURVA!$G$6:$G$20,#REF!)</f>
        <v>#VALUE!</v>
      </c>
    </row>
    <row r="6932" spans="1:5" x14ac:dyDescent="0.2">
      <c r="A6932" s="28">
        <v>6931</v>
      </c>
      <c r="B6932" s="28" t="e">
        <f>interpola(#REF!,CURVA!$B$6:$B$20,CURVA!$G$6:$G$20)</f>
        <v>#VALUE!</v>
      </c>
      <c r="C6932" s="29" t="e">
        <f t="shared" si="108"/>
        <v>#VALUE!</v>
      </c>
      <c r="E6932" t="e">
        <f>cubic_spline(CURVA!$B$6:$B$20,CURVA!$G$6:$G$20,#REF!)</f>
        <v>#VALUE!</v>
      </c>
    </row>
    <row r="6933" spans="1:5" x14ac:dyDescent="0.2">
      <c r="A6933" s="28">
        <v>6932</v>
      </c>
      <c r="B6933" s="28" t="e">
        <f>interpola(#REF!,CURVA!$B$6:$B$20,CURVA!$G$6:$G$20)</f>
        <v>#VALUE!</v>
      </c>
      <c r="C6933" s="29" t="e">
        <f t="shared" si="108"/>
        <v>#VALUE!</v>
      </c>
      <c r="E6933" t="e">
        <f>cubic_spline(CURVA!$B$6:$B$20,CURVA!$G$6:$G$20,#REF!)</f>
        <v>#VALUE!</v>
      </c>
    </row>
    <row r="6934" spans="1:5" x14ac:dyDescent="0.2">
      <c r="A6934" s="28">
        <v>6933</v>
      </c>
      <c r="B6934" s="28" t="e">
        <f>interpola(#REF!,CURVA!$B$6:$B$20,CURVA!$G$6:$G$20)</f>
        <v>#VALUE!</v>
      </c>
      <c r="C6934" s="29" t="e">
        <f t="shared" si="108"/>
        <v>#VALUE!</v>
      </c>
      <c r="E6934" t="e">
        <f>cubic_spline(CURVA!$B$6:$B$20,CURVA!$G$6:$G$20,#REF!)</f>
        <v>#VALUE!</v>
      </c>
    </row>
    <row r="6935" spans="1:5" x14ac:dyDescent="0.2">
      <c r="A6935" s="28">
        <v>6934</v>
      </c>
      <c r="B6935" s="28" t="e">
        <f>interpola(#REF!,CURVA!$B$6:$B$20,CURVA!$G$6:$G$20)</f>
        <v>#VALUE!</v>
      </c>
      <c r="C6935" s="29" t="e">
        <f t="shared" si="108"/>
        <v>#VALUE!</v>
      </c>
      <c r="E6935" t="e">
        <f>cubic_spline(CURVA!$B$6:$B$20,CURVA!$G$6:$G$20,#REF!)</f>
        <v>#VALUE!</v>
      </c>
    </row>
    <row r="6936" spans="1:5" x14ac:dyDescent="0.2">
      <c r="A6936" s="28">
        <v>6935</v>
      </c>
      <c r="B6936" s="28" t="e">
        <f>interpola(#REF!,CURVA!$B$6:$B$20,CURVA!$G$6:$G$20)</f>
        <v>#VALUE!</v>
      </c>
      <c r="C6936" s="29" t="e">
        <f t="shared" si="108"/>
        <v>#VALUE!</v>
      </c>
      <c r="E6936" t="e">
        <f>cubic_spline(CURVA!$B$6:$B$20,CURVA!$G$6:$G$20,#REF!)</f>
        <v>#VALUE!</v>
      </c>
    </row>
    <row r="6937" spans="1:5" x14ac:dyDescent="0.2">
      <c r="A6937" s="28">
        <v>6936</v>
      </c>
      <c r="B6937" s="28" t="e">
        <f>interpola(#REF!,CURVA!$B$6:$B$20,CURVA!$G$6:$G$20)</f>
        <v>#VALUE!</v>
      </c>
      <c r="C6937" s="29" t="e">
        <f t="shared" si="108"/>
        <v>#VALUE!</v>
      </c>
      <c r="E6937" t="e">
        <f>cubic_spline(CURVA!$B$6:$B$20,CURVA!$G$6:$G$20,#REF!)</f>
        <v>#VALUE!</v>
      </c>
    </row>
    <row r="6938" spans="1:5" x14ac:dyDescent="0.2">
      <c r="A6938" s="28">
        <v>6937</v>
      </c>
      <c r="B6938" s="28" t="e">
        <f>interpola(#REF!,CURVA!$B$6:$B$20,CURVA!$G$6:$G$20)</f>
        <v>#VALUE!</v>
      </c>
      <c r="C6938" s="29" t="e">
        <f t="shared" si="108"/>
        <v>#VALUE!</v>
      </c>
      <c r="E6938" t="e">
        <f>cubic_spline(CURVA!$B$6:$B$20,CURVA!$G$6:$G$20,#REF!)</f>
        <v>#VALUE!</v>
      </c>
    </row>
    <row r="6939" spans="1:5" x14ac:dyDescent="0.2">
      <c r="A6939" s="28">
        <v>6938</v>
      </c>
      <c r="B6939" s="28" t="e">
        <f>interpola(#REF!,CURVA!$B$6:$B$20,CURVA!$G$6:$G$20)</f>
        <v>#VALUE!</v>
      </c>
      <c r="C6939" s="29" t="e">
        <f t="shared" si="108"/>
        <v>#VALUE!</v>
      </c>
      <c r="E6939" t="e">
        <f>cubic_spline(CURVA!$B$6:$B$20,CURVA!$G$6:$G$20,#REF!)</f>
        <v>#VALUE!</v>
      </c>
    </row>
    <row r="6940" spans="1:5" x14ac:dyDescent="0.2">
      <c r="A6940" s="28">
        <v>6939</v>
      </c>
      <c r="B6940" s="28" t="e">
        <f>interpola(#REF!,CURVA!$B$6:$B$20,CURVA!$G$6:$G$20)</f>
        <v>#VALUE!</v>
      </c>
      <c r="C6940" s="29" t="e">
        <f t="shared" si="108"/>
        <v>#VALUE!</v>
      </c>
      <c r="E6940" t="e">
        <f>cubic_spline(CURVA!$B$6:$B$20,CURVA!$G$6:$G$20,#REF!)</f>
        <v>#VALUE!</v>
      </c>
    </row>
    <row r="6941" spans="1:5" x14ac:dyDescent="0.2">
      <c r="A6941" s="28">
        <v>6940</v>
      </c>
      <c r="B6941" s="28" t="e">
        <f>interpola(#REF!,CURVA!$B$6:$B$20,CURVA!$G$6:$G$20)</f>
        <v>#VALUE!</v>
      </c>
      <c r="C6941" s="29" t="e">
        <f t="shared" si="108"/>
        <v>#VALUE!</v>
      </c>
      <c r="E6941" t="e">
        <f>cubic_spline(CURVA!$B$6:$B$20,CURVA!$G$6:$G$20,#REF!)</f>
        <v>#VALUE!</v>
      </c>
    </row>
    <row r="6942" spans="1:5" x14ac:dyDescent="0.2">
      <c r="A6942" s="28">
        <v>6941</v>
      </c>
      <c r="B6942" s="28" t="e">
        <f>interpola(#REF!,CURVA!$B$6:$B$20,CURVA!$G$6:$G$20)</f>
        <v>#VALUE!</v>
      </c>
      <c r="C6942" s="29" t="e">
        <f t="shared" si="108"/>
        <v>#VALUE!</v>
      </c>
      <c r="E6942" t="e">
        <f>cubic_spline(CURVA!$B$6:$B$20,CURVA!$G$6:$G$20,#REF!)</f>
        <v>#VALUE!</v>
      </c>
    </row>
    <row r="6943" spans="1:5" x14ac:dyDescent="0.2">
      <c r="A6943" s="28">
        <v>6942</v>
      </c>
      <c r="B6943" s="28" t="e">
        <f>interpola(#REF!,CURVA!$B$6:$B$20,CURVA!$G$6:$G$20)</f>
        <v>#VALUE!</v>
      </c>
      <c r="C6943" s="29" t="e">
        <f t="shared" si="108"/>
        <v>#VALUE!</v>
      </c>
      <c r="E6943" t="e">
        <f>cubic_spline(CURVA!$B$6:$B$20,CURVA!$G$6:$G$20,#REF!)</f>
        <v>#VALUE!</v>
      </c>
    </row>
    <row r="6944" spans="1:5" x14ac:dyDescent="0.2">
      <c r="A6944" s="28">
        <v>6943</v>
      </c>
      <c r="B6944" s="28" t="e">
        <f>interpola(#REF!,CURVA!$B$6:$B$20,CURVA!$G$6:$G$20)</f>
        <v>#VALUE!</v>
      </c>
      <c r="C6944" s="29" t="e">
        <f t="shared" si="108"/>
        <v>#VALUE!</v>
      </c>
      <c r="E6944" t="e">
        <f>cubic_spline(CURVA!$B$6:$B$20,CURVA!$G$6:$G$20,#REF!)</f>
        <v>#VALUE!</v>
      </c>
    </row>
    <row r="6945" spans="1:5" x14ac:dyDescent="0.2">
      <c r="A6945" s="28">
        <v>6944</v>
      </c>
      <c r="B6945" s="28" t="e">
        <f>interpola(#REF!,CURVA!$B$6:$B$20,CURVA!$G$6:$G$20)</f>
        <v>#VALUE!</v>
      </c>
      <c r="C6945" s="29" t="e">
        <f t="shared" si="108"/>
        <v>#VALUE!</v>
      </c>
      <c r="E6945" t="e">
        <f>cubic_spline(CURVA!$B$6:$B$20,CURVA!$G$6:$G$20,#REF!)</f>
        <v>#VALUE!</v>
      </c>
    </row>
    <row r="6946" spans="1:5" x14ac:dyDescent="0.2">
      <c r="A6946" s="28">
        <v>6945</v>
      </c>
      <c r="B6946" s="28" t="e">
        <f>interpola(#REF!,CURVA!$B$6:$B$20,CURVA!$G$6:$G$20)</f>
        <v>#VALUE!</v>
      </c>
      <c r="C6946" s="29" t="e">
        <f t="shared" si="108"/>
        <v>#VALUE!</v>
      </c>
      <c r="E6946" t="e">
        <f>cubic_spline(CURVA!$B$6:$B$20,CURVA!$G$6:$G$20,#REF!)</f>
        <v>#VALUE!</v>
      </c>
    </row>
    <row r="6947" spans="1:5" x14ac:dyDescent="0.2">
      <c r="A6947" s="28">
        <v>6946</v>
      </c>
      <c r="B6947" s="28" t="e">
        <f>interpola(#REF!,CURVA!$B$6:$B$20,CURVA!$G$6:$G$20)</f>
        <v>#VALUE!</v>
      </c>
      <c r="C6947" s="29" t="e">
        <f t="shared" si="108"/>
        <v>#VALUE!</v>
      </c>
      <c r="E6947" t="e">
        <f>cubic_spline(CURVA!$B$6:$B$20,CURVA!$G$6:$G$20,#REF!)</f>
        <v>#VALUE!</v>
      </c>
    </row>
    <row r="6948" spans="1:5" x14ac:dyDescent="0.2">
      <c r="A6948" s="28">
        <v>6947</v>
      </c>
      <c r="B6948" s="28" t="e">
        <f>interpola(#REF!,CURVA!$B$6:$B$20,CURVA!$G$6:$G$20)</f>
        <v>#VALUE!</v>
      </c>
      <c r="C6948" s="29" t="e">
        <f t="shared" si="108"/>
        <v>#VALUE!</v>
      </c>
      <c r="E6948" t="e">
        <f>cubic_spline(CURVA!$B$6:$B$20,CURVA!$G$6:$G$20,#REF!)</f>
        <v>#VALUE!</v>
      </c>
    </row>
    <row r="6949" spans="1:5" x14ac:dyDescent="0.2">
      <c r="A6949" s="28">
        <v>6948</v>
      </c>
      <c r="B6949" s="28" t="e">
        <f>interpola(#REF!,CURVA!$B$6:$B$20,CURVA!$G$6:$G$20)</f>
        <v>#VALUE!</v>
      </c>
      <c r="C6949" s="29" t="e">
        <f t="shared" si="108"/>
        <v>#VALUE!</v>
      </c>
      <c r="E6949" t="e">
        <f>cubic_spline(CURVA!$B$6:$B$20,CURVA!$G$6:$G$20,#REF!)</f>
        <v>#VALUE!</v>
      </c>
    </row>
    <row r="6950" spans="1:5" x14ac:dyDescent="0.2">
      <c r="A6950" s="28">
        <v>6949</v>
      </c>
      <c r="B6950" s="28" t="e">
        <f>interpola(#REF!,CURVA!$B$6:$B$20,CURVA!$G$6:$G$20)</f>
        <v>#VALUE!</v>
      </c>
      <c r="C6950" s="29" t="e">
        <f t="shared" si="108"/>
        <v>#VALUE!</v>
      </c>
      <c r="E6950" t="e">
        <f>cubic_spline(CURVA!$B$6:$B$20,CURVA!$G$6:$G$20,#REF!)</f>
        <v>#VALUE!</v>
      </c>
    </row>
    <row r="6951" spans="1:5" x14ac:dyDescent="0.2">
      <c r="A6951" s="28">
        <v>6950</v>
      </c>
      <c r="B6951" s="28" t="e">
        <f>interpola(#REF!,CURVA!$B$6:$B$20,CURVA!$G$6:$G$20)</f>
        <v>#VALUE!</v>
      </c>
      <c r="C6951" s="29" t="e">
        <f t="shared" si="108"/>
        <v>#VALUE!</v>
      </c>
      <c r="E6951" t="e">
        <f>cubic_spline(CURVA!$B$6:$B$20,CURVA!$G$6:$G$20,#REF!)</f>
        <v>#VALUE!</v>
      </c>
    </row>
    <row r="6952" spans="1:5" x14ac:dyDescent="0.2">
      <c r="A6952" s="28">
        <v>6951</v>
      </c>
      <c r="B6952" s="28" t="e">
        <f>interpola(#REF!,CURVA!$B$6:$B$20,CURVA!$G$6:$G$20)</f>
        <v>#VALUE!</v>
      </c>
      <c r="C6952" s="29" t="e">
        <f t="shared" si="108"/>
        <v>#VALUE!</v>
      </c>
      <c r="E6952" t="e">
        <f>cubic_spline(CURVA!$B$6:$B$20,CURVA!$G$6:$G$20,#REF!)</f>
        <v>#VALUE!</v>
      </c>
    </row>
    <row r="6953" spans="1:5" x14ac:dyDescent="0.2">
      <c r="A6953" s="28">
        <v>6952</v>
      </c>
      <c r="B6953" s="28" t="e">
        <f>interpola(#REF!,CURVA!$B$6:$B$20,CURVA!$G$6:$G$20)</f>
        <v>#VALUE!</v>
      </c>
      <c r="C6953" s="29" t="e">
        <f t="shared" si="108"/>
        <v>#VALUE!</v>
      </c>
      <c r="E6953" t="e">
        <f>cubic_spline(CURVA!$B$6:$B$20,CURVA!$G$6:$G$20,#REF!)</f>
        <v>#VALUE!</v>
      </c>
    </row>
    <row r="6954" spans="1:5" x14ac:dyDescent="0.2">
      <c r="A6954" s="28">
        <v>6953</v>
      </c>
      <c r="B6954" s="28" t="e">
        <f>interpola(#REF!,CURVA!$B$6:$B$20,CURVA!$G$6:$G$20)</f>
        <v>#VALUE!</v>
      </c>
      <c r="C6954" s="29" t="e">
        <f t="shared" si="108"/>
        <v>#VALUE!</v>
      </c>
      <c r="E6954" t="e">
        <f>cubic_spline(CURVA!$B$6:$B$20,CURVA!$G$6:$G$20,#REF!)</f>
        <v>#VALUE!</v>
      </c>
    </row>
    <row r="6955" spans="1:5" x14ac:dyDescent="0.2">
      <c r="A6955" s="28">
        <v>6954</v>
      </c>
      <c r="B6955" s="28" t="e">
        <f>interpola(#REF!,CURVA!$B$6:$B$20,CURVA!$G$6:$G$20)</f>
        <v>#VALUE!</v>
      </c>
      <c r="C6955" s="29" t="e">
        <f t="shared" si="108"/>
        <v>#VALUE!</v>
      </c>
      <c r="E6955" t="e">
        <f>cubic_spline(CURVA!$B$6:$B$20,CURVA!$G$6:$G$20,#REF!)</f>
        <v>#VALUE!</v>
      </c>
    </row>
    <row r="6956" spans="1:5" x14ac:dyDescent="0.2">
      <c r="A6956" s="28">
        <v>6955</v>
      </c>
      <c r="B6956" s="28" t="e">
        <f>interpola(#REF!,CURVA!$B$6:$B$20,CURVA!$G$6:$G$20)</f>
        <v>#VALUE!</v>
      </c>
      <c r="C6956" s="29" t="e">
        <f t="shared" si="108"/>
        <v>#VALUE!</v>
      </c>
      <c r="E6956" t="e">
        <f>cubic_spline(CURVA!$B$6:$B$20,CURVA!$G$6:$G$20,#REF!)</f>
        <v>#VALUE!</v>
      </c>
    </row>
    <row r="6957" spans="1:5" x14ac:dyDescent="0.2">
      <c r="A6957" s="28">
        <v>6956</v>
      </c>
      <c r="B6957" s="28" t="e">
        <f>interpola(#REF!,CURVA!$B$6:$B$20,CURVA!$G$6:$G$20)</f>
        <v>#VALUE!</v>
      </c>
      <c r="C6957" s="29" t="e">
        <f t="shared" si="108"/>
        <v>#VALUE!</v>
      </c>
      <c r="E6957" t="e">
        <f>cubic_spline(CURVA!$B$6:$B$20,CURVA!$G$6:$G$20,#REF!)</f>
        <v>#VALUE!</v>
      </c>
    </row>
    <row r="6958" spans="1:5" x14ac:dyDescent="0.2">
      <c r="A6958" s="28">
        <v>6957</v>
      </c>
      <c r="B6958" s="28" t="e">
        <f>interpola(#REF!,CURVA!$B$6:$B$20,CURVA!$G$6:$G$20)</f>
        <v>#VALUE!</v>
      </c>
      <c r="C6958" s="29" t="e">
        <f t="shared" si="108"/>
        <v>#VALUE!</v>
      </c>
      <c r="E6958" t="e">
        <f>cubic_spline(CURVA!$B$6:$B$20,CURVA!$G$6:$G$20,#REF!)</f>
        <v>#VALUE!</v>
      </c>
    </row>
    <row r="6959" spans="1:5" x14ac:dyDescent="0.2">
      <c r="A6959" s="28">
        <v>6958</v>
      </c>
      <c r="B6959" s="28" t="e">
        <f>interpola(#REF!,CURVA!$B$6:$B$20,CURVA!$G$6:$G$20)</f>
        <v>#VALUE!</v>
      </c>
      <c r="C6959" s="29" t="e">
        <f t="shared" si="108"/>
        <v>#VALUE!</v>
      </c>
      <c r="E6959" t="e">
        <f>cubic_spline(CURVA!$B$6:$B$20,CURVA!$G$6:$G$20,#REF!)</f>
        <v>#VALUE!</v>
      </c>
    </row>
    <row r="6960" spans="1:5" x14ac:dyDescent="0.2">
      <c r="A6960" s="28">
        <v>6959</v>
      </c>
      <c r="B6960" s="28" t="e">
        <f>interpola(#REF!,CURVA!$B$6:$B$20,CURVA!$G$6:$G$20)</f>
        <v>#VALUE!</v>
      </c>
      <c r="C6960" s="29" t="e">
        <f t="shared" si="108"/>
        <v>#VALUE!</v>
      </c>
      <c r="E6960" t="e">
        <f>cubic_spline(CURVA!$B$6:$B$20,CURVA!$G$6:$G$20,#REF!)</f>
        <v>#VALUE!</v>
      </c>
    </row>
    <row r="6961" spans="1:5" x14ac:dyDescent="0.2">
      <c r="A6961" s="28">
        <v>6960</v>
      </c>
      <c r="B6961" s="28" t="e">
        <f>interpola(#REF!,CURVA!$B$6:$B$20,CURVA!$G$6:$G$20)</f>
        <v>#VALUE!</v>
      </c>
      <c r="C6961" s="29" t="e">
        <f t="shared" si="108"/>
        <v>#VALUE!</v>
      </c>
      <c r="E6961" t="e">
        <f>cubic_spline(CURVA!$B$6:$B$20,CURVA!$G$6:$G$20,#REF!)</f>
        <v>#VALUE!</v>
      </c>
    </row>
    <row r="6962" spans="1:5" x14ac:dyDescent="0.2">
      <c r="A6962" s="28">
        <v>6961</v>
      </c>
      <c r="B6962" s="28" t="e">
        <f>interpola(#REF!,CURVA!$B$6:$B$20,CURVA!$G$6:$G$20)</f>
        <v>#VALUE!</v>
      </c>
      <c r="C6962" s="29" t="e">
        <f t="shared" si="108"/>
        <v>#VALUE!</v>
      </c>
      <c r="E6962" t="e">
        <f>cubic_spline(CURVA!$B$6:$B$20,CURVA!$G$6:$G$20,#REF!)</f>
        <v>#VALUE!</v>
      </c>
    </row>
    <row r="6963" spans="1:5" x14ac:dyDescent="0.2">
      <c r="A6963" s="28">
        <v>6962</v>
      </c>
      <c r="B6963" s="28" t="e">
        <f>interpola(#REF!,CURVA!$B$6:$B$20,CURVA!$G$6:$G$20)</f>
        <v>#VALUE!</v>
      </c>
      <c r="C6963" s="29" t="e">
        <f t="shared" si="108"/>
        <v>#VALUE!</v>
      </c>
      <c r="E6963" t="e">
        <f>cubic_spline(CURVA!$B$6:$B$20,CURVA!$G$6:$G$20,#REF!)</f>
        <v>#VALUE!</v>
      </c>
    </row>
    <row r="6964" spans="1:5" x14ac:dyDescent="0.2">
      <c r="A6964" s="28">
        <v>6963</v>
      </c>
      <c r="B6964" s="28" t="e">
        <f>interpola(#REF!,CURVA!$B$6:$B$20,CURVA!$G$6:$G$20)</f>
        <v>#VALUE!</v>
      </c>
      <c r="C6964" s="29" t="e">
        <f t="shared" si="108"/>
        <v>#VALUE!</v>
      </c>
      <c r="E6964" t="e">
        <f>cubic_spline(CURVA!$B$6:$B$20,CURVA!$G$6:$G$20,#REF!)</f>
        <v>#VALUE!</v>
      </c>
    </row>
    <row r="6965" spans="1:5" x14ac:dyDescent="0.2">
      <c r="A6965" s="28">
        <v>6964</v>
      </c>
      <c r="B6965" s="28" t="e">
        <f>interpola(#REF!,CURVA!$B$6:$B$20,CURVA!$G$6:$G$20)</f>
        <v>#VALUE!</v>
      </c>
      <c r="C6965" s="29" t="e">
        <f t="shared" si="108"/>
        <v>#VALUE!</v>
      </c>
      <c r="E6965" t="e">
        <f>cubic_spline(CURVA!$B$6:$B$20,CURVA!$G$6:$G$20,#REF!)</f>
        <v>#VALUE!</v>
      </c>
    </row>
    <row r="6966" spans="1:5" x14ac:dyDescent="0.2">
      <c r="A6966" s="28">
        <v>6965</v>
      </c>
      <c r="B6966" s="28" t="e">
        <f>interpola(#REF!,CURVA!$B$6:$B$20,CURVA!$G$6:$G$20)</f>
        <v>#VALUE!</v>
      </c>
      <c r="C6966" s="29" t="e">
        <f t="shared" si="108"/>
        <v>#VALUE!</v>
      </c>
      <c r="E6966" t="e">
        <f>cubic_spline(CURVA!$B$6:$B$20,CURVA!$G$6:$G$20,#REF!)</f>
        <v>#VALUE!</v>
      </c>
    </row>
    <row r="6967" spans="1:5" x14ac:dyDescent="0.2">
      <c r="A6967" s="28">
        <v>6966</v>
      </c>
      <c r="B6967" s="28" t="e">
        <f>interpola(#REF!,CURVA!$B$6:$B$20,CURVA!$G$6:$G$20)</f>
        <v>#VALUE!</v>
      </c>
      <c r="C6967" s="29" t="e">
        <f t="shared" si="108"/>
        <v>#VALUE!</v>
      </c>
      <c r="E6967" t="e">
        <f>cubic_spline(CURVA!$B$6:$B$20,CURVA!$G$6:$G$20,#REF!)</f>
        <v>#VALUE!</v>
      </c>
    </row>
    <row r="6968" spans="1:5" x14ac:dyDescent="0.2">
      <c r="A6968" s="28">
        <v>6967</v>
      </c>
      <c r="B6968" s="28" t="e">
        <f>interpola(#REF!,CURVA!$B$6:$B$20,CURVA!$G$6:$G$20)</f>
        <v>#VALUE!</v>
      </c>
      <c r="C6968" s="29" t="e">
        <f t="shared" si="108"/>
        <v>#VALUE!</v>
      </c>
      <c r="E6968" t="e">
        <f>cubic_spline(CURVA!$B$6:$B$20,CURVA!$G$6:$G$20,#REF!)</f>
        <v>#VALUE!</v>
      </c>
    </row>
    <row r="6969" spans="1:5" x14ac:dyDescent="0.2">
      <c r="A6969" s="28">
        <v>6968</v>
      </c>
      <c r="B6969" s="28" t="e">
        <f>interpola(#REF!,CURVA!$B$6:$B$20,CURVA!$G$6:$G$20)</f>
        <v>#VALUE!</v>
      </c>
      <c r="C6969" s="29" t="e">
        <f t="shared" si="108"/>
        <v>#VALUE!</v>
      </c>
      <c r="E6969" t="e">
        <f>cubic_spline(CURVA!$B$6:$B$20,CURVA!$G$6:$G$20,#REF!)</f>
        <v>#VALUE!</v>
      </c>
    </row>
    <row r="6970" spans="1:5" x14ac:dyDescent="0.2">
      <c r="A6970" s="28">
        <v>6969</v>
      </c>
      <c r="B6970" s="28" t="e">
        <f>interpola(#REF!,CURVA!$B$6:$B$20,CURVA!$G$6:$G$20)</f>
        <v>#VALUE!</v>
      </c>
      <c r="C6970" s="29" t="e">
        <f t="shared" si="108"/>
        <v>#VALUE!</v>
      </c>
      <c r="E6970" t="e">
        <f>cubic_spline(CURVA!$B$6:$B$20,CURVA!$G$6:$G$20,#REF!)</f>
        <v>#VALUE!</v>
      </c>
    </row>
    <row r="6971" spans="1:5" x14ac:dyDescent="0.2">
      <c r="A6971" s="28">
        <v>6970</v>
      </c>
      <c r="B6971" s="28" t="e">
        <f>interpola(#REF!,CURVA!$B$6:$B$20,CURVA!$G$6:$G$20)</f>
        <v>#VALUE!</v>
      </c>
      <c r="C6971" s="29" t="e">
        <f t="shared" si="108"/>
        <v>#VALUE!</v>
      </c>
      <c r="E6971" t="e">
        <f>cubic_spline(CURVA!$B$6:$B$20,CURVA!$G$6:$G$20,#REF!)</f>
        <v>#VALUE!</v>
      </c>
    </row>
    <row r="6972" spans="1:5" x14ac:dyDescent="0.2">
      <c r="A6972" s="28">
        <v>6971</v>
      </c>
      <c r="B6972" s="28" t="e">
        <f>interpola(#REF!,CURVA!$B$6:$B$20,CURVA!$G$6:$G$20)</f>
        <v>#VALUE!</v>
      </c>
      <c r="C6972" s="29" t="e">
        <f t="shared" si="108"/>
        <v>#VALUE!</v>
      </c>
      <c r="E6972" t="e">
        <f>cubic_spline(CURVA!$B$6:$B$20,CURVA!$G$6:$G$20,#REF!)</f>
        <v>#VALUE!</v>
      </c>
    </row>
    <row r="6973" spans="1:5" x14ac:dyDescent="0.2">
      <c r="A6973" s="28">
        <v>6972</v>
      </c>
      <c r="B6973" s="28" t="e">
        <f>interpola(#REF!,CURVA!$B$6:$B$20,CURVA!$G$6:$G$20)</f>
        <v>#VALUE!</v>
      </c>
      <c r="C6973" s="29" t="e">
        <f t="shared" si="108"/>
        <v>#VALUE!</v>
      </c>
      <c r="E6973" t="e">
        <f>cubic_spline(CURVA!$B$6:$B$20,CURVA!$G$6:$G$20,#REF!)</f>
        <v>#VALUE!</v>
      </c>
    </row>
    <row r="6974" spans="1:5" x14ac:dyDescent="0.2">
      <c r="A6974" s="28">
        <v>6973</v>
      </c>
      <c r="B6974" s="28" t="e">
        <f>interpola(#REF!,CURVA!$B$6:$B$20,CURVA!$G$6:$G$20)</f>
        <v>#VALUE!</v>
      </c>
      <c r="C6974" s="29" t="e">
        <f t="shared" si="108"/>
        <v>#VALUE!</v>
      </c>
      <c r="E6974" t="e">
        <f>cubic_spline(CURVA!$B$6:$B$20,CURVA!$G$6:$G$20,#REF!)</f>
        <v>#VALUE!</v>
      </c>
    </row>
    <row r="6975" spans="1:5" x14ac:dyDescent="0.2">
      <c r="A6975" s="28">
        <v>6974</v>
      </c>
      <c r="B6975" s="28" t="e">
        <f>interpola(#REF!,CURVA!$B$6:$B$20,CURVA!$G$6:$G$20)</f>
        <v>#VALUE!</v>
      </c>
      <c r="C6975" s="29" t="e">
        <f t="shared" si="108"/>
        <v>#VALUE!</v>
      </c>
      <c r="E6975" t="e">
        <f>cubic_spline(CURVA!$B$6:$B$20,CURVA!$G$6:$G$20,#REF!)</f>
        <v>#VALUE!</v>
      </c>
    </row>
    <row r="6976" spans="1:5" x14ac:dyDescent="0.2">
      <c r="A6976" s="28">
        <v>6975</v>
      </c>
      <c r="B6976" s="28" t="e">
        <f>interpola(#REF!,CURVA!$B$6:$B$20,CURVA!$G$6:$G$20)</f>
        <v>#VALUE!</v>
      </c>
      <c r="C6976" s="29" t="e">
        <f t="shared" si="108"/>
        <v>#VALUE!</v>
      </c>
      <c r="E6976" t="e">
        <f>cubic_spline(CURVA!$B$6:$B$20,CURVA!$G$6:$G$20,#REF!)</f>
        <v>#VALUE!</v>
      </c>
    </row>
    <row r="6977" spans="1:5" x14ac:dyDescent="0.2">
      <c r="A6977" s="28">
        <v>6976</v>
      </c>
      <c r="B6977" s="28" t="e">
        <f>interpola(#REF!,CURVA!$B$6:$B$20,CURVA!$G$6:$G$20)</f>
        <v>#VALUE!</v>
      </c>
      <c r="C6977" s="29" t="e">
        <f t="shared" si="108"/>
        <v>#VALUE!</v>
      </c>
      <c r="E6977" t="e">
        <f>cubic_spline(CURVA!$B$6:$B$20,CURVA!$G$6:$G$20,#REF!)</f>
        <v>#VALUE!</v>
      </c>
    </row>
    <row r="6978" spans="1:5" x14ac:dyDescent="0.2">
      <c r="A6978" s="28">
        <v>6977</v>
      </c>
      <c r="B6978" s="28" t="e">
        <f>interpola(#REF!,CURVA!$B$6:$B$20,CURVA!$G$6:$G$20)</f>
        <v>#VALUE!</v>
      </c>
      <c r="C6978" s="29" t="e">
        <f t="shared" ref="C6978:C7041" si="109">(EXP(B6978*A6978/360)-1)*360/A6978</f>
        <v>#VALUE!</v>
      </c>
      <c r="E6978" t="e">
        <f>cubic_spline(CURVA!$B$6:$B$20,CURVA!$G$6:$G$20,#REF!)</f>
        <v>#VALUE!</v>
      </c>
    </row>
    <row r="6979" spans="1:5" x14ac:dyDescent="0.2">
      <c r="A6979" s="28">
        <v>6978</v>
      </c>
      <c r="B6979" s="28" t="e">
        <f>interpola(#REF!,CURVA!$B$6:$B$20,CURVA!$G$6:$G$20)</f>
        <v>#VALUE!</v>
      </c>
      <c r="C6979" s="29" t="e">
        <f t="shared" si="109"/>
        <v>#VALUE!</v>
      </c>
      <c r="E6979" t="e">
        <f>cubic_spline(CURVA!$B$6:$B$20,CURVA!$G$6:$G$20,#REF!)</f>
        <v>#VALUE!</v>
      </c>
    </row>
    <row r="6980" spans="1:5" x14ac:dyDescent="0.2">
      <c r="A6980" s="28">
        <v>6979</v>
      </c>
      <c r="B6980" s="28" t="e">
        <f>interpola(#REF!,CURVA!$B$6:$B$20,CURVA!$G$6:$G$20)</f>
        <v>#VALUE!</v>
      </c>
      <c r="C6980" s="29" t="e">
        <f t="shared" si="109"/>
        <v>#VALUE!</v>
      </c>
      <c r="E6980" t="e">
        <f>cubic_spline(CURVA!$B$6:$B$20,CURVA!$G$6:$G$20,#REF!)</f>
        <v>#VALUE!</v>
      </c>
    </row>
    <row r="6981" spans="1:5" x14ac:dyDescent="0.2">
      <c r="A6981" s="28">
        <v>6980</v>
      </c>
      <c r="B6981" s="28" t="e">
        <f>interpola(#REF!,CURVA!$B$6:$B$20,CURVA!$G$6:$G$20)</f>
        <v>#VALUE!</v>
      </c>
      <c r="C6981" s="29" t="e">
        <f t="shared" si="109"/>
        <v>#VALUE!</v>
      </c>
      <c r="E6981" t="e">
        <f>cubic_spline(CURVA!$B$6:$B$20,CURVA!$G$6:$G$20,#REF!)</f>
        <v>#VALUE!</v>
      </c>
    </row>
    <row r="6982" spans="1:5" x14ac:dyDescent="0.2">
      <c r="A6982" s="28">
        <v>6981</v>
      </c>
      <c r="B6982" s="28" t="e">
        <f>interpola(#REF!,CURVA!$B$6:$B$20,CURVA!$G$6:$G$20)</f>
        <v>#VALUE!</v>
      </c>
      <c r="C6982" s="29" t="e">
        <f t="shared" si="109"/>
        <v>#VALUE!</v>
      </c>
      <c r="E6982" t="e">
        <f>cubic_spline(CURVA!$B$6:$B$20,CURVA!$G$6:$G$20,#REF!)</f>
        <v>#VALUE!</v>
      </c>
    </row>
    <row r="6983" spans="1:5" x14ac:dyDescent="0.2">
      <c r="A6983" s="28">
        <v>6982</v>
      </c>
      <c r="B6983" s="28" t="e">
        <f>interpola(#REF!,CURVA!$B$6:$B$20,CURVA!$G$6:$G$20)</f>
        <v>#VALUE!</v>
      </c>
      <c r="C6983" s="29" t="e">
        <f t="shared" si="109"/>
        <v>#VALUE!</v>
      </c>
      <c r="E6983" t="e">
        <f>cubic_spline(CURVA!$B$6:$B$20,CURVA!$G$6:$G$20,#REF!)</f>
        <v>#VALUE!</v>
      </c>
    </row>
    <row r="6984" spans="1:5" x14ac:dyDescent="0.2">
      <c r="A6984" s="28">
        <v>6983</v>
      </c>
      <c r="B6984" s="28" t="e">
        <f>interpola(#REF!,CURVA!$B$6:$B$20,CURVA!$G$6:$G$20)</f>
        <v>#VALUE!</v>
      </c>
      <c r="C6984" s="29" t="e">
        <f t="shared" si="109"/>
        <v>#VALUE!</v>
      </c>
      <c r="E6984" t="e">
        <f>cubic_spline(CURVA!$B$6:$B$20,CURVA!$G$6:$G$20,#REF!)</f>
        <v>#VALUE!</v>
      </c>
    </row>
    <row r="6985" spans="1:5" x14ac:dyDescent="0.2">
      <c r="A6985" s="28">
        <v>6984</v>
      </c>
      <c r="B6985" s="28" t="e">
        <f>interpola(#REF!,CURVA!$B$6:$B$20,CURVA!$G$6:$G$20)</f>
        <v>#VALUE!</v>
      </c>
      <c r="C6985" s="29" t="e">
        <f t="shared" si="109"/>
        <v>#VALUE!</v>
      </c>
      <c r="E6985" t="e">
        <f>cubic_spline(CURVA!$B$6:$B$20,CURVA!$G$6:$G$20,#REF!)</f>
        <v>#VALUE!</v>
      </c>
    </row>
    <row r="6986" spans="1:5" x14ac:dyDescent="0.2">
      <c r="A6986" s="28">
        <v>6985</v>
      </c>
      <c r="B6986" s="28" t="e">
        <f>interpola(#REF!,CURVA!$B$6:$B$20,CURVA!$G$6:$G$20)</f>
        <v>#VALUE!</v>
      </c>
      <c r="C6986" s="29" t="e">
        <f t="shared" si="109"/>
        <v>#VALUE!</v>
      </c>
      <c r="E6986" t="e">
        <f>cubic_spline(CURVA!$B$6:$B$20,CURVA!$G$6:$G$20,#REF!)</f>
        <v>#VALUE!</v>
      </c>
    </row>
    <row r="6987" spans="1:5" x14ac:dyDescent="0.2">
      <c r="A6987" s="28">
        <v>6986</v>
      </c>
      <c r="B6987" s="28" t="e">
        <f>interpola(#REF!,CURVA!$B$6:$B$20,CURVA!$G$6:$G$20)</f>
        <v>#VALUE!</v>
      </c>
      <c r="C6987" s="29" t="e">
        <f t="shared" si="109"/>
        <v>#VALUE!</v>
      </c>
      <c r="E6987" t="e">
        <f>cubic_spline(CURVA!$B$6:$B$20,CURVA!$G$6:$G$20,#REF!)</f>
        <v>#VALUE!</v>
      </c>
    </row>
    <row r="6988" spans="1:5" x14ac:dyDescent="0.2">
      <c r="A6988" s="28">
        <v>6987</v>
      </c>
      <c r="B6988" s="28" t="e">
        <f>interpola(#REF!,CURVA!$B$6:$B$20,CURVA!$G$6:$G$20)</f>
        <v>#VALUE!</v>
      </c>
      <c r="C6988" s="29" t="e">
        <f t="shared" si="109"/>
        <v>#VALUE!</v>
      </c>
      <c r="E6988" t="e">
        <f>cubic_spline(CURVA!$B$6:$B$20,CURVA!$G$6:$G$20,#REF!)</f>
        <v>#VALUE!</v>
      </c>
    </row>
    <row r="6989" spans="1:5" x14ac:dyDescent="0.2">
      <c r="A6989" s="28">
        <v>6988</v>
      </c>
      <c r="B6989" s="28" t="e">
        <f>interpola(#REF!,CURVA!$B$6:$B$20,CURVA!$G$6:$G$20)</f>
        <v>#VALUE!</v>
      </c>
      <c r="C6989" s="29" t="e">
        <f t="shared" si="109"/>
        <v>#VALUE!</v>
      </c>
      <c r="E6989" t="e">
        <f>cubic_spline(CURVA!$B$6:$B$20,CURVA!$G$6:$G$20,#REF!)</f>
        <v>#VALUE!</v>
      </c>
    </row>
    <row r="6990" spans="1:5" x14ac:dyDescent="0.2">
      <c r="A6990" s="28">
        <v>6989</v>
      </c>
      <c r="B6990" s="28" t="e">
        <f>interpola(#REF!,CURVA!$B$6:$B$20,CURVA!$G$6:$G$20)</f>
        <v>#VALUE!</v>
      </c>
      <c r="C6990" s="29" t="e">
        <f t="shared" si="109"/>
        <v>#VALUE!</v>
      </c>
      <c r="E6990" t="e">
        <f>cubic_spline(CURVA!$B$6:$B$20,CURVA!$G$6:$G$20,#REF!)</f>
        <v>#VALUE!</v>
      </c>
    </row>
    <row r="6991" spans="1:5" x14ac:dyDescent="0.2">
      <c r="A6991" s="28">
        <v>6990</v>
      </c>
      <c r="B6991" s="28" t="e">
        <f>interpola(#REF!,CURVA!$B$6:$B$20,CURVA!$G$6:$G$20)</f>
        <v>#VALUE!</v>
      </c>
      <c r="C6991" s="29" t="e">
        <f t="shared" si="109"/>
        <v>#VALUE!</v>
      </c>
      <c r="E6991" t="e">
        <f>cubic_spline(CURVA!$B$6:$B$20,CURVA!$G$6:$G$20,#REF!)</f>
        <v>#VALUE!</v>
      </c>
    </row>
    <row r="6992" spans="1:5" x14ac:dyDescent="0.2">
      <c r="A6992" s="28">
        <v>6991</v>
      </c>
      <c r="B6992" s="28" t="e">
        <f>interpola(#REF!,CURVA!$B$6:$B$20,CURVA!$G$6:$G$20)</f>
        <v>#VALUE!</v>
      </c>
      <c r="C6992" s="29" t="e">
        <f t="shared" si="109"/>
        <v>#VALUE!</v>
      </c>
      <c r="E6992" t="e">
        <f>cubic_spline(CURVA!$B$6:$B$20,CURVA!$G$6:$G$20,#REF!)</f>
        <v>#VALUE!</v>
      </c>
    </row>
    <row r="6993" spans="1:5" x14ac:dyDescent="0.2">
      <c r="A6993" s="28">
        <v>6992</v>
      </c>
      <c r="B6993" s="28" t="e">
        <f>interpola(#REF!,CURVA!$B$6:$B$20,CURVA!$G$6:$G$20)</f>
        <v>#VALUE!</v>
      </c>
      <c r="C6993" s="29" t="e">
        <f t="shared" si="109"/>
        <v>#VALUE!</v>
      </c>
      <c r="E6993" t="e">
        <f>cubic_spline(CURVA!$B$6:$B$20,CURVA!$G$6:$G$20,#REF!)</f>
        <v>#VALUE!</v>
      </c>
    </row>
    <row r="6994" spans="1:5" x14ac:dyDescent="0.2">
      <c r="A6994" s="28">
        <v>6993</v>
      </c>
      <c r="B6994" s="28" t="e">
        <f>interpola(#REF!,CURVA!$B$6:$B$20,CURVA!$G$6:$G$20)</f>
        <v>#VALUE!</v>
      </c>
      <c r="C6994" s="29" t="e">
        <f t="shared" si="109"/>
        <v>#VALUE!</v>
      </c>
      <c r="E6994" t="e">
        <f>cubic_spline(CURVA!$B$6:$B$20,CURVA!$G$6:$G$20,#REF!)</f>
        <v>#VALUE!</v>
      </c>
    </row>
    <row r="6995" spans="1:5" x14ac:dyDescent="0.2">
      <c r="A6995" s="28">
        <v>6994</v>
      </c>
      <c r="B6995" s="28" t="e">
        <f>interpola(#REF!,CURVA!$B$6:$B$20,CURVA!$G$6:$G$20)</f>
        <v>#VALUE!</v>
      </c>
      <c r="C6995" s="29" t="e">
        <f t="shared" si="109"/>
        <v>#VALUE!</v>
      </c>
      <c r="E6995" t="e">
        <f>cubic_spline(CURVA!$B$6:$B$20,CURVA!$G$6:$G$20,#REF!)</f>
        <v>#VALUE!</v>
      </c>
    </row>
    <row r="6996" spans="1:5" x14ac:dyDescent="0.2">
      <c r="A6996" s="28">
        <v>6995</v>
      </c>
      <c r="B6996" s="28" t="e">
        <f>interpola(#REF!,CURVA!$B$6:$B$20,CURVA!$G$6:$G$20)</f>
        <v>#VALUE!</v>
      </c>
      <c r="C6996" s="29" t="e">
        <f t="shared" si="109"/>
        <v>#VALUE!</v>
      </c>
      <c r="E6996" t="e">
        <f>cubic_spline(CURVA!$B$6:$B$20,CURVA!$G$6:$G$20,#REF!)</f>
        <v>#VALUE!</v>
      </c>
    </row>
    <row r="6997" spans="1:5" x14ac:dyDescent="0.2">
      <c r="A6997" s="28">
        <v>6996</v>
      </c>
      <c r="B6997" s="28" t="e">
        <f>interpola(#REF!,CURVA!$B$6:$B$20,CURVA!$G$6:$G$20)</f>
        <v>#VALUE!</v>
      </c>
      <c r="C6997" s="29" t="e">
        <f t="shared" si="109"/>
        <v>#VALUE!</v>
      </c>
      <c r="E6997" t="e">
        <f>cubic_spline(CURVA!$B$6:$B$20,CURVA!$G$6:$G$20,#REF!)</f>
        <v>#VALUE!</v>
      </c>
    </row>
    <row r="6998" spans="1:5" x14ac:dyDescent="0.2">
      <c r="A6998" s="28">
        <v>6997</v>
      </c>
      <c r="B6998" s="28" t="e">
        <f>interpola(#REF!,CURVA!$B$6:$B$20,CURVA!$G$6:$G$20)</f>
        <v>#VALUE!</v>
      </c>
      <c r="C6998" s="29" t="e">
        <f t="shared" si="109"/>
        <v>#VALUE!</v>
      </c>
      <c r="E6998" t="e">
        <f>cubic_spline(CURVA!$B$6:$B$20,CURVA!$G$6:$G$20,#REF!)</f>
        <v>#VALUE!</v>
      </c>
    </row>
    <row r="6999" spans="1:5" x14ac:dyDescent="0.2">
      <c r="A6999" s="28">
        <v>6998</v>
      </c>
      <c r="B6999" s="28" t="e">
        <f>interpola(#REF!,CURVA!$B$6:$B$20,CURVA!$G$6:$G$20)</f>
        <v>#VALUE!</v>
      </c>
      <c r="C6999" s="29" t="e">
        <f t="shared" si="109"/>
        <v>#VALUE!</v>
      </c>
      <c r="E6999" t="e">
        <f>cubic_spline(CURVA!$B$6:$B$20,CURVA!$G$6:$G$20,#REF!)</f>
        <v>#VALUE!</v>
      </c>
    </row>
    <row r="7000" spans="1:5" x14ac:dyDescent="0.2">
      <c r="A7000" s="28">
        <v>6999</v>
      </c>
      <c r="B7000" s="28" t="e">
        <f>interpola(#REF!,CURVA!$B$6:$B$20,CURVA!$G$6:$G$20)</f>
        <v>#VALUE!</v>
      </c>
      <c r="C7000" s="29" t="e">
        <f t="shared" si="109"/>
        <v>#VALUE!</v>
      </c>
      <c r="E7000" t="e">
        <f>cubic_spline(CURVA!$B$6:$B$20,CURVA!$G$6:$G$20,#REF!)</f>
        <v>#VALUE!</v>
      </c>
    </row>
    <row r="7001" spans="1:5" x14ac:dyDescent="0.2">
      <c r="A7001" s="28">
        <v>7000</v>
      </c>
      <c r="B7001" s="28" t="e">
        <f>interpola(#REF!,CURVA!$B$6:$B$20,CURVA!$G$6:$G$20)</f>
        <v>#VALUE!</v>
      </c>
      <c r="C7001" s="29" t="e">
        <f t="shared" si="109"/>
        <v>#VALUE!</v>
      </c>
      <c r="E7001" t="e">
        <f>cubic_spline(CURVA!$B$6:$B$20,CURVA!$G$6:$G$20,#REF!)</f>
        <v>#VALUE!</v>
      </c>
    </row>
    <row r="7002" spans="1:5" x14ac:dyDescent="0.2">
      <c r="A7002" s="28">
        <v>7001</v>
      </c>
      <c r="B7002" s="28" t="e">
        <f>interpola(#REF!,CURVA!$B$6:$B$20,CURVA!$G$6:$G$20)</f>
        <v>#VALUE!</v>
      </c>
      <c r="C7002" s="29" t="e">
        <f t="shared" si="109"/>
        <v>#VALUE!</v>
      </c>
      <c r="E7002" t="e">
        <f>cubic_spline(CURVA!$B$6:$B$20,CURVA!$G$6:$G$20,#REF!)</f>
        <v>#VALUE!</v>
      </c>
    </row>
    <row r="7003" spans="1:5" x14ac:dyDescent="0.2">
      <c r="A7003" s="28">
        <v>7002</v>
      </c>
      <c r="B7003" s="28" t="e">
        <f>interpola(#REF!,CURVA!$B$6:$B$20,CURVA!$G$6:$G$20)</f>
        <v>#VALUE!</v>
      </c>
      <c r="C7003" s="29" t="e">
        <f t="shared" si="109"/>
        <v>#VALUE!</v>
      </c>
      <c r="E7003" t="e">
        <f>cubic_spline(CURVA!$B$6:$B$20,CURVA!$G$6:$G$20,#REF!)</f>
        <v>#VALUE!</v>
      </c>
    </row>
    <row r="7004" spans="1:5" x14ac:dyDescent="0.2">
      <c r="A7004" s="28">
        <v>7003</v>
      </c>
      <c r="B7004" s="28" t="e">
        <f>interpola(#REF!,CURVA!$B$6:$B$20,CURVA!$G$6:$G$20)</f>
        <v>#VALUE!</v>
      </c>
      <c r="C7004" s="29" t="e">
        <f t="shared" si="109"/>
        <v>#VALUE!</v>
      </c>
      <c r="E7004" t="e">
        <f>cubic_spline(CURVA!$B$6:$B$20,CURVA!$G$6:$G$20,#REF!)</f>
        <v>#VALUE!</v>
      </c>
    </row>
    <row r="7005" spans="1:5" x14ac:dyDescent="0.2">
      <c r="A7005" s="28">
        <v>7004</v>
      </c>
      <c r="B7005" s="28" t="e">
        <f>interpola(#REF!,CURVA!$B$6:$B$20,CURVA!$G$6:$G$20)</f>
        <v>#VALUE!</v>
      </c>
      <c r="C7005" s="29" t="e">
        <f t="shared" si="109"/>
        <v>#VALUE!</v>
      </c>
      <c r="E7005" t="e">
        <f>cubic_spline(CURVA!$B$6:$B$20,CURVA!$G$6:$G$20,#REF!)</f>
        <v>#VALUE!</v>
      </c>
    </row>
    <row r="7006" spans="1:5" x14ac:dyDescent="0.2">
      <c r="A7006" s="28">
        <v>7005</v>
      </c>
      <c r="B7006" s="28" t="e">
        <f>interpola(#REF!,CURVA!$B$6:$B$20,CURVA!$G$6:$G$20)</f>
        <v>#VALUE!</v>
      </c>
      <c r="C7006" s="29" t="e">
        <f t="shared" si="109"/>
        <v>#VALUE!</v>
      </c>
      <c r="E7006" t="e">
        <f>cubic_spline(CURVA!$B$6:$B$20,CURVA!$G$6:$G$20,#REF!)</f>
        <v>#VALUE!</v>
      </c>
    </row>
    <row r="7007" spans="1:5" x14ac:dyDescent="0.2">
      <c r="A7007" s="28">
        <v>7006</v>
      </c>
      <c r="B7007" s="28" t="e">
        <f>interpola(#REF!,CURVA!$B$6:$B$20,CURVA!$G$6:$G$20)</f>
        <v>#VALUE!</v>
      </c>
      <c r="C7007" s="29" t="e">
        <f t="shared" si="109"/>
        <v>#VALUE!</v>
      </c>
      <c r="E7007" t="e">
        <f>cubic_spline(CURVA!$B$6:$B$20,CURVA!$G$6:$G$20,#REF!)</f>
        <v>#VALUE!</v>
      </c>
    </row>
    <row r="7008" spans="1:5" x14ac:dyDescent="0.2">
      <c r="A7008" s="28">
        <v>7007</v>
      </c>
      <c r="B7008" s="28" t="e">
        <f>interpola(#REF!,CURVA!$B$6:$B$20,CURVA!$G$6:$G$20)</f>
        <v>#VALUE!</v>
      </c>
      <c r="C7008" s="29" t="e">
        <f t="shared" si="109"/>
        <v>#VALUE!</v>
      </c>
      <c r="E7008" t="e">
        <f>cubic_spline(CURVA!$B$6:$B$20,CURVA!$G$6:$G$20,#REF!)</f>
        <v>#VALUE!</v>
      </c>
    </row>
    <row r="7009" spans="1:5" x14ac:dyDescent="0.2">
      <c r="A7009" s="28">
        <v>7008</v>
      </c>
      <c r="B7009" s="28" t="e">
        <f>interpola(#REF!,CURVA!$B$6:$B$20,CURVA!$G$6:$G$20)</f>
        <v>#VALUE!</v>
      </c>
      <c r="C7009" s="29" t="e">
        <f t="shared" si="109"/>
        <v>#VALUE!</v>
      </c>
      <c r="E7009" t="e">
        <f>cubic_spline(CURVA!$B$6:$B$20,CURVA!$G$6:$G$20,#REF!)</f>
        <v>#VALUE!</v>
      </c>
    </row>
    <row r="7010" spans="1:5" x14ac:dyDescent="0.2">
      <c r="A7010" s="28">
        <v>7009</v>
      </c>
      <c r="B7010" s="28" t="e">
        <f>interpola(#REF!,CURVA!$B$6:$B$20,CURVA!$G$6:$G$20)</f>
        <v>#VALUE!</v>
      </c>
      <c r="C7010" s="29" t="e">
        <f t="shared" si="109"/>
        <v>#VALUE!</v>
      </c>
      <c r="E7010" t="e">
        <f>cubic_spline(CURVA!$B$6:$B$20,CURVA!$G$6:$G$20,#REF!)</f>
        <v>#VALUE!</v>
      </c>
    </row>
    <row r="7011" spans="1:5" x14ac:dyDescent="0.2">
      <c r="A7011" s="28">
        <v>7010</v>
      </c>
      <c r="B7011" s="28" t="e">
        <f>interpola(#REF!,CURVA!$B$6:$B$20,CURVA!$G$6:$G$20)</f>
        <v>#VALUE!</v>
      </c>
      <c r="C7011" s="29" t="e">
        <f t="shared" si="109"/>
        <v>#VALUE!</v>
      </c>
      <c r="E7011" t="e">
        <f>cubic_spline(CURVA!$B$6:$B$20,CURVA!$G$6:$G$20,#REF!)</f>
        <v>#VALUE!</v>
      </c>
    </row>
    <row r="7012" spans="1:5" x14ac:dyDescent="0.2">
      <c r="A7012" s="28">
        <v>7011</v>
      </c>
      <c r="B7012" s="28" t="e">
        <f>interpola(#REF!,CURVA!$B$6:$B$20,CURVA!$G$6:$G$20)</f>
        <v>#VALUE!</v>
      </c>
      <c r="C7012" s="29" t="e">
        <f t="shared" si="109"/>
        <v>#VALUE!</v>
      </c>
      <c r="E7012" t="e">
        <f>cubic_spline(CURVA!$B$6:$B$20,CURVA!$G$6:$G$20,#REF!)</f>
        <v>#VALUE!</v>
      </c>
    </row>
    <row r="7013" spans="1:5" x14ac:dyDescent="0.2">
      <c r="A7013" s="28">
        <v>7012</v>
      </c>
      <c r="B7013" s="28" t="e">
        <f>interpola(#REF!,CURVA!$B$6:$B$20,CURVA!$G$6:$G$20)</f>
        <v>#VALUE!</v>
      </c>
      <c r="C7013" s="29" t="e">
        <f t="shared" si="109"/>
        <v>#VALUE!</v>
      </c>
      <c r="E7013" t="e">
        <f>cubic_spline(CURVA!$B$6:$B$20,CURVA!$G$6:$G$20,#REF!)</f>
        <v>#VALUE!</v>
      </c>
    </row>
    <row r="7014" spans="1:5" x14ac:dyDescent="0.2">
      <c r="A7014" s="28">
        <v>7013</v>
      </c>
      <c r="B7014" s="28" t="e">
        <f>interpola(#REF!,CURVA!$B$6:$B$20,CURVA!$G$6:$G$20)</f>
        <v>#VALUE!</v>
      </c>
      <c r="C7014" s="29" t="e">
        <f t="shared" si="109"/>
        <v>#VALUE!</v>
      </c>
      <c r="E7014" t="e">
        <f>cubic_spline(CURVA!$B$6:$B$20,CURVA!$G$6:$G$20,#REF!)</f>
        <v>#VALUE!</v>
      </c>
    </row>
    <row r="7015" spans="1:5" x14ac:dyDescent="0.2">
      <c r="A7015" s="28">
        <v>7014</v>
      </c>
      <c r="B7015" s="28" t="e">
        <f>interpola(#REF!,CURVA!$B$6:$B$20,CURVA!$G$6:$G$20)</f>
        <v>#VALUE!</v>
      </c>
      <c r="C7015" s="29" t="e">
        <f t="shared" si="109"/>
        <v>#VALUE!</v>
      </c>
      <c r="E7015" t="e">
        <f>cubic_spline(CURVA!$B$6:$B$20,CURVA!$G$6:$G$20,#REF!)</f>
        <v>#VALUE!</v>
      </c>
    </row>
    <row r="7016" spans="1:5" x14ac:dyDescent="0.2">
      <c r="A7016" s="28">
        <v>7015</v>
      </c>
      <c r="B7016" s="28" t="e">
        <f>interpola(#REF!,CURVA!$B$6:$B$20,CURVA!$G$6:$G$20)</f>
        <v>#VALUE!</v>
      </c>
      <c r="C7016" s="29" t="e">
        <f t="shared" si="109"/>
        <v>#VALUE!</v>
      </c>
      <c r="E7016" t="e">
        <f>cubic_spline(CURVA!$B$6:$B$20,CURVA!$G$6:$G$20,#REF!)</f>
        <v>#VALUE!</v>
      </c>
    </row>
    <row r="7017" spans="1:5" x14ac:dyDescent="0.2">
      <c r="A7017" s="28">
        <v>7016</v>
      </c>
      <c r="B7017" s="28" t="e">
        <f>interpola(#REF!,CURVA!$B$6:$B$20,CURVA!$G$6:$G$20)</f>
        <v>#VALUE!</v>
      </c>
      <c r="C7017" s="29" t="e">
        <f t="shared" si="109"/>
        <v>#VALUE!</v>
      </c>
      <c r="E7017" t="e">
        <f>cubic_spline(CURVA!$B$6:$B$20,CURVA!$G$6:$G$20,#REF!)</f>
        <v>#VALUE!</v>
      </c>
    </row>
    <row r="7018" spans="1:5" x14ac:dyDescent="0.2">
      <c r="A7018" s="28">
        <v>7017</v>
      </c>
      <c r="B7018" s="28" t="e">
        <f>interpola(#REF!,CURVA!$B$6:$B$20,CURVA!$G$6:$G$20)</f>
        <v>#VALUE!</v>
      </c>
      <c r="C7018" s="29" t="e">
        <f t="shared" si="109"/>
        <v>#VALUE!</v>
      </c>
      <c r="E7018" t="e">
        <f>cubic_spline(CURVA!$B$6:$B$20,CURVA!$G$6:$G$20,#REF!)</f>
        <v>#VALUE!</v>
      </c>
    </row>
    <row r="7019" spans="1:5" x14ac:dyDescent="0.2">
      <c r="A7019" s="28">
        <v>7018</v>
      </c>
      <c r="B7019" s="28" t="e">
        <f>interpola(#REF!,CURVA!$B$6:$B$20,CURVA!$G$6:$G$20)</f>
        <v>#VALUE!</v>
      </c>
      <c r="C7019" s="29" t="e">
        <f t="shared" si="109"/>
        <v>#VALUE!</v>
      </c>
      <c r="E7019" t="e">
        <f>cubic_spline(CURVA!$B$6:$B$20,CURVA!$G$6:$G$20,#REF!)</f>
        <v>#VALUE!</v>
      </c>
    </row>
    <row r="7020" spans="1:5" x14ac:dyDescent="0.2">
      <c r="A7020" s="28">
        <v>7019</v>
      </c>
      <c r="B7020" s="28" t="e">
        <f>interpola(#REF!,CURVA!$B$6:$B$20,CURVA!$G$6:$G$20)</f>
        <v>#VALUE!</v>
      </c>
      <c r="C7020" s="29" t="e">
        <f t="shared" si="109"/>
        <v>#VALUE!</v>
      </c>
      <c r="E7020" t="e">
        <f>cubic_spline(CURVA!$B$6:$B$20,CURVA!$G$6:$G$20,#REF!)</f>
        <v>#VALUE!</v>
      </c>
    </row>
    <row r="7021" spans="1:5" x14ac:dyDescent="0.2">
      <c r="A7021" s="28">
        <v>7020</v>
      </c>
      <c r="B7021" s="28" t="e">
        <f>interpola(#REF!,CURVA!$B$6:$B$20,CURVA!$G$6:$G$20)</f>
        <v>#VALUE!</v>
      </c>
      <c r="C7021" s="29" t="e">
        <f t="shared" si="109"/>
        <v>#VALUE!</v>
      </c>
      <c r="E7021" t="e">
        <f>cubic_spline(CURVA!$B$6:$B$20,CURVA!$G$6:$G$20,#REF!)</f>
        <v>#VALUE!</v>
      </c>
    </row>
    <row r="7022" spans="1:5" x14ac:dyDescent="0.2">
      <c r="A7022" s="28">
        <v>7021</v>
      </c>
      <c r="B7022" s="28" t="e">
        <f>interpola(#REF!,CURVA!$B$6:$B$20,CURVA!$G$6:$G$20)</f>
        <v>#VALUE!</v>
      </c>
      <c r="C7022" s="29" t="e">
        <f t="shared" si="109"/>
        <v>#VALUE!</v>
      </c>
      <c r="E7022" t="e">
        <f>cubic_spline(CURVA!$B$6:$B$20,CURVA!$G$6:$G$20,#REF!)</f>
        <v>#VALUE!</v>
      </c>
    </row>
    <row r="7023" spans="1:5" x14ac:dyDescent="0.2">
      <c r="A7023" s="28">
        <v>7022</v>
      </c>
      <c r="B7023" s="28" t="e">
        <f>interpola(#REF!,CURVA!$B$6:$B$20,CURVA!$G$6:$G$20)</f>
        <v>#VALUE!</v>
      </c>
      <c r="C7023" s="29" t="e">
        <f t="shared" si="109"/>
        <v>#VALUE!</v>
      </c>
      <c r="E7023" t="e">
        <f>cubic_spline(CURVA!$B$6:$B$20,CURVA!$G$6:$G$20,#REF!)</f>
        <v>#VALUE!</v>
      </c>
    </row>
    <row r="7024" spans="1:5" x14ac:dyDescent="0.2">
      <c r="A7024" s="28">
        <v>7023</v>
      </c>
      <c r="B7024" s="28" t="e">
        <f>interpola(#REF!,CURVA!$B$6:$B$20,CURVA!$G$6:$G$20)</f>
        <v>#VALUE!</v>
      </c>
      <c r="C7024" s="29" t="e">
        <f t="shared" si="109"/>
        <v>#VALUE!</v>
      </c>
      <c r="E7024" t="e">
        <f>cubic_spline(CURVA!$B$6:$B$20,CURVA!$G$6:$G$20,#REF!)</f>
        <v>#VALUE!</v>
      </c>
    </row>
    <row r="7025" spans="1:5" x14ac:dyDescent="0.2">
      <c r="A7025" s="28">
        <v>7024</v>
      </c>
      <c r="B7025" s="28" t="e">
        <f>interpola(#REF!,CURVA!$B$6:$B$20,CURVA!$G$6:$G$20)</f>
        <v>#VALUE!</v>
      </c>
      <c r="C7025" s="29" t="e">
        <f t="shared" si="109"/>
        <v>#VALUE!</v>
      </c>
      <c r="E7025" t="e">
        <f>cubic_spline(CURVA!$B$6:$B$20,CURVA!$G$6:$G$20,#REF!)</f>
        <v>#VALUE!</v>
      </c>
    </row>
    <row r="7026" spans="1:5" x14ac:dyDescent="0.2">
      <c r="A7026" s="28">
        <v>7025</v>
      </c>
      <c r="B7026" s="28" t="e">
        <f>interpola(#REF!,CURVA!$B$6:$B$20,CURVA!$G$6:$G$20)</f>
        <v>#VALUE!</v>
      </c>
      <c r="C7026" s="29" t="e">
        <f t="shared" si="109"/>
        <v>#VALUE!</v>
      </c>
      <c r="E7026" t="e">
        <f>cubic_spline(CURVA!$B$6:$B$20,CURVA!$G$6:$G$20,#REF!)</f>
        <v>#VALUE!</v>
      </c>
    </row>
    <row r="7027" spans="1:5" x14ac:dyDescent="0.2">
      <c r="A7027" s="28">
        <v>7026</v>
      </c>
      <c r="B7027" s="28" t="e">
        <f>interpola(#REF!,CURVA!$B$6:$B$20,CURVA!$G$6:$G$20)</f>
        <v>#VALUE!</v>
      </c>
      <c r="C7027" s="29" t="e">
        <f t="shared" si="109"/>
        <v>#VALUE!</v>
      </c>
      <c r="E7027" t="e">
        <f>cubic_spline(CURVA!$B$6:$B$20,CURVA!$G$6:$G$20,#REF!)</f>
        <v>#VALUE!</v>
      </c>
    </row>
    <row r="7028" spans="1:5" x14ac:dyDescent="0.2">
      <c r="A7028" s="28">
        <v>7027</v>
      </c>
      <c r="B7028" s="28" t="e">
        <f>interpola(#REF!,CURVA!$B$6:$B$20,CURVA!$G$6:$G$20)</f>
        <v>#VALUE!</v>
      </c>
      <c r="C7028" s="29" t="e">
        <f t="shared" si="109"/>
        <v>#VALUE!</v>
      </c>
      <c r="E7028" t="e">
        <f>cubic_spline(CURVA!$B$6:$B$20,CURVA!$G$6:$G$20,#REF!)</f>
        <v>#VALUE!</v>
      </c>
    </row>
    <row r="7029" spans="1:5" x14ac:dyDescent="0.2">
      <c r="A7029" s="28">
        <v>7028</v>
      </c>
      <c r="B7029" s="28" t="e">
        <f>interpola(#REF!,CURVA!$B$6:$B$20,CURVA!$G$6:$G$20)</f>
        <v>#VALUE!</v>
      </c>
      <c r="C7029" s="29" t="e">
        <f t="shared" si="109"/>
        <v>#VALUE!</v>
      </c>
      <c r="E7029" t="e">
        <f>cubic_spline(CURVA!$B$6:$B$20,CURVA!$G$6:$G$20,#REF!)</f>
        <v>#VALUE!</v>
      </c>
    </row>
    <row r="7030" spans="1:5" x14ac:dyDescent="0.2">
      <c r="A7030" s="28">
        <v>7029</v>
      </c>
      <c r="B7030" s="28" t="e">
        <f>interpola(#REF!,CURVA!$B$6:$B$20,CURVA!$G$6:$G$20)</f>
        <v>#VALUE!</v>
      </c>
      <c r="C7030" s="29" t="e">
        <f t="shared" si="109"/>
        <v>#VALUE!</v>
      </c>
      <c r="E7030" t="e">
        <f>cubic_spline(CURVA!$B$6:$B$20,CURVA!$G$6:$G$20,#REF!)</f>
        <v>#VALUE!</v>
      </c>
    </row>
    <row r="7031" spans="1:5" x14ac:dyDescent="0.2">
      <c r="A7031" s="28">
        <v>7030</v>
      </c>
      <c r="B7031" s="28" t="e">
        <f>interpola(#REF!,CURVA!$B$6:$B$20,CURVA!$G$6:$G$20)</f>
        <v>#VALUE!</v>
      </c>
      <c r="C7031" s="29" t="e">
        <f t="shared" si="109"/>
        <v>#VALUE!</v>
      </c>
      <c r="E7031" t="e">
        <f>cubic_spline(CURVA!$B$6:$B$20,CURVA!$G$6:$G$20,#REF!)</f>
        <v>#VALUE!</v>
      </c>
    </row>
    <row r="7032" spans="1:5" x14ac:dyDescent="0.2">
      <c r="A7032" s="28">
        <v>7031</v>
      </c>
      <c r="B7032" s="28" t="e">
        <f>interpola(#REF!,CURVA!$B$6:$B$20,CURVA!$G$6:$G$20)</f>
        <v>#VALUE!</v>
      </c>
      <c r="C7032" s="29" t="e">
        <f t="shared" si="109"/>
        <v>#VALUE!</v>
      </c>
      <c r="E7032" t="e">
        <f>cubic_spline(CURVA!$B$6:$B$20,CURVA!$G$6:$G$20,#REF!)</f>
        <v>#VALUE!</v>
      </c>
    </row>
    <row r="7033" spans="1:5" x14ac:dyDescent="0.2">
      <c r="A7033" s="28">
        <v>7032</v>
      </c>
      <c r="B7033" s="28" t="e">
        <f>interpola(#REF!,CURVA!$B$6:$B$20,CURVA!$G$6:$G$20)</f>
        <v>#VALUE!</v>
      </c>
      <c r="C7033" s="29" t="e">
        <f t="shared" si="109"/>
        <v>#VALUE!</v>
      </c>
      <c r="E7033" t="e">
        <f>cubic_spline(CURVA!$B$6:$B$20,CURVA!$G$6:$G$20,#REF!)</f>
        <v>#VALUE!</v>
      </c>
    </row>
    <row r="7034" spans="1:5" x14ac:dyDescent="0.2">
      <c r="A7034" s="28">
        <v>7033</v>
      </c>
      <c r="B7034" s="28" t="e">
        <f>interpola(#REF!,CURVA!$B$6:$B$20,CURVA!$G$6:$G$20)</f>
        <v>#VALUE!</v>
      </c>
      <c r="C7034" s="29" t="e">
        <f t="shared" si="109"/>
        <v>#VALUE!</v>
      </c>
      <c r="E7034" t="e">
        <f>cubic_spline(CURVA!$B$6:$B$20,CURVA!$G$6:$G$20,#REF!)</f>
        <v>#VALUE!</v>
      </c>
    </row>
    <row r="7035" spans="1:5" x14ac:dyDescent="0.2">
      <c r="A7035" s="28">
        <v>7034</v>
      </c>
      <c r="B7035" s="28" t="e">
        <f>interpola(#REF!,CURVA!$B$6:$B$20,CURVA!$G$6:$G$20)</f>
        <v>#VALUE!</v>
      </c>
      <c r="C7035" s="29" t="e">
        <f t="shared" si="109"/>
        <v>#VALUE!</v>
      </c>
      <c r="E7035" t="e">
        <f>cubic_spline(CURVA!$B$6:$B$20,CURVA!$G$6:$G$20,#REF!)</f>
        <v>#VALUE!</v>
      </c>
    </row>
    <row r="7036" spans="1:5" x14ac:dyDescent="0.2">
      <c r="A7036" s="28">
        <v>7035</v>
      </c>
      <c r="B7036" s="28" t="e">
        <f>interpola(#REF!,CURVA!$B$6:$B$20,CURVA!$G$6:$G$20)</f>
        <v>#VALUE!</v>
      </c>
      <c r="C7036" s="29" t="e">
        <f t="shared" si="109"/>
        <v>#VALUE!</v>
      </c>
      <c r="E7036" t="e">
        <f>cubic_spline(CURVA!$B$6:$B$20,CURVA!$G$6:$G$20,#REF!)</f>
        <v>#VALUE!</v>
      </c>
    </row>
    <row r="7037" spans="1:5" x14ac:dyDescent="0.2">
      <c r="A7037" s="28">
        <v>7036</v>
      </c>
      <c r="B7037" s="28" t="e">
        <f>interpola(#REF!,CURVA!$B$6:$B$20,CURVA!$G$6:$G$20)</f>
        <v>#VALUE!</v>
      </c>
      <c r="C7037" s="29" t="e">
        <f t="shared" si="109"/>
        <v>#VALUE!</v>
      </c>
      <c r="E7037" t="e">
        <f>cubic_spline(CURVA!$B$6:$B$20,CURVA!$G$6:$G$20,#REF!)</f>
        <v>#VALUE!</v>
      </c>
    </row>
    <row r="7038" spans="1:5" x14ac:dyDescent="0.2">
      <c r="A7038" s="28">
        <v>7037</v>
      </c>
      <c r="B7038" s="28" t="e">
        <f>interpola(#REF!,CURVA!$B$6:$B$20,CURVA!$G$6:$G$20)</f>
        <v>#VALUE!</v>
      </c>
      <c r="C7038" s="29" t="e">
        <f t="shared" si="109"/>
        <v>#VALUE!</v>
      </c>
      <c r="E7038" t="e">
        <f>cubic_spline(CURVA!$B$6:$B$20,CURVA!$G$6:$G$20,#REF!)</f>
        <v>#VALUE!</v>
      </c>
    </row>
    <row r="7039" spans="1:5" x14ac:dyDescent="0.2">
      <c r="A7039" s="28">
        <v>7038</v>
      </c>
      <c r="B7039" s="28" t="e">
        <f>interpola(#REF!,CURVA!$B$6:$B$20,CURVA!$G$6:$G$20)</f>
        <v>#VALUE!</v>
      </c>
      <c r="C7039" s="29" t="e">
        <f t="shared" si="109"/>
        <v>#VALUE!</v>
      </c>
      <c r="E7039" t="e">
        <f>cubic_spline(CURVA!$B$6:$B$20,CURVA!$G$6:$G$20,#REF!)</f>
        <v>#VALUE!</v>
      </c>
    </row>
    <row r="7040" spans="1:5" x14ac:dyDescent="0.2">
      <c r="A7040" s="28">
        <v>7039</v>
      </c>
      <c r="B7040" s="28" t="e">
        <f>interpola(#REF!,CURVA!$B$6:$B$20,CURVA!$G$6:$G$20)</f>
        <v>#VALUE!</v>
      </c>
      <c r="C7040" s="29" t="e">
        <f t="shared" si="109"/>
        <v>#VALUE!</v>
      </c>
      <c r="E7040" t="e">
        <f>cubic_spline(CURVA!$B$6:$B$20,CURVA!$G$6:$G$20,#REF!)</f>
        <v>#VALUE!</v>
      </c>
    </row>
    <row r="7041" spans="1:5" x14ac:dyDescent="0.2">
      <c r="A7041" s="28">
        <v>7040</v>
      </c>
      <c r="B7041" s="28" t="e">
        <f>interpola(#REF!,CURVA!$B$6:$B$20,CURVA!$G$6:$G$20)</f>
        <v>#VALUE!</v>
      </c>
      <c r="C7041" s="29" t="e">
        <f t="shared" si="109"/>
        <v>#VALUE!</v>
      </c>
      <c r="E7041" t="e">
        <f>cubic_spline(CURVA!$B$6:$B$20,CURVA!$G$6:$G$20,#REF!)</f>
        <v>#VALUE!</v>
      </c>
    </row>
    <row r="7042" spans="1:5" x14ac:dyDescent="0.2">
      <c r="A7042" s="28">
        <v>7041</v>
      </c>
      <c r="B7042" s="28" t="e">
        <f>interpola(#REF!,CURVA!$B$6:$B$20,CURVA!$G$6:$G$20)</f>
        <v>#VALUE!</v>
      </c>
      <c r="C7042" s="29" t="e">
        <f t="shared" ref="C7042:C7105" si="110">(EXP(B7042*A7042/360)-1)*360/A7042</f>
        <v>#VALUE!</v>
      </c>
      <c r="E7042" t="e">
        <f>cubic_spline(CURVA!$B$6:$B$20,CURVA!$G$6:$G$20,#REF!)</f>
        <v>#VALUE!</v>
      </c>
    </row>
    <row r="7043" spans="1:5" x14ac:dyDescent="0.2">
      <c r="A7043" s="28">
        <v>7042</v>
      </c>
      <c r="B7043" s="28" t="e">
        <f>interpola(#REF!,CURVA!$B$6:$B$20,CURVA!$G$6:$G$20)</f>
        <v>#VALUE!</v>
      </c>
      <c r="C7043" s="29" t="e">
        <f t="shared" si="110"/>
        <v>#VALUE!</v>
      </c>
      <c r="E7043" t="e">
        <f>cubic_spline(CURVA!$B$6:$B$20,CURVA!$G$6:$G$20,#REF!)</f>
        <v>#VALUE!</v>
      </c>
    </row>
    <row r="7044" spans="1:5" x14ac:dyDescent="0.2">
      <c r="A7044" s="28">
        <v>7043</v>
      </c>
      <c r="B7044" s="28" t="e">
        <f>interpola(#REF!,CURVA!$B$6:$B$20,CURVA!$G$6:$G$20)</f>
        <v>#VALUE!</v>
      </c>
      <c r="C7044" s="29" t="e">
        <f t="shared" si="110"/>
        <v>#VALUE!</v>
      </c>
      <c r="E7044" t="e">
        <f>cubic_spline(CURVA!$B$6:$B$20,CURVA!$G$6:$G$20,#REF!)</f>
        <v>#VALUE!</v>
      </c>
    </row>
    <row r="7045" spans="1:5" x14ac:dyDescent="0.2">
      <c r="A7045" s="28">
        <v>7044</v>
      </c>
      <c r="B7045" s="28" t="e">
        <f>interpola(#REF!,CURVA!$B$6:$B$20,CURVA!$G$6:$G$20)</f>
        <v>#VALUE!</v>
      </c>
      <c r="C7045" s="29" t="e">
        <f t="shared" si="110"/>
        <v>#VALUE!</v>
      </c>
      <c r="E7045" t="e">
        <f>cubic_spline(CURVA!$B$6:$B$20,CURVA!$G$6:$G$20,#REF!)</f>
        <v>#VALUE!</v>
      </c>
    </row>
    <row r="7046" spans="1:5" x14ac:dyDescent="0.2">
      <c r="A7046" s="28">
        <v>7045</v>
      </c>
      <c r="B7046" s="28" t="e">
        <f>interpola(#REF!,CURVA!$B$6:$B$20,CURVA!$G$6:$G$20)</f>
        <v>#VALUE!</v>
      </c>
      <c r="C7046" s="29" t="e">
        <f t="shared" si="110"/>
        <v>#VALUE!</v>
      </c>
      <c r="E7046" t="e">
        <f>cubic_spline(CURVA!$B$6:$B$20,CURVA!$G$6:$G$20,#REF!)</f>
        <v>#VALUE!</v>
      </c>
    </row>
    <row r="7047" spans="1:5" x14ac:dyDescent="0.2">
      <c r="A7047" s="28">
        <v>7046</v>
      </c>
      <c r="B7047" s="28" t="e">
        <f>interpola(#REF!,CURVA!$B$6:$B$20,CURVA!$G$6:$G$20)</f>
        <v>#VALUE!</v>
      </c>
      <c r="C7047" s="29" t="e">
        <f t="shared" si="110"/>
        <v>#VALUE!</v>
      </c>
      <c r="E7047" t="e">
        <f>cubic_spline(CURVA!$B$6:$B$20,CURVA!$G$6:$G$20,#REF!)</f>
        <v>#VALUE!</v>
      </c>
    </row>
    <row r="7048" spans="1:5" x14ac:dyDescent="0.2">
      <c r="A7048" s="28">
        <v>7047</v>
      </c>
      <c r="B7048" s="28" t="e">
        <f>interpola(#REF!,CURVA!$B$6:$B$20,CURVA!$G$6:$G$20)</f>
        <v>#VALUE!</v>
      </c>
      <c r="C7048" s="29" t="e">
        <f t="shared" si="110"/>
        <v>#VALUE!</v>
      </c>
      <c r="E7048" t="e">
        <f>cubic_spline(CURVA!$B$6:$B$20,CURVA!$G$6:$G$20,#REF!)</f>
        <v>#VALUE!</v>
      </c>
    </row>
    <row r="7049" spans="1:5" x14ac:dyDescent="0.2">
      <c r="A7049" s="28">
        <v>7048</v>
      </c>
      <c r="B7049" s="28" t="e">
        <f>interpola(#REF!,CURVA!$B$6:$B$20,CURVA!$G$6:$G$20)</f>
        <v>#VALUE!</v>
      </c>
      <c r="C7049" s="29" t="e">
        <f t="shared" si="110"/>
        <v>#VALUE!</v>
      </c>
      <c r="E7049" t="e">
        <f>cubic_spline(CURVA!$B$6:$B$20,CURVA!$G$6:$G$20,#REF!)</f>
        <v>#VALUE!</v>
      </c>
    </row>
    <row r="7050" spans="1:5" x14ac:dyDescent="0.2">
      <c r="A7050" s="28">
        <v>7049</v>
      </c>
      <c r="B7050" s="28" t="e">
        <f>interpola(#REF!,CURVA!$B$6:$B$20,CURVA!$G$6:$G$20)</f>
        <v>#VALUE!</v>
      </c>
      <c r="C7050" s="29" t="e">
        <f t="shared" si="110"/>
        <v>#VALUE!</v>
      </c>
      <c r="E7050" t="e">
        <f>cubic_spline(CURVA!$B$6:$B$20,CURVA!$G$6:$G$20,#REF!)</f>
        <v>#VALUE!</v>
      </c>
    </row>
    <row r="7051" spans="1:5" x14ac:dyDescent="0.2">
      <c r="A7051" s="28">
        <v>7050</v>
      </c>
      <c r="B7051" s="28" t="e">
        <f>interpola(#REF!,CURVA!$B$6:$B$20,CURVA!$G$6:$G$20)</f>
        <v>#VALUE!</v>
      </c>
      <c r="C7051" s="29" t="e">
        <f t="shared" si="110"/>
        <v>#VALUE!</v>
      </c>
      <c r="E7051" t="e">
        <f>cubic_spline(CURVA!$B$6:$B$20,CURVA!$G$6:$G$20,#REF!)</f>
        <v>#VALUE!</v>
      </c>
    </row>
    <row r="7052" spans="1:5" x14ac:dyDescent="0.2">
      <c r="A7052" s="28">
        <v>7051</v>
      </c>
      <c r="B7052" s="28" t="e">
        <f>interpola(#REF!,CURVA!$B$6:$B$20,CURVA!$G$6:$G$20)</f>
        <v>#VALUE!</v>
      </c>
      <c r="C7052" s="29" t="e">
        <f t="shared" si="110"/>
        <v>#VALUE!</v>
      </c>
      <c r="E7052" t="e">
        <f>cubic_spline(CURVA!$B$6:$B$20,CURVA!$G$6:$G$20,#REF!)</f>
        <v>#VALUE!</v>
      </c>
    </row>
    <row r="7053" spans="1:5" x14ac:dyDescent="0.2">
      <c r="A7053" s="28">
        <v>7052</v>
      </c>
      <c r="B7053" s="28" t="e">
        <f>interpola(#REF!,CURVA!$B$6:$B$20,CURVA!$G$6:$G$20)</f>
        <v>#VALUE!</v>
      </c>
      <c r="C7053" s="29" t="e">
        <f t="shared" si="110"/>
        <v>#VALUE!</v>
      </c>
      <c r="E7053" t="e">
        <f>cubic_spline(CURVA!$B$6:$B$20,CURVA!$G$6:$G$20,#REF!)</f>
        <v>#VALUE!</v>
      </c>
    </row>
    <row r="7054" spans="1:5" x14ac:dyDescent="0.2">
      <c r="A7054" s="28">
        <v>7053</v>
      </c>
      <c r="B7054" s="28" t="e">
        <f>interpola(#REF!,CURVA!$B$6:$B$20,CURVA!$G$6:$G$20)</f>
        <v>#VALUE!</v>
      </c>
      <c r="C7054" s="29" t="e">
        <f t="shared" si="110"/>
        <v>#VALUE!</v>
      </c>
      <c r="E7054" t="e">
        <f>cubic_spline(CURVA!$B$6:$B$20,CURVA!$G$6:$G$20,#REF!)</f>
        <v>#VALUE!</v>
      </c>
    </row>
    <row r="7055" spans="1:5" x14ac:dyDescent="0.2">
      <c r="A7055" s="28">
        <v>7054</v>
      </c>
      <c r="B7055" s="28" t="e">
        <f>interpola(#REF!,CURVA!$B$6:$B$20,CURVA!$G$6:$G$20)</f>
        <v>#VALUE!</v>
      </c>
      <c r="C7055" s="29" t="e">
        <f t="shared" si="110"/>
        <v>#VALUE!</v>
      </c>
      <c r="E7055" t="e">
        <f>cubic_spline(CURVA!$B$6:$B$20,CURVA!$G$6:$G$20,#REF!)</f>
        <v>#VALUE!</v>
      </c>
    </row>
    <row r="7056" spans="1:5" x14ac:dyDescent="0.2">
      <c r="A7056" s="28">
        <v>7055</v>
      </c>
      <c r="B7056" s="28" t="e">
        <f>interpola(#REF!,CURVA!$B$6:$B$20,CURVA!$G$6:$G$20)</f>
        <v>#VALUE!</v>
      </c>
      <c r="C7056" s="29" t="e">
        <f t="shared" si="110"/>
        <v>#VALUE!</v>
      </c>
      <c r="E7056" t="e">
        <f>cubic_spline(CURVA!$B$6:$B$20,CURVA!$G$6:$G$20,#REF!)</f>
        <v>#VALUE!</v>
      </c>
    </row>
    <row r="7057" spans="1:5" x14ac:dyDescent="0.2">
      <c r="A7057" s="28">
        <v>7056</v>
      </c>
      <c r="B7057" s="28" t="e">
        <f>interpola(#REF!,CURVA!$B$6:$B$20,CURVA!$G$6:$G$20)</f>
        <v>#VALUE!</v>
      </c>
      <c r="C7057" s="29" t="e">
        <f t="shared" si="110"/>
        <v>#VALUE!</v>
      </c>
      <c r="E7057" t="e">
        <f>cubic_spline(CURVA!$B$6:$B$20,CURVA!$G$6:$G$20,#REF!)</f>
        <v>#VALUE!</v>
      </c>
    </row>
    <row r="7058" spans="1:5" x14ac:dyDescent="0.2">
      <c r="A7058" s="28">
        <v>7057</v>
      </c>
      <c r="B7058" s="28" t="e">
        <f>interpola(#REF!,CURVA!$B$6:$B$20,CURVA!$G$6:$G$20)</f>
        <v>#VALUE!</v>
      </c>
      <c r="C7058" s="29" t="e">
        <f t="shared" si="110"/>
        <v>#VALUE!</v>
      </c>
      <c r="E7058" t="e">
        <f>cubic_spline(CURVA!$B$6:$B$20,CURVA!$G$6:$G$20,#REF!)</f>
        <v>#VALUE!</v>
      </c>
    </row>
    <row r="7059" spans="1:5" x14ac:dyDescent="0.2">
      <c r="A7059" s="28">
        <v>7058</v>
      </c>
      <c r="B7059" s="28" t="e">
        <f>interpola(#REF!,CURVA!$B$6:$B$20,CURVA!$G$6:$G$20)</f>
        <v>#VALUE!</v>
      </c>
      <c r="C7059" s="29" t="e">
        <f t="shared" si="110"/>
        <v>#VALUE!</v>
      </c>
      <c r="E7059" t="e">
        <f>cubic_spline(CURVA!$B$6:$B$20,CURVA!$G$6:$G$20,#REF!)</f>
        <v>#VALUE!</v>
      </c>
    </row>
    <row r="7060" spans="1:5" x14ac:dyDescent="0.2">
      <c r="A7060" s="28">
        <v>7059</v>
      </c>
      <c r="B7060" s="28" t="e">
        <f>interpola(#REF!,CURVA!$B$6:$B$20,CURVA!$G$6:$G$20)</f>
        <v>#VALUE!</v>
      </c>
      <c r="C7060" s="29" t="e">
        <f t="shared" si="110"/>
        <v>#VALUE!</v>
      </c>
      <c r="E7060" t="e">
        <f>cubic_spline(CURVA!$B$6:$B$20,CURVA!$G$6:$G$20,#REF!)</f>
        <v>#VALUE!</v>
      </c>
    </row>
    <row r="7061" spans="1:5" x14ac:dyDescent="0.2">
      <c r="A7061" s="28">
        <v>7060</v>
      </c>
      <c r="B7061" s="28" t="e">
        <f>interpola(#REF!,CURVA!$B$6:$B$20,CURVA!$G$6:$G$20)</f>
        <v>#VALUE!</v>
      </c>
      <c r="C7061" s="29" t="e">
        <f t="shared" si="110"/>
        <v>#VALUE!</v>
      </c>
      <c r="E7061" t="e">
        <f>cubic_spline(CURVA!$B$6:$B$20,CURVA!$G$6:$G$20,#REF!)</f>
        <v>#VALUE!</v>
      </c>
    </row>
    <row r="7062" spans="1:5" x14ac:dyDescent="0.2">
      <c r="A7062" s="28">
        <v>7061</v>
      </c>
      <c r="B7062" s="28" t="e">
        <f>interpola(#REF!,CURVA!$B$6:$B$20,CURVA!$G$6:$G$20)</f>
        <v>#VALUE!</v>
      </c>
      <c r="C7062" s="29" t="e">
        <f t="shared" si="110"/>
        <v>#VALUE!</v>
      </c>
      <c r="E7062" t="e">
        <f>cubic_spline(CURVA!$B$6:$B$20,CURVA!$G$6:$G$20,#REF!)</f>
        <v>#VALUE!</v>
      </c>
    </row>
    <row r="7063" spans="1:5" x14ac:dyDescent="0.2">
      <c r="A7063" s="28">
        <v>7062</v>
      </c>
      <c r="B7063" s="28" t="e">
        <f>interpola(#REF!,CURVA!$B$6:$B$20,CURVA!$G$6:$G$20)</f>
        <v>#VALUE!</v>
      </c>
      <c r="C7063" s="29" t="e">
        <f t="shared" si="110"/>
        <v>#VALUE!</v>
      </c>
      <c r="E7063" t="e">
        <f>cubic_spline(CURVA!$B$6:$B$20,CURVA!$G$6:$G$20,#REF!)</f>
        <v>#VALUE!</v>
      </c>
    </row>
    <row r="7064" spans="1:5" x14ac:dyDescent="0.2">
      <c r="A7064" s="28">
        <v>7063</v>
      </c>
      <c r="B7064" s="28" t="e">
        <f>interpola(#REF!,CURVA!$B$6:$B$20,CURVA!$G$6:$G$20)</f>
        <v>#VALUE!</v>
      </c>
      <c r="C7064" s="29" t="e">
        <f t="shared" si="110"/>
        <v>#VALUE!</v>
      </c>
      <c r="E7064" t="e">
        <f>cubic_spline(CURVA!$B$6:$B$20,CURVA!$G$6:$G$20,#REF!)</f>
        <v>#VALUE!</v>
      </c>
    </row>
    <row r="7065" spans="1:5" x14ac:dyDescent="0.2">
      <c r="A7065" s="28">
        <v>7064</v>
      </c>
      <c r="B7065" s="28" t="e">
        <f>interpola(#REF!,CURVA!$B$6:$B$20,CURVA!$G$6:$G$20)</f>
        <v>#VALUE!</v>
      </c>
      <c r="C7065" s="29" t="e">
        <f t="shared" si="110"/>
        <v>#VALUE!</v>
      </c>
      <c r="E7065" t="e">
        <f>cubic_spline(CURVA!$B$6:$B$20,CURVA!$G$6:$G$20,#REF!)</f>
        <v>#VALUE!</v>
      </c>
    </row>
    <row r="7066" spans="1:5" x14ac:dyDescent="0.2">
      <c r="A7066" s="28">
        <v>7065</v>
      </c>
      <c r="B7066" s="28" t="e">
        <f>interpola(#REF!,CURVA!$B$6:$B$20,CURVA!$G$6:$G$20)</f>
        <v>#VALUE!</v>
      </c>
      <c r="C7066" s="29" t="e">
        <f t="shared" si="110"/>
        <v>#VALUE!</v>
      </c>
      <c r="E7066" t="e">
        <f>cubic_spline(CURVA!$B$6:$B$20,CURVA!$G$6:$G$20,#REF!)</f>
        <v>#VALUE!</v>
      </c>
    </row>
    <row r="7067" spans="1:5" x14ac:dyDescent="0.2">
      <c r="A7067" s="28">
        <v>7066</v>
      </c>
      <c r="B7067" s="28" t="e">
        <f>interpola(#REF!,CURVA!$B$6:$B$20,CURVA!$G$6:$G$20)</f>
        <v>#VALUE!</v>
      </c>
      <c r="C7067" s="29" t="e">
        <f t="shared" si="110"/>
        <v>#VALUE!</v>
      </c>
      <c r="E7067" t="e">
        <f>cubic_spline(CURVA!$B$6:$B$20,CURVA!$G$6:$G$20,#REF!)</f>
        <v>#VALUE!</v>
      </c>
    </row>
    <row r="7068" spans="1:5" x14ac:dyDescent="0.2">
      <c r="A7068" s="28">
        <v>7067</v>
      </c>
      <c r="B7068" s="28" t="e">
        <f>interpola(#REF!,CURVA!$B$6:$B$20,CURVA!$G$6:$G$20)</f>
        <v>#VALUE!</v>
      </c>
      <c r="C7068" s="29" t="e">
        <f t="shared" si="110"/>
        <v>#VALUE!</v>
      </c>
      <c r="E7068" t="e">
        <f>cubic_spline(CURVA!$B$6:$B$20,CURVA!$G$6:$G$20,#REF!)</f>
        <v>#VALUE!</v>
      </c>
    </row>
    <row r="7069" spans="1:5" x14ac:dyDescent="0.2">
      <c r="A7069" s="28">
        <v>7068</v>
      </c>
      <c r="B7069" s="28" t="e">
        <f>interpola(#REF!,CURVA!$B$6:$B$20,CURVA!$G$6:$G$20)</f>
        <v>#VALUE!</v>
      </c>
      <c r="C7069" s="29" t="e">
        <f t="shared" si="110"/>
        <v>#VALUE!</v>
      </c>
      <c r="E7069" t="e">
        <f>cubic_spline(CURVA!$B$6:$B$20,CURVA!$G$6:$G$20,#REF!)</f>
        <v>#VALUE!</v>
      </c>
    </row>
    <row r="7070" spans="1:5" x14ac:dyDescent="0.2">
      <c r="A7070" s="28">
        <v>7069</v>
      </c>
      <c r="B7070" s="28" t="e">
        <f>interpola(#REF!,CURVA!$B$6:$B$20,CURVA!$G$6:$G$20)</f>
        <v>#VALUE!</v>
      </c>
      <c r="C7070" s="29" t="e">
        <f t="shared" si="110"/>
        <v>#VALUE!</v>
      </c>
      <c r="E7070" t="e">
        <f>cubic_spline(CURVA!$B$6:$B$20,CURVA!$G$6:$G$20,#REF!)</f>
        <v>#VALUE!</v>
      </c>
    </row>
    <row r="7071" spans="1:5" x14ac:dyDescent="0.2">
      <c r="A7071" s="28">
        <v>7070</v>
      </c>
      <c r="B7071" s="28" t="e">
        <f>interpola(#REF!,CURVA!$B$6:$B$20,CURVA!$G$6:$G$20)</f>
        <v>#VALUE!</v>
      </c>
      <c r="C7071" s="29" t="e">
        <f t="shared" si="110"/>
        <v>#VALUE!</v>
      </c>
      <c r="E7071" t="e">
        <f>cubic_spline(CURVA!$B$6:$B$20,CURVA!$G$6:$G$20,#REF!)</f>
        <v>#VALUE!</v>
      </c>
    </row>
    <row r="7072" spans="1:5" x14ac:dyDescent="0.2">
      <c r="A7072" s="28">
        <v>7071</v>
      </c>
      <c r="B7072" s="28" t="e">
        <f>interpola(#REF!,CURVA!$B$6:$B$20,CURVA!$G$6:$G$20)</f>
        <v>#VALUE!</v>
      </c>
      <c r="C7072" s="29" t="e">
        <f t="shared" si="110"/>
        <v>#VALUE!</v>
      </c>
      <c r="E7072" t="e">
        <f>cubic_spline(CURVA!$B$6:$B$20,CURVA!$G$6:$G$20,#REF!)</f>
        <v>#VALUE!</v>
      </c>
    </row>
    <row r="7073" spans="1:5" x14ac:dyDescent="0.2">
      <c r="A7073" s="28">
        <v>7072</v>
      </c>
      <c r="B7073" s="28" t="e">
        <f>interpola(#REF!,CURVA!$B$6:$B$20,CURVA!$G$6:$G$20)</f>
        <v>#VALUE!</v>
      </c>
      <c r="C7073" s="29" t="e">
        <f t="shared" si="110"/>
        <v>#VALUE!</v>
      </c>
      <c r="E7073" t="e">
        <f>cubic_spline(CURVA!$B$6:$B$20,CURVA!$G$6:$G$20,#REF!)</f>
        <v>#VALUE!</v>
      </c>
    </row>
    <row r="7074" spans="1:5" x14ac:dyDescent="0.2">
      <c r="A7074" s="28">
        <v>7073</v>
      </c>
      <c r="B7074" s="28" t="e">
        <f>interpola(#REF!,CURVA!$B$6:$B$20,CURVA!$G$6:$G$20)</f>
        <v>#VALUE!</v>
      </c>
      <c r="C7074" s="29" t="e">
        <f t="shared" si="110"/>
        <v>#VALUE!</v>
      </c>
      <c r="E7074" t="e">
        <f>cubic_spline(CURVA!$B$6:$B$20,CURVA!$G$6:$G$20,#REF!)</f>
        <v>#VALUE!</v>
      </c>
    </row>
    <row r="7075" spans="1:5" x14ac:dyDescent="0.2">
      <c r="A7075" s="28">
        <v>7074</v>
      </c>
      <c r="B7075" s="28" t="e">
        <f>interpola(#REF!,CURVA!$B$6:$B$20,CURVA!$G$6:$G$20)</f>
        <v>#VALUE!</v>
      </c>
      <c r="C7075" s="29" t="e">
        <f t="shared" si="110"/>
        <v>#VALUE!</v>
      </c>
      <c r="E7075" t="e">
        <f>cubic_spline(CURVA!$B$6:$B$20,CURVA!$G$6:$G$20,#REF!)</f>
        <v>#VALUE!</v>
      </c>
    </row>
    <row r="7076" spans="1:5" x14ac:dyDescent="0.2">
      <c r="A7076" s="28">
        <v>7075</v>
      </c>
      <c r="B7076" s="28" t="e">
        <f>interpola(#REF!,CURVA!$B$6:$B$20,CURVA!$G$6:$G$20)</f>
        <v>#VALUE!</v>
      </c>
      <c r="C7076" s="29" t="e">
        <f t="shared" si="110"/>
        <v>#VALUE!</v>
      </c>
      <c r="E7076" t="e">
        <f>cubic_spline(CURVA!$B$6:$B$20,CURVA!$G$6:$G$20,#REF!)</f>
        <v>#VALUE!</v>
      </c>
    </row>
    <row r="7077" spans="1:5" x14ac:dyDescent="0.2">
      <c r="A7077" s="28">
        <v>7076</v>
      </c>
      <c r="B7077" s="28" t="e">
        <f>interpola(#REF!,CURVA!$B$6:$B$20,CURVA!$G$6:$G$20)</f>
        <v>#VALUE!</v>
      </c>
      <c r="C7077" s="29" t="e">
        <f t="shared" si="110"/>
        <v>#VALUE!</v>
      </c>
      <c r="E7077" t="e">
        <f>cubic_spline(CURVA!$B$6:$B$20,CURVA!$G$6:$G$20,#REF!)</f>
        <v>#VALUE!</v>
      </c>
    </row>
    <row r="7078" spans="1:5" x14ac:dyDescent="0.2">
      <c r="A7078" s="28">
        <v>7077</v>
      </c>
      <c r="B7078" s="28" t="e">
        <f>interpola(#REF!,CURVA!$B$6:$B$20,CURVA!$G$6:$G$20)</f>
        <v>#VALUE!</v>
      </c>
      <c r="C7078" s="29" t="e">
        <f t="shared" si="110"/>
        <v>#VALUE!</v>
      </c>
      <c r="E7078" t="e">
        <f>cubic_spline(CURVA!$B$6:$B$20,CURVA!$G$6:$G$20,#REF!)</f>
        <v>#VALUE!</v>
      </c>
    </row>
    <row r="7079" spans="1:5" x14ac:dyDescent="0.2">
      <c r="A7079" s="28">
        <v>7078</v>
      </c>
      <c r="B7079" s="28" t="e">
        <f>interpola(#REF!,CURVA!$B$6:$B$20,CURVA!$G$6:$G$20)</f>
        <v>#VALUE!</v>
      </c>
      <c r="C7079" s="29" t="e">
        <f t="shared" si="110"/>
        <v>#VALUE!</v>
      </c>
      <c r="E7079" t="e">
        <f>cubic_spline(CURVA!$B$6:$B$20,CURVA!$G$6:$G$20,#REF!)</f>
        <v>#VALUE!</v>
      </c>
    </row>
    <row r="7080" spans="1:5" x14ac:dyDescent="0.2">
      <c r="A7080" s="28">
        <v>7079</v>
      </c>
      <c r="B7080" s="28" t="e">
        <f>interpola(#REF!,CURVA!$B$6:$B$20,CURVA!$G$6:$G$20)</f>
        <v>#VALUE!</v>
      </c>
      <c r="C7080" s="29" t="e">
        <f t="shared" si="110"/>
        <v>#VALUE!</v>
      </c>
      <c r="E7080" t="e">
        <f>cubic_spline(CURVA!$B$6:$B$20,CURVA!$G$6:$G$20,#REF!)</f>
        <v>#VALUE!</v>
      </c>
    </row>
    <row r="7081" spans="1:5" x14ac:dyDescent="0.2">
      <c r="A7081" s="28">
        <v>7080</v>
      </c>
      <c r="B7081" s="28" t="e">
        <f>interpola(#REF!,CURVA!$B$6:$B$20,CURVA!$G$6:$G$20)</f>
        <v>#VALUE!</v>
      </c>
      <c r="C7081" s="29" t="e">
        <f t="shared" si="110"/>
        <v>#VALUE!</v>
      </c>
      <c r="E7081" t="e">
        <f>cubic_spline(CURVA!$B$6:$B$20,CURVA!$G$6:$G$20,#REF!)</f>
        <v>#VALUE!</v>
      </c>
    </row>
    <row r="7082" spans="1:5" x14ac:dyDescent="0.2">
      <c r="A7082" s="28">
        <v>7081</v>
      </c>
      <c r="B7082" s="28" t="e">
        <f>interpola(#REF!,CURVA!$B$6:$B$20,CURVA!$G$6:$G$20)</f>
        <v>#VALUE!</v>
      </c>
      <c r="C7082" s="29" t="e">
        <f t="shared" si="110"/>
        <v>#VALUE!</v>
      </c>
      <c r="E7082" t="e">
        <f>cubic_spline(CURVA!$B$6:$B$20,CURVA!$G$6:$G$20,#REF!)</f>
        <v>#VALUE!</v>
      </c>
    </row>
    <row r="7083" spans="1:5" x14ac:dyDescent="0.2">
      <c r="A7083" s="28">
        <v>7082</v>
      </c>
      <c r="B7083" s="28" t="e">
        <f>interpola(#REF!,CURVA!$B$6:$B$20,CURVA!$G$6:$G$20)</f>
        <v>#VALUE!</v>
      </c>
      <c r="C7083" s="29" t="e">
        <f t="shared" si="110"/>
        <v>#VALUE!</v>
      </c>
      <c r="E7083" t="e">
        <f>cubic_spline(CURVA!$B$6:$B$20,CURVA!$G$6:$G$20,#REF!)</f>
        <v>#VALUE!</v>
      </c>
    </row>
    <row r="7084" spans="1:5" x14ac:dyDescent="0.2">
      <c r="A7084" s="28">
        <v>7083</v>
      </c>
      <c r="B7084" s="28" t="e">
        <f>interpola(#REF!,CURVA!$B$6:$B$20,CURVA!$G$6:$G$20)</f>
        <v>#VALUE!</v>
      </c>
      <c r="C7084" s="29" t="e">
        <f t="shared" si="110"/>
        <v>#VALUE!</v>
      </c>
      <c r="E7084" t="e">
        <f>cubic_spline(CURVA!$B$6:$B$20,CURVA!$G$6:$G$20,#REF!)</f>
        <v>#VALUE!</v>
      </c>
    </row>
    <row r="7085" spans="1:5" x14ac:dyDescent="0.2">
      <c r="A7085" s="28">
        <v>7084</v>
      </c>
      <c r="B7085" s="28" t="e">
        <f>interpola(#REF!,CURVA!$B$6:$B$20,CURVA!$G$6:$G$20)</f>
        <v>#VALUE!</v>
      </c>
      <c r="C7085" s="29" t="e">
        <f t="shared" si="110"/>
        <v>#VALUE!</v>
      </c>
      <c r="E7085" t="e">
        <f>cubic_spline(CURVA!$B$6:$B$20,CURVA!$G$6:$G$20,#REF!)</f>
        <v>#VALUE!</v>
      </c>
    </row>
    <row r="7086" spans="1:5" x14ac:dyDescent="0.2">
      <c r="A7086" s="28">
        <v>7085</v>
      </c>
      <c r="B7086" s="28" t="e">
        <f>interpola(#REF!,CURVA!$B$6:$B$20,CURVA!$G$6:$G$20)</f>
        <v>#VALUE!</v>
      </c>
      <c r="C7086" s="29" t="e">
        <f t="shared" si="110"/>
        <v>#VALUE!</v>
      </c>
      <c r="E7086" t="e">
        <f>cubic_spline(CURVA!$B$6:$B$20,CURVA!$G$6:$G$20,#REF!)</f>
        <v>#VALUE!</v>
      </c>
    </row>
    <row r="7087" spans="1:5" x14ac:dyDescent="0.2">
      <c r="A7087" s="28">
        <v>7086</v>
      </c>
      <c r="B7087" s="28" t="e">
        <f>interpola(#REF!,CURVA!$B$6:$B$20,CURVA!$G$6:$G$20)</f>
        <v>#VALUE!</v>
      </c>
      <c r="C7087" s="29" t="e">
        <f t="shared" si="110"/>
        <v>#VALUE!</v>
      </c>
      <c r="E7087" t="e">
        <f>cubic_spline(CURVA!$B$6:$B$20,CURVA!$G$6:$G$20,#REF!)</f>
        <v>#VALUE!</v>
      </c>
    </row>
    <row r="7088" spans="1:5" x14ac:dyDescent="0.2">
      <c r="A7088" s="28">
        <v>7087</v>
      </c>
      <c r="B7088" s="28" t="e">
        <f>interpola(#REF!,CURVA!$B$6:$B$20,CURVA!$G$6:$G$20)</f>
        <v>#VALUE!</v>
      </c>
      <c r="C7088" s="29" t="e">
        <f t="shared" si="110"/>
        <v>#VALUE!</v>
      </c>
      <c r="E7088" t="e">
        <f>cubic_spline(CURVA!$B$6:$B$20,CURVA!$G$6:$G$20,#REF!)</f>
        <v>#VALUE!</v>
      </c>
    </row>
    <row r="7089" spans="1:5" x14ac:dyDescent="0.2">
      <c r="A7089" s="28">
        <v>7088</v>
      </c>
      <c r="B7089" s="28" t="e">
        <f>interpola(#REF!,CURVA!$B$6:$B$20,CURVA!$G$6:$G$20)</f>
        <v>#VALUE!</v>
      </c>
      <c r="C7089" s="29" t="e">
        <f t="shared" si="110"/>
        <v>#VALUE!</v>
      </c>
      <c r="E7089" t="e">
        <f>cubic_spline(CURVA!$B$6:$B$20,CURVA!$G$6:$G$20,#REF!)</f>
        <v>#VALUE!</v>
      </c>
    </row>
    <row r="7090" spans="1:5" x14ac:dyDescent="0.2">
      <c r="A7090" s="28">
        <v>7089</v>
      </c>
      <c r="B7090" s="28" t="e">
        <f>interpola(#REF!,CURVA!$B$6:$B$20,CURVA!$G$6:$G$20)</f>
        <v>#VALUE!</v>
      </c>
      <c r="C7090" s="29" t="e">
        <f t="shared" si="110"/>
        <v>#VALUE!</v>
      </c>
      <c r="E7090" t="e">
        <f>cubic_spline(CURVA!$B$6:$B$20,CURVA!$G$6:$G$20,#REF!)</f>
        <v>#VALUE!</v>
      </c>
    </row>
    <row r="7091" spans="1:5" x14ac:dyDescent="0.2">
      <c r="A7091" s="28">
        <v>7090</v>
      </c>
      <c r="B7091" s="28" t="e">
        <f>interpola(#REF!,CURVA!$B$6:$B$20,CURVA!$G$6:$G$20)</f>
        <v>#VALUE!</v>
      </c>
      <c r="C7091" s="29" t="e">
        <f t="shared" si="110"/>
        <v>#VALUE!</v>
      </c>
      <c r="E7091" t="e">
        <f>cubic_spline(CURVA!$B$6:$B$20,CURVA!$G$6:$G$20,#REF!)</f>
        <v>#VALUE!</v>
      </c>
    </row>
    <row r="7092" spans="1:5" x14ac:dyDescent="0.2">
      <c r="A7092" s="28">
        <v>7091</v>
      </c>
      <c r="B7092" s="28" t="e">
        <f>interpola(#REF!,CURVA!$B$6:$B$20,CURVA!$G$6:$G$20)</f>
        <v>#VALUE!</v>
      </c>
      <c r="C7092" s="29" t="e">
        <f t="shared" si="110"/>
        <v>#VALUE!</v>
      </c>
      <c r="E7092" t="e">
        <f>cubic_spline(CURVA!$B$6:$B$20,CURVA!$G$6:$G$20,#REF!)</f>
        <v>#VALUE!</v>
      </c>
    </row>
    <row r="7093" spans="1:5" x14ac:dyDescent="0.2">
      <c r="A7093" s="28">
        <v>7092</v>
      </c>
      <c r="B7093" s="28" t="e">
        <f>interpola(#REF!,CURVA!$B$6:$B$20,CURVA!$G$6:$G$20)</f>
        <v>#VALUE!</v>
      </c>
      <c r="C7093" s="29" t="e">
        <f t="shared" si="110"/>
        <v>#VALUE!</v>
      </c>
      <c r="E7093" t="e">
        <f>cubic_spline(CURVA!$B$6:$B$20,CURVA!$G$6:$G$20,#REF!)</f>
        <v>#VALUE!</v>
      </c>
    </row>
    <row r="7094" spans="1:5" x14ac:dyDescent="0.2">
      <c r="A7094" s="28">
        <v>7093</v>
      </c>
      <c r="B7094" s="28" t="e">
        <f>interpola(#REF!,CURVA!$B$6:$B$20,CURVA!$G$6:$G$20)</f>
        <v>#VALUE!</v>
      </c>
      <c r="C7094" s="29" t="e">
        <f t="shared" si="110"/>
        <v>#VALUE!</v>
      </c>
      <c r="E7094" t="e">
        <f>cubic_spline(CURVA!$B$6:$B$20,CURVA!$G$6:$G$20,#REF!)</f>
        <v>#VALUE!</v>
      </c>
    </row>
    <row r="7095" spans="1:5" x14ac:dyDescent="0.2">
      <c r="A7095" s="28">
        <v>7094</v>
      </c>
      <c r="B7095" s="28" t="e">
        <f>interpola(#REF!,CURVA!$B$6:$B$20,CURVA!$G$6:$G$20)</f>
        <v>#VALUE!</v>
      </c>
      <c r="C7095" s="29" t="e">
        <f t="shared" si="110"/>
        <v>#VALUE!</v>
      </c>
      <c r="E7095" t="e">
        <f>cubic_spline(CURVA!$B$6:$B$20,CURVA!$G$6:$G$20,#REF!)</f>
        <v>#VALUE!</v>
      </c>
    </row>
    <row r="7096" spans="1:5" x14ac:dyDescent="0.2">
      <c r="A7096" s="28">
        <v>7095</v>
      </c>
      <c r="B7096" s="28" t="e">
        <f>interpola(#REF!,CURVA!$B$6:$B$20,CURVA!$G$6:$G$20)</f>
        <v>#VALUE!</v>
      </c>
      <c r="C7096" s="29" t="e">
        <f t="shared" si="110"/>
        <v>#VALUE!</v>
      </c>
      <c r="E7096" t="e">
        <f>cubic_spline(CURVA!$B$6:$B$20,CURVA!$G$6:$G$20,#REF!)</f>
        <v>#VALUE!</v>
      </c>
    </row>
    <row r="7097" spans="1:5" x14ac:dyDescent="0.2">
      <c r="A7097" s="28">
        <v>7096</v>
      </c>
      <c r="B7097" s="28" t="e">
        <f>interpola(#REF!,CURVA!$B$6:$B$20,CURVA!$G$6:$G$20)</f>
        <v>#VALUE!</v>
      </c>
      <c r="C7097" s="29" t="e">
        <f t="shared" si="110"/>
        <v>#VALUE!</v>
      </c>
      <c r="E7097" t="e">
        <f>cubic_spline(CURVA!$B$6:$B$20,CURVA!$G$6:$G$20,#REF!)</f>
        <v>#VALUE!</v>
      </c>
    </row>
    <row r="7098" spans="1:5" x14ac:dyDescent="0.2">
      <c r="A7098" s="28">
        <v>7097</v>
      </c>
      <c r="B7098" s="28" t="e">
        <f>interpola(#REF!,CURVA!$B$6:$B$20,CURVA!$G$6:$G$20)</f>
        <v>#VALUE!</v>
      </c>
      <c r="C7098" s="29" t="e">
        <f t="shared" si="110"/>
        <v>#VALUE!</v>
      </c>
      <c r="E7098" t="e">
        <f>cubic_spline(CURVA!$B$6:$B$20,CURVA!$G$6:$G$20,#REF!)</f>
        <v>#VALUE!</v>
      </c>
    </row>
    <row r="7099" spans="1:5" x14ac:dyDescent="0.2">
      <c r="A7099" s="28">
        <v>7098</v>
      </c>
      <c r="B7099" s="28" t="e">
        <f>interpola(#REF!,CURVA!$B$6:$B$20,CURVA!$G$6:$G$20)</f>
        <v>#VALUE!</v>
      </c>
      <c r="C7099" s="29" t="e">
        <f t="shared" si="110"/>
        <v>#VALUE!</v>
      </c>
      <c r="E7099" t="e">
        <f>cubic_spline(CURVA!$B$6:$B$20,CURVA!$G$6:$G$20,#REF!)</f>
        <v>#VALUE!</v>
      </c>
    </row>
    <row r="7100" spans="1:5" x14ac:dyDescent="0.2">
      <c r="A7100" s="28">
        <v>7099</v>
      </c>
      <c r="B7100" s="28" t="e">
        <f>interpola(#REF!,CURVA!$B$6:$B$20,CURVA!$G$6:$G$20)</f>
        <v>#VALUE!</v>
      </c>
      <c r="C7100" s="29" t="e">
        <f t="shared" si="110"/>
        <v>#VALUE!</v>
      </c>
      <c r="E7100" t="e">
        <f>cubic_spline(CURVA!$B$6:$B$20,CURVA!$G$6:$G$20,#REF!)</f>
        <v>#VALUE!</v>
      </c>
    </row>
    <row r="7101" spans="1:5" x14ac:dyDescent="0.2">
      <c r="A7101" s="28">
        <v>7100</v>
      </c>
      <c r="B7101" s="28" t="e">
        <f>interpola(#REF!,CURVA!$B$6:$B$20,CURVA!$G$6:$G$20)</f>
        <v>#VALUE!</v>
      </c>
      <c r="C7101" s="29" t="e">
        <f t="shared" si="110"/>
        <v>#VALUE!</v>
      </c>
      <c r="E7101" t="e">
        <f>cubic_spline(CURVA!$B$6:$B$20,CURVA!$G$6:$G$20,#REF!)</f>
        <v>#VALUE!</v>
      </c>
    </row>
    <row r="7102" spans="1:5" x14ac:dyDescent="0.2">
      <c r="A7102" s="28">
        <v>7101</v>
      </c>
      <c r="B7102" s="28" t="e">
        <f>interpola(#REF!,CURVA!$B$6:$B$20,CURVA!$G$6:$G$20)</f>
        <v>#VALUE!</v>
      </c>
      <c r="C7102" s="29" t="e">
        <f t="shared" si="110"/>
        <v>#VALUE!</v>
      </c>
      <c r="E7102" t="e">
        <f>cubic_spline(CURVA!$B$6:$B$20,CURVA!$G$6:$G$20,#REF!)</f>
        <v>#VALUE!</v>
      </c>
    </row>
    <row r="7103" spans="1:5" x14ac:dyDescent="0.2">
      <c r="A7103" s="28">
        <v>7102</v>
      </c>
      <c r="B7103" s="28" t="e">
        <f>interpola(#REF!,CURVA!$B$6:$B$20,CURVA!$G$6:$G$20)</f>
        <v>#VALUE!</v>
      </c>
      <c r="C7103" s="29" t="e">
        <f t="shared" si="110"/>
        <v>#VALUE!</v>
      </c>
      <c r="E7103" t="e">
        <f>cubic_spline(CURVA!$B$6:$B$20,CURVA!$G$6:$G$20,#REF!)</f>
        <v>#VALUE!</v>
      </c>
    </row>
    <row r="7104" spans="1:5" x14ac:dyDescent="0.2">
      <c r="A7104" s="28">
        <v>7103</v>
      </c>
      <c r="B7104" s="28" t="e">
        <f>interpola(#REF!,CURVA!$B$6:$B$20,CURVA!$G$6:$G$20)</f>
        <v>#VALUE!</v>
      </c>
      <c r="C7104" s="29" t="e">
        <f t="shared" si="110"/>
        <v>#VALUE!</v>
      </c>
      <c r="E7104" t="e">
        <f>cubic_spline(CURVA!$B$6:$B$20,CURVA!$G$6:$G$20,#REF!)</f>
        <v>#VALUE!</v>
      </c>
    </row>
    <row r="7105" spans="1:5" x14ac:dyDescent="0.2">
      <c r="A7105" s="28">
        <v>7104</v>
      </c>
      <c r="B7105" s="28" t="e">
        <f>interpola(#REF!,CURVA!$B$6:$B$20,CURVA!$G$6:$G$20)</f>
        <v>#VALUE!</v>
      </c>
      <c r="C7105" s="29" t="e">
        <f t="shared" si="110"/>
        <v>#VALUE!</v>
      </c>
      <c r="E7105" t="e">
        <f>cubic_spline(CURVA!$B$6:$B$20,CURVA!$G$6:$G$20,#REF!)</f>
        <v>#VALUE!</v>
      </c>
    </row>
    <row r="7106" spans="1:5" x14ac:dyDescent="0.2">
      <c r="A7106" s="28">
        <v>7105</v>
      </c>
      <c r="B7106" s="28" t="e">
        <f>interpola(#REF!,CURVA!$B$6:$B$20,CURVA!$G$6:$G$20)</f>
        <v>#VALUE!</v>
      </c>
      <c r="C7106" s="29" t="e">
        <f t="shared" ref="C7106:C7169" si="111">(EXP(B7106*A7106/360)-1)*360/A7106</f>
        <v>#VALUE!</v>
      </c>
      <c r="E7106" t="e">
        <f>cubic_spline(CURVA!$B$6:$B$20,CURVA!$G$6:$G$20,#REF!)</f>
        <v>#VALUE!</v>
      </c>
    </row>
    <row r="7107" spans="1:5" x14ac:dyDescent="0.2">
      <c r="A7107" s="28">
        <v>7106</v>
      </c>
      <c r="B7107" s="28" t="e">
        <f>interpola(#REF!,CURVA!$B$6:$B$20,CURVA!$G$6:$G$20)</f>
        <v>#VALUE!</v>
      </c>
      <c r="C7107" s="29" t="e">
        <f t="shared" si="111"/>
        <v>#VALUE!</v>
      </c>
      <c r="E7107" t="e">
        <f>cubic_spline(CURVA!$B$6:$B$20,CURVA!$G$6:$G$20,#REF!)</f>
        <v>#VALUE!</v>
      </c>
    </row>
    <row r="7108" spans="1:5" x14ac:dyDescent="0.2">
      <c r="A7108" s="28">
        <v>7107</v>
      </c>
      <c r="B7108" s="28" t="e">
        <f>interpola(#REF!,CURVA!$B$6:$B$20,CURVA!$G$6:$G$20)</f>
        <v>#VALUE!</v>
      </c>
      <c r="C7108" s="29" t="e">
        <f t="shared" si="111"/>
        <v>#VALUE!</v>
      </c>
      <c r="E7108" t="e">
        <f>cubic_spline(CURVA!$B$6:$B$20,CURVA!$G$6:$G$20,#REF!)</f>
        <v>#VALUE!</v>
      </c>
    </row>
    <row r="7109" spans="1:5" x14ac:dyDescent="0.2">
      <c r="A7109" s="28">
        <v>7108</v>
      </c>
      <c r="B7109" s="28" t="e">
        <f>interpola(#REF!,CURVA!$B$6:$B$20,CURVA!$G$6:$G$20)</f>
        <v>#VALUE!</v>
      </c>
      <c r="C7109" s="29" t="e">
        <f t="shared" si="111"/>
        <v>#VALUE!</v>
      </c>
      <c r="E7109" t="e">
        <f>cubic_spline(CURVA!$B$6:$B$20,CURVA!$G$6:$G$20,#REF!)</f>
        <v>#VALUE!</v>
      </c>
    </row>
    <row r="7110" spans="1:5" x14ac:dyDescent="0.2">
      <c r="A7110" s="28">
        <v>7109</v>
      </c>
      <c r="B7110" s="28" t="e">
        <f>interpola(#REF!,CURVA!$B$6:$B$20,CURVA!$G$6:$G$20)</f>
        <v>#VALUE!</v>
      </c>
      <c r="C7110" s="29" t="e">
        <f t="shared" si="111"/>
        <v>#VALUE!</v>
      </c>
      <c r="E7110" t="e">
        <f>cubic_spline(CURVA!$B$6:$B$20,CURVA!$G$6:$G$20,#REF!)</f>
        <v>#VALUE!</v>
      </c>
    </row>
    <row r="7111" spans="1:5" x14ac:dyDescent="0.2">
      <c r="A7111" s="28">
        <v>7110</v>
      </c>
      <c r="B7111" s="28" t="e">
        <f>interpola(#REF!,CURVA!$B$6:$B$20,CURVA!$G$6:$G$20)</f>
        <v>#VALUE!</v>
      </c>
      <c r="C7111" s="29" t="e">
        <f t="shared" si="111"/>
        <v>#VALUE!</v>
      </c>
      <c r="E7111" t="e">
        <f>cubic_spline(CURVA!$B$6:$B$20,CURVA!$G$6:$G$20,#REF!)</f>
        <v>#VALUE!</v>
      </c>
    </row>
    <row r="7112" spans="1:5" x14ac:dyDescent="0.2">
      <c r="A7112" s="28">
        <v>7111</v>
      </c>
      <c r="B7112" s="28" t="e">
        <f>interpola(#REF!,CURVA!$B$6:$B$20,CURVA!$G$6:$G$20)</f>
        <v>#VALUE!</v>
      </c>
      <c r="C7112" s="29" t="e">
        <f t="shared" si="111"/>
        <v>#VALUE!</v>
      </c>
      <c r="E7112" t="e">
        <f>cubic_spline(CURVA!$B$6:$B$20,CURVA!$G$6:$G$20,#REF!)</f>
        <v>#VALUE!</v>
      </c>
    </row>
    <row r="7113" spans="1:5" x14ac:dyDescent="0.2">
      <c r="A7113" s="28">
        <v>7112</v>
      </c>
      <c r="B7113" s="28" t="e">
        <f>interpola(#REF!,CURVA!$B$6:$B$20,CURVA!$G$6:$G$20)</f>
        <v>#VALUE!</v>
      </c>
      <c r="C7113" s="29" t="e">
        <f t="shared" si="111"/>
        <v>#VALUE!</v>
      </c>
      <c r="E7113" t="e">
        <f>cubic_spline(CURVA!$B$6:$B$20,CURVA!$G$6:$G$20,#REF!)</f>
        <v>#VALUE!</v>
      </c>
    </row>
    <row r="7114" spans="1:5" x14ac:dyDescent="0.2">
      <c r="A7114" s="28">
        <v>7113</v>
      </c>
      <c r="B7114" s="28" t="e">
        <f>interpola(#REF!,CURVA!$B$6:$B$20,CURVA!$G$6:$G$20)</f>
        <v>#VALUE!</v>
      </c>
      <c r="C7114" s="29" t="e">
        <f t="shared" si="111"/>
        <v>#VALUE!</v>
      </c>
      <c r="E7114" t="e">
        <f>cubic_spline(CURVA!$B$6:$B$20,CURVA!$G$6:$G$20,#REF!)</f>
        <v>#VALUE!</v>
      </c>
    </row>
    <row r="7115" spans="1:5" x14ac:dyDescent="0.2">
      <c r="A7115" s="28">
        <v>7114</v>
      </c>
      <c r="B7115" s="28" t="e">
        <f>interpola(#REF!,CURVA!$B$6:$B$20,CURVA!$G$6:$G$20)</f>
        <v>#VALUE!</v>
      </c>
      <c r="C7115" s="29" t="e">
        <f t="shared" si="111"/>
        <v>#VALUE!</v>
      </c>
      <c r="E7115" t="e">
        <f>cubic_spline(CURVA!$B$6:$B$20,CURVA!$G$6:$G$20,#REF!)</f>
        <v>#VALUE!</v>
      </c>
    </row>
    <row r="7116" spans="1:5" x14ac:dyDescent="0.2">
      <c r="A7116" s="28">
        <v>7115</v>
      </c>
      <c r="B7116" s="28" t="e">
        <f>interpola(#REF!,CURVA!$B$6:$B$20,CURVA!$G$6:$G$20)</f>
        <v>#VALUE!</v>
      </c>
      <c r="C7116" s="29" t="e">
        <f t="shared" si="111"/>
        <v>#VALUE!</v>
      </c>
      <c r="E7116" t="e">
        <f>cubic_spline(CURVA!$B$6:$B$20,CURVA!$G$6:$G$20,#REF!)</f>
        <v>#VALUE!</v>
      </c>
    </row>
    <row r="7117" spans="1:5" x14ac:dyDescent="0.2">
      <c r="A7117" s="28">
        <v>7116</v>
      </c>
      <c r="B7117" s="28" t="e">
        <f>interpola(#REF!,CURVA!$B$6:$B$20,CURVA!$G$6:$G$20)</f>
        <v>#VALUE!</v>
      </c>
      <c r="C7117" s="29" t="e">
        <f t="shared" si="111"/>
        <v>#VALUE!</v>
      </c>
      <c r="E7117" t="e">
        <f>cubic_spline(CURVA!$B$6:$B$20,CURVA!$G$6:$G$20,#REF!)</f>
        <v>#VALUE!</v>
      </c>
    </row>
    <row r="7118" spans="1:5" x14ac:dyDescent="0.2">
      <c r="A7118" s="28">
        <v>7117</v>
      </c>
      <c r="B7118" s="28" t="e">
        <f>interpola(#REF!,CURVA!$B$6:$B$20,CURVA!$G$6:$G$20)</f>
        <v>#VALUE!</v>
      </c>
      <c r="C7118" s="29" t="e">
        <f t="shared" si="111"/>
        <v>#VALUE!</v>
      </c>
      <c r="E7118" t="e">
        <f>cubic_spline(CURVA!$B$6:$B$20,CURVA!$G$6:$G$20,#REF!)</f>
        <v>#VALUE!</v>
      </c>
    </row>
    <row r="7119" spans="1:5" x14ac:dyDescent="0.2">
      <c r="A7119" s="28">
        <v>7118</v>
      </c>
      <c r="B7119" s="28" t="e">
        <f>interpola(#REF!,CURVA!$B$6:$B$20,CURVA!$G$6:$G$20)</f>
        <v>#VALUE!</v>
      </c>
      <c r="C7119" s="29" t="e">
        <f t="shared" si="111"/>
        <v>#VALUE!</v>
      </c>
      <c r="E7119" t="e">
        <f>cubic_spline(CURVA!$B$6:$B$20,CURVA!$G$6:$G$20,#REF!)</f>
        <v>#VALUE!</v>
      </c>
    </row>
    <row r="7120" spans="1:5" x14ac:dyDescent="0.2">
      <c r="A7120" s="28">
        <v>7119</v>
      </c>
      <c r="B7120" s="28" t="e">
        <f>interpola(#REF!,CURVA!$B$6:$B$20,CURVA!$G$6:$G$20)</f>
        <v>#VALUE!</v>
      </c>
      <c r="C7120" s="29" t="e">
        <f t="shared" si="111"/>
        <v>#VALUE!</v>
      </c>
      <c r="E7120" t="e">
        <f>cubic_spline(CURVA!$B$6:$B$20,CURVA!$G$6:$G$20,#REF!)</f>
        <v>#VALUE!</v>
      </c>
    </row>
    <row r="7121" spans="1:5" x14ac:dyDescent="0.2">
      <c r="A7121" s="28">
        <v>7120</v>
      </c>
      <c r="B7121" s="28" t="e">
        <f>interpola(#REF!,CURVA!$B$6:$B$20,CURVA!$G$6:$G$20)</f>
        <v>#VALUE!</v>
      </c>
      <c r="C7121" s="29" t="e">
        <f t="shared" si="111"/>
        <v>#VALUE!</v>
      </c>
      <c r="E7121" t="e">
        <f>cubic_spline(CURVA!$B$6:$B$20,CURVA!$G$6:$G$20,#REF!)</f>
        <v>#VALUE!</v>
      </c>
    </row>
    <row r="7122" spans="1:5" x14ac:dyDescent="0.2">
      <c r="A7122" s="28">
        <v>7121</v>
      </c>
      <c r="B7122" s="28" t="e">
        <f>interpola(#REF!,CURVA!$B$6:$B$20,CURVA!$G$6:$G$20)</f>
        <v>#VALUE!</v>
      </c>
      <c r="C7122" s="29" t="e">
        <f t="shared" si="111"/>
        <v>#VALUE!</v>
      </c>
      <c r="E7122" t="e">
        <f>cubic_spline(CURVA!$B$6:$B$20,CURVA!$G$6:$G$20,#REF!)</f>
        <v>#VALUE!</v>
      </c>
    </row>
    <row r="7123" spans="1:5" x14ac:dyDescent="0.2">
      <c r="A7123" s="28">
        <v>7122</v>
      </c>
      <c r="B7123" s="28" t="e">
        <f>interpola(#REF!,CURVA!$B$6:$B$20,CURVA!$G$6:$G$20)</f>
        <v>#VALUE!</v>
      </c>
      <c r="C7123" s="29" t="e">
        <f t="shared" si="111"/>
        <v>#VALUE!</v>
      </c>
      <c r="E7123" t="e">
        <f>cubic_spline(CURVA!$B$6:$B$20,CURVA!$G$6:$G$20,#REF!)</f>
        <v>#VALUE!</v>
      </c>
    </row>
    <row r="7124" spans="1:5" x14ac:dyDescent="0.2">
      <c r="A7124" s="28">
        <v>7123</v>
      </c>
      <c r="B7124" s="28" t="e">
        <f>interpola(#REF!,CURVA!$B$6:$B$20,CURVA!$G$6:$G$20)</f>
        <v>#VALUE!</v>
      </c>
      <c r="C7124" s="29" t="e">
        <f t="shared" si="111"/>
        <v>#VALUE!</v>
      </c>
      <c r="E7124" t="e">
        <f>cubic_spline(CURVA!$B$6:$B$20,CURVA!$G$6:$G$20,#REF!)</f>
        <v>#VALUE!</v>
      </c>
    </row>
    <row r="7125" spans="1:5" x14ac:dyDescent="0.2">
      <c r="A7125" s="28">
        <v>7124</v>
      </c>
      <c r="B7125" s="28" t="e">
        <f>interpola(#REF!,CURVA!$B$6:$B$20,CURVA!$G$6:$G$20)</f>
        <v>#VALUE!</v>
      </c>
      <c r="C7125" s="29" t="e">
        <f t="shared" si="111"/>
        <v>#VALUE!</v>
      </c>
      <c r="E7125" t="e">
        <f>cubic_spline(CURVA!$B$6:$B$20,CURVA!$G$6:$G$20,#REF!)</f>
        <v>#VALUE!</v>
      </c>
    </row>
    <row r="7126" spans="1:5" x14ac:dyDescent="0.2">
      <c r="A7126" s="28">
        <v>7125</v>
      </c>
      <c r="B7126" s="28" t="e">
        <f>interpola(#REF!,CURVA!$B$6:$B$20,CURVA!$G$6:$G$20)</f>
        <v>#VALUE!</v>
      </c>
      <c r="C7126" s="29" t="e">
        <f t="shared" si="111"/>
        <v>#VALUE!</v>
      </c>
      <c r="E7126" t="e">
        <f>cubic_spline(CURVA!$B$6:$B$20,CURVA!$G$6:$G$20,#REF!)</f>
        <v>#VALUE!</v>
      </c>
    </row>
    <row r="7127" spans="1:5" x14ac:dyDescent="0.2">
      <c r="A7127" s="28">
        <v>7126</v>
      </c>
      <c r="B7127" s="28" t="e">
        <f>interpola(#REF!,CURVA!$B$6:$B$20,CURVA!$G$6:$G$20)</f>
        <v>#VALUE!</v>
      </c>
      <c r="C7127" s="29" t="e">
        <f t="shared" si="111"/>
        <v>#VALUE!</v>
      </c>
      <c r="E7127" t="e">
        <f>cubic_spline(CURVA!$B$6:$B$20,CURVA!$G$6:$G$20,#REF!)</f>
        <v>#VALUE!</v>
      </c>
    </row>
    <row r="7128" spans="1:5" x14ac:dyDescent="0.2">
      <c r="A7128" s="28">
        <v>7127</v>
      </c>
      <c r="B7128" s="28" t="e">
        <f>interpola(#REF!,CURVA!$B$6:$B$20,CURVA!$G$6:$G$20)</f>
        <v>#VALUE!</v>
      </c>
      <c r="C7128" s="29" t="e">
        <f t="shared" si="111"/>
        <v>#VALUE!</v>
      </c>
      <c r="E7128" t="e">
        <f>cubic_spline(CURVA!$B$6:$B$20,CURVA!$G$6:$G$20,#REF!)</f>
        <v>#VALUE!</v>
      </c>
    </row>
    <row r="7129" spans="1:5" x14ac:dyDescent="0.2">
      <c r="A7129" s="28">
        <v>7128</v>
      </c>
      <c r="B7129" s="28" t="e">
        <f>interpola(#REF!,CURVA!$B$6:$B$20,CURVA!$G$6:$G$20)</f>
        <v>#VALUE!</v>
      </c>
      <c r="C7129" s="29" t="e">
        <f t="shared" si="111"/>
        <v>#VALUE!</v>
      </c>
      <c r="E7129" t="e">
        <f>cubic_spline(CURVA!$B$6:$B$20,CURVA!$G$6:$G$20,#REF!)</f>
        <v>#VALUE!</v>
      </c>
    </row>
    <row r="7130" spans="1:5" x14ac:dyDescent="0.2">
      <c r="A7130" s="28">
        <v>7129</v>
      </c>
      <c r="B7130" s="28" t="e">
        <f>interpola(#REF!,CURVA!$B$6:$B$20,CURVA!$G$6:$G$20)</f>
        <v>#VALUE!</v>
      </c>
      <c r="C7130" s="29" t="e">
        <f t="shared" si="111"/>
        <v>#VALUE!</v>
      </c>
      <c r="E7130" t="e">
        <f>cubic_spline(CURVA!$B$6:$B$20,CURVA!$G$6:$G$20,#REF!)</f>
        <v>#VALUE!</v>
      </c>
    </row>
    <row r="7131" spans="1:5" x14ac:dyDescent="0.2">
      <c r="A7131" s="28">
        <v>7130</v>
      </c>
      <c r="B7131" s="28" t="e">
        <f>interpola(#REF!,CURVA!$B$6:$B$20,CURVA!$G$6:$G$20)</f>
        <v>#VALUE!</v>
      </c>
      <c r="C7131" s="29" t="e">
        <f t="shared" si="111"/>
        <v>#VALUE!</v>
      </c>
      <c r="E7131" t="e">
        <f>cubic_spline(CURVA!$B$6:$B$20,CURVA!$G$6:$G$20,#REF!)</f>
        <v>#VALUE!</v>
      </c>
    </row>
    <row r="7132" spans="1:5" x14ac:dyDescent="0.2">
      <c r="A7132" s="28">
        <v>7131</v>
      </c>
      <c r="B7132" s="28" t="e">
        <f>interpola(#REF!,CURVA!$B$6:$B$20,CURVA!$G$6:$G$20)</f>
        <v>#VALUE!</v>
      </c>
      <c r="C7132" s="29" t="e">
        <f t="shared" si="111"/>
        <v>#VALUE!</v>
      </c>
      <c r="E7132" t="e">
        <f>cubic_spline(CURVA!$B$6:$B$20,CURVA!$G$6:$G$20,#REF!)</f>
        <v>#VALUE!</v>
      </c>
    </row>
    <row r="7133" spans="1:5" x14ac:dyDescent="0.2">
      <c r="A7133" s="28">
        <v>7132</v>
      </c>
      <c r="B7133" s="28" t="e">
        <f>interpola(#REF!,CURVA!$B$6:$B$20,CURVA!$G$6:$G$20)</f>
        <v>#VALUE!</v>
      </c>
      <c r="C7133" s="29" t="e">
        <f t="shared" si="111"/>
        <v>#VALUE!</v>
      </c>
      <c r="E7133" t="e">
        <f>cubic_spline(CURVA!$B$6:$B$20,CURVA!$G$6:$G$20,#REF!)</f>
        <v>#VALUE!</v>
      </c>
    </row>
    <row r="7134" spans="1:5" x14ac:dyDescent="0.2">
      <c r="A7134" s="28">
        <v>7133</v>
      </c>
      <c r="B7134" s="28" t="e">
        <f>interpola(#REF!,CURVA!$B$6:$B$20,CURVA!$G$6:$G$20)</f>
        <v>#VALUE!</v>
      </c>
      <c r="C7134" s="29" t="e">
        <f t="shared" si="111"/>
        <v>#VALUE!</v>
      </c>
      <c r="E7134" t="e">
        <f>cubic_spline(CURVA!$B$6:$B$20,CURVA!$G$6:$G$20,#REF!)</f>
        <v>#VALUE!</v>
      </c>
    </row>
    <row r="7135" spans="1:5" x14ac:dyDescent="0.2">
      <c r="A7135" s="28">
        <v>7134</v>
      </c>
      <c r="B7135" s="28" t="e">
        <f>interpola(#REF!,CURVA!$B$6:$B$20,CURVA!$G$6:$G$20)</f>
        <v>#VALUE!</v>
      </c>
      <c r="C7135" s="29" t="e">
        <f t="shared" si="111"/>
        <v>#VALUE!</v>
      </c>
      <c r="E7135" t="e">
        <f>cubic_spline(CURVA!$B$6:$B$20,CURVA!$G$6:$G$20,#REF!)</f>
        <v>#VALUE!</v>
      </c>
    </row>
    <row r="7136" spans="1:5" x14ac:dyDescent="0.2">
      <c r="A7136" s="28">
        <v>7135</v>
      </c>
      <c r="B7136" s="28" t="e">
        <f>interpola(#REF!,CURVA!$B$6:$B$20,CURVA!$G$6:$G$20)</f>
        <v>#VALUE!</v>
      </c>
      <c r="C7136" s="29" t="e">
        <f t="shared" si="111"/>
        <v>#VALUE!</v>
      </c>
      <c r="E7136" t="e">
        <f>cubic_spline(CURVA!$B$6:$B$20,CURVA!$G$6:$G$20,#REF!)</f>
        <v>#VALUE!</v>
      </c>
    </row>
    <row r="7137" spans="1:5" x14ac:dyDescent="0.2">
      <c r="A7137" s="28">
        <v>7136</v>
      </c>
      <c r="B7137" s="28" t="e">
        <f>interpola(#REF!,CURVA!$B$6:$B$20,CURVA!$G$6:$G$20)</f>
        <v>#VALUE!</v>
      </c>
      <c r="C7137" s="29" t="e">
        <f t="shared" si="111"/>
        <v>#VALUE!</v>
      </c>
      <c r="E7137" t="e">
        <f>cubic_spline(CURVA!$B$6:$B$20,CURVA!$G$6:$G$20,#REF!)</f>
        <v>#VALUE!</v>
      </c>
    </row>
    <row r="7138" spans="1:5" x14ac:dyDescent="0.2">
      <c r="A7138" s="28">
        <v>7137</v>
      </c>
      <c r="B7138" s="28" t="e">
        <f>interpola(#REF!,CURVA!$B$6:$B$20,CURVA!$G$6:$G$20)</f>
        <v>#VALUE!</v>
      </c>
      <c r="C7138" s="29" t="e">
        <f t="shared" si="111"/>
        <v>#VALUE!</v>
      </c>
      <c r="E7138" t="e">
        <f>cubic_spline(CURVA!$B$6:$B$20,CURVA!$G$6:$G$20,#REF!)</f>
        <v>#VALUE!</v>
      </c>
    </row>
    <row r="7139" spans="1:5" x14ac:dyDescent="0.2">
      <c r="A7139" s="28">
        <v>7138</v>
      </c>
      <c r="B7139" s="28" t="e">
        <f>interpola(#REF!,CURVA!$B$6:$B$20,CURVA!$G$6:$G$20)</f>
        <v>#VALUE!</v>
      </c>
      <c r="C7139" s="29" t="e">
        <f t="shared" si="111"/>
        <v>#VALUE!</v>
      </c>
      <c r="E7139" t="e">
        <f>cubic_spline(CURVA!$B$6:$B$20,CURVA!$G$6:$G$20,#REF!)</f>
        <v>#VALUE!</v>
      </c>
    </row>
    <row r="7140" spans="1:5" x14ac:dyDescent="0.2">
      <c r="A7140" s="28">
        <v>7139</v>
      </c>
      <c r="B7140" s="28" t="e">
        <f>interpola(#REF!,CURVA!$B$6:$B$20,CURVA!$G$6:$G$20)</f>
        <v>#VALUE!</v>
      </c>
      <c r="C7140" s="29" t="e">
        <f t="shared" si="111"/>
        <v>#VALUE!</v>
      </c>
      <c r="E7140" t="e">
        <f>cubic_spline(CURVA!$B$6:$B$20,CURVA!$G$6:$G$20,#REF!)</f>
        <v>#VALUE!</v>
      </c>
    </row>
    <row r="7141" spans="1:5" x14ac:dyDescent="0.2">
      <c r="A7141" s="28">
        <v>7140</v>
      </c>
      <c r="B7141" s="28" t="e">
        <f>interpola(#REF!,CURVA!$B$6:$B$20,CURVA!$G$6:$G$20)</f>
        <v>#VALUE!</v>
      </c>
      <c r="C7141" s="29" t="e">
        <f t="shared" si="111"/>
        <v>#VALUE!</v>
      </c>
      <c r="E7141" t="e">
        <f>cubic_spline(CURVA!$B$6:$B$20,CURVA!$G$6:$G$20,#REF!)</f>
        <v>#VALUE!</v>
      </c>
    </row>
    <row r="7142" spans="1:5" x14ac:dyDescent="0.2">
      <c r="A7142" s="28">
        <v>7141</v>
      </c>
      <c r="B7142" s="28" t="e">
        <f>interpola(#REF!,CURVA!$B$6:$B$20,CURVA!$G$6:$G$20)</f>
        <v>#VALUE!</v>
      </c>
      <c r="C7142" s="29" t="e">
        <f t="shared" si="111"/>
        <v>#VALUE!</v>
      </c>
      <c r="E7142" t="e">
        <f>cubic_spline(CURVA!$B$6:$B$20,CURVA!$G$6:$G$20,#REF!)</f>
        <v>#VALUE!</v>
      </c>
    </row>
    <row r="7143" spans="1:5" x14ac:dyDescent="0.2">
      <c r="A7143" s="28">
        <v>7142</v>
      </c>
      <c r="B7143" s="28" t="e">
        <f>interpola(#REF!,CURVA!$B$6:$B$20,CURVA!$G$6:$G$20)</f>
        <v>#VALUE!</v>
      </c>
      <c r="C7143" s="29" t="e">
        <f t="shared" si="111"/>
        <v>#VALUE!</v>
      </c>
      <c r="E7143" t="e">
        <f>cubic_spline(CURVA!$B$6:$B$20,CURVA!$G$6:$G$20,#REF!)</f>
        <v>#VALUE!</v>
      </c>
    </row>
    <row r="7144" spans="1:5" x14ac:dyDescent="0.2">
      <c r="A7144" s="28">
        <v>7143</v>
      </c>
      <c r="B7144" s="28" t="e">
        <f>interpola(#REF!,CURVA!$B$6:$B$20,CURVA!$G$6:$G$20)</f>
        <v>#VALUE!</v>
      </c>
      <c r="C7144" s="29" t="e">
        <f t="shared" si="111"/>
        <v>#VALUE!</v>
      </c>
      <c r="E7144" t="e">
        <f>cubic_spline(CURVA!$B$6:$B$20,CURVA!$G$6:$G$20,#REF!)</f>
        <v>#VALUE!</v>
      </c>
    </row>
    <row r="7145" spans="1:5" x14ac:dyDescent="0.2">
      <c r="A7145" s="28">
        <v>7144</v>
      </c>
      <c r="B7145" s="28" t="e">
        <f>interpola(#REF!,CURVA!$B$6:$B$20,CURVA!$G$6:$G$20)</f>
        <v>#VALUE!</v>
      </c>
      <c r="C7145" s="29" t="e">
        <f t="shared" si="111"/>
        <v>#VALUE!</v>
      </c>
      <c r="E7145" t="e">
        <f>cubic_spline(CURVA!$B$6:$B$20,CURVA!$G$6:$G$20,#REF!)</f>
        <v>#VALUE!</v>
      </c>
    </row>
    <row r="7146" spans="1:5" x14ac:dyDescent="0.2">
      <c r="A7146" s="28">
        <v>7145</v>
      </c>
      <c r="B7146" s="28" t="e">
        <f>interpola(#REF!,CURVA!$B$6:$B$20,CURVA!$G$6:$G$20)</f>
        <v>#VALUE!</v>
      </c>
      <c r="C7146" s="29" t="e">
        <f t="shared" si="111"/>
        <v>#VALUE!</v>
      </c>
      <c r="E7146" t="e">
        <f>cubic_spline(CURVA!$B$6:$B$20,CURVA!$G$6:$G$20,#REF!)</f>
        <v>#VALUE!</v>
      </c>
    </row>
    <row r="7147" spans="1:5" x14ac:dyDescent="0.2">
      <c r="A7147" s="28">
        <v>7146</v>
      </c>
      <c r="B7147" s="28" t="e">
        <f>interpola(#REF!,CURVA!$B$6:$B$20,CURVA!$G$6:$G$20)</f>
        <v>#VALUE!</v>
      </c>
      <c r="C7147" s="29" t="e">
        <f t="shared" si="111"/>
        <v>#VALUE!</v>
      </c>
      <c r="E7147" t="e">
        <f>cubic_spline(CURVA!$B$6:$B$20,CURVA!$G$6:$G$20,#REF!)</f>
        <v>#VALUE!</v>
      </c>
    </row>
    <row r="7148" spans="1:5" x14ac:dyDescent="0.2">
      <c r="A7148" s="28">
        <v>7147</v>
      </c>
      <c r="B7148" s="28" t="e">
        <f>interpola(#REF!,CURVA!$B$6:$B$20,CURVA!$G$6:$G$20)</f>
        <v>#VALUE!</v>
      </c>
      <c r="C7148" s="29" t="e">
        <f t="shared" si="111"/>
        <v>#VALUE!</v>
      </c>
      <c r="E7148" t="e">
        <f>cubic_spline(CURVA!$B$6:$B$20,CURVA!$G$6:$G$20,#REF!)</f>
        <v>#VALUE!</v>
      </c>
    </row>
    <row r="7149" spans="1:5" x14ac:dyDescent="0.2">
      <c r="A7149" s="28">
        <v>7148</v>
      </c>
      <c r="B7149" s="28" t="e">
        <f>interpola(#REF!,CURVA!$B$6:$B$20,CURVA!$G$6:$G$20)</f>
        <v>#VALUE!</v>
      </c>
      <c r="C7149" s="29" t="e">
        <f t="shared" si="111"/>
        <v>#VALUE!</v>
      </c>
      <c r="E7149" t="e">
        <f>cubic_spline(CURVA!$B$6:$B$20,CURVA!$G$6:$G$20,#REF!)</f>
        <v>#VALUE!</v>
      </c>
    </row>
    <row r="7150" spans="1:5" x14ac:dyDescent="0.2">
      <c r="A7150" s="28">
        <v>7149</v>
      </c>
      <c r="B7150" s="28" t="e">
        <f>interpola(#REF!,CURVA!$B$6:$B$20,CURVA!$G$6:$G$20)</f>
        <v>#VALUE!</v>
      </c>
      <c r="C7150" s="29" t="e">
        <f t="shared" si="111"/>
        <v>#VALUE!</v>
      </c>
      <c r="E7150" t="e">
        <f>cubic_spline(CURVA!$B$6:$B$20,CURVA!$G$6:$G$20,#REF!)</f>
        <v>#VALUE!</v>
      </c>
    </row>
    <row r="7151" spans="1:5" x14ac:dyDescent="0.2">
      <c r="A7151" s="28">
        <v>7150</v>
      </c>
      <c r="B7151" s="28" t="e">
        <f>interpola(#REF!,CURVA!$B$6:$B$20,CURVA!$G$6:$G$20)</f>
        <v>#VALUE!</v>
      </c>
      <c r="C7151" s="29" t="e">
        <f t="shared" si="111"/>
        <v>#VALUE!</v>
      </c>
      <c r="E7151" t="e">
        <f>cubic_spline(CURVA!$B$6:$B$20,CURVA!$G$6:$G$20,#REF!)</f>
        <v>#VALUE!</v>
      </c>
    </row>
    <row r="7152" spans="1:5" x14ac:dyDescent="0.2">
      <c r="A7152" s="28">
        <v>7151</v>
      </c>
      <c r="B7152" s="28" t="e">
        <f>interpola(#REF!,CURVA!$B$6:$B$20,CURVA!$G$6:$G$20)</f>
        <v>#VALUE!</v>
      </c>
      <c r="C7152" s="29" t="e">
        <f t="shared" si="111"/>
        <v>#VALUE!</v>
      </c>
      <c r="E7152" t="e">
        <f>cubic_spline(CURVA!$B$6:$B$20,CURVA!$G$6:$G$20,#REF!)</f>
        <v>#VALUE!</v>
      </c>
    </row>
    <row r="7153" spans="1:5" x14ac:dyDescent="0.2">
      <c r="A7153" s="28">
        <v>7152</v>
      </c>
      <c r="B7153" s="28" t="e">
        <f>interpola(#REF!,CURVA!$B$6:$B$20,CURVA!$G$6:$G$20)</f>
        <v>#VALUE!</v>
      </c>
      <c r="C7153" s="29" t="e">
        <f t="shared" si="111"/>
        <v>#VALUE!</v>
      </c>
      <c r="E7153" t="e">
        <f>cubic_spline(CURVA!$B$6:$B$20,CURVA!$G$6:$G$20,#REF!)</f>
        <v>#VALUE!</v>
      </c>
    </row>
    <row r="7154" spans="1:5" x14ac:dyDescent="0.2">
      <c r="A7154" s="28">
        <v>7153</v>
      </c>
      <c r="B7154" s="28" t="e">
        <f>interpola(#REF!,CURVA!$B$6:$B$20,CURVA!$G$6:$G$20)</f>
        <v>#VALUE!</v>
      </c>
      <c r="C7154" s="29" t="e">
        <f t="shared" si="111"/>
        <v>#VALUE!</v>
      </c>
      <c r="E7154" t="e">
        <f>cubic_spline(CURVA!$B$6:$B$20,CURVA!$G$6:$G$20,#REF!)</f>
        <v>#VALUE!</v>
      </c>
    </row>
    <row r="7155" spans="1:5" x14ac:dyDescent="0.2">
      <c r="A7155" s="28">
        <v>7154</v>
      </c>
      <c r="B7155" s="28" t="e">
        <f>interpola(#REF!,CURVA!$B$6:$B$20,CURVA!$G$6:$G$20)</f>
        <v>#VALUE!</v>
      </c>
      <c r="C7155" s="29" t="e">
        <f t="shared" si="111"/>
        <v>#VALUE!</v>
      </c>
      <c r="E7155" t="e">
        <f>cubic_spline(CURVA!$B$6:$B$20,CURVA!$G$6:$G$20,#REF!)</f>
        <v>#VALUE!</v>
      </c>
    </row>
    <row r="7156" spans="1:5" x14ac:dyDescent="0.2">
      <c r="A7156" s="28">
        <v>7155</v>
      </c>
      <c r="B7156" s="28" t="e">
        <f>interpola(#REF!,CURVA!$B$6:$B$20,CURVA!$G$6:$G$20)</f>
        <v>#VALUE!</v>
      </c>
      <c r="C7156" s="29" t="e">
        <f t="shared" si="111"/>
        <v>#VALUE!</v>
      </c>
      <c r="E7156" t="e">
        <f>cubic_spline(CURVA!$B$6:$B$20,CURVA!$G$6:$G$20,#REF!)</f>
        <v>#VALUE!</v>
      </c>
    </row>
    <row r="7157" spans="1:5" x14ac:dyDescent="0.2">
      <c r="A7157" s="28">
        <v>7156</v>
      </c>
      <c r="B7157" s="28" t="e">
        <f>interpola(#REF!,CURVA!$B$6:$B$20,CURVA!$G$6:$G$20)</f>
        <v>#VALUE!</v>
      </c>
      <c r="C7157" s="29" t="e">
        <f t="shared" si="111"/>
        <v>#VALUE!</v>
      </c>
      <c r="E7157" t="e">
        <f>cubic_spline(CURVA!$B$6:$B$20,CURVA!$G$6:$G$20,#REF!)</f>
        <v>#VALUE!</v>
      </c>
    </row>
    <row r="7158" spans="1:5" x14ac:dyDescent="0.2">
      <c r="A7158" s="28">
        <v>7157</v>
      </c>
      <c r="B7158" s="28" t="e">
        <f>interpola(#REF!,CURVA!$B$6:$B$20,CURVA!$G$6:$G$20)</f>
        <v>#VALUE!</v>
      </c>
      <c r="C7158" s="29" t="e">
        <f t="shared" si="111"/>
        <v>#VALUE!</v>
      </c>
      <c r="E7158" t="e">
        <f>cubic_spline(CURVA!$B$6:$B$20,CURVA!$G$6:$G$20,#REF!)</f>
        <v>#VALUE!</v>
      </c>
    </row>
    <row r="7159" spans="1:5" x14ac:dyDescent="0.2">
      <c r="A7159" s="28">
        <v>7158</v>
      </c>
      <c r="B7159" s="28" t="e">
        <f>interpola(#REF!,CURVA!$B$6:$B$20,CURVA!$G$6:$G$20)</f>
        <v>#VALUE!</v>
      </c>
      <c r="C7159" s="29" t="e">
        <f t="shared" si="111"/>
        <v>#VALUE!</v>
      </c>
      <c r="E7159" t="e">
        <f>cubic_spline(CURVA!$B$6:$B$20,CURVA!$G$6:$G$20,#REF!)</f>
        <v>#VALUE!</v>
      </c>
    </row>
    <row r="7160" spans="1:5" x14ac:dyDescent="0.2">
      <c r="A7160" s="28">
        <v>7159</v>
      </c>
      <c r="B7160" s="28" t="e">
        <f>interpola(#REF!,CURVA!$B$6:$B$20,CURVA!$G$6:$G$20)</f>
        <v>#VALUE!</v>
      </c>
      <c r="C7160" s="29" t="e">
        <f t="shared" si="111"/>
        <v>#VALUE!</v>
      </c>
      <c r="E7160" t="e">
        <f>cubic_spline(CURVA!$B$6:$B$20,CURVA!$G$6:$G$20,#REF!)</f>
        <v>#VALUE!</v>
      </c>
    </row>
    <row r="7161" spans="1:5" x14ac:dyDescent="0.2">
      <c r="A7161" s="28">
        <v>7160</v>
      </c>
      <c r="B7161" s="28" t="e">
        <f>interpola(#REF!,CURVA!$B$6:$B$20,CURVA!$G$6:$G$20)</f>
        <v>#VALUE!</v>
      </c>
      <c r="C7161" s="29" t="e">
        <f t="shared" si="111"/>
        <v>#VALUE!</v>
      </c>
      <c r="E7161" t="e">
        <f>cubic_spline(CURVA!$B$6:$B$20,CURVA!$G$6:$G$20,#REF!)</f>
        <v>#VALUE!</v>
      </c>
    </row>
    <row r="7162" spans="1:5" x14ac:dyDescent="0.2">
      <c r="A7162" s="28">
        <v>7161</v>
      </c>
      <c r="B7162" s="28" t="e">
        <f>interpola(#REF!,CURVA!$B$6:$B$20,CURVA!$G$6:$G$20)</f>
        <v>#VALUE!</v>
      </c>
      <c r="C7162" s="29" t="e">
        <f t="shared" si="111"/>
        <v>#VALUE!</v>
      </c>
      <c r="E7162" t="e">
        <f>cubic_spline(CURVA!$B$6:$B$20,CURVA!$G$6:$G$20,#REF!)</f>
        <v>#VALUE!</v>
      </c>
    </row>
    <row r="7163" spans="1:5" x14ac:dyDescent="0.2">
      <c r="A7163" s="28">
        <v>7162</v>
      </c>
      <c r="B7163" s="28" t="e">
        <f>interpola(#REF!,CURVA!$B$6:$B$20,CURVA!$G$6:$G$20)</f>
        <v>#VALUE!</v>
      </c>
      <c r="C7163" s="29" t="e">
        <f t="shared" si="111"/>
        <v>#VALUE!</v>
      </c>
      <c r="E7163" t="e">
        <f>cubic_spline(CURVA!$B$6:$B$20,CURVA!$G$6:$G$20,#REF!)</f>
        <v>#VALUE!</v>
      </c>
    </row>
    <row r="7164" spans="1:5" x14ac:dyDescent="0.2">
      <c r="A7164" s="28">
        <v>7163</v>
      </c>
      <c r="B7164" s="28" t="e">
        <f>interpola(#REF!,CURVA!$B$6:$B$20,CURVA!$G$6:$G$20)</f>
        <v>#VALUE!</v>
      </c>
      <c r="C7164" s="29" t="e">
        <f t="shared" si="111"/>
        <v>#VALUE!</v>
      </c>
      <c r="E7164" t="e">
        <f>cubic_spline(CURVA!$B$6:$B$20,CURVA!$G$6:$G$20,#REF!)</f>
        <v>#VALUE!</v>
      </c>
    </row>
    <row r="7165" spans="1:5" x14ac:dyDescent="0.2">
      <c r="A7165" s="28">
        <v>7164</v>
      </c>
      <c r="B7165" s="28" t="e">
        <f>interpola(#REF!,CURVA!$B$6:$B$20,CURVA!$G$6:$G$20)</f>
        <v>#VALUE!</v>
      </c>
      <c r="C7165" s="29" t="e">
        <f t="shared" si="111"/>
        <v>#VALUE!</v>
      </c>
      <c r="E7165" t="e">
        <f>cubic_spline(CURVA!$B$6:$B$20,CURVA!$G$6:$G$20,#REF!)</f>
        <v>#VALUE!</v>
      </c>
    </row>
    <row r="7166" spans="1:5" x14ac:dyDescent="0.2">
      <c r="A7166" s="28">
        <v>7165</v>
      </c>
      <c r="B7166" s="28" t="e">
        <f>interpola(#REF!,CURVA!$B$6:$B$20,CURVA!$G$6:$G$20)</f>
        <v>#VALUE!</v>
      </c>
      <c r="C7166" s="29" t="e">
        <f t="shared" si="111"/>
        <v>#VALUE!</v>
      </c>
      <c r="E7166" t="e">
        <f>cubic_spline(CURVA!$B$6:$B$20,CURVA!$G$6:$G$20,#REF!)</f>
        <v>#VALUE!</v>
      </c>
    </row>
    <row r="7167" spans="1:5" x14ac:dyDescent="0.2">
      <c r="A7167" s="28">
        <v>7166</v>
      </c>
      <c r="B7167" s="28" t="e">
        <f>interpola(#REF!,CURVA!$B$6:$B$20,CURVA!$G$6:$G$20)</f>
        <v>#VALUE!</v>
      </c>
      <c r="C7167" s="29" t="e">
        <f t="shared" si="111"/>
        <v>#VALUE!</v>
      </c>
      <c r="E7167" t="e">
        <f>cubic_spline(CURVA!$B$6:$B$20,CURVA!$G$6:$G$20,#REF!)</f>
        <v>#VALUE!</v>
      </c>
    </row>
    <row r="7168" spans="1:5" x14ac:dyDescent="0.2">
      <c r="A7168" s="28">
        <v>7167</v>
      </c>
      <c r="B7168" s="28" t="e">
        <f>interpola(#REF!,CURVA!$B$6:$B$20,CURVA!$G$6:$G$20)</f>
        <v>#VALUE!</v>
      </c>
      <c r="C7168" s="29" t="e">
        <f t="shared" si="111"/>
        <v>#VALUE!</v>
      </c>
      <c r="E7168" t="e">
        <f>cubic_spline(CURVA!$B$6:$B$20,CURVA!$G$6:$G$20,#REF!)</f>
        <v>#VALUE!</v>
      </c>
    </row>
    <row r="7169" spans="1:5" x14ac:dyDescent="0.2">
      <c r="A7169" s="28">
        <v>7168</v>
      </c>
      <c r="B7169" s="28" t="e">
        <f>interpola(#REF!,CURVA!$B$6:$B$20,CURVA!$G$6:$G$20)</f>
        <v>#VALUE!</v>
      </c>
      <c r="C7169" s="29" t="e">
        <f t="shared" si="111"/>
        <v>#VALUE!</v>
      </c>
      <c r="E7169" t="e">
        <f>cubic_spline(CURVA!$B$6:$B$20,CURVA!$G$6:$G$20,#REF!)</f>
        <v>#VALUE!</v>
      </c>
    </row>
    <row r="7170" spans="1:5" x14ac:dyDescent="0.2">
      <c r="A7170" s="28">
        <v>7169</v>
      </c>
      <c r="B7170" s="28" t="e">
        <f>interpola(#REF!,CURVA!$B$6:$B$20,CURVA!$G$6:$G$20)</f>
        <v>#VALUE!</v>
      </c>
      <c r="C7170" s="29" t="e">
        <f t="shared" ref="C7170:C7233" si="112">(EXP(B7170*A7170/360)-1)*360/A7170</f>
        <v>#VALUE!</v>
      </c>
      <c r="E7170" t="e">
        <f>cubic_spline(CURVA!$B$6:$B$20,CURVA!$G$6:$G$20,#REF!)</f>
        <v>#VALUE!</v>
      </c>
    </row>
    <row r="7171" spans="1:5" x14ac:dyDescent="0.2">
      <c r="A7171" s="28">
        <v>7170</v>
      </c>
      <c r="B7171" s="28" t="e">
        <f>interpola(#REF!,CURVA!$B$6:$B$20,CURVA!$G$6:$G$20)</f>
        <v>#VALUE!</v>
      </c>
      <c r="C7171" s="29" t="e">
        <f t="shared" si="112"/>
        <v>#VALUE!</v>
      </c>
      <c r="E7171" t="e">
        <f>cubic_spline(CURVA!$B$6:$B$20,CURVA!$G$6:$G$20,#REF!)</f>
        <v>#VALUE!</v>
      </c>
    </row>
    <row r="7172" spans="1:5" x14ac:dyDescent="0.2">
      <c r="A7172" s="28">
        <v>7171</v>
      </c>
      <c r="B7172" s="28" t="e">
        <f>interpola(#REF!,CURVA!$B$6:$B$20,CURVA!$G$6:$G$20)</f>
        <v>#VALUE!</v>
      </c>
      <c r="C7172" s="29" t="e">
        <f t="shared" si="112"/>
        <v>#VALUE!</v>
      </c>
      <c r="E7172" t="e">
        <f>cubic_spline(CURVA!$B$6:$B$20,CURVA!$G$6:$G$20,#REF!)</f>
        <v>#VALUE!</v>
      </c>
    </row>
    <row r="7173" spans="1:5" x14ac:dyDescent="0.2">
      <c r="A7173" s="28">
        <v>7172</v>
      </c>
      <c r="B7173" s="28" t="e">
        <f>interpola(#REF!,CURVA!$B$6:$B$20,CURVA!$G$6:$G$20)</f>
        <v>#VALUE!</v>
      </c>
      <c r="C7173" s="29" t="e">
        <f t="shared" si="112"/>
        <v>#VALUE!</v>
      </c>
      <c r="E7173" t="e">
        <f>cubic_spline(CURVA!$B$6:$B$20,CURVA!$G$6:$G$20,#REF!)</f>
        <v>#VALUE!</v>
      </c>
    </row>
    <row r="7174" spans="1:5" x14ac:dyDescent="0.2">
      <c r="A7174" s="28">
        <v>7173</v>
      </c>
      <c r="B7174" s="28" t="e">
        <f>interpola(#REF!,CURVA!$B$6:$B$20,CURVA!$G$6:$G$20)</f>
        <v>#VALUE!</v>
      </c>
      <c r="C7174" s="29" t="e">
        <f t="shared" si="112"/>
        <v>#VALUE!</v>
      </c>
      <c r="E7174" t="e">
        <f>cubic_spline(CURVA!$B$6:$B$20,CURVA!$G$6:$G$20,#REF!)</f>
        <v>#VALUE!</v>
      </c>
    </row>
    <row r="7175" spans="1:5" x14ac:dyDescent="0.2">
      <c r="A7175" s="28">
        <v>7174</v>
      </c>
      <c r="B7175" s="28" t="e">
        <f>interpola(#REF!,CURVA!$B$6:$B$20,CURVA!$G$6:$G$20)</f>
        <v>#VALUE!</v>
      </c>
      <c r="C7175" s="29" t="e">
        <f t="shared" si="112"/>
        <v>#VALUE!</v>
      </c>
      <c r="E7175" t="e">
        <f>cubic_spline(CURVA!$B$6:$B$20,CURVA!$G$6:$G$20,#REF!)</f>
        <v>#VALUE!</v>
      </c>
    </row>
    <row r="7176" spans="1:5" x14ac:dyDescent="0.2">
      <c r="A7176" s="28">
        <v>7175</v>
      </c>
      <c r="B7176" s="28" t="e">
        <f>interpola(#REF!,CURVA!$B$6:$B$20,CURVA!$G$6:$G$20)</f>
        <v>#VALUE!</v>
      </c>
      <c r="C7176" s="29" t="e">
        <f t="shared" si="112"/>
        <v>#VALUE!</v>
      </c>
      <c r="E7176" t="e">
        <f>cubic_spline(CURVA!$B$6:$B$20,CURVA!$G$6:$G$20,#REF!)</f>
        <v>#VALUE!</v>
      </c>
    </row>
    <row r="7177" spans="1:5" x14ac:dyDescent="0.2">
      <c r="A7177" s="28">
        <v>7176</v>
      </c>
      <c r="B7177" s="28" t="e">
        <f>interpola(#REF!,CURVA!$B$6:$B$20,CURVA!$G$6:$G$20)</f>
        <v>#VALUE!</v>
      </c>
      <c r="C7177" s="29" t="e">
        <f t="shared" si="112"/>
        <v>#VALUE!</v>
      </c>
      <c r="E7177" t="e">
        <f>cubic_spline(CURVA!$B$6:$B$20,CURVA!$G$6:$G$20,#REF!)</f>
        <v>#VALUE!</v>
      </c>
    </row>
    <row r="7178" spans="1:5" x14ac:dyDescent="0.2">
      <c r="A7178" s="28">
        <v>7177</v>
      </c>
      <c r="B7178" s="28" t="e">
        <f>interpola(#REF!,CURVA!$B$6:$B$20,CURVA!$G$6:$G$20)</f>
        <v>#VALUE!</v>
      </c>
      <c r="C7178" s="29" t="e">
        <f t="shared" si="112"/>
        <v>#VALUE!</v>
      </c>
      <c r="E7178" t="e">
        <f>cubic_spline(CURVA!$B$6:$B$20,CURVA!$G$6:$G$20,#REF!)</f>
        <v>#VALUE!</v>
      </c>
    </row>
    <row r="7179" spans="1:5" x14ac:dyDescent="0.2">
      <c r="A7179" s="28">
        <v>7178</v>
      </c>
      <c r="B7179" s="28" t="e">
        <f>interpola(#REF!,CURVA!$B$6:$B$20,CURVA!$G$6:$G$20)</f>
        <v>#VALUE!</v>
      </c>
      <c r="C7179" s="29" t="e">
        <f t="shared" si="112"/>
        <v>#VALUE!</v>
      </c>
      <c r="E7179" t="e">
        <f>cubic_spline(CURVA!$B$6:$B$20,CURVA!$G$6:$G$20,#REF!)</f>
        <v>#VALUE!</v>
      </c>
    </row>
    <row r="7180" spans="1:5" x14ac:dyDescent="0.2">
      <c r="A7180" s="28">
        <v>7179</v>
      </c>
      <c r="B7180" s="28" t="e">
        <f>interpola(#REF!,CURVA!$B$6:$B$20,CURVA!$G$6:$G$20)</f>
        <v>#VALUE!</v>
      </c>
      <c r="C7180" s="29" t="e">
        <f t="shared" si="112"/>
        <v>#VALUE!</v>
      </c>
      <c r="E7180" t="e">
        <f>cubic_spline(CURVA!$B$6:$B$20,CURVA!$G$6:$G$20,#REF!)</f>
        <v>#VALUE!</v>
      </c>
    </row>
    <row r="7181" spans="1:5" x14ac:dyDescent="0.2">
      <c r="A7181" s="28">
        <v>7180</v>
      </c>
      <c r="B7181" s="28" t="e">
        <f>interpola(#REF!,CURVA!$B$6:$B$20,CURVA!$G$6:$G$20)</f>
        <v>#VALUE!</v>
      </c>
      <c r="C7181" s="29" t="e">
        <f t="shared" si="112"/>
        <v>#VALUE!</v>
      </c>
      <c r="E7181" t="e">
        <f>cubic_spline(CURVA!$B$6:$B$20,CURVA!$G$6:$G$20,#REF!)</f>
        <v>#VALUE!</v>
      </c>
    </row>
    <row r="7182" spans="1:5" x14ac:dyDescent="0.2">
      <c r="A7182" s="28">
        <v>7181</v>
      </c>
      <c r="B7182" s="28" t="e">
        <f>interpola(#REF!,CURVA!$B$6:$B$20,CURVA!$G$6:$G$20)</f>
        <v>#VALUE!</v>
      </c>
      <c r="C7182" s="29" t="e">
        <f t="shared" si="112"/>
        <v>#VALUE!</v>
      </c>
      <c r="E7182" t="e">
        <f>cubic_spline(CURVA!$B$6:$B$20,CURVA!$G$6:$G$20,#REF!)</f>
        <v>#VALUE!</v>
      </c>
    </row>
    <row r="7183" spans="1:5" x14ac:dyDescent="0.2">
      <c r="A7183" s="28">
        <v>7182</v>
      </c>
      <c r="B7183" s="28" t="e">
        <f>interpola(#REF!,CURVA!$B$6:$B$20,CURVA!$G$6:$G$20)</f>
        <v>#VALUE!</v>
      </c>
      <c r="C7183" s="29" t="e">
        <f t="shared" si="112"/>
        <v>#VALUE!</v>
      </c>
      <c r="E7183" t="e">
        <f>cubic_spline(CURVA!$B$6:$B$20,CURVA!$G$6:$G$20,#REF!)</f>
        <v>#VALUE!</v>
      </c>
    </row>
    <row r="7184" spans="1:5" x14ac:dyDescent="0.2">
      <c r="A7184" s="28">
        <v>7183</v>
      </c>
      <c r="B7184" s="28" t="e">
        <f>interpola(#REF!,CURVA!$B$6:$B$20,CURVA!$G$6:$G$20)</f>
        <v>#VALUE!</v>
      </c>
      <c r="C7184" s="29" t="e">
        <f t="shared" si="112"/>
        <v>#VALUE!</v>
      </c>
      <c r="E7184" t="e">
        <f>cubic_spline(CURVA!$B$6:$B$20,CURVA!$G$6:$G$20,#REF!)</f>
        <v>#VALUE!</v>
      </c>
    </row>
    <row r="7185" spans="1:5" x14ac:dyDescent="0.2">
      <c r="A7185" s="28">
        <v>7184</v>
      </c>
      <c r="B7185" s="28" t="e">
        <f>interpola(#REF!,CURVA!$B$6:$B$20,CURVA!$G$6:$G$20)</f>
        <v>#VALUE!</v>
      </c>
      <c r="C7185" s="29" t="e">
        <f t="shared" si="112"/>
        <v>#VALUE!</v>
      </c>
      <c r="E7185" t="e">
        <f>cubic_spline(CURVA!$B$6:$B$20,CURVA!$G$6:$G$20,#REF!)</f>
        <v>#VALUE!</v>
      </c>
    </row>
    <row r="7186" spans="1:5" x14ac:dyDescent="0.2">
      <c r="A7186" s="28">
        <v>7185</v>
      </c>
      <c r="B7186" s="28" t="e">
        <f>interpola(#REF!,CURVA!$B$6:$B$20,CURVA!$G$6:$G$20)</f>
        <v>#VALUE!</v>
      </c>
      <c r="C7186" s="29" t="e">
        <f t="shared" si="112"/>
        <v>#VALUE!</v>
      </c>
      <c r="E7186" t="e">
        <f>cubic_spline(CURVA!$B$6:$B$20,CURVA!$G$6:$G$20,#REF!)</f>
        <v>#VALUE!</v>
      </c>
    </row>
    <row r="7187" spans="1:5" x14ac:dyDescent="0.2">
      <c r="A7187" s="28">
        <v>7186</v>
      </c>
      <c r="B7187" s="28" t="e">
        <f>interpola(#REF!,CURVA!$B$6:$B$20,CURVA!$G$6:$G$20)</f>
        <v>#VALUE!</v>
      </c>
      <c r="C7187" s="29" t="e">
        <f t="shared" si="112"/>
        <v>#VALUE!</v>
      </c>
      <c r="E7187" t="e">
        <f>cubic_spline(CURVA!$B$6:$B$20,CURVA!$G$6:$G$20,#REF!)</f>
        <v>#VALUE!</v>
      </c>
    </row>
    <row r="7188" spans="1:5" x14ac:dyDescent="0.2">
      <c r="A7188" s="28">
        <v>7187</v>
      </c>
      <c r="B7188" s="28" t="e">
        <f>interpola(#REF!,CURVA!$B$6:$B$20,CURVA!$G$6:$G$20)</f>
        <v>#VALUE!</v>
      </c>
      <c r="C7188" s="29" t="e">
        <f t="shared" si="112"/>
        <v>#VALUE!</v>
      </c>
      <c r="E7188" t="e">
        <f>cubic_spline(CURVA!$B$6:$B$20,CURVA!$G$6:$G$20,#REF!)</f>
        <v>#VALUE!</v>
      </c>
    </row>
    <row r="7189" spans="1:5" x14ac:dyDescent="0.2">
      <c r="A7189" s="28">
        <v>7188</v>
      </c>
      <c r="B7189" s="28" t="e">
        <f>interpola(#REF!,CURVA!$B$6:$B$20,CURVA!$G$6:$G$20)</f>
        <v>#VALUE!</v>
      </c>
      <c r="C7189" s="29" t="e">
        <f t="shared" si="112"/>
        <v>#VALUE!</v>
      </c>
      <c r="E7189" t="e">
        <f>cubic_spline(CURVA!$B$6:$B$20,CURVA!$G$6:$G$20,#REF!)</f>
        <v>#VALUE!</v>
      </c>
    </row>
    <row r="7190" spans="1:5" x14ac:dyDescent="0.2">
      <c r="A7190" s="28">
        <v>7189</v>
      </c>
      <c r="B7190" s="28" t="e">
        <f>interpola(#REF!,CURVA!$B$6:$B$20,CURVA!$G$6:$G$20)</f>
        <v>#VALUE!</v>
      </c>
      <c r="C7190" s="29" t="e">
        <f t="shared" si="112"/>
        <v>#VALUE!</v>
      </c>
      <c r="E7190" t="e">
        <f>cubic_spline(CURVA!$B$6:$B$20,CURVA!$G$6:$G$20,#REF!)</f>
        <v>#VALUE!</v>
      </c>
    </row>
    <row r="7191" spans="1:5" x14ac:dyDescent="0.2">
      <c r="A7191" s="28">
        <v>7190</v>
      </c>
      <c r="B7191" s="28" t="e">
        <f>interpola(#REF!,CURVA!$B$6:$B$20,CURVA!$G$6:$G$20)</f>
        <v>#VALUE!</v>
      </c>
      <c r="C7191" s="29" t="e">
        <f t="shared" si="112"/>
        <v>#VALUE!</v>
      </c>
      <c r="E7191" t="e">
        <f>cubic_spline(CURVA!$B$6:$B$20,CURVA!$G$6:$G$20,#REF!)</f>
        <v>#VALUE!</v>
      </c>
    </row>
    <row r="7192" spans="1:5" x14ac:dyDescent="0.2">
      <c r="A7192" s="28">
        <v>7191</v>
      </c>
      <c r="B7192" s="28" t="e">
        <f>interpola(#REF!,CURVA!$B$6:$B$20,CURVA!$G$6:$G$20)</f>
        <v>#VALUE!</v>
      </c>
      <c r="C7192" s="29" t="e">
        <f t="shared" si="112"/>
        <v>#VALUE!</v>
      </c>
      <c r="E7192" t="e">
        <f>cubic_spline(CURVA!$B$6:$B$20,CURVA!$G$6:$G$20,#REF!)</f>
        <v>#VALUE!</v>
      </c>
    </row>
    <row r="7193" spans="1:5" x14ac:dyDescent="0.2">
      <c r="A7193" s="28">
        <v>7192</v>
      </c>
      <c r="B7193" s="28" t="e">
        <f>interpola(#REF!,CURVA!$B$6:$B$20,CURVA!$G$6:$G$20)</f>
        <v>#VALUE!</v>
      </c>
      <c r="C7193" s="29" t="e">
        <f t="shared" si="112"/>
        <v>#VALUE!</v>
      </c>
      <c r="E7193" t="e">
        <f>cubic_spline(CURVA!$B$6:$B$20,CURVA!$G$6:$G$20,#REF!)</f>
        <v>#VALUE!</v>
      </c>
    </row>
    <row r="7194" spans="1:5" x14ac:dyDescent="0.2">
      <c r="A7194" s="28">
        <v>7193</v>
      </c>
      <c r="B7194" s="28" t="e">
        <f>interpola(#REF!,CURVA!$B$6:$B$20,CURVA!$G$6:$G$20)</f>
        <v>#VALUE!</v>
      </c>
      <c r="C7194" s="29" t="e">
        <f t="shared" si="112"/>
        <v>#VALUE!</v>
      </c>
      <c r="E7194" t="e">
        <f>cubic_spline(CURVA!$B$6:$B$20,CURVA!$G$6:$G$20,#REF!)</f>
        <v>#VALUE!</v>
      </c>
    </row>
    <row r="7195" spans="1:5" x14ac:dyDescent="0.2">
      <c r="A7195" s="28">
        <v>7194</v>
      </c>
      <c r="B7195" s="28" t="e">
        <f>interpola(#REF!,CURVA!$B$6:$B$20,CURVA!$G$6:$G$20)</f>
        <v>#VALUE!</v>
      </c>
      <c r="C7195" s="29" t="e">
        <f t="shared" si="112"/>
        <v>#VALUE!</v>
      </c>
      <c r="E7195" t="e">
        <f>cubic_spline(CURVA!$B$6:$B$20,CURVA!$G$6:$G$20,#REF!)</f>
        <v>#VALUE!</v>
      </c>
    </row>
    <row r="7196" spans="1:5" x14ac:dyDescent="0.2">
      <c r="A7196" s="28">
        <v>7195</v>
      </c>
      <c r="B7196" s="28" t="e">
        <f>interpola(#REF!,CURVA!$B$6:$B$20,CURVA!$G$6:$G$20)</f>
        <v>#VALUE!</v>
      </c>
      <c r="C7196" s="29" t="e">
        <f t="shared" si="112"/>
        <v>#VALUE!</v>
      </c>
      <c r="E7196" t="e">
        <f>cubic_spline(CURVA!$B$6:$B$20,CURVA!$G$6:$G$20,#REF!)</f>
        <v>#VALUE!</v>
      </c>
    </row>
    <row r="7197" spans="1:5" x14ac:dyDescent="0.2">
      <c r="A7197" s="28">
        <v>7196</v>
      </c>
      <c r="B7197" s="28" t="e">
        <f>interpola(#REF!,CURVA!$B$6:$B$20,CURVA!$G$6:$G$20)</f>
        <v>#VALUE!</v>
      </c>
      <c r="C7197" s="29" t="e">
        <f t="shared" si="112"/>
        <v>#VALUE!</v>
      </c>
      <c r="E7197" t="e">
        <f>cubic_spline(CURVA!$B$6:$B$20,CURVA!$G$6:$G$20,#REF!)</f>
        <v>#VALUE!</v>
      </c>
    </row>
    <row r="7198" spans="1:5" x14ac:dyDescent="0.2">
      <c r="A7198" s="28">
        <v>7197</v>
      </c>
      <c r="B7198" s="28" t="e">
        <f>interpola(#REF!,CURVA!$B$6:$B$20,CURVA!$G$6:$G$20)</f>
        <v>#VALUE!</v>
      </c>
      <c r="C7198" s="29" t="e">
        <f t="shared" si="112"/>
        <v>#VALUE!</v>
      </c>
      <c r="E7198" t="e">
        <f>cubic_spline(CURVA!$B$6:$B$20,CURVA!$G$6:$G$20,#REF!)</f>
        <v>#VALUE!</v>
      </c>
    </row>
    <row r="7199" spans="1:5" x14ac:dyDescent="0.2">
      <c r="A7199" s="28">
        <v>7198</v>
      </c>
      <c r="B7199" s="28" t="e">
        <f>interpola(#REF!,CURVA!$B$6:$B$20,CURVA!$G$6:$G$20)</f>
        <v>#VALUE!</v>
      </c>
      <c r="C7199" s="29" t="e">
        <f t="shared" si="112"/>
        <v>#VALUE!</v>
      </c>
      <c r="E7199" t="e">
        <f>cubic_spline(CURVA!$B$6:$B$20,CURVA!$G$6:$G$20,#REF!)</f>
        <v>#VALUE!</v>
      </c>
    </row>
    <row r="7200" spans="1:5" x14ac:dyDescent="0.2">
      <c r="A7200" s="28">
        <v>7199</v>
      </c>
      <c r="B7200" s="28" t="e">
        <f>interpola(#REF!,CURVA!$B$6:$B$20,CURVA!$G$6:$G$20)</f>
        <v>#VALUE!</v>
      </c>
      <c r="C7200" s="29" t="e">
        <f t="shared" si="112"/>
        <v>#VALUE!</v>
      </c>
      <c r="E7200" t="e">
        <f>cubic_spline(CURVA!$B$6:$B$20,CURVA!$G$6:$G$20,#REF!)</f>
        <v>#VALUE!</v>
      </c>
    </row>
    <row r="7201" spans="1:5" x14ac:dyDescent="0.2">
      <c r="A7201" s="28">
        <v>7200</v>
      </c>
      <c r="B7201" s="28" t="e">
        <f>interpola(#REF!,CURVA!$B$6:$B$20,CURVA!$G$6:$G$20)</f>
        <v>#VALUE!</v>
      </c>
      <c r="C7201" s="29" t="e">
        <f t="shared" si="112"/>
        <v>#VALUE!</v>
      </c>
      <c r="E7201" t="e">
        <f>cubic_spline(CURVA!$B$6:$B$20,CURVA!$G$6:$G$20,#REF!)</f>
        <v>#VALUE!</v>
      </c>
    </row>
    <row r="7202" spans="1:5" x14ac:dyDescent="0.2">
      <c r="A7202" s="28">
        <v>7201</v>
      </c>
      <c r="B7202" s="28" t="e">
        <f>interpola(#REF!,CURVA!$B$6:$B$20,CURVA!$G$6:$G$20)</f>
        <v>#VALUE!</v>
      </c>
      <c r="C7202" s="29" t="e">
        <f t="shared" si="112"/>
        <v>#VALUE!</v>
      </c>
      <c r="E7202" t="e">
        <f>cubic_spline(CURVA!$B$6:$B$20,CURVA!$G$6:$G$20,#REF!)</f>
        <v>#VALUE!</v>
      </c>
    </row>
    <row r="7203" spans="1:5" x14ac:dyDescent="0.2">
      <c r="A7203" s="28">
        <v>7202</v>
      </c>
      <c r="B7203" s="28" t="e">
        <f>interpola(#REF!,CURVA!$B$6:$B$20,CURVA!$G$6:$G$20)</f>
        <v>#VALUE!</v>
      </c>
      <c r="C7203" s="29" t="e">
        <f t="shared" si="112"/>
        <v>#VALUE!</v>
      </c>
      <c r="E7203" t="e">
        <f>cubic_spline(CURVA!$B$6:$B$20,CURVA!$G$6:$G$20,#REF!)</f>
        <v>#VALUE!</v>
      </c>
    </row>
    <row r="7204" spans="1:5" x14ac:dyDescent="0.2">
      <c r="A7204" s="28">
        <v>7203</v>
      </c>
      <c r="B7204" s="28" t="e">
        <f>interpola(#REF!,CURVA!$B$6:$B$20,CURVA!$G$6:$G$20)</f>
        <v>#VALUE!</v>
      </c>
      <c r="C7204" s="29" t="e">
        <f t="shared" si="112"/>
        <v>#VALUE!</v>
      </c>
      <c r="E7204" t="e">
        <f>cubic_spline(CURVA!$B$6:$B$20,CURVA!$G$6:$G$20,#REF!)</f>
        <v>#VALUE!</v>
      </c>
    </row>
    <row r="7205" spans="1:5" x14ac:dyDescent="0.2">
      <c r="A7205" s="28">
        <v>7204</v>
      </c>
      <c r="B7205" s="28" t="e">
        <f>interpola(#REF!,CURVA!$B$6:$B$20,CURVA!$G$6:$G$20)</f>
        <v>#VALUE!</v>
      </c>
      <c r="C7205" s="29" t="e">
        <f t="shared" si="112"/>
        <v>#VALUE!</v>
      </c>
      <c r="E7205" t="e">
        <f>cubic_spline(CURVA!$B$6:$B$20,CURVA!$G$6:$G$20,#REF!)</f>
        <v>#VALUE!</v>
      </c>
    </row>
    <row r="7206" spans="1:5" x14ac:dyDescent="0.2">
      <c r="A7206" s="28">
        <v>7205</v>
      </c>
      <c r="B7206" s="28" t="e">
        <f>interpola(#REF!,CURVA!$B$6:$B$20,CURVA!$G$6:$G$20)</f>
        <v>#VALUE!</v>
      </c>
      <c r="C7206" s="29" t="e">
        <f t="shared" si="112"/>
        <v>#VALUE!</v>
      </c>
      <c r="E7206" t="e">
        <f>cubic_spline(CURVA!$B$6:$B$20,CURVA!$G$6:$G$20,#REF!)</f>
        <v>#VALUE!</v>
      </c>
    </row>
    <row r="7207" spans="1:5" x14ac:dyDescent="0.2">
      <c r="A7207" s="28">
        <v>7206</v>
      </c>
      <c r="B7207" s="28" t="e">
        <f>interpola(#REF!,CURVA!$B$6:$B$20,CURVA!$G$6:$G$20)</f>
        <v>#VALUE!</v>
      </c>
      <c r="C7207" s="29" t="e">
        <f t="shared" si="112"/>
        <v>#VALUE!</v>
      </c>
      <c r="E7207" t="e">
        <f>cubic_spline(CURVA!$B$6:$B$20,CURVA!$G$6:$G$20,#REF!)</f>
        <v>#VALUE!</v>
      </c>
    </row>
    <row r="7208" spans="1:5" x14ac:dyDescent="0.2">
      <c r="A7208" s="28">
        <v>7207</v>
      </c>
      <c r="B7208" s="28" t="e">
        <f>interpola(#REF!,CURVA!$B$6:$B$20,CURVA!$G$6:$G$20)</f>
        <v>#VALUE!</v>
      </c>
      <c r="C7208" s="29" t="e">
        <f t="shared" si="112"/>
        <v>#VALUE!</v>
      </c>
      <c r="E7208" t="e">
        <f>cubic_spline(CURVA!$B$6:$B$20,CURVA!$G$6:$G$20,#REF!)</f>
        <v>#VALUE!</v>
      </c>
    </row>
    <row r="7209" spans="1:5" x14ac:dyDescent="0.2">
      <c r="A7209" s="28">
        <v>7208</v>
      </c>
      <c r="B7209" s="28" t="e">
        <f>interpola(#REF!,CURVA!$B$6:$B$20,CURVA!$G$6:$G$20)</f>
        <v>#VALUE!</v>
      </c>
      <c r="C7209" s="29" t="e">
        <f t="shared" si="112"/>
        <v>#VALUE!</v>
      </c>
      <c r="E7209" t="e">
        <f>cubic_spline(CURVA!$B$6:$B$20,CURVA!$G$6:$G$20,#REF!)</f>
        <v>#VALUE!</v>
      </c>
    </row>
    <row r="7210" spans="1:5" x14ac:dyDescent="0.2">
      <c r="A7210" s="28">
        <v>7209</v>
      </c>
      <c r="B7210" s="28" t="e">
        <f>interpola(#REF!,CURVA!$B$6:$B$20,CURVA!$G$6:$G$20)</f>
        <v>#VALUE!</v>
      </c>
      <c r="C7210" s="29" t="e">
        <f t="shared" si="112"/>
        <v>#VALUE!</v>
      </c>
      <c r="E7210" t="e">
        <f>cubic_spline(CURVA!$B$6:$B$20,CURVA!$G$6:$G$20,#REF!)</f>
        <v>#VALUE!</v>
      </c>
    </row>
    <row r="7211" spans="1:5" x14ac:dyDescent="0.2">
      <c r="A7211" s="28">
        <v>7210</v>
      </c>
      <c r="B7211" s="28" t="e">
        <f>interpola(#REF!,CURVA!$B$6:$B$20,CURVA!$G$6:$G$20)</f>
        <v>#VALUE!</v>
      </c>
      <c r="C7211" s="29" t="e">
        <f t="shared" si="112"/>
        <v>#VALUE!</v>
      </c>
      <c r="E7211" t="e">
        <f>cubic_spline(CURVA!$B$6:$B$20,CURVA!$G$6:$G$20,#REF!)</f>
        <v>#VALUE!</v>
      </c>
    </row>
    <row r="7212" spans="1:5" x14ac:dyDescent="0.2">
      <c r="A7212" s="28">
        <v>7211</v>
      </c>
      <c r="B7212" s="28" t="e">
        <f>interpola(#REF!,CURVA!$B$6:$B$20,CURVA!$G$6:$G$20)</f>
        <v>#VALUE!</v>
      </c>
      <c r="C7212" s="29" t="e">
        <f t="shared" si="112"/>
        <v>#VALUE!</v>
      </c>
      <c r="E7212" t="e">
        <f>cubic_spline(CURVA!$B$6:$B$20,CURVA!$G$6:$G$20,#REF!)</f>
        <v>#VALUE!</v>
      </c>
    </row>
    <row r="7213" spans="1:5" x14ac:dyDescent="0.2">
      <c r="A7213" s="28">
        <v>7212</v>
      </c>
      <c r="B7213" s="28" t="e">
        <f>interpola(#REF!,CURVA!$B$6:$B$20,CURVA!$G$6:$G$20)</f>
        <v>#VALUE!</v>
      </c>
      <c r="C7213" s="29" t="e">
        <f t="shared" si="112"/>
        <v>#VALUE!</v>
      </c>
      <c r="E7213" t="e">
        <f>cubic_spline(CURVA!$B$6:$B$20,CURVA!$G$6:$G$20,#REF!)</f>
        <v>#VALUE!</v>
      </c>
    </row>
    <row r="7214" spans="1:5" x14ac:dyDescent="0.2">
      <c r="A7214" s="28">
        <v>7213</v>
      </c>
      <c r="B7214" s="28" t="e">
        <f>interpola(#REF!,CURVA!$B$6:$B$20,CURVA!$G$6:$G$20)</f>
        <v>#VALUE!</v>
      </c>
      <c r="C7214" s="29" t="e">
        <f t="shared" si="112"/>
        <v>#VALUE!</v>
      </c>
      <c r="E7214" t="e">
        <f>cubic_spline(CURVA!$B$6:$B$20,CURVA!$G$6:$G$20,#REF!)</f>
        <v>#VALUE!</v>
      </c>
    </row>
    <row r="7215" spans="1:5" x14ac:dyDescent="0.2">
      <c r="A7215" s="28">
        <v>7214</v>
      </c>
      <c r="B7215" s="28" t="e">
        <f>interpola(#REF!,CURVA!$B$6:$B$20,CURVA!$G$6:$G$20)</f>
        <v>#VALUE!</v>
      </c>
      <c r="C7215" s="29" t="e">
        <f t="shared" si="112"/>
        <v>#VALUE!</v>
      </c>
      <c r="E7215" t="e">
        <f>cubic_spline(CURVA!$B$6:$B$20,CURVA!$G$6:$G$20,#REF!)</f>
        <v>#VALUE!</v>
      </c>
    </row>
    <row r="7216" spans="1:5" x14ac:dyDescent="0.2">
      <c r="A7216" s="28">
        <v>7215</v>
      </c>
      <c r="B7216" s="28" t="e">
        <f>interpola(#REF!,CURVA!$B$6:$B$20,CURVA!$G$6:$G$20)</f>
        <v>#VALUE!</v>
      </c>
      <c r="C7216" s="29" t="e">
        <f t="shared" si="112"/>
        <v>#VALUE!</v>
      </c>
      <c r="E7216" t="e">
        <f>cubic_spline(CURVA!$B$6:$B$20,CURVA!$G$6:$G$20,#REF!)</f>
        <v>#VALUE!</v>
      </c>
    </row>
    <row r="7217" spans="1:5" x14ac:dyDescent="0.2">
      <c r="A7217" s="28">
        <v>7216</v>
      </c>
      <c r="B7217" s="28" t="e">
        <f>interpola(#REF!,CURVA!$B$6:$B$20,CURVA!$G$6:$G$20)</f>
        <v>#VALUE!</v>
      </c>
      <c r="C7217" s="29" t="e">
        <f t="shared" si="112"/>
        <v>#VALUE!</v>
      </c>
      <c r="E7217" t="e">
        <f>cubic_spline(CURVA!$B$6:$B$20,CURVA!$G$6:$G$20,#REF!)</f>
        <v>#VALUE!</v>
      </c>
    </row>
    <row r="7218" spans="1:5" x14ac:dyDescent="0.2">
      <c r="A7218" s="28">
        <v>7217</v>
      </c>
      <c r="B7218" s="28" t="e">
        <f>interpola(#REF!,CURVA!$B$6:$B$20,CURVA!$G$6:$G$20)</f>
        <v>#VALUE!</v>
      </c>
      <c r="C7218" s="29" t="e">
        <f t="shared" si="112"/>
        <v>#VALUE!</v>
      </c>
      <c r="E7218" t="e">
        <f>cubic_spline(CURVA!$B$6:$B$20,CURVA!$G$6:$G$20,#REF!)</f>
        <v>#VALUE!</v>
      </c>
    </row>
    <row r="7219" spans="1:5" x14ac:dyDescent="0.2">
      <c r="A7219" s="28">
        <v>7218</v>
      </c>
      <c r="B7219" s="28" t="e">
        <f>interpola(#REF!,CURVA!$B$6:$B$20,CURVA!$G$6:$G$20)</f>
        <v>#VALUE!</v>
      </c>
      <c r="C7219" s="29" t="e">
        <f t="shared" si="112"/>
        <v>#VALUE!</v>
      </c>
      <c r="E7219" t="e">
        <f>cubic_spline(CURVA!$B$6:$B$20,CURVA!$G$6:$G$20,#REF!)</f>
        <v>#VALUE!</v>
      </c>
    </row>
    <row r="7220" spans="1:5" x14ac:dyDescent="0.2">
      <c r="A7220" s="28">
        <v>7219</v>
      </c>
      <c r="B7220" s="28" t="e">
        <f>interpola(#REF!,CURVA!$B$6:$B$20,CURVA!$G$6:$G$20)</f>
        <v>#VALUE!</v>
      </c>
      <c r="C7220" s="29" t="e">
        <f t="shared" si="112"/>
        <v>#VALUE!</v>
      </c>
      <c r="E7220" t="e">
        <f>cubic_spline(CURVA!$B$6:$B$20,CURVA!$G$6:$G$20,#REF!)</f>
        <v>#VALUE!</v>
      </c>
    </row>
    <row r="7221" spans="1:5" x14ac:dyDescent="0.2">
      <c r="A7221" s="28">
        <v>7220</v>
      </c>
      <c r="B7221" s="28" t="e">
        <f>interpola(#REF!,CURVA!$B$6:$B$20,CURVA!$G$6:$G$20)</f>
        <v>#VALUE!</v>
      </c>
      <c r="C7221" s="29" t="e">
        <f t="shared" si="112"/>
        <v>#VALUE!</v>
      </c>
      <c r="E7221" t="e">
        <f>cubic_spline(CURVA!$B$6:$B$20,CURVA!$G$6:$G$20,#REF!)</f>
        <v>#VALUE!</v>
      </c>
    </row>
    <row r="7222" spans="1:5" x14ac:dyDescent="0.2">
      <c r="A7222" s="28">
        <v>7221</v>
      </c>
      <c r="B7222" s="28" t="e">
        <f>interpola(#REF!,CURVA!$B$6:$B$20,CURVA!$G$6:$G$20)</f>
        <v>#VALUE!</v>
      </c>
      <c r="C7222" s="29" t="e">
        <f t="shared" si="112"/>
        <v>#VALUE!</v>
      </c>
      <c r="E7222" t="e">
        <f>cubic_spline(CURVA!$B$6:$B$20,CURVA!$G$6:$G$20,#REF!)</f>
        <v>#VALUE!</v>
      </c>
    </row>
    <row r="7223" spans="1:5" x14ac:dyDescent="0.2">
      <c r="A7223" s="28">
        <v>7222</v>
      </c>
      <c r="B7223" s="28" t="e">
        <f>interpola(#REF!,CURVA!$B$6:$B$20,CURVA!$G$6:$G$20)</f>
        <v>#VALUE!</v>
      </c>
      <c r="C7223" s="29" t="e">
        <f t="shared" si="112"/>
        <v>#VALUE!</v>
      </c>
      <c r="E7223" t="e">
        <f>cubic_spline(CURVA!$B$6:$B$20,CURVA!$G$6:$G$20,#REF!)</f>
        <v>#VALUE!</v>
      </c>
    </row>
    <row r="7224" spans="1:5" x14ac:dyDescent="0.2">
      <c r="A7224" s="28">
        <v>7223</v>
      </c>
      <c r="B7224" s="28" t="e">
        <f>interpola(#REF!,CURVA!$B$6:$B$20,CURVA!$G$6:$G$20)</f>
        <v>#VALUE!</v>
      </c>
      <c r="C7224" s="29" t="e">
        <f t="shared" si="112"/>
        <v>#VALUE!</v>
      </c>
      <c r="E7224" t="e">
        <f>cubic_spline(CURVA!$B$6:$B$20,CURVA!$G$6:$G$20,#REF!)</f>
        <v>#VALUE!</v>
      </c>
    </row>
    <row r="7225" spans="1:5" x14ac:dyDescent="0.2">
      <c r="A7225" s="28">
        <v>7224</v>
      </c>
      <c r="B7225" s="28" t="e">
        <f>interpola(#REF!,CURVA!$B$6:$B$20,CURVA!$G$6:$G$20)</f>
        <v>#VALUE!</v>
      </c>
      <c r="C7225" s="29" t="e">
        <f t="shared" si="112"/>
        <v>#VALUE!</v>
      </c>
      <c r="E7225" t="e">
        <f>cubic_spline(CURVA!$B$6:$B$20,CURVA!$G$6:$G$20,#REF!)</f>
        <v>#VALUE!</v>
      </c>
    </row>
    <row r="7226" spans="1:5" x14ac:dyDescent="0.2">
      <c r="A7226" s="28">
        <v>7225</v>
      </c>
      <c r="B7226" s="28" t="e">
        <f>interpola(#REF!,CURVA!$B$6:$B$20,CURVA!$G$6:$G$20)</f>
        <v>#VALUE!</v>
      </c>
      <c r="C7226" s="29" t="e">
        <f t="shared" si="112"/>
        <v>#VALUE!</v>
      </c>
      <c r="E7226" t="e">
        <f>cubic_spline(CURVA!$B$6:$B$20,CURVA!$G$6:$G$20,#REF!)</f>
        <v>#VALUE!</v>
      </c>
    </row>
    <row r="7227" spans="1:5" x14ac:dyDescent="0.2">
      <c r="A7227" s="28">
        <v>7226</v>
      </c>
      <c r="B7227" s="28" t="e">
        <f>interpola(#REF!,CURVA!$B$6:$B$20,CURVA!$G$6:$G$20)</f>
        <v>#VALUE!</v>
      </c>
      <c r="C7227" s="29" t="e">
        <f t="shared" si="112"/>
        <v>#VALUE!</v>
      </c>
      <c r="E7227" t="e">
        <f>cubic_spline(CURVA!$B$6:$B$20,CURVA!$G$6:$G$20,#REF!)</f>
        <v>#VALUE!</v>
      </c>
    </row>
    <row r="7228" spans="1:5" x14ac:dyDescent="0.2">
      <c r="A7228" s="28">
        <v>7227</v>
      </c>
      <c r="B7228" s="28" t="e">
        <f>interpola(#REF!,CURVA!$B$6:$B$20,CURVA!$G$6:$G$20)</f>
        <v>#VALUE!</v>
      </c>
      <c r="C7228" s="29" t="e">
        <f t="shared" si="112"/>
        <v>#VALUE!</v>
      </c>
      <c r="E7228" t="e">
        <f>cubic_spline(CURVA!$B$6:$B$20,CURVA!$G$6:$G$20,#REF!)</f>
        <v>#VALUE!</v>
      </c>
    </row>
    <row r="7229" spans="1:5" x14ac:dyDescent="0.2">
      <c r="A7229" s="28">
        <v>7228</v>
      </c>
      <c r="B7229" s="28" t="e">
        <f>interpola(#REF!,CURVA!$B$6:$B$20,CURVA!$G$6:$G$20)</f>
        <v>#VALUE!</v>
      </c>
      <c r="C7229" s="29" t="e">
        <f t="shared" si="112"/>
        <v>#VALUE!</v>
      </c>
      <c r="E7229" t="e">
        <f>cubic_spline(CURVA!$B$6:$B$20,CURVA!$G$6:$G$20,#REF!)</f>
        <v>#VALUE!</v>
      </c>
    </row>
    <row r="7230" spans="1:5" x14ac:dyDescent="0.2">
      <c r="A7230" s="28">
        <v>7229</v>
      </c>
      <c r="B7230" s="28" t="e">
        <f>interpola(#REF!,CURVA!$B$6:$B$20,CURVA!$G$6:$G$20)</f>
        <v>#VALUE!</v>
      </c>
      <c r="C7230" s="29" t="e">
        <f t="shared" si="112"/>
        <v>#VALUE!</v>
      </c>
      <c r="E7230" t="e">
        <f>cubic_spline(CURVA!$B$6:$B$20,CURVA!$G$6:$G$20,#REF!)</f>
        <v>#VALUE!</v>
      </c>
    </row>
    <row r="7231" spans="1:5" x14ac:dyDescent="0.2">
      <c r="A7231" s="28">
        <v>7230</v>
      </c>
      <c r="B7231" s="28" t="e">
        <f>interpola(#REF!,CURVA!$B$6:$B$20,CURVA!$G$6:$G$20)</f>
        <v>#VALUE!</v>
      </c>
      <c r="C7231" s="29" t="e">
        <f t="shared" si="112"/>
        <v>#VALUE!</v>
      </c>
      <c r="E7231" t="e">
        <f>cubic_spline(CURVA!$B$6:$B$20,CURVA!$G$6:$G$20,#REF!)</f>
        <v>#VALUE!</v>
      </c>
    </row>
    <row r="7232" spans="1:5" x14ac:dyDescent="0.2">
      <c r="A7232" s="28">
        <v>7231</v>
      </c>
      <c r="B7232" s="28" t="e">
        <f>interpola(#REF!,CURVA!$B$6:$B$20,CURVA!$G$6:$G$20)</f>
        <v>#VALUE!</v>
      </c>
      <c r="C7232" s="29" t="e">
        <f t="shared" si="112"/>
        <v>#VALUE!</v>
      </c>
      <c r="E7232" t="e">
        <f>cubic_spline(CURVA!$B$6:$B$20,CURVA!$G$6:$G$20,#REF!)</f>
        <v>#VALUE!</v>
      </c>
    </row>
    <row r="7233" spans="1:5" x14ac:dyDescent="0.2">
      <c r="A7233" s="28">
        <v>7232</v>
      </c>
      <c r="B7233" s="28" t="e">
        <f>interpola(#REF!,CURVA!$B$6:$B$20,CURVA!$G$6:$G$20)</f>
        <v>#VALUE!</v>
      </c>
      <c r="C7233" s="29" t="e">
        <f t="shared" si="112"/>
        <v>#VALUE!</v>
      </c>
      <c r="E7233" t="e">
        <f>cubic_spline(CURVA!$B$6:$B$20,CURVA!$G$6:$G$20,#REF!)</f>
        <v>#VALUE!</v>
      </c>
    </row>
    <row r="7234" spans="1:5" x14ac:dyDescent="0.2">
      <c r="A7234" s="28">
        <v>7233</v>
      </c>
      <c r="B7234" s="28" t="e">
        <f>interpola(#REF!,CURVA!$B$6:$B$20,CURVA!$G$6:$G$20)</f>
        <v>#VALUE!</v>
      </c>
      <c r="C7234" s="29" t="e">
        <f t="shared" ref="C7234:C7297" si="113">(EXP(B7234*A7234/360)-1)*360/A7234</f>
        <v>#VALUE!</v>
      </c>
      <c r="E7234" t="e">
        <f>cubic_spline(CURVA!$B$6:$B$20,CURVA!$G$6:$G$20,#REF!)</f>
        <v>#VALUE!</v>
      </c>
    </row>
    <row r="7235" spans="1:5" x14ac:dyDescent="0.2">
      <c r="A7235" s="28">
        <v>7234</v>
      </c>
      <c r="B7235" s="28" t="e">
        <f>interpola(#REF!,CURVA!$B$6:$B$20,CURVA!$G$6:$G$20)</f>
        <v>#VALUE!</v>
      </c>
      <c r="C7235" s="29" t="e">
        <f t="shared" si="113"/>
        <v>#VALUE!</v>
      </c>
      <c r="E7235" t="e">
        <f>cubic_spline(CURVA!$B$6:$B$20,CURVA!$G$6:$G$20,#REF!)</f>
        <v>#VALUE!</v>
      </c>
    </row>
    <row r="7236" spans="1:5" x14ac:dyDescent="0.2">
      <c r="A7236" s="28">
        <v>7235</v>
      </c>
      <c r="B7236" s="28" t="e">
        <f>interpola(#REF!,CURVA!$B$6:$B$20,CURVA!$G$6:$G$20)</f>
        <v>#VALUE!</v>
      </c>
      <c r="C7236" s="29" t="e">
        <f t="shared" si="113"/>
        <v>#VALUE!</v>
      </c>
      <c r="E7236" t="e">
        <f>cubic_spline(CURVA!$B$6:$B$20,CURVA!$G$6:$G$20,#REF!)</f>
        <v>#VALUE!</v>
      </c>
    </row>
    <row r="7237" spans="1:5" x14ac:dyDescent="0.2">
      <c r="A7237" s="28">
        <v>7236</v>
      </c>
      <c r="B7237" s="28" t="e">
        <f>interpola(#REF!,CURVA!$B$6:$B$20,CURVA!$G$6:$G$20)</f>
        <v>#VALUE!</v>
      </c>
      <c r="C7237" s="29" t="e">
        <f t="shared" si="113"/>
        <v>#VALUE!</v>
      </c>
      <c r="E7237" t="e">
        <f>cubic_spline(CURVA!$B$6:$B$20,CURVA!$G$6:$G$20,#REF!)</f>
        <v>#VALUE!</v>
      </c>
    </row>
    <row r="7238" spans="1:5" x14ac:dyDescent="0.2">
      <c r="A7238" s="28">
        <v>7237</v>
      </c>
      <c r="B7238" s="28" t="e">
        <f>interpola(#REF!,CURVA!$B$6:$B$20,CURVA!$G$6:$G$20)</f>
        <v>#VALUE!</v>
      </c>
      <c r="C7238" s="29" t="e">
        <f t="shared" si="113"/>
        <v>#VALUE!</v>
      </c>
      <c r="E7238" t="e">
        <f>cubic_spline(CURVA!$B$6:$B$20,CURVA!$G$6:$G$20,#REF!)</f>
        <v>#VALUE!</v>
      </c>
    </row>
    <row r="7239" spans="1:5" x14ac:dyDescent="0.2">
      <c r="A7239" s="28">
        <v>7238</v>
      </c>
      <c r="B7239" s="28" t="e">
        <f>interpola(#REF!,CURVA!$B$6:$B$20,CURVA!$G$6:$G$20)</f>
        <v>#VALUE!</v>
      </c>
      <c r="C7239" s="29" t="e">
        <f t="shared" si="113"/>
        <v>#VALUE!</v>
      </c>
      <c r="E7239" t="e">
        <f>cubic_spline(CURVA!$B$6:$B$20,CURVA!$G$6:$G$20,#REF!)</f>
        <v>#VALUE!</v>
      </c>
    </row>
    <row r="7240" spans="1:5" x14ac:dyDescent="0.2">
      <c r="A7240" s="28">
        <v>7239</v>
      </c>
      <c r="B7240" s="28" t="e">
        <f>interpola(#REF!,CURVA!$B$6:$B$20,CURVA!$G$6:$G$20)</f>
        <v>#VALUE!</v>
      </c>
      <c r="C7240" s="29" t="e">
        <f t="shared" si="113"/>
        <v>#VALUE!</v>
      </c>
      <c r="E7240" t="e">
        <f>cubic_spline(CURVA!$B$6:$B$20,CURVA!$G$6:$G$20,#REF!)</f>
        <v>#VALUE!</v>
      </c>
    </row>
    <row r="7241" spans="1:5" x14ac:dyDescent="0.2">
      <c r="A7241" s="28">
        <v>7240</v>
      </c>
      <c r="B7241" s="28" t="e">
        <f>interpola(#REF!,CURVA!$B$6:$B$20,CURVA!$G$6:$G$20)</f>
        <v>#VALUE!</v>
      </c>
      <c r="C7241" s="29" t="e">
        <f t="shared" si="113"/>
        <v>#VALUE!</v>
      </c>
      <c r="E7241" t="e">
        <f>cubic_spline(CURVA!$B$6:$B$20,CURVA!$G$6:$G$20,#REF!)</f>
        <v>#VALUE!</v>
      </c>
    </row>
    <row r="7242" spans="1:5" x14ac:dyDescent="0.2">
      <c r="A7242" s="28">
        <v>7241</v>
      </c>
      <c r="B7242" s="28" t="e">
        <f>interpola(#REF!,CURVA!$B$6:$B$20,CURVA!$G$6:$G$20)</f>
        <v>#VALUE!</v>
      </c>
      <c r="C7242" s="29" t="e">
        <f t="shared" si="113"/>
        <v>#VALUE!</v>
      </c>
      <c r="E7242" t="e">
        <f>cubic_spline(CURVA!$B$6:$B$20,CURVA!$G$6:$G$20,#REF!)</f>
        <v>#VALUE!</v>
      </c>
    </row>
    <row r="7243" spans="1:5" x14ac:dyDescent="0.2">
      <c r="A7243" s="28">
        <v>7242</v>
      </c>
      <c r="B7243" s="28" t="e">
        <f>interpola(#REF!,CURVA!$B$6:$B$20,CURVA!$G$6:$G$20)</f>
        <v>#VALUE!</v>
      </c>
      <c r="C7243" s="29" t="e">
        <f t="shared" si="113"/>
        <v>#VALUE!</v>
      </c>
      <c r="E7243" t="e">
        <f>cubic_spline(CURVA!$B$6:$B$20,CURVA!$G$6:$G$20,#REF!)</f>
        <v>#VALUE!</v>
      </c>
    </row>
    <row r="7244" spans="1:5" x14ac:dyDescent="0.2">
      <c r="A7244" s="28">
        <v>7243</v>
      </c>
      <c r="B7244" s="28" t="e">
        <f>interpola(#REF!,CURVA!$B$6:$B$20,CURVA!$G$6:$G$20)</f>
        <v>#VALUE!</v>
      </c>
      <c r="C7244" s="29" t="e">
        <f t="shared" si="113"/>
        <v>#VALUE!</v>
      </c>
      <c r="E7244" t="e">
        <f>cubic_spline(CURVA!$B$6:$B$20,CURVA!$G$6:$G$20,#REF!)</f>
        <v>#VALUE!</v>
      </c>
    </row>
    <row r="7245" spans="1:5" x14ac:dyDescent="0.2">
      <c r="A7245" s="28">
        <v>7244</v>
      </c>
      <c r="B7245" s="28" t="e">
        <f>interpola(#REF!,CURVA!$B$6:$B$20,CURVA!$G$6:$G$20)</f>
        <v>#VALUE!</v>
      </c>
      <c r="C7245" s="29" t="e">
        <f t="shared" si="113"/>
        <v>#VALUE!</v>
      </c>
      <c r="E7245" t="e">
        <f>cubic_spline(CURVA!$B$6:$B$20,CURVA!$G$6:$G$20,#REF!)</f>
        <v>#VALUE!</v>
      </c>
    </row>
    <row r="7246" spans="1:5" x14ac:dyDescent="0.2">
      <c r="A7246" s="28">
        <v>7245</v>
      </c>
      <c r="B7246" s="28" t="e">
        <f>interpola(#REF!,CURVA!$B$6:$B$20,CURVA!$G$6:$G$20)</f>
        <v>#VALUE!</v>
      </c>
      <c r="C7246" s="29" t="e">
        <f t="shared" si="113"/>
        <v>#VALUE!</v>
      </c>
      <c r="E7246" t="e">
        <f>cubic_spline(CURVA!$B$6:$B$20,CURVA!$G$6:$G$20,#REF!)</f>
        <v>#VALUE!</v>
      </c>
    </row>
    <row r="7247" spans="1:5" x14ac:dyDescent="0.2">
      <c r="A7247" s="28">
        <v>7246</v>
      </c>
      <c r="B7247" s="28" t="e">
        <f>interpola(#REF!,CURVA!$B$6:$B$20,CURVA!$G$6:$G$20)</f>
        <v>#VALUE!</v>
      </c>
      <c r="C7247" s="29" t="e">
        <f t="shared" si="113"/>
        <v>#VALUE!</v>
      </c>
      <c r="E7247" t="e">
        <f>cubic_spline(CURVA!$B$6:$B$20,CURVA!$G$6:$G$20,#REF!)</f>
        <v>#VALUE!</v>
      </c>
    </row>
    <row r="7248" spans="1:5" x14ac:dyDescent="0.2">
      <c r="A7248" s="28">
        <v>7247</v>
      </c>
      <c r="B7248" s="28" t="e">
        <f>interpola(#REF!,CURVA!$B$6:$B$20,CURVA!$G$6:$G$20)</f>
        <v>#VALUE!</v>
      </c>
      <c r="C7248" s="29" t="e">
        <f t="shared" si="113"/>
        <v>#VALUE!</v>
      </c>
      <c r="E7248" t="e">
        <f>cubic_spline(CURVA!$B$6:$B$20,CURVA!$G$6:$G$20,#REF!)</f>
        <v>#VALUE!</v>
      </c>
    </row>
    <row r="7249" spans="1:5" x14ac:dyDescent="0.2">
      <c r="A7249" s="28">
        <v>7248</v>
      </c>
      <c r="B7249" s="28" t="e">
        <f>interpola(#REF!,CURVA!$B$6:$B$20,CURVA!$G$6:$G$20)</f>
        <v>#VALUE!</v>
      </c>
      <c r="C7249" s="29" t="e">
        <f t="shared" si="113"/>
        <v>#VALUE!</v>
      </c>
      <c r="E7249" t="e">
        <f>cubic_spline(CURVA!$B$6:$B$20,CURVA!$G$6:$G$20,#REF!)</f>
        <v>#VALUE!</v>
      </c>
    </row>
    <row r="7250" spans="1:5" x14ac:dyDescent="0.2">
      <c r="A7250" s="28">
        <v>7249</v>
      </c>
      <c r="B7250" s="28" t="e">
        <f>interpola(#REF!,CURVA!$B$6:$B$20,CURVA!$G$6:$G$20)</f>
        <v>#VALUE!</v>
      </c>
      <c r="C7250" s="29" t="e">
        <f t="shared" si="113"/>
        <v>#VALUE!</v>
      </c>
      <c r="E7250" t="e">
        <f>cubic_spline(CURVA!$B$6:$B$20,CURVA!$G$6:$G$20,#REF!)</f>
        <v>#VALUE!</v>
      </c>
    </row>
    <row r="7251" spans="1:5" x14ac:dyDescent="0.2">
      <c r="A7251" s="28">
        <v>7250</v>
      </c>
      <c r="B7251" s="28" t="e">
        <f>interpola(#REF!,CURVA!$B$6:$B$20,CURVA!$G$6:$G$20)</f>
        <v>#VALUE!</v>
      </c>
      <c r="C7251" s="29" t="e">
        <f t="shared" si="113"/>
        <v>#VALUE!</v>
      </c>
      <c r="E7251" t="e">
        <f>cubic_spline(CURVA!$B$6:$B$20,CURVA!$G$6:$G$20,#REF!)</f>
        <v>#VALUE!</v>
      </c>
    </row>
    <row r="7252" spans="1:5" x14ac:dyDescent="0.2">
      <c r="A7252" s="28">
        <v>7251</v>
      </c>
      <c r="B7252" s="28" t="e">
        <f>interpola(#REF!,CURVA!$B$6:$B$20,CURVA!$G$6:$G$20)</f>
        <v>#VALUE!</v>
      </c>
      <c r="C7252" s="29" t="e">
        <f t="shared" si="113"/>
        <v>#VALUE!</v>
      </c>
      <c r="E7252" t="e">
        <f>cubic_spline(CURVA!$B$6:$B$20,CURVA!$G$6:$G$20,#REF!)</f>
        <v>#VALUE!</v>
      </c>
    </row>
    <row r="7253" spans="1:5" x14ac:dyDescent="0.2">
      <c r="A7253" s="28">
        <v>7252</v>
      </c>
      <c r="B7253" s="28" t="e">
        <f>interpola(#REF!,CURVA!$B$6:$B$20,CURVA!$G$6:$G$20)</f>
        <v>#VALUE!</v>
      </c>
      <c r="C7253" s="29" t="e">
        <f t="shared" si="113"/>
        <v>#VALUE!</v>
      </c>
      <c r="E7253" t="e">
        <f>cubic_spline(CURVA!$B$6:$B$20,CURVA!$G$6:$G$20,#REF!)</f>
        <v>#VALUE!</v>
      </c>
    </row>
    <row r="7254" spans="1:5" x14ac:dyDescent="0.2">
      <c r="A7254" s="28">
        <v>7253</v>
      </c>
      <c r="B7254" s="28" t="e">
        <f>interpola(#REF!,CURVA!$B$6:$B$20,CURVA!$G$6:$G$20)</f>
        <v>#VALUE!</v>
      </c>
      <c r="C7254" s="29" t="e">
        <f t="shared" si="113"/>
        <v>#VALUE!</v>
      </c>
      <c r="E7254" t="e">
        <f>cubic_spline(CURVA!$B$6:$B$20,CURVA!$G$6:$G$20,#REF!)</f>
        <v>#VALUE!</v>
      </c>
    </row>
    <row r="7255" spans="1:5" x14ac:dyDescent="0.2">
      <c r="A7255" s="28">
        <v>7254</v>
      </c>
      <c r="B7255" s="28" t="e">
        <f>interpola(#REF!,CURVA!$B$6:$B$20,CURVA!$G$6:$G$20)</f>
        <v>#VALUE!</v>
      </c>
      <c r="C7255" s="29" t="e">
        <f t="shared" si="113"/>
        <v>#VALUE!</v>
      </c>
      <c r="E7255" t="e">
        <f>cubic_spline(CURVA!$B$6:$B$20,CURVA!$G$6:$G$20,#REF!)</f>
        <v>#VALUE!</v>
      </c>
    </row>
    <row r="7256" spans="1:5" x14ac:dyDescent="0.2">
      <c r="A7256" s="28">
        <v>7255</v>
      </c>
      <c r="B7256" s="28" t="e">
        <f>interpola(#REF!,CURVA!$B$6:$B$20,CURVA!$G$6:$G$20)</f>
        <v>#VALUE!</v>
      </c>
      <c r="C7256" s="29" t="e">
        <f t="shared" si="113"/>
        <v>#VALUE!</v>
      </c>
      <c r="E7256" t="e">
        <f>cubic_spline(CURVA!$B$6:$B$20,CURVA!$G$6:$G$20,#REF!)</f>
        <v>#VALUE!</v>
      </c>
    </row>
    <row r="7257" spans="1:5" x14ac:dyDescent="0.2">
      <c r="A7257" s="28">
        <v>7256</v>
      </c>
      <c r="B7257" s="28" t="e">
        <f>interpola(#REF!,CURVA!$B$6:$B$20,CURVA!$G$6:$G$20)</f>
        <v>#VALUE!</v>
      </c>
      <c r="C7257" s="29" t="e">
        <f t="shared" si="113"/>
        <v>#VALUE!</v>
      </c>
      <c r="E7257" t="e">
        <f>cubic_spline(CURVA!$B$6:$B$20,CURVA!$G$6:$G$20,#REF!)</f>
        <v>#VALUE!</v>
      </c>
    </row>
    <row r="7258" spans="1:5" x14ac:dyDescent="0.2">
      <c r="A7258" s="28">
        <v>7257</v>
      </c>
      <c r="B7258" s="28" t="e">
        <f>interpola(#REF!,CURVA!$B$6:$B$20,CURVA!$G$6:$G$20)</f>
        <v>#VALUE!</v>
      </c>
      <c r="C7258" s="29" t="e">
        <f t="shared" si="113"/>
        <v>#VALUE!</v>
      </c>
      <c r="E7258" t="e">
        <f>cubic_spline(CURVA!$B$6:$B$20,CURVA!$G$6:$G$20,#REF!)</f>
        <v>#VALUE!</v>
      </c>
    </row>
    <row r="7259" spans="1:5" x14ac:dyDescent="0.2">
      <c r="A7259" s="28">
        <v>7258</v>
      </c>
      <c r="B7259" s="28" t="e">
        <f>interpola(#REF!,CURVA!$B$6:$B$20,CURVA!$G$6:$G$20)</f>
        <v>#VALUE!</v>
      </c>
      <c r="C7259" s="29" t="e">
        <f t="shared" si="113"/>
        <v>#VALUE!</v>
      </c>
      <c r="E7259" t="e">
        <f>cubic_spline(CURVA!$B$6:$B$20,CURVA!$G$6:$G$20,#REF!)</f>
        <v>#VALUE!</v>
      </c>
    </row>
    <row r="7260" spans="1:5" x14ac:dyDescent="0.2">
      <c r="A7260" s="28">
        <v>7259</v>
      </c>
      <c r="B7260" s="28" t="e">
        <f>interpola(#REF!,CURVA!$B$6:$B$20,CURVA!$G$6:$G$20)</f>
        <v>#VALUE!</v>
      </c>
      <c r="C7260" s="29" t="e">
        <f t="shared" si="113"/>
        <v>#VALUE!</v>
      </c>
      <c r="E7260" t="e">
        <f>cubic_spline(CURVA!$B$6:$B$20,CURVA!$G$6:$G$20,#REF!)</f>
        <v>#VALUE!</v>
      </c>
    </row>
    <row r="7261" spans="1:5" x14ac:dyDescent="0.2">
      <c r="A7261" s="28">
        <v>7260</v>
      </c>
      <c r="B7261" s="28" t="e">
        <f>interpola(#REF!,CURVA!$B$6:$B$20,CURVA!$G$6:$G$20)</f>
        <v>#VALUE!</v>
      </c>
      <c r="C7261" s="29" t="e">
        <f t="shared" si="113"/>
        <v>#VALUE!</v>
      </c>
      <c r="E7261" t="e">
        <f>cubic_spline(CURVA!$B$6:$B$20,CURVA!$G$6:$G$20,#REF!)</f>
        <v>#VALUE!</v>
      </c>
    </row>
    <row r="7262" spans="1:5" x14ac:dyDescent="0.2">
      <c r="A7262" s="28">
        <v>7261</v>
      </c>
      <c r="B7262" s="28" t="e">
        <f>interpola(#REF!,CURVA!$B$6:$B$20,CURVA!$G$6:$G$20)</f>
        <v>#VALUE!</v>
      </c>
      <c r="C7262" s="29" t="e">
        <f t="shared" si="113"/>
        <v>#VALUE!</v>
      </c>
      <c r="E7262" t="e">
        <f>cubic_spline(CURVA!$B$6:$B$20,CURVA!$G$6:$G$20,#REF!)</f>
        <v>#VALUE!</v>
      </c>
    </row>
    <row r="7263" spans="1:5" x14ac:dyDescent="0.2">
      <c r="A7263" s="28">
        <v>7262</v>
      </c>
      <c r="B7263" s="28" t="e">
        <f>interpola(#REF!,CURVA!$B$6:$B$20,CURVA!$G$6:$G$20)</f>
        <v>#VALUE!</v>
      </c>
      <c r="C7263" s="29" t="e">
        <f t="shared" si="113"/>
        <v>#VALUE!</v>
      </c>
      <c r="E7263" t="e">
        <f>cubic_spline(CURVA!$B$6:$B$20,CURVA!$G$6:$G$20,#REF!)</f>
        <v>#VALUE!</v>
      </c>
    </row>
    <row r="7264" spans="1:5" x14ac:dyDescent="0.2">
      <c r="A7264" s="28">
        <v>7263</v>
      </c>
      <c r="B7264" s="28" t="e">
        <f>interpola(#REF!,CURVA!$B$6:$B$20,CURVA!$G$6:$G$20)</f>
        <v>#VALUE!</v>
      </c>
      <c r="C7264" s="29" t="e">
        <f t="shared" si="113"/>
        <v>#VALUE!</v>
      </c>
      <c r="E7264" t="e">
        <f>cubic_spline(CURVA!$B$6:$B$20,CURVA!$G$6:$G$20,#REF!)</f>
        <v>#VALUE!</v>
      </c>
    </row>
    <row r="7265" spans="1:5" x14ac:dyDescent="0.2">
      <c r="A7265" s="28">
        <v>7264</v>
      </c>
      <c r="B7265" s="28" t="e">
        <f>interpola(#REF!,CURVA!$B$6:$B$20,CURVA!$G$6:$G$20)</f>
        <v>#VALUE!</v>
      </c>
      <c r="C7265" s="29" t="e">
        <f t="shared" si="113"/>
        <v>#VALUE!</v>
      </c>
      <c r="E7265" t="e">
        <f>cubic_spline(CURVA!$B$6:$B$20,CURVA!$G$6:$G$20,#REF!)</f>
        <v>#VALUE!</v>
      </c>
    </row>
    <row r="7266" spans="1:5" x14ac:dyDescent="0.2">
      <c r="A7266" s="28">
        <v>7265</v>
      </c>
      <c r="B7266" s="28" t="e">
        <f>interpola(#REF!,CURVA!$B$6:$B$20,CURVA!$G$6:$G$20)</f>
        <v>#VALUE!</v>
      </c>
      <c r="C7266" s="29" t="e">
        <f t="shared" si="113"/>
        <v>#VALUE!</v>
      </c>
      <c r="E7266" t="e">
        <f>cubic_spline(CURVA!$B$6:$B$20,CURVA!$G$6:$G$20,#REF!)</f>
        <v>#VALUE!</v>
      </c>
    </row>
    <row r="7267" spans="1:5" x14ac:dyDescent="0.2">
      <c r="A7267" s="28">
        <v>7266</v>
      </c>
      <c r="B7267" s="28" t="e">
        <f>interpola(#REF!,CURVA!$B$6:$B$20,CURVA!$G$6:$G$20)</f>
        <v>#VALUE!</v>
      </c>
      <c r="C7267" s="29" t="e">
        <f t="shared" si="113"/>
        <v>#VALUE!</v>
      </c>
      <c r="E7267" t="e">
        <f>cubic_spline(CURVA!$B$6:$B$20,CURVA!$G$6:$G$20,#REF!)</f>
        <v>#VALUE!</v>
      </c>
    </row>
    <row r="7268" spans="1:5" x14ac:dyDescent="0.2">
      <c r="A7268" s="28">
        <v>7267</v>
      </c>
      <c r="B7268" s="28" t="e">
        <f>interpola(#REF!,CURVA!$B$6:$B$20,CURVA!$G$6:$G$20)</f>
        <v>#VALUE!</v>
      </c>
      <c r="C7268" s="29" t="e">
        <f t="shared" si="113"/>
        <v>#VALUE!</v>
      </c>
      <c r="E7268" t="e">
        <f>cubic_spline(CURVA!$B$6:$B$20,CURVA!$G$6:$G$20,#REF!)</f>
        <v>#VALUE!</v>
      </c>
    </row>
    <row r="7269" spans="1:5" x14ac:dyDescent="0.2">
      <c r="A7269" s="28">
        <v>7268</v>
      </c>
      <c r="B7269" s="28" t="e">
        <f>interpola(#REF!,CURVA!$B$6:$B$20,CURVA!$G$6:$G$20)</f>
        <v>#VALUE!</v>
      </c>
      <c r="C7269" s="29" t="e">
        <f t="shared" si="113"/>
        <v>#VALUE!</v>
      </c>
      <c r="E7269" t="e">
        <f>cubic_spline(CURVA!$B$6:$B$20,CURVA!$G$6:$G$20,#REF!)</f>
        <v>#VALUE!</v>
      </c>
    </row>
    <row r="7270" spans="1:5" x14ac:dyDescent="0.2">
      <c r="A7270" s="28">
        <v>7269</v>
      </c>
      <c r="B7270" s="28" t="e">
        <f>interpola(#REF!,CURVA!$B$6:$B$20,CURVA!$G$6:$G$20)</f>
        <v>#VALUE!</v>
      </c>
      <c r="C7270" s="29" t="e">
        <f t="shared" si="113"/>
        <v>#VALUE!</v>
      </c>
      <c r="E7270" t="e">
        <f>cubic_spline(CURVA!$B$6:$B$20,CURVA!$G$6:$G$20,#REF!)</f>
        <v>#VALUE!</v>
      </c>
    </row>
    <row r="7271" spans="1:5" x14ac:dyDescent="0.2">
      <c r="A7271" s="28">
        <v>7270</v>
      </c>
      <c r="B7271" s="28" t="e">
        <f>interpola(#REF!,CURVA!$B$6:$B$20,CURVA!$G$6:$G$20)</f>
        <v>#VALUE!</v>
      </c>
      <c r="C7271" s="29" t="e">
        <f t="shared" si="113"/>
        <v>#VALUE!</v>
      </c>
      <c r="E7271" t="e">
        <f>cubic_spline(CURVA!$B$6:$B$20,CURVA!$G$6:$G$20,#REF!)</f>
        <v>#VALUE!</v>
      </c>
    </row>
    <row r="7272" spans="1:5" x14ac:dyDescent="0.2">
      <c r="A7272" s="28">
        <v>7271</v>
      </c>
      <c r="B7272" s="28" t="e">
        <f>interpola(#REF!,CURVA!$B$6:$B$20,CURVA!$G$6:$G$20)</f>
        <v>#VALUE!</v>
      </c>
      <c r="C7272" s="29" t="e">
        <f t="shared" si="113"/>
        <v>#VALUE!</v>
      </c>
      <c r="E7272" t="e">
        <f>cubic_spline(CURVA!$B$6:$B$20,CURVA!$G$6:$G$20,#REF!)</f>
        <v>#VALUE!</v>
      </c>
    </row>
    <row r="7273" spans="1:5" x14ac:dyDescent="0.2">
      <c r="A7273" s="28">
        <v>7272</v>
      </c>
      <c r="B7273" s="28" t="e">
        <f>interpola(#REF!,CURVA!$B$6:$B$20,CURVA!$G$6:$G$20)</f>
        <v>#VALUE!</v>
      </c>
      <c r="C7273" s="29" t="e">
        <f t="shared" si="113"/>
        <v>#VALUE!</v>
      </c>
      <c r="E7273" t="e">
        <f>cubic_spline(CURVA!$B$6:$B$20,CURVA!$G$6:$G$20,#REF!)</f>
        <v>#VALUE!</v>
      </c>
    </row>
    <row r="7274" spans="1:5" x14ac:dyDescent="0.2">
      <c r="A7274" s="28">
        <v>7273</v>
      </c>
      <c r="B7274" s="28" t="e">
        <f>interpola(#REF!,CURVA!$B$6:$B$20,CURVA!$G$6:$G$20)</f>
        <v>#VALUE!</v>
      </c>
      <c r="C7274" s="29" t="e">
        <f t="shared" si="113"/>
        <v>#VALUE!</v>
      </c>
      <c r="E7274" t="e">
        <f>cubic_spline(CURVA!$B$6:$B$20,CURVA!$G$6:$G$20,#REF!)</f>
        <v>#VALUE!</v>
      </c>
    </row>
    <row r="7275" spans="1:5" x14ac:dyDescent="0.2">
      <c r="A7275" s="28">
        <v>7274</v>
      </c>
      <c r="B7275" s="28" t="e">
        <f>interpola(#REF!,CURVA!$B$6:$B$20,CURVA!$G$6:$G$20)</f>
        <v>#VALUE!</v>
      </c>
      <c r="C7275" s="29" t="e">
        <f t="shared" si="113"/>
        <v>#VALUE!</v>
      </c>
      <c r="E7275" t="e">
        <f>cubic_spline(CURVA!$B$6:$B$20,CURVA!$G$6:$G$20,#REF!)</f>
        <v>#VALUE!</v>
      </c>
    </row>
    <row r="7276" spans="1:5" x14ac:dyDescent="0.2">
      <c r="A7276" s="28">
        <v>7275</v>
      </c>
      <c r="B7276" s="28" t="e">
        <f>interpola(#REF!,CURVA!$B$6:$B$20,CURVA!$G$6:$G$20)</f>
        <v>#VALUE!</v>
      </c>
      <c r="C7276" s="29" t="e">
        <f t="shared" si="113"/>
        <v>#VALUE!</v>
      </c>
      <c r="E7276" t="e">
        <f>cubic_spline(CURVA!$B$6:$B$20,CURVA!$G$6:$G$20,#REF!)</f>
        <v>#VALUE!</v>
      </c>
    </row>
    <row r="7277" spans="1:5" x14ac:dyDescent="0.2">
      <c r="A7277" s="28">
        <v>7276</v>
      </c>
      <c r="B7277" s="28" t="e">
        <f>interpola(#REF!,CURVA!$B$6:$B$20,CURVA!$G$6:$G$20)</f>
        <v>#VALUE!</v>
      </c>
      <c r="C7277" s="29" t="e">
        <f t="shared" si="113"/>
        <v>#VALUE!</v>
      </c>
      <c r="E7277" t="e">
        <f>cubic_spline(CURVA!$B$6:$B$20,CURVA!$G$6:$G$20,#REF!)</f>
        <v>#VALUE!</v>
      </c>
    </row>
    <row r="7278" spans="1:5" x14ac:dyDescent="0.2">
      <c r="A7278" s="28">
        <v>7277</v>
      </c>
      <c r="B7278" s="28" t="e">
        <f>interpola(#REF!,CURVA!$B$6:$B$20,CURVA!$G$6:$G$20)</f>
        <v>#VALUE!</v>
      </c>
      <c r="C7278" s="29" t="e">
        <f t="shared" si="113"/>
        <v>#VALUE!</v>
      </c>
      <c r="E7278" t="e">
        <f>cubic_spline(CURVA!$B$6:$B$20,CURVA!$G$6:$G$20,#REF!)</f>
        <v>#VALUE!</v>
      </c>
    </row>
    <row r="7279" spans="1:5" x14ac:dyDescent="0.2">
      <c r="A7279" s="28">
        <v>7278</v>
      </c>
      <c r="B7279" s="28" t="e">
        <f>interpola(#REF!,CURVA!$B$6:$B$20,CURVA!$G$6:$G$20)</f>
        <v>#VALUE!</v>
      </c>
      <c r="C7279" s="29" t="e">
        <f t="shared" si="113"/>
        <v>#VALUE!</v>
      </c>
      <c r="E7279" t="e">
        <f>cubic_spline(CURVA!$B$6:$B$20,CURVA!$G$6:$G$20,#REF!)</f>
        <v>#VALUE!</v>
      </c>
    </row>
    <row r="7280" spans="1:5" x14ac:dyDescent="0.2">
      <c r="A7280" s="28">
        <v>7279</v>
      </c>
      <c r="B7280" s="28" t="e">
        <f>interpola(#REF!,CURVA!$B$6:$B$20,CURVA!$G$6:$G$20)</f>
        <v>#VALUE!</v>
      </c>
      <c r="C7280" s="29" t="e">
        <f t="shared" si="113"/>
        <v>#VALUE!</v>
      </c>
      <c r="E7280" t="e">
        <f>cubic_spline(CURVA!$B$6:$B$20,CURVA!$G$6:$G$20,#REF!)</f>
        <v>#VALUE!</v>
      </c>
    </row>
    <row r="7281" spans="1:5" x14ac:dyDescent="0.2">
      <c r="A7281" s="28">
        <v>7280</v>
      </c>
      <c r="B7281" s="28" t="e">
        <f>interpola(#REF!,CURVA!$B$6:$B$20,CURVA!$G$6:$G$20)</f>
        <v>#VALUE!</v>
      </c>
      <c r="C7281" s="29" t="e">
        <f t="shared" si="113"/>
        <v>#VALUE!</v>
      </c>
      <c r="E7281" t="e">
        <f>cubic_spline(CURVA!$B$6:$B$20,CURVA!$G$6:$G$20,#REF!)</f>
        <v>#VALUE!</v>
      </c>
    </row>
    <row r="7282" spans="1:5" x14ac:dyDescent="0.2">
      <c r="A7282" s="28">
        <v>7281</v>
      </c>
      <c r="B7282" s="28" t="e">
        <f>interpola(#REF!,CURVA!$B$6:$B$20,CURVA!$G$6:$G$20)</f>
        <v>#VALUE!</v>
      </c>
      <c r="C7282" s="29" t="e">
        <f t="shared" si="113"/>
        <v>#VALUE!</v>
      </c>
      <c r="E7282" t="e">
        <f>cubic_spline(CURVA!$B$6:$B$20,CURVA!$G$6:$G$20,#REF!)</f>
        <v>#VALUE!</v>
      </c>
    </row>
    <row r="7283" spans="1:5" x14ac:dyDescent="0.2">
      <c r="A7283" s="28">
        <v>7282</v>
      </c>
      <c r="B7283" s="28" t="e">
        <f>interpola(#REF!,CURVA!$B$6:$B$20,CURVA!$G$6:$G$20)</f>
        <v>#VALUE!</v>
      </c>
      <c r="C7283" s="29" t="e">
        <f t="shared" si="113"/>
        <v>#VALUE!</v>
      </c>
      <c r="E7283" t="e">
        <f>cubic_spline(CURVA!$B$6:$B$20,CURVA!$G$6:$G$20,#REF!)</f>
        <v>#VALUE!</v>
      </c>
    </row>
    <row r="7284" spans="1:5" x14ac:dyDescent="0.2">
      <c r="A7284" s="28">
        <v>7283</v>
      </c>
      <c r="B7284" s="28" t="e">
        <f>interpola(#REF!,CURVA!$B$6:$B$20,CURVA!$G$6:$G$20)</f>
        <v>#VALUE!</v>
      </c>
      <c r="C7284" s="29" t="e">
        <f t="shared" si="113"/>
        <v>#VALUE!</v>
      </c>
      <c r="E7284" t="e">
        <f>cubic_spline(CURVA!$B$6:$B$20,CURVA!$G$6:$G$20,#REF!)</f>
        <v>#VALUE!</v>
      </c>
    </row>
    <row r="7285" spans="1:5" x14ac:dyDescent="0.2">
      <c r="A7285" s="28">
        <v>7284</v>
      </c>
      <c r="B7285" s="28" t="e">
        <f>interpola(#REF!,CURVA!$B$6:$B$20,CURVA!$G$6:$G$20)</f>
        <v>#VALUE!</v>
      </c>
      <c r="C7285" s="29" t="e">
        <f t="shared" si="113"/>
        <v>#VALUE!</v>
      </c>
      <c r="E7285" t="e">
        <f>cubic_spline(CURVA!$B$6:$B$20,CURVA!$G$6:$G$20,#REF!)</f>
        <v>#VALUE!</v>
      </c>
    </row>
    <row r="7286" spans="1:5" x14ac:dyDescent="0.2">
      <c r="A7286" s="28">
        <v>7285</v>
      </c>
      <c r="B7286" s="28" t="e">
        <f>interpola(#REF!,CURVA!$B$6:$B$20,CURVA!$G$6:$G$20)</f>
        <v>#VALUE!</v>
      </c>
      <c r="C7286" s="29" t="e">
        <f t="shared" si="113"/>
        <v>#VALUE!</v>
      </c>
      <c r="E7286" t="e">
        <f>cubic_spline(CURVA!$B$6:$B$20,CURVA!$G$6:$G$20,#REF!)</f>
        <v>#VALUE!</v>
      </c>
    </row>
    <row r="7287" spans="1:5" x14ac:dyDescent="0.2">
      <c r="A7287" s="28">
        <v>7286</v>
      </c>
      <c r="B7287" s="28" t="e">
        <f>interpola(#REF!,CURVA!$B$6:$B$20,CURVA!$G$6:$G$20)</f>
        <v>#VALUE!</v>
      </c>
      <c r="C7287" s="29" t="e">
        <f t="shared" si="113"/>
        <v>#VALUE!</v>
      </c>
      <c r="E7287" t="e">
        <f>cubic_spline(CURVA!$B$6:$B$20,CURVA!$G$6:$G$20,#REF!)</f>
        <v>#VALUE!</v>
      </c>
    </row>
    <row r="7288" spans="1:5" x14ac:dyDescent="0.2">
      <c r="A7288" s="28">
        <v>7287</v>
      </c>
      <c r="B7288" s="28" t="e">
        <f>interpola(#REF!,CURVA!$B$6:$B$20,CURVA!$G$6:$G$20)</f>
        <v>#VALUE!</v>
      </c>
      <c r="C7288" s="29" t="e">
        <f t="shared" si="113"/>
        <v>#VALUE!</v>
      </c>
      <c r="E7288" t="e">
        <f>cubic_spline(CURVA!$B$6:$B$20,CURVA!$G$6:$G$20,#REF!)</f>
        <v>#VALUE!</v>
      </c>
    </row>
    <row r="7289" spans="1:5" x14ac:dyDescent="0.2">
      <c r="A7289" s="28">
        <v>7288</v>
      </c>
      <c r="B7289" s="28" t="e">
        <f>interpola(#REF!,CURVA!$B$6:$B$20,CURVA!$G$6:$G$20)</f>
        <v>#VALUE!</v>
      </c>
      <c r="C7289" s="29" t="e">
        <f t="shared" si="113"/>
        <v>#VALUE!</v>
      </c>
      <c r="E7289" t="e">
        <f>cubic_spline(CURVA!$B$6:$B$20,CURVA!$G$6:$G$20,#REF!)</f>
        <v>#VALUE!</v>
      </c>
    </row>
    <row r="7290" spans="1:5" x14ac:dyDescent="0.2">
      <c r="A7290" s="28">
        <v>7289</v>
      </c>
      <c r="B7290" s="28" t="e">
        <f>interpola(#REF!,CURVA!$B$6:$B$20,CURVA!$G$6:$G$20)</f>
        <v>#VALUE!</v>
      </c>
      <c r="C7290" s="29" t="e">
        <f t="shared" si="113"/>
        <v>#VALUE!</v>
      </c>
      <c r="E7290" t="e">
        <f>cubic_spline(CURVA!$B$6:$B$20,CURVA!$G$6:$G$20,#REF!)</f>
        <v>#VALUE!</v>
      </c>
    </row>
    <row r="7291" spans="1:5" x14ac:dyDescent="0.2">
      <c r="A7291" s="28">
        <v>7290</v>
      </c>
      <c r="B7291" s="28" t="e">
        <f>interpola(#REF!,CURVA!$B$6:$B$20,CURVA!$G$6:$G$20)</f>
        <v>#VALUE!</v>
      </c>
      <c r="C7291" s="29" t="e">
        <f t="shared" si="113"/>
        <v>#VALUE!</v>
      </c>
      <c r="E7291" t="e">
        <f>cubic_spline(CURVA!$B$6:$B$20,CURVA!$G$6:$G$20,#REF!)</f>
        <v>#VALUE!</v>
      </c>
    </row>
    <row r="7292" spans="1:5" x14ac:dyDescent="0.2">
      <c r="A7292" s="28">
        <v>7291</v>
      </c>
      <c r="B7292" s="28" t="e">
        <f>interpola(#REF!,CURVA!$B$6:$B$20,CURVA!$G$6:$G$20)</f>
        <v>#VALUE!</v>
      </c>
      <c r="C7292" s="29" t="e">
        <f t="shared" si="113"/>
        <v>#VALUE!</v>
      </c>
      <c r="E7292" t="e">
        <f>cubic_spline(CURVA!$B$6:$B$20,CURVA!$G$6:$G$20,#REF!)</f>
        <v>#VALUE!</v>
      </c>
    </row>
    <row r="7293" spans="1:5" x14ac:dyDescent="0.2">
      <c r="A7293" s="28">
        <v>7292</v>
      </c>
      <c r="B7293" s="28" t="e">
        <f>interpola(#REF!,CURVA!$B$6:$B$20,CURVA!$G$6:$G$20)</f>
        <v>#VALUE!</v>
      </c>
      <c r="C7293" s="29" t="e">
        <f t="shared" si="113"/>
        <v>#VALUE!</v>
      </c>
      <c r="E7293" t="e">
        <f>cubic_spline(CURVA!$B$6:$B$20,CURVA!$G$6:$G$20,#REF!)</f>
        <v>#VALUE!</v>
      </c>
    </row>
    <row r="7294" spans="1:5" x14ac:dyDescent="0.2">
      <c r="A7294" s="28">
        <v>7293</v>
      </c>
      <c r="B7294" s="28" t="e">
        <f>interpola(#REF!,CURVA!$B$6:$B$20,CURVA!$G$6:$G$20)</f>
        <v>#VALUE!</v>
      </c>
      <c r="C7294" s="29" t="e">
        <f t="shared" si="113"/>
        <v>#VALUE!</v>
      </c>
      <c r="E7294" t="e">
        <f>cubic_spline(CURVA!$B$6:$B$20,CURVA!$G$6:$G$20,#REF!)</f>
        <v>#VALUE!</v>
      </c>
    </row>
    <row r="7295" spans="1:5" x14ac:dyDescent="0.2">
      <c r="A7295" s="28">
        <v>7294</v>
      </c>
      <c r="B7295" s="28" t="e">
        <f>interpola(#REF!,CURVA!$B$6:$B$20,CURVA!$G$6:$G$20)</f>
        <v>#VALUE!</v>
      </c>
      <c r="C7295" s="29" t="e">
        <f t="shared" si="113"/>
        <v>#VALUE!</v>
      </c>
      <c r="E7295" t="e">
        <f>cubic_spline(CURVA!$B$6:$B$20,CURVA!$G$6:$G$20,#REF!)</f>
        <v>#VALUE!</v>
      </c>
    </row>
    <row r="7296" spans="1:5" x14ac:dyDescent="0.2">
      <c r="A7296" s="28">
        <v>7295</v>
      </c>
      <c r="B7296" s="28" t="e">
        <f>interpola(#REF!,CURVA!$B$6:$B$20,CURVA!$G$6:$G$20)</f>
        <v>#VALUE!</v>
      </c>
      <c r="C7296" s="29" t="e">
        <f t="shared" si="113"/>
        <v>#VALUE!</v>
      </c>
      <c r="E7296" t="e">
        <f>cubic_spline(CURVA!$B$6:$B$20,CURVA!$G$6:$G$20,#REF!)</f>
        <v>#VALUE!</v>
      </c>
    </row>
    <row r="7297" spans="1:5" x14ac:dyDescent="0.2">
      <c r="A7297" s="28">
        <v>7296</v>
      </c>
      <c r="B7297" s="28" t="e">
        <f>interpola(#REF!,CURVA!$B$6:$B$20,CURVA!$G$6:$G$20)</f>
        <v>#VALUE!</v>
      </c>
      <c r="C7297" s="29" t="e">
        <f t="shared" si="113"/>
        <v>#VALUE!</v>
      </c>
      <c r="E7297" t="e">
        <f>cubic_spline(CURVA!$B$6:$B$20,CURVA!$G$6:$G$20,#REF!)</f>
        <v>#VALUE!</v>
      </c>
    </row>
    <row r="7298" spans="1:5" x14ac:dyDescent="0.2">
      <c r="A7298" s="28">
        <v>7297</v>
      </c>
      <c r="B7298" s="28" t="e">
        <f>interpola(#REF!,CURVA!$B$6:$B$20,CURVA!$G$6:$G$20)</f>
        <v>#VALUE!</v>
      </c>
      <c r="C7298" s="29" t="e">
        <f t="shared" ref="C7298:C7361" si="114">(EXP(B7298*A7298/360)-1)*360/A7298</f>
        <v>#VALUE!</v>
      </c>
      <c r="E7298" t="e">
        <f>cubic_spline(CURVA!$B$6:$B$20,CURVA!$G$6:$G$20,#REF!)</f>
        <v>#VALUE!</v>
      </c>
    </row>
    <row r="7299" spans="1:5" x14ac:dyDescent="0.2">
      <c r="A7299" s="28">
        <v>7298</v>
      </c>
      <c r="B7299" s="28" t="e">
        <f>interpola(#REF!,CURVA!$B$6:$B$20,CURVA!$G$6:$G$20)</f>
        <v>#VALUE!</v>
      </c>
      <c r="C7299" s="29" t="e">
        <f t="shared" si="114"/>
        <v>#VALUE!</v>
      </c>
      <c r="E7299" t="e">
        <f>cubic_spline(CURVA!$B$6:$B$20,CURVA!$G$6:$G$20,#REF!)</f>
        <v>#VALUE!</v>
      </c>
    </row>
    <row r="7300" spans="1:5" x14ac:dyDescent="0.2">
      <c r="A7300" s="28">
        <v>7299</v>
      </c>
      <c r="B7300" s="28" t="e">
        <f>interpola(#REF!,CURVA!$B$6:$B$20,CURVA!$G$6:$G$20)</f>
        <v>#VALUE!</v>
      </c>
      <c r="C7300" s="29" t="e">
        <f t="shared" si="114"/>
        <v>#VALUE!</v>
      </c>
      <c r="E7300" t="e">
        <f>cubic_spline(CURVA!$B$6:$B$20,CURVA!$G$6:$G$20,#REF!)</f>
        <v>#VALUE!</v>
      </c>
    </row>
    <row r="7301" spans="1:5" x14ac:dyDescent="0.2">
      <c r="A7301" s="28">
        <v>7300</v>
      </c>
      <c r="B7301" s="28" t="e">
        <f>interpola(#REF!,CURVA!$B$6:$B$20,CURVA!$G$6:$G$20)</f>
        <v>#VALUE!</v>
      </c>
      <c r="C7301" s="29" t="e">
        <f t="shared" si="114"/>
        <v>#VALUE!</v>
      </c>
      <c r="E7301" t="e">
        <f>cubic_spline(CURVA!$B$6:$B$20,CURVA!$G$6:$G$20,#REF!)</f>
        <v>#VALUE!</v>
      </c>
    </row>
    <row r="7302" spans="1:5" x14ac:dyDescent="0.2">
      <c r="A7302" s="28">
        <v>7301</v>
      </c>
      <c r="B7302" s="28" t="e">
        <f>interpola(#REF!,CURVA!$B$6:$B$20,CURVA!$G$6:$G$20)</f>
        <v>#VALUE!</v>
      </c>
      <c r="C7302" s="29" t="e">
        <f t="shared" si="114"/>
        <v>#VALUE!</v>
      </c>
      <c r="E7302" t="e">
        <f>cubic_spline(CURVA!$B$6:$B$20,CURVA!$G$6:$G$20,#REF!)</f>
        <v>#VALUE!</v>
      </c>
    </row>
    <row r="7303" spans="1:5" x14ac:dyDescent="0.2">
      <c r="A7303" s="28">
        <v>7302</v>
      </c>
      <c r="B7303" s="28" t="e">
        <f>interpola(#REF!,CURVA!$B$6:$B$20,CURVA!$G$6:$G$20)</f>
        <v>#VALUE!</v>
      </c>
      <c r="C7303" s="29" t="e">
        <f t="shared" si="114"/>
        <v>#VALUE!</v>
      </c>
      <c r="E7303" t="e">
        <f>cubic_spline(CURVA!$B$6:$B$20,CURVA!$G$6:$G$20,#REF!)</f>
        <v>#VALUE!</v>
      </c>
    </row>
    <row r="7304" spans="1:5" x14ac:dyDescent="0.2">
      <c r="A7304" s="28">
        <v>7303</v>
      </c>
      <c r="B7304" s="28" t="e">
        <f>interpola(#REF!,CURVA!$B$6:$B$20,CURVA!$G$6:$G$20)</f>
        <v>#VALUE!</v>
      </c>
      <c r="C7304" s="29" t="e">
        <f t="shared" si="114"/>
        <v>#VALUE!</v>
      </c>
      <c r="E7304" t="e">
        <f>cubic_spline(CURVA!$B$6:$B$20,CURVA!$G$6:$G$20,#REF!)</f>
        <v>#VALUE!</v>
      </c>
    </row>
    <row r="7305" spans="1:5" x14ac:dyDescent="0.2">
      <c r="A7305" s="28">
        <v>7304</v>
      </c>
      <c r="B7305" s="28" t="e">
        <f>interpola(#REF!,CURVA!$B$6:$B$20,CURVA!$G$6:$G$20)</f>
        <v>#VALUE!</v>
      </c>
      <c r="C7305" s="29" t="e">
        <f t="shared" si="114"/>
        <v>#VALUE!</v>
      </c>
      <c r="E7305" t="e">
        <f>cubic_spline(CURVA!$B$6:$B$20,CURVA!$G$6:$G$20,#REF!)</f>
        <v>#VALUE!</v>
      </c>
    </row>
    <row r="7306" spans="1:5" x14ac:dyDescent="0.2">
      <c r="A7306" s="28">
        <v>7305</v>
      </c>
      <c r="B7306" s="28" t="e">
        <f>interpola(#REF!,CURVA!$B$6:$B$20,CURVA!$G$6:$G$20)</f>
        <v>#VALUE!</v>
      </c>
      <c r="C7306" s="29" t="e">
        <f t="shared" si="114"/>
        <v>#VALUE!</v>
      </c>
      <c r="E7306" t="e">
        <f>cubic_spline(CURVA!$B$6:$B$20,CURVA!$G$6:$G$20,#REF!)</f>
        <v>#VALUE!</v>
      </c>
    </row>
    <row r="7307" spans="1:5" x14ac:dyDescent="0.2">
      <c r="A7307" s="28">
        <v>7306</v>
      </c>
      <c r="B7307" s="28" t="e">
        <f>interpola(#REF!,CURVA!$B$6:$B$20,CURVA!$G$6:$G$20)</f>
        <v>#VALUE!</v>
      </c>
      <c r="C7307" s="29" t="e">
        <f t="shared" si="114"/>
        <v>#VALUE!</v>
      </c>
      <c r="E7307" t="e">
        <f>cubic_spline(CURVA!$B$6:$B$20,CURVA!$G$6:$G$20,#REF!)</f>
        <v>#VALUE!</v>
      </c>
    </row>
    <row r="7308" spans="1:5" x14ac:dyDescent="0.2">
      <c r="A7308" s="28">
        <v>7307</v>
      </c>
      <c r="B7308" s="28" t="e">
        <f>interpola(#REF!,CURVA!$B$6:$B$20,CURVA!$G$6:$G$20)</f>
        <v>#VALUE!</v>
      </c>
      <c r="C7308" s="29" t="e">
        <f t="shared" si="114"/>
        <v>#VALUE!</v>
      </c>
      <c r="E7308" t="e">
        <f>cubic_spline(CURVA!$B$6:$B$20,CURVA!$G$6:$G$20,#REF!)</f>
        <v>#VALUE!</v>
      </c>
    </row>
    <row r="7309" spans="1:5" x14ac:dyDescent="0.2">
      <c r="A7309" s="28">
        <v>7308</v>
      </c>
      <c r="B7309" s="28" t="e">
        <f>interpola(#REF!,CURVA!$B$6:$B$20,CURVA!$G$6:$G$20)</f>
        <v>#VALUE!</v>
      </c>
      <c r="C7309" s="29" t="e">
        <f t="shared" si="114"/>
        <v>#VALUE!</v>
      </c>
      <c r="E7309" t="e">
        <f>cubic_spline(CURVA!$B$6:$B$20,CURVA!$G$6:$G$20,#REF!)</f>
        <v>#VALUE!</v>
      </c>
    </row>
    <row r="7310" spans="1:5" x14ac:dyDescent="0.2">
      <c r="A7310" s="28">
        <v>7309</v>
      </c>
      <c r="B7310" s="28" t="e">
        <f>interpola(#REF!,CURVA!$B$6:$B$20,CURVA!$G$6:$G$20)</f>
        <v>#VALUE!</v>
      </c>
      <c r="C7310" s="29" t="e">
        <f t="shared" si="114"/>
        <v>#VALUE!</v>
      </c>
      <c r="E7310" t="e">
        <f>cubic_spline(CURVA!$B$6:$B$20,CURVA!$G$6:$G$20,#REF!)</f>
        <v>#VALUE!</v>
      </c>
    </row>
    <row r="7311" spans="1:5" x14ac:dyDescent="0.2">
      <c r="A7311" s="28">
        <v>7310</v>
      </c>
      <c r="B7311" s="28" t="e">
        <f>interpola(#REF!,CURVA!$B$6:$B$20,CURVA!$G$6:$G$20)</f>
        <v>#VALUE!</v>
      </c>
      <c r="C7311" s="29" t="e">
        <f t="shared" si="114"/>
        <v>#VALUE!</v>
      </c>
      <c r="E7311" t="e">
        <f>cubic_spline(CURVA!$B$6:$B$20,CURVA!$G$6:$G$20,#REF!)</f>
        <v>#VALUE!</v>
      </c>
    </row>
    <row r="7312" spans="1:5" x14ac:dyDescent="0.2">
      <c r="A7312" s="28">
        <v>7311</v>
      </c>
      <c r="B7312" s="28" t="e">
        <f>interpola(#REF!,CURVA!$B$6:$B$20,CURVA!$G$6:$G$20)</f>
        <v>#VALUE!</v>
      </c>
      <c r="C7312" s="29" t="e">
        <f t="shared" si="114"/>
        <v>#VALUE!</v>
      </c>
      <c r="E7312" t="e">
        <f>cubic_spline(CURVA!$B$6:$B$20,CURVA!$G$6:$G$20,#REF!)</f>
        <v>#VALUE!</v>
      </c>
    </row>
    <row r="7313" spans="1:5" x14ac:dyDescent="0.2">
      <c r="A7313" s="28">
        <v>7312</v>
      </c>
      <c r="B7313" s="28" t="e">
        <f>interpola(#REF!,CURVA!$B$6:$B$20,CURVA!$G$6:$G$20)</f>
        <v>#VALUE!</v>
      </c>
      <c r="C7313" s="29" t="e">
        <f t="shared" si="114"/>
        <v>#VALUE!</v>
      </c>
      <c r="E7313" t="e">
        <f>cubic_spline(CURVA!$B$6:$B$20,CURVA!$G$6:$G$20,#REF!)</f>
        <v>#VALUE!</v>
      </c>
    </row>
    <row r="7314" spans="1:5" x14ac:dyDescent="0.2">
      <c r="A7314" s="28">
        <v>7313</v>
      </c>
      <c r="B7314" s="28" t="e">
        <f>interpola(#REF!,CURVA!$B$6:$B$20,CURVA!$G$6:$G$20)</f>
        <v>#VALUE!</v>
      </c>
      <c r="C7314" s="29" t="e">
        <f t="shared" si="114"/>
        <v>#VALUE!</v>
      </c>
      <c r="E7314" t="e">
        <f>cubic_spline(CURVA!$B$6:$B$20,CURVA!$G$6:$G$20,#REF!)</f>
        <v>#VALUE!</v>
      </c>
    </row>
    <row r="7315" spans="1:5" x14ac:dyDescent="0.2">
      <c r="A7315" s="28">
        <v>7314</v>
      </c>
      <c r="B7315" s="28" t="e">
        <f>interpola(#REF!,CURVA!$B$6:$B$20,CURVA!$G$6:$G$20)</f>
        <v>#VALUE!</v>
      </c>
      <c r="C7315" s="29" t="e">
        <f t="shared" si="114"/>
        <v>#VALUE!</v>
      </c>
      <c r="E7315" t="e">
        <f>cubic_spline(CURVA!$B$6:$B$20,CURVA!$G$6:$G$20,#REF!)</f>
        <v>#VALUE!</v>
      </c>
    </row>
    <row r="7316" spans="1:5" x14ac:dyDescent="0.2">
      <c r="A7316" s="28">
        <v>7315</v>
      </c>
      <c r="B7316" s="28" t="e">
        <f>interpola(#REF!,CURVA!$B$6:$B$20,CURVA!$G$6:$G$20)</f>
        <v>#VALUE!</v>
      </c>
      <c r="C7316" s="29" t="e">
        <f t="shared" si="114"/>
        <v>#VALUE!</v>
      </c>
      <c r="E7316" t="e">
        <f>cubic_spline(CURVA!$B$6:$B$20,CURVA!$G$6:$G$20,#REF!)</f>
        <v>#VALUE!</v>
      </c>
    </row>
    <row r="7317" spans="1:5" x14ac:dyDescent="0.2">
      <c r="A7317" s="28">
        <v>7316</v>
      </c>
      <c r="B7317" s="28" t="e">
        <f>interpola(#REF!,CURVA!$B$6:$B$20,CURVA!$G$6:$G$20)</f>
        <v>#VALUE!</v>
      </c>
      <c r="C7317" s="29" t="e">
        <f t="shared" si="114"/>
        <v>#VALUE!</v>
      </c>
      <c r="E7317" t="e">
        <f>cubic_spline(CURVA!$B$6:$B$20,CURVA!$G$6:$G$20,#REF!)</f>
        <v>#VALUE!</v>
      </c>
    </row>
    <row r="7318" spans="1:5" x14ac:dyDescent="0.2">
      <c r="A7318" s="28">
        <v>7317</v>
      </c>
      <c r="B7318" s="28" t="e">
        <f>interpola(#REF!,CURVA!$B$6:$B$20,CURVA!$G$6:$G$20)</f>
        <v>#VALUE!</v>
      </c>
      <c r="C7318" s="29" t="e">
        <f t="shared" si="114"/>
        <v>#VALUE!</v>
      </c>
      <c r="E7318" t="e">
        <f>cubic_spline(CURVA!$B$6:$B$20,CURVA!$G$6:$G$20,#REF!)</f>
        <v>#VALUE!</v>
      </c>
    </row>
    <row r="7319" spans="1:5" x14ac:dyDescent="0.2">
      <c r="A7319" s="28">
        <v>7318</v>
      </c>
      <c r="B7319" s="28" t="e">
        <f>interpola(#REF!,CURVA!$B$6:$B$20,CURVA!$G$6:$G$20)</f>
        <v>#VALUE!</v>
      </c>
      <c r="C7319" s="29" t="e">
        <f t="shared" si="114"/>
        <v>#VALUE!</v>
      </c>
      <c r="E7319" t="e">
        <f>cubic_spline(CURVA!$B$6:$B$20,CURVA!$G$6:$G$20,#REF!)</f>
        <v>#VALUE!</v>
      </c>
    </row>
    <row r="7320" spans="1:5" x14ac:dyDescent="0.2">
      <c r="A7320" s="28">
        <v>7319</v>
      </c>
      <c r="B7320" s="28" t="e">
        <f>interpola(#REF!,CURVA!$B$6:$B$20,CURVA!$G$6:$G$20)</f>
        <v>#VALUE!</v>
      </c>
      <c r="C7320" s="29" t="e">
        <f t="shared" si="114"/>
        <v>#VALUE!</v>
      </c>
      <c r="E7320" t="e">
        <f>cubic_spline(CURVA!$B$6:$B$20,CURVA!$G$6:$G$20,#REF!)</f>
        <v>#VALUE!</v>
      </c>
    </row>
    <row r="7321" spans="1:5" x14ac:dyDescent="0.2">
      <c r="A7321" s="28">
        <v>7320</v>
      </c>
      <c r="B7321" s="28" t="e">
        <f>interpola(#REF!,CURVA!$B$6:$B$20,CURVA!$G$6:$G$20)</f>
        <v>#VALUE!</v>
      </c>
      <c r="C7321" s="29" t="e">
        <f t="shared" si="114"/>
        <v>#VALUE!</v>
      </c>
      <c r="E7321" t="e">
        <f>cubic_spline(CURVA!$B$6:$B$20,CURVA!$G$6:$G$20,#REF!)</f>
        <v>#VALUE!</v>
      </c>
    </row>
    <row r="7322" spans="1:5" x14ac:dyDescent="0.2">
      <c r="A7322" s="28">
        <v>7321</v>
      </c>
      <c r="B7322" s="28" t="e">
        <f>interpola(#REF!,CURVA!$B$6:$B$20,CURVA!$G$6:$G$20)</f>
        <v>#VALUE!</v>
      </c>
      <c r="C7322" s="29" t="e">
        <f t="shared" si="114"/>
        <v>#VALUE!</v>
      </c>
      <c r="E7322" t="e">
        <f>cubic_spline(CURVA!$B$6:$B$20,CURVA!$G$6:$G$20,#REF!)</f>
        <v>#VALUE!</v>
      </c>
    </row>
    <row r="7323" spans="1:5" x14ac:dyDescent="0.2">
      <c r="A7323" s="28">
        <v>7322</v>
      </c>
      <c r="B7323" s="28" t="e">
        <f>interpola(#REF!,CURVA!$B$6:$B$20,CURVA!$G$6:$G$20)</f>
        <v>#VALUE!</v>
      </c>
      <c r="C7323" s="29" t="e">
        <f t="shared" si="114"/>
        <v>#VALUE!</v>
      </c>
      <c r="E7323" t="e">
        <f>cubic_spline(CURVA!$B$6:$B$20,CURVA!$G$6:$G$20,#REF!)</f>
        <v>#VALUE!</v>
      </c>
    </row>
    <row r="7324" spans="1:5" x14ac:dyDescent="0.2">
      <c r="A7324" s="28">
        <v>7323</v>
      </c>
      <c r="B7324" s="28" t="e">
        <f>interpola(#REF!,CURVA!$B$6:$B$20,CURVA!$G$6:$G$20)</f>
        <v>#VALUE!</v>
      </c>
      <c r="C7324" s="29" t="e">
        <f t="shared" si="114"/>
        <v>#VALUE!</v>
      </c>
      <c r="E7324" t="e">
        <f>cubic_spline(CURVA!$B$6:$B$20,CURVA!$G$6:$G$20,#REF!)</f>
        <v>#VALUE!</v>
      </c>
    </row>
    <row r="7325" spans="1:5" x14ac:dyDescent="0.2">
      <c r="A7325" s="28">
        <v>7324</v>
      </c>
      <c r="B7325" s="28" t="e">
        <f>interpola(#REF!,CURVA!$B$6:$B$20,CURVA!$G$6:$G$20)</f>
        <v>#VALUE!</v>
      </c>
      <c r="C7325" s="29" t="e">
        <f t="shared" si="114"/>
        <v>#VALUE!</v>
      </c>
      <c r="E7325" t="e">
        <f>cubic_spline(CURVA!$B$6:$B$20,CURVA!$G$6:$G$20,#REF!)</f>
        <v>#VALUE!</v>
      </c>
    </row>
    <row r="7326" spans="1:5" x14ac:dyDescent="0.2">
      <c r="A7326" s="28">
        <v>7325</v>
      </c>
      <c r="B7326" s="28" t="e">
        <f>interpola(#REF!,CURVA!$B$6:$B$20,CURVA!$G$6:$G$20)</f>
        <v>#VALUE!</v>
      </c>
      <c r="C7326" s="29" t="e">
        <f t="shared" si="114"/>
        <v>#VALUE!</v>
      </c>
      <c r="E7326" t="e">
        <f>cubic_spline(CURVA!$B$6:$B$20,CURVA!$G$6:$G$20,#REF!)</f>
        <v>#VALUE!</v>
      </c>
    </row>
    <row r="7327" spans="1:5" x14ac:dyDescent="0.2">
      <c r="A7327" s="28">
        <v>7326</v>
      </c>
      <c r="B7327" s="28" t="e">
        <f>interpola(#REF!,CURVA!$B$6:$B$20,CURVA!$G$6:$G$20)</f>
        <v>#VALUE!</v>
      </c>
      <c r="C7327" s="29" t="e">
        <f t="shared" si="114"/>
        <v>#VALUE!</v>
      </c>
      <c r="E7327" t="e">
        <f>cubic_spline(CURVA!$B$6:$B$20,CURVA!$G$6:$G$20,#REF!)</f>
        <v>#VALUE!</v>
      </c>
    </row>
    <row r="7328" spans="1:5" x14ac:dyDescent="0.2">
      <c r="A7328" s="28">
        <v>7327</v>
      </c>
      <c r="B7328" s="28" t="e">
        <f>interpola(#REF!,CURVA!$B$6:$B$20,CURVA!$G$6:$G$20)</f>
        <v>#VALUE!</v>
      </c>
      <c r="C7328" s="29" t="e">
        <f t="shared" si="114"/>
        <v>#VALUE!</v>
      </c>
      <c r="E7328" t="e">
        <f>cubic_spline(CURVA!$B$6:$B$20,CURVA!$G$6:$G$20,#REF!)</f>
        <v>#VALUE!</v>
      </c>
    </row>
    <row r="7329" spans="1:5" x14ac:dyDescent="0.2">
      <c r="A7329" s="28">
        <v>7328</v>
      </c>
      <c r="B7329" s="28" t="e">
        <f>interpola(#REF!,CURVA!$B$6:$B$20,CURVA!$G$6:$G$20)</f>
        <v>#VALUE!</v>
      </c>
      <c r="C7329" s="29" t="e">
        <f t="shared" si="114"/>
        <v>#VALUE!</v>
      </c>
      <c r="E7329" t="e">
        <f>cubic_spline(CURVA!$B$6:$B$20,CURVA!$G$6:$G$20,#REF!)</f>
        <v>#VALUE!</v>
      </c>
    </row>
    <row r="7330" spans="1:5" x14ac:dyDescent="0.2">
      <c r="A7330" s="28">
        <v>7329</v>
      </c>
      <c r="B7330" s="28" t="e">
        <f>interpola(#REF!,CURVA!$B$6:$B$20,CURVA!$G$6:$G$20)</f>
        <v>#VALUE!</v>
      </c>
      <c r="C7330" s="29" t="e">
        <f t="shared" si="114"/>
        <v>#VALUE!</v>
      </c>
      <c r="E7330" t="e">
        <f>cubic_spline(CURVA!$B$6:$B$20,CURVA!$G$6:$G$20,#REF!)</f>
        <v>#VALUE!</v>
      </c>
    </row>
    <row r="7331" spans="1:5" x14ac:dyDescent="0.2">
      <c r="A7331" s="28">
        <v>7330</v>
      </c>
      <c r="B7331" s="28" t="e">
        <f>interpola(#REF!,CURVA!$B$6:$B$20,CURVA!$G$6:$G$20)</f>
        <v>#VALUE!</v>
      </c>
      <c r="C7331" s="29" t="e">
        <f t="shared" si="114"/>
        <v>#VALUE!</v>
      </c>
      <c r="E7331" t="e">
        <f>cubic_spline(CURVA!$B$6:$B$20,CURVA!$G$6:$G$20,#REF!)</f>
        <v>#VALUE!</v>
      </c>
    </row>
    <row r="7332" spans="1:5" x14ac:dyDescent="0.2">
      <c r="A7332" s="28">
        <v>7331</v>
      </c>
      <c r="B7332" s="28" t="e">
        <f>interpola(#REF!,CURVA!$B$6:$B$20,CURVA!$G$6:$G$20)</f>
        <v>#VALUE!</v>
      </c>
      <c r="C7332" s="29" t="e">
        <f t="shared" si="114"/>
        <v>#VALUE!</v>
      </c>
      <c r="E7332" t="e">
        <f>cubic_spline(CURVA!$B$6:$B$20,CURVA!$G$6:$G$20,#REF!)</f>
        <v>#VALUE!</v>
      </c>
    </row>
    <row r="7333" spans="1:5" x14ac:dyDescent="0.2">
      <c r="A7333" s="28">
        <v>7332</v>
      </c>
      <c r="B7333" s="28" t="e">
        <f>interpola(#REF!,CURVA!$B$6:$B$20,CURVA!$G$6:$G$20)</f>
        <v>#VALUE!</v>
      </c>
      <c r="C7333" s="29" t="e">
        <f t="shared" si="114"/>
        <v>#VALUE!</v>
      </c>
      <c r="E7333" t="e">
        <f>cubic_spline(CURVA!$B$6:$B$20,CURVA!$G$6:$G$20,#REF!)</f>
        <v>#VALUE!</v>
      </c>
    </row>
    <row r="7334" spans="1:5" x14ac:dyDescent="0.2">
      <c r="A7334" s="28">
        <v>7333</v>
      </c>
      <c r="B7334" s="28" t="e">
        <f>interpola(#REF!,CURVA!$B$6:$B$20,CURVA!$G$6:$G$20)</f>
        <v>#VALUE!</v>
      </c>
      <c r="C7334" s="29" t="e">
        <f t="shared" si="114"/>
        <v>#VALUE!</v>
      </c>
      <c r="E7334" t="e">
        <f>cubic_spline(CURVA!$B$6:$B$20,CURVA!$G$6:$G$20,#REF!)</f>
        <v>#VALUE!</v>
      </c>
    </row>
    <row r="7335" spans="1:5" x14ac:dyDescent="0.2">
      <c r="A7335" s="28">
        <v>7334</v>
      </c>
      <c r="B7335" s="28" t="e">
        <f>interpola(#REF!,CURVA!$B$6:$B$20,CURVA!$G$6:$G$20)</f>
        <v>#VALUE!</v>
      </c>
      <c r="C7335" s="29" t="e">
        <f t="shared" si="114"/>
        <v>#VALUE!</v>
      </c>
      <c r="E7335" t="e">
        <f>cubic_spline(CURVA!$B$6:$B$20,CURVA!$G$6:$G$20,#REF!)</f>
        <v>#VALUE!</v>
      </c>
    </row>
    <row r="7336" spans="1:5" x14ac:dyDescent="0.2">
      <c r="A7336" s="28">
        <v>7335</v>
      </c>
      <c r="B7336" s="28" t="e">
        <f>interpola(#REF!,CURVA!$B$6:$B$20,CURVA!$G$6:$G$20)</f>
        <v>#VALUE!</v>
      </c>
      <c r="C7336" s="29" t="e">
        <f t="shared" si="114"/>
        <v>#VALUE!</v>
      </c>
      <c r="E7336" t="e">
        <f>cubic_spline(CURVA!$B$6:$B$20,CURVA!$G$6:$G$20,#REF!)</f>
        <v>#VALUE!</v>
      </c>
    </row>
    <row r="7337" spans="1:5" x14ac:dyDescent="0.2">
      <c r="A7337" s="28">
        <v>7336</v>
      </c>
      <c r="B7337" s="28" t="e">
        <f>interpola(#REF!,CURVA!$B$6:$B$20,CURVA!$G$6:$G$20)</f>
        <v>#VALUE!</v>
      </c>
      <c r="C7337" s="29" t="e">
        <f t="shared" si="114"/>
        <v>#VALUE!</v>
      </c>
      <c r="E7337" t="e">
        <f>cubic_spline(CURVA!$B$6:$B$20,CURVA!$G$6:$G$20,#REF!)</f>
        <v>#VALUE!</v>
      </c>
    </row>
    <row r="7338" spans="1:5" x14ac:dyDescent="0.2">
      <c r="A7338" s="28">
        <v>7337</v>
      </c>
      <c r="B7338" s="28" t="e">
        <f>interpola(#REF!,CURVA!$B$6:$B$20,CURVA!$G$6:$G$20)</f>
        <v>#VALUE!</v>
      </c>
      <c r="C7338" s="29" t="e">
        <f t="shared" si="114"/>
        <v>#VALUE!</v>
      </c>
      <c r="E7338" t="e">
        <f>cubic_spline(CURVA!$B$6:$B$20,CURVA!$G$6:$G$20,#REF!)</f>
        <v>#VALUE!</v>
      </c>
    </row>
    <row r="7339" spans="1:5" x14ac:dyDescent="0.2">
      <c r="A7339" s="28">
        <v>7338</v>
      </c>
      <c r="B7339" s="28" t="e">
        <f>interpola(#REF!,CURVA!$B$6:$B$20,CURVA!$G$6:$G$20)</f>
        <v>#VALUE!</v>
      </c>
      <c r="C7339" s="29" t="e">
        <f t="shared" si="114"/>
        <v>#VALUE!</v>
      </c>
      <c r="E7339" t="e">
        <f>cubic_spline(CURVA!$B$6:$B$20,CURVA!$G$6:$G$20,#REF!)</f>
        <v>#VALUE!</v>
      </c>
    </row>
    <row r="7340" spans="1:5" x14ac:dyDescent="0.2">
      <c r="A7340" s="28">
        <v>7339</v>
      </c>
      <c r="B7340" s="28" t="e">
        <f>interpola(#REF!,CURVA!$B$6:$B$20,CURVA!$G$6:$G$20)</f>
        <v>#VALUE!</v>
      </c>
      <c r="C7340" s="29" t="e">
        <f t="shared" si="114"/>
        <v>#VALUE!</v>
      </c>
      <c r="E7340" t="e">
        <f>cubic_spline(CURVA!$B$6:$B$20,CURVA!$G$6:$G$20,#REF!)</f>
        <v>#VALUE!</v>
      </c>
    </row>
    <row r="7341" spans="1:5" x14ac:dyDescent="0.2">
      <c r="A7341" s="28">
        <v>7340</v>
      </c>
      <c r="B7341" s="28" t="e">
        <f>interpola(#REF!,CURVA!$B$6:$B$20,CURVA!$G$6:$G$20)</f>
        <v>#VALUE!</v>
      </c>
      <c r="C7341" s="29" t="e">
        <f t="shared" si="114"/>
        <v>#VALUE!</v>
      </c>
      <c r="E7341" t="e">
        <f>cubic_spline(CURVA!$B$6:$B$20,CURVA!$G$6:$G$20,#REF!)</f>
        <v>#VALUE!</v>
      </c>
    </row>
    <row r="7342" spans="1:5" x14ac:dyDescent="0.2">
      <c r="A7342" s="28">
        <v>7341</v>
      </c>
      <c r="B7342" s="28" t="e">
        <f>interpola(#REF!,CURVA!$B$6:$B$20,CURVA!$G$6:$G$20)</f>
        <v>#VALUE!</v>
      </c>
      <c r="C7342" s="29" t="e">
        <f t="shared" si="114"/>
        <v>#VALUE!</v>
      </c>
      <c r="E7342" t="e">
        <f>cubic_spline(CURVA!$B$6:$B$20,CURVA!$G$6:$G$20,#REF!)</f>
        <v>#VALUE!</v>
      </c>
    </row>
    <row r="7343" spans="1:5" x14ac:dyDescent="0.2">
      <c r="A7343" s="28">
        <v>7342</v>
      </c>
      <c r="B7343" s="28" t="e">
        <f>interpola(#REF!,CURVA!$B$6:$B$20,CURVA!$G$6:$G$20)</f>
        <v>#VALUE!</v>
      </c>
      <c r="C7343" s="29" t="e">
        <f t="shared" si="114"/>
        <v>#VALUE!</v>
      </c>
      <c r="E7343" t="e">
        <f>cubic_spline(CURVA!$B$6:$B$20,CURVA!$G$6:$G$20,#REF!)</f>
        <v>#VALUE!</v>
      </c>
    </row>
    <row r="7344" spans="1:5" x14ac:dyDescent="0.2">
      <c r="A7344" s="28">
        <v>7343</v>
      </c>
      <c r="B7344" s="28" t="e">
        <f>interpola(#REF!,CURVA!$B$6:$B$20,CURVA!$G$6:$G$20)</f>
        <v>#VALUE!</v>
      </c>
      <c r="C7344" s="29" t="e">
        <f t="shared" si="114"/>
        <v>#VALUE!</v>
      </c>
      <c r="E7344" t="e">
        <f>cubic_spline(CURVA!$B$6:$B$20,CURVA!$G$6:$G$20,#REF!)</f>
        <v>#VALUE!</v>
      </c>
    </row>
    <row r="7345" spans="1:5" x14ac:dyDescent="0.2">
      <c r="A7345" s="28">
        <v>7344</v>
      </c>
      <c r="B7345" s="28" t="e">
        <f>interpola(#REF!,CURVA!$B$6:$B$20,CURVA!$G$6:$G$20)</f>
        <v>#VALUE!</v>
      </c>
      <c r="C7345" s="29" t="e">
        <f t="shared" si="114"/>
        <v>#VALUE!</v>
      </c>
      <c r="E7345" t="e">
        <f>cubic_spline(CURVA!$B$6:$B$20,CURVA!$G$6:$G$20,#REF!)</f>
        <v>#VALUE!</v>
      </c>
    </row>
    <row r="7346" spans="1:5" x14ac:dyDescent="0.2">
      <c r="A7346" s="28">
        <v>7345</v>
      </c>
      <c r="B7346" s="28" t="e">
        <f>interpola(#REF!,CURVA!$B$6:$B$20,CURVA!$G$6:$G$20)</f>
        <v>#VALUE!</v>
      </c>
      <c r="C7346" s="29" t="e">
        <f t="shared" si="114"/>
        <v>#VALUE!</v>
      </c>
      <c r="E7346" t="e">
        <f>cubic_spline(CURVA!$B$6:$B$20,CURVA!$G$6:$G$20,#REF!)</f>
        <v>#VALUE!</v>
      </c>
    </row>
    <row r="7347" spans="1:5" x14ac:dyDescent="0.2">
      <c r="A7347" s="28">
        <v>7346</v>
      </c>
      <c r="B7347" s="28" t="e">
        <f>interpola(#REF!,CURVA!$B$6:$B$20,CURVA!$G$6:$G$20)</f>
        <v>#VALUE!</v>
      </c>
      <c r="C7347" s="29" t="e">
        <f t="shared" si="114"/>
        <v>#VALUE!</v>
      </c>
      <c r="E7347" t="e">
        <f>cubic_spline(CURVA!$B$6:$B$20,CURVA!$G$6:$G$20,#REF!)</f>
        <v>#VALUE!</v>
      </c>
    </row>
    <row r="7348" spans="1:5" x14ac:dyDescent="0.2">
      <c r="A7348" s="28">
        <v>7347</v>
      </c>
      <c r="B7348" s="28" t="e">
        <f>interpola(#REF!,CURVA!$B$6:$B$20,CURVA!$G$6:$G$20)</f>
        <v>#VALUE!</v>
      </c>
      <c r="C7348" s="29" t="e">
        <f t="shared" si="114"/>
        <v>#VALUE!</v>
      </c>
      <c r="E7348" t="e">
        <f>cubic_spline(CURVA!$B$6:$B$20,CURVA!$G$6:$G$20,#REF!)</f>
        <v>#VALUE!</v>
      </c>
    </row>
    <row r="7349" spans="1:5" x14ac:dyDescent="0.2">
      <c r="A7349" s="28">
        <v>7348</v>
      </c>
      <c r="B7349" s="28" t="e">
        <f>interpola(#REF!,CURVA!$B$6:$B$20,CURVA!$G$6:$G$20)</f>
        <v>#VALUE!</v>
      </c>
      <c r="C7349" s="29" t="e">
        <f t="shared" si="114"/>
        <v>#VALUE!</v>
      </c>
      <c r="E7349" t="e">
        <f>cubic_spline(CURVA!$B$6:$B$20,CURVA!$G$6:$G$20,#REF!)</f>
        <v>#VALUE!</v>
      </c>
    </row>
    <row r="7350" spans="1:5" x14ac:dyDescent="0.2">
      <c r="A7350" s="28">
        <v>7349</v>
      </c>
      <c r="B7350" s="28" t="e">
        <f>interpola(#REF!,CURVA!$B$6:$B$20,CURVA!$G$6:$G$20)</f>
        <v>#VALUE!</v>
      </c>
      <c r="C7350" s="29" t="e">
        <f t="shared" si="114"/>
        <v>#VALUE!</v>
      </c>
      <c r="E7350" t="e">
        <f>cubic_spline(CURVA!$B$6:$B$20,CURVA!$G$6:$G$20,#REF!)</f>
        <v>#VALUE!</v>
      </c>
    </row>
    <row r="7351" spans="1:5" x14ac:dyDescent="0.2">
      <c r="A7351" s="28">
        <v>7350</v>
      </c>
      <c r="B7351" s="28" t="e">
        <f>interpola(#REF!,CURVA!$B$6:$B$20,CURVA!$G$6:$G$20)</f>
        <v>#VALUE!</v>
      </c>
      <c r="C7351" s="29" t="e">
        <f t="shared" si="114"/>
        <v>#VALUE!</v>
      </c>
      <c r="E7351" t="e">
        <f>cubic_spline(CURVA!$B$6:$B$20,CURVA!$G$6:$G$20,#REF!)</f>
        <v>#VALUE!</v>
      </c>
    </row>
    <row r="7352" spans="1:5" x14ac:dyDescent="0.2">
      <c r="A7352" s="28">
        <v>7351</v>
      </c>
      <c r="B7352" s="28" t="e">
        <f>interpola(#REF!,CURVA!$B$6:$B$20,CURVA!$G$6:$G$20)</f>
        <v>#VALUE!</v>
      </c>
      <c r="C7352" s="29" t="e">
        <f t="shared" si="114"/>
        <v>#VALUE!</v>
      </c>
      <c r="E7352" t="e">
        <f>cubic_spline(CURVA!$B$6:$B$20,CURVA!$G$6:$G$20,#REF!)</f>
        <v>#VALUE!</v>
      </c>
    </row>
    <row r="7353" spans="1:5" x14ac:dyDescent="0.2">
      <c r="A7353" s="28">
        <v>7352</v>
      </c>
      <c r="B7353" s="28" t="e">
        <f>interpola(#REF!,CURVA!$B$6:$B$20,CURVA!$G$6:$G$20)</f>
        <v>#VALUE!</v>
      </c>
      <c r="C7353" s="29" t="e">
        <f t="shared" si="114"/>
        <v>#VALUE!</v>
      </c>
      <c r="E7353" t="e">
        <f>cubic_spline(CURVA!$B$6:$B$20,CURVA!$G$6:$G$20,#REF!)</f>
        <v>#VALUE!</v>
      </c>
    </row>
    <row r="7354" spans="1:5" x14ac:dyDescent="0.2">
      <c r="A7354" s="28">
        <v>7353</v>
      </c>
      <c r="B7354" s="28" t="e">
        <f>interpola(#REF!,CURVA!$B$6:$B$20,CURVA!$G$6:$G$20)</f>
        <v>#VALUE!</v>
      </c>
      <c r="C7354" s="29" t="e">
        <f t="shared" si="114"/>
        <v>#VALUE!</v>
      </c>
      <c r="E7354" t="e">
        <f>cubic_spline(CURVA!$B$6:$B$20,CURVA!$G$6:$G$20,#REF!)</f>
        <v>#VALUE!</v>
      </c>
    </row>
    <row r="7355" spans="1:5" x14ac:dyDescent="0.2">
      <c r="A7355" s="28">
        <v>7354</v>
      </c>
      <c r="B7355" s="28" t="e">
        <f>interpola(#REF!,CURVA!$B$6:$B$20,CURVA!$G$6:$G$20)</f>
        <v>#VALUE!</v>
      </c>
      <c r="C7355" s="29" t="e">
        <f t="shared" si="114"/>
        <v>#VALUE!</v>
      </c>
      <c r="E7355" t="e">
        <f>cubic_spline(CURVA!$B$6:$B$20,CURVA!$G$6:$G$20,#REF!)</f>
        <v>#VALUE!</v>
      </c>
    </row>
    <row r="7356" spans="1:5" x14ac:dyDescent="0.2">
      <c r="A7356" s="28">
        <v>7355</v>
      </c>
      <c r="B7356" s="28" t="e">
        <f>interpola(#REF!,CURVA!$B$6:$B$20,CURVA!$G$6:$G$20)</f>
        <v>#VALUE!</v>
      </c>
      <c r="C7356" s="29" t="e">
        <f t="shared" si="114"/>
        <v>#VALUE!</v>
      </c>
      <c r="E7356" t="e">
        <f>cubic_spline(CURVA!$B$6:$B$20,CURVA!$G$6:$G$20,#REF!)</f>
        <v>#VALUE!</v>
      </c>
    </row>
    <row r="7357" spans="1:5" x14ac:dyDescent="0.2">
      <c r="A7357" s="28">
        <v>7356</v>
      </c>
      <c r="B7357" s="28" t="e">
        <f>interpola(#REF!,CURVA!$B$6:$B$20,CURVA!$G$6:$G$20)</f>
        <v>#VALUE!</v>
      </c>
      <c r="C7357" s="29" t="e">
        <f t="shared" si="114"/>
        <v>#VALUE!</v>
      </c>
      <c r="E7357" t="e">
        <f>cubic_spline(CURVA!$B$6:$B$20,CURVA!$G$6:$G$20,#REF!)</f>
        <v>#VALUE!</v>
      </c>
    </row>
    <row r="7358" spans="1:5" x14ac:dyDescent="0.2">
      <c r="A7358" s="28">
        <v>7357</v>
      </c>
      <c r="B7358" s="28" t="e">
        <f>interpola(#REF!,CURVA!$B$6:$B$20,CURVA!$G$6:$G$20)</f>
        <v>#VALUE!</v>
      </c>
      <c r="C7358" s="29" t="e">
        <f t="shared" si="114"/>
        <v>#VALUE!</v>
      </c>
      <c r="E7358" t="e">
        <f>cubic_spline(CURVA!$B$6:$B$20,CURVA!$G$6:$G$20,#REF!)</f>
        <v>#VALUE!</v>
      </c>
    </row>
    <row r="7359" spans="1:5" x14ac:dyDescent="0.2">
      <c r="A7359" s="28">
        <v>7358</v>
      </c>
      <c r="B7359" s="28" t="e">
        <f>interpola(#REF!,CURVA!$B$6:$B$20,CURVA!$G$6:$G$20)</f>
        <v>#VALUE!</v>
      </c>
      <c r="C7359" s="29" t="e">
        <f t="shared" si="114"/>
        <v>#VALUE!</v>
      </c>
      <c r="E7359" t="e">
        <f>cubic_spline(CURVA!$B$6:$B$20,CURVA!$G$6:$G$20,#REF!)</f>
        <v>#VALUE!</v>
      </c>
    </row>
    <row r="7360" spans="1:5" x14ac:dyDescent="0.2">
      <c r="A7360" s="28">
        <v>7359</v>
      </c>
      <c r="B7360" s="28" t="e">
        <f>interpola(#REF!,CURVA!$B$6:$B$20,CURVA!$G$6:$G$20)</f>
        <v>#VALUE!</v>
      </c>
      <c r="C7360" s="29" t="e">
        <f t="shared" si="114"/>
        <v>#VALUE!</v>
      </c>
      <c r="E7360" t="e">
        <f>cubic_spline(CURVA!$B$6:$B$20,CURVA!$G$6:$G$20,#REF!)</f>
        <v>#VALUE!</v>
      </c>
    </row>
    <row r="7361" spans="1:5" x14ac:dyDescent="0.2">
      <c r="A7361" s="28">
        <v>7360</v>
      </c>
      <c r="B7361" s="28" t="e">
        <f>interpola(#REF!,CURVA!$B$6:$B$20,CURVA!$G$6:$G$20)</f>
        <v>#VALUE!</v>
      </c>
      <c r="C7361" s="29" t="e">
        <f t="shared" si="114"/>
        <v>#VALUE!</v>
      </c>
      <c r="E7361" t="e">
        <f>cubic_spline(CURVA!$B$6:$B$20,CURVA!$G$6:$G$20,#REF!)</f>
        <v>#VALUE!</v>
      </c>
    </row>
    <row r="7362" spans="1:5" x14ac:dyDescent="0.2">
      <c r="A7362" s="28">
        <v>7361</v>
      </c>
      <c r="B7362" s="28" t="e">
        <f>interpola(#REF!,CURVA!$B$6:$B$20,CURVA!$G$6:$G$20)</f>
        <v>#VALUE!</v>
      </c>
      <c r="C7362" s="29" t="e">
        <f t="shared" ref="C7362:C7425" si="115">(EXP(B7362*A7362/360)-1)*360/A7362</f>
        <v>#VALUE!</v>
      </c>
      <c r="E7362" t="e">
        <f>cubic_spline(CURVA!$B$6:$B$20,CURVA!$G$6:$G$20,#REF!)</f>
        <v>#VALUE!</v>
      </c>
    </row>
    <row r="7363" spans="1:5" x14ac:dyDescent="0.2">
      <c r="A7363" s="28">
        <v>7362</v>
      </c>
      <c r="B7363" s="28" t="e">
        <f>interpola(#REF!,CURVA!$B$6:$B$20,CURVA!$G$6:$G$20)</f>
        <v>#VALUE!</v>
      </c>
      <c r="C7363" s="29" t="e">
        <f t="shared" si="115"/>
        <v>#VALUE!</v>
      </c>
      <c r="E7363" t="e">
        <f>cubic_spline(CURVA!$B$6:$B$20,CURVA!$G$6:$G$20,#REF!)</f>
        <v>#VALUE!</v>
      </c>
    </row>
    <row r="7364" spans="1:5" x14ac:dyDescent="0.2">
      <c r="A7364" s="28">
        <v>7363</v>
      </c>
      <c r="B7364" s="28" t="e">
        <f>interpola(#REF!,CURVA!$B$6:$B$20,CURVA!$G$6:$G$20)</f>
        <v>#VALUE!</v>
      </c>
      <c r="C7364" s="29" t="e">
        <f t="shared" si="115"/>
        <v>#VALUE!</v>
      </c>
      <c r="E7364" t="e">
        <f>cubic_spline(CURVA!$B$6:$B$20,CURVA!$G$6:$G$20,#REF!)</f>
        <v>#VALUE!</v>
      </c>
    </row>
    <row r="7365" spans="1:5" x14ac:dyDescent="0.2">
      <c r="A7365" s="28">
        <v>7364</v>
      </c>
      <c r="B7365" s="28" t="e">
        <f>interpola(#REF!,CURVA!$B$6:$B$20,CURVA!$G$6:$G$20)</f>
        <v>#VALUE!</v>
      </c>
      <c r="C7365" s="29" t="e">
        <f t="shared" si="115"/>
        <v>#VALUE!</v>
      </c>
      <c r="E7365" t="e">
        <f>cubic_spline(CURVA!$B$6:$B$20,CURVA!$G$6:$G$20,#REF!)</f>
        <v>#VALUE!</v>
      </c>
    </row>
    <row r="7366" spans="1:5" x14ac:dyDescent="0.2">
      <c r="A7366" s="28">
        <v>7365</v>
      </c>
      <c r="B7366" s="28" t="e">
        <f>interpola(#REF!,CURVA!$B$6:$B$20,CURVA!$G$6:$G$20)</f>
        <v>#VALUE!</v>
      </c>
      <c r="C7366" s="29" t="e">
        <f t="shared" si="115"/>
        <v>#VALUE!</v>
      </c>
      <c r="E7366" t="e">
        <f>cubic_spline(CURVA!$B$6:$B$20,CURVA!$G$6:$G$20,#REF!)</f>
        <v>#VALUE!</v>
      </c>
    </row>
    <row r="7367" spans="1:5" x14ac:dyDescent="0.2">
      <c r="A7367" s="28">
        <v>7366</v>
      </c>
      <c r="B7367" s="28" t="e">
        <f>interpola(#REF!,CURVA!$B$6:$B$20,CURVA!$G$6:$G$20)</f>
        <v>#VALUE!</v>
      </c>
      <c r="C7367" s="29" t="e">
        <f t="shared" si="115"/>
        <v>#VALUE!</v>
      </c>
      <c r="E7367" t="e">
        <f>cubic_spline(CURVA!$B$6:$B$20,CURVA!$G$6:$G$20,#REF!)</f>
        <v>#VALUE!</v>
      </c>
    </row>
    <row r="7368" spans="1:5" x14ac:dyDescent="0.2">
      <c r="A7368" s="28">
        <v>7367</v>
      </c>
      <c r="B7368" s="28" t="e">
        <f>interpola(#REF!,CURVA!$B$6:$B$20,CURVA!$G$6:$G$20)</f>
        <v>#VALUE!</v>
      </c>
      <c r="C7368" s="29" t="e">
        <f t="shared" si="115"/>
        <v>#VALUE!</v>
      </c>
      <c r="E7368" t="e">
        <f>cubic_spline(CURVA!$B$6:$B$20,CURVA!$G$6:$G$20,#REF!)</f>
        <v>#VALUE!</v>
      </c>
    </row>
    <row r="7369" spans="1:5" x14ac:dyDescent="0.2">
      <c r="A7369" s="28">
        <v>7368</v>
      </c>
      <c r="B7369" s="28" t="e">
        <f>interpola(#REF!,CURVA!$B$6:$B$20,CURVA!$G$6:$G$20)</f>
        <v>#VALUE!</v>
      </c>
      <c r="C7369" s="29" t="e">
        <f t="shared" si="115"/>
        <v>#VALUE!</v>
      </c>
      <c r="E7369" t="e">
        <f>cubic_spline(CURVA!$B$6:$B$20,CURVA!$G$6:$G$20,#REF!)</f>
        <v>#VALUE!</v>
      </c>
    </row>
    <row r="7370" spans="1:5" x14ac:dyDescent="0.2">
      <c r="A7370" s="28">
        <v>7369</v>
      </c>
      <c r="B7370" s="28" t="e">
        <f>interpola(#REF!,CURVA!$B$6:$B$20,CURVA!$G$6:$G$20)</f>
        <v>#VALUE!</v>
      </c>
      <c r="C7370" s="29" t="e">
        <f t="shared" si="115"/>
        <v>#VALUE!</v>
      </c>
      <c r="E7370" t="e">
        <f>cubic_spline(CURVA!$B$6:$B$20,CURVA!$G$6:$G$20,#REF!)</f>
        <v>#VALUE!</v>
      </c>
    </row>
    <row r="7371" spans="1:5" x14ac:dyDescent="0.2">
      <c r="A7371" s="28">
        <v>7370</v>
      </c>
      <c r="B7371" s="28" t="e">
        <f>interpola(#REF!,CURVA!$B$6:$B$20,CURVA!$G$6:$G$20)</f>
        <v>#VALUE!</v>
      </c>
      <c r="C7371" s="29" t="e">
        <f t="shared" si="115"/>
        <v>#VALUE!</v>
      </c>
      <c r="E7371" t="e">
        <f>cubic_spline(CURVA!$B$6:$B$20,CURVA!$G$6:$G$20,#REF!)</f>
        <v>#VALUE!</v>
      </c>
    </row>
    <row r="7372" spans="1:5" x14ac:dyDescent="0.2">
      <c r="A7372" s="28">
        <v>7371</v>
      </c>
      <c r="B7372" s="28" t="e">
        <f>interpola(#REF!,CURVA!$B$6:$B$20,CURVA!$G$6:$G$20)</f>
        <v>#VALUE!</v>
      </c>
      <c r="C7372" s="29" t="e">
        <f t="shared" si="115"/>
        <v>#VALUE!</v>
      </c>
      <c r="E7372" t="e">
        <f>cubic_spline(CURVA!$B$6:$B$20,CURVA!$G$6:$G$20,#REF!)</f>
        <v>#VALUE!</v>
      </c>
    </row>
    <row r="7373" spans="1:5" x14ac:dyDescent="0.2">
      <c r="A7373" s="28">
        <v>7372</v>
      </c>
      <c r="B7373" s="28" t="e">
        <f>interpola(#REF!,CURVA!$B$6:$B$20,CURVA!$G$6:$G$20)</f>
        <v>#VALUE!</v>
      </c>
      <c r="C7373" s="29" t="e">
        <f t="shared" si="115"/>
        <v>#VALUE!</v>
      </c>
      <c r="E7373" t="e">
        <f>cubic_spline(CURVA!$B$6:$B$20,CURVA!$G$6:$G$20,#REF!)</f>
        <v>#VALUE!</v>
      </c>
    </row>
    <row r="7374" spans="1:5" x14ac:dyDescent="0.2">
      <c r="A7374" s="28">
        <v>7373</v>
      </c>
      <c r="B7374" s="28" t="e">
        <f>interpola(#REF!,CURVA!$B$6:$B$20,CURVA!$G$6:$G$20)</f>
        <v>#VALUE!</v>
      </c>
      <c r="C7374" s="29" t="e">
        <f t="shared" si="115"/>
        <v>#VALUE!</v>
      </c>
      <c r="E7374" t="e">
        <f>cubic_spline(CURVA!$B$6:$B$20,CURVA!$G$6:$G$20,#REF!)</f>
        <v>#VALUE!</v>
      </c>
    </row>
    <row r="7375" spans="1:5" x14ac:dyDescent="0.2">
      <c r="A7375" s="28">
        <v>7374</v>
      </c>
      <c r="B7375" s="28" t="e">
        <f>interpola(#REF!,CURVA!$B$6:$B$20,CURVA!$G$6:$G$20)</f>
        <v>#VALUE!</v>
      </c>
      <c r="C7375" s="29" t="e">
        <f t="shared" si="115"/>
        <v>#VALUE!</v>
      </c>
      <c r="E7375" t="e">
        <f>cubic_spline(CURVA!$B$6:$B$20,CURVA!$G$6:$G$20,#REF!)</f>
        <v>#VALUE!</v>
      </c>
    </row>
    <row r="7376" spans="1:5" x14ac:dyDescent="0.2">
      <c r="A7376" s="28">
        <v>7375</v>
      </c>
      <c r="B7376" s="28" t="e">
        <f>interpola(#REF!,CURVA!$B$6:$B$20,CURVA!$G$6:$G$20)</f>
        <v>#VALUE!</v>
      </c>
      <c r="C7376" s="29" t="e">
        <f t="shared" si="115"/>
        <v>#VALUE!</v>
      </c>
      <c r="E7376" t="e">
        <f>cubic_spline(CURVA!$B$6:$B$20,CURVA!$G$6:$G$20,#REF!)</f>
        <v>#VALUE!</v>
      </c>
    </row>
    <row r="7377" spans="1:5" x14ac:dyDescent="0.2">
      <c r="A7377" s="28">
        <v>7376</v>
      </c>
      <c r="B7377" s="28" t="e">
        <f>interpola(#REF!,CURVA!$B$6:$B$20,CURVA!$G$6:$G$20)</f>
        <v>#VALUE!</v>
      </c>
      <c r="C7377" s="29" t="e">
        <f t="shared" si="115"/>
        <v>#VALUE!</v>
      </c>
      <c r="E7377" t="e">
        <f>cubic_spline(CURVA!$B$6:$B$20,CURVA!$G$6:$G$20,#REF!)</f>
        <v>#VALUE!</v>
      </c>
    </row>
    <row r="7378" spans="1:5" x14ac:dyDescent="0.2">
      <c r="A7378" s="28">
        <v>7377</v>
      </c>
      <c r="B7378" s="28" t="e">
        <f>interpola(#REF!,CURVA!$B$6:$B$20,CURVA!$G$6:$G$20)</f>
        <v>#VALUE!</v>
      </c>
      <c r="C7378" s="29" t="e">
        <f t="shared" si="115"/>
        <v>#VALUE!</v>
      </c>
      <c r="E7378" t="e">
        <f>cubic_spline(CURVA!$B$6:$B$20,CURVA!$G$6:$G$20,#REF!)</f>
        <v>#VALUE!</v>
      </c>
    </row>
    <row r="7379" spans="1:5" x14ac:dyDescent="0.2">
      <c r="A7379" s="28">
        <v>7378</v>
      </c>
      <c r="B7379" s="28" t="e">
        <f>interpola(#REF!,CURVA!$B$6:$B$20,CURVA!$G$6:$G$20)</f>
        <v>#VALUE!</v>
      </c>
      <c r="C7379" s="29" t="e">
        <f t="shared" si="115"/>
        <v>#VALUE!</v>
      </c>
      <c r="E7379" t="e">
        <f>cubic_spline(CURVA!$B$6:$B$20,CURVA!$G$6:$G$20,#REF!)</f>
        <v>#VALUE!</v>
      </c>
    </row>
    <row r="7380" spans="1:5" x14ac:dyDescent="0.2">
      <c r="A7380" s="28">
        <v>7379</v>
      </c>
      <c r="B7380" s="28" t="e">
        <f>interpola(#REF!,CURVA!$B$6:$B$20,CURVA!$G$6:$G$20)</f>
        <v>#VALUE!</v>
      </c>
      <c r="C7380" s="29" t="e">
        <f t="shared" si="115"/>
        <v>#VALUE!</v>
      </c>
      <c r="E7380" t="e">
        <f>cubic_spline(CURVA!$B$6:$B$20,CURVA!$G$6:$G$20,#REF!)</f>
        <v>#VALUE!</v>
      </c>
    </row>
    <row r="7381" spans="1:5" x14ac:dyDescent="0.2">
      <c r="A7381" s="28">
        <v>7380</v>
      </c>
      <c r="B7381" s="28" t="e">
        <f>interpola(#REF!,CURVA!$B$6:$B$20,CURVA!$G$6:$G$20)</f>
        <v>#VALUE!</v>
      </c>
      <c r="C7381" s="29" t="e">
        <f t="shared" si="115"/>
        <v>#VALUE!</v>
      </c>
      <c r="E7381" t="e">
        <f>cubic_spline(CURVA!$B$6:$B$20,CURVA!$G$6:$G$20,#REF!)</f>
        <v>#VALUE!</v>
      </c>
    </row>
    <row r="7382" spans="1:5" x14ac:dyDescent="0.2">
      <c r="A7382" s="28">
        <v>7381</v>
      </c>
      <c r="B7382" s="28" t="e">
        <f>interpola(#REF!,CURVA!$B$6:$B$20,CURVA!$G$6:$G$20)</f>
        <v>#VALUE!</v>
      </c>
      <c r="C7382" s="29" t="e">
        <f t="shared" si="115"/>
        <v>#VALUE!</v>
      </c>
      <c r="E7382" t="e">
        <f>cubic_spline(CURVA!$B$6:$B$20,CURVA!$G$6:$G$20,#REF!)</f>
        <v>#VALUE!</v>
      </c>
    </row>
    <row r="7383" spans="1:5" x14ac:dyDescent="0.2">
      <c r="A7383" s="28">
        <v>7382</v>
      </c>
      <c r="B7383" s="28" t="e">
        <f>interpola(#REF!,CURVA!$B$6:$B$20,CURVA!$G$6:$G$20)</f>
        <v>#VALUE!</v>
      </c>
      <c r="C7383" s="29" t="e">
        <f t="shared" si="115"/>
        <v>#VALUE!</v>
      </c>
      <c r="E7383" t="e">
        <f>cubic_spline(CURVA!$B$6:$B$20,CURVA!$G$6:$G$20,#REF!)</f>
        <v>#VALUE!</v>
      </c>
    </row>
    <row r="7384" spans="1:5" x14ac:dyDescent="0.2">
      <c r="A7384" s="28">
        <v>7383</v>
      </c>
      <c r="B7384" s="28" t="e">
        <f>interpola(#REF!,CURVA!$B$6:$B$20,CURVA!$G$6:$G$20)</f>
        <v>#VALUE!</v>
      </c>
      <c r="C7384" s="29" t="e">
        <f t="shared" si="115"/>
        <v>#VALUE!</v>
      </c>
      <c r="E7384" t="e">
        <f>cubic_spline(CURVA!$B$6:$B$20,CURVA!$G$6:$G$20,#REF!)</f>
        <v>#VALUE!</v>
      </c>
    </row>
    <row r="7385" spans="1:5" x14ac:dyDescent="0.2">
      <c r="A7385" s="28">
        <v>7384</v>
      </c>
      <c r="B7385" s="28" t="e">
        <f>interpola(#REF!,CURVA!$B$6:$B$20,CURVA!$G$6:$G$20)</f>
        <v>#VALUE!</v>
      </c>
      <c r="C7385" s="29" t="e">
        <f t="shared" si="115"/>
        <v>#VALUE!</v>
      </c>
      <c r="E7385" t="e">
        <f>cubic_spline(CURVA!$B$6:$B$20,CURVA!$G$6:$G$20,#REF!)</f>
        <v>#VALUE!</v>
      </c>
    </row>
    <row r="7386" spans="1:5" x14ac:dyDescent="0.2">
      <c r="A7386" s="28">
        <v>7385</v>
      </c>
      <c r="B7386" s="28" t="e">
        <f>interpola(#REF!,CURVA!$B$6:$B$20,CURVA!$G$6:$G$20)</f>
        <v>#VALUE!</v>
      </c>
      <c r="C7386" s="29" t="e">
        <f t="shared" si="115"/>
        <v>#VALUE!</v>
      </c>
      <c r="E7386" t="e">
        <f>cubic_spline(CURVA!$B$6:$B$20,CURVA!$G$6:$G$20,#REF!)</f>
        <v>#VALUE!</v>
      </c>
    </row>
    <row r="7387" spans="1:5" x14ac:dyDescent="0.2">
      <c r="A7387" s="28">
        <v>7386</v>
      </c>
      <c r="B7387" s="28" t="e">
        <f>interpola(#REF!,CURVA!$B$6:$B$20,CURVA!$G$6:$G$20)</f>
        <v>#VALUE!</v>
      </c>
      <c r="C7387" s="29" t="e">
        <f t="shared" si="115"/>
        <v>#VALUE!</v>
      </c>
      <c r="E7387" t="e">
        <f>cubic_spline(CURVA!$B$6:$B$20,CURVA!$G$6:$G$20,#REF!)</f>
        <v>#VALUE!</v>
      </c>
    </row>
    <row r="7388" spans="1:5" x14ac:dyDescent="0.2">
      <c r="A7388" s="28">
        <v>7387</v>
      </c>
      <c r="B7388" s="28" t="e">
        <f>interpola(#REF!,CURVA!$B$6:$B$20,CURVA!$G$6:$G$20)</f>
        <v>#VALUE!</v>
      </c>
      <c r="C7388" s="29" t="e">
        <f t="shared" si="115"/>
        <v>#VALUE!</v>
      </c>
      <c r="E7388" t="e">
        <f>cubic_spline(CURVA!$B$6:$B$20,CURVA!$G$6:$G$20,#REF!)</f>
        <v>#VALUE!</v>
      </c>
    </row>
    <row r="7389" spans="1:5" x14ac:dyDescent="0.2">
      <c r="A7389" s="28">
        <v>7388</v>
      </c>
      <c r="B7389" s="28" t="e">
        <f>interpola(#REF!,CURVA!$B$6:$B$20,CURVA!$G$6:$G$20)</f>
        <v>#VALUE!</v>
      </c>
      <c r="C7389" s="29" t="e">
        <f t="shared" si="115"/>
        <v>#VALUE!</v>
      </c>
      <c r="E7389" t="e">
        <f>cubic_spline(CURVA!$B$6:$B$20,CURVA!$G$6:$G$20,#REF!)</f>
        <v>#VALUE!</v>
      </c>
    </row>
    <row r="7390" spans="1:5" x14ac:dyDescent="0.2">
      <c r="A7390" s="28">
        <v>7389</v>
      </c>
      <c r="B7390" s="28" t="e">
        <f>interpola(#REF!,CURVA!$B$6:$B$20,CURVA!$G$6:$G$20)</f>
        <v>#VALUE!</v>
      </c>
      <c r="C7390" s="29" t="e">
        <f t="shared" si="115"/>
        <v>#VALUE!</v>
      </c>
      <c r="E7390" t="e">
        <f>cubic_spline(CURVA!$B$6:$B$20,CURVA!$G$6:$G$20,#REF!)</f>
        <v>#VALUE!</v>
      </c>
    </row>
    <row r="7391" spans="1:5" x14ac:dyDescent="0.2">
      <c r="A7391" s="28">
        <v>7390</v>
      </c>
      <c r="B7391" s="28" t="e">
        <f>interpola(#REF!,CURVA!$B$6:$B$20,CURVA!$G$6:$G$20)</f>
        <v>#VALUE!</v>
      </c>
      <c r="C7391" s="29" t="e">
        <f t="shared" si="115"/>
        <v>#VALUE!</v>
      </c>
      <c r="E7391" t="e">
        <f>cubic_spline(CURVA!$B$6:$B$20,CURVA!$G$6:$G$20,#REF!)</f>
        <v>#VALUE!</v>
      </c>
    </row>
    <row r="7392" spans="1:5" x14ac:dyDescent="0.2">
      <c r="A7392" s="28">
        <v>7391</v>
      </c>
      <c r="B7392" s="28" t="e">
        <f>interpola(#REF!,CURVA!$B$6:$B$20,CURVA!$G$6:$G$20)</f>
        <v>#VALUE!</v>
      </c>
      <c r="C7392" s="29" t="e">
        <f t="shared" si="115"/>
        <v>#VALUE!</v>
      </c>
      <c r="E7392" t="e">
        <f>cubic_spline(CURVA!$B$6:$B$20,CURVA!$G$6:$G$20,#REF!)</f>
        <v>#VALUE!</v>
      </c>
    </row>
    <row r="7393" spans="1:5" x14ac:dyDescent="0.2">
      <c r="A7393" s="28">
        <v>7392</v>
      </c>
      <c r="B7393" s="28" t="e">
        <f>interpola(#REF!,CURVA!$B$6:$B$20,CURVA!$G$6:$G$20)</f>
        <v>#VALUE!</v>
      </c>
      <c r="C7393" s="29" t="e">
        <f t="shared" si="115"/>
        <v>#VALUE!</v>
      </c>
      <c r="E7393" t="e">
        <f>cubic_spline(CURVA!$B$6:$B$20,CURVA!$G$6:$G$20,#REF!)</f>
        <v>#VALUE!</v>
      </c>
    </row>
    <row r="7394" spans="1:5" x14ac:dyDescent="0.2">
      <c r="A7394" s="28">
        <v>7393</v>
      </c>
      <c r="B7394" s="28" t="e">
        <f>interpola(#REF!,CURVA!$B$6:$B$20,CURVA!$G$6:$G$20)</f>
        <v>#VALUE!</v>
      </c>
      <c r="C7394" s="29" t="e">
        <f t="shared" si="115"/>
        <v>#VALUE!</v>
      </c>
      <c r="E7394" t="e">
        <f>cubic_spline(CURVA!$B$6:$B$20,CURVA!$G$6:$G$20,#REF!)</f>
        <v>#VALUE!</v>
      </c>
    </row>
    <row r="7395" spans="1:5" x14ac:dyDescent="0.2">
      <c r="A7395" s="28">
        <v>7394</v>
      </c>
      <c r="B7395" s="28" t="e">
        <f>interpola(#REF!,CURVA!$B$6:$B$20,CURVA!$G$6:$G$20)</f>
        <v>#VALUE!</v>
      </c>
      <c r="C7395" s="29" t="e">
        <f t="shared" si="115"/>
        <v>#VALUE!</v>
      </c>
      <c r="E7395" t="e">
        <f>cubic_spline(CURVA!$B$6:$B$20,CURVA!$G$6:$G$20,#REF!)</f>
        <v>#VALUE!</v>
      </c>
    </row>
    <row r="7396" spans="1:5" x14ac:dyDescent="0.2">
      <c r="A7396" s="28">
        <v>7395</v>
      </c>
      <c r="B7396" s="28" t="e">
        <f>interpola(#REF!,CURVA!$B$6:$B$20,CURVA!$G$6:$G$20)</f>
        <v>#VALUE!</v>
      </c>
      <c r="C7396" s="29" t="e">
        <f t="shared" si="115"/>
        <v>#VALUE!</v>
      </c>
      <c r="E7396" t="e">
        <f>cubic_spline(CURVA!$B$6:$B$20,CURVA!$G$6:$G$20,#REF!)</f>
        <v>#VALUE!</v>
      </c>
    </row>
    <row r="7397" spans="1:5" x14ac:dyDescent="0.2">
      <c r="A7397" s="28">
        <v>7396</v>
      </c>
      <c r="B7397" s="28" t="e">
        <f>interpola(#REF!,CURVA!$B$6:$B$20,CURVA!$G$6:$G$20)</f>
        <v>#VALUE!</v>
      </c>
      <c r="C7397" s="29" t="e">
        <f t="shared" si="115"/>
        <v>#VALUE!</v>
      </c>
      <c r="E7397" t="e">
        <f>cubic_spline(CURVA!$B$6:$B$20,CURVA!$G$6:$G$20,#REF!)</f>
        <v>#VALUE!</v>
      </c>
    </row>
    <row r="7398" spans="1:5" x14ac:dyDescent="0.2">
      <c r="A7398" s="28">
        <v>7397</v>
      </c>
      <c r="B7398" s="28" t="e">
        <f>interpola(#REF!,CURVA!$B$6:$B$20,CURVA!$G$6:$G$20)</f>
        <v>#VALUE!</v>
      </c>
      <c r="C7398" s="29" t="e">
        <f t="shared" si="115"/>
        <v>#VALUE!</v>
      </c>
      <c r="E7398" t="e">
        <f>cubic_spline(CURVA!$B$6:$B$20,CURVA!$G$6:$G$20,#REF!)</f>
        <v>#VALUE!</v>
      </c>
    </row>
    <row r="7399" spans="1:5" x14ac:dyDescent="0.2">
      <c r="A7399" s="28">
        <v>7398</v>
      </c>
      <c r="B7399" s="28" t="e">
        <f>interpola(#REF!,CURVA!$B$6:$B$20,CURVA!$G$6:$G$20)</f>
        <v>#VALUE!</v>
      </c>
      <c r="C7399" s="29" t="e">
        <f t="shared" si="115"/>
        <v>#VALUE!</v>
      </c>
      <c r="E7399" t="e">
        <f>cubic_spline(CURVA!$B$6:$B$20,CURVA!$G$6:$G$20,#REF!)</f>
        <v>#VALUE!</v>
      </c>
    </row>
    <row r="7400" spans="1:5" x14ac:dyDescent="0.2">
      <c r="A7400" s="28">
        <v>7399</v>
      </c>
      <c r="B7400" s="28" t="e">
        <f>interpola(#REF!,CURVA!$B$6:$B$20,CURVA!$G$6:$G$20)</f>
        <v>#VALUE!</v>
      </c>
      <c r="C7400" s="29" t="e">
        <f t="shared" si="115"/>
        <v>#VALUE!</v>
      </c>
      <c r="E7400" t="e">
        <f>cubic_spline(CURVA!$B$6:$B$20,CURVA!$G$6:$G$20,#REF!)</f>
        <v>#VALUE!</v>
      </c>
    </row>
    <row r="7401" spans="1:5" x14ac:dyDescent="0.2">
      <c r="A7401" s="28">
        <v>7400</v>
      </c>
      <c r="B7401" s="28" t="e">
        <f>interpola(#REF!,CURVA!$B$6:$B$20,CURVA!$G$6:$G$20)</f>
        <v>#VALUE!</v>
      </c>
      <c r="C7401" s="29" t="e">
        <f t="shared" si="115"/>
        <v>#VALUE!</v>
      </c>
      <c r="E7401" t="e">
        <f>cubic_spline(CURVA!$B$6:$B$20,CURVA!$G$6:$G$20,#REF!)</f>
        <v>#VALUE!</v>
      </c>
    </row>
    <row r="7402" spans="1:5" x14ac:dyDescent="0.2">
      <c r="A7402" s="28">
        <v>7401</v>
      </c>
      <c r="B7402" s="28" t="e">
        <f>interpola(#REF!,CURVA!$B$6:$B$20,CURVA!$G$6:$G$20)</f>
        <v>#VALUE!</v>
      </c>
      <c r="C7402" s="29" t="e">
        <f t="shared" si="115"/>
        <v>#VALUE!</v>
      </c>
      <c r="E7402" t="e">
        <f>cubic_spline(CURVA!$B$6:$B$20,CURVA!$G$6:$G$20,#REF!)</f>
        <v>#VALUE!</v>
      </c>
    </row>
    <row r="7403" spans="1:5" x14ac:dyDescent="0.2">
      <c r="A7403" s="28">
        <v>7402</v>
      </c>
      <c r="B7403" s="28" t="e">
        <f>interpola(#REF!,CURVA!$B$6:$B$20,CURVA!$G$6:$G$20)</f>
        <v>#VALUE!</v>
      </c>
      <c r="C7403" s="29" t="e">
        <f t="shared" si="115"/>
        <v>#VALUE!</v>
      </c>
      <c r="E7403" t="e">
        <f>cubic_spline(CURVA!$B$6:$B$20,CURVA!$G$6:$G$20,#REF!)</f>
        <v>#VALUE!</v>
      </c>
    </row>
    <row r="7404" spans="1:5" x14ac:dyDescent="0.2">
      <c r="A7404" s="28">
        <v>7403</v>
      </c>
      <c r="B7404" s="28" t="e">
        <f>interpola(#REF!,CURVA!$B$6:$B$20,CURVA!$G$6:$G$20)</f>
        <v>#VALUE!</v>
      </c>
      <c r="C7404" s="29" t="e">
        <f t="shared" si="115"/>
        <v>#VALUE!</v>
      </c>
      <c r="E7404" t="e">
        <f>cubic_spline(CURVA!$B$6:$B$20,CURVA!$G$6:$G$20,#REF!)</f>
        <v>#VALUE!</v>
      </c>
    </row>
    <row r="7405" spans="1:5" x14ac:dyDescent="0.2">
      <c r="A7405" s="28">
        <v>7404</v>
      </c>
      <c r="B7405" s="28" t="e">
        <f>interpola(#REF!,CURVA!$B$6:$B$20,CURVA!$G$6:$G$20)</f>
        <v>#VALUE!</v>
      </c>
      <c r="C7405" s="29" t="e">
        <f t="shared" si="115"/>
        <v>#VALUE!</v>
      </c>
      <c r="E7405" t="e">
        <f>cubic_spline(CURVA!$B$6:$B$20,CURVA!$G$6:$G$20,#REF!)</f>
        <v>#VALUE!</v>
      </c>
    </row>
    <row r="7406" spans="1:5" x14ac:dyDescent="0.2">
      <c r="A7406" s="28">
        <v>7405</v>
      </c>
      <c r="B7406" s="28" t="e">
        <f>interpola(#REF!,CURVA!$B$6:$B$20,CURVA!$G$6:$G$20)</f>
        <v>#VALUE!</v>
      </c>
      <c r="C7406" s="29" t="e">
        <f t="shared" si="115"/>
        <v>#VALUE!</v>
      </c>
      <c r="E7406" t="e">
        <f>cubic_spline(CURVA!$B$6:$B$20,CURVA!$G$6:$G$20,#REF!)</f>
        <v>#VALUE!</v>
      </c>
    </row>
    <row r="7407" spans="1:5" x14ac:dyDescent="0.2">
      <c r="A7407" s="28">
        <v>7406</v>
      </c>
      <c r="B7407" s="28" t="e">
        <f>interpola(#REF!,CURVA!$B$6:$B$20,CURVA!$G$6:$G$20)</f>
        <v>#VALUE!</v>
      </c>
      <c r="C7407" s="29" t="e">
        <f t="shared" si="115"/>
        <v>#VALUE!</v>
      </c>
      <c r="E7407" t="e">
        <f>cubic_spline(CURVA!$B$6:$B$20,CURVA!$G$6:$G$20,#REF!)</f>
        <v>#VALUE!</v>
      </c>
    </row>
    <row r="7408" spans="1:5" x14ac:dyDescent="0.2">
      <c r="A7408" s="28">
        <v>7407</v>
      </c>
      <c r="B7408" s="28" t="e">
        <f>interpola(#REF!,CURVA!$B$6:$B$20,CURVA!$G$6:$G$20)</f>
        <v>#VALUE!</v>
      </c>
      <c r="C7408" s="29" t="e">
        <f t="shared" si="115"/>
        <v>#VALUE!</v>
      </c>
      <c r="E7408" t="e">
        <f>cubic_spline(CURVA!$B$6:$B$20,CURVA!$G$6:$G$20,#REF!)</f>
        <v>#VALUE!</v>
      </c>
    </row>
    <row r="7409" spans="1:5" x14ac:dyDescent="0.2">
      <c r="A7409" s="28">
        <v>7408</v>
      </c>
      <c r="B7409" s="28" t="e">
        <f>interpola(#REF!,CURVA!$B$6:$B$20,CURVA!$G$6:$G$20)</f>
        <v>#VALUE!</v>
      </c>
      <c r="C7409" s="29" t="e">
        <f t="shared" si="115"/>
        <v>#VALUE!</v>
      </c>
      <c r="E7409" t="e">
        <f>cubic_spline(CURVA!$B$6:$B$20,CURVA!$G$6:$G$20,#REF!)</f>
        <v>#VALUE!</v>
      </c>
    </row>
    <row r="7410" spans="1:5" x14ac:dyDescent="0.2">
      <c r="A7410" s="28">
        <v>7409</v>
      </c>
      <c r="B7410" s="28" t="e">
        <f>interpola(#REF!,CURVA!$B$6:$B$20,CURVA!$G$6:$G$20)</f>
        <v>#VALUE!</v>
      </c>
      <c r="C7410" s="29" t="e">
        <f t="shared" si="115"/>
        <v>#VALUE!</v>
      </c>
      <c r="E7410" t="e">
        <f>cubic_spline(CURVA!$B$6:$B$20,CURVA!$G$6:$G$20,#REF!)</f>
        <v>#VALUE!</v>
      </c>
    </row>
    <row r="7411" spans="1:5" x14ac:dyDescent="0.2">
      <c r="A7411" s="28">
        <v>7410</v>
      </c>
      <c r="B7411" s="28" t="e">
        <f>interpola(#REF!,CURVA!$B$6:$B$20,CURVA!$G$6:$G$20)</f>
        <v>#VALUE!</v>
      </c>
      <c r="C7411" s="29" t="e">
        <f t="shared" si="115"/>
        <v>#VALUE!</v>
      </c>
      <c r="E7411" t="e">
        <f>cubic_spline(CURVA!$B$6:$B$20,CURVA!$G$6:$G$20,#REF!)</f>
        <v>#VALUE!</v>
      </c>
    </row>
    <row r="7412" spans="1:5" x14ac:dyDescent="0.2">
      <c r="A7412" s="28">
        <v>7411</v>
      </c>
      <c r="B7412" s="28" t="e">
        <f>interpola(#REF!,CURVA!$B$6:$B$20,CURVA!$G$6:$G$20)</f>
        <v>#VALUE!</v>
      </c>
      <c r="C7412" s="29" t="e">
        <f t="shared" si="115"/>
        <v>#VALUE!</v>
      </c>
      <c r="E7412" t="e">
        <f>cubic_spline(CURVA!$B$6:$B$20,CURVA!$G$6:$G$20,#REF!)</f>
        <v>#VALUE!</v>
      </c>
    </row>
    <row r="7413" spans="1:5" x14ac:dyDescent="0.2">
      <c r="A7413" s="28">
        <v>7412</v>
      </c>
      <c r="B7413" s="28" t="e">
        <f>interpola(#REF!,CURVA!$B$6:$B$20,CURVA!$G$6:$G$20)</f>
        <v>#VALUE!</v>
      </c>
      <c r="C7413" s="29" t="e">
        <f t="shared" si="115"/>
        <v>#VALUE!</v>
      </c>
      <c r="E7413" t="e">
        <f>cubic_spline(CURVA!$B$6:$B$20,CURVA!$G$6:$G$20,#REF!)</f>
        <v>#VALUE!</v>
      </c>
    </row>
    <row r="7414" spans="1:5" x14ac:dyDescent="0.2">
      <c r="A7414" s="28">
        <v>7413</v>
      </c>
      <c r="B7414" s="28" t="e">
        <f>interpola(#REF!,CURVA!$B$6:$B$20,CURVA!$G$6:$G$20)</f>
        <v>#VALUE!</v>
      </c>
      <c r="C7414" s="29" t="e">
        <f t="shared" si="115"/>
        <v>#VALUE!</v>
      </c>
      <c r="E7414" t="e">
        <f>cubic_spline(CURVA!$B$6:$B$20,CURVA!$G$6:$G$20,#REF!)</f>
        <v>#VALUE!</v>
      </c>
    </row>
    <row r="7415" spans="1:5" x14ac:dyDescent="0.2">
      <c r="A7415" s="28">
        <v>7414</v>
      </c>
      <c r="B7415" s="28" t="e">
        <f>interpola(#REF!,CURVA!$B$6:$B$20,CURVA!$G$6:$G$20)</f>
        <v>#VALUE!</v>
      </c>
      <c r="C7415" s="29" t="e">
        <f t="shared" si="115"/>
        <v>#VALUE!</v>
      </c>
      <c r="E7415" t="e">
        <f>cubic_spline(CURVA!$B$6:$B$20,CURVA!$G$6:$G$20,#REF!)</f>
        <v>#VALUE!</v>
      </c>
    </row>
    <row r="7416" spans="1:5" x14ac:dyDescent="0.2">
      <c r="A7416" s="28">
        <v>7415</v>
      </c>
      <c r="B7416" s="28" t="e">
        <f>interpola(#REF!,CURVA!$B$6:$B$20,CURVA!$G$6:$G$20)</f>
        <v>#VALUE!</v>
      </c>
      <c r="C7416" s="29" t="e">
        <f t="shared" si="115"/>
        <v>#VALUE!</v>
      </c>
      <c r="E7416" t="e">
        <f>cubic_spline(CURVA!$B$6:$B$20,CURVA!$G$6:$G$20,#REF!)</f>
        <v>#VALUE!</v>
      </c>
    </row>
    <row r="7417" spans="1:5" x14ac:dyDescent="0.2">
      <c r="A7417" s="28">
        <v>7416</v>
      </c>
      <c r="B7417" s="28" t="e">
        <f>interpola(#REF!,CURVA!$B$6:$B$20,CURVA!$G$6:$G$20)</f>
        <v>#VALUE!</v>
      </c>
      <c r="C7417" s="29" t="e">
        <f t="shared" si="115"/>
        <v>#VALUE!</v>
      </c>
      <c r="E7417" t="e">
        <f>cubic_spline(CURVA!$B$6:$B$20,CURVA!$G$6:$G$20,#REF!)</f>
        <v>#VALUE!</v>
      </c>
    </row>
    <row r="7418" spans="1:5" x14ac:dyDescent="0.2">
      <c r="A7418" s="28">
        <v>7417</v>
      </c>
      <c r="B7418" s="28" t="e">
        <f>interpola(#REF!,CURVA!$B$6:$B$20,CURVA!$G$6:$G$20)</f>
        <v>#VALUE!</v>
      </c>
      <c r="C7418" s="29" t="e">
        <f t="shared" si="115"/>
        <v>#VALUE!</v>
      </c>
      <c r="E7418" t="e">
        <f>cubic_spline(CURVA!$B$6:$B$20,CURVA!$G$6:$G$20,#REF!)</f>
        <v>#VALUE!</v>
      </c>
    </row>
    <row r="7419" spans="1:5" x14ac:dyDescent="0.2">
      <c r="A7419" s="28">
        <v>7418</v>
      </c>
      <c r="B7419" s="28" t="e">
        <f>interpola(#REF!,CURVA!$B$6:$B$20,CURVA!$G$6:$G$20)</f>
        <v>#VALUE!</v>
      </c>
      <c r="C7419" s="29" t="e">
        <f t="shared" si="115"/>
        <v>#VALUE!</v>
      </c>
      <c r="E7419" t="e">
        <f>cubic_spline(CURVA!$B$6:$B$20,CURVA!$G$6:$G$20,#REF!)</f>
        <v>#VALUE!</v>
      </c>
    </row>
    <row r="7420" spans="1:5" x14ac:dyDescent="0.2">
      <c r="A7420" s="28">
        <v>7419</v>
      </c>
      <c r="B7420" s="28" t="e">
        <f>interpola(#REF!,CURVA!$B$6:$B$20,CURVA!$G$6:$G$20)</f>
        <v>#VALUE!</v>
      </c>
      <c r="C7420" s="29" t="e">
        <f t="shared" si="115"/>
        <v>#VALUE!</v>
      </c>
      <c r="E7420" t="e">
        <f>cubic_spline(CURVA!$B$6:$B$20,CURVA!$G$6:$G$20,#REF!)</f>
        <v>#VALUE!</v>
      </c>
    </row>
    <row r="7421" spans="1:5" x14ac:dyDescent="0.2">
      <c r="A7421" s="28">
        <v>7420</v>
      </c>
      <c r="B7421" s="28" t="e">
        <f>interpola(#REF!,CURVA!$B$6:$B$20,CURVA!$G$6:$G$20)</f>
        <v>#VALUE!</v>
      </c>
      <c r="C7421" s="29" t="e">
        <f t="shared" si="115"/>
        <v>#VALUE!</v>
      </c>
      <c r="E7421" t="e">
        <f>cubic_spline(CURVA!$B$6:$B$20,CURVA!$G$6:$G$20,#REF!)</f>
        <v>#VALUE!</v>
      </c>
    </row>
    <row r="7422" spans="1:5" x14ac:dyDescent="0.2">
      <c r="A7422" s="28">
        <v>7421</v>
      </c>
      <c r="B7422" s="28" t="e">
        <f>interpola(#REF!,CURVA!$B$6:$B$20,CURVA!$G$6:$G$20)</f>
        <v>#VALUE!</v>
      </c>
      <c r="C7422" s="29" t="e">
        <f t="shared" si="115"/>
        <v>#VALUE!</v>
      </c>
      <c r="E7422" t="e">
        <f>cubic_spline(CURVA!$B$6:$B$20,CURVA!$G$6:$G$20,#REF!)</f>
        <v>#VALUE!</v>
      </c>
    </row>
    <row r="7423" spans="1:5" x14ac:dyDescent="0.2">
      <c r="A7423" s="28">
        <v>7422</v>
      </c>
      <c r="B7423" s="28" t="e">
        <f>interpola(#REF!,CURVA!$B$6:$B$20,CURVA!$G$6:$G$20)</f>
        <v>#VALUE!</v>
      </c>
      <c r="C7423" s="29" t="e">
        <f t="shared" si="115"/>
        <v>#VALUE!</v>
      </c>
      <c r="E7423" t="e">
        <f>cubic_spline(CURVA!$B$6:$B$20,CURVA!$G$6:$G$20,#REF!)</f>
        <v>#VALUE!</v>
      </c>
    </row>
    <row r="7424" spans="1:5" x14ac:dyDescent="0.2">
      <c r="A7424" s="28">
        <v>7423</v>
      </c>
      <c r="B7424" s="28" t="e">
        <f>interpola(#REF!,CURVA!$B$6:$B$20,CURVA!$G$6:$G$20)</f>
        <v>#VALUE!</v>
      </c>
      <c r="C7424" s="29" t="e">
        <f t="shared" si="115"/>
        <v>#VALUE!</v>
      </c>
      <c r="E7424" t="e">
        <f>cubic_spline(CURVA!$B$6:$B$20,CURVA!$G$6:$G$20,#REF!)</f>
        <v>#VALUE!</v>
      </c>
    </row>
    <row r="7425" spans="1:5" x14ac:dyDescent="0.2">
      <c r="A7425" s="28">
        <v>7424</v>
      </c>
      <c r="B7425" s="28" t="e">
        <f>interpola(#REF!,CURVA!$B$6:$B$20,CURVA!$G$6:$G$20)</f>
        <v>#VALUE!</v>
      </c>
      <c r="C7425" s="29" t="e">
        <f t="shared" si="115"/>
        <v>#VALUE!</v>
      </c>
      <c r="E7425" t="e">
        <f>cubic_spline(CURVA!$B$6:$B$20,CURVA!$G$6:$G$20,#REF!)</f>
        <v>#VALUE!</v>
      </c>
    </row>
    <row r="7426" spans="1:5" x14ac:dyDescent="0.2">
      <c r="A7426" s="28">
        <v>7425</v>
      </c>
      <c r="B7426" s="28" t="e">
        <f>interpola(#REF!,CURVA!$B$6:$B$20,CURVA!$G$6:$G$20)</f>
        <v>#VALUE!</v>
      </c>
      <c r="C7426" s="29" t="e">
        <f t="shared" ref="C7426:C7489" si="116">(EXP(B7426*A7426/360)-1)*360/A7426</f>
        <v>#VALUE!</v>
      </c>
      <c r="E7426" t="e">
        <f>cubic_spline(CURVA!$B$6:$B$20,CURVA!$G$6:$G$20,#REF!)</f>
        <v>#VALUE!</v>
      </c>
    </row>
    <row r="7427" spans="1:5" x14ac:dyDescent="0.2">
      <c r="A7427" s="28">
        <v>7426</v>
      </c>
      <c r="B7427" s="28" t="e">
        <f>interpola(#REF!,CURVA!$B$6:$B$20,CURVA!$G$6:$G$20)</f>
        <v>#VALUE!</v>
      </c>
      <c r="C7427" s="29" t="e">
        <f t="shared" si="116"/>
        <v>#VALUE!</v>
      </c>
      <c r="E7427" t="e">
        <f>cubic_spline(CURVA!$B$6:$B$20,CURVA!$G$6:$G$20,#REF!)</f>
        <v>#VALUE!</v>
      </c>
    </row>
    <row r="7428" spans="1:5" x14ac:dyDescent="0.2">
      <c r="A7428" s="28">
        <v>7427</v>
      </c>
      <c r="B7428" s="28" t="e">
        <f>interpola(#REF!,CURVA!$B$6:$B$20,CURVA!$G$6:$G$20)</f>
        <v>#VALUE!</v>
      </c>
      <c r="C7428" s="29" t="e">
        <f t="shared" si="116"/>
        <v>#VALUE!</v>
      </c>
      <c r="E7428" t="e">
        <f>cubic_spline(CURVA!$B$6:$B$20,CURVA!$G$6:$G$20,#REF!)</f>
        <v>#VALUE!</v>
      </c>
    </row>
    <row r="7429" spans="1:5" x14ac:dyDescent="0.2">
      <c r="A7429" s="28">
        <v>7428</v>
      </c>
      <c r="B7429" s="28" t="e">
        <f>interpola(#REF!,CURVA!$B$6:$B$20,CURVA!$G$6:$G$20)</f>
        <v>#VALUE!</v>
      </c>
      <c r="C7429" s="29" t="e">
        <f t="shared" si="116"/>
        <v>#VALUE!</v>
      </c>
      <c r="E7429" t="e">
        <f>cubic_spline(CURVA!$B$6:$B$20,CURVA!$G$6:$G$20,#REF!)</f>
        <v>#VALUE!</v>
      </c>
    </row>
    <row r="7430" spans="1:5" x14ac:dyDescent="0.2">
      <c r="A7430" s="28">
        <v>7429</v>
      </c>
      <c r="B7430" s="28" t="e">
        <f>interpola(#REF!,CURVA!$B$6:$B$20,CURVA!$G$6:$G$20)</f>
        <v>#VALUE!</v>
      </c>
      <c r="C7430" s="29" t="e">
        <f t="shared" si="116"/>
        <v>#VALUE!</v>
      </c>
      <c r="E7430" t="e">
        <f>cubic_spline(CURVA!$B$6:$B$20,CURVA!$G$6:$G$20,#REF!)</f>
        <v>#VALUE!</v>
      </c>
    </row>
    <row r="7431" spans="1:5" x14ac:dyDescent="0.2">
      <c r="A7431" s="28">
        <v>7430</v>
      </c>
      <c r="B7431" s="28" t="e">
        <f>interpola(#REF!,CURVA!$B$6:$B$20,CURVA!$G$6:$G$20)</f>
        <v>#VALUE!</v>
      </c>
      <c r="C7431" s="29" t="e">
        <f t="shared" si="116"/>
        <v>#VALUE!</v>
      </c>
      <c r="E7431" t="e">
        <f>cubic_spline(CURVA!$B$6:$B$20,CURVA!$G$6:$G$20,#REF!)</f>
        <v>#VALUE!</v>
      </c>
    </row>
    <row r="7432" spans="1:5" x14ac:dyDescent="0.2">
      <c r="A7432" s="28">
        <v>7431</v>
      </c>
      <c r="B7432" s="28" t="e">
        <f>interpola(#REF!,CURVA!$B$6:$B$20,CURVA!$G$6:$G$20)</f>
        <v>#VALUE!</v>
      </c>
      <c r="C7432" s="29" t="e">
        <f t="shared" si="116"/>
        <v>#VALUE!</v>
      </c>
      <c r="E7432" t="e">
        <f>cubic_spline(CURVA!$B$6:$B$20,CURVA!$G$6:$G$20,#REF!)</f>
        <v>#VALUE!</v>
      </c>
    </row>
    <row r="7433" spans="1:5" x14ac:dyDescent="0.2">
      <c r="A7433" s="28">
        <v>7432</v>
      </c>
      <c r="B7433" s="28" t="e">
        <f>interpola(#REF!,CURVA!$B$6:$B$20,CURVA!$G$6:$G$20)</f>
        <v>#VALUE!</v>
      </c>
      <c r="C7433" s="29" t="e">
        <f t="shared" si="116"/>
        <v>#VALUE!</v>
      </c>
      <c r="E7433" t="e">
        <f>cubic_spline(CURVA!$B$6:$B$20,CURVA!$G$6:$G$20,#REF!)</f>
        <v>#VALUE!</v>
      </c>
    </row>
    <row r="7434" spans="1:5" x14ac:dyDescent="0.2">
      <c r="A7434" s="28">
        <v>7433</v>
      </c>
      <c r="B7434" s="28" t="e">
        <f>interpola(#REF!,CURVA!$B$6:$B$20,CURVA!$G$6:$G$20)</f>
        <v>#VALUE!</v>
      </c>
      <c r="C7434" s="29" t="e">
        <f t="shared" si="116"/>
        <v>#VALUE!</v>
      </c>
      <c r="E7434" t="e">
        <f>cubic_spline(CURVA!$B$6:$B$20,CURVA!$G$6:$G$20,#REF!)</f>
        <v>#VALUE!</v>
      </c>
    </row>
    <row r="7435" spans="1:5" x14ac:dyDescent="0.2">
      <c r="A7435" s="28">
        <v>7434</v>
      </c>
      <c r="B7435" s="28" t="e">
        <f>interpola(#REF!,CURVA!$B$6:$B$20,CURVA!$G$6:$G$20)</f>
        <v>#VALUE!</v>
      </c>
      <c r="C7435" s="29" t="e">
        <f t="shared" si="116"/>
        <v>#VALUE!</v>
      </c>
      <c r="E7435" t="e">
        <f>cubic_spline(CURVA!$B$6:$B$20,CURVA!$G$6:$G$20,#REF!)</f>
        <v>#VALUE!</v>
      </c>
    </row>
    <row r="7436" spans="1:5" x14ac:dyDescent="0.2">
      <c r="A7436" s="28">
        <v>7435</v>
      </c>
      <c r="B7436" s="28" t="e">
        <f>interpola(#REF!,CURVA!$B$6:$B$20,CURVA!$G$6:$G$20)</f>
        <v>#VALUE!</v>
      </c>
      <c r="C7436" s="29" t="e">
        <f t="shared" si="116"/>
        <v>#VALUE!</v>
      </c>
      <c r="E7436" t="e">
        <f>cubic_spline(CURVA!$B$6:$B$20,CURVA!$G$6:$G$20,#REF!)</f>
        <v>#VALUE!</v>
      </c>
    </row>
    <row r="7437" spans="1:5" x14ac:dyDescent="0.2">
      <c r="A7437" s="28">
        <v>7436</v>
      </c>
      <c r="B7437" s="28" t="e">
        <f>interpola(#REF!,CURVA!$B$6:$B$20,CURVA!$G$6:$G$20)</f>
        <v>#VALUE!</v>
      </c>
      <c r="C7437" s="29" t="e">
        <f t="shared" si="116"/>
        <v>#VALUE!</v>
      </c>
      <c r="E7437" t="e">
        <f>cubic_spline(CURVA!$B$6:$B$20,CURVA!$G$6:$G$20,#REF!)</f>
        <v>#VALUE!</v>
      </c>
    </row>
    <row r="7438" spans="1:5" x14ac:dyDescent="0.2">
      <c r="A7438" s="28">
        <v>7437</v>
      </c>
      <c r="B7438" s="28" t="e">
        <f>interpola(#REF!,CURVA!$B$6:$B$20,CURVA!$G$6:$G$20)</f>
        <v>#VALUE!</v>
      </c>
      <c r="C7438" s="29" t="e">
        <f t="shared" si="116"/>
        <v>#VALUE!</v>
      </c>
      <c r="E7438" t="e">
        <f>cubic_spline(CURVA!$B$6:$B$20,CURVA!$G$6:$G$20,#REF!)</f>
        <v>#VALUE!</v>
      </c>
    </row>
    <row r="7439" spans="1:5" x14ac:dyDescent="0.2">
      <c r="A7439" s="28">
        <v>7438</v>
      </c>
      <c r="B7439" s="28" t="e">
        <f>interpola(#REF!,CURVA!$B$6:$B$20,CURVA!$G$6:$G$20)</f>
        <v>#VALUE!</v>
      </c>
      <c r="C7439" s="29" t="e">
        <f t="shared" si="116"/>
        <v>#VALUE!</v>
      </c>
      <c r="E7439" t="e">
        <f>cubic_spline(CURVA!$B$6:$B$20,CURVA!$G$6:$G$20,#REF!)</f>
        <v>#VALUE!</v>
      </c>
    </row>
    <row r="7440" spans="1:5" x14ac:dyDescent="0.2">
      <c r="A7440" s="28">
        <v>7439</v>
      </c>
      <c r="B7440" s="28" t="e">
        <f>interpola(#REF!,CURVA!$B$6:$B$20,CURVA!$G$6:$G$20)</f>
        <v>#VALUE!</v>
      </c>
      <c r="C7440" s="29" t="e">
        <f t="shared" si="116"/>
        <v>#VALUE!</v>
      </c>
      <c r="E7440" t="e">
        <f>cubic_spline(CURVA!$B$6:$B$20,CURVA!$G$6:$G$20,#REF!)</f>
        <v>#VALUE!</v>
      </c>
    </row>
    <row r="7441" spans="1:5" x14ac:dyDescent="0.2">
      <c r="A7441" s="28">
        <v>7440</v>
      </c>
      <c r="B7441" s="28" t="e">
        <f>interpola(#REF!,CURVA!$B$6:$B$20,CURVA!$G$6:$G$20)</f>
        <v>#VALUE!</v>
      </c>
      <c r="C7441" s="29" t="e">
        <f t="shared" si="116"/>
        <v>#VALUE!</v>
      </c>
      <c r="E7441" t="e">
        <f>cubic_spline(CURVA!$B$6:$B$20,CURVA!$G$6:$G$20,#REF!)</f>
        <v>#VALUE!</v>
      </c>
    </row>
    <row r="7442" spans="1:5" x14ac:dyDescent="0.2">
      <c r="A7442" s="28">
        <v>7441</v>
      </c>
      <c r="B7442" s="28" t="e">
        <f>interpola(#REF!,CURVA!$B$6:$B$20,CURVA!$G$6:$G$20)</f>
        <v>#VALUE!</v>
      </c>
      <c r="C7442" s="29" t="e">
        <f t="shared" si="116"/>
        <v>#VALUE!</v>
      </c>
      <c r="E7442" t="e">
        <f>cubic_spline(CURVA!$B$6:$B$20,CURVA!$G$6:$G$20,#REF!)</f>
        <v>#VALUE!</v>
      </c>
    </row>
    <row r="7443" spans="1:5" x14ac:dyDescent="0.2">
      <c r="A7443" s="28">
        <v>7442</v>
      </c>
      <c r="B7443" s="28" t="e">
        <f>interpola(#REF!,CURVA!$B$6:$B$20,CURVA!$G$6:$G$20)</f>
        <v>#VALUE!</v>
      </c>
      <c r="C7443" s="29" t="e">
        <f t="shared" si="116"/>
        <v>#VALUE!</v>
      </c>
      <c r="E7443" t="e">
        <f>cubic_spline(CURVA!$B$6:$B$20,CURVA!$G$6:$G$20,#REF!)</f>
        <v>#VALUE!</v>
      </c>
    </row>
    <row r="7444" spans="1:5" x14ac:dyDescent="0.2">
      <c r="A7444" s="28">
        <v>7443</v>
      </c>
      <c r="B7444" s="28" t="e">
        <f>interpola(#REF!,CURVA!$B$6:$B$20,CURVA!$G$6:$G$20)</f>
        <v>#VALUE!</v>
      </c>
      <c r="C7444" s="29" t="e">
        <f t="shared" si="116"/>
        <v>#VALUE!</v>
      </c>
      <c r="E7444" t="e">
        <f>cubic_spline(CURVA!$B$6:$B$20,CURVA!$G$6:$G$20,#REF!)</f>
        <v>#VALUE!</v>
      </c>
    </row>
    <row r="7445" spans="1:5" x14ac:dyDescent="0.2">
      <c r="A7445" s="28">
        <v>7444</v>
      </c>
      <c r="B7445" s="28" t="e">
        <f>interpola(#REF!,CURVA!$B$6:$B$20,CURVA!$G$6:$G$20)</f>
        <v>#VALUE!</v>
      </c>
      <c r="C7445" s="29" t="e">
        <f t="shared" si="116"/>
        <v>#VALUE!</v>
      </c>
      <c r="E7445" t="e">
        <f>cubic_spline(CURVA!$B$6:$B$20,CURVA!$G$6:$G$20,#REF!)</f>
        <v>#VALUE!</v>
      </c>
    </row>
    <row r="7446" spans="1:5" x14ac:dyDescent="0.2">
      <c r="A7446" s="28">
        <v>7445</v>
      </c>
      <c r="B7446" s="28" t="e">
        <f>interpola(#REF!,CURVA!$B$6:$B$20,CURVA!$G$6:$G$20)</f>
        <v>#VALUE!</v>
      </c>
      <c r="C7446" s="29" t="e">
        <f t="shared" si="116"/>
        <v>#VALUE!</v>
      </c>
      <c r="E7446" t="e">
        <f>cubic_spline(CURVA!$B$6:$B$20,CURVA!$G$6:$G$20,#REF!)</f>
        <v>#VALUE!</v>
      </c>
    </row>
    <row r="7447" spans="1:5" x14ac:dyDescent="0.2">
      <c r="A7447" s="28">
        <v>7446</v>
      </c>
      <c r="B7447" s="28" t="e">
        <f>interpola(#REF!,CURVA!$B$6:$B$20,CURVA!$G$6:$G$20)</f>
        <v>#VALUE!</v>
      </c>
      <c r="C7447" s="29" t="e">
        <f t="shared" si="116"/>
        <v>#VALUE!</v>
      </c>
      <c r="E7447" t="e">
        <f>cubic_spline(CURVA!$B$6:$B$20,CURVA!$G$6:$G$20,#REF!)</f>
        <v>#VALUE!</v>
      </c>
    </row>
    <row r="7448" spans="1:5" x14ac:dyDescent="0.2">
      <c r="A7448" s="28">
        <v>7447</v>
      </c>
      <c r="B7448" s="28" t="e">
        <f>interpola(#REF!,CURVA!$B$6:$B$20,CURVA!$G$6:$G$20)</f>
        <v>#VALUE!</v>
      </c>
      <c r="C7448" s="29" t="e">
        <f t="shared" si="116"/>
        <v>#VALUE!</v>
      </c>
      <c r="E7448" t="e">
        <f>cubic_spline(CURVA!$B$6:$B$20,CURVA!$G$6:$G$20,#REF!)</f>
        <v>#VALUE!</v>
      </c>
    </row>
    <row r="7449" spans="1:5" x14ac:dyDescent="0.2">
      <c r="A7449" s="28">
        <v>7448</v>
      </c>
      <c r="B7449" s="28" t="e">
        <f>interpola(#REF!,CURVA!$B$6:$B$20,CURVA!$G$6:$G$20)</f>
        <v>#VALUE!</v>
      </c>
      <c r="C7449" s="29" t="e">
        <f t="shared" si="116"/>
        <v>#VALUE!</v>
      </c>
      <c r="E7449" t="e">
        <f>cubic_spline(CURVA!$B$6:$B$20,CURVA!$G$6:$G$20,#REF!)</f>
        <v>#VALUE!</v>
      </c>
    </row>
    <row r="7450" spans="1:5" x14ac:dyDescent="0.2">
      <c r="A7450" s="28">
        <v>7449</v>
      </c>
      <c r="B7450" s="28" t="e">
        <f>interpola(#REF!,CURVA!$B$6:$B$20,CURVA!$G$6:$G$20)</f>
        <v>#VALUE!</v>
      </c>
      <c r="C7450" s="29" t="e">
        <f t="shared" si="116"/>
        <v>#VALUE!</v>
      </c>
      <c r="E7450" t="e">
        <f>cubic_spline(CURVA!$B$6:$B$20,CURVA!$G$6:$G$20,#REF!)</f>
        <v>#VALUE!</v>
      </c>
    </row>
    <row r="7451" spans="1:5" x14ac:dyDescent="0.2">
      <c r="A7451" s="28">
        <v>7450</v>
      </c>
      <c r="B7451" s="28" t="e">
        <f>interpola(#REF!,CURVA!$B$6:$B$20,CURVA!$G$6:$G$20)</f>
        <v>#VALUE!</v>
      </c>
      <c r="C7451" s="29" t="e">
        <f t="shared" si="116"/>
        <v>#VALUE!</v>
      </c>
      <c r="E7451" t="e">
        <f>cubic_spline(CURVA!$B$6:$B$20,CURVA!$G$6:$G$20,#REF!)</f>
        <v>#VALUE!</v>
      </c>
    </row>
    <row r="7452" spans="1:5" x14ac:dyDescent="0.2">
      <c r="A7452" s="28">
        <v>7451</v>
      </c>
      <c r="B7452" s="28" t="e">
        <f>interpola(#REF!,CURVA!$B$6:$B$20,CURVA!$G$6:$G$20)</f>
        <v>#VALUE!</v>
      </c>
      <c r="C7452" s="29" t="e">
        <f t="shared" si="116"/>
        <v>#VALUE!</v>
      </c>
      <c r="E7452" t="e">
        <f>cubic_spline(CURVA!$B$6:$B$20,CURVA!$G$6:$G$20,#REF!)</f>
        <v>#VALUE!</v>
      </c>
    </row>
    <row r="7453" spans="1:5" x14ac:dyDescent="0.2">
      <c r="A7453" s="28">
        <v>7452</v>
      </c>
      <c r="B7453" s="28" t="e">
        <f>interpola(#REF!,CURVA!$B$6:$B$20,CURVA!$G$6:$G$20)</f>
        <v>#VALUE!</v>
      </c>
      <c r="C7453" s="29" t="e">
        <f t="shared" si="116"/>
        <v>#VALUE!</v>
      </c>
      <c r="E7453" t="e">
        <f>cubic_spline(CURVA!$B$6:$B$20,CURVA!$G$6:$G$20,#REF!)</f>
        <v>#VALUE!</v>
      </c>
    </row>
    <row r="7454" spans="1:5" x14ac:dyDescent="0.2">
      <c r="A7454" s="28">
        <v>7453</v>
      </c>
      <c r="B7454" s="28" t="e">
        <f>interpola(#REF!,CURVA!$B$6:$B$20,CURVA!$G$6:$G$20)</f>
        <v>#VALUE!</v>
      </c>
      <c r="C7454" s="29" t="e">
        <f t="shared" si="116"/>
        <v>#VALUE!</v>
      </c>
      <c r="E7454" t="e">
        <f>cubic_spline(CURVA!$B$6:$B$20,CURVA!$G$6:$G$20,#REF!)</f>
        <v>#VALUE!</v>
      </c>
    </row>
    <row r="7455" spans="1:5" x14ac:dyDescent="0.2">
      <c r="A7455" s="28">
        <v>7454</v>
      </c>
      <c r="B7455" s="28" t="e">
        <f>interpola(#REF!,CURVA!$B$6:$B$20,CURVA!$G$6:$G$20)</f>
        <v>#VALUE!</v>
      </c>
      <c r="C7455" s="29" t="e">
        <f t="shared" si="116"/>
        <v>#VALUE!</v>
      </c>
      <c r="E7455" t="e">
        <f>cubic_spline(CURVA!$B$6:$B$20,CURVA!$G$6:$G$20,#REF!)</f>
        <v>#VALUE!</v>
      </c>
    </row>
    <row r="7456" spans="1:5" x14ac:dyDescent="0.2">
      <c r="A7456" s="28">
        <v>7455</v>
      </c>
      <c r="B7456" s="28" t="e">
        <f>interpola(#REF!,CURVA!$B$6:$B$20,CURVA!$G$6:$G$20)</f>
        <v>#VALUE!</v>
      </c>
      <c r="C7456" s="29" t="e">
        <f t="shared" si="116"/>
        <v>#VALUE!</v>
      </c>
      <c r="E7456" t="e">
        <f>cubic_spline(CURVA!$B$6:$B$20,CURVA!$G$6:$G$20,#REF!)</f>
        <v>#VALUE!</v>
      </c>
    </row>
    <row r="7457" spans="1:5" x14ac:dyDescent="0.2">
      <c r="A7457" s="28">
        <v>7456</v>
      </c>
      <c r="B7457" s="28" t="e">
        <f>interpola(#REF!,CURVA!$B$6:$B$20,CURVA!$G$6:$G$20)</f>
        <v>#VALUE!</v>
      </c>
      <c r="C7457" s="29" t="e">
        <f t="shared" si="116"/>
        <v>#VALUE!</v>
      </c>
      <c r="E7457" t="e">
        <f>cubic_spline(CURVA!$B$6:$B$20,CURVA!$G$6:$G$20,#REF!)</f>
        <v>#VALUE!</v>
      </c>
    </row>
    <row r="7458" spans="1:5" x14ac:dyDescent="0.2">
      <c r="A7458" s="28">
        <v>7457</v>
      </c>
      <c r="B7458" s="28" t="e">
        <f>interpola(#REF!,CURVA!$B$6:$B$20,CURVA!$G$6:$G$20)</f>
        <v>#VALUE!</v>
      </c>
      <c r="C7458" s="29" t="e">
        <f t="shared" si="116"/>
        <v>#VALUE!</v>
      </c>
      <c r="E7458" t="e">
        <f>cubic_spline(CURVA!$B$6:$B$20,CURVA!$G$6:$G$20,#REF!)</f>
        <v>#VALUE!</v>
      </c>
    </row>
    <row r="7459" spans="1:5" x14ac:dyDescent="0.2">
      <c r="A7459" s="28">
        <v>7458</v>
      </c>
      <c r="B7459" s="28" t="e">
        <f>interpola(#REF!,CURVA!$B$6:$B$20,CURVA!$G$6:$G$20)</f>
        <v>#VALUE!</v>
      </c>
      <c r="C7459" s="29" t="e">
        <f t="shared" si="116"/>
        <v>#VALUE!</v>
      </c>
      <c r="E7459" t="e">
        <f>cubic_spline(CURVA!$B$6:$B$20,CURVA!$G$6:$G$20,#REF!)</f>
        <v>#VALUE!</v>
      </c>
    </row>
    <row r="7460" spans="1:5" x14ac:dyDescent="0.2">
      <c r="A7460" s="28">
        <v>7459</v>
      </c>
      <c r="B7460" s="28" t="e">
        <f>interpola(#REF!,CURVA!$B$6:$B$20,CURVA!$G$6:$G$20)</f>
        <v>#VALUE!</v>
      </c>
      <c r="C7460" s="29" t="e">
        <f t="shared" si="116"/>
        <v>#VALUE!</v>
      </c>
      <c r="E7460" t="e">
        <f>cubic_spline(CURVA!$B$6:$B$20,CURVA!$G$6:$G$20,#REF!)</f>
        <v>#VALUE!</v>
      </c>
    </row>
    <row r="7461" spans="1:5" x14ac:dyDescent="0.2">
      <c r="A7461" s="28">
        <v>7460</v>
      </c>
      <c r="B7461" s="28" t="e">
        <f>interpola(#REF!,CURVA!$B$6:$B$20,CURVA!$G$6:$G$20)</f>
        <v>#VALUE!</v>
      </c>
      <c r="C7461" s="29" t="e">
        <f t="shared" si="116"/>
        <v>#VALUE!</v>
      </c>
      <c r="E7461" t="e">
        <f>cubic_spline(CURVA!$B$6:$B$20,CURVA!$G$6:$G$20,#REF!)</f>
        <v>#VALUE!</v>
      </c>
    </row>
    <row r="7462" spans="1:5" x14ac:dyDescent="0.2">
      <c r="A7462" s="28">
        <v>7461</v>
      </c>
      <c r="B7462" s="28" t="e">
        <f>interpola(#REF!,CURVA!$B$6:$B$20,CURVA!$G$6:$G$20)</f>
        <v>#VALUE!</v>
      </c>
      <c r="C7462" s="29" t="e">
        <f t="shared" si="116"/>
        <v>#VALUE!</v>
      </c>
      <c r="E7462" t="e">
        <f>cubic_spline(CURVA!$B$6:$B$20,CURVA!$G$6:$G$20,#REF!)</f>
        <v>#VALUE!</v>
      </c>
    </row>
    <row r="7463" spans="1:5" x14ac:dyDescent="0.2">
      <c r="A7463" s="28">
        <v>7462</v>
      </c>
      <c r="B7463" s="28" t="e">
        <f>interpola(#REF!,CURVA!$B$6:$B$20,CURVA!$G$6:$G$20)</f>
        <v>#VALUE!</v>
      </c>
      <c r="C7463" s="29" t="e">
        <f t="shared" si="116"/>
        <v>#VALUE!</v>
      </c>
      <c r="E7463" t="e">
        <f>cubic_spline(CURVA!$B$6:$B$20,CURVA!$G$6:$G$20,#REF!)</f>
        <v>#VALUE!</v>
      </c>
    </row>
    <row r="7464" spans="1:5" x14ac:dyDescent="0.2">
      <c r="A7464" s="28">
        <v>7463</v>
      </c>
      <c r="B7464" s="28" t="e">
        <f>interpola(#REF!,CURVA!$B$6:$B$20,CURVA!$G$6:$G$20)</f>
        <v>#VALUE!</v>
      </c>
      <c r="C7464" s="29" t="e">
        <f t="shared" si="116"/>
        <v>#VALUE!</v>
      </c>
      <c r="E7464" t="e">
        <f>cubic_spline(CURVA!$B$6:$B$20,CURVA!$G$6:$G$20,#REF!)</f>
        <v>#VALUE!</v>
      </c>
    </row>
    <row r="7465" spans="1:5" x14ac:dyDescent="0.2">
      <c r="A7465" s="28">
        <v>7464</v>
      </c>
      <c r="B7465" s="28" t="e">
        <f>interpola(#REF!,CURVA!$B$6:$B$20,CURVA!$G$6:$G$20)</f>
        <v>#VALUE!</v>
      </c>
      <c r="C7465" s="29" t="e">
        <f t="shared" si="116"/>
        <v>#VALUE!</v>
      </c>
      <c r="E7465" t="e">
        <f>cubic_spline(CURVA!$B$6:$B$20,CURVA!$G$6:$G$20,#REF!)</f>
        <v>#VALUE!</v>
      </c>
    </row>
    <row r="7466" spans="1:5" x14ac:dyDescent="0.2">
      <c r="A7466" s="28">
        <v>7465</v>
      </c>
      <c r="B7466" s="28" t="e">
        <f>interpola(#REF!,CURVA!$B$6:$B$20,CURVA!$G$6:$G$20)</f>
        <v>#VALUE!</v>
      </c>
      <c r="C7466" s="29" t="e">
        <f t="shared" si="116"/>
        <v>#VALUE!</v>
      </c>
      <c r="E7466" t="e">
        <f>cubic_spline(CURVA!$B$6:$B$20,CURVA!$G$6:$G$20,#REF!)</f>
        <v>#VALUE!</v>
      </c>
    </row>
    <row r="7467" spans="1:5" x14ac:dyDescent="0.2">
      <c r="A7467" s="28">
        <v>7466</v>
      </c>
      <c r="B7467" s="28" t="e">
        <f>interpola(#REF!,CURVA!$B$6:$B$20,CURVA!$G$6:$G$20)</f>
        <v>#VALUE!</v>
      </c>
      <c r="C7467" s="29" t="e">
        <f t="shared" si="116"/>
        <v>#VALUE!</v>
      </c>
      <c r="E7467" t="e">
        <f>cubic_spline(CURVA!$B$6:$B$20,CURVA!$G$6:$G$20,#REF!)</f>
        <v>#VALUE!</v>
      </c>
    </row>
    <row r="7468" spans="1:5" x14ac:dyDescent="0.2">
      <c r="A7468" s="28">
        <v>7467</v>
      </c>
      <c r="B7468" s="28" t="e">
        <f>interpola(#REF!,CURVA!$B$6:$B$20,CURVA!$G$6:$G$20)</f>
        <v>#VALUE!</v>
      </c>
      <c r="C7468" s="29" t="e">
        <f t="shared" si="116"/>
        <v>#VALUE!</v>
      </c>
      <c r="E7468" t="e">
        <f>cubic_spline(CURVA!$B$6:$B$20,CURVA!$G$6:$G$20,#REF!)</f>
        <v>#VALUE!</v>
      </c>
    </row>
    <row r="7469" spans="1:5" x14ac:dyDescent="0.2">
      <c r="A7469" s="28">
        <v>7468</v>
      </c>
      <c r="B7469" s="28" t="e">
        <f>interpola(#REF!,CURVA!$B$6:$B$20,CURVA!$G$6:$G$20)</f>
        <v>#VALUE!</v>
      </c>
      <c r="C7469" s="29" t="e">
        <f t="shared" si="116"/>
        <v>#VALUE!</v>
      </c>
      <c r="E7469" t="e">
        <f>cubic_spline(CURVA!$B$6:$B$20,CURVA!$G$6:$G$20,#REF!)</f>
        <v>#VALUE!</v>
      </c>
    </row>
    <row r="7470" spans="1:5" x14ac:dyDescent="0.2">
      <c r="A7470" s="28">
        <v>7469</v>
      </c>
      <c r="B7470" s="28" t="e">
        <f>interpola(#REF!,CURVA!$B$6:$B$20,CURVA!$G$6:$G$20)</f>
        <v>#VALUE!</v>
      </c>
      <c r="C7470" s="29" t="e">
        <f t="shared" si="116"/>
        <v>#VALUE!</v>
      </c>
      <c r="E7470" t="e">
        <f>cubic_spline(CURVA!$B$6:$B$20,CURVA!$G$6:$G$20,#REF!)</f>
        <v>#VALUE!</v>
      </c>
    </row>
    <row r="7471" spans="1:5" x14ac:dyDescent="0.2">
      <c r="A7471" s="28">
        <v>7470</v>
      </c>
      <c r="B7471" s="28" t="e">
        <f>interpola(#REF!,CURVA!$B$6:$B$20,CURVA!$G$6:$G$20)</f>
        <v>#VALUE!</v>
      </c>
      <c r="C7471" s="29" t="e">
        <f t="shared" si="116"/>
        <v>#VALUE!</v>
      </c>
      <c r="E7471" t="e">
        <f>cubic_spline(CURVA!$B$6:$B$20,CURVA!$G$6:$G$20,#REF!)</f>
        <v>#VALUE!</v>
      </c>
    </row>
    <row r="7472" spans="1:5" x14ac:dyDescent="0.2">
      <c r="A7472" s="28">
        <v>7471</v>
      </c>
      <c r="B7472" s="28" t="e">
        <f>interpola(#REF!,CURVA!$B$6:$B$20,CURVA!$G$6:$G$20)</f>
        <v>#VALUE!</v>
      </c>
      <c r="C7472" s="29" t="e">
        <f t="shared" si="116"/>
        <v>#VALUE!</v>
      </c>
      <c r="E7472" t="e">
        <f>cubic_spline(CURVA!$B$6:$B$20,CURVA!$G$6:$G$20,#REF!)</f>
        <v>#VALUE!</v>
      </c>
    </row>
    <row r="7473" spans="1:5" x14ac:dyDescent="0.2">
      <c r="A7473" s="28">
        <v>7472</v>
      </c>
      <c r="B7473" s="28" t="e">
        <f>interpola(#REF!,CURVA!$B$6:$B$20,CURVA!$G$6:$G$20)</f>
        <v>#VALUE!</v>
      </c>
      <c r="C7473" s="29" t="e">
        <f t="shared" si="116"/>
        <v>#VALUE!</v>
      </c>
      <c r="E7473" t="e">
        <f>cubic_spline(CURVA!$B$6:$B$20,CURVA!$G$6:$G$20,#REF!)</f>
        <v>#VALUE!</v>
      </c>
    </row>
    <row r="7474" spans="1:5" x14ac:dyDescent="0.2">
      <c r="A7474" s="28">
        <v>7473</v>
      </c>
      <c r="B7474" s="28" t="e">
        <f>interpola(#REF!,CURVA!$B$6:$B$20,CURVA!$G$6:$G$20)</f>
        <v>#VALUE!</v>
      </c>
      <c r="C7474" s="29" t="e">
        <f t="shared" si="116"/>
        <v>#VALUE!</v>
      </c>
      <c r="E7474" t="e">
        <f>cubic_spline(CURVA!$B$6:$B$20,CURVA!$G$6:$G$20,#REF!)</f>
        <v>#VALUE!</v>
      </c>
    </row>
    <row r="7475" spans="1:5" x14ac:dyDescent="0.2">
      <c r="A7475" s="28">
        <v>7474</v>
      </c>
      <c r="B7475" s="28" t="e">
        <f>interpola(#REF!,CURVA!$B$6:$B$20,CURVA!$G$6:$G$20)</f>
        <v>#VALUE!</v>
      </c>
      <c r="C7475" s="29" t="e">
        <f t="shared" si="116"/>
        <v>#VALUE!</v>
      </c>
      <c r="E7475" t="e">
        <f>cubic_spline(CURVA!$B$6:$B$20,CURVA!$G$6:$G$20,#REF!)</f>
        <v>#VALUE!</v>
      </c>
    </row>
    <row r="7476" spans="1:5" x14ac:dyDescent="0.2">
      <c r="A7476" s="28">
        <v>7475</v>
      </c>
      <c r="B7476" s="28" t="e">
        <f>interpola(#REF!,CURVA!$B$6:$B$20,CURVA!$G$6:$G$20)</f>
        <v>#VALUE!</v>
      </c>
      <c r="C7476" s="29" t="e">
        <f t="shared" si="116"/>
        <v>#VALUE!</v>
      </c>
      <c r="E7476" t="e">
        <f>cubic_spline(CURVA!$B$6:$B$20,CURVA!$G$6:$G$20,#REF!)</f>
        <v>#VALUE!</v>
      </c>
    </row>
    <row r="7477" spans="1:5" x14ac:dyDescent="0.2">
      <c r="A7477" s="28">
        <v>7476</v>
      </c>
      <c r="B7477" s="28" t="e">
        <f>interpola(#REF!,CURVA!$B$6:$B$20,CURVA!$G$6:$G$20)</f>
        <v>#VALUE!</v>
      </c>
      <c r="C7477" s="29" t="e">
        <f t="shared" si="116"/>
        <v>#VALUE!</v>
      </c>
      <c r="E7477" t="e">
        <f>cubic_spline(CURVA!$B$6:$B$20,CURVA!$G$6:$G$20,#REF!)</f>
        <v>#VALUE!</v>
      </c>
    </row>
    <row r="7478" spans="1:5" x14ac:dyDescent="0.2">
      <c r="A7478" s="28">
        <v>7477</v>
      </c>
      <c r="B7478" s="28" t="e">
        <f>interpola(#REF!,CURVA!$B$6:$B$20,CURVA!$G$6:$G$20)</f>
        <v>#VALUE!</v>
      </c>
      <c r="C7478" s="29" t="e">
        <f t="shared" si="116"/>
        <v>#VALUE!</v>
      </c>
      <c r="E7478" t="e">
        <f>cubic_spline(CURVA!$B$6:$B$20,CURVA!$G$6:$G$20,#REF!)</f>
        <v>#VALUE!</v>
      </c>
    </row>
    <row r="7479" spans="1:5" x14ac:dyDescent="0.2">
      <c r="A7479" s="28">
        <v>7478</v>
      </c>
      <c r="B7479" s="28" t="e">
        <f>interpola(#REF!,CURVA!$B$6:$B$20,CURVA!$G$6:$G$20)</f>
        <v>#VALUE!</v>
      </c>
      <c r="C7479" s="29" t="e">
        <f t="shared" si="116"/>
        <v>#VALUE!</v>
      </c>
      <c r="E7479" t="e">
        <f>cubic_spline(CURVA!$B$6:$B$20,CURVA!$G$6:$G$20,#REF!)</f>
        <v>#VALUE!</v>
      </c>
    </row>
    <row r="7480" spans="1:5" x14ac:dyDescent="0.2">
      <c r="A7480" s="28">
        <v>7479</v>
      </c>
      <c r="B7480" s="28" t="e">
        <f>interpola(#REF!,CURVA!$B$6:$B$20,CURVA!$G$6:$G$20)</f>
        <v>#VALUE!</v>
      </c>
      <c r="C7480" s="29" t="e">
        <f t="shared" si="116"/>
        <v>#VALUE!</v>
      </c>
      <c r="E7480" t="e">
        <f>cubic_spline(CURVA!$B$6:$B$20,CURVA!$G$6:$G$20,#REF!)</f>
        <v>#VALUE!</v>
      </c>
    </row>
    <row r="7481" spans="1:5" x14ac:dyDescent="0.2">
      <c r="A7481" s="28">
        <v>7480</v>
      </c>
      <c r="B7481" s="28" t="e">
        <f>interpola(#REF!,CURVA!$B$6:$B$20,CURVA!$G$6:$G$20)</f>
        <v>#VALUE!</v>
      </c>
      <c r="C7481" s="29" t="e">
        <f t="shared" si="116"/>
        <v>#VALUE!</v>
      </c>
      <c r="E7481" t="e">
        <f>cubic_spline(CURVA!$B$6:$B$20,CURVA!$G$6:$G$20,#REF!)</f>
        <v>#VALUE!</v>
      </c>
    </row>
    <row r="7482" spans="1:5" x14ac:dyDescent="0.2">
      <c r="A7482" s="28">
        <v>7481</v>
      </c>
      <c r="B7482" s="28" t="e">
        <f>interpola(#REF!,CURVA!$B$6:$B$20,CURVA!$G$6:$G$20)</f>
        <v>#VALUE!</v>
      </c>
      <c r="C7482" s="29" t="e">
        <f t="shared" si="116"/>
        <v>#VALUE!</v>
      </c>
      <c r="E7482" t="e">
        <f>cubic_spline(CURVA!$B$6:$B$20,CURVA!$G$6:$G$20,#REF!)</f>
        <v>#VALUE!</v>
      </c>
    </row>
    <row r="7483" spans="1:5" x14ac:dyDescent="0.2">
      <c r="A7483" s="28">
        <v>7482</v>
      </c>
      <c r="B7483" s="28" t="e">
        <f>interpola(#REF!,CURVA!$B$6:$B$20,CURVA!$G$6:$G$20)</f>
        <v>#VALUE!</v>
      </c>
      <c r="C7483" s="29" t="e">
        <f t="shared" si="116"/>
        <v>#VALUE!</v>
      </c>
      <c r="E7483" t="e">
        <f>cubic_spline(CURVA!$B$6:$B$20,CURVA!$G$6:$G$20,#REF!)</f>
        <v>#VALUE!</v>
      </c>
    </row>
    <row r="7484" spans="1:5" x14ac:dyDescent="0.2">
      <c r="A7484" s="28">
        <v>7483</v>
      </c>
      <c r="B7484" s="28" t="e">
        <f>interpola(#REF!,CURVA!$B$6:$B$20,CURVA!$G$6:$G$20)</f>
        <v>#VALUE!</v>
      </c>
      <c r="C7484" s="29" t="e">
        <f t="shared" si="116"/>
        <v>#VALUE!</v>
      </c>
      <c r="E7484" t="e">
        <f>cubic_spline(CURVA!$B$6:$B$20,CURVA!$G$6:$G$20,#REF!)</f>
        <v>#VALUE!</v>
      </c>
    </row>
    <row r="7485" spans="1:5" x14ac:dyDescent="0.2">
      <c r="A7485" s="28">
        <v>7484</v>
      </c>
      <c r="B7485" s="28" t="e">
        <f>interpola(#REF!,CURVA!$B$6:$B$20,CURVA!$G$6:$G$20)</f>
        <v>#VALUE!</v>
      </c>
      <c r="C7485" s="29" t="e">
        <f t="shared" si="116"/>
        <v>#VALUE!</v>
      </c>
      <c r="E7485" t="e">
        <f>cubic_spline(CURVA!$B$6:$B$20,CURVA!$G$6:$G$20,#REF!)</f>
        <v>#VALUE!</v>
      </c>
    </row>
    <row r="7486" spans="1:5" x14ac:dyDescent="0.2">
      <c r="A7486" s="28">
        <v>7485</v>
      </c>
      <c r="B7486" s="28" t="e">
        <f>interpola(#REF!,CURVA!$B$6:$B$20,CURVA!$G$6:$G$20)</f>
        <v>#VALUE!</v>
      </c>
      <c r="C7486" s="29" t="e">
        <f t="shared" si="116"/>
        <v>#VALUE!</v>
      </c>
      <c r="E7486" t="e">
        <f>cubic_spline(CURVA!$B$6:$B$20,CURVA!$G$6:$G$20,#REF!)</f>
        <v>#VALUE!</v>
      </c>
    </row>
    <row r="7487" spans="1:5" x14ac:dyDescent="0.2">
      <c r="A7487" s="28">
        <v>7486</v>
      </c>
      <c r="B7487" s="28" t="e">
        <f>interpola(#REF!,CURVA!$B$6:$B$20,CURVA!$G$6:$G$20)</f>
        <v>#VALUE!</v>
      </c>
      <c r="C7487" s="29" t="e">
        <f t="shared" si="116"/>
        <v>#VALUE!</v>
      </c>
      <c r="E7487" t="e">
        <f>cubic_spline(CURVA!$B$6:$B$20,CURVA!$G$6:$G$20,#REF!)</f>
        <v>#VALUE!</v>
      </c>
    </row>
    <row r="7488" spans="1:5" x14ac:dyDescent="0.2">
      <c r="A7488" s="28">
        <v>7487</v>
      </c>
      <c r="B7488" s="28" t="e">
        <f>interpola(#REF!,CURVA!$B$6:$B$20,CURVA!$G$6:$G$20)</f>
        <v>#VALUE!</v>
      </c>
      <c r="C7488" s="29" t="e">
        <f t="shared" si="116"/>
        <v>#VALUE!</v>
      </c>
      <c r="E7488" t="e">
        <f>cubic_spline(CURVA!$B$6:$B$20,CURVA!$G$6:$G$20,#REF!)</f>
        <v>#VALUE!</v>
      </c>
    </row>
    <row r="7489" spans="1:5" x14ac:dyDescent="0.2">
      <c r="A7489" s="28">
        <v>7488</v>
      </c>
      <c r="B7489" s="28" t="e">
        <f>interpola(#REF!,CURVA!$B$6:$B$20,CURVA!$G$6:$G$20)</f>
        <v>#VALUE!</v>
      </c>
      <c r="C7489" s="29" t="e">
        <f t="shared" si="116"/>
        <v>#VALUE!</v>
      </c>
      <c r="E7489" t="e">
        <f>cubic_spline(CURVA!$B$6:$B$20,CURVA!$G$6:$G$20,#REF!)</f>
        <v>#VALUE!</v>
      </c>
    </row>
    <row r="7490" spans="1:5" x14ac:dyDescent="0.2">
      <c r="A7490" s="28">
        <v>7489</v>
      </c>
      <c r="B7490" s="28" t="e">
        <f>interpola(#REF!,CURVA!$B$6:$B$20,CURVA!$G$6:$G$20)</f>
        <v>#VALUE!</v>
      </c>
      <c r="C7490" s="29" t="e">
        <f t="shared" ref="C7490:C7553" si="117">(EXP(B7490*A7490/360)-1)*360/A7490</f>
        <v>#VALUE!</v>
      </c>
      <c r="E7490" t="e">
        <f>cubic_spline(CURVA!$B$6:$B$20,CURVA!$G$6:$G$20,#REF!)</f>
        <v>#VALUE!</v>
      </c>
    </row>
    <row r="7491" spans="1:5" x14ac:dyDescent="0.2">
      <c r="A7491" s="28">
        <v>7490</v>
      </c>
      <c r="B7491" s="28" t="e">
        <f>interpola(#REF!,CURVA!$B$6:$B$20,CURVA!$G$6:$G$20)</f>
        <v>#VALUE!</v>
      </c>
      <c r="C7491" s="29" t="e">
        <f t="shared" si="117"/>
        <v>#VALUE!</v>
      </c>
      <c r="E7491" t="e">
        <f>cubic_spline(CURVA!$B$6:$B$20,CURVA!$G$6:$G$20,#REF!)</f>
        <v>#VALUE!</v>
      </c>
    </row>
    <row r="7492" spans="1:5" x14ac:dyDescent="0.2">
      <c r="A7492" s="28">
        <v>7491</v>
      </c>
      <c r="B7492" s="28" t="e">
        <f>interpola(#REF!,CURVA!$B$6:$B$20,CURVA!$G$6:$G$20)</f>
        <v>#VALUE!</v>
      </c>
      <c r="C7492" s="29" t="e">
        <f t="shared" si="117"/>
        <v>#VALUE!</v>
      </c>
      <c r="E7492" t="e">
        <f>cubic_spline(CURVA!$B$6:$B$20,CURVA!$G$6:$G$20,#REF!)</f>
        <v>#VALUE!</v>
      </c>
    </row>
    <row r="7493" spans="1:5" x14ac:dyDescent="0.2">
      <c r="A7493" s="28">
        <v>7492</v>
      </c>
      <c r="B7493" s="28" t="e">
        <f>interpola(#REF!,CURVA!$B$6:$B$20,CURVA!$G$6:$G$20)</f>
        <v>#VALUE!</v>
      </c>
      <c r="C7493" s="29" t="e">
        <f t="shared" si="117"/>
        <v>#VALUE!</v>
      </c>
      <c r="E7493" t="e">
        <f>cubic_spline(CURVA!$B$6:$B$20,CURVA!$G$6:$G$20,#REF!)</f>
        <v>#VALUE!</v>
      </c>
    </row>
    <row r="7494" spans="1:5" x14ac:dyDescent="0.2">
      <c r="A7494" s="28">
        <v>7493</v>
      </c>
      <c r="B7494" s="28" t="e">
        <f>interpola(#REF!,CURVA!$B$6:$B$20,CURVA!$G$6:$G$20)</f>
        <v>#VALUE!</v>
      </c>
      <c r="C7494" s="29" t="e">
        <f t="shared" si="117"/>
        <v>#VALUE!</v>
      </c>
      <c r="E7494" t="e">
        <f>cubic_spline(CURVA!$B$6:$B$20,CURVA!$G$6:$G$20,#REF!)</f>
        <v>#VALUE!</v>
      </c>
    </row>
    <row r="7495" spans="1:5" x14ac:dyDescent="0.2">
      <c r="A7495" s="28">
        <v>7494</v>
      </c>
      <c r="B7495" s="28" t="e">
        <f>interpola(#REF!,CURVA!$B$6:$B$20,CURVA!$G$6:$G$20)</f>
        <v>#VALUE!</v>
      </c>
      <c r="C7495" s="29" t="e">
        <f t="shared" si="117"/>
        <v>#VALUE!</v>
      </c>
      <c r="E7495" t="e">
        <f>cubic_spline(CURVA!$B$6:$B$20,CURVA!$G$6:$G$20,#REF!)</f>
        <v>#VALUE!</v>
      </c>
    </row>
    <row r="7496" spans="1:5" x14ac:dyDescent="0.2">
      <c r="A7496" s="28">
        <v>7495</v>
      </c>
      <c r="B7496" s="28" t="e">
        <f>interpola(#REF!,CURVA!$B$6:$B$20,CURVA!$G$6:$G$20)</f>
        <v>#VALUE!</v>
      </c>
      <c r="C7496" s="29" t="e">
        <f t="shared" si="117"/>
        <v>#VALUE!</v>
      </c>
      <c r="E7496" t="e">
        <f>cubic_spline(CURVA!$B$6:$B$20,CURVA!$G$6:$G$20,#REF!)</f>
        <v>#VALUE!</v>
      </c>
    </row>
    <row r="7497" spans="1:5" x14ac:dyDescent="0.2">
      <c r="A7497" s="28">
        <v>7496</v>
      </c>
      <c r="B7497" s="28" t="e">
        <f>interpola(#REF!,CURVA!$B$6:$B$20,CURVA!$G$6:$G$20)</f>
        <v>#VALUE!</v>
      </c>
      <c r="C7497" s="29" t="e">
        <f t="shared" si="117"/>
        <v>#VALUE!</v>
      </c>
      <c r="E7497" t="e">
        <f>cubic_spline(CURVA!$B$6:$B$20,CURVA!$G$6:$G$20,#REF!)</f>
        <v>#VALUE!</v>
      </c>
    </row>
    <row r="7498" spans="1:5" x14ac:dyDescent="0.2">
      <c r="A7498" s="28">
        <v>7497</v>
      </c>
      <c r="B7498" s="28" t="e">
        <f>interpola(#REF!,CURVA!$B$6:$B$20,CURVA!$G$6:$G$20)</f>
        <v>#VALUE!</v>
      </c>
      <c r="C7498" s="29" t="e">
        <f t="shared" si="117"/>
        <v>#VALUE!</v>
      </c>
      <c r="E7498" t="e">
        <f>cubic_spline(CURVA!$B$6:$B$20,CURVA!$G$6:$G$20,#REF!)</f>
        <v>#VALUE!</v>
      </c>
    </row>
    <row r="7499" spans="1:5" x14ac:dyDescent="0.2">
      <c r="A7499" s="28">
        <v>7498</v>
      </c>
      <c r="B7499" s="28" t="e">
        <f>interpola(#REF!,CURVA!$B$6:$B$20,CURVA!$G$6:$G$20)</f>
        <v>#VALUE!</v>
      </c>
      <c r="C7499" s="29" t="e">
        <f t="shared" si="117"/>
        <v>#VALUE!</v>
      </c>
      <c r="E7499" t="e">
        <f>cubic_spline(CURVA!$B$6:$B$20,CURVA!$G$6:$G$20,#REF!)</f>
        <v>#VALUE!</v>
      </c>
    </row>
    <row r="7500" spans="1:5" x14ac:dyDescent="0.2">
      <c r="A7500" s="28">
        <v>7499</v>
      </c>
      <c r="B7500" s="28" t="e">
        <f>interpola(#REF!,CURVA!$B$6:$B$20,CURVA!$G$6:$G$20)</f>
        <v>#VALUE!</v>
      </c>
      <c r="C7500" s="29" t="e">
        <f t="shared" si="117"/>
        <v>#VALUE!</v>
      </c>
      <c r="E7500" t="e">
        <f>cubic_spline(CURVA!$B$6:$B$20,CURVA!$G$6:$G$20,#REF!)</f>
        <v>#VALUE!</v>
      </c>
    </row>
    <row r="7501" spans="1:5" x14ac:dyDescent="0.2">
      <c r="A7501" s="28">
        <v>7500</v>
      </c>
      <c r="B7501" s="28" t="e">
        <f>interpola(#REF!,CURVA!$B$6:$B$20,CURVA!$G$6:$G$20)</f>
        <v>#VALUE!</v>
      </c>
      <c r="C7501" s="29" t="e">
        <f t="shared" si="117"/>
        <v>#VALUE!</v>
      </c>
      <c r="E7501" t="e">
        <f>cubic_spline(CURVA!$B$6:$B$20,CURVA!$G$6:$G$20,#REF!)</f>
        <v>#VALUE!</v>
      </c>
    </row>
    <row r="7502" spans="1:5" x14ac:dyDescent="0.2">
      <c r="A7502" s="28">
        <v>7501</v>
      </c>
      <c r="B7502" s="28" t="e">
        <f>interpola(#REF!,CURVA!$B$6:$B$20,CURVA!$G$6:$G$20)</f>
        <v>#VALUE!</v>
      </c>
      <c r="C7502" s="29" t="e">
        <f t="shared" si="117"/>
        <v>#VALUE!</v>
      </c>
      <c r="E7502" t="e">
        <f>cubic_spline(CURVA!$B$6:$B$20,CURVA!$G$6:$G$20,#REF!)</f>
        <v>#VALUE!</v>
      </c>
    </row>
    <row r="7503" spans="1:5" x14ac:dyDescent="0.2">
      <c r="A7503" s="28">
        <v>7502</v>
      </c>
      <c r="B7503" s="28" t="e">
        <f>interpola(#REF!,CURVA!$B$6:$B$20,CURVA!$G$6:$G$20)</f>
        <v>#VALUE!</v>
      </c>
      <c r="C7503" s="29" t="e">
        <f t="shared" si="117"/>
        <v>#VALUE!</v>
      </c>
      <c r="E7503" t="e">
        <f>cubic_spline(CURVA!$B$6:$B$20,CURVA!$G$6:$G$20,#REF!)</f>
        <v>#VALUE!</v>
      </c>
    </row>
    <row r="7504" spans="1:5" x14ac:dyDescent="0.2">
      <c r="A7504" s="28">
        <v>7503</v>
      </c>
      <c r="B7504" s="28" t="e">
        <f>interpola(#REF!,CURVA!$B$6:$B$20,CURVA!$G$6:$G$20)</f>
        <v>#VALUE!</v>
      </c>
      <c r="C7504" s="29" t="e">
        <f t="shared" si="117"/>
        <v>#VALUE!</v>
      </c>
      <c r="E7504" t="e">
        <f>cubic_spline(CURVA!$B$6:$B$20,CURVA!$G$6:$G$20,#REF!)</f>
        <v>#VALUE!</v>
      </c>
    </row>
    <row r="7505" spans="1:5" x14ac:dyDescent="0.2">
      <c r="A7505" s="28">
        <v>7504</v>
      </c>
      <c r="B7505" s="28" t="e">
        <f>interpola(#REF!,CURVA!$B$6:$B$20,CURVA!$G$6:$G$20)</f>
        <v>#VALUE!</v>
      </c>
      <c r="C7505" s="29" t="e">
        <f t="shared" si="117"/>
        <v>#VALUE!</v>
      </c>
      <c r="E7505" t="e">
        <f>cubic_spline(CURVA!$B$6:$B$20,CURVA!$G$6:$G$20,#REF!)</f>
        <v>#VALUE!</v>
      </c>
    </row>
    <row r="7506" spans="1:5" x14ac:dyDescent="0.2">
      <c r="A7506" s="28">
        <v>7505</v>
      </c>
      <c r="B7506" s="28" t="e">
        <f>interpola(#REF!,CURVA!$B$6:$B$20,CURVA!$G$6:$G$20)</f>
        <v>#VALUE!</v>
      </c>
      <c r="C7506" s="29" t="e">
        <f t="shared" si="117"/>
        <v>#VALUE!</v>
      </c>
      <c r="E7506" t="e">
        <f>cubic_spline(CURVA!$B$6:$B$20,CURVA!$G$6:$G$20,#REF!)</f>
        <v>#VALUE!</v>
      </c>
    </row>
    <row r="7507" spans="1:5" x14ac:dyDescent="0.2">
      <c r="A7507" s="28">
        <v>7506</v>
      </c>
      <c r="B7507" s="28" t="e">
        <f>interpola(#REF!,CURVA!$B$6:$B$20,CURVA!$G$6:$G$20)</f>
        <v>#VALUE!</v>
      </c>
      <c r="C7507" s="29" t="e">
        <f t="shared" si="117"/>
        <v>#VALUE!</v>
      </c>
      <c r="E7507" t="e">
        <f>cubic_spline(CURVA!$B$6:$B$20,CURVA!$G$6:$G$20,#REF!)</f>
        <v>#VALUE!</v>
      </c>
    </row>
    <row r="7508" spans="1:5" x14ac:dyDescent="0.2">
      <c r="A7508" s="28">
        <v>7507</v>
      </c>
      <c r="B7508" s="28" t="e">
        <f>interpola(#REF!,CURVA!$B$6:$B$20,CURVA!$G$6:$G$20)</f>
        <v>#VALUE!</v>
      </c>
      <c r="C7508" s="29" t="e">
        <f t="shared" si="117"/>
        <v>#VALUE!</v>
      </c>
      <c r="E7508" t="e">
        <f>cubic_spline(CURVA!$B$6:$B$20,CURVA!$G$6:$G$20,#REF!)</f>
        <v>#VALUE!</v>
      </c>
    </row>
    <row r="7509" spans="1:5" x14ac:dyDescent="0.2">
      <c r="A7509" s="28">
        <v>7508</v>
      </c>
      <c r="B7509" s="28" t="e">
        <f>interpola(#REF!,CURVA!$B$6:$B$20,CURVA!$G$6:$G$20)</f>
        <v>#VALUE!</v>
      </c>
      <c r="C7509" s="29" t="e">
        <f t="shared" si="117"/>
        <v>#VALUE!</v>
      </c>
      <c r="E7509" t="e">
        <f>cubic_spline(CURVA!$B$6:$B$20,CURVA!$G$6:$G$20,#REF!)</f>
        <v>#VALUE!</v>
      </c>
    </row>
    <row r="7510" spans="1:5" x14ac:dyDescent="0.2">
      <c r="A7510" s="28">
        <v>7509</v>
      </c>
      <c r="B7510" s="28" t="e">
        <f>interpola(#REF!,CURVA!$B$6:$B$20,CURVA!$G$6:$G$20)</f>
        <v>#VALUE!</v>
      </c>
      <c r="C7510" s="29" t="e">
        <f t="shared" si="117"/>
        <v>#VALUE!</v>
      </c>
      <c r="E7510" t="e">
        <f>cubic_spline(CURVA!$B$6:$B$20,CURVA!$G$6:$G$20,#REF!)</f>
        <v>#VALUE!</v>
      </c>
    </row>
    <row r="7511" spans="1:5" x14ac:dyDescent="0.2">
      <c r="A7511" s="28">
        <v>7510</v>
      </c>
      <c r="B7511" s="28" t="e">
        <f>interpola(#REF!,CURVA!$B$6:$B$20,CURVA!$G$6:$G$20)</f>
        <v>#VALUE!</v>
      </c>
      <c r="C7511" s="29" t="e">
        <f t="shared" si="117"/>
        <v>#VALUE!</v>
      </c>
      <c r="E7511" t="e">
        <f>cubic_spline(CURVA!$B$6:$B$20,CURVA!$G$6:$G$20,#REF!)</f>
        <v>#VALUE!</v>
      </c>
    </row>
    <row r="7512" spans="1:5" x14ac:dyDescent="0.2">
      <c r="A7512" s="28">
        <v>7511</v>
      </c>
      <c r="B7512" s="28" t="e">
        <f>interpola(#REF!,CURVA!$B$6:$B$20,CURVA!$G$6:$G$20)</f>
        <v>#VALUE!</v>
      </c>
      <c r="C7512" s="29" t="e">
        <f t="shared" si="117"/>
        <v>#VALUE!</v>
      </c>
      <c r="E7512" t="e">
        <f>cubic_spline(CURVA!$B$6:$B$20,CURVA!$G$6:$G$20,#REF!)</f>
        <v>#VALUE!</v>
      </c>
    </row>
    <row r="7513" spans="1:5" x14ac:dyDescent="0.2">
      <c r="A7513" s="28">
        <v>7512</v>
      </c>
      <c r="B7513" s="28" t="e">
        <f>interpola(#REF!,CURVA!$B$6:$B$20,CURVA!$G$6:$G$20)</f>
        <v>#VALUE!</v>
      </c>
      <c r="C7513" s="29" t="e">
        <f t="shared" si="117"/>
        <v>#VALUE!</v>
      </c>
      <c r="E7513" t="e">
        <f>cubic_spline(CURVA!$B$6:$B$20,CURVA!$G$6:$G$20,#REF!)</f>
        <v>#VALUE!</v>
      </c>
    </row>
    <row r="7514" spans="1:5" x14ac:dyDescent="0.2">
      <c r="A7514" s="28">
        <v>7513</v>
      </c>
      <c r="B7514" s="28" t="e">
        <f>interpola(#REF!,CURVA!$B$6:$B$20,CURVA!$G$6:$G$20)</f>
        <v>#VALUE!</v>
      </c>
      <c r="C7514" s="29" t="e">
        <f t="shared" si="117"/>
        <v>#VALUE!</v>
      </c>
      <c r="E7514" t="e">
        <f>cubic_spline(CURVA!$B$6:$B$20,CURVA!$G$6:$G$20,#REF!)</f>
        <v>#VALUE!</v>
      </c>
    </row>
    <row r="7515" spans="1:5" x14ac:dyDescent="0.2">
      <c r="A7515" s="28">
        <v>7514</v>
      </c>
      <c r="B7515" s="28" t="e">
        <f>interpola(#REF!,CURVA!$B$6:$B$20,CURVA!$G$6:$G$20)</f>
        <v>#VALUE!</v>
      </c>
      <c r="C7515" s="29" t="e">
        <f t="shared" si="117"/>
        <v>#VALUE!</v>
      </c>
      <c r="E7515" t="e">
        <f>cubic_spline(CURVA!$B$6:$B$20,CURVA!$G$6:$G$20,#REF!)</f>
        <v>#VALUE!</v>
      </c>
    </row>
    <row r="7516" spans="1:5" x14ac:dyDescent="0.2">
      <c r="A7516" s="28">
        <v>7515</v>
      </c>
      <c r="B7516" s="28" t="e">
        <f>interpola(#REF!,CURVA!$B$6:$B$20,CURVA!$G$6:$G$20)</f>
        <v>#VALUE!</v>
      </c>
      <c r="C7516" s="29" t="e">
        <f t="shared" si="117"/>
        <v>#VALUE!</v>
      </c>
      <c r="E7516" t="e">
        <f>cubic_spline(CURVA!$B$6:$B$20,CURVA!$G$6:$G$20,#REF!)</f>
        <v>#VALUE!</v>
      </c>
    </row>
    <row r="7517" spans="1:5" x14ac:dyDescent="0.2">
      <c r="A7517" s="28">
        <v>7516</v>
      </c>
      <c r="B7517" s="28" t="e">
        <f>interpola(#REF!,CURVA!$B$6:$B$20,CURVA!$G$6:$G$20)</f>
        <v>#VALUE!</v>
      </c>
      <c r="C7517" s="29" t="e">
        <f t="shared" si="117"/>
        <v>#VALUE!</v>
      </c>
      <c r="E7517" t="e">
        <f>cubic_spline(CURVA!$B$6:$B$20,CURVA!$G$6:$G$20,#REF!)</f>
        <v>#VALUE!</v>
      </c>
    </row>
    <row r="7518" spans="1:5" x14ac:dyDescent="0.2">
      <c r="A7518" s="28">
        <v>7517</v>
      </c>
      <c r="B7518" s="28" t="e">
        <f>interpola(#REF!,CURVA!$B$6:$B$20,CURVA!$G$6:$G$20)</f>
        <v>#VALUE!</v>
      </c>
      <c r="C7518" s="29" t="e">
        <f t="shared" si="117"/>
        <v>#VALUE!</v>
      </c>
      <c r="E7518" t="e">
        <f>cubic_spline(CURVA!$B$6:$B$20,CURVA!$G$6:$G$20,#REF!)</f>
        <v>#VALUE!</v>
      </c>
    </row>
    <row r="7519" spans="1:5" x14ac:dyDescent="0.2">
      <c r="A7519" s="28">
        <v>7518</v>
      </c>
      <c r="B7519" s="28" t="e">
        <f>interpola(#REF!,CURVA!$B$6:$B$20,CURVA!$G$6:$G$20)</f>
        <v>#VALUE!</v>
      </c>
      <c r="C7519" s="29" t="e">
        <f t="shared" si="117"/>
        <v>#VALUE!</v>
      </c>
      <c r="E7519" t="e">
        <f>cubic_spline(CURVA!$B$6:$B$20,CURVA!$G$6:$G$20,#REF!)</f>
        <v>#VALUE!</v>
      </c>
    </row>
    <row r="7520" spans="1:5" x14ac:dyDescent="0.2">
      <c r="A7520" s="28">
        <v>7519</v>
      </c>
      <c r="B7520" s="28" t="e">
        <f>interpola(#REF!,CURVA!$B$6:$B$20,CURVA!$G$6:$G$20)</f>
        <v>#VALUE!</v>
      </c>
      <c r="C7520" s="29" t="e">
        <f t="shared" si="117"/>
        <v>#VALUE!</v>
      </c>
      <c r="E7520" t="e">
        <f>cubic_spline(CURVA!$B$6:$B$20,CURVA!$G$6:$G$20,#REF!)</f>
        <v>#VALUE!</v>
      </c>
    </row>
    <row r="7521" spans="1:5" x14ac:dyDescent="0.2">
      <c r="A7521" s="28">
        <v>7520</v>
      </c>
      <c r="B7521" s="28" t="e">
        <f>interpola(#REF!,CURVA!$B$6:$B$20,CURVA!$G$6:$G$20)</f>
        <v>#VALUE!</v>
      </c>
      <c r="C7521" s="29" t="e">
        <f t="shared" si="117"/>
        <v>#VALUE!</v>
      </c>
      <c r="E7521" t="e">
        <f>cubic_spline(CURVA!$B$6:$B$20,CURVA!$G$6:$G$20,#REF!)</f>
        <v>#VALUE!</v>
      </c>
    </row>
    <row r="7522" spans="1:5" x14ac:dyDescent="0.2">
      <c r="A7522" s="28">
        <v>7521</v>
      </c>
      <c r="B7522" s="28" t="e">
        <f>interpola(#REF!,CURVA!$B$6:$B$20,CURVA!$G$6:$G$20)</f>
        <v>#VALUE!</v>
      </c>
      <c r="C7522" s="29" t="e">
        <f t="shared" si="117"/>
        <v>#VALUE!</v>
      </c>
      <c r="E7522" t="e">
        <f>cubic_spline(CURVA!$B$6:$B$20,CURVA!$G$6:$G$20,#REF!)</f>
        <v>#VALUE!</v>
      </c>
    </row>
    <row r="7523" spans="1:5" x14ac:dyDescent="0.2">
      <c r="A7523" s="28">
        <v>7522</v>
      </c>
      <c r="B7523" s="28" t="e">
        <f>interpola(#REF!,CURVA!$B$6:$B$20,CURVA!$G$6:$G$20)</f>
        <v>#VALUE!</v>
      </c>
      <c r="C7523" s="29" t="e">
        <f t="shared" si="117"/>
        <v>#VALUE!</v>
      </c>
      <c r="E7523" t="e">
        <f>cubic_spline(CURVA!$B$6:$B$20,CURVA!$G$6:$G$20,#REF!)</f>
        <v>#VALUE!</v>
      </c>
    </row>
    <row r="7524" spans="1:5" x14ac:dyDescent="0.2">
      <c r="A7524" s="28">
        <v>7523</v>
      </c>
      <c r="B7524" s="28" t="e">
        <f>interpola(#REF!,CURVA!$B$6:$B$20,CURVA!$G$6:$G$20)</f>
        <v>#VALUE!</v>
      </c>
      <c r="C7524" s="29" t="e">
        <f t="shared" si="117"/>
        <v>#VALUE!</v>
      </c>
      <c r="E7524" t="e">
        <f>cubic_spline(CURVA!$B$6:$B$20,CURVA!$G$6:$G$20,#REF!)</f>
        <v>#VALUE!</v>
      </c>
    </row>
    <row r="7525" spans="1:5" x14ac:dyDescent="0.2">
      <c r="A7525" s="28">
        <v>7524</v>
      </c>
      <c r="B7525" s="28" t="e">
        <f>interpola(#REF!,CURVA!$B$6:$B$20,CURVA!$G$6:$G$20)</f>
        <v>#VALUE!</v>
      </c>
      <c r="C7525" s="29" t="e">
        <f t="shared" si="117"/>
        <v>#VALUE!</v>
      </c>
      <c r="E7525" t="e">
        <f>cubic_spline(CURVA!$B$6:$B$20,CURVA!$G$6:$G$20,#REF!)</f>
        <v>#VALUE!</v>
      </c>
    </row>
    <row r="7526" spans="1:5" x14ac:dyDescent="0.2">
      <c r="A7526" s="28">
        <v>7525</v>
      </c>
      <c r="B7526" s="28" t="e">
        <f>interpola(#REF!,CURVA!$B$6:$B$20,CURVA!$G$6:$G$20)</f>
        <v>#VALUE!</v>
      </c>
      <c r="C7526" s="29" t="e">
        <f t="shared" si="117"/>
        <v>#VALUE!</v>
      </c>
      <c r="E7526" t="e">
        <f>cubic_spline(CURVA!$B$6:$B$20,CURVA!$G$6:$G$20,#REF!)</f>
        <v>#VALUE!</v>
      </c>
    </row>
    <row r="7527" spans="1:5" x14ac:dyDescent="0.2">
      <c r="A7527" s="28">
        <v>7526</v>
      </c>
      <c r="B7527" s="28" t="e">
        <f>interpola(#REF!,CURVA!$B$6:$B$20,CURVA!$G$6:$G$20)</f>
        <v>#VALUE!</v>
      </c>
      <c r="C7527" s="29" t="e">
        <f t="shared" si="117"/>
        <v>#VALUE!</v>
      </c>
      <c r="E7527" t="e">
        <f>cubic_spline(CURVA!$B$6:$B$20,CURVA!$G$6:$G$20,#REF!)</f>
        <v>#VALUE!</v>
      </c>
    </row>
    <row r="7528" spans="1:5" x14ac:dyDescent="0.2">
      <c r="A7528" s="28">
        <v>7527</v>
      </c>
      <c r="B7528" s="28" t="e">
        <f>interpola(#REF!,CURVA!$B$6:$B$20,CURVA!$G$6:$G$20)</f>
        <v>#VALUE!</v>
      </c>
      <c r="C7528" s="29" t="e">
        <f t="shared" si="117"/>
        <v>#VALUE!</v>
      </c>
      <c r="E7528" t="e">
        <f>cubic_spline(CURVA!$B$6:$B$20,CURVA!$G$6:$G$20,#REF!)</f>
        <v>#VALUE!</v>
      </c>
    </row>
    <row r="7529" spans="1:5" x14ac:dyDescent="0.2">
      <c r="A7529" s="28">
        <v>7528</v>
      </c>
      <c r="B7529" s="28" t="e">
        <f>interpola(#REF!,CURVA!$B$6:$B$20,CURVA!$G$6:$G$20)</f>
        <v>#VALUE!</v>
      </c>
      <c r="C7529" s="29" t="e">
        <f t="shared" si="117"/>
        <v>#VALUE!</v>
      </c>
      <c r="E7529" t="e">
        <f>cubic_spline(CURVA!$B$6:$B$20,CURVA!$G$6:$G$20,#REF!)</f>
        <v>#VALUE!</v>
      </c>
    </row>
    <row r="7530" spans="1:5" x14ac:dyDescent="0.2">
      <c r="A7530" s="28">
        <v>7529</v>
      </c>
      <c r="B7530" s="28" t="e">
        <f>interpola(#REF!,CURVA!$B$6:$B$20,CURVA!$G$6:$G$20)</f>
        <v>#VALUE!</v>
      </c>
      <c r="C7530" s="29" t="e">
        <f t="shared" si="117"/>
        <v>#VALUE!</v>
      </c>
      <c r="E7530" t="e">
        <f>cubic_spline(CURVA!$B$6:$B$20,CURVA!$G$6:$G$20,#REF!)</f>
        <v>#VALUE!</v>
      </c>
    </row>
    <row r="7531" spans="1:5" x14ac:dyDescent="0.2">
      <c r="A7531" s="28">
        <v>7530</v>
      </c>
      <c r="B7531" s="28" t="e">
        <f>interpola(#REF!,CURVA!$B$6:$B$20,CURVA!$G$6:$G$20)</f>
        <v>#VALUE!</v>
      </c>
      <c r="C7531" s="29" t="e">
        <f t="shared" si="117"/>
        <v>#VALUE!</v>
      </c>
      <c r="E7531" t="e">
        <f>cubic_spline(CURVA!$B$6:$B$20,CURVA!$G$6:$G$20,#REF!)</f>
        <v>#VALUE!</v>
      </c>
    </row>
    <row r="7532" spans="1:5" x14ac:dyDescent="0.2">
      <c r="A7532" s="28">
        <v>7531</v>
      </c>
      <c r="B7532" s="28" t="e">
        <f>interpola(#REF!,CURVA!$B$6:$B$20,CURVA!$G$6:$G$20)</f>
        <v>#VALUE!</v>
      </c>
      <c r="C7532" s="29" t="e">
        <f t="shared" si="117"/>
        <v>#VALUE!</v>
      </c>
      <c r="E7532" t="e">
        <f>cubic_spline(CURVA!$B$6:$B$20,CURVA!$G$6:$G$20,#REF!)</f>
        <v>#VALUE!</v>
      </c>
    </row>
    <row r="7533" spans="1:5" x14ac:dyDescent="0.2">
      <c r="A7533" s="28">
        <v>7532</v>
      </c>
      <c r="B7533" s="28" t="e">
        <f>interpola(#REF!,CURVA!$B$6:$B$20,CURVA!$G$6:$G$20)</f>
        <v>#VALUE!</v>
      </c>
      <c r="C7533" s="29" t="e">
        <f t="shared" si="117"/>
        <v>#VALUE!</v>
      </c>
      <c r="E7533" t="e">
        <f>cubic_spline(CURVA!$B$6:$B$20,CURVA!$G$6:$G$20,#REF!)</f>
        <v>#VALUE!</v>
      </c>
    </row>
    <row r="7534" spans="1:5" x14ac:dyDescent="0.2">
      <c r="A7534" s="28">
        <v>7533</v>
      </c>
      <c r="B7534" s="28" t="e">
        <f>interpola(#REF!,CURVA!$B$6:$B$20,CURVA!$G$6:$G$20)</f>
        <v>#VALUE!</v>
      </c>
      <c r="C7534" s="29" t="e">
        <f t="shared" si="117"/>
        <v>#VALUE!</v>
      </c>
      <c r="E7534" t="e">
        <f>cubic_spline(CURVA!$B$6:$B$20,CURVA!$G$6:$G$20,#REF!)</f>
        <v>#VALUE!</v>
      </c>
    </row>
    <row r="7535" spans="1:5" x14ac:dyDescent="0.2">
      <c r="A7535" s="28">
        <v>7534</v>
      </c>
      <c r="B7535" s="28" t="e">
        <f>interpola(#REF!,CURVA!$B$6:$B$20,CURVA!$G$6:$G$20)</f>
        <v>#VALUE!</v>
      </c>
      <c r="C7535" s="29" t="e">
        <f t="shared" si="117"/>
        <v>#VALUE!</v>
      </c>
      <c r="E7535" t="e">
        <f>cubic_spline(CURVA!$B$6:$B$20,CURVA!$G$6:$G$20,#REF!)</f>
        <v>#VALUE!</v>
      </c>
    </row>
    <row r="7536" spans="1:5" x14ac:dyDescent="0.2">
      <c r="A7536" s="28">
        <v>7535</v>
      </c>
      <c r="B7536" s="28" t="e">
        <f>interpola(#REF!,CURVA!$B$6:$B$20,CURVA!$G$6:$G$20)</f>
        <v>#VALUE!</v>
      </c>
      <c r="C7536" s="29" t="e">
        <f t="shared" si="117"/>
        <v>#VALUE!</v>
      </c>
      <c r="E7536" t="e">
        <f>cubic_spline(CURVA!$B$6:$B$20,CURVA!$G$6:$G$20,#REF!)</f>
        <v>#VALUE!</v>
      </c>
    </row>
    <row r="7537" spans="1:5" x14ac:dyDescent="0.2">
      <c r="A7537" s="28">
        <v>7536</v>
      </c>
      <c r="B7537" s="28" t="e">
        <f>interpola(#REF!,CURVA!$B$6:$B$20,CURVA!$G$6:$G$20)</f>
        <v>#VALUE!</v>
      </c>
      <c r="C7537" s="29" t="e">
        <f t="shared" si="117"/>
        <v>#VALUE!</v>
      </c>
      <c r="E7537" t="e">
        <f>cubic_spline(CURVA!$B$6:$B$20,CURVA!$G$6:$G$20,#REF!)</f>
        <v>#VALUE!</v>
      </c>
    </row>
    <row r="7538" spans="1:5" x14ac:dyDescent="0.2">
      <c r="A7538" s="28">
        <v>7537</v>
      </c>
      <c r="B7538" s="28" t="e">
        <f>interpola(#REF!,CURVA!$B$6:$B$20,CURVA!$G$6:$G$20)</f>
        <v>#VALUE!</v>
      </c>
      <c r="C7538" s="29" t="e">
        <f t="shared" si="117"/>
        <v>#VALUE!</v>
      </c>
      <c r="E7538" t="e">
        <f>cubic_spline(CURVA!$B$6:$B$20,CURVA!$G$6:$G$20,#REF!)</f>
        <v>#VALUE!</v>
      </c>
    </row>
    <row r="7539" spans="1:5" x14ac:dyDescent="0.2">
      <c r="A7539" s="28">
        <v>7538</v>
      </c>
      <c r="B7539" s="28" t="e">
        <f>interpola(#REF!,CURVA!$B$6:$B$20,CURVA!$G$6:$G$20)</f>
        <v>#VALUE!</v>
      </c>
      <c r="C7539" s="29" t="e">
        <f t="shared" si="117"/>
        <v>#VALUE!</v>
      </c>
      <c r="E7539" t="e">
        <f>cubic_spline(CURVA!$B$6:$B$20,CURVA!$G$6:$G$20,#REF!)</f>
        <v>#VALUE!</v>
      </c>
    </row>
    <row r="7540" spans="1:5" x14ac:dyDescent="0.2">
      <c r="A7540" s="28">
        <v>7539</v>
      </c>
      <c r="B7540" s="28" t="e">
        <f>interpola(#REF!,CURVA!$B$6:$B$20,CURVA!$G$6:$G$20)</f>
        <v>#VALUE!</v>
      </c>
      <c r="C7540" s="29" t="e">
        <f t="shared" si="117"/>
        <v>#VALUE!</v>
      </c>
      <c r="E7540" t="e">
        <f>cubic_spline(CURVA!$B$6:$B$20,CURVA!$G$6:$G$20,#REF!)</f>
        <v>#VALUE!</v>
      </c>
    </row>
    <row r="7541" spans="1:5" x14ac:dyDescent="0.2">
      <c r="A7541" s="28">
        <v>7540</v>
      </c>
      <c r="B7541" s="28" t="e">
        <f>interpola(#REF!,CURVA!$B$6:$B$20,CURVA!$G$6:$G$20)</f>
        <v>#VALUE!</v>
      </c>
      <c r="C7541" s="29" t="e">
        <f t="shared" si="117"/>
        <v>#VALUE!</v>
      </c>
      <c r="E7541" t="e">
        <f>cubic_spline(CURVA!$B$6:$B$20,CURVA!$G$6:$G$20,#REF!)</f>
        <v>#VALUE!</v>
      </c>
    </row>
    <row r="7542" spans="1:5" x14ac:dyDescent="0.2">
      <c r="A7542" s="28">
        <v>7541</v>
      </c>
      <c r="B7542" s="28" t="e">
        <f>interpola(#REF!,CURVA!$B$6:$B$20,CURVA!$G$6:$G$20)</f>
        <v>#VALUE!</v>
      </c>
      <c r="C7542" s="29" t="e">
        <f t="shared" si="117"/>
        <v>#VALUE!</v>
      </c>
      <c r="E7542" t="e">
        <f>cubic_spline(CURVA!$B$6:$B$20,CURVA!$G$6:$G$20,#REF!)</f>
        <v>#VALUE!</v>
      </c>
    </row>
    <row r="7543" spans="1:5" x14ac:dyDescent="0.2">
      <c r="A7543" s="28">
        <v>7542</v>
      </c>
      <c r="B7543" s="28" t="e">
        <f>interpola(#REF!,CURVA!$B$6:$B$20,CURVA!$G$6:$G$20)</f>
        <v>#VALUE!</v>
      </c>
      <c r="C7543" s="29" t="e">
        <f t="shared" si="117"/>
        <v>#VALUE!</v>
      </c>
      <c r="E7543" t="e">
        <f>cubic_spline(CURVA!$B$6:$B$20,CURVA!$G$6:$G$20,#REF!)</f>
        <v>#VALUE!</v>
      </c>
    </row>
    <row r="7544" spans="1:5" x14ac:dyDescent="0.2">
      <c r="A7544" s="28">
        <v>7543</v>
      </c>
      <c r="B7544" s="28" t="e">
        <f>interpola(#REF!,CURVA!$B$6:$B$20,CURVA!$G$6:$G$20)</f>
        <v>#VALUE!</v>
      </c>
      <c r="C7544" s="29" t="e">
        <f t="shared" si="117"/>
        <v>#VALUE!</v>
      </c>
      <c r="E7544" t="e">
        <f>cubic_spline(CURVA!$B$6:$B$20,CURVA!$G$6:$G$20,#REF!)</f>
        <v>#VALUE!</v>
      </c>
    </row>
    <row r="7545" spans="1:5" x14ac:dyDescent="0.2">
      <c r="A7545" s="28">
        <v>7544</v>
      </c>
      <c r="B7545" s="28" t="e">
        <f>interpola(#REF!,CURVA!$B$6:$B$20,CURVA!$G$6:$G$20)</f>
        <v>#VALUE!</v>
      </c>
      <c r="C7545" s="29" t="e">
        <f t="shared" si="117"/>
        <v>#VALUE!</v>
      </c>
      <c r="E7545" t="e">
        <f>cubic_spline(CURVA!$B$6:$B$20,CURVA!$G$6:$G$20,#REF!)</f>
        <v>#VALUE!</v>
      </c>
    </row>
    <row r="7546" spans="1:5" x14ac:dyDescent="0.2">
      <c r="A7546" s="28">
        <v>7545</v>
      </c>
      <c r="B7546" s="28" t="e">
        <f>interpola(#REF!,CURVA!$B$6:$B$20,CURVA!$G$6:$G$20)</f>
        <v>#VALUE!</v>
      </c>
      <c r="C7546" s="29" t="e">
        <f t="shared" si="117"/>
        <v>#VALUE!</v>
      </c>
      <c r="E7546" t="e">
        <f>cubic_spline(CURVA!$B$6:$B$20,CURVA!$G$6:$G$20,#REF!)</f>
        <v>#VALUE!</v>
      </c>
    </row>
    <row r="7547" spans="1:5" x14ac:dyDescent="0.2">
      <c r="A7547" s="28">
        <v>7546</v>
      </c>
      <c r="B7547" s="28" t="e">
        <f>interpola(#REF!,CURVA!$B$6:$B$20,CURVA!$G$6:$G$20)</f>
        <v>#VALUE!</v>
      </c>
      <c r="C7547" s="29" t="e">
        <f t="shared" si="117"/>
        <v>#VALUE!</v>
      </c>
      <c r="E7547" t="e">
        <f>cubic_spline(CURVA!$B$6:$B$20,CURVA!$G$6:$G$20,#REF!)</f>
        <v>#VALUE!</v>
      </c>
    </row>
    <row r="7548" spans="1:5" x14ac:dyDescent="0.2">
      <c r="A7548" s="28">
        <v>7547</v>
      </c>
      <c r="B7548" s="28" t="e">
        <f>interpola(#REF!,CURVA!$B$6:$B$20,CURVA!$G$6:$G$20)</f>
        <v>#VALUE!</v>
      </c>
      <c r="C7548" s="29" t="e">
        <f t="shared" si="117"/>
        <v>#VALUE!</v>
      </c>
      <c r="E7548" t="e">
        <f>cubic_spline(CURVA!$B$6:$B$20,CURVA!$G$6:$G$20,#REF!)</f>
        <v>#VALUE!</v>
      </c>
    </row>
    <row r="7549" spans="1:5" x14ac:dyDescent="0.2">
      <c r="A7549" s="28">
        <v>7548</v>
      </c>
      <c r="B7549" s="28" t="e">
        <f>interpola(#REF!,CURVA!$B$6:$B$20,CURVA!$G$6:$G$20)</f>
        <v>#VALUE!</v>
      </c>
      <c r="C7549" s="29" t="e">
        <f t="shared" si="117"/>
        <v>#VALUE!</v>
      </c>
      <c r="E7549" t="e">
        <f>cubic_spline(CURVA!$B$6:$B$20,CURVA!$G$6:$G$20,#REF!)</f>
        <v>#VALUE!</v>
      </c>
    </row>
    <row r="7550" spans="1:5" x14ac:dyDescent="0.2">
      <c r="A7550" s="28">
        <v>7549</v>
      </c>
      <c r="B7550" s="28" t="e">
        <f>interpola(#REF!,CURVA!$B$6:$B$20,CURVA!$G$6:$G$20)</f>
        <v>#VALUE!</v>
      </c>
      <c r="C7550" s="29" t="e">
        <f t="shared" si="117"/>
        <v>#VALUE!</v>
      </c>
      <c r="E7550" t="e">
        <f>cubic_spline(CURVA!$B$6:$B$20,CURVA!$G$6:$G$20,#REF!)</f>
        <v>#VALUE!</v>
      </c>
    </row>
    <row r="7551" spans="1:5" x14ac:dyDescent="0.2">
      <c r="A7551" s="28">
        <v>7550</v>
      </c>
      <c r="B7551" s="28" t="e">
        <f>interpola(#REF!,CURVA!$B$6:$B$20,CURVA!$G$6:$G$20)</f>
        <v>#VALUE!</v>
      </c>
      <c r="C7551" s="29" t="e">
        <f t="shared" si="117"/>
        <v>#VALUE!</v>
      </c>
      <c r="E7551" t="e">
        <f>cubic_spline(CURVA!$B$6:$B$20,CURVA!$G$6:$G$20,#REF!)</f>
        <v>#VALUE!</v>
      </c>
    </row>
    <row r="7552" spans="1:5" x14ac:dyDescent="0.2">
      <c r="A7552" s="28">
        <v>7551</v>
      </c>
      <c r="B7552" s="28" t="e">
        <f>interpola(#REF!,CURVA!$B$6:$B$20,CURVA!$G$6:$G$20)</f>
        <v>#VALUE!</v>
      </c>
      <c r="C7552" s="29" t="e">
        <f t="shared" si="117"/>
        <v>#VALUE!</v>
      </c>
      <c r="E7552" t="e">
        <f>cubic_spline(CURVA!$B$6:$B$20,CURVA!$G$6:$G$20,#REF!)</f>
        <v>#VALUE!</v>
      </c>
    </row>
    <row r="7553" spans="1:5" x14ac:dyDescent="0.2">
      <c r="A7553" s="28">
        <v>7552</v>
      </c>
      <c r="B7553" s="28" t="e">
        <f>interpola(#REF!,CURVA!$B$6:$B$20,CURVA!$G$6:$G$20)</f>
        <v>#VALUE!</v>
      </c>
      <c r="C7553" s="29" t="e">
        <f t="shared" si="117"/>
        <v>#VALUE!</v>
      </c>
      <c r="E7553" t="e">
        <f>cubic_spline(CURVA!$B$6:$B$20,CURVA!$G$6:$G$20,#REF!)</f>
        <v>#VALUE!</v>
      </c>
    </row>
    <row r="7554" spans="1:5" x14ac:dyDescent="0.2">
      <c r="A7554" s="28">
        <v>7553</v>
      </c>
      <c r="B7554" s="28" t="e">
        <f>interpola(#REF!,CURVA!$B$6:$B$20,CURVA!$G$6:$G$20)</f>
        <v>#VALUE!</v>
      </c>
      <c r="C7554" s="29" t="e">
        <f t="shared" ref="C7554:C7617" si="118">(EXP(B7554*A7554/360)-1)*360/A7554</f>
        <v>#VALUE!</v>
      </c>
      <c r="E7554" t="e">
        <f>cubic_spline(CURVA!$B$6:$B$20,CURVA!$G$6:$G$20,#REF!)</f>
        <v>#VALUE!</v>
      </c>
    </row>
    <row r="7555" spans="1:5" x14ac:dyDescent="0.2">
      <c r="A7555" s="28">
        <v>7554</v>
      </c>
      <c r="B7555" s="28" t="e">
        <f>interpola(#REF!,CURVA!$B$6:$B$20,CURVA!$G$6:$G$20)</f>
        <v>#VALUE!</v>
      </c>
      <c r="C7555" s="29" t="e">
        <f t="shared" si="118"/>
        <v>#VALUE!</v>
      </c>
      <c r="E7555" t="e">
        <f>cubic_spline(CURVA!$B$6:$B$20,CURVA!$G$6:$G$20,#REF!)</f>
        <v>#VALUE!</v>
      </c>
    </row>
    <row r="7556" spans="1:5" x14ac:dyDescent="0.2">
      <c r="A7556" s="28">
        <v>7555</v>
      </c>
      <c r="B7556" s="28" t="e">
        <f>interpola(#REF!,CURVA!$B$6:$B$20,CURVA!$G$6:$G$20)</f>
        <v>#VALUE!</v>
      </c>
      <c r="C7556" s="29" t="e">
        <f t="shared" si="118"/>
        <v>#VALUE!</v>
      </c>
      <c r="E7556" t="e">
        <f>cubic_spline(CURVA!$B$6:$B$20,CURVA!$G$6:$G$20,#REF!)</f>
        <v>#VALUE!</v>
      </c>
    </row>
    <row r="7557" spans="1:5" x14ac:dyDescent="0.2">
      <c r="A7557" s="28">
        <v>7556</v>
      </c>
      <c r="B7557" s="28" t="e">
        <f>interpola(#REF!,CURVA!$B$6:$B$20,CURVA!$G$6:$G$20)</f>
        <v>#VALUE!</v>
      </c>
      <c r="C7557" s="29" t="e">
        <f t="shared" si="118"/>
        <v>#VALUE!</v>
      </c>
      <c r="E7557" t="e">
        <f>cubic_spline(CURVA!$B$6:$B$20,CURVA!$G$6:$G$20,#REF!)</f>
        <v>#VALUE!</v>
      </c>
    </row>
    <row r="7558" spans="1:5" x14ac:dyDescent="0.2">
      <c r="A7558" s="28">
        <v>7557</v>
      </c>
      <c r="B7558" s="28" t="e">
        <f>interpola(#REF!,CURVA!$B$6:$B$20,CURVA!$G$6:$G$20)</f>
        <v>#VALUE!</v>
      </c>
      <c r="C7558" s="29" t="e">
        <f t="shared" si="118"/>
        <v>#VALUE!</v>
      </c>
      <c r="E7558" t="e">
        <f>cubic_spline(CURVA!$B$6:$B$20,CURVA!$G$6:$G$20,#REF!)</f>
        <v>#VALUE!</v>
      </c>
    </row>
    <row r="7559" spans="1:5" x14ac:dyDescent="0.2">
      <c r="A7559" s="28">
        <v>7558</v>
      </c>
      <c r="B7559" s="28" t="e">
        <f>interpola(#REF!,CURVA!$B$6:$B$20,CURVA!$G$6:$G$20)</f>
        <v>#VALUE!</v>
      </c>
      <c r="C7559" s="29" t="e">
        <f t="shared" si="118"/>
        <v>#VALUE!</v>
      </c>
      <c r="E7559" t="e">
        <f>cubic_spline(CURVA!$B$6:$B$20,CURVA!$G$6:$G$20,#REF!)</f>
        <v>#VALUE!</v>
      </c>
    </row>
    <row r="7560" spans="1:5" x14ac:dyDescent="0.2">
      <c r="A7560" s="28">
        <v>7559</v>
      </c>
      <c r="B7560" s="28" t="e">
        <f>interpola(#REF!,CURVA!$B$6:$B$20,CURVA!$G$6:$G$20)</f>
        <v>#VALUE!</v>
      </c>
      <c r="C7560" s="29" t="e">
        <f t="shared" si="118"/>
        <v>#VALUE!</v>
      </c>
      <c r="E7560" t="e">
        <f>cubic_spline(CURVA!$B$6:$B$20,CURVA!$G$6:$G$20,#REF!)</f>
        <v>#VALUE!</v>
      </c>
    </row>
    <row r="7561" spans="1:5" x14ac:dyDescent="0.2">
      <c r="A7561" s="28">
        <v>7560</v>
      </c>
      <c r="B7561" s="28" t="e">
        <f>interpola(#REF!,CURVA!$B$6:$B$20,CURVA!$G$6:$G$20)</f>
        <v>#VALUE!</v>
      </c>
      <c r="C7561" s="29" t="e">
        <f t="shared" si="118"/>
        <v>#VALUE!</v>
      </c>
      <c r="E7561" t="e">
        <f>cubic_spline(CURVA!$B$6:$B$20,CURVA!$G$6:$G$20,#REF!)</f>
        <v>#VALUE!</v>
      </c>
    </row>
    <row r="7562" spans="1:5" x14ac:dyDescent="0.2">
      <c r="A7562" s="28">
        <v>7561</v>
      </c>
      <c r="B7562" s="28" t="e">
        <f>interpola(#REF!,CURVA!$B$6:$B$20,CURVA!$G$6:$G$20)</f>
        <v>#VALUE!</v>
      </c>
      <c r="C7562" s="29" t="e">
        <f t="shared" si="118"/>
        <v>#VALUE!</v>
      </c>
      <c r="E7562" t="e">
        <f>cubic_spline(CURVA!$B$6:$B$20,CURVA!$G$6:$G$20,#REF!)</f>
        <v>#VALUE!</v>
      </c>
    </row>
    <row r="7563" spans="1:5" x14ac:dyDescent="0.2">
      <c r="A7563" s="28">
        <v>7562</v>
      </c>
      <c r="B7563" s="28" t="e">
        <f>interpola(#REF!,CURVA!$B$6:$B$20,CURVA!$G$6:$G$20)</f>
        <v>#VALUE!</v>
      </c>
      <c r="C7563" s="29" t="e">
        <f t="shared" si="118"/>
        <v>#VALUE!</v>
      </c>
      <c r="E7563" t="e">
        <f>cubic_spline(CURVA!$B$6:$B$20,CURVA!$G$6:$G$20,#REF!)</f>
        <v>#VALUE!</v>
      </c>
    </row>
    <row r="7564" spans="1:5" x14ac:dyDescent="0.2">
      <c r="A7564" s="28">
        <v>7563</v>
      </c>
      <c r="B7564" s="28" t="e">
        <f>interpola(#REF!,CURVA!$B$6:$B$20,CURVA!$G$6:$G$20)</f>
        <v>#VALUE!</v>
      </c>
      <c r="C7564" s="29" t="e">
        <f t="shared" si="118"/>
        <v>#VALUE!</v>
      </c>
      <c r="E7564" t="e">
        <f>cubic_spline(CURVA!$B$6:$B$20,CURVA!$G$6:$G$20,#REF!)</f>
        <v>#VALUE!</v>
      </c>
    </row>
    <row r="7565" spans="1:5" x14ac:dyDescent="0.2">
      <c r="A7565" s="28">
        <v>7564</v>
      </c>
      <c r="B7565" s="28" t="e">
        <f>interpola(#REF!,CURVA!$B$6:$B$20,CURVA!$G$6:$G$20)</f>
        <v>#VALUE!</v>
      </c>
      <c r="C7565" s="29" t="e">
        <f t="shared" si="118"/>
        <v>#VALUE!</v>
      </c>
      <c r="E7565" t="e">
        <f>cubic_spline(CURVA!$B$6:$B$20,CURVA!$G$6:$G$20,#REF!)</f>
        <v>#VALUE!</v>
      </c>
    </row>
    <row r="7566" spans="1:5" x14ac:dyDescent="0.2">
      <c r="A7566" s="28">
        <v>7565</v>
      </c>
      <c r="B7566" s="28" t="e">
        <f>interpola(#REF!,CURVA!$B$6:$B$20,CURVA!$G$6:$G$20)</f>
        <v>#VALUE!</v>
      </c>
      <c r="C7566" s="29" t="e">
        <f t="shared" si="118"/>
        <v>#VALUE!</v>
      </c>
      <c r="E7566" t="e">
        <f>cubic_spline(CURVA!$B$6:$B$20,CURVA!$G$6:$G$20,#REF!)</f>
        <v>#VALUE!</v>
      </c>
    </row>
    <row r="7567" spans="1:5" x14ac:dyDescent="0.2">
      <c r="A7567" s="28">
        <v>7566</v>
      </c>
      <c r="B7567" s="28" t="e">
        <f>interpola(#REF!,CURVA!$B$6:$B$20,CURVA!$G$6:$G$20)</f>
        <v>#VALUE!</v>
      </c>
      <c r="C7567" s="29" t="e">
        <f t="shared" si="118"/>
        <v>#VALUE!</v>
      </c>
      <c r="E7567" t="e">
        <f>cubic_spline(CURVA!$B$6:$B$20,CURVA!$G$6:$G$20,#REF!)</f>
        <v>#VALUE!</v>
      </c>
    </row>
    <row r="7568" spans="1:5" x14ac:dyDescent="0.2">
      <c r="A7568" s="28">
        <v>7567</v>
      </c>
      <c r="B7568" s="28" t="e">
        <f>interpola(#REF!,CURVA!$B$6:$B$20,CURVA!$G$6:$G$20)</f>
        <v>#VALUE!</v>
      </c>
      <c r="C7568" s="29" t="e">
        <f t="shared" si="118"/>
        <v>#VALUE!</v>
      </c>
      <c r="E7568" t="e">
        <f>cubic_spline(CURVA!$B$6:$B$20,CURVA!$G$6:$G$20,#REF!)</f>
        <v>#VALUE!</v>
      </c>
    </row>
    <row r="7569" spans="1:5" x14ac:dyDescent="0.2">
      <c r="A7569" s="28">
        <v>7568</v>
      </c>
      <c r="B7569" s="28" t="e">
        <f>interpola(#REF!,CURVA!$B$6:$B$20,CURVA!$G$6:$G$20)</f>
        <v>#VALUE!</v>
      </c>
      <c r="C7569" s="29" t="e">
        <f t="shared" si="118"/>
        <v>#VALUE!</v>
      </c>
      <c r="E7569" t="e">
        <f>cubic_spline(CURVA!$B$6:$B$20,CURVA!$G$6:$G$20,#REF!)</f>
        <v>#VALUE!</v>
      </c>
    </row>
    <row r="7570" spans="1:5" x14ac:dyDescent="0.2">
      <c r="A7570" s="28">
        <v>7569</v>
      </c>
      <c r="B7570" s="28" t="e">
        <f>interpola(#REF!,CURVA!$B$6:$B$20,CURVA!$G$6:$G$20)</f>
        <v>#VALUE!</v>
      </c>
      <c r="C7570" s="29" t="e">
        <f t="shared" si="118"/>
        <v>#VALUE!</v>
      </c>
      <c r="E7570" t="e">
        <f>cubic_spline(CURVA!$B$6:$B$20,CURVA!$G$6:$G$20,#REF!)</f>
        <v>#VALUE!</v>
      </c>
    </row>
    <row r="7571" spans="1:5" x14ac:dyDescent="0.2">
      <c r="A7571" s="28">
        <v>7570</v>
      </c>
      <c r="B7571" s="28" t="e">
        <f>interpola(#REF!,CURVA!$B$6:$B$20,CURVA!$G$6:$G$20)</f>
        <v>#VALUE!</v>
      </c>
      <c r="C7571" s="29" t="e">
        <f t="shared" si="118"/>
        <v>#VALUE!</v>
      </c>
      <c r="E7571" t="e">
        <f>cubic_spline(CURVA!$B$6:$B$20,CURVA!$G$6:$G$20,#REF!)</f>
        <v>#VALUE!</v>
      </c>
    </row>
    <row r="7572" spans="1:5" x14ac:dyDescent="0.2">
      <c r="A7572" s="28">
        <v>7571</v>
      </c>
      <c r="B7572" s="28" t="e">
        <f>interpola(#REF!,CURVA!$B$6:$B$20,CURVA!$G$6:$G$20)</f>
        <v>#VALUE!</v>
      </c>
      <c r="C7572" s="29" t="e">
        <f t="shared" si="118"/>
        <v>#VALUE!</v>
      </c>
      <c r="E7572" t="e">
        <f>cubic_spline(CURVA!$B$6:$B$20,CURVA!$G$6:$G$20,#REF!)</f>
        <v>#VALUE!</v>
      </c>
    </row>
    <row r="7573" spans="1:5" x14ac:dyDescent="0.2">
      <c r="A7573" s="28">
        <v>7572</v>
      </c>
      <c r="B7573" s="28" t="e">
        <f>interpola(#REF!,CURVA!$B$6:$B$20,CURVA!$G$6:$G$20)</f>
        <v>#VALUE!</v>
      </c>
      <c r="C7573" s="29" t="e">
        <f t="shared" si="118"/>
        <v>#VALUE!</v>
      </c>
      <c r="E7573" t="e">
        <f>cubic_spline(CURVA!$B$6:$B$20,CURVA!$G$6:$G$20,#REF!)</f>
        <v>#VALUE!</v>
      </c>
    </row>
    <row r="7574" spans="1:5" x14ac:dyDescent="0.2">
      <c r="A7574" s="28">
        <v>7573</v>
      </c>
      <c r="B7574" s="28" t="e">
        <f>interpola(#REF!,CURVA!$B$6:$B$20,CURVA!$G$6:$G$20)</f>
        <v>#VALUE!</v>
      </c>
      <c r="C7574" s="29" t="e">
        <f t="shared" si="118"/>
        <v>#VALUE!</v>
      </c>
      <c r="E7574" t="e">
        <f>cubic_spline(CURVA!$B$6:$B$20,CURVA!$G$6:$G$20,#REF!)</f>
        <v>#VALUE!</v>
      </c>
    </row>
    <row r="7575" spans="1:5" x14ac:dyDescent="0.2">
      <c r="A7575" s="28">
        <v>7574</v>
      </c>
      <c r="B7575" s="28" t="e">
        <f>interpola(#REF!,CURVA!$B$6:$B$20,CURVA!$G$6:$G$20)</f>
        <v>#VALUE!</v>
      </c>
      <c r="C7575" s="29" t="e">
        <f t="shared" si="118"/>
        <v>#VALUE!</v>
      </c>
      <c r="E7575" t="e">
        <f>cubic_spline(CURVA!$B$6:$B$20,CURVA!$G$6:$G$20,#REF!)</f>
        <v>#VALUE!</v>
      </c>
    </row>
    <row r="7576" spans="1:5" x14ac:dyDescent="0.2">
      <c r="A7576" s="28">
        <v>7575</v>
      </c>
      <c r="B7576" s="28" t="e">
        <f>interpola(#REF!,CURVA!$B$6:$B$20,CURVA!$G$6:$G$20)</f>
        <v>#VALUE!</v>
      </c>
      <c r="C7576" s="29" t="e">
        <f t="shared" si="118"/>
        <v>#VALUE!</v>
      </c>
      <c r="E7576" t="e">
        <f>cubic_spline(CURVA!$B$6:$B$20,CURVA!$G$6:$G$20,#REF!)</f>
        <v>#VALUE!</v>
      </c>
    </row>
    <row r="7577" spans="1:5" x14ac:dyDescent="0.2">
      <c r="A7577" s="28">
        <v>7576</v>
      </c>
      <c r="B7577" s="28" t="e">
        <f>interpola(#REF!,CURVA!$B$6:$B$20,CURVA!$G$6:$G$20)</f>
        <v>#VALUE!</v>
      </c>
      <c r="C7577" s="29" t="e">
        <f t="shared" si="118"/>
        <v>#VALUE!</v>
      </c>
      <c r="E7577" t="e">
        <f>cubic_spline(CURVA!$B$6:$B$20,CURVA!$G$6:$G$20,#REF!)</f>
        <v>#VALUE!</v>
      </c>
    </row>
    <row r="7578" spans="1:5" x14ac:dyDescent="0.2">
      <c r="A7578" s="28">
        <v>7577</v>
      </c>
      <c r="B7578" s="28" t="e">
        <f>interpola(#REF!,CURVA!$B$6:$B$20,CURVA!$G$6:$G$20)</f>
        <v>#VALUE!</v>
      </c>
      <c r="C7578" s="29" t="e">
        <f t="shared" si="118"/>
        <v>#VALUE!</v>
      </c>
      <c r="E7578" t="e">
        <f>cubic_spline(CURVA!$B$6:$B$20,CURVA!$G$6:$G$20,#REF!)</f>
        <v>#VALUE!</v>
      </c>
    </row>
    <row r="7579" spans="1:5" x14ac:dyDescent="0.2">
      <c r="A7579" s="28">
        <v>7578</v>
      </c>
      <c r="B7579" s="28" t="e">
        <f>interpola(#REF!,CURVA!$B$6:$B$20,CURVA!$G$6:$G$20)</f>
        <v>#VALUE!</v>
      </c>
      <c r="C7579" s="29" t="e">
        <f t="shared" si="118"/>
        <v>#VALUE!</v>
      </c>
      <c r="E7579" t="e">
        <f>cubic_spline(CURVA!$B$6:$B$20,CURVA!$G$6:$G$20,#REF!)</f>
        <v>#VALUE!</v>
      </c>
    </row>
    <row r="7580" spans="1:5" x14ac:dyDescent="0.2">
      <c r="A7580" s="28">
        <v>7579</v>
      </c>
      <c r="B7580" s="28" t="e">
        <f>interpola(#REF!,CURVA!$B$6:$B$20,CURVA!$G$6:$G$20)</f>
        <v>#VALUE!</v>
      </c>
      <c r="C7580" s="29" t="e">
        <f t="shared" si="118"/>
        <v>#VALUE!</v>
      </c>
      <c r="E7580" t="e">
        <f>cubic_spline(CURVA!$B$6:$B$20,CURVA!$G$6:$G$20,#REF!)</f>
        <v>#VALUE!</v>
      </c>
    </row>
    <row r="7581" spans="1:5" x14ac:dyDescent="0.2">
      <c r="A7581" s="28">
        <v>7580</v>
      </c>
      <c r="B7581" s="28" t="e">
        <f>interpola(#REF!,CURVA!$B$6:$B$20,CURVA!$G$6:$G$20)</f>
        <v>#VALUE!</v>
      </c>
      <c r="C7581" s="29" t="e">
        <f t="shared" si="118"/>
        <v>#VALUE!</v>
      </c>
      <c r="E7581" t="e">
        <f>cubic_spline(CURVA!$B$6:$B$20,CURVA!$G$6:$G$20,#REF!)</f>
        <v>#VALUE!</v>
      </c>
    </row>
    <row r="7582" spans="1:5" x14ac:dyDescent="0.2">
      <c r="A7582" s="28">
        <v>7581</v>
      </c>
      <c r="B7582" s="28" t="e">
        <f>interpola(#REF!,CURVA!$B$6:$B$20,CURVA!$G$6:$G$20)</f>
        <v>#VALUE!</v>
      </c>
      <c r="C7582" s="29" t="e">
        <f t="shared" si="118"/>
        <v>#VALUE!</v>
      </c>
      <c r="E7582" t="e">
        <f>cubic_spline(CURVA!$B$6:$B$20,CURVA!$G$6:$G$20,#REF!)</f>
        <v>#VALUE!</v>
      </c>
    </row>
    <row r="7583" spans="1:5" x14ac:dyDescent="0.2">
      <c r="A7583" s="28">
        <v>7582</v>
      </c>
      <c r="B7583" s="28" t="e">
        <f>interpola(#REF!,CURVA!$B$6:$B$20,CURVA!$G$6:$G$20)</f>
        <v>#VALUE!</v>
      </c>
      <c r="C7583" s="29" t="e">
        <f t="shared" si="118"/>
        <v>#VALUE!</v>
      </c>
      <c r="E7583" t="e">
        <f>cubic_spline(CURVA!$B$6:$B$20,CURVA!$G$6:$G$20,#REF!)</f>
        <v>#VALUE!</v>
      </c>
    </row>
    <row r="7584" spans="1:5" x14ac:dyDescent="0.2">
      <c r="A7584" s="28">
        <v>7583</v>
      </c>
      <c r="B7584" s="28" t="e">
        <f>interpola(#REF!,CURVA!$B$6:$B$20,CURVA!$G$6:$G$20)</f>
        <v>#VALUE!</v>
      </c>
      <c r="C7584" s="29" t="e">
        <f t="shared" si="118"/>
        <v>#VALUE!</v>
      </c>
      <c r="E7584" t="e">
        <f>cubic_spline(CURVA!$B$6:$B$20,CURVA!$G$6:$G$20,#REF!)</f>
        <v>#VALUE!</v>
      </c>
    </row>
    <row r="7585" spans="1:5" x14ac:dyDescent="0.2">
      <c r="A7585" s="28">
        <v>7584</v>
      </c>
      <c r="B7585" s="28" t="e">
        <f>interpola(#REF!,CURVA!$B$6:$B$20,CURVA!$G$6:$G$20)</f>
        <v>#VALUE!</v>
      </c>
      <c r="C7585" s="29" t="e">
        <f t="shared" si="118"/>
        <v>#VALUE!</v>
      </c>
      <c r="E7585" t="e">
        <f>cubic_spline(CURVA!$B$6:$B$20,CURVA!$G$6:$G$20,#REF!)</f>
        <v>#VALUE!</v>
      </c>
    </row>
    <row r="7586" spans="1:5" x14ac:dyDescent="0.2">
      <c r="A7586" s="28">
        <v>7585</v>
      </c>
      <c r="B7586" s="28" t="e">
        <f>interpola(#REF!,CURVA!$B$6:$B$20,CURVA!$G$6:$G$20)</f>
        <v>#VALUE!</v>
      </c>
      <c r="C7586" s="29" t="e">
        <f t="shared" si="118"/>
        <v>#VALUE!</v>
      </c>
      <c r="E7586" t="e">
        <f>cubic_spline(CURVA!$B$6:$B$20,CURVA!$G$6:$G$20,#REF!)</f>
        <v>#VALUE!</v>
      </c>
    </row>
    <row r="7587" spans="1:5" x14ac:dyDescent="0.2">
      <c r="A7587" s="28">
        <v>7586</v>
      </c>
      <c r="B7587" s="28" t="e">
        <f>interpola(#REF!,CURVA!$B$6:$B$20,CURVA!$G$6:$G$20)</f>
        <v>#VALUE!</v>
      </c>
      <c r="C7587" s="29" t="e">
        <f t="shared" si="118"/>
        <v>#VALUE!</v>
      </c>
      <c r="E7587" t="e">
        <f>cubic_spline(CURVA!$B$6:$B$20,CURVA!$G$6:$G$20,#REF!)</f>
        <v>#VALUE!</v>
      </c>
    </row>
    <row r="7588" spans="1:5" x14ac:dyDescent="0.2">
      <c r="A7588" s="28">
        <v>7587</v>
      </c>
      <c r="B7588" s="28" t="e">
        <f>interpola(#REF!,CURVA!$B$6:$B$20,CURVA!$G$6:$G$20)</f>
        <v>#VALUE!</v>
      </c>
      <c r="C7588" s="29" t="e">
        <f t="shared" si="118"/>
        <v>#VALUE!</v>
      </c>
      <c r="E7588" t="e">
        <f>cubic_spline(CURVA!$B$6:$B$20,CURVA!$G$6:$G$20,#REF!)</f>
        <v>#VALUE!</v>
      </c>
    </row>
    <row r="7589" spans="1:5" x14ac:dyDescent="0.2">
      <c r="A7589" s="28">
        <v>7588</v>
      </c>
      <c r="B7589" s="28" t="e">
        <f>interpola(#REF!,CURVA!$B$6:$B$20,CURVA!$G$6:$G$20)</f>
        <v>#VALUE!</v>
      </c>
      <c r="C7589" s="29" t="e">
        <f t="shared" si="118"/>
        <v>#VALUE!</v>
      </c>
      <c r="E7589" t="e">
        <f>cubic_spline(CURVA!$B$6:$B$20,CURVA!$G$6:$G$20,#REF!)</f>
        <v>#VALUE!</v>
      </c>
    </row>
    <row r="7590" spans="1:5" x14ac:dyDescent="0.2">
      <c r="A7590" s="28">
        <v>7589</v>
      </c>
      <c r="B7590" s="28" t="e">
        <f>interpola(#REF!,CURVA!$B$6:$B$20,CURVA!$G$6:$G$20)</f>
        <v>#VALUE!</v>
      </c>
      <c r="C7590" s="29" t="e">
        <f t="shared" si="118"/>
        <v>#VALUE!</v>
      </c>
      <c r="E7590" t="e">
        <f>cubic_spline(CURVA!$B$6:$B$20,CURVA!$G$6:$G$20,#REF!)</f>
        <v>#VALUE!</v>
      </c>
    </row>
    <row r="7591" spans="1:5" x14ac:dyDescent="0.2">
      <c r="A7591" s="28">
        <v>7590</v>
      </c>
      <c r="B7591" s="28" t="e">
        <f>interpola(#REF!,CURVA!$B$6:$B$20,CURVA!$G$6:$G$20)</f>
        <v>#VALUE!</v>
      </c>
      <c r="C7591" s="29" t="e">
        <f t="shared" si="118"/>
        <v>#VALUE!</v>
      </c>
      <c r="E7591" t="e">
        <f>cubic_spline(CURVA!$B$6:$B$20,CURVA!$G$6:$G$20,#REF!)</f>
        <v>#VALUE!</v>
      </c>
    </row>
    <row r="7592" spans="1:5" x14ac:dyDescent="0.2">
      <c r="A7592" s="28">
        <v>7591</v>
      </c>
      <c r="B7592" s="28" t="e">
        <f>interpola(#REF!,CURVA!$B$6:$B$20,CURVA!$G$6:$G$20)</f>
        <v>#VALUE!</v>
      </c>
      <c r="C7592" s="29" t="e">
        <f t="shared" si="118"/>
        <v>#VALUE!</v>
      </c>
      <c r="E7592" t="e">
        <f>cubic_spline(CURVA!$B$6:$B$20,CURVA!$G$6:$G$20,#REF!)</f>
        <v>#VALUE!</v>
      </c>
    </row>
    <row r="7593" spans="1:5" x14ac:dyDescent="0.2">
      <c r="A7593" s="28">
        <v>7592</v>
      </c>
      <c r="B7593" s="28" t="e">
        <f>interpola(#REF!,CURVA!$B$6:$B$20,CURVA!$G$6:$G$20)</f>
        <v>#VALUE!</v>
      </c>
      <c r="C7593" s="29" t="e">
        <f t="shared" si="118"/>
        <v>#VALUE!</v>
      </c>
      <c r="E7593" t="e">
        <f>cubic_spline(CURVA!$B$6:$B$20,CURVA!$G$6:$G$20,#REF!)</f>
        <v>#VALUE!</v>
      </c>
    </row>
    <row r="7594" spans="1:5" x14ac:dyDescent="0.2">
      <c r="A7594" s="28">
        <v>7593</v>
      </c>
      <c r="B7594" s="28" t="e">
        <f>interpola(#REF!,CURVA!$B$6:$B$20,CURVA!$G$6:$G$20)</f>
        <v>#VALUE!</v>
      </c>
      <c r="C7594" s="29" t="e">
        <f t="shared" si="118"/>
        <v>#VALUE!</v>
      </c>
      <c r="E7594" t="e">
        <f>cubic_spline(CURVA!$B$6:$B$20,CURVA!$G$6:$G$20,#REF!)</f>
        <v>#VALUE!</v>
      </c>
    </row>
    <row r="7595" spans="1:5" x14ac:dyDescent="0.2">
      <c r="A7595" s="28">
        <v>7594</v>
      </c>
      <c r="B7595" s="28" t="e">
        <f>interpola(#REF!,CURVA!$B$6:$B$20,CURVA!$G$6:$G$20)</f>
        <v>#VALUE!</v>
      </c>
      <c r="C7595" s="29" t="e">
        <f t="shared" si="118"/>
        <v>#VALUE!</v>
      </c>
      <c r="E7595" t="e">
        <f>cubic_spline(CURVA!$B$6:$B$20,CURVA!$G$6:$G$20,#REF!)</f>
        <v>#VALUE!</v>
      </c>
    </row>
    <row r="7596" spans="1:5" x14ac:dyDescent="0.2">
      <c r="A7596" s="28">
        <v>7595</v>
      </c>
      <c r="B7596" s="28" t="e">
        <f>interpola(#REF!,CURVA!$B$6:$B$20,CURVA!$G$6:$G$20)</f>
        <v>#VALUE!</v>
      </c>
      <c r="C7596" s="29" t="e">
        <f t="shared" si="118"/>
        <v>#VALUE!</v>
      </c>
      <c r="E7596" t="e">
        <f>cubic_spline(CURVA!$B$6:$B$20,CURVA!$G$6:$G$20,#REF!)</f>
        <v>#VALUE!</v>
      </c>
    </row>
    <row r="7597" spans="1:5" x14ac:dyDescent="0.2">
      <c r="A7597" s="28">
        <v>7596</v>
      </c>
      <c r="B7597" s="28" t="e">
        <f>interpola(#REF!,CURVA!$B$6:$B$20,CURVA!$G$6:$G$20)</f>
        <v>#VALUE!</v>
      </c>
      <c r="C7597" s="29" t="e">
        <f t="shared" si="118"/>
        <v>#VALUE!</v>
      </c>
      <c r="E7597" t="e">
        <f>cubic_spline(CURVA!$B$6:$B$20,CURVA!$G$6:$G$20,#REF!)</f>
        <v>#VALUE!</v>
      </c>
    </row>
    <row r="7598" spans="1:5" x14ac:dyDescent="0.2">
      <c r="A7598" s="28">
        <v>7597</v>
      </c>
      <c r="B7598" s="28" t="e">
        <f>interpola(#REF!,CURVA!$B$6:$B$20,CURVA!$G$6:$G$20)</f>
        <v>#VALUE!</v>
      </c>
      <c r="C7598" s="29" t="e">
        <f t="shared" si="118"/>
        <v>#VALUE!</v>
      </c>
      <c r="E7598" t="e">
        <f>cubic_spline(CURVA!$B$6:$B$20,CURVA!$G$6:$G$20,#REF!)</f>
        <v>#VALUE!</v>
      </c>
    </row>
    <row r="7599" spans="1:5" x14ac:dyDescent="0.2">
      <c r="A7599" s="28">
        <v>7598</v>
      </c>
      <c r="B7599" s="28" t="e">
        <f>interpola(#REF!,CURVA!$B$6:$B$20,CURVA!$G$6:$G$20)</f>
        <v>#VALUE!</v>
      </c>
      <c r="C7599" s="29" t="e">
        <f t="shared" si="118"/>
        <v>#VALUE!</v>
      </c>
      <c r="E7599" t="e">
        <f>cubic_spline(CURVA!$B$6:$B$20,CURVA!$G$6:$G$20,#REF!)</f>
        <v>#VALUE!</v>
      </c>
    </row>
    <row r="7600" spans="1:5" x14ac:dyDescent="0.2">
      <c r="A7600" s="28">
        <v>7599</v>
      </c>
      <c r="B7600" s="28" t="e">
        <f>interpola(#REF!,CURVA!$B$6:$B$20,CURVA!$G$6:$G$20)</f>
        <v>#VALUE!</v>
      </c>
      <c r="C7600" s="29" t="e">
        <f t="shared" si="118"/>
        <v>#VALUE!</v>
      </c>
      <c r="E7600" t="e">
        <f>cubic_spline(CURVA!$B$6:$B$20,CURVA!$G$6:$G$20,#REF!)</f>
        <v>#VALUE!</v>
      </c>
    </row>
    <row r="7601" spans="1:5" x14ac:dyDescent="0.2">
      <c r="A7601" s="28">
        <v>7600</v>
      </c>
      <c r="B7601" s="28" t="e">
        <f>interpola(#REF!,CURVA!$B$6:$B$20,CURVA!$G$6:$G$20)</f>
        <v>#VALUE!</v>
      </c>
      <c r="C7601" s="29" t="e">
        <f t="shared" si="118"/>
        <v>#VALUE!</v>
      </c>
      <c r="E7601" t="e">
        <f>cubic_spline(CURVA!$B$6:$B$20,CURVA!$G$6:$G$20,#REF!)</f>
        <v>#VALUE!</v>
      </c>
    </row>
    <row r="7602" spans="1:5" x14ac:dyDescent="0.2">
      <c r="A7602" s="28">
        <v>7601</v>
      </c>
      <c r="B7602" s="28" t="e">
        <f>interpola(#REF!,CURVA!$B$6:$B$20,CURVA!$G$6:$G$20)</f>
        <v>#VALUE!</v>
      </c>
      <c r="C7602" s="29" t="e">
        <f t="shared" si="118"/>
        <v>#VALUE!</v>
      </c>
      <c r="E7602" t="e">
        <f>cubic_spline(CURVA!$B$6:$B$20,CURVA!$G$6:$G$20,#REF!)</f>
        <v>#VALUE!</v>
      </c>
    </row>
    <row r="7603" spans="1:5" x14ac:dyDescent="0.2">
      <c r="A7603" s="28">
        <v>7602</v>
      </c>
      <c r="B7603" s="28" t="e">
        <f>interpola(#REF!,CURVA!$B$6:$B$20,CURVA!$G$6:$G$20)</f>
        <v>#VALUE!</v>
      </c>
      <c r="C7603" s="29" t="e">
        <f t="shared" si="118"/>
        <v>#VALUE!</v>
      </c>
      <c r="E7603" t="e">
        <f>cubic_spline(CURVA!$B$6:$B$20,CURVA!$G$6:$G$20,#REF!)</f>
        <v>#VALUE!</v>
      </c>
    </row>
    <row r="7604" spans="1:5" x14ac:dyDescent="0.2">
      <c r="A7604" s="28">
        <v>7603</v>
      </c>
      <c r="B7604" s="28" t="e">
        <f>interpola(#REF!,CURVA!$B$6:$B$20,CURVA!$G$6:$G$20)</f>
        <v>#VALUE!</v>
      </c>
      <c r="C7604" s="29" t="e">
        <f t="shared" si="118"/>
        <v>#VALUE!</v>
      </c>
      <c r="E7604" t="e">
        <f>cubic_spline(CURVA!$B$6:$B$20,CURVA!$G$6:$G$20,#REF!)</f>
        <v>#VALUE!</v>
      </c>
    </row>
    <row r="7605" spans="1:5" x14ac:dyDescent="0.2">
      <c r="A7605" s="28">
        <v>7604</v>
      </c>
      <c r="B7605" s="28" t="e">
        <f>interpola(#REF!,CURVA!$B$6:$B$20,CURVA!$G$6:$G$20)</f>
        <v>#VALUE!</v>
      </c>
      <c r="C7605" s="29" t="e">
        <f t="shared" si="118"/>
        <v>#VALUE!</v>
      </c>
      <c r="E7605" t="e">
        <f>cubic_spline(CURVA!$B$6:$B$20,CURVA!$G$6:$G$20,#REF!)</f>
        <v>#VALUE!</v>
      </c>
    </row>
    <row r="7606" spans="1:5" x14ac:dyDescent="0.2">
      <c r="A7606" s="28">
        <v>7605</v>
      </c>
      <c r="B7606" s="28" t="e">
        <f>interpola(#REF!,CURVA!$B$6:$B$20,CURVA!$G$6:$G$20)</f>
        <v>#VALUE!</v>
      </c>
      <c r="C7606" s="29" t="e">
        <f t="shared" si="118"/>
        <v>#VALUE!</v>
      </c>
      <c r="E7606" t="e">
        <f>cubic_spline(CURVA!$B$6:$B$20,CURVA!$G$6:$G$20,#REF!)</f>
        <v>#VALUE!</v>
      </c>
    </row>
    <row r="7607" spans="1:5" x14ac:dyDescent="0.2">
      <c r="A7607" s="28">
        <v>7606</v>
      </c>
      <c r="B7607" s="28" t="e">
        <f>interpola(#REF!,CURVA!$B$6:$B$20,CURVA!$G$6:$G$20)</f>
        <v>#VALUE!</v>
      </c>
      <c r="C7607" s="29" t="e">
        <f t="shared" si="118"/>
        <v>#VALUE!</v>
      </c>
      <c r="E7607" t="e">
        <f>cubic_spline(CURVA!$B$6:$B$20,CURVA!$G$6:$G$20,#REF!)</f>
        <v>#VALUE!</v>
      </c>
    </row>
    <row r="7608" spans="1:5" x14ac:dyDescent="0.2">
      <c r="A7608" s="28">
        <v>7607</v>
      </c>
      <c r="B7608" s="28" t="e">
        <f>interpola(#REF!,CURVA!$B$6:$B$20,CURVA!$G$6:$G$20)</f>
        <v>#VALUE!</v>
      </c>
      <c r="C7608" s="29" t="e">
        <f t="shared" si="118"/>
        <v>#VALUE!</v>
      </c>
      <c r="E7608" t="e">
        <f>cubic_spline(CURVA!$B$6:$B$20,CURVA!$G$6:$G$20,#REF!)</f>
        <v>#VALUE!</v>
      </c>
    </row>
    <row r="7609" spans="1:5" x14ac:dyDescent="0.2">
      <c r="A7609" s="28">
        <v>7608</v>
      </c>
      <c r="B7609" s="28" t="e">
        <f>interpola(#REF!,CURVA!$B$6:$B$20,CURVA!$G$6:$G$20)</f>
        <v>#VALUE!</v>
      </c>
      <c r="C7609" s="29" t="e">
        <f t="shared" si="118"/>
        <v>#VALUE!</v>
      </c>
      <c r="E7609" t="e">
        <f>cubic_spline(CURVA!$B$6:$B$20,CURVA!$G$6:$G$20,#REF!)</f>
        <v>#VALUE!</v>
      </c>
    </row>
    <row r="7610" spans="1:5" x14ac:dyDescent="0.2">
      <c r="A7610" s="28">
        <v>7609</v>
      </c>
      <c r="B7610" s="28" t="e">
        <f>interpola(#REF!,CURVA!$B$6:$B$20,CURVA!$G$6:$G$20)</f>
        <v>#VALUE!</v>
      </c>
      <c r="C7610" s="29" t="e">
        <f t="shared" si="118"/>
        <v>#VALUE!</v>
      </c>
      <c r="E7610" t="e">
        <f>cubic_spline(CURVA!$B$6:$B$20,CURVA!$G$6:$G$20,#REF!)</f>
        <v>#VALUE!</v>
      </c>
    </row>
    <row r="7611" spans="1:5" x14ac:dyDescent="0.2">
      <c r="A7611" s="28">
        <v>7610</v>
      </c>
      <c r="B7611" s="28" t="e">
        <f>interpola(#REF!,CURVA!$B$6:$B$20,CURVA!$G$6:$G$20)</f>
        <v>#VALUE!</v>
      </c>
      <c r="C7611" s="29" t="e">
        <f t="shared" si="118"/>
        <v>#VALUE!</v>
      </c>
      <c r="E7611" t="e">
        <f>cubic_spline(CURVA!$B$6:$B$20,CURVA!$G$6:$G$20,#REF!)</f>
        <v>#VALUE!</v>
      </c>
    </row>
    <row r="7612" spans="1:5" x14ac:dyDescent="0.2">
      <c r="A7612" s="28">
        <v>7611</v>
      </c>
      <c r="B7612" s="28" t="e">
        <f>interpola(#REF!,CURVA!$B$6:$B$20,CURVA!$G$6:$G$20)</f>
        <v>#VALUE!</v>
      </c>
      <c r="C7612" s="29" t="e">
        <f t="shared" si="118"/>
        <v>#VALUE!</v>
      </c>
      <c r="E7612" t="e">
        <f>cubic_spline(CURVA!$B$6:$B$20,CURVA!$G$6:$G$20,#REF!)</f>
        <v>#VALUE!</v>
      </c>
    </row>
    <row r="7613" spans="1:5" x14ac:dyDescent="0.2">
      <c r="A7613" s="28">
        <v>7612</v>
      </c>
      <c r="B7613" s="28" t="e">
        <f>interpola(#REF!,CURVA!$B$6:$B$20,CURVA!$G$6:$G$20)</f>
        <v>#VALUE!</v>
      </c>
      <c r="C7613" s="29" t="e">
        <f t="shared" si="118"/>
        <v>#VALUE!</v>
      </c>
      <c r="E7613" t="e">
        <f>cubic_spline(CURVA!$B$6:$B$20,CURVA!$G$6:$G$20,#REF!)</f>
        <v>#VALUE!</v>
      </c>
    </row>
    <row r="7614" spans="1:5" x14ac:dyDescent="0.2">
      <c r="A7614" s="28">
        <v>7613</v>
      </c>
      <c r="B7614" s="28" t="e">
        <f>interpola(#REF!,CURVA!$B$6:$B$20,CURVA!$G$6:$G$20)</f>
        <v>#VALUE!</v>
      </c>
      <c r="C7614" s="29" t="e">
        <f t="shared" si="118"/>
        <v>#VALUE!</v>
      </c>
      <c r="E7614" t="e">
        <f>cubic_spline(CURVA!$B$6:$B$20,CURVA!$G$6:$G$20,#REF!)</f>
        <v>#VALUE!</v>
      </c>
    </row>
    <row r="7615" spans="1:5" x14ac:dyDescent="0.2">
      <c r="A7615" s="28">
        <v>7614</v>
      </c>
      <c r="B7615" s="28" t="e">
        <f>interpola(#REF!,CURVA!$B$6:$B$20,CURVA!$G$6:$G$20)</f>
        <v>#VALUE!</v>
      </c>
      <c r="C7615" s="29" t="e">
        <f t="shared" si="118"/>
        <v>#VALUE!</v>
      </c>
      <c r="E7615" t="e">
        <f>cubic_spline(CURVA!$B$6:$B$20,CURVA!$G$6:$G$20,#REF!)</f>
        <v>#VALUE!</v>
      </c>
    </row>
    <row r="7616" spans="1:5" x14ac:dyDescent="0.2">
      <c r="A7616" s="28">
        <v>7615</v>
      </c>
      <c r="B7616" s="28" t="e">
        <f>interpola(#REF!,CURVA!$B$6:$B$20,CURVA!$G$6:$G$20)</f>
        <v>#VALUE!</v>
      </c>
      <c r="C7616" s="29" t="e">
        <f t="shared" si="118"/>
        <v>#VALUE!</v>
      </c>
      <c r="E7616" t="e">
        <f>cubic_spline(CURVA!$B$6:$B$20,CURVA!$G$6:$G$20,#REF!)</f>
        <v>#VALUE!</v>
      </c>
    </row>
    <row r="7617" spans="1:5" x14ac:dyDescent="0.2">
      <c r="A7617" s="28">
        <v>7616</v>
      </c>
      <c r="B7617" s="28" t="e">
        <f>interpola(#REF!,CURVA!$B$6:$B$20,CURVA!$G$6:$G$20)</f>
        <v>#VALUE!</v>
      </c>
      <c r="C7617" s="29" t="e">
        <f t="shared" si="118"/>
        <v>#VALUE!</v>
      </c>
      <c r="E7617" t="e">
        <f>cubic_spline(CURVA!$B$6:$B$20,CURVA!$G$6:$G$20,#REF!)</f>
        <v>#VALUE!</v>
      </c>
    </row>
    <row r="7618" spans="1:5" x14ac:dyDescent="0.2">
      <c r="A7618" s="28">
        <v>7617</v>
      </c>
      <c r="B7618" s="28" t="e">
        <f>interpola(#REF!,CURVA!$B$6:$B$20,CURVA!$G$6:$G$20)</f>
        <v>#VALUE!</v>
      </c>
      <c r="C7618" s="29" t="e">
        <f t="shared" ref="C7618:C7681" si="119">(EXP(B7618*A7618/360)-1)*360/A7618</f>
        <v>#VALUE!</v>
      </c>
      <c r="E7618" t="e">
        <f>cubic_spline(CURVA!$B$6:$B$20,CURVA!$G$6:$G$20,#REF!)</f>
        <v>#VALUE!</v>
      </c>
    </row>
    <row r="7619" spans="1:5" x14ac:dyDescent="0.2">
      <c r="A7619" s="28">
        <v>7618</v>
      </c>
      <c r="B7619" s="28" t="e">
        <f>interpola(#REF!,CURVA!$B$6:$B$20,CURVA!$G$6:$G$20)</f>
        <v>#VALUE!</v>
      </c>
      <c r="C7619" s="29" t="e">
        <f t="shared" si="119"/>
        <v>#VALUE!</v>
      </c>
      <c r="E7619" t="e">
        <f>cubic_spline(CURVA!$B$6:$B$20,CURVA!$G$6:$G$20,#REF!)</f>
        <v>#VALUE!</v>
      </c>
    </row>
    <row r="7620" spans="1:5" x14ac:dyDescent="0.2">
      <c r="A7620" s="28">
        <v>7619</v>
      </c>
      <c r="B7620" s="28" t="e">
        <f>interpola(#REF!,CURVA!$B$6:$B$20,CURVA!$G$6:$G$20)</f>
        <v>#VALUE!</v>
      </c>
      <c r="C7620" s="29" t="e">
        <f t="shared" si="119"/>
        <v>#VALUE!</v>
      </c>
      <c r="E7620" t="e">
        <f>cubic_spline(CURVA!$B$6:$B$20,CURVA!$G$6:$G$20,#REF!)</f>
        <v>#VALUE!</v>
      </c>
    </row>
    <row r="7621" spans="1:5" x14ac:dyDescent="0.2">
      <c r="A7621" s="28">
        <v>7620</v>
      </c>
      <c r="B7621" s="28" t="e">
        <f>interpola(#REF!,CURVA!$B$6:$B$20,CURVA!$G$6:$G$20)</f>
        <v>#VALUE!</v>
      </c>
      <c r="C7621" s="29" t="e">
        <f t="shared" si="119"/>
        <v>#VALUE!</v>
      </c>
      <c r="E7621" t="e">
        <f>cubic_spline(CURVA!$B$6:$B$20,CURVA!$G$6:$G$20,#REF!)</f>
        <v>#VALUE!</v>
      </c>
    </row>
    <row r="7622" spans="1:5" x14ac:dyDescent="0.2">
      <c r="A7622" s="28">
        <v>7621</v>
      </c>
      <c r="B7622" s="28" t="e">
        <f>interpola(#REF!,CURVA!$B$6:$B$20,CURVA!$G$6:$G$20)</f>
        <v>#VALUE!</v>
      </c>
      <c r="C7622" s="29" t="e">
        <f t="shared" si="119"/>
        <v>#VALUE!</v>
      </c>
      <c r="E7622" t="e">
        <f>cubic_spline(CURVA!$B$6:$B$20,CURVA!$G$6:$G$20,#REF!)</f>
        <v>#VALUE!</v>
      </c>
    </row>
    <row r="7623" spans="1:5" x14ac:dyDescent="0.2">
      <c r="A7623" s="28">
        <v>7622</v>
      </c>
      <c r="B7623" s="28" t="e">
        <f>interpola(#REF!,CURVA!$B$6:$B$20,CURVA!$G$6:$G$20)</f>
        <v>#VALUE!</v>
      </c>
      <c r="C7623" s="29" t="e">
        <f t="shared" si="119"/>
        <v>#VALUE!</v>
      </c>
      <c r="E7623" t="e">
        <f>cubic_spline(CURVA!$B$6:$B$20,CURVA!$G$6:$G$20,#REF!)</f>
        <v>#VALUE!</v>
      </c>
    </row>
    <row r="7624" spans="1:5" x14ac:dyDescent="0.2">
      <c r="A7624" s="28">
        <v>7623</v>
      </c>
      <c r="B7624" s="28" t="e">
        <f>interpola(#REF!,CURVA!$B$6:$B$20,CURVA!$G$6:$G$20)</f>
        <v>#VALUE!</v>
      </c>
      <c r="C7624" s="29" t="e">
        <f t="shared" si="119"/>
        <v>#VALUE!</v>
      </c>
      <c r="E7624" t="e">
        <f>cubic_spline(CURVA!$B$6:$B$20,CURVA!$G$6:$G$20,#REF!)</f>
        <v>#VALUE!</v>
      </c>
    </row>
    <row r="7625" spans="1:5" x14ac:dyDescent="0.2">
      <c r="A7625" s="28">
        <v>7624</v>
      </c>
      <c r="B7625" s="28" t="e">
        <f>interpola(#REF!,CURVA!$B$6:$B$20,CURVA!$G$6:$G$20)</f>
        <v>#VALUE!</v>
      </c>
      <c r="C7625" s="29" t="e">
        <f t="shared" si="119"/>
        <v>#VALUE!</v>
      </c>
      <c r="E7625" t="e">
        <f>cubic_spline(CURVA!$B$6:$B$20,CURVA!$G$6:$G$20,#REF!)</f>
        <v>#VALUE!</v>
      </c>
    </row>
    <row r="7626" spans="1:5" x14ac:dyDescent="0.2">
      <c r="A7626" s="28">
        <v>7625</v>
      </c>
      <c r="B7626" s="28" t="e">
        <f>interpola(#REF!,CURVA!$B$6:$B$20,CURVA!$G$6:$G$20)</f>
        <v>#VALUE!</v>
      </c>
      <c r="C7626" s="29" t="e">
        <f t="shared" si="119"/>
        <v>#VALUE!</v>
      </c>
      <c r="E7626" t="e">
        <f>cubic_spline(CURVA!$B$6:$B$20,CURVA!$G$6:$G$20,#REF!)</f>
        <v>#VALUE!</v>
      </c>
    </row>
    <row r="7627" spans="1:5" x14ac:dyDescent="0.2">
      <c r="A7627" s="28">
        <v>7626</v>
      </c>
      <c r="B7627" s="28" t="e">
        <f>interpola(#REF!,CURVA!$B$6:$B$20,CURVA!$G$6:$G$20)</f>
        <v>#VALUE!</v>
      </c>
      <c r="C7627" s="29" t="e">
        <f t="shared" si="119"/>
        <v>#VALUE!</v>
      </c>
      <c r="E7627" t="e">
        <f>cubic_spline(CURVA!$B$6:$B$20,CURVA!$G$6:$G$20,#REF!)</f>
        <v>#VALUE!</v>
      </c>
    </row>
    <row r="7628" spans="1:5" x14ac:dyDescent="0.2">
      <c r="A7628" s="28">
        <v>7627</v>
      </c>
      <c r="B7628" s="28" t="e">
        <f>interpola(#REF!,CURVA!$B$6:$B$20,CURVA!$G$6:$G$20)</f>
        <v>#VALUE!</v>
      </c>
      <c r="C7628" s="29" t="e">
        <f t="shared" si="119"/>
        <v>#VALUE!</v>
      </c>
      <c r="E7628" t="e">
        <f>cubic_spline(CURVA!$B$6:$B$20,CURVA!$G$6:$G$20,#REF!)</f>
        <v>#VALUE!</v>
      </c>
    </row>
    <row r="7629" spans="1:5" x14ac:dyDescent="0.2">
      <c r="A7629" s="28">
        <v>7628</v>
      </c>
      <c r="B7629" s="28" t="e">
        <f>interpola(#REF!,CURVA!$B$6:$B$20,CURVA!$G$6:$G$20)</f>
        <v>#VALUE!</v>
      </c>
      <c r="C7629" s="29" t="e">
        <f t="shared" si="119"/>
        <v>#VALUE!</v>
      </c>
      <c r="E7629" t="e">
        <f>cubic_spline(CURVA!$B$6:$B$20,CURVA!$G$6:$G$20,#REF!)</f>
        <v>#VALUE!</v>
      </c>
    </row>
    <row r="7630" spans="1:5" x14ac:dyDescent="0.2">
      <c r="A7630" s="28">
        <v>7629</v>
      </c>
      <c r="B7630" s="28" t="e">
        <f>interpola(#REF!,CURVA!$B$6:$B$20,CURVA!$G$6:$G$20)</f>
        <v>#VALUE!</v>
      </c>
      <c r="C7630" s="29" t="e">
        <f t="shared" si="119"/>
        <v>#VALUE!</v>
      </c>
      <c r="E7630" t="e">
        <f>cubic_spline(CURVA!$B$6:$B$20,CURVA!$G$6:$G$20,#REF!)</f>
        <v>#VALUE!</v>
      </c>
    </row>
    <row r="7631" spans="1:5" x14ac:dyDescent="0.2">
      <c r="A7631" s="28">
        <v>7630</v>
      </c>
      <c r="B7631" s="28" t="e">
        <f>interpola(#REF!,CURVA!$B$6:$B$20,CURVA!$G$6:$G$20)</f>
        <v>#VALUE!</v>
      </c>
      <c r="C7631" s="29" t="e">
        <f t="shared" si="119"/>
        <v>#VALUE!</v>
      </c>
      <c r="E7631" t="e">
        <f>cubic_spline(CURVA!$B$6:$B$20,CURVA!$G$6:$G$20,#REF!)</f>
        <v>#VALUE!</v>
      </c>
    </row>
    <row r="7632" spans="1:5" x14ac:dyDescent="0.2">
      <c r="A7632" s="28">
        <v>7631</v>
      </c>
      <c r="B7632" s="28" t="e">
        <f>interpola(#REF!,CURVA!$B$6:$B$20,CURVA!$G$6:$G$20)</f>
        <v>#VALUE!</v>
      </c>
      <c r="C7632" s="29" t="e">
        <f t="shared" si="119"/>
        <v>#VALUE!</v>
      </c>
      <c r="E7632" t="e">
        <f>cubic_spline(CURVA!$B$6:$B$20,CURVA!$G$6:$G$20,#REF!)</f>
        <v>#VALUE!</v>
      </c>
    </row>
    <row r="7633" spans="1:5" x14ac:dyDescent="0.2">
      <c r="A7633" s="28">
        <v>7632</v>
      </c>
      <c r="B7633" s="28" t="e">
        <f>interpola(#REF!,CURVA!$B$6:$B$20,CURVA!$G$6:$G$20)</f>
        <v>#VALUE!</v>
      </c>
      <c r="C7633" s="29" t="e">
        <f t="shared" si="119"/>
        <v>#VALUE!</v>
      </c>
      <c r="E7633" t="e">
        <f>cubic_spline(CURVA!$B$6:$B$20,CURVA!$G$6:$G$20,#REF!)</f>
        <v>#VALUE!</v>
      </c>
    </row>
    <row r="7634" spans="1:5" x14ac:dyDescent="0.2">
      <c r="A7634" s="28">
        <v>7633</v>
      </c>
      <c r="B7634" s="28" t="e">
        <f>interpola(#REF!,CURVA!$B$6:$B$20,CURVA!$G$6:$G$20)</f>
        <v>#VALUE!</v>
      </c>
      <c r="C7634" s="29" t="e">
        <f t="shared" si="119"/>
        <v>#VALUE!</v>
      </c>
      <c r="E7634" t="e">
        <f>cubic_spline(CURVA!$B$6:$B$20,CURVA!$G$6:$G$20,#REF!)</f>
        <v>#VALUE!</v>
      </c>
    </row>
    <row r="7635" spans="1:5" x14ac:dyDescent="0.2">
      <c r="A7635" s="28">
        <v>7634</v>
      </c>
      <c r="B7635" s="28" t="e">
        <f>interpola(#REF!,CURVA!$B$6:$B$20,CURVA!$G$6:$G$20)</f>
        <v>#VALUE!</v>
      </c>
      <c r="C7635" s="29" t="e">
        <f t="shared" si="119"/>
        <v>#VALUE!</v>
      </c>
      <c r="E7635" t="e">
        <f>cubic_spline(CURVA!$B$6:$B$20,CURVA!$G$6:$G$20,#REF!)</f>
        <v>#VALUE!</v>
      </c>
    </row>
    <row r="7636" spans="1:5" x14ac:dyDescent="0.2">
      <c r="A7636" s="28">
        <v>7635</v>
      </c>
      <c r="B7636" s="28" t="e">
        <f>interpola(#REF!,CURVA!$B$6:$B$20,CURVA!$G$6:$G$20)</f>
        <v>#VALUE!</v>
      </c>
      <c r="C7636" s="29" t="e">
        <f t="shared" si="119"/>
        <v>#VALUE!</v>
      </c>
      <c r="E7636" t="e">
        <f>cubic_spline(CURVA!$B$6:$B$20,CURVA!$G$6:$G$20,#REF!)</f>
        <v>#VALUE!</v>
      </c>
    </row>
    <row r="7637" spans="1:5" x14ac:dyDescent="0.2">
      <c r="A7637" s="28">
        <v>7636</v>
      </c>
      <c r="B7637" s="28" t="e">
        <f>interpola(#REF!,CURVA!$B$6:$B$20,CURVA!$G$6:$G$20)</f>
        <v>#VALUE!</v>
      </c>
      <c r="C7637" s="29" t="e">
        <f t="shared" si="119"/>
        <v>#VALUE!</v>
      </c>
      <c r="E7637" t="e">
        <f>cubic_spline(CURVA!$B$6:$B$20,CURVA!$G$6:$G$20,#REF!)</f>
        <v>#VALUE!</v>
      </c>
    </row>
    <row r="7638" spans="1:5" x14ac:dyDescent="0.2">
      <c r="A7638" s="28">
        <v>7637</v>
      </c>
      <c r="B7638" s="28" t="e">
        <f>interpola(#REF!,CURVA!$B$6:$B$20,CURVA!$G$6:$G$20)</f>
        <v>#VALUE!</v>
      </c>
      <c r="C7638" s="29" t="e">
        <f t="shared" si="119"/>
        <v>#VALUE!</v>
      </c>
      <c r="E7638" t="e">
        <f>cubic_spline(CURVA!$B$6:$B$20,CURVA!$G$6:$G$20,#REF!)</f>
        <v>#VALUE!</v>
      </c>
    </row>
    <row r="7639" spans="1:5" x14ac:dyDescent="0.2">
      <c r="A7639" s="28">
        <v>7638</v>
      </c>
      <c r="B7639" s="28" t="e">
        <f>interpola(#REF!,CURVA!$B$6:$B$20,CURVA!$G$6:$G$20)</f>
        <v>#VALUE!</v>
      </c>
      <c r="C7639" s="29" t="e">
        <f t="shared" si="119"/>
        <v>#VALUE!</v>
      </c>
      <c r="E7639" t="e">
        <f>cubic_spline(CURVA!$B$6:$B$20,CURVA!$G$6:$G$20,#REF!)</f>
        <v>#VALUE!</v>
      </c>
    </row>
    <row r="7640" spans="1:5" x14ac:dyDescent="0.2">
      <c r="A7640" s="28">
        <v>7639</v>
      </c>
      <c r="B7640" s="28" t="e">
        <f>interpola(#REF!,CURVA!$B$6:$B$20,CURVA!$G$6:$G$20)</f>
        <v>#VALUE!</v>
      </c>
      <c r="C7640" s="29" t="e">
        <f t="shared" si="119"/>
        <v>#VALUE!</v>
      </c>
      <c r="E7640" t="e">
        <f>cubic_spline(CURVA!$B$6:$B$20,CURVA!$G$6:$G$20,#REF!)</f>
        <v>#VALUE!</v>
      </c>
    </row>
    <row r="7641" spans="1:5" x14ac:dyDescent="0.2">
      <c r="A7641" s="28">
        <v>7640</v>
      </c>
      <c r="B7641" s="28" t="e">
        <f>interpola(#REF!,CURVA!$B$6:$B$20,CURVA!$G$6:$G$20)</f>
        <v>#VALUE!</v>
      </c>
      <c r="C7641" s="29" t="e">
        <f t="shared" si="119"/>
        <v>#VALUE!</v>
      </c>
      <c r="E7641" t="e">
        <f>cubic_spline(CURVA!$B$6:$B$20,CURVA!$G$6:$G$20,#REF!)</f>
        <v>#VALUE!</v>
      </c>
    </row>
    <row r="7642" spans="1:5" x14ac:dyDescent="0.2">
      <c r="A7642" s="28">
        <v>7641</v>
      </c>
      <c r="B7642" s="28" t="e">
        <f>interpola(#REF!,CURVA!$B$6:$B$20,CURVA!$G$6:$G$20)</f>
        <v>#VALUE!</v>
      </c>
      <c r="C7642" s="29" t="e">
        <f t="shared" si="119"/>
        <v>#VALUE!</v>
      </c>
      <c r="E7642" t="e">
        <f>cubic_spline(CURVA!$B$6:$B$20,CURVA!$G$6:$G$20,#REF!)</f>
        <v>#VALUE!</v>
      </c>
    </row>
    <row r="7643" spans="1:5" x14ac:dyDescent="0.2">
      <c r="A7643" s="28">
        <v>7642</v>
      </c>
      <c r="B7643" s="28" t="e">
        <f>interpola(#REF!,CURVA!$B$6:$B$20,CURVA!$G$6:$G$20)</f>
        <v>#VALUE!</v>
      </c>
      <c r="C7643" s="29" t="e">
        <f t="shared" si="119"/>
        <v>#VALUE!</v>
      </c>
      <c r="E7643" t="e">
        <f>cubic_spline(CURVA!$B$6:$B$20,CURVA!$G$6:$G$20,#REF!)</f>
        <v>#VALUE!</v>
      </c>
    </row>
    <row r="7644" spans="1:5" x14ac:dyDescent="0.2">
      <c r="A7644" s="28">
        <v>7643</v>
      </c>
      <c r="B7644" s="28" t="e">
        <f>interpola(#REF!,CURVA!$B$6:$B$20,CURVA!$G$6:$G$20)</f>
        <v>#VALUE!</v>
      </c>
      <c r="C7644" s="29" t="e">
        <f t="shared" si="119"/>
        <v>#VALUE!</v>
      </c>
      <c r="E7644" t="e">
        <f>cubic_spline(CURVA!$B$6:$B$20,CURVA!$G$6:$G$20,#REF!)</f>
        <v>#VALUE!</v>
      </c>
    </row>
    <row r="7645" spans="1:5" x14ac:dyDescent="0.2">
      <c r="A7645" s="28">
        <v>7644</v>
      </c>
      <c r="B7645" s="28" t="e">
        <f>interpola(#REF!,CURVA!$B$6:$B$20,CURVA!$G$6:$G$20)</f>
        <v>#VALUE!</v>
      </c>
      <c r="C7645" s="29" t="e">
        <f t="shared" si="119"/>
        <v>#VALUE!</v>
      </c>
      <c r="E7645" t="e">
        <f>cubic_spline(CURVA!$B$6:$B$20,CURVA!$G$6:$G$20,#REF!)</f>
        <v>#VALUE!</v>
      </c>
    </row>
    <row r="7646" spans="1:5" x14ac:dyDescent="0.2">
      <c r="A7646" s="28">
        <v>7645</v>
      </c>
      <c r="B7646" s="28" t="e">
        <f>interpola(#REF!,CURVA!$B$6:$B$20,CURVA!$G$6:$G$20)</f>
        <v>#VALUE!</v>
      </c>
      <c r="C7646" s="29" t="e">
        <f t="shared" si="119"/>
        <v>#VALUE!</v>
      </c>
      <c r="E7646" t="e">
        <f>cubic_spline(CURVA!$B$6:$B$20,CURVA!$G$6:$G$20,#REF!)</f>
        <v>#VALUE!</v>
      </c>
    </row>
    <row r="7647" spans="1:5" x14ac:dyDescent="0.2">
      <c r="A7647" s="28">
        <v>7646</v>
      </c>
      <c r="B7647" s="28" t="e">
        <f>interpola(#REF!,CURVA!$B$6:$B$20,CURVA!$G$6:$G$20)</f>
        <v>#VALUE!</v>
      </c>
      <c r="C7647" s="29" t="e">
        <f t="shared" si="119"/>
        <v>#VALUE!</v>
      </c>
      <c r="E7647" t="e">
        <f>cubic_spline(CURVA!$B$6:$B$20,CURVA!$G$6:$G$20,#REF!)</f>
        <v>#VALUE!</v>
      </c>
    </row>
    <row r="7648" spans="1:5" x14ac:dyDescent="0.2">
      <c r="A7648" s="28">
        <v>7647</v>
      </c>
      <c r="B7648" s="28" t="e">
        <f>interpola(#REF!,CURVA!$B$6:$B$20,CURVA!$G$6:$G$20)</f>
        <v>#VALUE!</v>
      </c>
      <c r="C7648" s="29" t="e">
        <f t="shared" si="119"/>
        <v>#VALUE!</v>
      </c>
      <c r="E7648" t="e">
        <f>cubic_spline(CURVA!$B$6:$B$20,CURVA!$G$6:$G$20,#REF!)</f>
        <v>#VALUE!</v>
      </c>
    </row>
    <row r="7649" spans="1:5" x14ac:dyDescent="0.2">
      <c r="A7649" s="28">
        <v>7648</v>
      </c>
      <c r="B7649" s="28" t="e">
        <f>interpola(#REF!,CURVA!$B$6:$B$20,CURVA!$G$6:$G$20)</f>
        <v>#VALUE!</v>
      </c>
      <c r="C7649" s="29" t="e">
        <f t="shared" si="119"/>
        <v>#VALUE!</v>
      </c>
      <c r="E7649" t="e">
        <f>cubic_spline(CURVA!$B$6:$B$20,CURVA!$G$6:$G$20,#REF!)</f>
        <v>#VALUE!</v>
      </c>
    </row>
    <row r="7650" spans="1:5" x14ac:dyDescent="0.2">
      <c r="A7650" s="28">
        <v>7649</v>
      </c>
      <c r="B7650" s="28" t="e">
        <f>interpola(#REF!,CURVA!$B$6:$B$20,CURVA!$G$6:$G$20)</f>
        <v>#VALUE!</v>
      </c>
      <c r="C7650" s="29" t="e">
        <f t="shared" si="119"/>
        <v>#VALUE!</v>
      </c>
      <c r="E7650" t="e">
        <f>cubic_spline(CURVA!$B$6:$B$20,CURVA!$G$6:$G$20,#REF!)</f>
        <v>#VALUE!</v>
      </c>
    </row>
    <row r="7651" spans="1:5" x14ac:dyDescent="0.2">
      <c r="A7651" s="28">
        <v>7650</v>
      </c>
      <c r="B7651" s="28" t="e">
        <f>interpola(#REF!,CURVA!$B$6:$B$20,CURVA!$G$6:$G$20)</f>
        <v>#VALUE!</v>
      </c>
      <c r="C7651" s="29" t="e">
        <f t="shared" si="119"/>
        <v>#VALUE!</v>
      </c>
      <c r="E7651" t="e">
        <f>cubic_spline(CURVA!$B$6:$B$20,CURVA!$G$6:$G$20,#REF!)</f>
        <v>#VALUE!</v>
      </c>
    </row>
    <row r="7652" spans="1:5" x14ac:dyDescent="0.2">
      <c r="A7652" s="28">
        <v>7651</v>
      </c>
      <c r="B7652" s="28" t="e">
        <f>interpola(#REF!,CURVA!$B$6:$B$20,CURVA!$G$6:$G$20)</f>
        <v>#VALUE!</v>
      </c>
      <c r="C7652" s="29" t="e">
        <f t="shared" si="119"/>
        <v>#VALUE!</v>
      </c>
      <c r="E7652" t="e">
        <f>cubic_spline(CURVA!$B$6:$B$20,CURVA!$G$6:$G$20,#REF!)</f>
        <v>#VALUE!</v>
      </c>
    </row>
    <row r="7653" spans="1:5" x14ac:dyDescent="0.2">
      <c r="A7653" s="28">
        <v>7652</v>
      </c>
      <c r="B7653" s="28" t="e">
        <f>interpola(#REF!,CURVA!$B$6:$B$20,CURVA!$G$6:$G$20)</f>
        <v>#VALUE!</v>
      </c>
      <c r="C7653" s="29" t="e">
        <f t="shared" si="119"/>
        <v>#VALUE!</v>
      </c>
      <c r="E7653" t="e">
        <f>cubic_spline(CURVA!$B$6:$B$20,CURVA!$G$6:$G$20,#REF!)</f>
        <v>#VALUE!</v>
      </c>
    </row>
    <row r="7654" spans="1:5" x14ac:dyDescent="0.2">
      <c r="A7654" s="28">
        <v>7653</v>
      </c>
      <c r="B7654" s="28" t="e">
        <f>interpola(#REF!,CURVA!$B$6:$B$20,CURVA!$G$6:$G$20)</f>
        <v>#VALUE!</v>
      </c>
      <c r="C7654" s="29" t="e">
        <f t="shared" si="119"/>
        <v>#VALUE!</v>
      </c>
      <c r="E7654" t="e">
        <f>cubic_spline(CURVA!$B$6:$B$20,CURVA!$G$6:$G$20,#REF!)</f>
        <v>#VALUE!</v>
      </c>
    </row>
    <row r="7655" spans="1:5" x14ac:dyDescent="0.2">
      <c r="A7655" s="28">
        <v>7654</v>
      </c>
      <c r="B7655" s="28" t="e">
        <f>interpola(#REF!,CURVA!$B$6:$B$20,CURVA!$G$6:$G$20)</f>
        <v>#VALUE!</v>
      </c>
      <c r="C7655" s="29" t="e">
        <f t="shared" si="119"/>
        <v>#VALUE!</v>
      </c>
      <c r="E7655" t="e">
        <f>cubic_spline(CURVA!$B$6:$B$20,CURVA!$G$6:$G$20,#REF!)</f>
        <v>#VALUE!</v>
      </c>
    </row>
    <row r="7656" spans="1:5" x14ac:dyDescent="0.2">
      <c r="A7656" s="28">
        <v>7655</v>
      </c>
      <c r="B7656" s="28" t="e">
        <f>interpola(#REF!,CURVA!$B$6:$B$20,CURVA!$G$6:$G$20)</f>
        <v>#VALUE!</v>
      </c>
      <c r="C7656" s="29" t="e">
        <f t="shared" si="119"/>
        <v>#VALUE!</v>
      </c>
      <c r="E7656" t="e">
        <f>cubic_spline(CURVA!$B$6:$B$20,CURVA!$G$6:$G$20,#REF!)</f>
        <v>#VALUE!</v>
      </c>
    </row>
    <row r="7657" spans="1:5" x14ac:dyDescent="0.2">
      <c r="A7657" s="28">
        <v>7656</v>
      </c>
      <c r="B7657" s="28" t="e">
        <f>interpola(#REF!,CURVA!$B$6:$B$20,CURVA!$G$6:$G$20)</f>
        <v>#VALUE!</v>
      </c>
      <c r="C7657" s="29" t="e">
        <f t="shared" si="119"/>
        <v>#VALUE!</v>
      </c>
      <c r="E7657" t="e">
        <f>cubic_spline(CURVA!$B$6:$B$20,CURVA!$G$6:$G$20,#REF!)</f>
        <v>#VALUE!</v>
      </c>
    </row>
    <row r="7658" spans="1:5" x14ac:dyDescent="0.2">
      <c r="A7658" s="28">
        <v>7657</v>
      </c>
      <c r="B7658" s="28" t="e">
        <f>interpola(#REF!,CURVA!$B$6:$B$20,CURVA!$G$6:$G$20)</f>
        <v>#VALUE!</v>
      </c>
      <c r="C7658" s="29" t="e">
        <f t="shared" si="119"/>
        <v>#VALUE!</v>
      </c>
      <c r="E7658" t="e">
        <f>cubic_spline(CURVA!$B$6:$B$20,CURVA!$G$6:$G$20,#REF!)</f>
        <v>#VALUE!</v>
      </c>
    </row>
    <row r="7659" spans="1:5" x14ac:dyDescent="0.2">
      <c r="A7659" s="28">
        <v>7658</v>
      </c>
      <c r="B7659" s="28" t="e">
        <f>interpola(#REF!,CURVA!$B$6:$B$20,CURVA!$G$6:$G$20)</f>
        <v>#VALUE!</v>
      </c>
      <c r="C7659" s="29" t="e">
        <f t="shared" si="119"/>
        <v>#VALUE!</v>
      </c>
      <c r="E7659" t="e">
        <f>cubic_spline(CURVA!$B$6:$B$20,CURVA!$G$6:$G$20,#REF!)</f>
        <v>#VALUE!</v>
      </c>
    </row>
    <row r="7660" spans="1:5" x14ac:dyDescent="0.2">
      <c r="A7660" s="28">
        <v>7659</v>
      </c>
      <c r="B7660" s="28" t="e">
        <f>interpola(#REF!,CURVA!$B$6:$B$20,CURVA!$G$6:$G$20)</f>
        <v>#VALUE!</v>
      </c>
      <c r="C7660" s="29" t="e">
        <f t="shared" si="119"/>
        <v>#VALUE!</v>
      </c>
      <c r="E7660" t="e">
        <f>cubic_spline(CURVA!$B$6:$B$20,CURVA!$G$6:$G$20,#REF!)</f>
        <v>#VALUE!</v>
      </c>
    </row>
    <row r="7661" spans="1:5" x14ac:dyDescent="0.2">
      <c r="A7661" s="28">
        <v>7660</v>
      </c>
      <c r="B7661" s="28" t="e">
        <f>interpola(#REF!,CURVA!$B$6:$B$20,CURVA!$G$6:$G$20)</f>
        <v>#VALUE!</v>
      </c>
      <c r="C7661" s="29" t="e">
        <f t="shared" si="119"/>
        <v>#VALUE!</v>
      </c>
      <c r="E7661" t="e">
        <f>cubic_spline(CURVA!$B$6:$B$20,CURVA!$G$6:$G$20,#REF!)</f>
        <v>#VALUE!</v>
      </c>
    </row>
    <row r="7662" spans="1:5" x14ac:dyDescent="0.2">
      <c r="A7662" s="28">
        <v>7661</v>
      </c>
      <c r="B7662" s="28" t="e">
        <f>interpola(#REF!,CURVA!$B$6:$B$20,CURVA!$G$6:$G$20)</f>
        <v>#VALUE!</v>
      </c>
      <c r="C7662" s="29" t="e">
        <f t="shared" si="119"/>
        <v>#VALUE!</v>
      </c>
      <c r="E7662" t="e">
        <f>cubic_spline(CURVA!$B$6:$B$20,CURVA!$G$6:$G$20,#REF!)</f>
        <v>#VALUE!</v>
      </c>
    </row>
    <row r="7663" spans="1:5" x14ac:dyDescent="0.2">
      <c r="A7663" s="28">
        <v>7662</v>
      </c>
      <c r="B7663" s="28" t="e">
        <f>interpola(#REF!,CURVA!$B$6:$B$20,CURVA!$G$6:$G$20)</f>
        <v>#VALUE!</v>
      </c>
      <c r="C7663" s="29" t="e">
        <f t="shared" si="119"/>
        <v>#VALUE!</v>
      </c>
      <c r="E7663" t="e">
        <f>cubic_spline(CURVA!$B$6:$B$20,CURVA!$G$6:$G$20,#REF!)</f>
        <v>#VALUE!</v>
      </c>
    </row>
    <row r="7664" spans="1:5" x14ac:dyDescent="0.2">
      <c r="A7664" s="28">
        <v>7663</v>
      </c>
      <c r="B7664" s="28" t="e">
        <f>interpola(#REF!,CURVA!$B$6:$B$20,CURVA!$G$6:$G$20)</f>
        <v>#VALUE!</v>
      </c>
      <c r="C7664" s="29" t="e">
        <f t="shared" si="119"/>
        <v>#VALUE!</v>
      </c>
      <c r="E7664" t="e">
        <f>cubic_spline(CURVA!$B$6:$B$20,CURVA!$G$6:$G$20,#REF!)</f>
        <v>#VALUE!</v>
      </c>
    </row>
    <row r="7665" spans="1:5" x14ac:dyDescent="0.2">
      <c r="A7665" s="28">
        <v>7664</v>
      </c>
      <c r="B7665" s="28" t="e">
        <f>interpola(#REF!,CURVA!$B$6:$B$20,CURVA!$G$6:$G$20)</f>
        <v>#VALUE!</v>
      </c>
      <c r="C7665" s="29" t="e">
        <f t="shared" si="119"/>
        <v>#VALUE!</v>
      </c>
      <c r="E7665" t="e">
        <f>cubic_spline(CURVA!$B$6:$B$20,CURVA!$G$6:$G$20,#REF!)</f>
        <v>#VALUE!</v>
      </c>
    </row>
    <row r="7666" spans="1:5" x14ac:dyDescent="0.2">
      <c r="A7666" s="28">
        <v>7665</v>
      </c>
      <c r="B7666" s="28" t="e">
        <f>interpola(#REF!,CURVA!$B$6:$B$20,CURVA!$G$6:$G$20)</f>
        <v>#VALUE!</v>
      </c>
      <c r="C7666" s="29" t="e">
        <f t="shared" si="119"/>
        <v>#VALUE!</v>
      </c>
      <c r="E7666" t="e">
        <f>cubic_spline(CURVA!$B$6:$B$20,CURVA!$G$6:$G$20,#REF!)</f>
        <v>#VALUE!</v>
      </c>
    </row>
    <row r="7667" spans="1:5" x14ac:dyDescent="0.2">
      <c r="A7667" s="28">
        <v>7666</v>
      </c>
      <c r="B7667" s="28" t="e">
        <f>interpola(#REF!,CURVA!$B$6:$B$20,CURVA!$G$6:$G$20)</f>
        <v>#VALUE!</v>
      </c>
      <c r="C7667" s="29" t="e">
        <f t="shared" si="119"/>
        <v>#VALUE!</v>
      </c>
      <c r="E7667" t="e">
        <f>cubic_spline(CURVA!$B$6:$B$20,CURVA!$G$6:$G$20,#REF!)</f>
        <v>#VALUE!</v>
      </c>
    </row>
    <row r="7668" spans="1:5" x14ac:dyDescent="0.2">
      <c r="A7668" s="28">
        <v>7667</v>
      </c>
      <c r="B7668" s="28" t="e">
        <f>interpola(#REF!,CURVA!$B$6:$B$20,CURVA!$G$6:$G$20)</f>
        <v>#VALUE!</v>
      </c>
      <c r="C7668" s="29" t="e">
        <f t="shared" si="119"/>
        <v>#VALUE!</v>
      </c>
      <c r="E7668" t="e">
        <f>cubic_spline(CURVA!$B$6:$B$20,CURVA!$G$6:$G$20,#REF!)</f>
        <v>#VALUE!</v>
      </c>
    </row>
    <row r="7669" spans="1:5" x14ac:dyDescent="0.2">
      <c r="A7669" s="28">
        <v>7668</v>
      </c>
      <c r="B7669" s="28" t="e">
        <f>interpola(#REF!,CURVA!$B$6:$B$20,CURVA!$G$6:$G$20)</f>
        <v>#VALUE!</v>
      </c>
      <c r="C7669" s="29" t="e">
        <f t="shared" si="119"/>
        <v>#VALUE!</v>
      </c>
      <c r="E7669" t="e">
        <f>cubic_spline(CURVA!$B$6:$B$20,CURVA!$G$6:$G$20,#REF!)</f>
        <v>#VALUE!</v>
      </c>
    </row>
    <row r="7670" spans="1:5" x14ac:dyDescent="0.2">
      <c r="A7670" s="28">
        <v>7669</v>
      </c>
      <c r="B7670" s="28" t="e">
        <f>interpola(#REF!,CURVA!$B$6:$B$20,CURVA!$G$6:$G$20)</f>
        <v>#VALUE!</v>
      </c>
      <c r="C7670" s="29" t="e">
        <f t="shared" si="119"/>
        <v>#VALUE!</v>
      </c>
      <c r="E7670" t="e">
        <f>cubic_spline(CURVA!$B$6:$B$20,CURVA!$G$6:$G$20,#REF!)</f>
        <v>#VALUE!</v>
      </c>
    </row>
    <row r="7671" spans="1:5" x14ac:dyDescent="0.2">
      <c r="A7671" s="28">
        <v>7670</v>
      </c>
      <c r="B7671" s="28" t="e">
        <f>interpola(#REF!,CURVA!$B$6:$B$20,CURVA!$G$6:$G$20)</f>
        <v>#VALUE!</v>
      </c>
      <c r="C7671" s="29" t="e">
        <f t="shared" si="119"/>
        <v>#VALUE!</v>
      </c>
      <c r="E7671" t="e">
        <f>cubic_spline(CURVA!$B$6:$B$20,CURVA!$G$6:$G$20,#REF!)</f>
        <v>#VALUE!</v>
      </c>
    </row>
    <row r="7672" spans="1:5" x14ac:dyDescent="0.2">
      <c r="A7672" s="28">
        <v>7671</v>
      </c>
      <c r="B7672" s="28" t="e">
        <f>interpola(#REF!,CURVA!$B$6:$B$20,CURVA!$G$6:$G$20)</f>
        <v>#VALUE!</v>
      </c>
      <c r="C7672" s="29" t="e">
        <f t="shared" si="119"/>
        <v>#VALUE!</v>
      </c>
      <c r="E7672" t="e">
        <f>cubic_spline(CURVA!$B$6:$B$20,CURVA!$G$6:$G$20,#REF!)</f>
        <v>#VALUE!</v>
      </c>
    </row>
    <row r="7673" spans="1:5" x14ac:dyDescent="0.2">
      <c r="A7673" s="28">
        <v>7672</v>
      </c>
      <c r="B7673" s="28" t="e">
        <f>interpola(#REF!,CURVA!$B$6:$B$20,CURVA!$G$6:$G$20)</f>
        <v>#VALUE!</v>
      </c>
      <c r="C7673" s="29" t="e">
        <f t="shared" si="119"/>
        <v>#VALUE!</v>
      </c>
      <c r="E7673" t="e">
        <f>cubic_spline(CURVA!$B$6:$B$20,CURVA!$G$6:$G$20,#REF!)</f>
        <v>#VALUE!</v>
      </c>
    </row>
    <row r="7674" spans="1:5" x14ac:dyDescent="0.2">
      <c r="A7674" s="28">
        <v>7673</v>
      </c>
      <c r="B7674" s="28" t="e">
        <f>interpola(#REF!,CURVA!$B$6:$B$20,CURVA!$G$6:$G$20)</f>
        <v>#VALUE!</v>
      </c>
      <c r="C7674" s="29" t="e">
        <f t="shared" si="119"/>
        <v>#VALUE!</v>
      </c>
      <c r="E7674" t="e">
        <f>cubic_spline(CURVA!$B$6:$B$20,CURVA!$G$6:$G$20,#REF!)</f>
        <v>#VALUE!</v>
      </c>
    </row>
    <row r="7675" spans="1:5" x14ac:dyDescent="0.2">
      <c r="A7675" s="28">
        <v>7674</v>
      </c>
      <c r="B7675" s="28" t="e">
        <f>interpola(#REF!,CURVA!$B$6:$B$20,CURVA!$G$6:$G$20)</f>
        <v>#VALUE!</v>
      </c>
      <c r="C7675" s="29" t="e">
        <f t="shared" si="119"/>
        <v>#VALUE!</v>
      </c>
      <c r="E7675" t="e">
        <f>cubic_spline(CURVA!$B$6:$B$20,CURVA!$G$6:$G$20,#REF!)</f>
        <v>#VALUE!</v>
      </c>
    </row>
    <row r="7676" spans="1:5" x14ac:dyDescent="0.2">
      <c r="A7676" s="28">
        <v>7675</v>
      </c>
      <c r="B7676" s="28" t="e">
        <f>interpola(#REF!,CURVA!$B$6:$B$20,CURVA!$G$6:$G$20)</f>
        <v>#VALUE!</v>
      </c>
      <c r="C7676" s="29" t="e">
        <f t="shared" si="119"/>
        <v>#VALUE!</v>
      </c>
      <c r="E7676" t="e">
        <f>cubic_spline(CURVA!$B$6:$B$20,CURVA!$G$6:$G$20,#REF!)</f>
        <v>#VALUE!</v>
      </c>
    </row>
    <row r="7677" spans="1:5" x14ac:dyDescent="0.2">
      <c r="A7677" s="28">
        <v>7676</v>
      </c>
      <c r="B7677" s="28" t="e">
        <f>interpola(#REF!,CURVA!$B$6:$B$20,CURVA!$G$6:$G$20)</f>
        <v>#VALUE!</v>
      </c>
      <c r="C7677" s="29" t="e">
        <f t="shared" si="119"/>
        <v>#VALUE!</v>
      </c>
      <c r="E7677" t="e">
        <f>cubic_spline(CURVA!$B$6:$B$20,CURVA!$G$6:$G$20,#REF!)</f>
        <v>#VALUE!</v>
      </c>
    </row>
    <row r="7678" spans="1:5" x14ac:dyDescent="0.2">
      <c r="A7678" s="28">
        <v>7677</v>
      </c>
      <c r="B7678" s="28" t="e">
        <f>interpola(#REF!,CURVA!$B$6:$B$20,CURVA!$G$6:$G$20)</f>
        <v>#VALUE!</v>
      </c>
      <c r="C7678" s="29" t="e">
        <f t="shared" si="119"/>
        <v>#VALUE!</v>
      </c>
      <c r="E7678" t="e">
        <f>cubic_spline(CURVA!$B$6:$B$20,CURVA!$G$6:$G$20,#REF!)</f>
        <v>#VALUE!</v>
      </c>
    </row>
    <row r="7679" spans="1:5" x14ac:dyDescent="0.2">
      <c r="A7679" s="28">
        <v>7678</v>
      </c>
      <c r="B7679" s="28" t="e">
        <f>interpola(#REF!,CURVA!$B$6:$B$20,CURVA!$G$6:$G$20)</f>
        <v>#VALUE!</v>
      </c>
      <c r="C7679" s="29" t="e">
        <f t="shared" si="119"/>
        <v>#VALUE!</v>
      </c>
      <c r="E7679" t="e">
        <f>cubic_spline(CURVA!$B$6:$B$20,CURVA!$G$6:$G$20,#REF!)</f>
        <v>#VALUE!</v>
      </c>
    </row>
    <row r="7680" spans="1:5" x14ac:dyDescent="0.2">
      <c r="A7680" s="28">
        <v>7679</v>
      </c>
      <c r="B7680" s="28" t="e">
        <f>interpola(#REF!,CURVA!$B$6:$B$20,CURVA!$G$6:$G$20)</f>
        <v>#VALUE!</v>
      </c>
      <c r="C7680" s="29" t="e">
        <f t="shared" si="119"/>
        <v>#VALUE!</v>
      </c>
      <c r="E7680" t="e">
        <f>cubic_spline(CURVA!$B$6:$B$20,CURVA!$G$6:$G$20,#REF!)</f>
        <v>#VALUE!</v>
      </c>
    </row>
    <row r="7681" spans="1:5" x14ac:dyDescent="0.2">
      <c r="A7681" s="28">
        <v>7680</v>
      </c>
      <c r="B7681" s="28" t="e">
        <f>interpola(#REF!,CURVA!$B$6:$B$20,CURVA!$G$6:$G$20)</f>
        <v>#VALUE!</v>
      </c>
      <c r="C7681" s="29" t="e">
        <f t="shared" si="119"/>
        <v>#VALUE!</v>
      </c>
      <c r="E7681" t="e">
        <f>cubic_spline(CURVA!$B$6:$B$20,CURVA!$G$6:$G$20,#REF!)</f>
        <v>#VALUE!</v>
      </c>
    </row>
    <row r="7682" spans="1:5" x14ac:dyDescent="0.2">
      <c r="A7682" s="28">
        <v>7681</v>
      </c>
      <c r="B7682" s="28" t="e">
        <f>interpola(#REF!,CURVA!$B$6:$B$20,CURVA!$G$6:$G$20)</f>
        <v>#VALUE!</v>
      </c>
      <c r="C7682" s="29" t="e">
        <f t="shared" ref="C7682:C7745" si="120">(EXP(B7682*A7682/360)-1)*360/A7682</f>
        <v>#VALUE!</v>
      </c>
      <c r="E7682" t="e">
        <f>cubic_spline(CURVA!$B$6:$B$20,CURVA!$G$6:$G$20,#REF!)</f>
        <v>#VALUE!</v>
      </c>
    </row>
    <row r="7683" spans="1:5" x14ac:dyDescent="0.2">
      <c r="A7683" s="28">
        <v>7682</v>
      </c>
      <c r="B7683" s="28" t="e">
        <f>interpola(#REF!,CURVA!$B$6:$B$20,CURVA!$G$6:$G$20)</f>
        <v>#VALUE!</v>
      </c>
      <c r="C7683" s="29" t="e">
        <f t="shared" si="120"/>
        <v>#VALUE!</v>
      </c>
      <c r="E7683" t="e">
        <f>cubic_spline(CURVA!$B$6:$B$20,CURVA!$G$6:$G$20,#REF!)</f>
        <v>#VALUE!</v>
      </c>
    </row>
    <row r="7684" spans="1:5" x14ac:dyDescent="0.2">
      <c r="A7684" s="28">
        <v>7683</v>
      </c>
      <c r="B7684" s="28" t="e">
        <f>interpola(#REF!,CURVA!$B$6:$B$20,CURVA!$G$6:$G$20)</f>
        <v>#VALUE!</v>
      </c>
      <c r="C7684" s="29" t="e">
        <f t="shared" si="120"/>
        <v>#VALUE!</v>
      </c>
      <c r="E7684" t="e">
        <f>cubic_spline(CURVA!$B$6:$B$20,CURVA!$G$6:$G$20,#REF!)</f>
        <v>#VALUE!</v>
      </c>
    </row>
    <row r="7685" spans="1:5" x14ac:dyDescent="0.2">
      <c r="A7685" s="28">
        <v>7684</v>
      </c>
      <c r="B7685" s="28" t="e">
        <f>interpola(#REF!,CURVA!$B$6:$B$20,CURVA!$G$6:$G$20)</f>
        <v>#VALUE!</v>
      </c>
      <c r="C7685" s="29" t="e">
        <f t="shared" si="120"/>
        <v>#VALUE!</v>
      </c>
      <c r="E7685" t="e">
        <f>cubic_spline(CURVA!$B$6:$B$20,CURVA!$G$6:$G$20,#REF!)</f>
        <v>#VALUE!</v>
      </c>
    </row>
    <row r="7686" spans="1:5" x14ac:dyDescent="0.2">
      <c r="A7686" s="28">
        <v>7685</v>
      </c>
      <c r="B7686" s="28" t="e">
        <f>interpola(#REF!,CURVA!$B$6:$B$20,CURVA!$G$6:$G$20)</f>
        <v>#VALUE!</v>
      </c>
      <c r="C7686" s="29" t="e">
        <f t="shared" si="120"/>
        <v>#VALUE!</v>
      </c>
      <c r="E7686" t="e">
        <f>cubic_spline(CURVA!$B$6:$B$20,CURVA!$G$6:$G$20,#REF!)</f>
        <v>#VALUE!</v>
      </c>
    </row>
    <row r="7687" spans="1:5" x14ac:dyDescent="0.2">
      <c r="A7687" s="28">
        <v>7686</v>
      </c>
      <c r="B7687" s="28" t="e">
        <f>interpola(#REF!,CURVA!$B$6:$B$20,CURVA!$G$6:$G$20)</f>
        <v>#VALUE!</v>
      </c>
      <c r="C7687" s="29" t="e">
        <f t="shared" si="120"/>
        <v>#VALUE!</v>
      </c>
      <c r="E7687" t="e">
        <f>cubic_spline(CURVA!$B$6:$B$20,CURVA!$G$6:$G$20,#REF!)</f>
        <v>#VALUE!</v>
      </c>
    </row>
    <row r="7688" spans="1:5" x14ac:dyDescent="0.2">
      <c r="A7688" s="28">
        <v>7687</v>
      </c>
      <c r="B7688" s="28" t="e">
        <f>interpola(#REF!,CURVA!$B$6:$B$20,CURVA!$G$6:$G$20)</f>
        <v>#VALUE!</v>
      </c>
      <c r="C7688" s="29" t="e">
        <f t="shared" si="120"/>
        <v>#VALUE!</v>
      </c>
      <c r="E7688" t="e">
        <f>cubic_spline(CURVA!$B$6:$B$20,CURVA!$G$6:$G$20,#REF!)</f>
        <v>#VALUE!</v>
      </c>
    </row>
    <row r="7689" spans="1:5" x14ac:dyDescent="0.2">
      <c r="A7689" s="28">
        <v>7688</v>
      </c>
      <c r="B7689" s="28" t="e">
        <f>interpola(#REF!,CURVA!$B$6:$B$20,CURVA!$G$6:$G$20)</f>
        <v>#VALUE!</v>
      </c>
      <c r="C7689" s="29" t="e">
        <f t="shared" si="120"/>
        <v>#VALUE!</v>
      </c>
      <c r="E7689" t="e">
        <f>cubic_spline(CURVA!$B$6:$B$20,CURVA!$G$6:$G$20,#REF!)</f>
        <v>#VALUE!</v>
      </c>
    </row>
    <row r="7690" spans="1:5" x14ac:dyDescent="0.2">
      <c r="A7690" s="28">
        <v>7689</v>
      </c>
      <c r="B7690" s="28" t="e">
        <f>interpola(#REF!,CURVA!$B$6:$B$20,CURVA!$G$6:$G$20)</f>
        <v>#VALUE!</v>
      </c>
      <c r="C7690" s="29" t="e">
        <f t="shared" si="120"/>
        <v>#VALUE!</v>
      </c>
      <c r="E7690" t="e">
        <f>cubic_spline(CURVA!$B$6:$B$20,CURVA!$G$6:$G$20,#REF!)</f>
        <v>#VALUE!</v>
      </c>
    </row>
    <row r="7691" spans="1:5" x14ac:dyDescent="0.2">
      <c r="A7691" s="28">
        <v>7690</v>
      </c>
      <c r="B7691" s="28" t="e">
        <f>interpola(#REF!,CURVA!$B$6:$B$20,CURVA!$G$6:$G$20)</f>
        <v>#VALUE!</v>
      </c>
      <c r="C7691" s="29" t="e">
        <f t="shared" si="120"/>
        <v>#VALUE!</v>
      </c>
      <c r="E7691" t="e">
        <f>cubic_spline(CURVA!$B$6:$B$20,CURVA!$G$6:$G$20,#REF!)</f>
        <v>#VALUE!</v>
      </c>
    </row>
    <row r="7692" spans="1:5" x14ac:dyDescent="0.2">
      <c r="A7692" s="28">
        <v>7691</v>
      </c>
      <c r="B7692" s="28" t="e">
        <f>interpola(#REF!,CURVA!$B$6:$B$20,CURVA!$G$6:$G$20)</f>
        <v>#VALUE!</v>
      </c>
      <c r="C7692" s="29" t="e">
        <f t="shared" si="120"/>
        <v>#VALUE!</v>
      </c>
      <c r="E7692" t="e">
        <f>cubic_spline(CURVA!$B$6:$B$20,CURVA!$G$6:$G$20,#REF!)</f>
        <v>#VALUE!</v>
      </c>
    </row>
    <row r="7693" spans="1:5" x14ac:dyDescent="0.2">
      <c r="A7693" s="28">
        <v>7692</v>
      </c>
      <c r="B7693" s="28" t="e">
        <f>interpola(#REF!,CURVA!$B$6:$B$20,CURVA!$G$6:$G$20)</f>
        <v>#VALUE!</v>
      </c>
      <c r="C7693" s="29" t="e">
        <f t="shared" si="120"/>
        <v>#VALUE!</v>
      </c>
      <c r="E7693" t="e">
        <f>cubic_spline(CURVA!$B$6:$B$20,CURVA!$G$6:$G$20,#REF!)</f>
        <v>#VALUE!</v>
      </c>
    </row>
    <row r="7694" spans="1:5" x14ac:dyDescent="0.2">
      <c r="A7694" s="28">
        <v>7693</v>
      </c>
      <c r="B7694" s="28" t="e">
        <f>interpola(#REF!,CURVA!$B$6:$B$20,CURVA!$G$6:$G$20)</f>
        <v>#VALUE!</v>
      </c>
      <c r="C7694" s="29" t="e">
        <f t="shared" si="120"/>
        <v>#VALUE!</v>
      </c>
      <c r="E7694" t="e">
        <f>cubic_spline(CURVA!$B$6:$B$20,CURVA!$G$6:$G$20,#REF!)</f>
        <v>#VALUE!</v>
      </c>
    </row>
    <row r="7695" spans="1:5" x14ac:dyDescent="0.2">
      <c r="A7695" s="28">
        <v>7694</v>
      </c>
      <c r="B7695" s="28" t="e">
        <f>interpola(#REF!,CURVA!$B$6:$B$20,CURVA!$G$6:$G$20)</f>
        <v>#VALUE!</v>
      </c>
      <c r="C7695" s="29" t="e">
        <f t="shared" si="120"/>
        <v>#VALUE!</v>
      </c>
      <c r="E7695" t="e">
        <f>cubic_spline(CURVA!$B$6:$B$20,CURVA!$G$6:$G$20,#REF!)</f>
        <v>#VALUE!</v>
      </c>
    </row>
    <row r="7696" spans="1:5" x14ac:dyDescent="0.2">
      <c r="A7696" s="28">
        <v>7695</v>
      </c>
      <c r="B7696" s="28" t="e">
        <f>interpola(#REF!,CURVA!$B$6:$B$20,CURVA!$G$6:$G$20)</f>
        <v>#VALUE!</v>
      </c>
      <c r="C7696" s="29" t="e">
        <f t="shared" si="120"/>
        <v>#VALUE!</v>
      </c>
      <c r="E7696" t="e">
        <f>cubic_spline(CURVA!$B$6:$B$20,CURVA!$G$6:$G$20,#REF!)</f>
        <v>#VALUE!</v>
      </c>
    </row>
    <row r="7697" spans="1:5" x14ac:dyDescent="0.2">
      <c r="A7697" s="28">
        <v>7696</v>
      </c>
      <c r="B7697" s="28" t="e">
        <f>interpola(#REF!,CURVA!$B$6:$B$20,CURVA!$G$6:$G$20)</f>
        <v>#VALUE!</v>
      </c>
      <c r="C7697" s="29" t="e">
        <f t="shared" si="120"/>
        <v>#VALUE!</v>
      </c>
      <c r="E7697" t="e">
        <f>cubic_spline(CURVA!$B$6:$B$20,CURVA!$G$6:$G$20,#REF!)</f>
        <v>#VALUE!</v>
      </c>
    </row>
    <row r="7698" spans="1:5" x14ac:dyDescent="0.2">
      <c r="A7698" s="28">
        <v>7697</v>
      </c>
      <c r="B7698" s="28" t="e">
        <f>interpola(#REF!,CURVA!$B$6:$B$20,CURVA!$G$6:$G$20)</f>
        <v>#VALUE!</v>
      </c>
      <c r="C7698" s="29" t="e">
        <f t="shared" si="120"/>
        <v>#VALUE!</v>
      </c>
      <c r="E7698" t="e">
        <f>cubic_spline(CURVA!$B$6:$B$20,CURVA!$G$6:$G$20,#REF!)</f>
        <v>#VALUE!</v>
      </c>
    </row>
    <row r="7699" spans="1:5" x14ac:dyDescent="0.2">
      <c r="A7699" s="28">
        <v>7698</v>
      </c>
      <c r="B7699" s="28" t="e">
        <f>interpola(#REF!,CURVA!$B$6:$B$20,CURVA!$G$6:$G$20)</f>
        <v>#VALUE!</v>
      </c>
      <c r="C7699" s="29" t="e">
        <f t="shared" si="120"/>
        <v>#VALUE!</v>
      </c>
      <c r="E7699" t="e">
        <f>cubic_spline(CURVA!$B$6:$B$20,CURVA!$G$6:$G$20,#REF!)</f>
        <v>#VALUE!</v>
      </c>
    </row>
    <row r="7700" spans="1:5" x14ac:dyDescent="0.2">
      <c r="A7700" s="28">
        <v>7699</v>
      </c>
      <c r="B7700" s="28" t="e">
        <f>interpola(#REF!,CURVA!$B$6:$B$20,CURVA!$G$6:$G$20)</f>
        <v>#VALUE!</v>
      </c>
      <c r="C7700" s="29" t="e">
        <f t="shared" si="120"/>
        <v>#VALUE!</v>
      </c>
      <c r="E7700" t="e">
        <f>cubic_spline(CURVA!$B$6:$B$20,CURVA!$G$6:$G$20,#REF!)</f>
        <v>#VALUE!</v>
      </c>
    </row>
    <row r="7701" spans="1:5" x14ac:dyDescent="0.2">
      <c r="A7701" s="28">
        <v>7700</v>
      </c>
      <c r="B7701" s="28" t="e">
        <f>interpola(#REF!,CURVA!$B$6:$B$20,CURVA!$G$6:$G$20)</f>
        <v>#VALUE!</v>
      </c>
      <c r="C7701" s="29" t="e">
        <f t="shared" si="120"/>
        <v>#VALUE!</v>
      </c>
      <c r="E7701" t="e">
        <f>cubic_spline(CURVA!$B$6:$B$20,CURVA!$G$6:$G$20,#REF!)</f>
        <v>#VALUE!</v>
      </c>
    </row>
    <row r="7702" spans="1:5" x14ac:dyDescent="0.2">
      <c r="A7702" s="28">
        <v>7701</v>
      </c>
      <c r="B7702" s="28" t="e">
        <f>interpola(#REF!,CURVA!$B$6:$B$20,CURVA!$G$6:$G$20)</f>
        <v>#VALUE!</v>
      </c>
      <c r="C7702" s="29" t="e">
        <f t="shared" si="120"/>
        <v>#VALUE!</v>
      </c>
      <c r="E7702" t="e">
        <f>cubic_spline(CURVA!$B$6:$B$20,CURVA!$G$6:$G$20,#REF!)</f>
        <v>#VALUE!</v>
      </c>
    </row>
    <row r="7703" spans="1:5" x14ac:dyDescent="0.2">
      <c r="A7703" s="28">
        <v>7702</v>
      </c>
      <c r="B7703" s="28" t="e">
        <f>interpola(#REF!,CURVA!$B$6:$B$20,CURVA!$G$6:$G$20)</f>
        <v>#VALUE!</v>
      </c>
      <c r="C7703" s="29" t="e">
        <f t="shared" si="120"/>
        <v>#VALUE!</v>
      </c>
      <c r="E7703" t="e">
        <f>cubic_spline(CURVA!$B$6:$B$20,CURVA!$G$6:$G$20,#REF!)</f>
        <v>#VALUE!</v>
      </c>
    </row>
    <row r="7704" spans="1:5" x14ac:dyDescent="0.2">
      <c r="A7704" s="28">
        <v>7703</v>
      </c>
      <c r="B7704" s="28" t="e">
        <f>interpola(#REF!,CURVA!$B$6:$B$20,CURVA!$G$6:$G$20)</f>
        <v>#VALUE!</v>
      </c>
      <c r="C7704" s="29" t="e">
        <f t="shared" si="120"/>
        <v>#VALUE!</v>
      </c>
      <c r="E7704" t="e">
        <f>cubic_spline(CURVA!$B$6:$B$20,CURVA!$G$6:$G$20,#REF!)</f>
        <v>#VALUE!</v>
      </c>
    </row>
    <row r="7705" spans="1:5" x14ac:dyDescent="0.2">
      <c r="A7705" s="28">
        <v>7704</v>
      </c>
      <c r="B7705" s="28" t="e">
        <f>interpola(#REF!,CURVA!$B$6:$B$20,CURVA!$G$6:$G$20)</f>
        <v>#VALUE!</v>
      </c>
      <c r="C7705" s="29" t="e">
        <f t="shared" si="120"/>
        <v>#VALUE!</v>
      </c>
      <c r="E7705" t="e">
        <f>cubic_spline(CURVA!$B$6:$B$20,CURVA!$G$6:$G$20,#REF!)</f>
        <v>#VALUE!</v>
      </c>
    </row>
    <row r="7706" spans="1:5" x14ac:dyDescent="0.2">
      <c r="A7706" s="28">
        <v>7705</v>
      </c>
      <c r="B7706" s="28" t="e">
        <f>interpola(#REF!,CURVA!$B$6:$B$20,CURVA!$G$6:$G$20)</f>
        <v>#VALUE!</v>
      </c>
      <c r="C7706" s="29" t="e">
        <f t="shared" si="120"/>
        <v>#VALUE!</v>
      </c>
      <c r="E7706" t="e">
        <f>cubic_spline(CURVA!$B$6:$B$20,CURVA!$G$6:$G$20,#REF!)</f>
        <v>#VALUE!</v>
      </c>
    </row>
    <row r="7707" spans="1:5" x14ac:dyDescent="0.2">
      <c r="A7707" s="28">
        <v>7706</v>
      </c>
      <c r="B7707" s="28" t="e">
        <f>interpola(#REF!,CURVA!$B$6:$B$20,CURVA!$G$6:$G$20)</f>
        <v>#VALUE!</v>
      </c>
      <c r="C7707" s="29" t="e">
        <f t="shared" si="120"/>
        <v>#VALUE!</v>
      </c>
      <c r="E7707" t="e">
        <f>cubic_spline(CURVA!$B$6:$B$20,CURVA!$G$6:$G$20,#REF!)</f>
        <v>#VALUE!</v>
      </c>
    </row>
    <row r="7708" spans="1:5" x14ac:dyDescent="0.2">
      <c r="A7708" s="28">
        <v>7707</v>
      </c>
      <c r="B7708" s="28" t="e">
        <f>interpola(#REF!,CURVA!$B$6:$B$20,CURVA!$G$6:$G$20)</f>
        <v>#VALUE!</v>
      </c>
      <c r="C7708" s="29" t="e">
        <f t="shared" si="120"/>
        <v>#VALUE!</v>
      </c>
      <c r="E7708" t="e">
        <f>cubic_spline(CURVA!$B$6:$B$20,CURVA!$G$6:$G$20,#REF!)</f>
        <v>#VALUE!</v>
      </c>
    </row>
    <row r="7709" spans="1:5" x14ac:dyDescent="0.2">
      <c r="A7709" s="28">
        <v>7708</v>
      </c>
      <c r="B7709" s="28" t="e">
        <f>interpola(#REF!,CURVA!$B$6:$B$20,CURVA!$G$6:$G$20)</f>
        <v>#VALUE!</v>
      </c>
      <c r="C7709" s="29" t="e">
        <f t="shared" si="120"/>
        <v>#VALUE!</v>
      </c>
      <c r="E7709" t="e">
        <f>cubic_spline(CURVA!$B$6:$B$20,CURVA!$G$6:$G$20,#REF!)</f>
        <v>#VALUE!</v>
      </c>
    </row>
    <row r="7710" spans="1:5" x14ac:dyDescent="0.2">
      <c r="A7710" s="28">
        <v>7709</v>
      </c>
      <c r="B7710" s="28" t="e">
        <f>interpola(#REF!,CURVA!$B$6:$B$20,CURVA!$G$6:$G$20)</f>
        <v>#VALUE!</v>
      </c>
      <c r="C7710" s="29" t="e">
        <f t="shared" si="120"/>
        <v>#VALUE!</v>
      </c>
      <c r="E7710" t="e">
        <f>cubic_spline(CURVA!$B$6:$B$20,CURVA!$G$6:$G$20,#REF!)</f>
        <v>#VALUE!</v>
      </c>
    </row>
    <row r="7711" spans="1:5" x14ac:dyDescent="0.2">
      <c r="A7711" s="28">
        <v>7710</v>
      </c>
      <c r="B7711" s="28" t="e">
        <f>interpola(#REF!,CURVA!$B$6:$B$20,CURVA!$G$6:$G$20)</f>
        <v>#VALUE!</v>
      </c>
      <c r="C7711" s="29" t="e">
        <f t="shared" si="120"/>
        <v>#VALUE!</v>
      </c>
      <c r="E7711" t="e">
        <f>cubic_spline(CURVA!$B$6:$B$20,CURVA!$G$6:$G$20,#REF!)</f>
        <v>#VALUE!</v>
      </c>
    </row>
    <row r="7712" spans="1:5" x14ac:dyDescent="0.2">
      <c r="A7712" s="28">
        <v>7711</v>
      </c>
      <c r="B7712" s="28" t="e">
        <f>interpola(#REF!,CURVA!$B$6:$B$20,CURVA!$G$6:$G$20)</f>
        <v>#VALUE!</v>
      </c>
      <c r="C7712" s="29" t="e">
        <f t="shared" si="120"/>
        <v>#VALUE!</v>
      </c>
      <c r="E7712" t="e">
        <f>cubic_spline(CURVA!$B$6:$B$20,CURVA!$G$6:$G$20,#REF!)</f>
        <v>#VALUE!</v>
      </c>
    </row>
    <row r="7713" spans="1:5" x14ac:dyDescent="0.2">
      <c r="A7713" s="28">
        <v>7712</v>
      </c>
      <c r="B7713" s="28" t="e">
        <f>interpola(#REF!,CURVA!$B$6:$B$20,CURVA!$G$6:$G$20)</f>
        <v>#VALUE!</v>
      </c>
      <c r="C7713" s="29" t="e">
        <f t="shared" si="120"/>
        <v>#VALUE!</v>
      </c>
      <c r="E7713" t="e">
        <f>cubic_spline(CURVA!$B$6:$B$20,CURVA!$G$6:$G$20,#REF!)</f>
        <v>#VALUE!</v>
      </c>
    </row>
    <row r="7714" spans="1:5" x14ac:dyDescent="0.2">
      <c r="A7714" s="28">
        <v>7713</v>
      </c>
      <c r="B7714" s="28" t="e">
        <f>interpola(#REF!,CURVA!$B$6:$B$20,CURVA!$G$6:$G$20)</f>
        <v>#VALUE!</v>
      </c>
      <c r="C7714" s="29" t="e">
        <f t="shared" si="120"/>
        <v>#VALUE!</v>
      </c>
      <c r="E7714" t="e">
        <f>cubic_spline(CURVA!$B$6:$B$20,CURVA!$G$6:$G$20,#REF!)</f>
        <v>#VALUE!</v>
      </c>
    </row>
    <row r="7715" spans="1:5" x14ac:dyDescent="0.2">
      <c r="A7715" s="28">
        <v>7714</v>
      </c>
      <c r="B7715" s="28" t="e">
        <f>interpola(#REF!,CURVA!$B$6:$B$20,CURVA!$G$6:$G$20)</f>
        <v>#VALUE!</v>
      </c>
      <c r="C7715" s="29" t="e">
        <f t="shared" si="120"/>
        <v>#VALUE!</v>
      </c>
      <c r="E7715" t="e">
        <f>cubic_spline(CURVA!$B$6:$B$20,CURVA!$G$6:$G$20,#REF!)</f>
        <v>#VALUE!</v>
      </c>
    </row>
    <row r="7716" spans="1:5" x14ac:dyDescent="0.2">
      <c r="A7716" s="28">
        <v>7715</v>
      </c>
      <c r="B7716" s="28" t="e">
        <f>interpola(#REF!,CURVA!$B$6:$B$20,CURVA!$G$6:$G$20)</f>
        <v>#VALUE!</v>
      </c>
      <c r="C7716" s="29" t="e">
        <f t="shared" si="120"/>
        <v>#VALUE!</v>
      </c>
      <c r="E7716" t="e">
        <f>cubic_spline(CURVA!$B$6:$B$20,CURVA!$G$6:$G$20,#REF!)</f>
        <v>#VALUE!</v>
      </c>
    </row>
    <row r="7717" spans="1:5" x14ac:dyDescent="0.2">
      <c r="A7717" s="28">
        <v>7716</v>
      </c>
      <c r="B7717" s="28" t="e">
        <f>interpola(#REF!,CURVA!$B$6:$B$20,CURVA!$G$6:$G$20)</f>
        <v>#VALUE!</v>
      </c>
      <c r="C7717" s="29" t="e">
        <f t="shared" si="120"/>
        <v>#VALUE!</v>
      </c>
      <c r="E7717" t="e">
        <f>cubic_spline(CURVA!$B$6:$B$20,CURVA!$G$6:$G$20,#REF!)</f>
        <v>#VALUE!</v>
      </c>
    </row>
    <row r="7718" spans="1:5" x14ac:dyDescent="0.2">
      <c r="A7718" s="28">
        <v>7717</v>
      </c>
      <c r="B7718" s="28" t="e">
        <f>interpola(#REF!,CURVA!$B$6:$B$20,CURVA!$G$6:$G$20)</f>
        <v>#VALUE!</v>
      </c>
      <c r="C7718" s="29" t="e">
        <f t="shared" si="120"/>
        <v>#VALUE!</v>
      </c>
      <c r="E7718" t="e">
        <f>cubic_spline(CURVA!$B$6:$B$20,CURVA!$G$6:$G$20,#REF!)</f>
        <v>#VALUE!</v>
      </c>
    </row>
    <row r="7719" spans="1:5" x14ac:dyDescent="0.2">
      <c r="A7719" s="28">
        <v>7718</v>
      </c>
      <c r="B7719" s="28" t="e">
        <f>interpola(#REF!,CURVA!$B$6:$B$20,CURVA!$G$6:$G$20)</f>
        <v>#VALUE!</v>
      </c>
      <c r="C7719" s="29" t="e">
        <f t="shared" si="120"/>
        <v>#VALUE!</v>
      </c>
      <c r="E7719" t="e">
        <f>cubic_spline(CURVA!$B$6:$B$20,CURVA!$G$6:$G$20,#REF!)</f>
        <v>#VALUE!</v>
      </c>
    </row>
    <row r="7720" spans="1:5" x14ac:dyDescent="0.2">
      <c r="A7720" s="28">
        <v>7719</v>
      </c>
      <c r="B7720" s="28" t="e">
        <f>interpola(#REF!,CURVA!$B$6:$B$20,CURVA!$G$6:$G$20)</f>
        <v>#VALUE!</v>
      </c>
      <c r="C7720" s="29" t="e">
        <f t="shared" si="120"/>
        <v>#VALUE!</v>
      </c>
      <c r="E7720" t="e">
        <f>cubic_spline(CURVA!$B$6:$B$20,CURVA!$G$6:$G$20,#REF!)</f>
        <v>#VALUE!</v>
      </c>
    </row>
    <row r="7721" spans="1:5" x14ac:dyDescent="0.2">
      <c r="A7721" s="28">
        <v>7720</v>
      </c>
      <c r="B7721" s="28" t="e">
        <f>interpola(#REF!,CURVA!$B$6:$B$20,CURVA!$G$6:$G$20)</f>
        <v>#VALUE!</v>
      </c>
      <c r="C7721" s="29" t="e">
        <f t="shared" si="120"/>
        <v>#VALUE!</v>
      </c>
      <c r="E7721" t="e">
        <f>cubic_spline(CURVA!$B$6:$B$20,CURVA!$G$6:$G$20,#REF!)</f>
        <v>#VALUE!</v>
      </c>
    </row>
    <row r="7722" spans="1:5" x14ac:dyDescent="0.2">
      <c r="A7722" s="28">
        <v>7721</v>
      </c>
      <c r="B7722" s="28" t="e">
        <f>interpola(#REF!,CURVA!$B$6:$B$20,CURVA!$G$6:$G$20)</f>
        <v>#VALUE!</v>
      </c>
      <c r="C7722" s="29" t="e">
        <f t="shared" si="120"/>
        <v>#VALUE!</v>
      </c>
      <c r="E7722" t="e">
        <f>cubic_spline(CURVA!$B$6:$B$20,CURVA!$G$6:$G$20,#REF!)</f>
        <v>#VALUE!</v>
      </c>
    </row>
    <row r="7723" spans="1:5" x14ac:dyDescent="0.2">
      <c r="A7723" s="28">
        <v>7722</v>
      </c>
      <c r="B7723" s="28" t="e">
        <f>interpola(#REF!,CURVA!$B$6:$B$20,CURVA!$G$6:$G$20)</f>
        <v>#VALUE!</v>
      </c>
      <c r="C7723" s="29" t="e">
        <f t="shared" si="120"/>
        <v>#VALUE!</v>
      </c>
      <c r="E7723" t="e">
        <f>cubic_spline(CURVA!$B$6:$B$20,CURVA!$G$6:$G$20,#REF!)</f>
        <v>#VALUE!</v>
      </c>
    </row>
    <row r="7724" spans="1:5" x14ac:dyDescent="0.2">
      <c r="A7724" s="28">
        <v>7723</v>
      </c>
      <c r="B7724" s="28" t="e">
        <f>interpola(#REF!,CURVA!$B$6:$B$20,CURVA!$G$6:$G$20)</f>
        <v>#VALUE!</v>
      </c>
      <c r="C7724" s="29" t="e">
        <f t="shared" si="120"/>
        <v>#VALUE!</v>
      </c>
      <c r="E7724" t="e">
        <f>cubic_spline(CURVA!$B$6:$B$20,CURVA!$G$6:$G$20,#REF!)</f>
        <v>#VALUE!</v>
      </c>
    </row>
    <row r="7725" spans="1:5" x14ac:dyDescent="0.2">
      <c r="A7725" s="28">
        <v>7724</v>
      </c>
      <c r="B7725" s="28" t="e">
        <f>interpola(#REF!,CURVA!$B$6:$B$20,CURVA!$G$6:$G$20)</f>
        <v>#VALUE!</v>
      </c>
      <c r="C7725" s="29" t="e">
        <f t="shared" si="120"/>
        <v>#VALUE!</v>
      </c>
      <c r="E7725" t="e">
        <f>cubic_spline(CURVA!$B$6:$B$20,CURVA!$G$6:$G$20,#REF!)</f>
        <v>#VALUE!</v>
      </c>
    </row>
    <row r="7726" spans="1:5" x14ac:dyDescent="0.2">
      <c r="A7726" s="28">
        <v>7725</v>
      </c>
      <c r="B7726" s="28" t="e">
        <f>interpola(#REF!,CURVA!$B$6:$B$20,CURVA!$G$6:$G$20)</f>
        <v>#VALUE!</v>
      </c>
      <c r="C7726" s="29" t="e">
        <f t="shared" si="120"/>
        <v>#VALUE!</v>
      </c>
      <c r="E7726" t="e">
        <f>cubic_spline(CURVA!$B$6:$B$20,CURVA!$G$6:$G$20,#REF!)</f>
        <v>#VALUE!</v>
      </c>
    </row>
    <row r="7727" spans="1:5" x14ac:dyDescent="0.2">
      <c r="A7727" s="28">
        <v>7726</v>
      </c>
      <c r="B7727" s="28" t="e">
        <f>interpola(#REF!,CURVA!$B$6:$B$20,CURVA!$G$6:$G$20)</f>
        <v>#VALUE!</v>
      </c>
      <c r="C7727" s="29" t="e">
        <f t="shared" si="120"/>
        <v>#VALUE!</v>
      </c>
      <c r="E7727" t="e">
        <f>cubic_spline(CURVA!$B$6:$B$20,CURVA!$G$6:$G$20,#REF!)</f>
        <v>#VALUE!</v>
      </c>
    </row>
    <row r="7728" spans="1:5" x14ac:dyDescent="0.2">
      <c r="A7728" s="28">
        <v>7727</v>
      </c>
      <c r="B7728" s="28" t="e">
        <f>interpola(#REF!,CURVA!$B$6:$B$20,CURVA!$G$6:$G$20)</f>
        <v>#VALUE!</v>
      </c>
      <c r="C7728" s="29" t="e">
        <f t="shared" si="120"/>
        <v>#VALUE!</v>
      </c>
      <c r="E7728" t="e">
        <f>cubic_spline(CURVA!$B$6:$B$20,CURVA!$G$6:$G$20,#REF!)</f>
        <v>#VALUE!</v>
      </c>
    </row>
    <row r="7729" spans="1:5" x14ac:dyDescent="0.2">
      <c r="A7729" s="28">
        <v>7728</v>
      </c>
      <c r="B7729" s="28" t="e">
        <f>interpola(#REF!,CURVA!$B$6:$B$20,CURVA!$G$6:$G$20)</f>
        <v>#VALUE!</v>
      </c>
      <c r="C7729" s="29" t="e">
        <f t="shared" si="120"/>
        <v>#VALUE!</v>
      </c>
      <c r="E7729" t="e">
        <f>cubic_spline(CURVA!$B$6:$B$20,CURVA!$G$6:$G$20,#REF!)</f>
        <v>#VALUE!</v>
      </c>
    </row>
    <row r="7730" spans="1:5" x14ac:dyDescent="0.2">
      <c r="A7730" s="28">
        <v>7729</v>
      </c>
      <c r="B7730" s="28" t="e">
        <f>interpola(#REF!,CURVA!$B$6:$B$20,CURVA!$G$6:$G$20)</f>
        <v>#VALUE!</v>
      </c>
      <c r="C7730" s="29" t="e">
        <f t="shared" si="120"/>
        <v>#VALUE!</v>
      </c>
      <c r="E7730" t="e">
        <f>cubic_spline(CURVA!$B$6:$B$20,CURVA!$G$6:$G$20,#REF!)</f>
        <v>#VALUE!</v>
      </c>
    </row>
    <row r="7731" spans="1:5" x14ac:dyDescent="0.2">
      <c r="A7731" s="28">
        <v>7730</v>
      </c>
      <c r="B7731" s="28" t="e">
        <f>interpola(#REF!,CURVA!$B$6:$B$20,CURVA!$G$6:$G$20)</f>
        <v>#VALUE!</v>
      </c>
      <c r="C7731" s="29" t="e">
        <f t="shared" si="120"/>
        <v>#VALUE!</v>
      </c>
      <c r="E7731" t="e">
        <f>cubic_spline(CURVA!$B$6:$B$20,CURVA!$G$6:$G$20,#REF!)</f>
        <v>#VALUE!</v>
      </c>
    </row>
    <row r="7732" spans="1:5" x14ac:dyDescent="0.2">
      <c r="A7732" s="28">
        <v>7731</v>
      </c>
      <c r="B7732" s="28" t="e">
        <f>interpola(#REF!,CURVA!$B$6:$B$20,CURVA!$G$6:$G$20)</f>
        <v>#VALUE!</v>
      </c>
      <c r="C7732" s="29" t="e">
        <f t="shared" si="120"/>
        <v>#VALUE!</v>
      </c>
      <c r="E7732" t="e">
        <f>cubic_spline(CURVA!$B$6:$B$20,CURVA!$G$6:$G$20,#REF!)</f>
        <v>#VALUE!</v>
      </c>
    </row>
    <row r="7733" spans="1:5" x14ac:dyDescent="0.2">
      <c r="A7733" s="28">
        <v>7732</v>
      </c>
      <c r="B7733" s="28" t="e">
        <f>interpola(#REF!,CURVA!$B$6:$B$20,CURVA!$G$6:$G$20)</f>
        <v>#VALUE!</v>
      </c>
      <c r="C7733" s="29" t="e">
        <f t="shared" si="120"/>
        <v>#VALUE!</v>
      </c>
      <c r="E7733" t="e">
        <f>cubic_spline(CURVA!$B$6:$B$20,CURVA!$G$6:$G$20,#REF!)</f>
        <v>#VALUE!</v>
      </c>
    </row>
    <row r="7734" spans="1:5" x14ac:dyDescent="0.2">
      <c r="A7734" s="28">
        <v>7733</v>
      </c>
      <c r="B7734" s="28" t="e">
        <f>interpola(#REF!,CURVA!$B$6:$B$20,CURVA!$G$6:$G$20)</f>
        <v>#VALUE!</v>
      </c>
      <c r="C7734" s="29" t="e">
        <f t="shared" si="120"/>
        <v>#VALUE!</v>
      </c>
      <c r="E7734" t="e">
        <f>cubic_spline(CURVA!$B$6:$B$20,CURVA!$G$6:$G$20,#REF!)</f>
        <v>#VALUE!</v>
      </c>
    </row>
    <row r="7735" spans="1:5" x14ac:dyDescent="0.2">
      <c r="A7735" s="28">
        <v>7734</v>
      </c>
      <c r="B7735" s="28" t="e">
        <f>interpola(#REF!,CURVA!$B$6:$B$20,CURVA!$G$6:$G$20)</f>
        <v>#VALUE!</v>
      </c>
      <c r="C7735" s="29" t="e">
        <f t="shared" si="120"/>
        <v>#VALUE!</v>
      </c>
      <c r="E7735" t="e">
        <f>cubic_spline(CURVA!$B$6:$B$20,CURVA!$G$6:$G$20,#REF!)</f>
        <v>#VALUE!</v>
      </c>
    </row>
    <row r="7736" spans="1:5" x14ac:dyDescent="0.2">
      <c r="A7736" s="28">
        <v>7735</v>
      </c>
      <c r="B7736" s="28" t="e">
        <f>interpola(#REF!,CURVA!$B$6:$B$20,CURVA!$G$6:$G$20)</f>
        <v>#VALUE!</v>
      </c>
      <c r="C7736" s="29" t="e">
        <f t="shared" si="120"/>
        <v>#VALUE!</v>
      </c>
      <c r="E7736" t="e">
        <f>cubic_spline(CURVA!$B$6:$B$20,CURVA!$G$6:$G$20,#REF!)</f>
        <v>#VALUE!</v>
      </c>
    </row>
    <row r="7737" spans="1:5" x14ac:dyDescent="0.2">
      <c r="A7737" s="28">
        <v>7736</v>
      </c>
      <c r="B7737" s="28" t="e">
        <f>interpola(#REF!,CURVA!$B$6:$B$20,CURVA!$G$6:$G$20)</f>
        <v>#VALUE!</v>
      </c>
      <c r="C7737" s="29" t="e">
        <f t="shared" si="120"/>
        <v>#VALUE!</v>
      </c>
      <c r="E7737" t="e">
        <f>cubic_spline(CURVA!$B$6:$B$20,CURVA!$G$6:$G$20,#REF!)</f>
        <v>#VALUE!</v>
      </c>
    </row>
    <row r="7738" spans="1:5" x14ac:dyDescent="0.2">
      <c r="A7738" s="28">
        <v>7737</v>
      </c>
      <c r="B7738" s="28" t="e">
        <f>interpola(#REF!,CURVA!$B$6:$B$20,CURVA!$G$6:$G$20)</f>
        <v>#VALUE!</v>
      </c>
      <c r="C7738" s="29" t="e">
        <f t="shared" si="120"/>
        <v>#VALUE!</v>
      </c>
      <c r="E7738" t="e">
        <f>cubic_spline(CURVA!$B$6:$B$20,CURVA!$G$6:$G$20,#REF!)</f>
        <v>#VALUE!</v>
      </c>
    </row>
    <row r="7739" spans="1:5" x14ac:dyDescent="0.2">
      <c r="A7739" s="28">
        <v>7738</v>
      </c>
      <c r="B7739" s="28" t="e">
        <f>interpola(#REF!,CURVA!$B$6:$B$20,CURVA!$G$6:$G$20)</f>
        <v>#VALUE!</v>
      </c>
      <c r="C7739" s="29" t="e">
        <f t="shared" si="120"/>
        <v>#VALUE!</v>
      </c>
      <c r="E7739" t="e">
        <f>cubic_spline(CURVA!$B$6:$B$20,CURVA!$G$6:$G$20,#REF!)</f>
        <v>#VALUE!</v>
      </c>
    </row>
    <row r="7740" spans="1:5" x14ac:dyDescent="0.2">
      <c r="A7740" s="28">
        <v>7739</v>
      </c>
      <c r="B7740" s="28" t="e">
        <f>interpola(#REF!,CURVA!$B$6:$B$20,CURVA!$G$6:$G$20)</f>
        <v>#VALUE!</v>
      </c>
      <c r="C7740" s="29" t="e">
        <f t="shared" si="120"/>
        <v>#VALUE!</v>
      </c>
      <c r="E7740" t="e">
        <f>cubic_spline(CURVA!$B$6:$B$20,CURVA!$G$6:$G$20,#REF!)</f>
        <v>#VALUE!</v>
      </c>
    </row>
    <row r="7741" spans="1:5" x14ac:dyDescent="0.2">
      <c r="A7741" s="28">
        <v>7740</v>
      </c>
      <c r="B7741" s="28" t="e">
        <f>interpola(#REF!,CURVA!$B$6:$B$20,CURVA!$G$6:$G$20)</f>
        <v>#VALUE!</v>
      </c>
      <c r="C7741" s="29" t="e">
        <f t="shared" si="120"/>
        <v>#VALUE!</v>
      </c>
      <c r="E7741" t="e">
        <f>cubic_spline(CURVA!$B$6:$B$20,CURVA!$G$6:$G$20,#REF!)</f>
        <v>#VALUE!</v>
      </c>
    </row>
    <row r="7742" spans="1:5" x14ac:dyDescent="0.2">
      <c r="A7742" s="28">
        <v>7741</v>
      </c>
      <c r="B7742" s="28" t="e">
        <f>interpola(#REF!,CURVA!$B$6:$B$20,CURVA!$G$6:$G$20)</f>
        <v>#VALUE!</v>
      </c>
      <c r="C7742" s="29" t="e">
        <f t="shared" si="120"/>
        <v>#VALUE!</v>
      </c>
      <c r="E7742" t="e">
        <f>cubic_spline(CURVA!$B$6:$B$20,CURVA!$G$6:$G$20,#REF!)</f>
        <v>#VALUE!</v>
      </c>
    </row>
    <row r="7743" spans="1:5" x14ac:dyDescent="0.2">
      <c r="A7743" s="28">
        <v>7742</v>
      </c>
      <c r="B7743" s="28" t="e">
        <f>interpola(#REF!,CURVA!$B$6:$B$20,CURVA!$G$6:$G$20)</f>
        <v>#VALUE!</v>
      </c>
      <c r="C7743" s="29" t="e">
        <f t="shared" si="120"/>
        <v>#VALUE!</v>
      </c>
      <c r="E7743" t="e">
        <f>cubic_spline(CURVA!$B$6:$B$20,CURVA!$G$6:$G$20,#REF!)</f>
        <v>#VALUE!</v>
      </c>
    </row>
    <row r="7744" spans="1:5" x14ac:dyDescent="0.2">
      <c r="A7744" s="28">
        <v>7743</v>
      </c>
      <c r="B7744" s="28" t="e">
        <f>interpola(#REF!,CURVA!$B$6:$B$20,CURVA!$G$6:$G$20)</f>
        <v>#VALUE!</v>
      </c>
      <c r="C7744" s="29" t="e">
        <f t="shared" si="120"/>
        <v>#VALUE!</v>
      </c>
      <c r="E7744" t="e">
        <f>cubic_spline(CURVA!$B$6:$B$20,CURVA!$G$6:$G$20,#REF!)</f>
        <v>#VALUE!</v>
      </c>
    </row>
    <row r="7745" spans="1:5" x14ac:dyDescent="0.2">
      <c r="A7745" s="28">
        <v>7744</v>
      </c>
      <c r="B7745" s="28" t="e">
        <f>interpola(#REF!,CURVA!$B$6:$B$20,CURVA!$G$6:$G$20)</f>
        <v>#VALUE!</v>
      </c>
      <c r="C7745" s="29" t="e">
        <f t="shared" si="120"/>
        <v>#VALUE!</v>
      </c>
      <c r="E7745" t="e">
        <f>cubic_spline(CURVA!$B$6:$B$20,CURVA!$G$6:$G$20,#REF!)</f>
        <v>#VALUE!</v>
      </c>
    </row>
    <row r="7746" spans="1:5" x14ac:dyDescent="0.2">
      <c r="A7746" s="28">
        <v>7745</v>
      </c>
      <c r="B7746" s="28" t="e">
        <f>interpola(#REF!,CURVA!$B$6:$B$20,CURVA!$G$6:$G$20)</f>
        <v>#VALUE!</v>
      </c>
      <c r="C7746" s="29" t="e">
        <f t="shared" ref="C7746:C7809" si="121">(EXP(B7746*A7746/360)-1)*360/A7746</f>
        <v>#VALUE!</v>
      </c>
      <c r="E7746" t="e">
        <f>cubic_spline(CURVA!$B$6:$B$20,CURVA!$G$6:$G$20,#REF!)</f>
        <v>#VALUE!</v>
      </c>
    </row>
    <row r="7747" spans="1:5" x14ac:dyDescent="0.2">
      <c r="A7747" s="28">
        <v>7746</v>
      </c>
      <c r="B7747" s="28" t="e">
        <f>interpola(#REF!,CURVA!$B$6:$B$20,CURVA!$G$6:$G$20)</f>
        <v>#VALUE!</v>
      </c>
      <c r="C7747" s="29" t="e">
        <f t="shared" si="121"/>
        <v>#VALUE!</v>
      </c>
      <c r="E7747" t="e">
        <f>cubic_spline(CURVA!$B$6:$B$20,CURVA!$G$6:$G$20,#REF!)</f>
        <v>#VALUE!</v>
      </c>
    </row>
    <row r="7748" spans="1:5" x14ac:dyDescent="0.2">
      <c r="A7748" s="28">
        <v>7747</v>
      </c>
      <c r="B7748" s="28" t="e">
        <f>interpola(#REF!,CURVA!$B$6:$B$20,CURVA!$G$6:$G$20)</f>
        <v>#VALUE!</v>
      </c>
      <c r="C7748" s="29" t="e">
        <f t="shared" si="121"/>
        <v>#VALUE!</v>
      </c>
      <c r="E7748" t="e">
        <f>cubic_spline(CURVA!$B$6:$B$20,CURVA!$G$6:$G$20,#REF!)</f>
        <v>#VALUE!</v>
      </c>
    </row>
    <row r="7749" spans="1:5" x14ac:dyDescent="0.2">
      <c r="A7749" s="28">
        <v>7748</v>
      </c>
      <c r="B7749" s="28" t="e">
        <f>interpola(#REF!,CURVA!$B$6:$B$20,CURVA!$G$6:$G$20)</f>
        <v>#VALUE!</v>
      </c>
      <c r="C7749" s="29" t="e">
        <f t="shared" si="121"/>
        <v>#VALUE!</v>
      </c>
      <c r="E7749" t="e">
        <f>cubic_spline(CURVA!$B$6:$B$20,CURVA!$G$6:$G$20,#REF!)</f>
        <v>#VALUE!</v>
      </c>
    </row>
    <row r="7750" spans="1:5" x14ac:dyDescent="0.2">
      <c r="A7750" s="28">
        <v>7749</v>
      </c>
      <c r="B7750" s="28" t="e">
        <f>interpola(#REF!,CURVA!$B$6:$B$20,CURVA!$G$6:$G$20)</f>
        <v>#VALUE!</v>
      </c>
      <c r="C7750" s="29" t="e">
        <f t="shared" si="121"/>
        <v>#VALUE!</v>
      </c>
      <c r="E7750" t="e">
        <f>cubic_spline(CURVA!$B$6:$B$20,CURVA!$G$6:$G$20,#REF!)</f>
        <v>#VALUE!</v>
      </c>
    </row>
    <row r="7751" spans="1:5" x14ac:dyDescent="0.2">
      <c r="A7751" s="28">
        <v>7750</v>
      </c>
      <c r="B7751" s="28" t="e">
        <f>interpola(#REF!,CURVA!$B$6:$B$20,CURVA!$G$6:$G$20)</f>
        <v>#VALUE!</v>
      </c>
      <c r="C7751" s="29" t="e">
        <f t="shared" si="121"/>
        <v>#VALUE!</v>
      </c>
      <c r="E7751" t="e">
        <f>cubic_spline(CURVA!$B$6:$B$20,CURVA!$G$6:$G$20,#REF!)</f>
        <v>#VALUE!</v>
      </c>
    </row>
    <row r="7752" spans="1:5" x14ac:dyDescent="0.2">
      <c r="A7752" s="28">
        <v>7751</v>
      </c>
      <c r="B7752" s="28" t="e">
        <f>interpola(#REF!,CURVA!$B$6:$B$20,CURVA!$G$6:$G$20)</f>
        <v>#VALUE!</v>
      </c>
      <c r="C7752" s="29" t="e">
        <f t="shared" si="121"/>
        <v>#VALUE!</v>
      </c>
      <c r="E7752" t="e">
        <f>cubic_spline(CURVA!$B$6:$B$20,CURVA!$G$6:$G$20,#REF!)</f>
        <v>#VALUE!</v>
      </c>
    </row>
    <row r="7753" spans="1:5" x14ac:dyDescent="0.2">
      <c r="A7753" s="28">
        <v>7752</v>
      </c>
      <c r="B7753" s="28" t="e">
        <f>interpola(#REF!,CURVA!$B$6:$B$20,CURVA!$G$6:$G$20)</f>
        <v>#VALUE!</v>
      </c>
      <c r="C7753" s="29" t="e">
        <f t="shared" si="121"/>
        <v>#VALUE!</v>
      </c>
      <c r="E7753" t="e">
        <f>cubic_spline(CURVA!$B$6:$B$20,CURVA!$G$6:$G$20,#REF!)</f>
        <v>#VALUE!</v>
      </c>
    </row>
    <row r="7754" spans="1:5" x14ac:dyDescent="0.2">
      <c r="A7754" s="28">
        <v>7753</v>
      </c>
      <c r="B7754" s="28" t="e">
        <f>interpola(#REF!,CURVA!$B$6:$B$20,CURVA!$G$6:$G$20)</f>
        <v>#VALUE!</v>
      </c>
      <c r="C7754" s="29" t="e">
        <f t="shared" si="121"/>
        <v>#VALUE!</v>
      </c>
      <c r="E7754" t="e">
        <f>cubic_spline(CURVA!$B$6:$B$20,CURVA!$G$6:$G$20,#REF!)</f>
        <v>#VALUE!</v>
      </c>
    </row>
    <row r="7755" spans="1:5" x14ac:dyDescent="0.2">
      <c r="A7755" s="28">
        <v>7754</v>
      </c>
      <c r="B7755" s="28" t="e">
        <f>interpola(#REF!,CURVA!$B$6:$B$20,CURVA!$G$6:$G$20)</f>
        <v>#VALUE!</v>
      </c>
      <c r="C7755" s="29" t="e">
        <f t="shared" si="121"/>
        <v>#VALUE!</v>
      </c>
      <c r="E7755" t="e">
        <f>cubic_spline(CURVA!$B$6:$B$20,CURVA!$G$6:$G$20,#REF!)</f>
        <v>#VALUE!</v>
      </c>
    </row>
    <row r="7756" spans="1:5" x14ac:dyDescent="0.2">
      <c r="A7756" s="28">
        <v>7755</v>
      </c>
      <c r="B7756" s="28" t="e">
        <f>interpola(#REF!,CURVA!$B$6:$B$20,CURVA!$G$6:$G$20)</f>
        <v>#VALUE!</v>
      </c>
      <c r="C7756" s="29" t="e">
        <f t="shared" si="121"/>
        <v>#VALUE!</v>
      </c>
      <c r="E7756" t="e">
        <f>cubic_spline(CURVA!$B$6:$B$20,CURVA!$G$6:$G$20,#REF!)</f>
        <v>#VALUE!</v>
      </c>
    </row>
    <row r="7757" spans="1:5" x14ac:dyDescent="0.2">
      <c r="A7757" s="28">
        <v>7756</v>
      </c>
      <c r="B7757" s="28" t="e">
        <f>interpola(#REF!,CURVA!$B$6:$B$20,CURVA!$G$6:$G$20)</f>
        <v>#VALUE!</v>
      </c>
      <c r="C7757" s="29" t="e">
        <f t="shared" si="121"/>
        <v>#VALUE!</v>
      </c>
      <c r="E7757" t="e">
        <f>cubic_spline(CURVA!$B$6:$B$20,CURVA!$G$6:$G$20,#REF!)</f>
        <v>#VALUE!</v>
      </c>
    </row>
    <row r="7758" spans="1:5" x14ac:dyDescent="0.2">
      <c r="A7758" s="28">
        <v>7757</v>
      </c>
      <c r="B7758" s="28" t="e">
        <f>interpola(#REF!,CURVA!$B$6:$B$20,CURVA!$G$6:$G$20)</f>
        <v>#VALUE!</v>
      </c>
      <c r="C7758" s="29" t="e">
        <f t="shared" si="121"/>
        <v>#VALUE!</v>
      </c>
      <c r="E7758" t="e">
        <f>cubic_spline(CURVA!$B$6:$B$20,CURVA!$G$6:$G$20,#REF!)</f>
        <v>#VALUE!</v>
      </c>
    </row>
    <row r="7759" spans="1:5" x14ac:dyDescent="0.2">
      <c r="A7759" s="28">
        <v>7758</v>
      </c>
      <c r="B7759" s="28" t="e">
        <f>interpola(#REF!,CURVA!$B$6:$B$20,CURVA!$G$6:$G$20)</f>
        <v>#VALUE!</v>
      </c>
      <c r="C7759" s="29" t="e">
        <f t="shared" si="121"/>
        <v>#VALUE!</v>
      </c>
      <c r="E7759" t="e">
        <f>cubic_spline(CURVA!$B$6:$B$20,CURVA!$G$6:$G$20,#REF!)</f>
        <v>#VALUE!</v>
      </c>
    </row>
    <row r="7760" spans="1:5" x14ac:dyDescent="0.2">
      <c r="A7760" s="28">
        <v>7759</v>
      </c>
      <c r="B7760" s="28" t="e">
        <f>interpola(#REF!,CURVA!$B$6:$B$20,CURVA!$G$6:$G$20)</f>
        <v>#VALUE!</v>
      </c>
      <c r="C7760" s="29" t="e">
        <f t="shared" si="121"/>
        <v>#VALUE!</v>
      </c>
      <c r="E7760" t="e">
        <f>cubic_spline(CURVA!$B$6:$B$20,CURVA!$G$6:$G$20,#REF!)</f>
        <v>#VALUE!</v>
      </c>
    </row>
    <row r="7761" spans="1:5" x14ac:dyDescent="0.2">
      <c r="A7761" s="28">
        <v>7760</v>
      </c>
      <c r="B7761" s="28" t="e">
        <f>interpola(#REF!,CURVA!$B$6:$B$20,CURVA!$G$6:$G$20)</f>
        <v>#VALUE!</v>
      </c>
      <c r="C7761" s="29" t="e">
        <f t="shared" si="121"/>
        <v>#VALUE!</v>
      </c>
      <c r="E7761" t="e">
        <f>cubic_spline(CURVA!$B$6:$B$20,CURVA!$G$6:$G$20,#REF!)</f>
        <v>#VALUE!</v>
      </c>
    </row>
    <row r="7762" spans="1:5" x14ac:dyDescent="0.2">
      <c r="A7762" s="28">
        <v>7761</v>
      </c>
      <c r="B7762" s="28" t="e">
        <f>interpola(#REF!,CURVA!$B$6:$B$20,CURVA!$G$6:$G$20)</f>
        <v>#VALUE!</v>
      </c>
      <c r="C7762" s="29" t="e">
        <f t="shared" si="121"/>
        <v>#VALUE!</v>
      </c>
      <c r="E7762" t="e">
        <f>cubic_spline(CURVA!$B$6:$B$20,CURVA!$G$6:$G$20,#REF!)</f>
        <v>#VALUE!</v>
      </c>
    </row>
    <row r="7763" spans="1:5" x14ac:dyDescent="0.2">
      <c r="A7763" s="28">
        <v>7762</v>
      </c>
      <c r="B7763" s="28" t="e">
        <f>interpola(#REF!,CURVA!$B$6:$B$20,CURVA!$G$6:$G$20)</f>
        <v>#VALUE!</v>
      </c>
      <c r="C7763" s="29" t="e">
        <f t="shared" si="121"/>
        <v>#VALUE!</v>
      </c>
      <c r="E7763" t="e">
        <f>cubic_spline(CURVA!$B$6:$B$20,CURVA!$G$6:$G$20,#REF!)</f>
        <v>#VALUE!</v>
      </c>
    </row>
    <row r="7764" spans="1:5" x14ac:dyDescent="0.2">
      <c r="A7764" s="28">
        <v>7763</v>
      </c>
      <c r="B7764" s="28" t="e">
        <f>interpola(#REF!,CURVA!$B$6:$B$20,CURVA!$G$6:$G$20)</f>
        <v>#VALUE!</v>
      </c>
      <c r="C7764" s="29" t="e">
        <f t="shared" si="121"/>
        <v>#VALUE!</v>
      </c>
      <c r="E7764" t="e">
        <f>cubic_spline(CURVA!$B$6:$B$20,CURVA!$G$6:$G$20,#REF!)</f>
        <v>#VALUE!</v>
      </c>
    </row>
    <row r="7765" spans="1:5" x14ac:dyDescent="0.2">
      <c r="A7765" s="28">
        <v>7764</v>
      </c>
      <c r="B7765" s="28" t="e">
        <f>interpola(#REF!,CURVA!$B$6:$B$20,CURVA!$G$6:$G$20)</f>
        <v>#VALUE!</v>
      </c>
      <c r="C7765" s="29" t="e">
        <f t="shared" si="121"/>
        <v>#VALUE!</v>
      </c>
      <c r="E7765" t="e">
        <f>cubic_spline(CURVA!$B$6:$B$20,CURVA!$G$6:$G$20,#REF!)</f>
        <v>#VALUE!</v>
      </c>
    </row>
    <row r="7766" spans="1:5" x14ac:dyDescent="0.2">
      <c r="A7766" s="28">
        <v>7765</v>
      </c>
      <c r="B7766" s="28" t="e">
        <f>interpola(#REF!,CURVA!$B$6:$B$20,CURVA!$G$6:$G$20)</f>
        <v>#VALUE!</v>
      </c>
      <c r="C7766" s="29" t="e">
        <f t="shared" si="121"/>
        <v>#VALUE!</v>
      </c>
      <c r="E7766" t="e">
        <f>cubic_spline(CURVA!$B$6:$B$20,CURVA!$G$6:$G$20,#REF!)</f>
        <v>#VALUE!</v>
      </c>
    </row>
    <row r="7767" spans="1:5" x14ac:dyDescent="0.2">
      <c r="A7767" s="28">
        <v>7766</v>
      </c>
      <c r="B7767" s="28" t="e">
        <f>interpola(#REF!,CURVA!$B$6:$B$20,CURVA!$G$6:$G$20)</f>
        <v>#VALUE!</v>
      </c>
      <c r="C7767" s="29" t="e">
        <f t="shared" si="121"/>
        <v>#VALUE!</v>
      </c>
      <c r="E7767" t="e">
        <f>cubic_spline(CURVA!$B$6:$B$20,CURVA!$G$6:$G$20,#REF!)</f>
        <v>#VALUE!</v>
      </c>
    </row>
    <row r="7768" spans="1:5" x14ac:dyDescent="0.2">
      <c r="A7768" s="28">
        <v>7767</v>
      </c>
      <c r="B7768" s="28" t="e">
        <f>interpola(#REF!,CURVA!$B$6:$B$20,CURVA!$G$6:$G$20)</f>
        <v>#VALUE!</v>
      </c>
      <c r="C7768" s="29" t="e">
        <f t="shared" si="121"/>
        <v>#VALUE!</v>
      </c>
      <c r="E7768" t="e">
        <f>cubic_spline(CURVA!$B$6:$B$20,CURVA!$G$6:$G$20,#REF!)</f>
        <v>#VALUE!</v>
      </c>
    </row>
    <row r="7769" spans="1:5" x14ac:dyDescent="0.2">
      <c r="A7769" s="28">
        <v>7768</v>
      </c>
      <c r="B7769" s="28" t="e">
        <f>interpola(#REF!,CURVA!$B$6:$B$20,CURVA!$G$6:$G$20)</f>
        <v>#VALUE!</v>
      </c>
      <c r="C7769" s="29" t="e">
        <f t="shared" si="121"/>
        <v>#VALUE!</v>
      </c>
      <c r="E7769" t="e">
        <f>cubic_spline(CURVA!$B$6:$B$20,CURVA!$G$6:$G$20,#REF!)</f>
        <v>#VALUE!</v>
      </c>
    </row>
    <row r="7770" spans="1:5" x14ac:dyDescent="0.2">
      <c r="A7770" s="28">
        <v>7769</v>
      </c>
      <c r="B7770" s="28" t="e">
        <f>interpola(#REF!,CURVA!$B$6:$B$20,CURVA!$G$6:$G$20)</f>
        <v>#VALUE!</v>
      </c>
      <c r="C7770" s="29" t="e">
        <f t="shared" si="121"/>
        <v>#VALUE!</v>
      </c>
      <c r="E7770" t="e">
        <f>cubic_spline(CURVA!$B$6:$B$20,CURVA!$G$6:$G$20,#REF!)</f>
        <v>#VALUE!</v>
      </c>
    </row>
    <row r="7771" spans="1:5" x14ac:dyDescent="0.2">
      <c r="A7771" s="28">
        <v>7770</v>
      </c>
      <c r="B7771" s="28" t="e">
        <f>interpola(#REF!,CURVA!$B$6:$B$20,CURVA!$G$6:$G$20)</f>
        <v>#VALUE!</v>
      </c>
      <c r="C7771" s="29" t="e">
        <f t="shared" si="121"/>
        <v>#VALUE!</v>
      </c>
      <c r="E7771" t="e">
        <f>cubic_spline(CURVA!$B$6:$B$20,CURVA!$G$6:$G$20,#REF!)</f>
        <v>#VALUE!</v>
      </c>
    </row>
    <row r="7772" spans="1:5" x14ac:dyDescent="0.2">
      <c r="A7772" s="28">
        <v>7771</v>
      </c>
      <c r="B7772" s="28" t="e">
        <f>interpola(#REF!,CURVA!$B$6:$B$20,CURVA!$G$6:$G$20)</f>
        <v>#VALUE!</v>
      </c>
      <c r="C7772" s="29" t="e">
        <f t="shared" si="121"/>
        <v>#VALUE!</v>
      </c>
      <c r="E7772" t="e">
        <f>cubic_spline(CURVA!$B$6:$B$20,CURVA!$G$6:$G$20,#REF!)</f>
        <v>#VALUE!</v>
      </c>
    </row>
    <row r="7773" spans="1:5" x14ac:dyDescent="0.2">
      <c r="A7773" s="28">
        <v>7772</v>
      </c>
      <c r="B7773" s="28" t="e">
        <f>interpola(#REF!,CURVA!$B$6:$B$20,CURVA!$G$6:$G$20)</f>
        <v>#VALUE!</v>
      </c>
      <c r="C7773" s="29" t="e">
        <f t="shared" si="121"/>
        <v>#VALUE!</v>
      </c>
      <c r="E7773" t="e">
        <f>cubic_spline(CURVA!$B$6:$B$20,CURVA!$G$6:$G$20,#REF!)</f>
        <v>#VALUE!</v>
      </c>
    </row>
    <row r="7774" spans="1:5" x14ac:dyDescent="0.2">
      <c r="A7774" s="28">
        <v>7773</v>
      </c>
      <c r="B7774" s="28" t="e">
        <f>interpola(#REF!,CURVA!$B$6:$B$20,CURVA!$G$6:$G$20)</f>
        <v>#VALUE!</v>
      </c>
      <c r="C7774" s="29" t="e">
        <f t="shared" si="121"/>
        <v>#VALUE!</v>
      </c>
      <c r="E7774" t="e">
        <f>cubic_spline(CURVA!$B$6:$B$20,CURVA!$G$6:$G$20,#REF!)</f>
        <v>#VALUE!</v>
      </c>
    </row>
    <row r="7775" spans="1:5" x14ac:dyDescent="0.2">
      <c r="A7775" s="28">
        <v>7774</v>
      </c>
      <c r="B7775" s="28" t="e">
        <f>interpola(#REF!,CURVA!$B$6:$B$20,CURVA!$G$6:$G$20)</f>
        <v>#VALUE!</v>
      </c>
      <c r="C7775" s="29" t="e">
        <f t="shared" si="121"/>
        <v>#VALUE!</v>
      </c>
      <c r="E7775" t="e">
        <f>cubic_spline(CURVA!$B$6:$B$20,CURVA!$G$6:$G$20,#REF!)</f>
        <v>#VALUE!</v>
      </c>
    </row>
    <row r="7776" spans="1:5" x14ac:dyDescent="0.2">
      <c r="A7776" s="28">
        <v>7775</v>
      </c>
      <c r="B7776" s="28" t="e">
        <f>interpola(#REF!,CURVA!$B$6:$B$20,CURVA!$G$6:$G$20)</f>
        <v>#VALUE!</v>
      </c>
      <c r="C7776" s="29" t="e">
        <f t="shared" si="121"/>
        <v>#VALUE!</v>
      </c>
      <c r="E7776" t="e">
        <f>cubic_spline(CURVA!$B$6:$B$20,CURVA!$G$6:$G$20,#REF!)</f>
        <v>#VALUE!</v>
      </c>
    </row>
    <row r="7777" spans="1:5" x14ac:dyDescent="0.2">
      <c r="A7777" s="28">
        <v>7776</v>
      </c>
      <c r="B7777" s="28" t="e">
        <f>interpola(#REF!,CURVA!$B$6:$B$20,CURVA!$G$6:$G$20)</f>
        <v>#VALUE!</v>
      </c>
      <c r="C7777" s="29" t="e">
        <f t="shared" si="121"/>
        <v>#VALUE!</v>
      </c>
      <c r="E7777" t="e">
        <f>cubic_spline(CURVA!$B$6:$B$20,CURVA!$G$6:$G$20,#REF!)</f>
        <v>#VALUE!</v>
      </c>
    </row>
    <row r="7778" spans="1:5" x14ac:dyDescent="0.2">
      <c r="A7778" s="28">
        <v>7777</v>
      </c>
      <c r="B7778" s="28" t="e">
        <f>interpola(#REF!,CURVA!$B$6:$B$20,CURVA!$G$6:$G$20)</f>
        <v>#VALUE!</v>
      </c>
      <c r="C7778" s="29" t="e">
        <f t="shared" si="121"/>
        <v>#VALUE!</v>
      </c>
      <c r="E7778" t="e">
        <f>cubic_spline(CURVA!$B$6:$B$20,CURVA!$G$6:$G$20,#REF!)</f>
        <v>#VALUE!</v>
      </c>
    </row>
    <row r="7779" spans="1:5" x14ac:dyDescent="0.2">
      <c r="A7779" s="28">
        <v>7778</v>
      </c>
      <c r="B7779" s="28" t="e">
        <f>interpola(#REF!,CURVA!$B$6:$B$20,CURVA!$G$6:$G$20)</f>
        <v>#VALUE!</v>
      </c>
      <c r="C7779" s="29" t="e">
        <f t="shared" si="121"/>
        <v>#VALUE!</v>
      </c>
      <c r="E7779" t="e">
        <f>cubic_spline(CURVA!$B$6:$B$20,CURVA!$G$6:$G$20,#REF!)</f>
        <v>#VALUE!</v>
      </c>
    </row>
    <row r="7780" spans="1:5" x14ac:dyDescent="0.2">
      <c r="A7780" s="28">
        <v>7779</v>
      </c>
      <c r="B7780" s="28" t="e">
        <f>interpola(#REF!,CURVA!$B$6:$B$20,CURVA!$G$6:$G$20)</f>
        <v>#VALUE!</v>
      </c>
      <c r="C7780" s="29" t="e">
        <f t="shared" si="121"/>
        <v>#VALUE!</v>
      </c>
      <c r="E7780" t="e">
        <f>cubic_spline(CURVA!$B$6:$B$20,CURVA!$G$6:$G$20,#REF!)</f>
        <v>#VALUE!</v>
      </c>
    </row>
    <row r="7781" spans="1:5" x14ac:dyDescent="0.2">
      <c r="A7781" s="28">
        <v>7780</v>
      </c>
      <c r="B7781" s="28" t="e">
        <f>interpola(#REF!,CURVA!$B$6:$B$20,CURVA!$G$6:$G$20)</f>
        <v>#VALUE!</v>
      </c>
      <c r="C7781" s="29" t="e">
        <f t="shared" si="121"/>
        <v>#VALUE!</v>
      </c>
      <c r="E7781" t="e">
        <f>cubic_spline(CURVA!$B$6:$B$20,CURVA!$G$6:$G$20,#REF!)</f>
        <v>#VALUE!</v>
      </c>
    </row>
    <row r="7782" spans="1:5" x14ac:dyDescent="0.2">
      <c r="A7782" s="28">
        <v>7781</v>
      </c>
      <c r="B7782" s="28" t="e">
        <f>interpola(#REF!,CURVA!$B$6:$B$20,CURVA!$G$6:$G$20)</f>
        <v>#VALUE!</v>
      </c>
      <c r="C7782" s="29" t="e">
        <f t="shared" si="121"/>
        <v>#VALUE!</v>
      </c>
      <c r="E7782" t="e">
        <f>cubic_spline(CURVA!$B$6:$B$20,CURVA!$G$6:$G$20,#REF!)</f>
        <v>#VALUE!</v>
      </c>
    </row>
    <row r="7783" spans="1:5" x14ac:dyDescent="0.2">
      <c r="A7783" s="28">
        <v>7782</v>
      </c>
      <c r="B7783" s="28" t="e">
        <f>interpola(#REF!,CURVA!$B$6:$B$20,CURVA!$G$6:$G$20)</f>
        <v>#VALUE!</v>
      </c>
      <c r="C7783" s="29" t="e">
        <f t="shared" si="121"/>
        <v>#VALUE!</v>
      </c>
      <c r="E7783" t="e">
        <f>cubic_spline(CURVA!$B$6:$B$20,CURVA!$G$6:$G$20,#REF!)</f>
        <v>#VALUE!</v>
      </c>
    </row>
    <row r="7784" spans="1:5" x14ac:dyDescent="0.2">
      <c r="A7784" s="28">
        <v>7783</v>
      </c>
      <c r="B7784" s="28" t="e">
        <f>interpola(#REF!,CURVA!$B$6:$B$20,CURVA!$G$6:$G$20)</f>
        <v>#VALUE!</v>
      </c>
      <c r="C7784" s="29" t="e">
        <f t="shared" si="121"/>
        <v>#VALUE!</v>
      </c>
      <c r="E7784" t="e">
        <f>cubic_spline(CURVA!$B$6:$B$20,CURVA!$G$6:$G$20,#REF!)</f>
        <v>#VALUE!</v>
      </c>
    </row>
    <row r="7785" spans="1:5" x14ac:dyDescent="0.2">
      <c r="A7785" s="28">
        <v>7784</v>
      </c>
      <c r="B7785" s="28" t="e">
        <f>interpola(#REF!,CURVA!$B$6:$B$20,CURVA!$G$6:$G$20)</f>
        <v>#VALUE!</v>
      </c>
      <c r="C7785" s="29" t="e">
        <f t="shared" si="121"/>
        <v>#VALUE!</v>
      </c>
      <c r="E7785" t="e">
        <f>cubic_spline(CURVA!$B$6:$B$20,CURVA!$G$6:$G$20,#REF!)</f>
        <v>#VALUE!</v>
      </c>
    </row>
    <row r="7786" spans="1:5" x14ac:dyDescent="0.2">
      <c r="A7786" s="28">
        <v>7785</v>
      </c>
      <c r="B7786" s="28" t="e">
        <f>interpola(#REF!,CURVA!$B$6:$B$20,CURVA!$G$6:$G$20)</f>
        <v>#VALUE!</v>
      </c>
      <c r="C7786" s="29" t="e">
        <f t="shared" si="121"/>
        <v>#VALUE!</v>
      </c>
      <c r="E7786" t="e">
        <f>cubic_spline(CURVA!$B$6:$B$20,CURVA!$G$6:$G$20,#REF!)</f>
        <v>#VALUE!</v>
      </c>
    </row>
    <row r="7787" spans="1:5" x14ac:dyDescent="0.2">
      <c r="A7787" s="28">
        <v>7786</v>
      </c>
      <c r="B7787" s="28" t="e">
        <f>interpola(#REF!,CURVA!$B$6:$B$20,CURVA!$G$6:$G$20)</f>
        <v>#VALUE!</v>
      </c>
      <c r="C7787" s="29" t="e">
        <f t="shared" si="121"/>
        <v>#VALUE!</v>
      </c>
      <c r="E7787" t="e">
        <f>cubic_spline(CURVA!$B$6:$B$20,CURVA!$G$6:$G$20,#REF!)</f>
        <v>#VALUE!</v>
      </c>
    </row>
    <row r="7788" spans="1:5" x14ac:dyDescent="0.2">
      <c r="A7788" s="28">
        <v>7787</v>
      </c>
      <c r="B7788" s="28" t="e">
        <f>interpola(#REF!,CURVA!$B$6:$B$20,CURVA!$G$6:$G$20)</f>
        <v>#VALUE!</v>
      </c>
      <c r="C7788" s="29" t="e">
        <f t="shared" si="121"/>
        <v>#VALUE!</v>
      </c>
      <c r="E7788" t="e">
        <f>cubic_spline(CURVA!$B$6:$B$20,CURVA!$G$6:$G$20,#REF!)</f>
        <v>#VALUE!</v>
      </c>
    </row>
    <row r="7789" spans="1:5" x14ac:dyDescent="0.2">
      <c r="A7789" s="28">
        <v>7788</v>
      </c>
      <c r="B7789" s="28" t="e">
        <f>interpola(#REF!,CURVA!$B$6:$B$20,CURVA!$G$6:$G$20)</f>
        <v>#VALUE!</v>
      </c>
      <c r="C7789" s="29" t="e">
        <f t="shared" si="121"/>
        <v>#VALUE!</v>
      </c>
      <c r="E7789" t="e">
        <f>cubic_spline(CURVA!$B$6:$B$20,CURVA!$G$6:$G$20,#REF!)</f>
        <v>#VALUE!</v>
      </c>
    </row>
    <row r="7790" spans="1:5" x14ac:dyDescent="0.2">
      <c r="A7790" s="28">
        <v>7789</v>
      </c>
      <c r="B7790" s="28" t="e">
        <f>interpola(#REF!,CURVA!$B$6:$B$20,CURVA!$G$6:$G$20)</f>
        <v>#VALUE!</v>
      </c>
      <c r="C7790" s="29" t="e">
        <f t="shared" si="121"/>
        <v>#VALUE!</v>
      </c>
      <c r="E7790" t="e">
        <f>cubic_spline(CURVA!$B$6:$B$20,CURVA!$G$6:$G$20,#REF!)</f>
        <v>#VALUE!</v>
      </c>
    </row>
    <row r="7791" spans="1:5" x14ac:dyDescent="0.2">
      <c r="A7791" s="28">
        <v>7790</v>
      </c>
      <c r="B7791" s="28" t="e">
        <f>interpola(#REF!,CURVA!$B$6:$B$20,CURVA!$G$6:$G$20)</f>
        <v>#VALUE!</v>
      </c>
      <c r="C7791" s="29" t="e">
        <f t="shared" si="121"/>
        <v>#VALUE!</v>
      </c>
      <c r="E7791" t="e">
        <f>cubic_spline(CURVA!$B$6:$B$20,CURVA!$G$6:$G$20,#REF!)</f>
        <v>#VALUE!</v>
      </c>
    </row>
    <row r="7792" spans="1:5" x14ac:dyDescent="0.2">
      <c r="A7792" s="28">
        <v>7791</v>
      </c>
      <c r="B7792" s="28" t="e">
        <f>interpola(#REF!,CURVA!$B$6:$B$20,CURVA!$G$6:$G$20)</f>
        <v>#VALUE!</v>
      </c>
      <c r="C7792" s="29" t="e">
        <f t="shared" si="121"/>
        <v>#VALUE!</v>
      </c>
      <c r="E7792" t="e">
        <f>cubic_spline(CURVA!$B$6:$B$20,CURVA!$G$6:$G$20,#REF!)</f>
        <v>#VALUE!</v>
      </c>
    </row>
    <row r="7793" spans="1:5" x14ac:dyDescent="0.2">
      <c r="A7793" s="28">
        <v>7792</v>
      </c>
      <c r="B7793" s="28" t="e">
        <f>interpola(#REF!,CURVA!$B$6:$B$20,CURVA!$G$6:$G$20)</f>
        <v>#VALUE!</v>
      </c>
      <c r="C7793" s="29" t="e">
        <f t="shared" si="121"/>
        <v>#VALUE!</v>
      </c>
      <c r="E7793" t="e">
        <f>cubic_spline(CURVA!$B$6:$B$20,CURVA!$G$6:$G$20,#REF!)</f>
        <v>#VALUE!</v>
      </c>
    </row>
    <row r="7794" spans="1:5" x14ac:dyDescent="0.2">
      <c r="A7794" s="28">
        <v>7793</v>
      </c>
      <c r="B7794" s="28" t="e">
        <f>interpola(#REF!,CURVA!$B$6:$B$20,CURVA!$G$6:$G$20)</f>
        <v>#VALUE!</v>
      </c>
      <c r="C7794" s="29" t="e">
        <f t="shared" si="121"/>
        <v>#VALUE!</v>
      </c>
      <c r="E7794" t="e">
        <f>cubic_spline(CURVA!$B$6:$B$20,CURVA!$G$6:$G$20,#REF!)</f>
        <v>#VALUE!</v>
      </c>
    </row>
    <row r="7795" spans="1:5" x14ac:dyDescent="0.2">
      <c r="A7795" s="28">
        <v>7794</v>
      </c>
      <c r="B7795" s="28" t="e">
        <f>interpola(#REF!,CURVA!$B$6:$B$20,CURVA!$G$6:$G$20)</f>
        <v>#VALUE!</v>
      </c>
      <c r="C7795" s="29" t="e">
        <f t="shared" si="121"/>
        <v>#VALUE!</v>
      </c>
      <c r="E7795" t="e">
        <f>cubic_spline(CURVA!$B$6:$B$20,CURVA!$G$6:$G$20,#REF!)</f>
        <v>#VALUE!</v>
      </c>
    </row>
    <row r="7796" spans="1:5" x14ac:dyDescent="0.2">
      <c r="A7796" s="28">
        <v>7795</v>
      </c>
      <c r="B7796" s="28" t="e">
        <f>interpola(#REF!,CURVA!$B$6:$B$20,CURVA!$G$6:$G$20)</f>
        <v>#VALUE!</v>
      </c>
      <c r="C7796" s="29" t="e">
        <f t="shared" si="121"/>
        <v>#VALUE!</v>
      </c>
      <c r="E7796" t="e">
        <f>cubic_spline(CURVA!$B$6:$B$20,CURVA!$G$6:$G$20,#REF!)</f>
        <v>#VALUE!</v>
      </c>
    </row>
    <row r="7797" spans="1:5" x14ac:dyDescent="0.2">
      <c r="A7797" s="28">
        <v>7796</v>
      </c>
      <c r="B7797" s="28" t="e">
        <f>interpola(#REF!,CURVA!$B$6:$B$20,CURVA!$G$6:$G$20)</f>
        <v>#VALUE!</v>
      </c>
      <c r="C7797" s="29" t="e">
        <f t="shared" si="121"/>
        <v>#VALUE!</v>
      </c>
      <c r="E7797" t="e">
        <f>cubic_spline(CURVA!$B$6:$B$20,CURVA!$G$6:$G$20,#REF!)</f>
        <v>#VALUE!</v>
      </c>
    </row>
    <row r="7798" spans="1:5" x14ac:dyDescent="0.2">
      <c r="A7798" s="28">
        <v>7797</v>
      </c>
      <c r="B7798" s="28" t="e">
        <f>interpola(#REF!,CURVA!$B$6:$B$20,CURVA!$G$6:$G$20)</f>
        <v>#VALUE!</v>
      </c>
      <c r="C7798" s="29" t="e">
        <f t="shared" si="121"/>
        <v>#VALUE!</v>
      </c>
      <c r="E7798" t="e">
        <f>cubic_spline(CURVA!$B$6:$B$20,CURVA!$G$6:$G$20,#REF!)</f>
        <v>#VALUE!</v>
      </c>
    </row>
    <row r="7799" spans="1:5" x14ac:dyDescent="0.2">
      <c r="A7799" s="28">
        <v>7798</v>
      </c>
      <c r="B7799" s="28" t="e">
        <f>interpola(#REF!,CURVA!$B$6:$B$20,CURVA!$G$6:$G$20)</f>
        <v>#VALUE!</v>
      </c>
      <c r="C7799" s="29" t="e">
        <f t="shared" si="121"/>
        <v>#VALUE!</v>
      </c>
      <c r="E7799" t="e">
        <f>cubic_spline(CURVA!$B$6:$B$20,CURVA!$G$6:$G$20,#REF!)</f>
        <v>#VALUE!</v>
      </c>
    </row>
    <row r="7800" spans="1:5" x14ac:dyDescent="0.2">
      <c r="A7800" s="28">
        <v>7799</v>
      </c>
      <c r="B7800" s="28" t="e">
        <f>interpola(#REF!,CURVA!$B$6:$B$20,CURVA!$G$6:$G$20)</f>
        <v>#VALUE!</v>
      </c>
      <c r="C7800" s="29" t="e">
        <f t="shared" si="121"/>
        <v>#VALUE!</v>
      </c>
      <c r="E7800" t="e">
        <f>cubic_spline(CURVA!$B$6:$B$20,CURVA!$G$6:$G$20,#REF!)</f>
        <v>#VALUE!</v>
      </c>
    </row>
    <row r="7801" spans="1:5" x14ac:dyDescent="0.2">
      <c r="A7801" s="28">
        <v>7800</v>
      </c>
      <c r="B7801" s="28" t="e">
        <f>interpola(#REF!,CURVA!$B$6:$B$20,CURVA!$G$6:$G$20)</f>
        <v>#VALUE!</v>
      </c>
      <c r="C7801" s="29" t="e">
        <f t="shared" si="121"/>
        <v>#VALUE!</v>
      </c>
      <c r="E7801" t="e">
        <f>cubic_spline(CURVA!$B$6:$B$20,CURVA!$G$6:$G$20,#REF!)</f>
        <v>#VALUE!</v>
      </c>
    </row>
    <row r="7802" spans="1:5" x14ac:dyDescent="0.2">
      <c r="A7802" s="28">
        <v>7801</v>
      </c>
      <c r="B7802" s="28" t="e">
        <f>interpola(#REF!,CURVA!$B$6:$B$20,CURVA!$G$6:$G$20)</f>
        <v>#VALUE!</v>
      </c>
      <c r="C7802" s="29" t="e">
        <f t="shared" si="121"/>
        <v>#VALUE!</v>
      </c>
      <c r="E7802" t="e">
        <f>cubic_spline(CURVA!$B$6:$B$20,CURVA!$G$6:$G$20,#REF!)</f>
        <v>#VALUE!</v>
      </c>
    </row>
    <row r="7803" spans="1:5" x14ac:dyDescent="0.2">
      <c r="A7803" s="28">
        <v>7802</v>
      </c>
      <c r="B7803" s="28" t="e">
        <f>interpola(#REF!,CURVA!$B$6:$B$20,CURVA!$G$6:$G$20)</f>
        <v>#VALUE!</v>
      </c>
      <c r="C7803" s="29" t="e">
        <f t="shared" si="121"/>
        <v>#VALUE!</v>
      </c>
      <c r="E7803" t="e">
        <f>cubic_spline(CURVA!$B$6:$B$20,CURVA!$G$6:$G$20,#REF!)</f>
        <v>#VALUE!</v>
      </c>
    </row>
    <row r="7804" spans="1:5" x14ac:dyDescent="0.2">
      <c r="A7804" s="28">
        <v>7803</v>
      </c>
      <c r="B7804" s="28" t="e">
        <f>interpola(#REF!,CURVA!$B$6:$B$20,CURVA!$G$6:$G$20)</f>
        <v>#VALUE!</v>
      </c>
      <c r="C7804" s="29" t="e">
        <f t="shared" si="121"/>
        <v>#VALUE!</v>
      </c>
      <c r="E7804" t="e">
        <f>cubic_spline(CURVA!$B$6:$B$20,CURVA!$G$6:$G$20,#REF!)</f>
        <v>#VALUE!</v>
      </c>
    </row>
    <row r="7805" spans="1:5" x14ac:dyDescent="0.2">
      <c r="A7805" s="28">
        <v>7804</v>
      </c>
      <c r="B7805" s="28" t="e">
        <f>interpola(#REF!,CURVA!$B$6:$B$20,CURVA!$G$6:$G$20)</f>
        <v>#VALUE!</v>
      </c>
      <c r="C7805" s="29" t="e">
        <f t="shared" si="121"/>
        <v>#VALUE!</v>
      </c>
      <c r="E7805" t="e">
        <f>cubic_spline(CURVA!$B$6:$B$20,CURVA!$G$6:$G$20,#REF!)</f>
        <v>#VALUE!</v>
      </c>
    </row>
    <row r="7806" spans="1:5" x14ac:dyDescent="0.2">
      <c r="A7806" s="28">
        <v>7805</v>
      </c>
      <c r="B7806" s="28" t="e">
        <f>interpola(#REF!,CURVA!$B$6:$B$20,CURVA!$G$6:$G$20)</f>
        <v>#VALUE!</v>
      </c>
      <c r="C7806" s="29" t="e">
        <f t="shared" si="121"/>
        <v>#VALUE!</v>
      </c>
      <c r="E7806" t="e">
        <f>cubic_spline(CURVA!$B$6:$B$20,CURVA!$G$6:$G$20,#REF!)</f>
        <v>#VALUE!</v>
      </c>
    </row>
    <row r="7807" spans="1:5" x14ac:dyDescent="0.2">
      <c r="A7807" s="28">
        <v>7806</v>
      </c>
      <c r="B7807" s="28" t="e">
        <f>interpola(#REF!,CURVA!$B$6:$B$20,CURVA!$G$6:$G$20)</f>
        <v>#VALUE!</v>
      </c>
      <c r="C7807" s="29" t="e">
        <f t="shared" si="121"/>
        <v>#VALUE!</v>
      </c>
      <c r="E7807" t="e">
        <f>cubic_spline(CURVA!$B$6:$B$20,CURVA!$G$6:$G$20,#REF!)</f>
        <v>#VALUE!</v>
      </c>
    </row>
    <row r="7808" spans="1:5" x14ac:dyDescent="0.2">
      <c r="A7808" s="28">
        <v>7807</v>
      </c>
      <c r="B7808" s="28" t="e">
        <f>interpola(#REF!,CURVA!$B$6:$B$20,CURVA!$G$6:$G$20)</f>
        <v>#VALUE!</v>
      </c>
      <c r="C7808" s="29" t="e">
        <f t="shared" si="121"/>
        <v>#VALUE!</v>
      </c>
      <c r="E7808" t="e">
        <f>cubic_spline(CURVA!$B$6:$B$20,CURVA!$G$6:$G$20,#REF!)</f>
        <v>#VALUE!</v>
      </c>
    </row>
    <row r="7809" spans="1:5" x14ac:dyDescent="0.2">
      <c r="A7809" s="28">
        <v>7808</v>
      </c>
      <c r="B7809" s="28" t="e">
        <f>interpola(#REF!,CURVA!$B$6:$B$20,CURVA!$G$6:$G$20)</f>
        <v>#VALUE!</v>
      </c>
      <c r="C7809" s="29" t="e">
        <f t="shared" si="121"/>
        <v>#VALUE!</v>
      </c>
      <c r="E7809" t="e">
        <f>cubic_spline(CURVA!$B$6:$B$20,CURVA!$G$6:$G$20,#REF!)</f>
        <v>#VALUE!</v>
      </c>
    </row>
    <row r="7810" spans="1:5" x14ac:dyDescent="0.2">
      <c r="A7810" s="28">
        <v>7809</v>
      </c>
      <c r="B7810" s="28" t="e">
        <f>interpola(#REF!,CURVA!$B$6:$B$20,CURVA!$G$6:$G$20)</f>
        <v>#VALUE!</v>
      </c>
      <c r="C7810" s="29" t="e">
        <f t="shared" ref="C7810:C7873" si="122">(EXP(B7810*A7810/360)-1)*360/A7810</f>
        <v>#VALUE!</v>
      </c>
      <c r="E7810" t="e">
        <f>cubic_spline(CURVA!$B$6:$B$20,CURVA!$G$6:$G$20,#REF!)</f>
        <v>#VALUE!</v>
      </c>
    </row>
    <row r="7811" spans="1:5" x14ac:dyDescent="0.2">
      <c r="A7811" s="28">
        <v>7810</v>
      </c>
      <c r="B7811" s="28" t="e">
        <f>interpola(#REF!,CURVA!$B$6:$B$20,CURVA!$G$6:$G$20)</f>
        <v>#VALUE!</v>
      </c>
      <c r="C7811" s="29" t="e">
        <f t="shared" si="122"/>
        <v>#VALUE!</v>
      </c>
      <c r="E7811" t="e">
        <f>cubic_spline(CURVA!$B$6:$B$20,CURVA!$G$6:$G$20,#REF!)</f>
        <v>#VALUE!</v>
      </c>
    </row>
    <row r="7812" spans="1:5" x14ac:dyDescent="0.2">
      <c r="A7812" s="28">
        <v>7811</v>
      </c>
      <c r="B7812" s="28" t="e">
        <f>interpola(#REF!,CURVA!$B$6:$B$20,CURVA!$G$6:$G$20)</f>
        <v>#VALUE!</v>
      </c>
      <c r="C7812" s="29" t="e">
        <f t="shared" si="122"/>
        <v>#VALUE!</v>
      </c>
      <c r="E7812" t="e">
        <f>cubic_spline(CURVA!$B$6:$B$20,CURVA!$G$6:$G$20,#REF!)</f>
        <v>#VALUE!</v>
      </c>
    </row>
    <row r="7813" spans="1:5" x14ac:dyDescent="0.2">
      <c r="A7813" s="28">
        <v>7812</v>
      </c>
      <c r="B7813" s="28" t="e">
        <f>interpola(#REF!,CURVA!$B$6:$B$20,CURVA!$G$6:$G$20)</f>
        <v>#VALUE!</v>
      </c>
      <c r="C7813" s="29" t="e">
        <f t="shared" si="122"/>
        <v>#VALUE!</v>
      </c>
      <c r="E7813" t="e">
        <f>cubic_spline(CURVA!$B$6:$B$20,CURVA!$G$6:$G$20,#REF!)</f>
        <v>#VALUE!</v>
      </c>
    </row>
    <row r="7814" spans="1:5" x14ac:dyDescent="0.2">
      <c r="A7814" s="28">
        <v>7813</v>
      </c>
      <c r="B7814" s="28" t="e">
        <f>interpola(#REF!,CURVA!$B$6:$B$20,CURVA!$G$6:$G$20)</f>
        <v>#VALUE!</v>
      </c>
      <c r="C7814" s="29" t="e">
        <f t="shared" si="122"/>
        <v>#VALUE!</v>
      </c>
      <c r="E7814" t="e">
        <f>cubic_spline(CURVA!$B$6:$B$20,CURVA!$G$6:$G$20,#REF!)</f>
        <v>#VALUE!</v>
      </c>
    </row>
    <row r="7815" spans="1:5" x14ac:dyDescent="0.2">
      <c r="A7815" s="28">
        <v>7814</v>
      </c>
      <c r="B7815" s="28" t="e">
        <f>interpola(#REF!,CURVA!$B$6:$B$20,CURVA!$G$6:$G$20)</f>
        <v>#VALUE!</v>
      </c>
      <c r="C7815" s="29" t="e">
        <f t="shared" si="122"/>
        <v>#VALUE!</v>
      </c>
      <c r="E7815" t="e">
        <f>cubic_spline(CURVA!$B$6:$B$20,CURVA!$G$6:$G$20,#REF!)</f>
        <v>#VALUE!</v>
      </c>
    </row>
    <row r="7816" spans="1:5" x14ac:dyDescent="0.2">
      <c r="A7816" s="28">
        <v>7815</v>
      </c>
      <c r="B7816" s="28" t="e">
        <f>interpola(#REF!,CURVA!$B$6:$B$20,CURVA!$G$6:$G$20)</f>
        <v>#VALUE!</v>
      </c>
      <c r="C7816" s="29" t="e">
        <f t="shared" si="122"/>
        <v>#VALUE!</v>
      </c>
      <c r="E7816" t="e">
        <f>cubic_spline(CURVA!$B$6:$B$20,CURVA!$G$6:$G$20,#REF!)</f>
        <v>#VALUE!</v>
      </c>
    </row>
    <row r="7817" spans="1:5" x14ac:dyDescent="0.2">
      <c r="A7817" s="28">
        <v>7816</v>
      </c>
      <c r="B7817" s="28" t="e">
        <f>interpola(#REF!,CURVA!$B$6:$B$20,CURVA!$G$6:$G$20)</f>
        <v>#VALUE!</v>
      </c>
      <c r="C7817" s="29" t="e">
        <f t="shared" si="122"/>
        <v>#VALUE!</v>
      </c>
      <c r="E7817" t="e">
        <f>cubic_spline(CURVA!$B$6:$B$20,CURVA!$G$6:$G$20,#REF!)</f>
        <v>#VALUE!</v>
      </c>
    </row>
    <row r="7818" spans="1:5" x14ac:dyDescent="0.2">
      <c r="A7818" s="28">
        <v>7817</v>
      </c>
      <c r="B7818" s="28" t="e">
        <f>interpola(#REF!,CURVA!$B$6:$B$20,CURVA!$G$6:$G$20)</f>
        <v>#VALUE!</v>
      </c>
      <c r="C7818" s="29" t="e">
        <f t="shared" si="122"/>
        <v>#VALUE!</v>
      </c>
      <c r="E7818" t="e">
        <f>cubic_spline(CURVA!$B$6:$B$20,CURVA!$G$6:$G$20,#REF!)</f>
        <v>#VALUE!</v>
      </c>
    </row>
    <row r="7819" spans="1:5" x14ac:dyDescent="0.2">
      <c r="A7819" s="28">
        <v>7818</v>
      </c>
      <c r="B7819" s="28" t="e">
        <f>interpola(#REF!,CURVA!$B$6:$B$20,CURVA!$G$6:$G$20)</f>
        <v>#VALUE!</v>
      </c>
      <c r="C7819" s="29" t="e">
        <f t="shared" si="122"/>
        <v>#VALUE!</v>
      </c>
      <c r="E7819" t="e">
        <f>cubic_spline(CURVA!$B$6:$B$20,CURVA!$G$6:$G$20,#REF!)</f>
        <v>#VALUE!</v>
      </c>
    </row>
    <row r="7820" spans="1:5" x14ac:dyDescent="0.2">
      <c r="A7820" s="28">
        <v>7819</v>
      </c>
      <c r="B7820" s="28" t="e">
        <f>interpola(#REF!,CURVA!$B$6:$B$20,CURVA!$G$6:$G$20)</f>
        <v>#VALUE!</v>
      </c>
      <c r="C7820" s="29" t="e">
        <f t="shared" si="122"/>
        <v>#VALUE!</v>
      </c>
      <c r="E7820" t="e">
        <f>cubic_spline(CURVA!$B$6:$B$20,CURVA!$G$6:$G$20,#REF!)</f>
        <v>#VALUE!</v>
      </c>
    </row>
    <row r="7821" spans="1:5" x14ac:dyDescent="0.2">
      <c r="A7821" s="28">
        <v>7820</v>
      </c>
      <c r="B7821" s="28" t="e">
        <f>interpola(#REF!,CURVA!$B$6:$B$20,CURVA!$G$6:$G$20)</f>
        <v>#VALUE!</v>
      </c>
      <c r="C7821" s="29" t="e">
        <f t="shared" si="122"/>
        <v>#VALUE!</v>
      </c>
      <c r="E7821" t="e">
        <f>cubic_spline(CURVA!$B$6:$B$20,CURVA!$G$6:$G$20,#REF!)</f>
        <v>#VALUE!</v>
      </c>
    </row>
    <row r="7822" spans="1:5" x14ac:dyDescent="0.2">
      <c r="A7822" s="28">
        <v>7821</v>
      </c>
      <c r="B7822" s="28" t="e">
        <f>interpola(#REF!,CURVA!$B$6:$B$20,CURVA!$G$6:$G$20)</f>
        <v>#VALUE!</v>
      </c>
      <c r="C7822" s="29" t="e">
        <f t="shared" si="122"/>
        <v>#VALUE!</v>
      </c>
      <c r="E7822" t="e">
        <f>cubic_spline(CURVA!$B$6:$B$20,CURVA!$G$6:$G$20,#REF!)</f>
        <v>#VALUE!</v>
      </c>
    </row>
    <row r="7823" spans="1:5" x14ac:dyDescent="0.2">
      <c r="A7823" s="28">
        <v>7822</v>
      </c>
      <c r="B7823" s="28" t="e">
        <f>interpola(#REF!,CURVA!$B$6:$B$20,CURVA!$G$6:$G$20)</f>
        <v>#VALUE!</v>
      </c>
      <c r="C7823" s="29" t="e">
        <f t="shared" si="122"/>
        <v>#VALUE!</v>
      </c>
      <c r="E7823" t="e">
        <f>cubic_spline(CURVA!$B$6:$B$20,CURVA!$G$6:$G$20,#REF!)</f>
        <v>#VALUE!</v>
      </c>
    </row>
    <row r="7824" spans="1:5" x14ac:dyDescent="0.2">
      <c r="A7824" s="28">
        <v>7823</v>
      </c>
      <c r="B7824" s="28" t="e">
        <f>interpola(#REF!,CURVA!$B$6:$B$20,CURVA!$G$6:$G$20)</f>
        <v>#VALUE!</v>
      </c>
      <c r="C7824" s="29" t="e">
        <f t="shared" si="122"/>
        <v>#VALUE!</v>
      </c>
      <c r="E7824" t="e">
        <f>cubic_spline(CURVA!$B$6:$B$20,CURVA!$G$6:$G$20,#REF!)</f>
        <v>#VALUE!</v>
      </c>
    </row>
    <row r="7825" spans="1:5" x14ac:dyDescent="0.2">
      <c r="A7825" s="28">
        <v>7824</v>
      </c>
      <c r="B7825" s="28" t="e">
        <f>interpola(#REF!,CURVA!$B$6:$B$20,CURVA!$G$6:$G$20)</f>
        <v>#VALUE!</v>
      </c>
      <c r="C7825" s="29" t="e">
        <f t="shared" si="122"/>
        <v>#VALUE!</v>
      </c>
      <c r="E7825" t="e">
        <f>cubic_spline(CURVA!$B$6:$B$20,CURVA!$G$6:$G$20,#REF!)</f>
        <v>#VALUE!</v>
      </c>
    </row>
    <row r="7826" spans="1:5" x14ac:dyDescent="0.2">
      <c r="A7826" s="28">
        <v>7825</v>
      </c>
      <c r="B7826" s="28" t="e">
        <f>interpola(#REF!,CURVA!$B$6:$B$20,CURVA!$G$6:$G$20)</f>
        <v>#VALUE!</v>
      </c>
      <c r="C7826" s="29" t="e">
        <f t="shared" si="122"/>
        <v>#VALUE!</v>
      </c>
      <c r="E7826" t="e">
        <f>cubic_spline(CURVA!$B$6:$B$20,CURVA!$G$6:$G$20,#REF!)</f>
        <v>#VALUE!</v>
      </c>
    </row>
    <row r="7827" spans="1:5" x14ac:dyDescent="0.2">
      <c r="A7827" s="28">
        <v>7826</v>
      </c>
      <c r="B7827" s="28" t="e">
        <f>interpola(#REF!,CURVA!$B$6:$B$20,CURVA!$G$6:$G$20)</f>
        <v>#VALUE!</v>
      </c>
      <c r="C7827" s="29" t="e">
        <f t="shared" si="122"/>
        <v>#VALUE!</v>
      </c>
      <c r="E7827" t="e">
        <f>cubic_spline(CURVA!$B$6:$B$20,CURVA!$G$6:$G$20,#REF!)</f>
        <v>#VALUE!</v>
      </c>
    </row>
    <row r="7828" spans="1:5" x14ac:dyDescent="0.2">
      <c r="A7828" s="28">
        <v>7827</v>
      </c>
      <c r="B7828" s="28" t="e">
        <f>interpola(#REF!,CURVA!$B$6:$B$20,CURVA!$G$6:$G$20)</f>
        <v>#VALUE!</v>
      </c>
      <c r="C7828" s="29" t="e">
        <f t="shared" si="122"/>
        <v>#VALUE!</v>
      </c>
      <c r="E7828" t="e">
        <f>cubic_spline(CURVA!$B$6:$B$20,CURVA!$G$6:$G$20,#REF!)</f>
        <v>#VALUE!</v>
      </c>
    </row>
    <row r="7829" spans="1:5" x14ac:dyDescent="0.2">
      <c r="A7829" s="28">
        <v>7828</v>
      </c>
      <c r="B7829" s="28" t="e">
        <f>interpola(#REF!,CURVA!$B$6:$B$20,CURVA!$G$6:$G$20)</f>
        <v>#VALUE!</v>
      </c>
      <c r="C7829" s="29" t="e">
        <f t="shared" si="122"/>
        <v>#VALUE!</v>
      </c>
      <c r="E7829" t="e">
        <f>cubic_spline(CURVA!$B$6:$B$20,CURVA!$G$6:$G$20,#REF!)</f>
        <v>#VALUE!</v>
      </c>
    </row>
    <row r="7830" spans="1:5" x14ac:dyDescent="0.2">
      <c r="A7830" s="28">
        <v>7829</v>
      </c>
      <c r="B7830" s="28" t="e">
        <f>interpola(#REF!,CURVA!$B$6:$B$20,CURVA!$G$6:$G$20)</f>
        <v>#VALUE!</v>
      </c>
      <c r="C7830" s="29" t="e">
        <f t="shared" si="122"/>
        <v>#VALUE!</v>
      </c>
      <c r="E7830" t="e">
        <f>cubic_spline(CURVA!$B$6:$B$20,CURVA!$G$6:$G$20,#REF!)</f>
        <v>#VALUE!</v>
      </c>
    </row>
    <row r="7831" spans="1:5" x14ac:dyDescent="0.2">
      <c r="A7831" s="28">
        <v>7830</v>
      </c>
      <c r="B7831" s="28" t="e">
        <f>interpola(#REF!,CURVA!$B$6:$B$20,CURVA!$G$6:$G$20)</f>
        <v>#VALUE!</v>
      </c>
      <c r="C7831" s="29" t="e">
        <f t="shared" si="122"/>
        <v>#VALUE!</v>
      </c>
      <c r="E7831" t="e">
        <f>cubic_spline(CURVA!$B$6:$B$20,CURVA!$G$6:$G$20,#REF!)</f>
        <v>#VALUE!</v>
      </c>
    </row>
    <row r="7832" spans="1:5" x14ac:dyDescent="0.2">
      <c r="A7832" s="28">
        <v>7831</v>
      </c>
      <c r="B7832" s="28" t="e">
        <f>interpola(#REF!,CURVA!$B$6:$B$20,CURVA!$G$6:$G$20)</f>
        <v>#VALUE!</v>
      </c>
      <c r="C7832" s="29" t="e">
        <f t="shared" si="122"/>
        <v>#VALUE!</v>
      </c>
      <c r="E7832" t="e">
        <f>cubic_spline(CURVA!$B$6:$B$20,CURVA!$G$6:$G$20,#REF!)</f>
        <v>#VALUE!</v>
      </c>
    </row>
    <row r="7833" spans="1:5" x14ac:dyDescent="0.2">
      <c r="A7833" s="28">
        <v>7832</v>
      </c>
      <c r="B7833" s="28" t="e">
        <f>interpola(#REF!,CURVA!$B$6:$B$20,CURVA!$G$6:$G$20)</f>
        <v>#VALUE!</v>
      </c>
      <c r="C7833" s="29" t="e">
        <f t="shared" si="122"/>
        <v>#VALUE!</v>
      </c>
      <c r="E7833" t="e">
        <f>cubic_spline(CURVA!$B$6:$B$20,CURVA!$G$6:$G$20,#REF!)</f>
        <v>#VALUE!</v>
      </c>
    </row>
    <row r="7834" spans="1:5" x14ac:dyDescent="0.2">
      <c r="A7834" s="28">
        <v>7833</v>
      </c>
      <c r="B7834" s="28" t="e">
        <f>interpola(#REF!,CURVA!$B$6:$B$20,CURVA!$G$6:$G$20)</f>
        <v>#VALUE!</v>
      </c>
      <c r="C7834" s="29" t="e">
        <f t="shared" si="122"/>
        <v>#VALUE!</v>
      </c>
      <c r="E7834" t="e">
        <f>cubic_spline(CURVA!$B$6:$B$20,CURVA!$G$6:$G$20,#REF!)</f>
        <v>#VALUE!</v>
      </c>
    </row>
    <row r="7835" spans="1:5" x14ac:dyDescent="0.2">
      <c r="A7835" s="28">
        <v>7834</v>
      </c>
      <c r="B7835" s="28" t="e">
        <f>interpola(#REF!,CURVA!$B$6:$B$20,CURVA!$G$6:$G$20)</f>
        <v>#VALUE!</v>
      </c>
      <c r="C7835" s="29" t="e">
        <f t="shared" si="122"/>
        <v>#VALUE!</v>
      </c>
      <c r="E7835" t="e">
        <f>cubic_spline(CURVA!$B$6:$B$20,CURVA!$G$6:$G$20,#REF!)</f>
        <v>#VALUE!</v>
      </c>
    </row>
    <row r="7836" spans="1:5" x14ac:dyDescent="0.2">
      <c r="A7836" s="28">
        <v>7835</v>
      </c>
      <c r="B7836" s="28" t="e">
        <f>interpola(#REF!,CURVA!$B$6:$B$20,CURVA!$G$6:$G$20)</f>
        <v>#VALUE!</v>
      </c>
      <c r="C7836" s="29" t="e">
        <f t="shared" si="122"/>
        <v>#VALUE!</v>
      </c>
      <c r="E7836" t="e">
        <f>cubic_spline(CURVA!$B$6:$B$20,CURVA!$G$6:$G$20,#REF!)</f>
        <v>#VALUE!</v>
      </c>
    </row>
    <row r="7837" spans="1:5" x14ac:dyDescent="0.2">
      <c r="A7837" s="28">
        <v>7836</v>
      </c>
      <c r="B7837" s="28" t="e">
        <f>interpola(#REF!,CURVA!$B$6:$B$20,CURVA!$G$6:$G$20)</f>
        <v>#VALUE!</v>
      </c>
      <c r="C7837" s="29" t="e">
        <f t="shared" si="122"/>
        <v>#VALUE!</v>
      </c>
      <c r="E7837" t="e">
        <f>cubic_spline(CURVA!$B$6:$B$20,CURVA!$G$6:$G$20,#REF!)</f>
        <v>#VALUE!</v>
      </c>
    </row>
    <row r="7838" spans="1:5" x14ac:dyDescent="0.2">
      <c r="A7838" s="28">
        <v>7837</v>
      </c>
      <c r="B7838" s="28" t="e">
        <f>interpola(#REF!,CURVA!$B$6:$B$20,CURVA!$G$6:$G$20)</f>
        <v>#VALUE!</v>
      </c>
      <c r="C7838" s="29" t="e">
        <f t="shared" si="122"/>
        <v>#VALUE!</v>
      </c>
      <c r="E7838" t="e">
        <f>cubic_spline(CURVA!$B$6:$B$20,CURVA!$G$6:$G$20,#REF!)</f>
        <v>#VALUE!</v>
      </c>
    </row>
    <row r="7839" spans="1:5" x14ac:dyDescent="0.2">
      <c r="A7839" s="28">
        <v>7838</v>
      </c>
      <c r="B7839" s="28" t="e">
        <f>interpola(#REF!,CURVA!$B$6:$B$20,CURVA!$G$6:$G$20)</f>
        <v>#VALUE!</v>
      </c>
      <c r="C7839" s="29" t="e">
        <f t="shared" si="122"/>
        <v>#VALUE!</v>
      </c>
      <c r="E7839" t="e">
        <f>cubic_spline(CURVA!$B$6:$B$20,CURVA!$G$6:$G$20,#REF!)</f>
        <v>#VALUE!</v>
      </c>
    </row>
    <row r="7840" spans="1:5" x14ac:dyDescent="0.2">
      <c r="A7840" s="28">
        <v>7839</v>
      </c>
      <c r="B7840" s="28" t="e">
        <f>interpola(#REF!,CURVA!$B$6:$B$20,CURVA!$G$6:$G$20)</f>
        <v>#VALUE!</v>
      </c>
      <c r="C7840" s="29" t="e">
        <f t="shared" si="122"/>
        <v>#VALUE!</v>
      </c>
      <c r="E7840" t="e">
        <f>cubic_spline(CURVA!$B$6:$B$20,CURVA!$G$6:$G$20,#REF!)</f>
        <v>#VALUE!</v>
      </c>
    </row>
    <row r="7841" spans="1:5" x14ac:dyDescent="0.2">
      <c r="A7841" s="28">
        <v>7840</v>
      </c>
      <c r="B7841" s="28" t="e">
        <f>interpola(#REF!,CURVA!$B$6:$B$20,CURVA!$G$6:$G$20)</f>
        <v>#VALUE!</v>
      </c>
      <c r="C7841" s="29" t="e">
        <f t="shared" si="122"/>
        <v>#VALUE!</v>
      </c>
      <c r="E7841" t="e">
        <f>cubic_spline(CURVA!$B$6:$B$20,CURVA!$G$6:$G$20,#REF!)</f>
        <v>#VALUE!</v>
      </c>
    </row>
    <row r="7842" spans="1:5" x14ac:dyDescent="0.2">
      <c r="A7842" s="28">
        <v>7841</v>
      </c>
      <c r="B7842" s="28" t="e">
        <f>interpola(#REF!,CURVA!$B$6:$B$20,CURVA!$G$6:$G$20)</f>
        <v>#VALUE!</v>
      </c>
      <c r="C7842" s="29" t="e">
        <f t="shared" si="122"/>
        <v>#VALUE!</v>
      </c>
      <c r="E7842" t="e">
        <f>cubic_spline(CURVA!$B$6:$B$20,CURVA!$G$6:$G$20,#REF!)</f>
        <v>#VALUE!</v>
      </c>
    </row>
    <row r="7843" spans="1:5" x14ac:dyDescent="0.2">
      <c r="A7843" s="28">
        <v>7842</v>
      </c>
      <c r="B7843" s="28" t="e">
        <f>interpola(#REF!,CURVA!$B$6:$B$20,CURVA!$G$6:$G$20)</f>
        <v>#VALUE!</v>
      </c>
      <c r="C7843" s="29" t="e">
        <f t="shared" si="122"/>
        <v>#VALUE!</v>
      </c>
      <c r="E7843" t="e">
        <f>cubic_spline(CURVA!$B$6:$B$20,CURVA!$G$6:$G$20,#REF!)</f>
        <v>#VALUE!</v>
      </c>
    </row>
    <row r="7844" spans="1:5" x14ac:dyDescent="0.2">
      <c r="A7844" s="28">
        <v>7843</v>
      </c>
      <c r="B7844" s="28" t="e">
        <f>interpola(#REF!,CURVA!$B$6:$B$20,CURVA!$G$6:$G$20)</f>
        <v>#VALUE!</v>
      </c>
      <c r="C7844" s="29" t="e">
        <f t="shared" si="122"/>
        <v>#VALUE!</v>
      </c>
      <c r="E7844" t="e">
        <f>cubic_spline(CURVA!$B$6:$B$20,CURVA!$G$6:$G$20,#REF!)</f>
        <v>#VALUE!</v>
      </c>
    </row>
    <row r="7845" spans="1:5" x14ac:dyDescent="0.2">
      <c r="A7845" s="28">
        <v>7844</v>
      </c>
      <c r="B7845" s="28" t="e">
        <f>interpola(#REF!,CURVA!$B$6:$B$20,CURVA!$G$6:$G$20)</f>
        <v>#VALUE!</v>
      </c>
      <c r="C7845" s="29" t="e">
        <f t="shared" si="122"/>
        <v>#VALUE!</v>
      </c>
      <c r="E7845" t="e">
        <f>cubic_spline(CURVA!$B$6:$B$20,CURVA!$G$6:$G$20,#REF!)</f>
        <v>#VALUE!</v>
      </c>
    </row>
    <row r="7846" spans="1:5" x14ac:dyDescent="0.2">
      <c r="A7846" s="28">
        <v>7845</v>
      </c>
      <c r="B7846" s="28" t="e">
        <f>interpola(#REF!,CURVA!$B$6:$B$20,CURVA!$G$6:$G$20)</f>
        <v>#VALUE!</v>
      </c>
      <c r="C7846" s="29" t="e">
        <f t="shared" si="122"/>
        <v>#VALUE!</v>
      </c>
      <c r="E7846" t="e">
        <f>cubic_spline(CURVA!$B$6:$B$20,CURVA!$G$6:$G$20,#REF!)</f>
        <v>#VALUE!</v>
      </c>
    </row>
    <row r="7847" spans="1:5" x14ac:dyDescent="0.2">
      <c r="A7847" s="28">
        <v>7846</v>
      </c>
      <c r="B7847" s="28" t="e">
        <f>interpola(#REF!,CURVA!$B$6:$B$20,CURVA!$G$6:$G$20)</f>
        <v>#VALUE!</v>
      </c>
      <c r="C7847" s="29" t="e">
        <f t="shared" si="122"/>
        <v>#VALUE!</v>
      </c>
      <c r="E7847" t="e">
        <f>cubic_spline(CURVA!$B$6:$B$20,CURVA!$G$6:$G$20,#REF!)</f>
        <v>#VALUE!</v>
      </c>
    </row>
    <row r="7848" spans="1:5" x14ac:dyDescent="0.2">
      <c r="A7848" s="28">
        <v>7847</v>
      </c>
      <c r="B7848" s="28" t="e">
        <f>interpola(#REF!,CURVA!$B$6:$B$20,CURVA!$G$6:$G$20)</f>
        <v>#VALUE!</v>
      </c>
      <c r="C7848" s="29" t="e">
        <f t="shared" si="122"/>
        <v>#VALUE!</v>
      </c>
      <c r="E7848" t="e">
        <f>cubic_spline(CURVA!$B$6:$B$20,CURVA!$G$6:$G$20,#REF!)</f>
        <v>#VALUE!</v>
      </c>
    </row>
    <row r="7849" spans="1:5" x14ac:dyDescent="0.2">
      <c r="A7849" s="28">
        <v>7848</v>
      </c>
      <c r="B7849" s="28" t="e">
        <f>interpola(#REF!,CURVA!$B$6:$B$20,CURVA!$G$6:$G$20)</f>
        <v>#VALUE!</v>
      </c>
      <c r="C7849" s="29" t="e">
        <f t="shared" si="122"/>
        <v>#VALUE!</v>
      </c>
      <c r="E7849" t="e">
        <f>cubic_spline(CURVA!$B$6:$B$20,CURVA!$G$6:$G$20,#REF!)</f>
        <v>#VALUE!</v>
      </c>
    </row>
    <row r="7850" spans="1:5" x14ac:dyDescent="0.2">
      <c r="A7850" s="28">
        <v>7849</v>
      </c>
      <c r="B7850" s="28" t="e">
        <f>interpola(#REF!,CURVA!$B$6:$B$20,CURVA!$G$6:$G$20)</f>
        <v>#VALUE!</v>
      </c>
      <c r="C7850" s="29" t="e">
        <f t="shared" si="122"/>
        <v>#VALUE!</v>
      </c>
      <c r="E7850" t="e">
        <f>cubic_spline(CURVA!$B$6:$B$20,CURVA!$G$6:$G$20,#REF!)</f>
        <v>#VALUE!</v>
      </c>
    </row>
    <row r="7851" spans="1:5" x14ac:dyDescent="0.2">
      <c r="A7851" s="28">
        <v>7850</v>
      </c>
      <c r="B7851" s="28" t="e">
        <f>interpola(#REF!,CURVA!$B$6:$B$20,CURVA!$G$6:$G$20)</f>
        <v>#VALUE!</v>
      </c>
      <c r="C7851" s="29" t="e">
        <f t="shared" si="122"/>
        <v>#VALUE!</v>
      </c>
      <c r="E7851" t="e">
        <f>cubic_spline(CURVA!$B$6:$B$20,CURVA!$G$6:$G$20,#REF!)</f>
        <v>#VALUE!</v>
      </c>
    </row>
    <row r="7852" spans="1:5" x14ac:dyDescent="0.2">
      <c r="A7852" s="28">
        <v>7851</v>
      </c>
      <c r="B7852" s="28" t="e">
        <f>interpola(#REF!,CURVA!$B$6:$B$20,CURVA!$G$6:$G$20)</f>
        <v>#VALUE!</v>
      </c>
      <c r="C7852" s="29" t="e">
        <f t="shared" si="122"/>
        <v>#VALUE!</v>
      </c>
      <c r="E7852" t="e">
        <f>cubic_spline(CURVA!$B$6:$B$20,CURVA!$G$6:$G$20,#REF!)</f>
        <v>#VALUE!</v>
      </c>
    </row>
    <row r="7853" spans="1:5" x14ac:dyDescent="0.2">
      <c r="A7853" s="28">
        <v>7852</v>
      </c>
      <c r="B7853" s="28" t="e">
        <f>interpola(#REF!,CURVA!$B$6:$B$20,CURVA!$G$6:$G$20)</f>
        <v>#VALUE!</v>
      </c>
      <c r="C7853" s="29" t="e">
        <f t="shared" si="122"/>
        <v>#VALUE!</v>
      </c>
      <c r="E7853" t="e">
        <f>cubic_spline(CURVA!$B$6:$B$20,CURVA!$G$6:$G$20,#REF!)</f>
        <v>#VALUE!</v>
      </c>
    </row>
    <row r="7854" spans="1:5" x14ac:dyDescent="0.2">
      <c r="A7854" s="28">
        <v>7853</v>
      </c>
      <c r="B7854" s="28" t="e">
        <f>interpola(#REF!,CURVA!$B$6:$B$20,CURVA!$G$6:$G$20)</f>
        <v>#VALUE!</v>
      </c>
      <c r="C7854" s="29" t="e">
        <f t="shared" si="122"/>
        <v>#VALUE!</v>
      </c>
      <c r="E7854" t="e">
        <f>cubic_spline(CURVA!$B$6:$B$20,CURVA!$G$6:$G$20,#REF!)</f>
        <v>#VALUE!</v>
      </c>
    </row>
    <row r="7855" spans="1:5" x14ac:dyDescent="0.2">
      <c r="A7855" s="28">
        <v>7854</v>
      </c>
      <c r="B7855" s="28" t="e">
        <f>interpola(#REF!,CURVA!$B$6:$B$20,CURVA!$G$6:$G$20)</f>
        <v>#VALUE!</v>
      </c>
      <c r="C7855" s="29" t="e">
        <f t="shared" si="122"/>
        <v>#VALUE!</v>
      </c>
      <c r="E7855" t="e">
        <f>cubic_spline(CURVA!$B$6:$B$20,CURVA!$G$6:$G$20,#REF!)</f>
        <v>#VALUE!</v>
      </c>
    </row>
    <row r="7856" spans="1:5" x14ac:dyDescent="0.2">
      <c r="A7856" s="28">
        <v>7855</v>
      </c>
      <c r="B7856" s="28" t="e">
        <f>interpola(#REF!,CURVA!$B$6:$B$20,CURVA!$G$6:$G$20)</f>
        <v>#VALUE!</v>
      </c>
      <c r="C7856" s="29" t="e">
        <f t="shared" si="122"/>
        <v>#VALUE!</v>
      </c>
      <c r="E7856" t="e">
        <f>cubic_spline(CURVA!$B$6:$B$20,CURVA!$G$6:$G$20,#REF!)</f>
        <v>#VALUE!</v>
      </c>
    </row>
    <row r="7857" spans="1:5" x14ac:dyDescent="0.2">
      <c r="A7857" s="28">
        <v>7856</v>
      </c>
      <c r="B7857" s="28" t="e">
        <f>interpola(#REF!,CURVA!$B$6:$B$20,CURVA!$G$6:$G$20)</f>
        <v>#VALUE!</v>
      </c>
      <c r="C7857" s="29" t="e">
        <f t="shared" si="122"/>
        <v>#VALUE!</v>
      </c>
      <c r="E7857" t="e">
        <f>cubic_spline(CURVA!$B$6:$B$20,CURVA!$G$6:$G$20,#REF!)</f>
        <v>#VALUE!</v>
      </c>
    </row>
    <row r="7858" spans="1:5" x14ac:dyDescent="0.2">
      <c r="A7858" s="28">
        <v>7857</v>
      </c>
      <c r="B7858" s="28" t="e">
        <f>interpola(#REF!,CURVA!$B$6:$B$20,CURVA!$G$6:$G$20)</f>
        <v>#VALUE!</v>
      </c>
      <c r="C7858" s="29" t="e">
        <f t="shared" si="122"/>
        <v>#VALUE!</v>
      </c>
      <c r="E7858" t="e">
        <f>cubic_spline(CURVA!$B$6:$B$20,CURVA!$G$6:$G$20,#REF!)</f>
        <v>#VALUE!</v>
      </c>
    </row>
    <row r="7859" spans="1:5" x14ac:dyDescent="0.2">
      <c r="A7859" s="28">
        <v>7858</v>
      </c>
      <c r="B7859" s="28" t="e">
        <f>interpola(#REF!,CURVA!$B$6:$B$20,CURVA!$G$6:$G$20)</f>
        <v>#VALUE!</v>
      </c>
      <c r="C7859" s="29" t="e">
        <f t="shared" si="122"/>
        <v>#VALUE!</v>
      </c>
      <c r="E7859" t="e">
        <f>cubic_spline(CURVA!$B$6:$B$20,CURVA!$G$6:$G$20,#REF!)</f>
        <v>#VALUE!</v>
      </c>
    </row>
    <row r="7860" spans="1:5" x14ac:dyDescent="0.2">
      <c r="A7860" s="28">
        <v>7859</v>
      </c>
      <c r="B7860" s="28" t="e">
        <f>interpola(#REF!,CURVA!$B$6:$B$20,CURVA!$G$6:$G$20)</f>
        <v>#VALUE!</v>
      </c>
      <c r="C7860" s="29" t="e">
        <f t="shared" si="122"/>
        <v>#VALUE!</v>
      </c>
      <c r="E7860" t="e">
        <f>cubic_spline(CURVA!$B$6:$B$20,CURVA!$G$6:$G$20,#REF!)</f>
        <v>#VALUE!</v>
      </c>
    </row>
    <row r="7861" spans="1:5" x14ac:dyDescent="0.2">
      <c r="A7861" s="28">
        <v>7860</v>
      </c>
      <c r="B7861" s="28" t="e">
        <f>interpola(#REF!,CURVA!$B$6:$B$20,CURVA!$G$6:$G$20)</f>
        <v>#VALUE!</v>
      </c>
      <c r="C7861" s="29" t="e">
        <f t="shared" si="122"/>
        <v>#VALUE!</v>
      </c>
      <c r="E7861" t="e">
        <f>cubic_spline(CURVA!$B$6:$B$20,CURVA!$G$6:$G$20,#REF!)</f>
        <v>#VALUE!</v>
      </c>
    </row>
    <row r="7862" spans="1:5" x14ac:dyDescent="0.2">
      <c r="A7862" s="28">
        <v>7861</v>
      </c>
      <c r="B7862" s="28" t="e">
        <f>interpola(#REF!,CURVA!$B$6:$B$20,CURVA!$G$6:$G$20)</f>
        <v>#VALUE!</v>
      </c>
      <c r="C7862" s="29" t="e">
        <f t="shared" si="122"/>
        <v>#VALUE!</v>
      </c>
      <c r="E7862" t="e">
        <f>cubic_spline(CURVA!$B$6:$B$20,CURVA!$G$6:$G$20,#REF!)</f>
        <v>#VALUE!</v>
      </c>
    </row>
    <row r="7863" spans="1:5" x14ac:dyDescent="0.2">
      <c r="A7863" s="28">
        <v>7862</v>
      </c>
      <c r="B7863" s="28" t="e">
        <f>interpola(#REF!,CURVA!$B$6:$B$20,CURVA!$G$6:$G$20)</f>
        <v>#VALUE!</v>
      </c>
      <c r="C7863" s="29" t="e">
        <f t="shared" si="122"/>
        <v>#VALUE!</v>
      </c>
      <c r="E7863" t="e">
        <f>cubic_spline(CURVA!$B$6:$B$20,CURVA!$G$6:$G$20,#REF!)</f>
        <v>#VALUE!</v>
      </c>
    </row>
    <row r="7864" spans="1:5" x14ac:dyDescent="0.2">
      <c r="A7864" s="28">
        <v>7863</v>
      </c>
      <c r="B7864" s="28" t="e">
        <f>interpola(#REF!,CURVA!$B$6:$B$20,CURVA!$G$6:$G$20)</f>
        <v>#VALUE!</v>
      </c>
      <c r="C7864" s="29" t="e">
        <f t="shared" si="122"/>
        <v>#VALUE!</v>
      </c>
      <c r="E7864" t="e">
        <f>cubic_spline(CURVA!$B$6:$B$20,CURVA!$G$6:$G$20,#REF!)</f>
        <v>#VALUE!</v>
      </c>
    </row>
    <row r="7865" spans="1:5" x14ac:dyDescent="0.2">
      <c r="A7865" s="28">
        <v>7864</v>
      </c>
      <c r="B7865" s="28" t="e">
        <f>interpola(#REF!,CURVA!$B$6:$B$20,CURVA!$G$6:$G$20)</f>
        <v>#VALUE!</v>
      </c>
      <c r="C7865" s="29" t="e">
        <f t="shared" si="122"/>
        <v>#VALUE!</v>
      </c>
      <c r="E7865" t="e">
        <f>cubic_spline(CURVA!$B$6:$B$20,CURVA!$G$6:$G$20,#REF!)</f>
        <v>#VALUE!</v>
      </c>
    </row>
    <row r="7866" spans="1:5" x14ac:dyDescent="0.2">
      <c r="A7866" s="28">
        <v>7865</v>
      </c>
      <c r="B7866" s="28" t="e">
        <f>interpola(#REF!,CURVA!$B$6:$B$20,CURVA!$G$6:$G$20)</f>
        <v>#VALUE!</v>
      </c>
      <c r="C7866" s="29" t="e">
        <f t="shared" si="122"/>
        <v>#VALUE!</v>
      </c>
      <c r="E7866" t="e">
        <f>cubic_spline(CURVA!$B$6:$B$20,CURVA!$G$6:$G$20,#REF!)</f>
        <v>#VALUE!</v>
      </c>
    </row>
    <row r="7867" spans="1:5" x14ac:dyDescent="0.2">
      <c r="A7867" s="28">
        <v>7866</v>
      </c>
      <c r="B7867" s="28" t="e">
        <f>interpola(#REF!,CURVA!$B$6:$B$20,CURVA!$G$6:$G$20)</f>
        <v>#VALUE!</v>
      </c>
      <c r="C7867" s="29" t="e">
        <f t="shared" si="122"/>
        <v>#VALUE!</v>
      </c>
      <c r="E7867" t="e">
        <f>cubic_spline(CURVA!$B$6:$B$20,CURVA!$G$6:$G$20,#REF!)</f>
        <v>#VALUE!</v>
      </c>
    </row>
    <row r="7868" spans="1:5" x14ac:dyDescent="0.2">
      <c r="A7868" s="28">
        <v>7867</v>
      </c>
      <c r="B7868" s="28" t="e">
        <f>interpola(#REF!,CURVA!$B$6:$B$20,CURVA!$G$6:$G$20)</f>
        <v>#VALUE!</v>
      </c>
      <c r="C7868" s="29" t="e">
        <f t="shared" si="122"/>
        <v>#VALUE!</v>
      </c>
      <c r="E7868" t="e">
        <f>cubic_spline(CURVA!$B$6:$B$20,CURVA!$G$6:$G$20,#REF!)</f>
        <v>#VALUE!</v>
      </c>
    </row>
    <row r="7869" spans="1:5" x14ac:dyDescent="0.2">
      <c r="A7869" s="28">
        <v>7868</v>
      </c>
      <c r="B7869" s="28" t="e">
        <f>interpola(#REF!,CURVA!$B$6:$B$20,CURVA!$G$6:$G$20)</f>
        <v>#VALUE!</v>
      </c>
      <c r="C7869" s="29" t="e">
        <f t="shared" si="122"/>
        <v>#VALUE!</v>
      </c>
      <c r="E7869" t="e">
        <f>cubic_spline(CURVA!$B$6:$B$20,CURVA!$G$6:$G$20,#REF!)</f>
        <v>#VALUE!</v>
      </c>
    </row>
    <row r="7870" spans="1:5" x14ac:dyDescent="0.2">
      <c r="A7870" s="28">
        <v>7869</v>
      </c>
      <c r="B7870" s="28" t="e">
        <f>interpola(#REF!,CURVA!$B$6:$B$20,CURVA!$G$6:$G$20)</f>
        <v>#VALUE!</v>
      </c>
      <c r="C7870" s="29" t="e">
        <f t="shared" si="122"/>
        <v>#VALUE!</v>
      </c>
      <c r="E7870" t="e">
        <f>cubic_spline(CURVA!$B$6:$B$20,CURVA!$G$6:$G$20,#REF!)</f>
        <v>#VALUE!</v>
      </c>
    </row>
    <row r="7871" spans="1:5" x14ac:dyDescent="0.2">
      <c r="A7871" s="28">
        <v>7870</v>
      </c>
      <c r="B7871" s="28" t="e">
        <f>interpola(#REF!,CURVA!$B$6:$B$20,CURVA!$G$6:$G$20)</f>
        <v>#VALUE!</v>
      </c>
      <c r="C7871" s="29" t="e">
        <f t="shared" si="122"/>
        <v>#VALUE!</v>
      </c>
      <c r="E7871" t="e">
        <f>cubic_spline(CURVA!$B$6:$B$20,CURVA!$G$6:$G$20,#REF!)</f>
        <v>#VALUE!</v>
      </c>
    </row>
    <row r="7872" spans="1:5" x14ac:dyDescent="0.2">
      <c r="A7872" s="28">
        <v>7871</v>
      </c>
      <c r="B7872" s="28" t="e">
        <f>interpola(#REF!,CURVA!$B$6:$B$20,CURVA!$G$6:$G$20)</f>
        <v>#VALUE!</v>
      </c>
      <c r="C7872" s="29" t="e">
        <f t="shared" si="122"/>
        <v>#VALUE!</v>
      </c>
      <c r="E7872" t="e">
        <f>cubic_spline(CURVA!$B$6:$B$20,CURVA!$G$6:$G$20,#REF!)</f>
        <v>#VALUE!</v>
      </c>
    </row>
    <row r="7873" spans="1:5" x14ac:dyDescent="0.2">
      <c r="A7873" s="28">
        <v>7872</v>
      </c>
      <c r="B7873" s="28" t="e">
        <f>interpola(#REF!,CURVA!$B$6:$B$20,CURVA!$G$6:$G$20)</f>
        <v>#VALUE!</v>
      </c>
      <c r="C7873" s="29" t="e">
        <f t="shared" si="122"/>
        <v>#VALUE!</v>
      </c>
      <c r="E7873" t="e">
        <f>cubic_spline(CURVA!$B$6:$B$20,CURVA!$G$6:$G$20,#REF!)</f>
        <v>#VALUE!</v>
      </c>
    </row>
    <row r="7874" spans="1:5" x14ac:dyDescent="0.2">
      <c r="A7874" s="28">
        <v>7873</v>
      </c>
      <c r="B7874" s="28" t="e">
        <f>interpola(#REF!,CURVA!$B$6:$B$20,CURVA!$G$6:$G$20)</f>
        <v>#VALUE!</v>
      </c>
      <c r="C7874" s="29" t="e">
        <f t="shared" ref="C7874:C7937" si="123">(EXP(B7874*A7874/360)-1)*360/A7874</f>
        <v>#VALUE!</v>
      </c>
      <c r="E7874" t="e">
        <f>cubic_spline(CURVA!$B$6:$B$20,CURVA!$G$6:$G$20,#REF!)</f>
        <v>#VALUE!</v>
      </c>
    </row>
    <row r="7875" spans="1:5" x14ac:dyDescent="0.2">
      <c r="A7875" s="28">
        <v>7874</v>
      </c>
      <c r="B7875" s="28" t="e">
        <f>interpola(#REF!,CURVA!$B$6:$B$20,CURVA!$G$6:$G$20)</f>
        <v>#VALUE!</v>
      </c>
      <c r="C7875" s="29" t="e">
        <f t="shared" si="123"/>
        <v>#VALUE!</v>
      </c>
      <c r="E7875" t="e">
        <f>cubic_spline(CURVA!$B$6:$B$20,CURVA!$G$6:$G$20,#REF!)</f>
        <v>#VALUE!</v>
      </c>
    </row>
    <row r="7876" spans="1:5" x14ac:dyDescent="0.2">
      <c r="A7876" s="28">
        <v>7875</v>
      </c>
      <c r="B7876" s="28" t="e">
        <f>interpola(#REF!,CURVA!$B$6:$B$20,CURVA!$G$6:$G$20)</f>
        <v>#VALUE!</v>
      </c>
      <c r="C7876" s="29" t="e">
        <f t="shared" si="123"/>
        <v>#VALUE!</v>
      </c>
      <c r="E7876" t="e">
        <f>cubic_spline(CURVA!$B$6:$B$20,CURVA!$G$6:$G$20,#REF!)</f>
        <v>#VALUE!</v>
      </c>
    </row>
    <row r="7877" spans="1:5" x14ac:dyDescent="0.2">
      <c r="A7877" s="28">
        <v>7876</v>
      </c>
      <c r="B7877" s="28" t="e">
        <f>interpola(#REF!,CURVA!$B$6:$B$20,CURVA!$G$6:$G$20)</f>
        <v>#VALUE!</v>
      </c>
      <c r="C7877" s="29" t="e">
        <f t="shared" si="123"/>
        <v>#VALUE!</v>
      </c>
      <c r="E7877" t="e">
        <f>cubic_spline(CURVA!$B$6:$B$20,CURVA!$G$6:$G$20,#REF!)</f>
        <v>#VALUE!</v>
      </c>
    </row>
    <row r="7878" spans="1:5" x14ac:dyDescent="0.2">
      <c r="A7878" s="28">
        <v>7877</v>
      </c>
      <c r="B7878" s="28" t="e">
        <f>interpola(#REF!,CURVA!$B$6:$B$20,CURVA!$G$6:$G$20)</f>
        <v>#VALUE!</v>
      </c>
      <c r="C7878" s="29" t="e">
        <f t="shared" si="123"/>
        <v>#VALUE!</v>
      </c>
      <c r="E7878" t="e">
        <f>cubic_spline(CURVA!$B$6:$B$20,CURVA!$G$6:$G$20,#REF!)</f>
        <v>#VALUE!</v>
      </c>
    </row>
    <row r="7879" spans="1:5" x14ac:dyDescent="0.2">
      <c r="A7879" s="28">
        <v>7878</v>
      </c>
      <c r="B7879" s="28" t="e">
        <f>interpola(#REF!,CURVA!$B$6:$B$20,CURVA!$G$6:$G$20)</f>
        <v>#VALUE!</v>
      </c>
      <c r="C7879" s="29" t="e">
        <f t="shared" si="123"/>
        <v>#VALUE!</v>
      </c>
      <c r="E7879" t="e">
        <f>cubic_spline(CURVA!$B$6:$B$20,CURVA!$G$6:$G$20,#REF!)</f>
        <v>#VALUE!</v>
      </c>
    </row>
    <row r="7880" spans="1:5" x14ac:dyDescent="0.2">
      <c r="A7880" s="28">
        <v>7879</v>
      </c>
      <c r="B7880" s="28" t="e">
        <f>interpola(#REF!,CURVA!$B$6:$B$20,CURVA!$G$6:$G$20)</f>
        <v>#VALUE!</v>
      </c>
      <c r="C7880" s="29" t="e">
        <f t="shared" si="123"/>
        <v>#VALUE!</v>
      </c>
      <c r="E7880" t="e">
        <f>cubic_spline(CURVA!$B$6:$B$20,CURVA!$G$6:$G$20,#REF!)</f>
        <v>#VALUE!</v>
      </c>
    </row>
    <row r="7881" spans="1:5" x14ac:dyDescent="0.2">
      <c r="A7881" s="28">
        <v>7880</v>
      </c>
      <c r="B7881" s="28" t="e">
        <f>interpola(#REF!,CURVA!$B$6:$B$20,CURVA!$G$6:$G$20)</f>
        <v>#VALUE!</v>
      </c>
      <c r="C7881" s="29" t="e">
        <f t="shared" si="123"/>
        <v>#VALUE!</v>
      </c>
      <c r="E7881" t="e">
        <f>cubic_spline(CURVA!$B$6:$B$20,CURVA!$G$6:$G$20,#REF!)</f>
        <v>#VALUE!</v>
      </c>
    </row>
    <row r="7882" spans="1:5" x14ac:dyDescent="0.2">
      <c r="A7882" s="28">
        <v>7881</v>
      </c>
      <c r="B7882" s="28" t="e">
        <f>interpola(#REF!,CURVA!$B$6:$B$20,CURVA!$G$6:$G$20)</f>
        <v>#VALUE!</v>
      </c>
      <c r="C7882" s="29" t="e">
        <f t="shared" si="123"/>
        <v>#VALUE!</v>
      </c>
      <c r="E7882" t="e">
        <f>cubic_spline(CURVA!$B$6:$B$20,CURVA!$G$6:$G$20,#REF!)</f>
        <v>#VALUE!</v>
      </c>
    </row>
    <row r="7883" spans="1:5" x14ac:dyDescent="0.2">
      <c r="A7883" s="28">
        <v>7882</v>
      </c>
      <c r="B7883" s="28" t="e">
        <f>interpola(#REF!,CURVA!$B$6:$B$20,CURVA!$G$6:$G$20)</f>
        <v>#VALUE!</v>
      </c>
      <c r="C7883" s="29" t="e">
        <f t="shared" si="123"/>
        <v>#VALUE!</v>
      </c>
      <c r="E7883" t="e">
        <f>cubic_spline(CURVA!$B$6:$B$20,CURVA!$G$6:$G$20,#REF!)</f>
        <v>#VALUE!</v>
      </c>
    </row>
    <row r="7884" spans="1:5" x14ac:dyDescent="0.2">
      <c r="A7884" s="28">
        <v>7883</v>
      </c>
      <c r="B7884" s="28" t="e">
        <f>interpola(#REF!,CURVA!$B$6:$B$20,CURVA!$G$6:$G$20)</f>
        <v>#VALUE!</v>
      </c>
      <c r="C7884" s="29" t="e">
        <f t="shared" si="123"/>
        <v>#VALUE!</v>
      </c>
      <c r="E7884" t="e">
        <f>cubic_spline(CURVA!$B$6:$B$20,CURVA!$G$6:$G$20,#REF!)</f>
        <v>#VALUE!</v>
      </c>
    </row>
    <row r="7885" spans="1:5" x14ac:dyDescent="0.2">
      <c r="A7885" s="28">
        <v>7884</v>
      </c>
      <c r="B7885" s="28" t="e">
        <f>interpola(#REF!,CURVA!$B$6:$B$20,CURVA!$G$6:$G$20)</f>
        <v>#VALUE!</v>
      </c>
      <c r="C7885" s="29" t="e">
        <f t="shared" si="123"/>
        <v>#VALUE!</v>
      </c>
      <c r="E7885" t="e">
        <f>cubic_spline(CURVA!$B$6:$B$20,CURVA!$G$6:$G$20,#REF!)</f>
        <v>#VALUE!</v>
      </c>
    </row>
    <row r="7886" spans="1:5" x14ac:dyDescent="0.2">
      <c r="A7886" s="28">
        <v>7885</v>
      </c>
      <c r="B7886" s="28" t="e">
        <f>interpola(#REF!,CURVA!$B$6:$B$20,CURVA!$G$6:$G$20)</f>
        <v>#VALUE!</v>
      </c>
      <c r="C7886" s="29" t="e">
        <f t="shared" si="123"/>
        <v>#VALUE!</v>
      </c>
      <c r="E7886" t="e">
        <f>cubic_spline(CURVA!$B$6:$B$20,CURVA!$G$6:$G$20,#REF!)</f>
        <v>#VALUE!</v>
      </c>
    </row>
    <row r="7887" spans="1:5" x14ac:dyDescent="0.2">
      <c r="A7887" s="28">
        <v>7886</v>
      </c>
      <c r="B7887" s="28" t="e">
        <f>interpola(#REF!,CURVA!$B$6:$B$20,CURVA!$G$6:$G$20)</f>
        <v>#VALUE!</v>
      </c>
      <c r="C7887" s="29" t="e">
        <f t="shared" si="123"/>
        <v>#VALUE!</v>
      </c>
      <c r="E7887" t="e">
        <f>cubic_spline(CURVA!$B$6:$B$20,CURVA!$G$6:$G$20,#REF!)</f>
        <v>#VALUE!</v>
      </c>
    </row>
    <row r="7888" spans="1:5" x14ac:dyDescent="0.2">
      <c r="A7888" s="28">
        <v>7887</v>
      </c>
      <c r="B7888" s="28" t="e">
        <f>interpola(#REF!,CURVA!$B$6:$B$20,CURVA!$G$6:$G$20)</f>
        <v>#VALUE!</v>
      </c>
      <c r="C7888" s="29" t="e">
        <f t="shared" si="123"/>
        <v>#VALUE!</v>
      </c>
      <c r="E7888" t="e">
        <f>cubic_spline(CURVA!$B$6:$B$20,CURVA!$G$6:$G$20,#REF!)</f>
        <v>#VALUE!</v>
      </c>
    </row>
    <row r="7889" spans="1:5" x14ac:dyDescent="0.2">
      <c r="A7889" s="28">
        <v>7888</v>
      </c>
      <c r="B7889" s="28" t="e">
        <f>interpola(#REF!,CURVA!$B$6:$B$20,CURVA!$G$6:$G$20)</f>
        <v>#VALUE!</v>
      </c>
      <c r="C7889" s="29" t="e">
        <f t="shared" si="123"/>
        <v>#VALUE!</v>
      </c>
      <c r="E7889" t="e">
        <f>cubic_spline(CURVA!$B$6:$B$20,CURVA!$G$6:$G$20,#REF!)</f>
        <v>#VALUE!</v>
      </c>
    </row>
    <row r="7890" spans="1:5" x14ac:dyDescent="0.2">
      <c r="A7890" s="28">
        <v>7889</v>
      </c>
      <c r="B7890" s="28" t="e">
        <f>interpola(#REF!,CURVA!$B$6:$B$20,CURVA!$G$6:$G$20)</f>
        <v>#VALUE!</v>
      </c>
      <c r="C7890" s="29" t="e">
        <f t="shared" si="123"/>
        <v>#VALUE!</v>
      </c>
      <c r="E7890" t="e">
        <f>cubic_spline(CURVA!$B$6:$B$20,CURVA!$G$6:$G$20,#REF!)</f>
        <v>#VALUE!</v>
      </c>
    </row>
    <row r="7891" spans="1:5" x14ac:dyDescent="0.2">
      <c r="A7891" s="28">
        <v>7890</v>
      </c>
      <c r="B7891" s="28" t="e">
        <f>interpola(#REF!,CURVA!$B$6:$B$20,CURVA!$G$6:$G$20)</f>
        <v>#VALUE!</v>
      </c>
      <c r="C7891" s="29" t="e">
        <f t="shared" si="123"/>
        <v>#VALUE!</v>
      </c>
      <c r="E7891" t="e">
        <f>cubic_spline(CURVA!$B$6:$B$20,CURVA!$G$6:$G$20,#REF!)</f>
        <v>#VALUE!</v>
      </c>
    </row>
    <row r="7892" spans="1:5" x14ac:dyDescent="0.2">
      <c r="A7892" s="28">
        <v>7891</v>
      </c>
      <c r="B7892" s="28" t="e">
        <f>interpola(#REF!,CURVA!$B$6:$B$20,CURVA!$G$6:$G$20)</f>
        <v>#VALUE!</v>
      </c>
      <c r="C7892" s="29" t="e">
        <f t="shared" si="123"/>
        <v>#VALUE!</v>
      </c>
      <c r="E7892" t="e">
        <f>cubic_spline(CURVA!$B$6:$B$20,CURVA!$G$6:$G$20,#REF!)</f>
        <v>#VALUE!</v>
      </c>
    </row>
    <row r="7893" spans="1:5" x14ac:dyDescent="0.2">
      <c r="A7893" s="28">
        <v>7892</v>
      </c>
      <c r="B7893" s="28" t="e">
        <f>interpola(#REF!,CURVA!$B$6:$B$20,CURVA!$G$6:$G$20)</f>
        <v>#VALUE!</v>
      </c>
      <c r="C7893" s="29" t="e">
        <f t="shared" si="123"/>
        <v>#VALUE!</v>
      </c>
      <c r="E7893" t="e">
        <f>cubic_spline(CURVA!$B$6:$B$20,CURVA!$G$6:$G$20,#REF!)</f>
        <v>#VALUE!</v>
      </c>
    </row>
    <row r="7894" spans="1:5" x14ac:dyDescent="0.2">
      <c r="A7894" s="28">
        <v>7893</v>
      </c>
      <c r="B7894" s="28" t="e">
        <f>interpola(#REF!,CURVA!$B$6:$B$20,CURVA!$G$6:$G$20)</f>
        <v>#VALUE!</v>
      </c>
      <c r="C7894" s="29" t="e">
        <f t="shared" si="123"/>
        <v>#VALUE!</v>
      </c>
      <c r="E7894" t="e">
        <f>cubic_spline(CURVA!$B$6:$B$20,CURVA!$G$6:$G$20,#REF!)</f>
        <v>#VALUE!</v>
      </c>
    </row>
    <row r="7895" spans="1:5" x14ac:dyDescent="0.2">
      <c r="A7895" s="28">
        <v>7894</v>
      </c>
      <c r="B7895" s="28" t="e">
        <f>interpola(#REF!,CURVA!$B$6:$B$20,CURVA!$G$6:$G$20)</f>
        <v>#VALUE!</v>
      </c>
      <c r="C7895" s="29" t="e">
        <f t="shared" si="123"/>
        <v>#VALUE!</v>
      </c>
      <c r="E7895" t="e">
        <f>cubic_spline(CURVA!$B$6:$B$20,CURVA!$G$6:$G$20,#REF!)</f>
        <v>#VALUE!</v>
      </c>
    </row>
    <row r="7896" spans="1:5" x14ac:dyDescent="0.2">
      <c r="A7896" s="28">
        <v>7895</v>
      </c>
      <c r="B7896" s="28" t="e">
        <f>interpola(#REF!,CURVA!$B$6:$B$20,CURVA!$G$6:$G$20)</f>
        <v>#VALUE!</v>
      </c>
      <c r="C7896" s="29" t="e">
        <f t="shared" si="123"/>
        <v>#VALUE!</v>
      </c>
      <c r="E7896" t="e">
        <f>cubic_spline(CURVA!$B$6:$B$20,CURVA!$G$6:$G$20,#REF!)</f>
        <v>#VALUE!</v>
      </c>
    </row>
    <row r="7897" spans="1:5" x14ac:dyDescent="0.2">
      <c r="A7897" s="28">
        <v>7896</v>
      </c>
      <c r="B7897" s="28" t="e">
        <f>interpola(#REF!,CURVA!$B$6:$B$20,CURVA!$G$6:$G$20)</f>
        <v>#VALUE!</v>
      </c>
      <c r="C7897" s="29" t="e">
        <f t="shared" si="123"/>
        <v>#VALUE!</v>
      </c>
      <c r="E7897" t="e">
        <f>cubic_spline(CURVA!$B$6:$B$20,CURVA!$G$6:$G$20,#REF!)</f>
        <v>#VALUE!</v>
      </c>
    </row>
    <row r="7898" spans="1:5" x14ac:dyDescent="0.2">
      <c r="A7898" s="28">
        <v>7897</v>
      </c>
      <c r="B7898" s="28" t="e">
        <f>interpola(#REF!,CURVA!$B$6:$B$20,CURVA!$G$6:$G$20)</f>
        <v>#VALUE!</v>
      </c>
      <c r="C7898" s="29" t="e">
        <f t="shared" si="123"/>
        <v>#VALUE!</v>
      </c>
      <c r="E7898" t="e">
        <f>cubic_spline(CURVA!$B$6:$B$20,CURVA!$G$6:$G$20,#REF!)</f>
        <v>#VALUE!</v>
      </c>
    </row>
    <row r="7899" spans="1:5" x14ac:dyDescent="0.2">
      <c r="A7899" s="28">
        <v>7898</v>
      </c>
      <c r="B7899" s="28" t="e">
        <f>interpola(#REF!,CURVA!$B$6:$B$20,CURVA!$G$6:$G$20)</f>
        <v>#VALUE!</v>
      </c>
      <c r="C7899" s="29" t="e">
        <f t="shared" si="123"/>
        <v>#VALUE!</v>
      </c>
      <c r="E7899" t="e">
        <f>cubic_spline(CURVA!$B$6:$B$20,CURVA!$G$6:$G$20,#REF!)</f>
        <v>#VALUE!</v>
      </c>
    </row>
    <row r="7900" spans="1:5" x14ac:dyDescent="0.2">
      <c r="A7900" s="28">
        <v>7899</v>
      </c>
      <c r="B7900" s="28" t="e">
        <f>interpola(#REF!,CURVA!$B$6:$B$20,CURVA!$G$6:$G$20)</f>
        <v>#VALUE!</v>
      </c>
      <c r="C7900" s="29" t="e">
        <f t="shared" si="123"/>
        <v>#VALUE!</v>
      </c>
      <c r="E7900" t="e">
        <f>cubic_spline(CURVA!$B$6:$B$20,CURVA!$G$6:$G$20,#REF!)</f>
        <v>#VALUE!</v>
      </c>
    </row>
    <row r="7901" spans="1:5" x14ac:dyDescent="0.2">
      <c r="A7901" s="28">
        <v>7900</v>
      </c>
      <c r="B7901" s="28" t="e">
        <f>interpola(#REF!,CURVA!$B$6:$B$20,CURVA!$G$6:$G$20)</f>
        <v>#VALUE!</v>
      </c>
      <c r="C7901" s="29" t="e">
        <f t="shared" si="123"/>
        <v>#VALUE!</v>
      </c>
      <c r="E7901" t="e">
        <f>cubic_spline(CURVA!$B$6:$B$20,CURVA!$G$6:$G$20,#REF!)</f>
        <v>#VALUE!</v>
      </c>
    </row>
    <row r="7902" spans="1:5" x14ac:dyDescent="0.2">
      <c r="A7902" s="28">
        <v>7901</v>
      </c>
      <c r="B7902" s="28" t="e">
        <f>interpola(#REF!,CURVA!$B$6:$B$20,CURVA!$G$6:$G$20)</f>
        <v>#VALUE!</v>
      </c>
      <c r="C7902" s="29" t="e">
        <f t="shared" si="123"/>
        <v>#VALUE!</v>
      </c>
      <c r="E7902" t="e">
        <f>cubic_spline(CURVA!$B$6:$B$20,CURVA!$G$6:$G$20,#REF!)</f>
        <v>#VALUE!</v>
      </c>
    </row>
    <row r="7903" spans="1:5" x14ac:dyDescent="0.2">
      <c r="A7903" s="28">
        <v>7902</v>
      </c>
      <c r="B7903" s="28" t="e">
        <f>interpola(#REF!,CURVA!$B$6:$B$20,CURVA!$G$6:$G$20)</f>
        <v>#VALUE!</v>
      </c>
      <c r="C7903" s="29" t="e">
        <f t="shared" si="123"/>
        <v>#VALUE!</v>
      </c>
      <c r="E7903" t="e">
        <f>cubic_spline(CURVA!$B$6:$B$20,CURVA!$G$6:$G$20,#REF!)</f>
        <v>#VALUE!</v>
      </c>
    </row>
    <row r="7904" spans="1:5" x14ac:dyDescent="0.2">
      <c r="A7904" s="28">
        <v>7903</v>
      </c>
      <c r="B7904" s="28" t="e">
        <f>interpola(#REF!,CURVA!$B$6:$B$20,CURVA!$G$6:$G$20)</f>
        <v>#VALUE!</v>
      </c>
      <c r="C7904" s="29" t="e">
        <f t="shared" si="123"/>
        <v>#VALUE!</v>
      </c>
      <c r="E7904" t="e">
        <f>cubic_spline(CURVA!$B$6:$B$20,CURVA!$G$6:$G$20,#REF!)</f>
        <v>#VALUE!</v>
      </c>
    </row>
    <row r="7905" spans="1:5" x14ac:dyDescent="0.2">
      <c r="A7905" s="28">
        <v>7904</v>
      </c>
      <c r="B7905" s="28" t="e">
        <f>interpola(#REF!,CURVA!$B$6:$B$20,CURVA!$G$6:$G$20)</f>
        <v>#VALUE!</v>
      </c>
      <c r="C7905" s="29" t="e">
        <f t="shared" si="123"/>
        <v>#VALUE!</v>
      </c>
      <c r="E7905" t="e">
        <f>cubic_spline(CURVA!$B$6:$B$20,CURVA!$G$6:$G$20,#REF!)</f>
        <v>#VALUE!</v>
      </c>
    </row>
    <row r="7906" spans="1:5" x14ac:dyDescent="0.2">
      <c r="A7906" s="28">
        <v>7905</v>
      </c>
      <c r="B7906" s="28" t="e">
        <f>interpola(#REF!,CURVA!$B$6:$B$20,CURVA!$G$6:$G$20)</f>
        <v>#VALUE!</v>
      </c>
      <c r="C7906" s="29" t="e">
        <f t="shared" si="123"/>
        <v>#VALUE!</v>
      </c>
      <c r="E7906" t="e">
        <f>cubic_spline(CURVA!$B$6:$B$20,CURVA!$G$6:$G$20,#REF!)</f>
        <v>#VALUE!</v>
      </c>
    </row>
    <row r="7907" spans="1:5" x14ac:dyDescent="0.2">
      <c r="A7907" s="28">
        <v>7906</v>
      </c>
      <c r="B7907" s="28" t="e">
        <f>interpola(#REF!,CURVA!$B$6:$B$20,CURVA!$G$6:$G$20)</f>
        <v>#VALUE!</v>
      </c>
      <c r="C7907" s="29" t="e">
        <f t="shared" si="123"/>
        <v>#VALUE!</v>
      </c>
      <c r="E7907" t="e">
        <f>cubic_spline(CURVA!$B$6:$B$20,CURVA!$G$6:$G$20,#REF!)</f>
        <v>#VALUE!</v>
      </c>
    </row>
    <row r="7908" spans="1:5" x14ac:dyDescent="0.2">
      <c r="A7908" s="28">
        <v>7907</v>
      </c>
      <c r="B7908" s="28" t="e">
        <f>interpola(#REF!,CURVA!$B$6:$B$20,CURVA!$G$6:$G$20)</f>
        <v>#VALUE!</v>
      </c>
      <c r="C7908" s="29" t="e">
        <f t="shared" si="123"/>
        <v>#VALUE!</v>
      </c>
      <c r="E7908" t="e">
        <f>cubic_spline(CURVA!$B$6:$B$20,CURVA!$G$6:$G$20,#REF!)</f>
        <v>#VALUE!</v>
      </c>
    </row>
    <row r="7909" spans="1:5" x14ac:dyDescent="0.2">
      <c r="A7909" s="28">
        <v>7908</v>
      </c>
      <c r="B7909" s="28" t="e">
        <f>interpola(#REF!,CURVA!$B$6:$B$20,CURVA!$G$6:$G$20)</f>
        <v>#VALUE!</v>
      </c>
      <c r="C7909" s="29" t="e">
        <f t="shared" si="123"/>
        <v>#VALUE!</v>
      </c>
      <c r="E7909" t="e">
        <f>cubic_spline(CURVA!$B$6:$B$20,CURVA!$G$6:$G$20,#REF!)</f>
        <v>#VALUE!</v>
      </c>
    </row>
    <row r="7910" spans="1:5" x14ac:dyDescent="0.2">
      <c r="A7910" s="28">
        <v>7909</v>
      </c>
      <c r="B7910" s="28" t="e">
        <f>interpola(#REF!,CURVA!$B$6:$B$20,CURVA!$G$6:$G$20)</f>
        <v>#VALUE!</v>
      </c>
      <c r="C7910" s="29" t="e">
        <f t="shared" si="123"/>
        <v>#VALUE!</v>
      </c>
      <c r="E7910" t="e">
        <f>cubic_spline(CURVA!$B$6:$B$20,CURVA!$G$6:$G$20,#REF!)</f>
        <v>#VALUE!</v>
      </c>
    </row>
    <row r="7911" spans="1:5" x14ac:dyDescent="0.2">
      <c r="A7911" s="28">
        <v>7910</v>
      </c>
      <c r="B7911" s="28" t="e">
        <f>interpola(#REF!,CURVA!$B$6:$B$20,CURVA!$G$6:$G$20)</f>
        <v>#VALUE!</v>
      </c>
      <c r="C7911" s="29" t="e">
        <f t="shared" si="123"/>
        <v>#VALUE!</v>
      </c>
      <c r="E7911" t="e">
        <f>cubic_spline(CURVA!$B$6:$B$20,CURVA!$G$6:$G$20,#REF!)</f>
        <v>#VALUE!</v>
      </c>
    </row>
    <row r="7912" spans="1:5" x14ac:dyDescent="0.2">
      <c r="A7912" s="28">
        <v>7911</v>
      </c>
      <c r="B7912" s="28" t="e">
        <f>interpola(#REF!,CURVA!$B$6:$B$20,CURVA!$G$6:$G$20)</f>
        <v>#VALUE!</v>
      </c>
      <c r="C7912" s="29" t="e">
        <f t="shared" si="123"/>
        <v>#VALUE!</v>
      </c>
      <c r="E7912" t="e">
        <f>cubic_spline(CURVA!$B$6:$B$20,CURVA!$G$6:$G$20,#REF!)</f>
        <v>#VALUE!</v>
      </c>
    </row>
    <row r="7913" spans="1:5" x14ac:dyDescent="0.2">
      <c r="A7913" s="28">
        <v>7912</v>
      </c>
      <c r="B7913" s="28" t="e">
        <f>interpola(#REF!,CURVA!$B$6:$B$20,CURVA!$G$6:$G$20)</f>
        <v>#VALUE!</v>
      </c>
      <c r="C7913" s="29" t="e">
        <f t="shared" si="123"/>
        <v>#VALUE!</v>
      </c>
      <c r="E7913" t="e">
        <f>cubic_spline(CURVA!$B$6:$B$20,CURVA!$G$6:$G$20,#REF!)</f>
        <v>#VALUE!</v>
      </c>
    </row>
    <row r="7914" spans="1:5" x14ac:dyDescent="0.2">
      <c r="A7914" s="28">
        <v>7913</v>
      </c>
      <c r="B7914" s="28" t="e">
        <f>interpola(#REF!,CURVA!$B$6:$B$20,CURVA!$G$6:$G$20)</f>
        <v>#VALUE!</v>
      </c>
      <c r="C7914" s="29" t="e">
        <f t="shared" si="123"/>
        <v>#VALUE!</v>
      </c>
      <c r="E7914" t="e">
        <f>cubic_spline(CURVA!$B$6:$B$20,CURVA!$G$6:$G$20,#REF!)</f>
        <v>#VALUE!</v>
      </c>
    </row>
    <row r="7915" spans="1:5" x14ac:dyDescent="0.2">
      <c r="A7915" s="28">
        <v>7914</v>
      </c>
      <c r="B7915" s="28" t="e">
        <f>interpola(#REF!,CURVA!$B$6:$B$20,CURVA!$G$6:$G$20)</f>
        <v>#VALUE!</v>
      </c>
      <c r="C7915" s="29" t="e">
        <f t="shared" si="123"/>
        <v>#VALUE!</v>
      </c>
      <c r="E7915" t="e">
        <f>cubic_spline(CURVA!$B$6:$B$20,CURVA!$G$6:$G$20,#REF!)</f>
        <v>#VALUE!</v>
      </c>
    </row>
    <row r="7916" spans="1:5" x14ac:dyDescent="0.2">
      <c r="A7916" s="28">
        <v>7915</v>
      </c>
      <c r="B7916" s="28" t="e">
        <f>interpola(#REF!,CURVA!$B$6:$B$20,CURVA!$G$6:$G$20)</f>
        <v>#VALUE!</v>
      </c>
      <c r="C7916" s="29" t="e">
        <f t="shared" si="123"/>
        <v>#VALUE!</v>
      </c>
      <c r="E7916" t="e">
        <f>cubic_spline(CURVA!$B$6:$B$20,CURVA!$G$6:$G$20,#REF!)</f>
        <v>#VALUE!</v>
      </c>
    </row>
    <row r="7917" spans="1:5" x14ac:dyDescent="0.2">
      <c r="A7917" s="28">
        <v>7916</v>
      </c>
      <c r="B7917" s="28" t="e">
        <f>interpola(#REF!,CURVA!$B$6:$B$20,CURVA!$G$6:$G$20)</f>
        <v>#VALUE!</v>
      </c>
      <c r="C7917" s="29" t="e">
        <f t="shared" si="123"/>
        <v>#VALUE!</v>
      </c>
      <c r="E7917" t="e">
        <f>cubic_spline(CURVA!$B$6:$B$20,CURVA!$G$6:$G$20,#REF!)</f>
        <v>#VALUE!</v>
      </c>
    </row>
    <row r="7918" spans="1:5" x14ac:dyDescent="0.2">
      <c r="A7918" s="28">
        <v>7917</v>
      </c>
      <c r="B7918" s="28" t="e">
        <f>interpola(#REF!,CURVA!$B$6:$B$20,CURVA!$G$6:$G$20)</f>
        <v>#VALUE!</v>
      </c>
      <c r="C7918" s="29" t="e">
        <f t="shared" si="123"/>
        <v>#VALUE!</v>
      </c>
      <c r="E7918" t="e">
        <f>cubic_spline(CURVA!$B$6:$B$20,CURVA!$G$6:$G$20,#REF!)</f>
        <v>#VALUE!</v>
      </c>
    </row>
    <row r="7919" spans="1:5" x14ac:dyDescent="0.2">
      <c r="A7919" s="28">
        <v>7918</v>
      </c>
      <c r="B7919" s="28" t="e">
        <f>interpola(#REF!,CURVA!$B$6:$B$20,CURVA!$G$6:$G$20)</f>
        <v>#VALUE!</v>
      </c>
      <c r="C7919" s="29" t="e">
        <f t="shared" si="123"/>
        <v>#VALUE!</v>
      </c>
      <c r="E7919" t="e">
        <f>cubic_spline(CURVA!$B$6:$B$20,CURVA!$G$6:$G$20,#REF!)</f>
        <v>#VALUE!</v>
      </c>
    </row>
    <row r="7920" spans="1:5" x14ac:dyDescent="0.2">
      <c r="A7920" s="28">
        <v>7919</v>
      </c>
      <c r="B7920" s="28" t="e">
        <f>interpola(#REF!,CURVA!$B$6:$B$20,CURVA!$G$6:$G$20)</f>
        <v>#VALUE!</v>
      </c>
      <c r="C7920" s="29" t="e">
        <f t="shared" si="123"/>
        <v>#VALUE!</v>
      </c>
      <c r="E7920" t="e">
        <f>cubic_spline(CURVA!$B$6:$B$20,CURVA!$G$6:$G$20,#REF!)</f>
        <v>#VALUE!</v>
      </c>
    </row>
    <row r="7921" spans="1:5" x14ac:dyDescent="0.2">
      <c r="A7921" s="28">
        <v>7920</v>
      </c>
      <c r="B7921" s="28" t="e">
        <f>interpola(#REF!,CURVA!$B$6:$B$20,CURVA!$G$6:$G$20)</f>
        <v>#VALUE!</v>
      </c>
      <c r="C7921" s="29" t="e">
        <f t="shared" si="123"/>
        <v>#VALUE!</v>
      </c>
      <c r="E7921" t="e">
        <f>cubic_spline(CURVA!$B$6:$B$20,CURVA!$G$6:$G$20,#REF!)</f>
        <v>#VALUE!</v>
      </c>
    </row>
    <row r="7922" spans="1:5" x14ac:dyDescent="0.2">
      <c r="A7922" s="28">
        <v>7921</v>
      </c>
      <c r="B7922" s="28" t="e">
        <f>interpola(#REF!,CURVA!$B$6:$B$20,CURVA!$G$6:$G$20)</f>
        <v>#VALUE!</v>
      </c>
      <c r="C7922" s="29" t="e">
        <f t="shared" si="123"/>
        <v>#VALUE!</v>
      </c>
      <c r="E7922" t="e">
        <f>cubic_spline(CURVA!$B$6:$B$20,CURVA!$G$6:$G$20,#REF!)</f>
        <v>#VALUE!</v>
      </c>
    </row>
    <row r="7923" spans="1:5" x14ac:dyDescent="0.2">
      <c r="A7923" s="28">
        <v>7922</v>
      </c>
      <c r="B7923" s="28" t="e">
        <f>interpola(#REF!,CURVA!$B$6:$B$20,CURVA!$G$6:$G$20)</f>
        <v>#VALUE!</v>
      </c>
      <c r="C7923" s="29" t="e">
        <f t="shared" si="123"/>
        <v>#VALUE!</v>
      </c>
      <c r="E7923" t="e">
        <f>cubic_spline(CURVA!$B$6:$B$20,CURVA!$G$6:$G$20,#REF!)</f>
        <v>#VALUE!</v>
      </c>
    </row>
    <row r="7924" spans="1:5" x14ac:dyDescent="0.2">
      <c r="A7924" s="28">
        <v>7923</v>
      </c>
      <c r="B7924" s="28" t="e">
        <f>interpola(#REF!,CURVA!$B$6:$B$20,CURVA!$G$6:$G$20)</f>
        <v>#VALUE!</v>
      </c>
      <c r="C7924" s="29" t="e">
        <f t="shared" si="123"/>
        <v>#VALUE!</v>
      </c>
      <c r="E7924" t="e">
        <f>cubic_spline(CURVA!$B$6:$B$20,CURVA!$G$6:$G$20,#REF!)</f>
        <v>#VALUE!</v>
      </c>
    </row>
    <row r="7925" spans="1:5" x14ac:dyDescent="0.2">
      <c r="A7925" s="28">
        <v>7924</v>
      </c>
      <c r="B7925" s="28" t="e">
        <f>interpola(#REF!,CURVA!$B$6:$B$20,CURVA!$G$6:$G$20)</f>
        <v>#VALUE!</v>
      </c>
      <c r="C7925" s="29" t="e">
        <f t="shared" si="123"/>
        <v>#VALUE!</v>
      </c>
      <c r="E7925" t="e">
        <f>cubic_spline(CURVA!$B$6:$B$20,CURVA!$G$6:$G$20,#REF!)</f>
        <v>#VALUE!</v>
      </c>
    </row>
    <row r="7926" spans="1:5" x14ac:dyDescent="0.2">
      <c r="A7926" s="28">
        <v>7925</v>
      </c>
      <c r="B7926" s="28" t="e">
        <f>interpola(#REF!,CURVA!$B$6:$B$20,CURVA!$G$6:$G$20)</f>
        <v>#VALUE!</v>
      </c>
      <c r="C7926" s="29" t="e">
        <f t="shared" si="123"/>
        <v>#VALUE!</v>
      </c>
      <c r="E7926" t="e">
        <f>cubic_spline(CURVA!$B$6:$B$20,CURVA!$G$6:$G$20,#REF!)</f>
        <v>#VALUE!</v>
      </c>
    </row>
    <row r="7927" spans="1:5" x14ac:dyDescent="0.2">
      <c r="A7927" s="28">
        <v>7926</v>
      </c>
      <c r="B7927" s="28" t="e">
        <f>interpola(#REF!,CURVA!$B$6:$B$20,CURVA!$G$6:$G$20)</f>
        <v>#VALUE!</v>
      </c>
      <c r="C7927" s="29" t="e">
        <f t="shared" si="123"/>
        <v>#VALUE!</v>
      </c>
      <c r="E7927" t="e">
        <f>cubic_spline(CURVA!$B$6:$B$20,CURVA!$G$6:$G$20,#REF!)</f>
        <v>#VALUE!</v>
      </c>
    </row>
    <row r="7928" spans="1:5" x14ac:dyDescent="0.2">
      <c r="A7928" s="28">
        <v>7927</v>
      </c>
      <c r="B7928" s="28" t="e">
        <f>interpola(#REF!,CURVA!$B$6:$B$20,CURVA!$G$6:$G$20)</f>
        <v>#VALUE!</v>
      </c>
      <c r="C7928" s="29" t="e">
        <f t="shared" si="123"/>
        <v>#VALUE!</v>
      </c>
      <c r="E7928" t="e">
        <f>cubic_spline(CURVA!$B$6:$B$20,CURVA!$G$6:$G$20,#REF!)</f>
        <v>#VALUE!</v>
      </c>
    </row>
    <row r="7929" spans="1:5" x14ac:dyDescent="0.2">
      <c r="A7929" s="28">
        <v>7928</v>
      </c>
      <c r="B7929" s="28" t="e">
        <f>interpola(#REF!,CURVA!$B$6:$B$20,CURVA!$G$6:$G$20)</f>
        <v>#VALUE!</v>
      </c>
      <c r="C7929" s="29" t="e">
        <f t="shared" si="123"/>
        <v>#VALUE!</v>
      </c>
      <c r="E7929" t="e">
        <f>cubic_spline(CURVA!$B$6:$B$20,CURVA!$G$6:$G$20,#REF!)</f>
        <v>#VALUE!</v>
      </c>
    </row>
    <row r="7930" spans="1:5" x14ac:dyDescent="0.2">
      <c r="A7930" s="28">
        <v>7929</v>
      </c>
      <c r="B7930" s="28" t="e">
        <f>interpola(#REF!,CURVA!$B$6:$B$20,CURVA!$G$6:$G$20)</f>
        <v>#VALUE!</v>
      </c>
      <c r="C7930" s="29" t="e">
        <f t="shared" si="123"/>
        <v>#VALUE!</v>
      </c>
      <c r="E7930" t="e">
        <f>cubic_spline(CURVA!$B$6:$B$20,CURVA!$G$6:$G$20,#REF!)</f>
        <v>#VALUE!</v>
      </c>
    </row>
    <row r="7931" spans="1:5" x14ac:dyDescent="0.2">
      <c r="A7931" s="28">
        <v>7930</v>
      </c>
      <c r="B7931" s="28" t="e">
        <f>interpola(#REF!,CURVA!$B$6:$B$20,CURVA!$G$6:$G$20)</f>
        <v>#VALUE!</v>
      </c>
      <c r="C7931" s="29" t="e">
        <f t="shared" si="123"/>
        <v>#VALUE!</v>
      </c>
      <c r="E7931" t="e">
        <f>cubic_spline(CURVA!$B$6:$B$20,CURVA!$G$6:$G$20,#REF!)</f>
        <v>#VALUE!</v>
      </c>
    </row>
    <row r="7932" spans="1:5" x14ac:dyDescent="0.2">
      <c r="A7932" s="28">
        <v>7931</v>
      </c>
      <c r="B7932" s="28" t="e">
        <f>interpola(#REF!,CURVA!$B$6:$B$20,CURVA!$G$6:$G$20)</f>
        <v>#VALUE!</v>
      </c>
      <c r="C7932" s="29" t="e">
        <f t="shared" si="123"/>
        <v>#VALUE!</v>
      </c>
      <c r="E7932" t="e">
        <f>cubic_spline(CURVA!$B$6:$B$20,CURVA!$G$6:$G$20,#REF!)</f>
        <v>#VALUE!</v>
      </c>
    </row>
    <row r="7933" spans="1:5" x14ac:dyDescent="0.2">
      <c r="A7933" s="28">
        <v>7932</v>
      </c>
      <c r="B7933" s="28" t="e">
        <f>interpola(#REF!,CURVA!$B$6:$B$20,CURVA!$G$6:$G$20)</f>
        <v>#VALUE!</v>
      </c>
      <c r="C7933" s="29" t="e">
        <f t="shared" si="123"/>
        <v>#VALUE!</v>
      </c>
      <c r="E7933" t="e">
        <f>cubic_spline(CURVA!$B$6:$B$20,CURVA!$G$6:$G$20,#REF!)</f>
        <v>#VALUE!</v>
      </c>
    </row>
    <row r="7934" spans="1:5" x14ac:dyDescent="0.2">
      <c r="A7934" s="28">
        <v>7933</v>
      </c>
      <c r="B7934" s="28" t="e">
        <f>interpola(#REF!,CURVA!$B$6:$B$20,CURVA!$G$6:$G$20)</f>
        <v>#VALUE!</v>
      </c>
      <c r="C7934" s="29" t="e">
        <f t="shared" si="123"/>
        <v>#VALUE!</v>
      </c>
      <c r="E7934" t="e">
        <f>cubic_spline(CURVA!$B$6:$B$20,CURVA!$G$6:$G$20,#REF!)</f>
        <v>#VALUE!</v>
      </c>
    </row>
    <row r="7935" spans="1:5" x14ac:dyDescent="0.2">
      <c r="A7935" s="28">
        <v>7934</v>
      </c>
      <c r="B7935" s="28" t="e">
        <f>interpola(#REF!,CURVA!$B$6:$B$20,CURVA!$G$6:$G$20)</f>
        <v>#VALUE!</v>
      </c>
      <c r="C7935" s="29" t="e">
        <f t="shared" si="123"/>
        <v>#VALUE!</v>
      </c>
      <c r="E7935" t="e">
        <f>cubic_spline(CURVA!$B$6:$B$20,CURVA!$G$6:$G$20,#REF!)</f>
        <v>#VALUE!</v>
      </c>
    </row>
    <row r="7936" spans="1:5" x14ac:dyDescent="0.2">
      <c r="A7936" s="28">
        <v>7935</v>
      </c>
      <c r="B7936" s="28" t="e">
        <f>interpola(#REF!,CURVA!$B$6:$B$20,CURVA!$G$6:$G$20)</f>
        <v>#VALUE!</v>
      </c>
      <c r="C7936" s="29" t="e">
        <f t="shared" si="123"/>
        <v>#VALUE!</v>
      </c>
      <c r="E7936" t="e">
        <f>cubic_spline(CURVA!$B$6:$B$20,CURVA!$G$6:$G$20,#REF!)</f>
        <v>#VALUE!</v>
      </c>
    </row>
    <row r="7937" spans="1:5" x14ac:dyDescent="0.2">
      <c r="A7937" s="28">
        <v>7936</v>
      </c>
      <c r="B7937" s="28" t="e">
        <f>interpola(#REF!,CURVA!$B$6:$B$20,CURVA!$G$6:$G$20)</f>
        <v>#VALUE!</v>
      </c>
      <c r="C7937" s="29" t="e">
        <f t="shared" si="123"/>
        <v>#VALUE!</v>
      </c>
      <c r="E7937" t="e">
        <f>cubic_spline(CURVA!$B$6:$B$20,CURVA!$G$6:$G$20,#REF!)</f>
        <v>#VALUE!</v>
      </c>
    </row>
    <row r="7938" spans="1:5" x14ac:dyDescent="0.2">
      <c r="A7938" s="28">
        <v>7937</v>
      </c>
      <c r="B7938" s="28" t="e">
        <f>interpola(#REF!,CURVA!$B$6:$B$20,CURVA!$G$6:$G$20)</f>
        <v>#VALUE!</v>
      </c>
      <c r="C7938" s="29" t="e">
        <f t="shared" ref="C7938:C8001" si="124">(EXP(B7938*A7938/360)-1)*360/A7938</f>
        <v>#VALUE!</v>
      </c>
      <c r="E7938" t="e">
        <f>cubic_spline(CURVA!$B$6:$B$20,CURVA!$G$6:$G$20,#REF!)</f>
        <v>#VALUE!</v>
      </c>
    </row>
    <row r="7939" spans="1:5" x14ac:dyDescent="0.2">
      <c r="A7939" s="28">
        <v>7938</v>
      </c>
      <c r="B7939" s="28" t="e">
        <f>interpola(#REF!,CURVA!$B$6:$B$20,CURVA!$G$6:$G$20)</f>
        <v>#VALUE!</v>
      </c>
      <c r="C7939" s="29" t="e">
        <f t="shared" si="124"/>
        <v>#VALUE!</v>
      </c>
      <c r="E7939" t="e">
        <f>cubic_spline(CURVA!$B$6:$B$20,CURVA!$G$6:$G$20,#REF!)</f>
        <v>#VALUE!</v>
      </c>
    </row>
    <row r="7940" spans="1:5" x14ac:dyDescent="0.2">
      <c r="A7940" s="28">
        <v>7939</v>
      </c>
      <c r="B7940" s="28" t="e">
        <f>interpola(#REF!,CURVA!$B$6:$B$20,CURVA!$G$6:$G$20)</f>
        <v>#VALUE!</v>
      </c>
      <c r="C7940" s="29" t="e">
        <f t="shared" si="124"/>
        <v>#VALUE!</v>
      </c>
      <c r="E7940" t="e">
        <f>cubic_spline(CURVA!$B$6:$B$20,CURVA!$G$6:$G$20,#REF!)</f>
        <v>#VALUE!</v>
      </c>
    </row>
    <row r="7941" spans="1:5" x14ac:dyDescent="0.2">
      <c r="A7941" s="28">
        <v>7940</v>
      </c>
      <c r="B7941" s="28" t="e">
        <f>interpola(#REF!,CURVA!$B$6:$B$20,CURVA!$G$6:$G$20)</f>
        <v>#VALUE!</v>
      </c>
      <c r="C7941" s="29" t="e">
        <f t="shared" si="124"/>
        <v>#VALUE!</v>
      </c>
      <c r="E7941" t="e">
        <f>cubic_spline(CURVA!$B$6:$B$20,CURVA!$G$6:$G$20,#REF!)</f>
        <v>#VALUE!</v>
      </c>
    </row>
    <row r="7942" spans="1:5" x14ac:dyDescent="0.2">
      <c r="A7942" s="28">
        <v>7941</v>
      </c>
      <c r="B7942" s="28" t="e">
        <f>interpola(#REF!,CURVA!$B$6:$B$20,CURVA!$G$6:$G$20)</f>
        <v>#VALUE!</v>
      </c>
      <c r="C7942" s="29" t="e">
        <f t="shared" si="124"/>
        <v>#VALUE!</v>
      </c>
      <c r="E7942" t="e">
        <f>cubic_spline(CURVA!$B$6:$B$20,CURVA!$G$6:$G$20,#REF!)</f>
        <v>#VALUE!</v>
      </c>
    </row>
    <row r="7943" spans="1:5" x14ac:dyDescent="0.2">
      <c r="A7943" s="28">
        <v>7942</v>
      </c>
      <c r="B7943" s="28" t="e">
        <f>interpola(#REF!,CURVA!$B$6:$B$20,CURVA!$G$6:$G$20)</f>
        <v>#VALUE!</v>
      </c>
      <c r="C7943" s="29" t="e">
        <f t="shared" si="124"/>
        <v>#VALUE!</v>
      </c>
      <c r="E7943" t="e">
        <f>cubic_spline(CURVA!$B$6:$B$20,CURVA!$G$6:$G$20,#REF!)</f>
        <v>#VALUE!</v>
      </c>
    </row>
    <row r="7944" spans="1:5" x14ac:dyDescent="0.2">
      <c r="A7944" s="28">
        <v>7943</v>
      </c>
      <c r="B7944" s="28" t="e">
        <f>interpola(#REF!,CURVA!$B$6:$B$20,CURVA!$G$6:$G$20)</f>
        <v>#VALUE!</v>
      </c>
      <c r="C7944" s="29" t="e">
        <f t="shared" si="124"/>
        <v>#VALUE!</v>
      </c>
      <c r="E7944" t="e">
        <f>cubic_spline(CURVA!$B$6:$B$20,CURVA!$G$6:$G$20,#REF!)</f>
        <v>#VALUE!</v>
      </c>
    </row>
    <row r="7945" spans="1:5" x14ac:dyDescent="0.2">
      <c r="A7945" s="28">
        <v>7944</v>
      </c>
      <c r="B7945" s="28" t="e">
        <f>interpola(#REF!,CURVA!$B$6:$B$20,CURVA!$G$6:$G$20)</f>
        <v>#VALUE!</v>
      </c>
      <c r="C7945" s="29" t="e">
        <f t="shared" si="124"/>
        <v>#VALUE!</v>
      </c>
      <c r="E7945" t="e">
        <f>cubic_spline(CURVA!$B$6:$B$20,CURVA!$G$6:$G$20,#REF!)</f>
        <v>#VALUE!</v>
      </c>
    </row>
    <row r="7946" spans="1:5" x14ac:dyDescent="0.2">
      <c r="A7946" s="28">
        <v>7945</v>
      </c>
      <c r="B7946" s="28" t="e">
        <f>interpola(#REF!,CURVA!$B$6:$B$20,CURVA!$G$6:$G$20)</f>
        <v>#VALUE!</v>
      </c>
      <c r="C7946" s="29" t="e">
        <f t="shared" si="124"/>
        <v>#VALUE!</v>
      </c>
      <c r="E7946" t="e">
        <f>cubic_spline(CURVA!$B$6:$B$20,CURVA!$G$6:$G$20,#REF!)</f>
        <v>#VALUE!</v>
      </c>
    </row>
    <row r="7947" spans="1:5" x14ac:dyDescent="0.2">
      <c r="A7947" s="28">
        <v>7946</v>
      </c>
      <c r="B7947" s="28" t="e">
        <f>interpola(#REF!,CURVA!$B$6:$B$20,CURVA!$G$6:$G$20)</f>
        <v>#VALUE!</v>
      </c>
      <c r="C7947" s="29" t="e">
        <f t="shared" si="124"/>
        <v>#VALUE!</v>
      </c>
      <c r="E7947" t="e">
        <f>cubic_spline(CURVA!$B$6:$B$20,CURVA!$G$6:$G$20,#REF!)</f>
        <v>#VALUE!</v>
      </c>
    </row>
    <row r="7948" spans="1:5" x14ac:dyDescent="0.2">
      <c r="A7948" s="28">
        <v>7947</v>
      </c>
      <c r="B7948" s="28" t="e">
        <f>interpola(#REF!,CURVA!$B$6:$B$20,CURVA!$G$6:$G$20)</f>
        <v>#VALUE!</v>
      </c>
      <c r="C7948" s="29" t="e">
        <f t="shared" si="124"/>
        <v>#VALUE!</v>
      </c>
      <c r="E7948" t="e">
        <f>cubic_spline(CURVA!$B$6:$B$20,CURVA!$G$6:$G$20,#REF!)</f>
        <v>#VALUE!</v>
      </c>
    </row>
    <row r="7949" spans="1:5" x14ac:dyDescent="0.2">
      <c r="A7949" s="28">
        <v>7948</v>
      </c>
      <c r="B7949" s="28" t="e">
        <f>interpola(#REF!,CURVA!$B$6:$B$20,CURVA!$G$6:$G$20)</f>
        <v>#VALUE!</v>
      </c>
      <c r="C7949" s="29" t="e">
        <f t="shared" si="124"/>
        <v>#VALUE!</v>
      </c>
      <c r="E7949" t="e">
        <f>cubic_spline(CURVA!$B$6:$B$20,CURVA!$G$6:$G$20,#REF!)</f>
        <v>#VALUE!</v>
      </c>
    </row>
    <row r="7950" spans="1:5" x14ac:dyDescent="0.2">
      <c r="A7950" s="28">
        <v>7949</v>
      </c>
      <c r="B7950" s="28" t="e">
        <f>interpola(#REF!,CURVA!$B$6:$B$20,CURVA!$G$6:$G$20)</f>
        <v>#VALUE!</v>
      </c>
      <c r="C7950" s="29" t="e">
        <f t="shared" si="124"/>
        <v>#VALUE!</v>
      </c>
      <c r="E7950" t="e">
        <f>cubic_spline(CURVA!$B$6:$B$20,CURVA!$G$6:$G$20,#REF!)</f>
        <v>#VALUE!</v>
      </c>
    </row>
    <row r="7951" spans="1:5" x14ac:dyDescent="0.2">
      <c r="A7951" s="28">
        <v>7950</v>
      </c>
      <c r="B7951" s="28" t="e">
        <f>interpola(#REF!,CURVA!$B$6:$B$20,CURVA!$G$6:$G$20)</f>
        <v>#VALUE!</v>
      </c>
      <c r="C7951" s="29" t="e">
        <f t="shared" si="124"/>
        <v>#VALUE!</v>
      </c>
      <c r="E7951" t="e">
        <f>cubic_spline(CURVA!$B$6:$B$20,CURVA!$G$6:$G$20,#REF!)</f>
        <v>#VALUE!</v>
      </c>
    </row>
    <row r="7952" spans="1:5" x14ac:dyDescent="0.2">
      <c r="A7952" s="28">
        <v>7951</v>
      </c>
      <c r="B7952" s="28" t="e">
        <f>interpola(#REF!,CURVA!$B$6:$B$20,CURVA!$G$6:$G$20)</f>
        <v>#VALUE!</v>
      </c>
      <c r="C7952" s="29" t="e">
        <f t="shared" si="124"/>
        <v>#VALUE!</v>
      </c>
      <c r="E7952" t="e">
        <f>cubic_spline(CURVA!$B$6:$B$20,CURVA!$G$6:$G$20,#REF!)</f>
        <v>#VALUE!</v>
      </c>
    </row>
    <row r="7953" spans="1:5" x14ac:dyDescent="0.2">
      <c r="A7953" s="28">
        <v>7952</v>
      </c>
      <c r="B7953" s="28" t="e">
        <f>interpola(#REF!,CURVA!$B$6:$B$20,CURVA!$G$6:$G$20)</f>
        <v>#VALUE!</v>
      </c>
      <c r="C7953" s="29" t="e">
        <f t="shared" si="124"/>
        <v>#VALUE!</v>
      </c>
      <c r="E7953" t="e">
        <f>cubic_spline(CURVA!$B$6:$B$20,CURVA!$G$6:$G$20,#REF!)</f>
        <v>#VALUE!</v>
      </c>
    </row>
    <row r="7954" spans="1:5" x14ac:dyDescent="0.2">
      <c r="A7954" s="28">
        <v>7953</v>
      </c>
      <c r="B7954" s="28" t="e">
        <f>interpola(#REF!,CURVA!$B$6:$B$20,CURVA!$G$6:$G$20)</f>
        <v>#VALUE!</v>
      </c>
      <c r="C7954" s="29" t="e">
        <f t="shared" si="124"/>
        <v>#VALUE!</v>
      </c>
      <c r="E7954" t="e">
        <f>cubic_spline(CURVA!$B$6:$B$20,CURVA!$G$6:$G$20,#REF!)</f>
        <v>#VALUE!</v>
      </c>
    </row>
    <row r="7955" spans="1:5" x14ac:dyDescent="0.2">
      <c r="A7955" s="28">
        <v>7954</v>
      </c>
      <c r="B7955" s="28" t="e">
        <f>interpola(#REF!,CURVA!$B$6:$B$20,CURVA!$G$6:$G$20)</f>
        <v>#VALUE!</v>
      </c>
      <c r="C7955" s="29" t="e">
        <f t="shared" si="124"/>
        <v>#VALUE!</v>
      </c>
      <c r="E7955" t="e">
        <f>cubic_spline(CURVA!$B$6:$B$20,CURVA!$G$6:$G$20,#REF!)</f>
        <v>#VALUE!</v>
      </c>
    </row>
    <row r="7956" spans="1:5" x14ac:dyDescent="0.2">
      <c r="A7956" s="28">
        <v>7955</v>
      </c>
      <c r="B7956" s="28" t="e">
        <f>interpola(#REF!,CURVA!$B$6:$B$20,CURVA!$G$6:$G$20)</f>
        <v>#VALUE!</v>
      </c>
      <c r="C7956" s="29" t="e">
        <f t="shared" si="124"/>
        <v>#VALUE!</v>
      </c>
      <c r="E7956" t="e">
        <f>cubic_spline(CURVA!$B$6:$B$20,CURVA!$G$6:$G$20,#REF!)</f>
        <v>#VALUE!</v>
      </c>
    </row>
    <row r="7957" spans="1:5" x14ac:dyDescent="0.2">
      <c r="A7957" s="28">
        <v>7956</v>
      </c>
      <c r="B7957" s="28" t="e">
        <f>interpola(#REF!,CURVA!$B$6:$B$20,CURVA!$G$6:$G$20)</f>
        <v>#VALUE!</v>
      </c>
      <c r="C7957" s="29" t="e">
        <f t="shared" si="124"/>
        <v>#VALUE!</v>
      </c>
      <c r="E7957" t="e">
        <f>cubic_spline(CURVA!$B$6:$B$20,CURVA!$G$6:$G$20,#REF!)</f>
        <v>#VALUE!</v>
      </c>
    </row>
    <row r="7958" spans="1:5" x14ac:dyDescent="0.2">
      <c r="A7958" s="28">
        <v>7957</v>
      </c>
      <c r="B7958" s="28" t="e">
        <f>interpola(#REF!,CURVA!$B$6:$B$20,CURVA!$G$6:$G$20)</f>
        <v>#VALUE!</v>
      </c>
      <c r="C7958" s="29" t="e">
        <f t="shared" si="124"/>
        <v>#VALUE!</v>
      </c>
      <c r="E7958" t="e">
        <f>cubic_spline(CURVA!$B$6:$B$20,CURVA!$G$6:$G$20,#REF!)</f>
        <v>#VALUE!</v>
      </c>
    </row>
    <row r="7959" spans="1:5" x14ac:dyDescent="0.2">
      <c r="A7959" s="28">
        <v>7958</v>
      </c>
      <c r="B7959" s="28" t="e">
        <f>interpola(#REF!,CURVA!$B$6:$B$20,CURVA!$G$6:$G$20)</f>
        <v>#VALUE!</v>
      </c>
      <c r="C7959" s="29" t="e">
        <f t="shared" si="124"/>
        <v>#VALUE!</v>
      </c>
      <c r="E7959" t="e">
        <f>cubic_spline(CURVA!$B$6:$B$20,CURVA!$G$6:$G$20,#REF!)</f>
        <v>#VALUE!</v>
      </c>
    </row>
    <row r="7960" spans="1:5" x14ac:dyDescent="0.2">
      <c r="A7960" s="28">
        <v>7959</v>
      </c>
      <c r="B7960" s="28" t="e">
        <f>interpola(#REF!,CURVA!$B$6:$B$20,CURVA!$G$6:$G$20)</f>
        <v>#VALUE!</v>
      </c>
      <c r="C7960" s="29" t="e">
        <f t="shared" si="124"/>
        <v>#VALUE!</v>
      </c>
      <c r="E7960" t="e">
        <f>cubic_spline(CURVA!$B$6:$B$20,CURVA!$G$6:$G$20,#REF!)</f>
        <v>#VALUE!</v>
      </c>
    </row>
    <row r="7961" spans="1:5" x14ac:dyDescent="0.2">
      <c r="A7961" s="28">
        <v>7960</v>
      </c>
      <c r="B7961" s="28" t="e">
        <f>interpola(#REF!,CURVA!$B$6:$B$20,CURVA!$G$6:$G$20)</f>
        <v>#VALUE!</v>
      </c>
      <c r="C7961" s="29" t="e">
        <f t="shared" si="124"/>
        <v>#VALUE!</v>
      </c>
      <c r="E7961" t="e">
        <f>cubic_spline(CURVA!$B$6:$B$20,CURVA!$G$6:$G$20,#REF!)</f>
        <v>#VALUE!</v>
      </c>
    </row>
    <row r="7962" spans="1:5" x14ac:dyDescent="0.2">
      <c r="A7962" s="28">
        <v>7961</v>
      </c>
      <c r="B7962" s="28" t="e">
        <f>interpola(#REF!,CURVA!$B$6:$B$20,CURVA!$G$6:$G$20)</f>
        <v>#VALUE!</v>
      </c>
      <c r="C7962" s="29" t="e">
        <f t="shared" si="124"/>
        <v>#VALUE!</v>
      </c>
      <c r="E7962" t="e">
        <f>cubic_spline(CURVA!$B$6:$B$20,CURVA!$G$6:$G$20,#REF!)</f>
        <v>#VALUE!</v>
      </c>
    </row>
    <row r="7963" spans="1:5" x14ac:dyDescent="0.2">
      <c r="A7963" s="28">
        <v>7962</v>
      </c>
      <c r="B7963" s="28" t="e">
        <f>interpola(#REF!,CURVA!$B$6:$B$20,CURVA!$G$6:$G$20)</f>
        <v>#VALUE!</v>
      </c>
      <c r="C7963" s="29" t="e">
        <f t="shared" si="124"/>
        <v>#VALUE!</v>
      </c>
      <c r="E7963" t="e">
        <f>cubic_spline(CURVA!$B$6:$B$20,CURVA!$G$6:$G$20,#REF!)</f>
        <v>#VALUE!</v>
      </c>
    </row>
    <row r="7964" spans="1:5" x14ac:dyDescent="0.2">
      <c r="A7964" s="28">
        <v>7963</v>
      </c>
      <c r="B7964" s="28" t="e">
        <f>interpola(#REF!,CURVA!$B$6:$B$20,CURVA!$G$6:$G$20)</f>
        <v>#VALUE!</v>
      </c>
      <c r="C7964" s="29" t="e">
        <f t="shared" si="124"/>
        <v>#VALUE!</v>
      </c>
      <c r="E7964" t="e">
        <f>cubic_spline(CURVA!$B$6:$B$20,CURVA!$G$6:$G$20,#REF!)</f>
        <v>#VALUE!</v>
      </c>
    </row>
    <row r="7965" spans="1:5" x14ac:dyDescent="0.2">
      <c r="A7965" s="28">
        <v>7964</v>
      </c>
      <c r="B7965" s="28" t="e">
        <f>interpola(#REF!,CURVA!$B$6:$B$20,CURVA!$G$6:$G$20)</f>
        <v>#VALUE!</v>
      </c>
      <c r="C7965" s="29" t="e">
        <f t="shared" si="124"/>
        <v>#VALUE!</v>
      </c>
      <c r="E7965" t="e">
        <f>cubic_spline(CURVA!$B$6:$B$20,CURVA!$G$6:$G$20,#REF!)</f>
        <v>#VALUE!</v>
      </c>
    </row>
    <row r="7966" spans="1:5" x14ac:dyDescent="0.2">
      <c r="A7966" s="28">
        <v>7965</v>
      </c>
      <c r="B7966" s="28" t="e">
        <f>interpola(#REF!,CURVA!$B$6:$B$20,CURVA!$G$6:$G$20)</f>
        <v>#VALUE!</v>
      </c>
      <c r="C7966" s="29" t="e">
        <f t="shared" si="124"/>
        <v>#VALUE!</v>
      </c>
      <c r="E7966" t="e">
        <f>cubic_spline(CURVA!$B$6:$B$20,CURVA!$G$6:$G$20,#REF!)</f>
        <v>#VALUE!</v>
      </c>
    </row>
    <row r="7967" spans="1:5" x14ac:dyDescent="0.2">
      <c r="A7967" s="28">
        <v>7966</v>
      </c>
      <c r="B7967" s="28" t="e">
        <f>interpola(#REF!,CURVA!$B$6:$B$20,CURVA!$G$6:$G$20)</f>
        <v>#VALUE!</v>
      </c>
      <c r="C7967" s="29" t="e">
        <f t="shared" si="124"/>
        <v>#VALUE!</v>
      </c>
      <c r="E7967" t="e">
        <f>cubic_spline(CURVA!$B$6:$B$20,CURVA!$G$6:$G$20,#REF!)</f>
        <v>#VALUE!</v>
      </c>
    </row>
    <row r="7968" spans="1:5" x14ac:dyDescent="0.2">
      <c r="A7968" s="28">
        <v>7967</v>
      </c>
      <c r="B7968" s="28" t="e">
        <f>interpola(#REF!,CURVA!$B$6:$B$20,CURVA!$G$6:$G$20)</f>
        <v>#VALUE!</v>
      </c>
      <c r="C7968" s="29" t="e">
        <f t="shared" si="124"/>
        <v>#VALUE!</v>
      </c>
      <c r="E7968" t="e">
        <f>cubic_spline(CURVA!$B$6:$B$20,CURVA!$G$6:$G$20,#REF!)</f>
        <v>#VALUE!</v>
      </c>
    </row>
    <row r="7969" spans="1:5" x14ac:dyDescent="0.2">
      <c r="A7969" s="28">
        <v>7968</v>
      </c>
      <c r="B7969" s="28" t="e">
        <f>interpola(#REF!,CURVA!$B$6:$B$20,CURVA!$G$6:$G$20)</f>
        <v>#VALUE!</v>
      </c>
      <c r="C7969" s="29" t="e">
        <f t="shared" si="124"/>
        <v>#VALUE!</v>
      </c>
      <c r="E7969" t="e">
        <f>cubic_spline(CURVA!$B$6:$B$20,CURVA!$G$6:$G$20,#REF!)</f>
        <v>#VALUE!</v>
      </c>
    </row>
    <row r="7970" spans="1:5" x14ac:dyDescent="0.2">
      <c r="A7970" s="28">
        <v>7969</v>
      </c>
      <c r="B7970" s="28" t="e">
        <f>interpola(#REF!,CURVA!$B$6:$B$20,CURVA!$G$6:$G$20)</f>
        <v>#VALUE!</v>
      </c>
      <c r="C7970" s="29" t="e">
        <f t="shared" si="124"/>
        <v>#VALUE!</v>
      </c>
      <c r="E7970" t="e">
        <f>cubic_spline(CURVA!$B$6:$B$20,CURVA!$G$6:$G$20,#REF!)</f>
        <v>#VALUE!</v>
      </c>
    </row>
    <row r="7971" spans="1:5" x14ac:dyDescent="0.2">
      <c r="A7971" s="28">
        <v>7970</v>
      </c>
      <c r="B7971" s="28" t="e">
        <f>interpola(#REF!,CURVA!$B$6:$B$20,CURVA!$G$6:$G$20)</f>
        <v>#VALUE!</v>
      </c>
      <c r="C7971" s="29" t="e">
        <f t="shared" si="124"/>
        <v>#VALUE!</v>
      </c>
      <c r="E7971" t="e">
        <f>cubic_spline(CURVA!$B$6:$B$20,CURVA!$G$6:$G$20,#REF!)</f>
        <v>#VALUE!</v>
      </c>
    </row>
    <row r="7972" spans="1:5" x14ac:dyDescent="0.2">
      <c r="A7972" s="28">
        <v>7971</v>
      </c>
      <c r="B7972" s="28" t="e">
        <f>interpola(#REF!,CURVA!$B$6:$B$20,CURVA!$G$6:$G$20)</f>
        <v>#VALUE!</v>
      </c>
      <c r="C7972" s="29" t="e">
        <f t="shared" si="124"/>
        <v>#VALUE!</v>
      </c>
      <c r="E7972" t="e">
        <f>cubic_spline(CURVA!$B$6:$B$20,CURVA!$G$6:$G$20,#REF!)</f>
        <v>#VALUE!</v>
      </c>
    </row>
    <row r="7973" spans="1:5" x14ac:dyDescent="0.2">
      <c r="A7973" s="28">
        <v>7972</v>
      </c>
      <c r="B7973" s="28" t="e">
        <f>interpola(#REF!,CURVA!$B$6:$B$20,CURVA!$G$6:$G$20)</f>
        <v>#VALUE!</v>
      </c>
      <c r="C7973" s="29" t="e">
        <f t="shared" si="124"/>
        <v>#VALUE!</v>
      </c>
      <c r="E7973" t="e">
        <f>cubic_spline(CURVA!$B$6:$B$20,CURVA!$G$6:$G$20,#REF!)</f>
        <v>#VALUE!</v>
      </c>
    </row>
    <row r="7974" spans="1:5" x14ac:dyDescent="0.2">
      <c r="A7974" s="28">
        <v>7973</v>
      </c>
      <c r="B7974" s="28" t="e">
        <f>interpola(#REF!,CURVA!$B$6:$B$20,CURVA!$G$6:$G$20)</f>
        <v>#VALUE!</v>
      </c>
      <c r="C7974" s="29" t="e">
        <f t="shared" si="124"/>
        <v>#VALUE!</v>
      </c>
      <c r="E7974" t="e">
        <f>cubic_spline(CURVA!$B$6:$B$20,CURVA!$G$6:$G$20,#REF!)</f>
        <v>#VALUE!</v>
      </c>
    </row>
    <row r="7975" spans="1:5" x14ac:dyDescent="0.2">
      <c r="A7975" s="28">
        <v>7974</v>
      </c>
      <c r="B7975" s="28" t="e">
        <f>interpola(#REF!,CURVA!$B$6:$B$20,CURVA!$G$6:$G$20)</f>
        <v>#VALUE!</v>
      </c>
      <c r="C7975" s="29" t="e">
        <f t="shared" si="124"/>
        <v>#VALUE!</v>
      </c>
      <c r="E7975" t="e">
        <f>cubic_spline(CURVA!$B$6:$B$20,CURVA!$G$6:$G$20,#REF!)</f>
        <v>#VALUE!</v>
      </c>
    </row>
    <row r="7976" spans="1:5" x14ac:dyDescent="0.2">
      <c r="A7976" s="28">
        <v>7975</v>
      </c>
      <c r="B7976" s="28" t="e">
        <f>interpola(#REF!,CURVA!$B$6:$B$20,CURVA!$G$6:$G$20)</f>
        <v>#VALUE!</v>
      </c>
      <c r="C7976" s="29" t="e">
        <f t="shared" si="124"/>
        <v>#VALUE!</v>
      </c>
      <c r="E7976" t="e">
        <f>cubic_spline(CURVA!$B$6:$B$20,CURVA!$G$6:$G$20,#REF!)</f>
        <v>#VALUE!</v>
      </c>
    </row>
    <row r="7977" spans="1:5" x14ac:dyDescent="0.2">
      <c r="A7977" s="28">
        <v>7976</v>
      </c>
      <c r="B7977" s="28" t="e">
        <f>interpola(#REF!,CURVA!$B$6:$B$20,CURVA!$G$6:$G$20)</f>
        <v>#VALUE!</v>
      </c>
      <c r="C7977" s="29" t="e">
        <f t="shared" si="124"/>
        <v>#VALUE!</v>
      </c>
      <c r="E7977" t="e">
        <f>cubic_spline(CURVA!$B$6:$B$20,CURVA!$G$6:$G$20,#REF!)</f>
        <v>#VALUE!</v>
      </c>
    </row>
    <row r="7978" spans="1:5" x14ac:dyDescent="0.2">
      <c r="A7978" s="28">
        <v>7977</v>
      </c>
      <c r="B7978" s="28" t="e">
        <f>interpola(#REF!,CURVA!$B$6:$B$20,CURVA!$G$6:$G$20)</f>
        <v>#VALUE!</v>
      </c>
      <c r="C7978" s="29" t="e">
        <f t="shared" si="124"/>
        <v>#VALUE!</v>
      </c>
      <c r="E7978" t="e">
        <f>cubic_spline(CURVA!$B$6:$B$20,CURVA!$G$6:$G$20,#REF!)</f>
        <v>#VALUE!</v>
      </c>
    </row>
    <row r="7979" spans="1:5" x14ac:dyDescent="0.2">
      <c r="A7979" s="28">
        <v>7978</v>
      </c>
      <c r="B7979" s="28" t="e">
        <f>interpola(#REF!,CURVA!$B$6:$B$20,CURVA!$G$6:$G$20)</f>
        <v>#VALUE!</v>
      </c>
      <c r="C7979" s="29" t="e">
        <f t="shared" si="124"/>
        <v>#VALUE!</v>
      </c>
      <c r="E7979" t="e">
        <f>cubic_spline(CURVA!$B$6:$B$20,CURVA!$G$6:$G$20,#REF!)</f>
        <v>#VALUE!</v>
      </c>
    </row>
    <row r="7980" spans="1:5" x14ac:dyDescent="0.2">
      <c r="A7980" s="28">
        <v>7979</v>
      </c>
      <c r="B7980" s="28" t="e">
        <f>interpola(#REF!,CURVA!$B$6:$B$20,CURVA!$G$6:$G$20)</f>
        <v>#VALUE!</v>
      </c>
      <c r="C7980" s="29" t="e">
        <f t="shared" si="124"/>
        <v>#VALUE!</v>
      </c>
      <c r="E7980" t="e">
        <f>cubic_spline(CURVA!$B$6:$B$20,CURVA!$G$6:$G$20,#REF!)</f>
        <v>#VALUE!</v>
      </c>
    </row>
    <row r="7981" spans="1:5" x14ac:dyDescent="0.2">
      <c r="A7981" s="28">
        <v>7980</v>
      </c>
      <c r="B7981" s="28" t="e">
        <f>interpola(#REF!,CURVA!$B$6:$B$20,CURVA!$G$6:$G$20)</f>
        <v>#VALUE!</v>
      </c>
      <c r="C7981" s="29" t="e">
        <f t="shared" si="124"/>
        <v>#VALUE!</v>
      </c>
      <c r="E7981" t="e">
        <f>cubic_spline(CURVA!$B$6:$B$20,CURVA!$G$6:$G$20,#REF!)</f>
        <v>#VALUE!</v>
      </c>
    </row>
    <row r="7982" spans="1:5" x14ac:dyDescent="0.2">
      <c r="A7982" s="28">
        <v>7981</v>
      </c>
      <c r="B7982" s="28" t="e">
        <f>interpola(#REF!,CURVA!$B$6:$B$20,CURVA!$G$6:$G$20)</f>
        <v>#VALUE!</v>
      </c>
      <c r="C7982" s="29" t="e">
        <f t="shared" si="124"/>
        <v>#VALUE!</v>
      </c>
      <c r="E7982" t="e">
        <f>cubic_spline(CURVA!$B$6:$B$20,CURVA!$G$6:$G$20,#REF!)</f>
        <v>#VALUE!</v>
      </c>
    </row>
    <row r="7983" spans="1:5" x14ac:dyDescent="0.2">
      <c r="A7983" s="28">
        <v>7982</v>
      </c>
      <c r="B7983" s="28" t="e">
        <f>interpola(#REF!,CURVA!$B$6:$B$20,CURVA!$G$6:$G$20)</f>
        <v>#VALUE!</v>
      </c>
      <c r="C7983" s="29" t="e">
        <f t="shared" si="124"/>
        <v>#VALUE!</v>
      </c>
      <c r="E7983" t="e">
        <f>cubic_spline(CURVA!$B$6:$B$20,CURVA!$G$6:$G$20,#REF!)</f>
        <v>#VALUE!</v>
      </c>
    </row>
    <row r="7984" spans="1:5" x14ac:dyDescent="0.2">
      <c r="A7984" s="28">
        <v>7983</v>
      </c>
      <c r="B7984" s="28" t="e">
        <f>interpola(#REF!,CURVA!$B$6:$B$20,CURVA!$G$6:$G$20)</f>
        <v>#VALUE!</v>
      </c>
      <c r="C7984" s="29" t="e">
        <f t="shared" si="124"/>
        <v>#VALUE!</v>
      </c>
      <c r="E7984" t="e">
        <f>cubic_spline(CURVA!$B$6:$B$20,CURVA!$G$6:$G$20,#REF!)</f>
        <v>#VALUE!</v>
      </c>
    </row>
    <row r="7985" spans="1:5" x14ac:dyDescent="0.2">
      <c r="A7985" s="28">
        <v>7984</v>
      </c>
      <c r="B7985" s="28" t="e">
        <f>interpola(#REF!,CURVA!$B$6:$B$20,CURVA!$G$6:$G$20)</f>
        <v>#VALUE!</v>
      </c>
      <c r="C7985" s="29" t="e">
        <f t="shared" si="124"/>
        <v>#VALUE!</v>
      </c>
      <c r="E7985" t="e">
        <f>cubic_spline(CURVA!$B$6:$B$20,CURVA!$G$6:$G$20,#REF!)</f>
        <v>#VALUE!</v>
      </c>
    </row>
    <row r="7986" spans="1:5" x14ac:dyDescent="0.2">
      <c r="A7986" s="28">
        <v>7985</v>
      </c>
      <c r="B7986" s="28" t="e">
        <f>interpola(#REF!,CURVA!$B$6:$B$20,CURVA!$G$6:$G$20)</f>
        <v>#VALUE!</v>
      </c>
      <c r="C7986" s="29" t="e">
        <f t="shared" si="124"/>
        <v>#VALUE!</v>
      </c>
      <c r="E7986" t="e">
        <f>cubic_spline(CURVA!$B$6:$B$20,CURVA!$G$6:$G$20,#REF!)</f>
        <v>#VALUE!</v>
      </c>
    </row>
    <row r="7987" spans="1:5" x14ac:dyDescent="0.2">
      <c r="A7987" s="28">
        <v>7986</v>
      </c>
      <c r="B7987" s="28" t="e">
        <f>interpola(#REF!,CURVA!$B$6:$B$20,CURVA!$G$6:$G$20)</f>
        <v>#VALUE!</v>
      </c>
      <c r="C7987" s="29" t="e">
        <f t="shared" si="124"/>
        <v>#VALUE!</v>
      </c>
      <c r="E7987" t="e">
        <f>cubic_spline(CURVA!$B$6:$B$20,CURVA!$G$6:$G$20,#REF!)</f>
        <v>#VALUE!</v>
      </c>
    </row>
    <row r="7988" spans="1:5" x14ac:dyDescent="0.2">
      <c r="A7988" s="28">
        <v>7987</v>
      </c>
      <c r="B7988" s="28" t="e">
        <f>interpola(#REF!,CURVA!$B$6:$B$20,CURVA!$G$6:$G$20)</f>
        <v>#VALUE!</v>
      </c>
      <c r="C7988" s="29" t="e">
        <f t="shared" si="124"/>
        <v>#VALUE!</v>
      </c>
      <c r="E7988" t="e">
        <f>cubic_spline(CURVA!$B$6:$B$20,CURVA!$G$6:$G$20,#REF!)</f>
        <v>#VALUE!</v>
      </c>
    </row>
    <row r="7989" spans="1:5" x14ac:dyDescent="0.2">
      <c r="A7989" s="28">
        <v>7988</v>
      </c>
      <c r="B7989" s="28" t="e">
        <f>interpola(#REF!,CURVA!$B$6:$B$20,CURVA!$G$6:$G$20)</f>
        <v>#VALUE!</v>
      </c>
      <c r="C7989" s="29" t="e">
        <f t="shared" si="124"/>
        <v>#VALUE!</v>
      </c>
      <c r="E7989" t="e">
        <f>cubic_spline(CURVA!$B$6:$B$20,CURVA!$G$6:$G$20,#REF!)</f>
        <v>#VALUE!</v>
      </c>
    </row>
    <row r="7990" spans="1:5" x14ac:dyDescent="0.2">
      <c r="A7990" s="28">
        <v>7989</v>
      </c>
      <c r="B7990" s="28" t="e">
        <f>interpola(#REF!,CURVA!$B$6:$B$20,CURVA!$G$6:$G$20)</f>
        <v>#VALUE!</v>
      </c>
      <c r="C7990" s="29" t="e">
        <f t="shared" si="124"/>
        <v>#VALUE!</v>
      </c>
      <c r="E7990" t="e">
        <f>cubic_spline(CURVA!$B$6:$B$20,CURVA!$G$6:$G$20,#REF!)</f>
        <v>#VALUE!</v>
      </c>
    </row>
    <row r="7991" spans="1:5" x14ac:dyDescent="0.2">
      <c r="A7991" s="28">
        <v>7990</v>
      </c>
      <c r="B7991" s="28" t="e">
        <f>interpola(#REF!,CURVA!$B$6:$B$20,CURVA!$G$6:$G$20)</f>
        <v>#VALUE!</v>
      </c>
      <c r="C7991" s="29" t="e">
        <f t="shared" si="124"/>
        <v>#VALUE!</v>
      </c>
      <c r="E7991" t="e">
        <f>cubic_spline(CURVA!$B$6:$B$20,CURVA!$G$6:$G$20,#REF!)</f>
        <v>#VALUE!</v>
      </c>
    </row>
    <row r="7992" spans="1:5" x14ac:dyDescent="0.2">
      <c r="A7992" s="28">
        <v>7991</v>
      </c>
      <c r="B7992" s="28" t="e">
        <f>interpola(#REF!,CURVA!$B$6:$B$20,CURVA!$G$6:$G$20)</f>
        <v>#VALUE!</v>
      </c>
      <c r="C7992" s="29" t="e">
        <f t="shared" si="124"/>
        <v>#VALUE!</v>
      </c>
      <c r="E7992" t="e">
        <f>cubic_spline(CURVA!$B$6:$B$20,CURVA!$G$6:$G$20,#REF!)</f>
        <v>#VALUE!</v>
      </c>
    </row>
    <row r="7993" spans="1:5" x14ac:dyDescent="0.2">
      <c r="A7993" s="28">
        <v>7992</v>
      </c>
      <c r="B7993" s="28" t="e">
        <f>interpola(#REF!,CURVA!$B$6:$B$20,CURVA!$G$6:$G$20)</f>
        <v>#VALUE!</v>
      </c>
      <c r="C7993" s="29" t="e">
        <f t="shared" si="124"/>
        <v>#VALUE!</v>
      </c>
      <c r="E7993" t="e">
        <f>cubic_spline(CURVA!$B$6:$B$20,CURVA!$G$6:$G$20,#REF!)</f>
        <v>#VALUE!</v>
      </c>
    </row>
    <row r="7994" spans="1:5" x14ac:dyDescent="0.2">
      <c r="A7994" s="28">
        <v>7993</v>
      </c>
      <c r="B7994" s="28" t="e">
        <f>interpola(#REF!,CURVA!$B$6:$B$20,CURVA!$G$6:$G$20)</f>
        <v>#VALUE!</v>
      </c>
      <c r="C7994" s="29" t="e">
        <f t="shared" si="124"/>
        <v>#VALUE!</v>
      </c>
      <c r="E7994" t="e">
        <f>cubic_spline(CURVA!$B$6:$B$20,CURVA!$G$6:$G$20,#REF!)</f>
        <v>#VALUE!</v>
      </c>
    </row>
    <row r="7995" spans="1:5" x14ac:dyDescent="0.2">
      <c r="A7995" s="28">
        <v>7994</v>
      </c>
      <c r="B7995" s="28" t="e">
        <f>interpola(#REF!,CURVA!$B$6:$B$20,CURVA!$G$6:$G$20)</f>
        <v>#VALUE!</v>
      </c>
      <c r="C7995" s="29" t="e">
        <f t="shared" si="124"/>
        <v>#VALUE!</v>
      </c>
      <c r="E7995" t="e">
        <f>cubic_spline(CURVA!$B$6:$B$20,CURVA!$G$6:$G$20,#REF!)</f>
        <v>#VALUE!</v>
      </c>
    </row>
    <row r="7996" spans="1:5" x14ac:dyDescent="0.2">
      <c r="A7996" s="28">
        <v>7995</v>
      </c>
      <c r="B7996" s="28" t="e">
        <f>interpola(#REF!,CURVA!$B$6:$B$20,CURVA!$G$6:$G$20)</f>
        <v>#VALUE!</v>
      </c>
      <c r="C7996" s="29" t="e">
        <f t="shared" si="124"/>
        <v>#VALUE!</v>
      </c>
      <c r="E7996" t="e">
        <f>cubic_spline(CURVA!$B$6:$B$20,CURVA!$G$6:$G$20,#REF!)</f>
        <v>#VALUE!</v>
      </c>
    </row>
    <row r="7997" spans="1:5" x14ac:dyDescent="0.2">
      <c r="A7997" s="28">
        <v>7996</v>
      </c>
      <c r="B7997" s="28" t="e">
        <f>interpola(#REF!,CURVA!$B$6:$B$20,CURVA!$G$6:$G$20)</f>
        <v>#VALUE!</v>
      </c>
      <c r="C7997" s="29" t="e">
        <f t="shared" si="124"/>
        <v>#VALUE!</v>
      </c>
      <c r="E7997" t="e">
        <f>cubic_spline(CURVA!$B$6:$B$20,CURVA!$G$6:$G$20,#REF!)</f>
        <v>#VALUE!</v>
      </c>
    </row>
    <row r="7998" spans="1:5" x14ac:dyDescent="0.2">
      <c r="A7998" s="28">
        <v>7997</v>
      </c>
      <c r="B7998" s="28" t="e">
        <f>interpola(#REF!,CURVA!$B$6:$B$20,CURVA!$G$6:$G$20)</f>
        <v>#VALUE!</v>
      </c>
      <c r="C7998" s="29" t="e">
        <f t="shared" si="124"/>
        <v>#VALUE!</v>
      </c>
      <c r="E7998" t="e">
        <f>cubic_spline(CURVA!$B$6:$B$20,CURVA!$G$6:$G$20,#REF!)</f>
        <v>#VALUE!</v>
      </c>
    </row>
    <row r="7999" spans="1:5" x14ac:dyDescent="0.2">
      <c r="A7999" s="28">
        <v>7998</v>
      </c>
      <c r="B7999" s="28" t="e">
        <f>interpola(#REF!,CURVA!$B$6:$B$20,CURVA!$G$6:$G$20)</f>
        <v>#VALUE!</v>
      </c>
      <c r="C7999" s="29" t="e">
        <f t="shared" si="124"/>
        <v>#VALUE!</v>
      </c>
      <c r="E7999" t="e">
        <f>cubic_spline(CURVA!$B$6:$B$20,CURVA!$G$6:$G$20,#REF!)</f>
        <v>#VALUE!</v>
      </c>
    </row>
    <row r="8000" spans="1:5" x14ac:dyDescent="0.2">
      <c r="A8000" s="28">
        <v>7999</v>
      </c>
      <c r="B8000" s="28" t="e">
        <f>interpola(#REF!,CURVA!$B$6:$B$20,CURVA!$G$6:$G$20)</f>
        <v>#VALUE!</v>
      </c>
      <c r="C8000" s="29" t="e">
        <f t="shared" si="124"/>
        <v>#VALUE!</v>
      </c>
      <c r="E8000" t="e">
        <f>cubic_spline(CURVA!$B$6:$B$20,CURVA!$G$6:$G$20,#REF!)</f>
        <v>#VALUE!</v>
      </c>
    </row>
    <row r="8001" spans="1:5" x14ac:dyDescent="0.2">
      <c r="A8001" s="28">
        <v>8000</v>
      </c>
      <c r="B8001" s="28" t="e">
        <f>interpola(#REF!,CURVA!$B$6:$B$20,CURVA!$G$6:$G$20)</f>
        <v>#VALUE!</v>
      </c>
      <c r="C8001" s="29" t="e">
        <f t="shared" si="124"/>
        <v>#VALUE!</v>
      </c>
      <c r="E8001" t="e">
        <f>cubic_spline(CURVA!$B$6:$B$20,CURVA!$G$6:$G$20,#REF!)</f>
        <v>#VALUE!</v>
      </c>
    </row>
    <row r="8002" spans="1:5" x14ac:dyDescent="0.2">
      <c r="A8002" s="28">
        <v>8001</v>
      </c>
      <c r="B8002" s="28" t="e">
        <f>interpola(#REF!,CURVA!$B$6:$B$20,CURVA!$G$6:$G$20)</f>
        <v>#VALUE!</v>
      </c>
      <c r="C8002" s="29" t="e">
        <f t="shared" ref="C8002:C8065" si="125">(EXP(B8002*A8002/360)-1)*360/A8002</f>
        <v>#VALUE!</v>
      </c>
      <c r="E8002" t="e">
        <f>cubic_spline(CURVA!$B$6:$B$20,CURVA!$G$6:$G$20,#REF!)</f>
        <v>#VALUE!</v>
      </c>
    </row>
    <row r="8003" spans="1:5" x14ac:dyDescent="0.2">
      <c r="A8003" s="28">
        <v>8002</v>
      </c>
      <c r="B8003" s="28" t="e">
        <f>interpola(#REF!,CURVA!$B$6:$B$20,CURVA!$G$6:$G$20)</f>
        <v>#VALUE!</v>
      </c>
      <c r="C8003" s="29" t="e">
        <f t="shared" si="125"/>
        <v>#VALUE!</v>
      </c>
      <c r="E8003" t="e">
        <f>cubic_spline(CURVA!$B$6:$B$20,CURVA!$G$6:$G$20,#REF!)</f>
        <v>#VALUE!</v>
      </c>
    </row>
    <row r="8004" spans="1:5" x14ac:dyDescent="0.2">
      <c r="A8004" s="28">
        <v>8003</v>
      </c>
      <c r="B8004" s="28" t="e">
        <f>interpola(#REF!,CURVA!$B$6:$B$20,CURVA!$G$6:$G$20)</f>
        <v>#VALUE!</v>
      </c>
      <c r="C8004" s="29" t="e">
        <f t="shared" si="125"/>
        <v>#VALUE!</v>
      </c>
      <c r="E8004" t="e">
        <f>cubic_spline(CURVA!$B$6:$B$20,CURVA!$G$6:$G$20,#REF!)</f>
        <v>#VALUE!</v>
      </c>
    </row>
    <row r="8005" spans="1:5" x14ac:dyDescent="0.2">
      <c r="A8005" s="28">
        <v>8004</v>
      </c>
      <c r="B8005" s="28" t="e">
        <f>interpola(#REF!,CURVA!$B$6:$B$20,CURVA!$G$6:$G$20)</f>
        <v>#VALUE!</v>
      </c>
      <c r="C8005" s="29" t="e">
        <f t="shared" si="125"/>
        <v>#VALUE!</v>
      </c>
      <c r="E8005" t="e">
        <f>cubic_spline(CURVA!$B$6:$B$20,CURVA!$G$6:$G$20,#REF!)</f>
        <v>#VALUE!</v>
      </c>
    </row>
    <row r="8006" spans="1:5" x14ac:dyDescent="0.2">
      <c r="A8006" s="28">
        <v>8005</v>
      </c>
      <c r="B8006" s="28" t="e">
        <f>interpola(#REF!,CURVA!$B$6:$B$20,CURVA!$G$6:$G$20)</f>
        <v>#VALUE!</v>
      </c>
      <c r="C8006" s="29" t="e">
        <f t="shared" si="125"/>
        <v>#VALUE!</v>
      </c>
      <c r="E8006" t="e">
        <f>cubic_spline(CURVA!$B$6:$B$20,CURVA!$G$6:$G$20,#REF!)</f>
        <v>#VALUE!</v>
      </c>
    </row>
    <row r="8007" spans="1:5" x14ac:dyDescent="0.2">
      <c r="A8007" s="28">
        <v>8006</v>
      </c>
      <c r="B8007" s="28" t="e">
        <f>interpola(#REF!,CURVA!$B$6:$B$20,CURVA!$G$6:$G$20)</f>
        <v>#VALUE!</v>
      </c>
      <c r="C8007" s="29" t="e">
        <f t="shared" si="125"/>
        <v>#VALUE!</v>
      </c>
      <c r="E8007" t="e">
        <f>cubic_spline(CURVA!$B$6:$B$20,CURVA!$G$6:$G$20,#REF!)</f>
        <v>#VALUE!</v>
      </c>
    </row>
    <row r="8008" spans="1:5" x14ac:dyDescent="0.2">
      <c r="A8008" s="28">
        <v>8007</v>
      </c>
      <c r="B8008" s="28" t="e">
        <f>interpola(#REF!,CURVA!$B$6:$B$20,CURVA!$G$6:$G$20)</f>
        <v>#VALUE!</v>
      </c>
      <c r="C8008" s="29" t="e">
        <f t="shared" si="125"/>
        <v>#VALUE!</v>
      </c>
      <c r="E8008" t="e">
        <f>cubic_spline(CURVA!$B$6:$B$20,CURVA!$G$6:$G$20,#REF!)</f>
        <v>#VALUE!</v>
      </c>
    </row>
    <row r="8009" spans="1:5" x14ac:dyDescent="0.2">
      <c r="A8009" s="28">
        <v>8008</v>
      </c>
      <c r="B8009" s="28" t="e">
        <f>interpola(#REF!,CURVA!$B$6:$B$20,CURVA!$G$6:$G$20)</f>
        <v>#VALUE!</v>
      </c>
      <c r="C8009" s="29" t="e">
        <f t="shared" si="125"/>
        <v>#VALUE!</v>
      </c>
      <c r="E8009" t="e">
        <f>cubic_spline(CURVA!$B$6:$B$20,CURVA!$G$6:$G$20,#REF!)</f>
        <v>#VALUE!</v>
      </c>
    </row>
    <row r="8010" spans="1:5" x14ac:dyDescent="0.2">
      <c r="A8010" s="28">
        <v>8009</v>
      </c>
      <c r="B8010" s="28" t="e">
        <f>interpola(#REF!,CURVA!$B$6:$B$20,CURVA!$G$6:$G$20)</f>
        <v>#VALUE!</v>
      </c>
      <c r="C8010" s="29" t="e">
        <f t="shared" si="125"/>
        <v>#VALUE!</v>
      </c>
      <c r="E8010" t="e">
        <f>cubic_spline(CURVA!$B$6:$B$20,CURVA!$G$6:$G$20,#REF!)</f>
        <v>#VALUE!</v>
      </c>
    </row>
    <row r="8011" spans="1:5" x14ac:dyDescent="0.2">
      <c r="A8011" s="28">
        <v>8010</v>
      </c>
      <c r="B8011" s="28" t="e">
        <f>interpola(#REF!,CURVA!$B$6:$B$20,CURVA!$G$6:$G$20)</f>
        <v>#VALUE!</v>
      </c>
      <c r="C8011" s="29" t="e">
        <f t="shared" si="125"/>
        <v>#VALUE!</v>
      </c>
      <c r="E8011" t="e">
        <f>cubic_spline(CURVA!$B$6:$B$20,CURVA!$G$6:$G$20,#REF!)</f>
        <v>#VALUE!</v>
      </c>
    </row>
    <row r="8012" spans="1:5" x14ac:dyDescent="0.2">
      <c r="A8012" s="28">
        <v>8011</v>
      </c>
      <c r="B8012" s="28" t="e">
        <f>interpola(#REF!,CURVA!$B$6:$B$20,CURVA!$G$6:$G$20)</f>
        <v>#VALUE!</v>
      </c>
      <c r="C8012" s="29" t="e">
        <f t="shared" si="125"/>
        <v>#VALUE!</v>
      </c>
      <c r="E8012" t="e">
        <f>cubic_spline(CURVA!$B$6:$B$20,CURVA!$G$6:$G$20,#REF!)</f>
        <v>#VALUE!</v>
      </c>
    </row>
    <row r="8013" spans="1:5" x14ac:dyDescent="0.2">
      <c r="A8013" s="28">
        <v>8012</v>
      </c>
      <c r="B8013" s="28" t="e">
        <f>interpola(#REF!,CURVA!$B$6:$B$20,CURVA!$G$6:$G$20)</f>
        <v>#VALUE!</v>
      </c>
      <c r="C8013" s="29" t="e">
        <f t="shared" si="125"/>
        <v>#VALUE!</v>
      </c>
      <c r="E8013" t="e">
        <f>cubic_spline(CURVA!$B$6:$B$20,CURVA!$G$6:$G$20,#REF!)</f>
        <v>#VALUE!</v>
      </c>
    </row>
    <row r="8014" spans="1:5" x14ac:dyDescent="0.2">
      <c r="A8014" s="28">
        <v>8013</v>
      </c>
      <c r="B8014" s="28" t="e">
        <f>interpola(#REF!,CURVA!$B$6:$B$20,CURVA!$G$6:$G$20)</f>
        <v>#VALUE!</v>
      </c>
      <c r="C8014" s="29" t="e">
        <f t="shared" si="125"/>
        <v>#VALUE!</v>
      </c>
      <c r="E8014" t="e">
        <f>cubic_spline(CURVA!$B$6:$B$20,CURVA!$G$6:$G$20,#REF!)</f>
        <v>#VALUE!</v>
      </c>
    </row>
    <row r="8015" spans="1:5" x14ac:dyDescent="0.2">
      <c r="A8015" s="28">
        <v>8014</v>
      </c>
      <c r="B8015" s="28" t="e">
        <f>interpola(#REF!,CURVA!$B$6:$B$20,CURVA!$G$6:$G$20)</f>
        <v>#VALUE!</v>
      </c>
      <c r="C8015" s="29" t="e">
        <f t="shared" si="125"/>
        <v>#VALUE!</v>
      </c>
      <c r="E8015" t="e">
        <f>cubic_spline(CURVA!$B$6:$B$20,CURVA!$G$6:$G$20,#REF!)</f>
        <v>#VALUE!</v>
      </c>
    </row>
    <row r="8016" spans="1:5" x14ac:dyDescent="0.2">
      <c r="A8016" s="28">
        <v>8015</v>
      </c>
      <c r="B8016" s="28" t="e">
        <f>interpola(#REF!,CURVA!$B$6:$B$20,CURVA!$G$6:$G$20)</f>
        <v>#VALUE!</v>
      </c>
      <c r="C8016" s="29" t="e">
        <f t="shared" si="125"/>
        <v>#VALUE!</v>
      </c>
      <c r="E8016" t="e">
        <f>cubic_spline(CURVA!$B$6:$B$20,CURVA!$G$6:$G$20,#REF!)</f>
        <v>#VALUE!</v>
      </c>
    </row>
    <row r="8017" spans="1:5" x14ac:dyDescent="0.2">
      <c r="A8017" s="28">
        <v>8016</v>
      </c>
      <c r="B8017" s="28" t="e">
        <f>interpola(#REF!,CURVA!$B$6:$B$20,CURVA!$G$6:$G$20)</f>
        <v>#VALUE!</v>
      </c>
      <c r="C8017" s="29" t="e">
        <f t="shared" si="125"/>
        <v>#VALUE!</v>
      </c>
      <c r="E8017" t="e">
        <f>cubic_spline(CURVA!$B$6:$B$20,CURVA!$G$6:$G$20,#REF!)</f>
        <v>#VALUE!</v>
      </c>
    </row>
    <row r="8018" spans="1:5" x14ac:dyDescent="0.2">
      <c r="A8018" s="28">
        <v>8017</v>
      </c>
      <c r="B8018" s="28" t="e">
        <f>interpola(#REF!,CURVA!$B$6:$B$20,CURVA!$G$6:$G$20)</f>
        <v>#VALUE!</v>
      </c>
      <c r="C8018" s="29" t="e">
        <f t="shared" si="125"/>
        <v>#VALUE!</v>
      </c>
      <c r="E8018" t="e">
        <f>cubic_spline(CURVA!$B$6:$B$20,CURVA!$G$6:$G$20,#REF!)</f>
        <v>#VALUE!</v>
      </c>
    </row>
    <row r="8019" spans="1:5" x14ac:dyDescent="0.2">
      <c r="A8019" s="28">
        <v>8018</v>
      </c>
      <c r="B8019" s="28" t="e">
        <f>interpola(#REF!,CURVA!$B$6:$B$20,CURVA!$G$6:$G$20)</f>
        <v>#VALUE!</v>
      </c>
      <c r="C8019" s="29" t="e">
        <f t="shared" si="125"/>
        <v>#VALUE!</v>
      </c>
      <c r="E8019" t="e">
        <f>cubic_spline(CURVA!$B$6:$B$20,CURVA!$G$6:$G$20,#REF!)</f>
        <v>#VALUE!</v>
      </c>
    </row>
    <row r="8020" spans="1:5" x14ac:dyDescent="0.2">
      <c r="A8020" s="28">
        <v>8019</v>
      </c>
      <c r="B8020" s="28" t="e">
        <f>interpola(#REF!,CURVA!$B$6:$B$20,CURVA!$G$6:$G$20)</f>
        <v>#VALUE!</v>
      </c>
      <c r="C8020" s="29" t="e">
        <f t="shared" si="125"/>
        <v>#VALUE!</v>
      </c>
      <c r="E8020" t="e">
        <f>cubic_spline(CURVA!$B$6:$B$20,CURVA!$G$6:$G$20,#REF!)</f>
        <v>#VALUE!</v>
      </c>
    </row>
    <row r="8021" spans="1:5" x14ac:dyDescent="0.2">
      <c r="A8021" s="28">
        <v>8020</v>
      </c>
      <c r="B8021" s="28" t="e">
        <f>interpola(#REF!,CURVA!$B$6:$B$20,CURVA!$G$6:$G$20)</f>
        <v>#VALUE!</v>
      </c>
      <c r="C8021" s="29" t="e">
        <f t="shared" si="125"/>
        <v>#VALUE!</v>
      </c>
      <c r="E8021" t="e">
        <f>cubic_spline(CURVA!$B$6:$B$20,CURVA!$G$6:$G$20,#REF!)</f>
        <v>#VALUE!</v>
      </c>
    </row>
    <row r="8022" spans="1:5" x14ac:dyDescent="0.2">
      <c r="A8022" s="28">
        <v>8021</v>
      </c>
      <c r="B8022" s="28" t="e">
        <f>interpola(#REF!,CURVA!$B$6:$B$20,CURVA!$G$6:$G$20)</f>
        <v>#VALUE!</v>
      </c>
      <c r="C8022" s="29" t="e">
        <f t="shared" si="125"/>
        <v>#VALUE!</v>
      </c>
      <c r="E8022" t="e">
        <f>cubic_spline(CURVA!$B$6:$B$20,CURVA!$G$6:$G$20,#REF!)</f>
        <v>#VALUE!</v>
      </c>
    </row>
    <row r="8023" spans="1:5" x14ac:dyDescent="0.2">
      <c r="A8023" s="28">
        <v>8022</v>
      </c>
      <c r="B8023" s="28" t="e">
        <f>interpola(#REF!,CURVA!$B$6:$B$20,CURVA!$G$6:$G$20)</f>
        <v>#VALUE!</v>
      </c>
      <c r="C8023" s="29" t="e">
        <f t="shared" si="125"/>
        <v>#VALUE!</v>
      </c>
      <c r="E8023" t="e">
        <f>cubic_spline(CURVA!$B$6:$B$20,CURVA!$G$6:$G$20,#REF!)</f>
        <v>#VALUE!</v>
      </c>
    </row>
    <row r="8024" spans="1:5" x14ac:dyDescent="0.2">
      <c r="A8024" s="28">
        <v>8023</v>
      </c>
      <c r="B8024" s="28" t="e">
        <f>interpola(#REF!,CURVA!$B$6:$B$20,CURVA!$G$6:$G$20)</f>
        <v>#VALUE!</v>
      </c>
      <c r="C8024" s="29" t="e">
        <f t="shared" si="125"/>
        <v>#VALUE!</v>
      </c>
      <c r="E8024" t="e">
        <f>cubic_spline(CURVA!$B$6:$B$20,CURVA!$G$6:$G$20,#REF!)</f>
        <v>#VALUE!</v>
      </c>
    </row>
    <row r="8025" spans="1:5" x14ac:dyDescent="0.2">
      <c r="A8025" s="28">
        <v>8024</v>
      </c>
      <c r="B8025" s="28" t="e">
        <f>interpola(#REF!,CURVA!$B$6:$B$20,CURVA!$G$6:$G$20)</f>
        <v>#VALUE!</v>
      </c>
      <c r="C8025" s="29" t="e">
        <f t="shared" si="125"/>
        <v>#VALUE!</v>
      </c>
      <c r="E8025" t="e">
        <f>cubic_spline(CURVA!$B$6:$B$20,CURVA!$G$6:$G$20,#REF!)</f>
        <v>#VALUE!</v>
      </c>
    </row>
    <row r="8026" spans="1:5" x14ac:dyDescent="0.2">
      <c r="A8026" s="28">
        <v>8025</v>
      </c>
      <c r="B8026" s="28" t="e">
        <f>interpola(#REF!,CURVA!$B$6:$B$20,CURVA!$G$6:$G$20)</f>
        <v>#VALUE!</v>
      </c>
      <c r="C8026" s="29" t="e">
        <f t="shared" si="125"/>
        <v>#VALUE!</v>
      </c>
      <c r="E8026" t="e">
        <f>cubic_spline(CURVA!$B$6:$B$20,CURVA!$G$6:$G$20,#REF!)</f>
        <v>#VALUE!</v>
      </c>
    </row>
    <row r="8027" spans="1:5" x14ac:dyDescent="0.2">
      <c r="A8027" s="28">
        <v>8026</v>
      </c>
      <c r="B8027" s="28" t="e">
        <f>interpola(#REF!,CURVA!$B$6:$B$20,CURVA!$G$6:$G$20)</f>
        <v>#VALUE!</v>
      </c>
      <c r="C8027" s="29" t="e">
        <f t="shared" si="125"/>
        <v>#VALUE!</v>
      </c>
      <c r="E8027" t="e">
        <f>cubic_spline(CURVA!$B$6:$B$20,CURVA!$G$6:$G$20,#REF!)</f>
        <v>#VALUE!</v>
      </c>
    </row>
    <row r="8028" spans="1:5" x14ac:dyDescent="0.2">
      <c r="A8028" s="28">
        <v>8027</v>
      </c>
      <c r="B8028" s="28" t="e">
        <f>interpola(#REF!,CURVA!$B$6:$B$20,CURVA!$G$6:$G$20)</f>
        <v>#VALUE!</v>
      </c>
      <c r="C8028" s="29" t="e">
        <f t="shared" si="125"/>
        <v>#VALUE!</v>
      </c>
      <c r="E8028" t="e">
        <f>cubic_spline(CURVA!$B$6:$B$20,CURVA!$G$6:$G$20,#REF!)</f>
        <v>#VALUE!</v>
      </c>
    </row>
    <row r="8029" spans="1:5" x14ac:dyDescent="0.2">
      <c r="A8029" s="28">
        <v>8028</v>
      </c>
      <c r="B8029" s="28" t="e">
        <f>interpola(#REF!,CURVA!$B$6:$B$20,CURVA!$G$6:$G$20)</f>
        <v>#VALUE!</v>
      </c>
      <c r="C8029" s="29" t="e">
        <f t="shared" si="125"/>
        <v>#VALUE!</v>
      </c>
      <c r="E8029" t="e">
        <f>cubic_spline(CURVA!$B$6:$B$20,CURVA!$G$6:$G$20,#REF!)</f>
        <v>#VALUE!</v>
      </c>
    </row>
    <row r="8030" spans="1:5" x14ac:dyDescent="0.2">
      <c r="A8030" s="28">
        <v>8029</v>
      </c>
      <c r="B8030" s="28" t="e">
        <f>interpola(#REF!,CURVA!$B$6:$B$20,CURVA!$G$6:$G$20)</f>
        <v>#VALUE!</v>
      </c>
      <c r="C8030" s="29" t="e">
        <f t="shared" si="125"/>
        <v>#VALUE!</v>
      </c>
      <c r="E8030" t="e">
        <f>cubic_spline(CURVA!$B$6:$B$20,CURVA!$G$6:$G$20,#REF!)</f>
        <v>#VALUE!</v>
      </c>
    </row>
    <row r="8031" spans="1:5" x14ac:dyDescent="0.2">
      <c r="A8031" s="28">
        <v>8030</v>
      </c>
      <c r="B8031" s="28" t="e">
        <f>interpola(#REF!,CURVA!$B$6:$B$20,CURVA!$G$6:$G$20)</f>
        <v>#VALUE!</v>
      </c>
      <c r="C8031" s="29" t="e">
        <f t="shared" si="125"/>
        <v>#VALUE!</v>
      </c>
      <c r="E8031" t="e">
        <f>cubic_spline(CURVA!$B$6:$B$20,CURVA!$G$6:$G$20,#REF!)</f>
        <v>#VALUE!</v>
      </c>
    </row>
    <row r="8032" spans="1:5" x14ac:dyDescent="0.2">
      <c r="A8032" s="28">
        <v>8031</v>
      </c>
      <c r="B8032" s="28" t="e">
        <f>interpola(#REF!,CURVA!$B$6:$B$20,CURVA!$G$6:$G$20)</f>
        <v>#VALUE!</v>
      </c>
      <c r="C8032" s="29" t="e">
        <f t="shared" si="125"/>
        <v>#VALUE!</v>
      </c>
      <c r="E8032" t="e">
        <f>cubic_spline(CURVA!$B$6:$B$20,CURVA!$G$6:$G$20,#REF!)</f>
        <v>#VALUE!</v>
      </c>
    </row>
    <row r="8033" spans="1:5" x14ac:dyDescent="0.2">
      <c r="A8033" s="28">
        <v>8032</v>
      </c>
      <c r="B8033" s="28" t="e">
        <f>interpola(#REF!,CURVA!$B$6:$B$20,CURVA!$G$6:$G$20)</f>
        <v>#VALUE!</v>
      </c>
      <c r="C8033" s="29" t="e">
        <f t="shared" si="125"/>
        <v>#VALUE!</v>
      </c>
      <c r="E8033" t="e">
        <f>cubic_spline(CURVA!$B$6:$B$20,CURVA!$G$6:$G$20,#REF!)</f>
        <v>#VALUE!</v>
      </c>
    </row>
    <row r="8034" spans="1:5" x14ac:dyDescent="0.2">
      <c r="A8034" s="28">
        <v>8033</v>
      </c>
      <c r="B8034" s="28" t="e">
        <f>interpola(#REF!,CURVA!$B$6:$B$20,CURVA!$G$6:$G$20)</f>
        <v>#VALUE!</v>
      </c>
      <c r="C8034" s="29" t="e">
        <f t="shared" si="125"/>
        <v>#VALUE!</v>
      </c>
      <c r="E8034" t="e">
        <f>cubic_spline(CURVA!$B$6:$B$20,CURVA!$G$6:$G$20,#REF!)</f>
        <v>#VALUE!</v>
      </c>
    </row>
    <row r="8035" spans="1:5" x14ac:dyDescent="0.2">
      <c r="A8035" s="28">
        <v>8034</v>
      </c>
      <c r="B8035" s="28" t="e">
        <f>interpola(#REF!,CURVA!$B$6:$B$20,CURVA!$G$6:$G$20)</f>
        <v>#VALUE!</v>
      </c>
      <c r="C8035" s="29" t="e">
        <f t="shared" si="125"/>
        <v>#VALUE!</v>
      </c>
      <c r="E8035" t="e">
        <f>cubic_spline(CURVA!$B$6:$B$20,CURVA!$G$6:$G$20,#REF!)</f>
        <v>#VALUE!</v>
      </c>
    </row>
    <row r="8036" spans="1:5" x14ac:dyDescent="0.2">
      <c r="A8036" s="28">
        <v>8035</v>
      </c>
      <c r="B8036" s="28" t="e">
        <f>interpola(#REF!,CURVA!$B$6:$B$20,CURVA!$G$6:$G$20)</f>
        <v>#VALUE!</v>
      </c>
      <c r="C8036" s="29" t="e">
        <f t="shared" si="125"/>
        <v>#VALUE!</v>
      </c>
      <c r="E8036" t="e">
        <f>cubic_spline(CURVA!$B$6:$B$20,CURVA!$G$6:$G$20,#REF!)</f>
        <v>#VALUE!</v>
      </c>
    </row>
    <row r="8037" spans="1:5" x14ac:dyDescent="0.2">
      <c r="A8037" s="28">
        <v>8036</v>
      </c>
      <c r="B8037" s="28" t="e">
        <f>interpola(#REF!,CURVA!$B$6:$B$20,CURVA!$G$6:$G$20)</f>
        <v>#VALUE!</v>
      </c>
      <c r="C8037" s="29" t="e">
        <f t="shared" si="125"/>
        <v>#VALUE!</v>
      </c>
      <c r="E8037" t="e">
        <f>cubic_spline(CURVA!$B$6:$B$20,CURVA!$G$6:$G$20,#REF!)</f>
        <v>#VALUE!</v>
      </c>
    </row>
    <row r="8038" spans="1:5" x14ac:dyDescent="0.2">
      <c r="A8038" s="28">
        <v>8037</v>
      </c>
      <c r="B8038" s="28" t="e">
        <f>interpola(#REF!,CURVA!$B$6:$B$20,CURVA!$G$6:$G$20)</f>
        <v>#VALUE!</v>
      </c>
      <c r="C8038" s="29" t="e">
        <f t="shared" si="125"/>
        <v>#VALUE!</v>
      </c>
      <c r="E8038" t="e">
        <f>cubic_spline(CURVA!$B$6:$B$20,CURVA!$G$6:$G$20,#REF!)</f>
        <v>#VALUE!</v>
      </c>
    </row>
    <row r="8039" spans="1:5" x14ac:dyDescent="0.2">
      <c r="A8039" s="28">
        <v>8038</v>
      </c>
      <c r="B8039" s="28" t="e">
        <f>interpola(#REF!,CURVA!$B$6:$B$20,CURVA!$G$6:$G$20)</f>
        <v>#VALUE!</v>
      </c>
      <c r="C8039" s="29" t="e">
        <f t="shared" si="125"/>
        <v>#VALUE!</v>
      </c>
      <c r="E8039" t="e">
        <f>cubic_spline(CURVA!$B$6:$B$20,CURVA!$G$6:$G$20,#REF!)</f>
        <v>#VALUE!</v>
      </c>
    </row>
    <row r="8040" spans="1:5" x14ac:dyDescent="0.2">
      <c r="A8040" s="28">
        <v>8039</v>
      </c>
      <c r="B8040" s="28" t="e">
        <f>interpola(#REF!,CURVA!$B$6:$B$20,CURVA!$G$6:$G$20)</f>
        <v>#VALUE!</v>
      </c>
      <c r="C8040" s="29" t="e">
        <f t="shared" si="125"/>
        <v>#VALUE!</v>
      </c>
      <c r="E8040" t="e">
        <f>cubic_spline(CURVA!$B$6:$B$20,CURVA!$G$6:$G$20,#REF!)</f>
        <v>#VALUE!</v>
      </c>
    </row>
    <row r="8041" spans="1:5" x14ac:dyDescent="0.2">
      <c r="A8041" s="28">
        <v>8040</v>
      </c>
      <c r="B8041" s="28" t="e">
        <f>interpola(#REF!,CURVA!$B$6:$B$20,CURVA!$G$6:$G$20)</f>
        <v>#VALUE!</v>
      </c>
      <c r="C8041" s="29" t="e">
        <f t="shared" si="125"/>
        <v>#VALUE!</v>
      </c>
      <c r="E8041" t="e">
        <f>cubic_spline(CURVA!$B$6:$B$20,CURVA!$G$6:$G$20,#REF!)</f>
        <v>#VALUE!</v>
      </c>
    </row>
    <row r="8042" spans="1:5" x14ac:dyDescent="0.2">
      <c r="A8042" s="28">
        <v>8041</v>
      </c>
      <c r="B8042" s="28" t="e">
        <f>interpola(#REF!,CURVA!$B$6:$B$20,CURVA!$G$6:$G$20)</f>
        <v>#VALUE!</v>
      </c>
      <c r="C8042" s="29" t="e">
        <f t="shared" si="125"/>
        <v>#VALUE!</v>
      </c>
      <c r="E8042" t="e">
        <f>cubic_spline(CURVA!$B$6:$B$20,CURVA!$G$6:$G$20,#REF!)</f>
        <v>#VALUE!</v>
      </c>
    </row>
    <row r="8043" spans="1:5" x14ac:dyDescent="0.2">
      <c r="A8043" s="28">
        <v>8042</v>
      </c>
      <c r="B8043" s="28" t="e">
        <f>interpola(#REF!,CURVA!$B$6:$B$20,CURVA!$G$6:$G$20)</f>
        <v>#VALUE!</v>
      </c>
      <c r="C8043" s="29" t="e">
        <f t="shared" si="125"/>
        <v>#VALUE!</v>
      </c>
      <c r="E8043" t="e">
        <f>cubic_spline(CURVA!$B$6:$B$20,CURVA!$G$6:$G$20,#REF!)</f>
        <v>#VALUE!</v>
      </c>
    </row>
    <row r="8044" spans="1:5" x14ac:dyDescent="0.2">
      <c r="A8044" s="28">
        <v>8043</v>
      </c>
      <c r="B8044" s="28" t="e">
        <f>interpola(#REF!,CURVA!$B$6:$B$20,CURVA!$G$6:$G$20)</f>
        <v>#VALUE!</v>
      </c>
      <c r="C8044" s="29" t="e">
        <f t="shared" si="125"/>
        <v>#VALUE!</v>
      </c>
      <c r="E8044" t="e">
        <f>cubic_spline(CURVA!$B$6:$B$20,CURVA!$G$6:$G$20,#REF!)</f>
        <v>#VALUE!</v>
      </c>
    </row>
    <row r="8045" spans="1:5" x14ac:dyDescent="0.2">
      <c r="A8045" s="28">
        <v>8044</v>
      </c>
      <c r="B8045" s="28" t="e">
        <f>interpola(#REF!,CURVA!$B$6:$B$20,CURVA!$G$6:$G$20)</f>
        <v>#VALUE!</v>
      </c>
      <c r="C8045" s="29" t="e">
        <f t="shared" si="125"/>
        <v>#VALUE!</v>
      </c>
      <c r="E8045" t="e">
        <f>cubic_spline(CURVA!$B$6:$B$20,CURVA!$G$6:$G$20,#REF!)</f>
        <v>#VALUE!</v>
      </c>
    </row>
    <row r="8046" spans="1:5" x14ac:dyDescent="0.2">
      <c r="A8046" s="28">
        <v>8045</v>
      </c>
      <c r="B8046" s="28" t="e">
        <f>interpola(#REF!,CURVA!$B$6:$B$20,CURVA!$G$6:$G$20)</f>
        <v>#VALUE!</v>
      </c>
      <c r="C8046" s="29" t="e">
        <f t="shared" si="125"/>
        <v>#VALUE!</v>
      </c>
      <c r="E8046" t="e">
        <f>cubic_spline(CURVA!$B$6:$B$20,CURVA!$G$6:$G$20,#REF!)</f>
        <v>#VALUE!</v>
      </c>
    </row>
    <row r="8047" spans="1:5" x14ac:dyDescent="0.2">
      <c r="A8047" s="28">
        <v>8046</v>
      </c>
      <c r="B8047" s="28" t="e">
        <f>interpola(#REF!,CURVA!$B$6:$B$20,CURVA!$G$6:$G$20)</f>
        <v>#VALUE!</v>
      </c>
      <c r="C8047" s="29" t="e">
        <f t="shared" si="125"/>
        <v>#VALUE!</v>
      </c>
      <c r="E8047" t="e">
        <f>cubic_spline(CURVA!$B$6:$B$20,CURVA!$G$6:$G$20,#REF!)</f>
        <v>#VALUE!</v>
      </c>
    </row>
    <row r="8048" spans="1:5" x14ac:dyDescent="0.2">
      <c r="A8048" s="28">
        <v>8047</v>
      </c>
      <c r="B8048" s="28" t="e">
        <f>interpola(#REF!,CURVA!$B$6:$B$20,CURVA!$G$6:$G$20)</f>
        <v>#VALUE!</v>
      </c>
      <c r="C8048" s="29" t="e">
        <f t="shared" si="125"/>
        <v>#VALUE!</v>
      </c>
      <c r="E8048" t="e">
        <f>cubic_spline(CURVA!$B$6:$B$20,CURVA!$G$6:$G$20,#REF!)</f>
        <v>#VALUE!</v>
      </c>
    </row>
    <row r="8049" spans="1:5" x14ac:dyDescent="0.2">
      <c r="A8049" s="28">
        <v>8048</v>
      </c>
      <c r="B8049" s="28" t="e">
        <f>interpola(#REF!,CURVA!$B$6:$B$20,CURVA!$G$6:$G$20)</f>
        <v>#VALUE!</v>
      </c>
      <c r="C8049" s="29" t="e">
        <f t="shared" si="125"/>
        <v>#VALUE!</v>
      </c>
      <c r="E8049" t="e">
        <f>cubic_spline(CURVA!$B$6:$B$20,CURVA!$G$6:$G$20,#REF!)</f>
        <v>#VALUE!</v>
      </c>
    </row>
    <row r="8050" spans="1:5" x14ac:dyDescent="0.2">
      <c r="A8050" s="28">
        <v>8049</v>
      </c>
      <c r="B8050" s="28" t="e">
        <f>interpola(#REF!,CURVA!$B$6:$B$20,CURVA!$G$6:$G$20)</f>
        <v>#VALUE!</v>
      </c>
      <c r="C8050" s="29" t="e">
        <f t="shared" si="125"/>
        <v>#VALUE!</v>
      </c>
      <c r="E8050" t="e">
        <f>cubic_spline(CURVA!$B$6:$B$20,CURVA!$G$6:$G$20,#REF!)</f>
        <v>#VALUE!</v>
      </c>
    </row>
    <row r="8051" spans="1:5" x14ac:dyDescent="0.2">
      <c r="A8051" s="28">
        <v>8050</v>
      </c>
      <c r="B8051" s="28" t="e">
        <f>interpola(#REF!,CURVA!$B$6:$B$20,CURVA!$G$6:$G$20)</f>
        <v>#VALUE!</v>
      </c>
      <c r="C8051" s="29" t="e">
        <f t="shared" si="125"/>
        <v>#VALUE!</v>
      </c>
      <c r="E8051" t="e">
        <f>cubic_spline(CURVA!$B$6:$B$20,CURVA!$G$6:$G$20,#REF!)</f>
        <v>#VALUE!</v>
      </c>
    </row>
    <row r="8052" spans="1:5" x14ac:dyDescent="0.2">
      <c r="A8052" s="28">
        <v>8051</v>
      </c>
      <c r="B8052" s="28" t="e">
        <f>interpola(#REF!,CURVA!$B$6:$B$20,CURVA!$G$6:$G$20)</f>
        <v>#VALUE!</v>
      </c>
      <c r="C8052" s="29" t="e">
        <f t="shared" si="125"/>
        <v>#VALUE!</v>
      </c>
      <c r="E8052" t="e">
        <f>cubic_spline(CURVA!$B$6:$B$20,CURVA!$G$6:$G$20,#REF!)</f>
        <v>#VALUE!</v>
      </c>
    </row>
    <row r="8053" spans="1:5" x14ac:dyDescent="0.2">
      <c r="A8053" s="28">
        <v>8052</v>
      </c>
      <c r="B8053" s="28" t="e">
        <f>interpola(#REF!,CURVA!$B$6:$B$20,CURVA!$G$6:$G$20)</f>
        <v>#VALUE!</v>
      </c>
      <c r="C8053" s="29" t="e">
        <f t="shared" si="125"/>
        <v>#VALUE!</v>
      </c>
      <c r="E8053" t="e">
        <f>cubic_spline(CURVA!$B$6:$B$20,CURVA!$G$6:$G$20,#REF!)</f>
        <v>#VALUE!</v>
      </c>
    </row>
    <row r="8054" spans="1:5" x14ac:dyDescent="0.2">
      <c r="A8054" s="28">
        <v>8053</v>
      </c>
      <c r="B8054" s="28" t="e">
        <f>interpola(#REF!,CURVA!$B$6:$B$20,CURVA!$G$6:$G$20)</f>
        <v>#VALUE!</v>
      </c>
      <c r="C8054" s="29" t="e">
        <f t="shared" si="125"/>
        <v>#VALUE!</v>
      </c>
      <c r="E8054" t="e">
        <f>cubic_spline(CURVA!$B$6:$B$20,CURVA!$G$6:$G$20,#REF!)</f>
        <v>#VALUE!</v>
      </c>
    </row>
    <row r="8055" spans="1:5" x14ac:dyDescent="0.2">
      <c r="A8055" s="28">
        <v>8054</v>
      </c>
      <c r="B8055" s="28" t="e">
        <f>interpola(#REF!,CURVA!$B$6:$B$20,CURVA!$G$6:$G$20)</f>
        <v>#VALUE!</v>
      </c>
      <c r="C8055" s="29" t="e">
        <f t="shared" si="125"/>
        <v>#VALUE!</v>
      </c>
      <c r="E8055" t="e">
        <f>cubic_spline(CURVA!$B$6:$B$20,CURVA!$G$6:$G$20,#REF!)</f>
        <v>#VALUE!</v>
      </c>
    </row>
    <row r="8056" spans="1:5" x14ac:dyDescent="0.2">
      <c r="A8056" s="28">
        <v>8055</v>
      </c>
      <c r="B8056" s="28" t="e">
        <f>interpola(#REF!,CURVA!$B$6:$B$20,CURVA!$G$6:$G$20)</f>
        <v>#VALUE!</v>
      </c>
      <c r="C8056" s="29" t="e">
        <f t="shared" si="125"/>
        <v>#VALUE!</v>
      </c>
      <c r="E8056" t="e">
        <f>cubic_spline(CURVA!$B$6:$B$20,CURVA!$G$6:$G$20,#REF!)</f>
        <v>#VALUE!</v>
      </c>
    </row>
    <row r="8057" spans="1:5" x14ac:dyDescent="0.2">
      <c r="A8057" s="28">
        <v>8056</v>
      </c>
      <c r="B8057" s="28" t="e">
        <f>interpola(#REF!,CURVA!$B$6:$B$20,CURVA!$G$6:$G$20)</f>
        <v>#VALUE!</v>
      </c>
      <c r="C8057" s="29" t="e">
        <f t="shared" si="125"/>
        <v>#VALUE!</v>
      </c>
      <c r="E8057" t="e">
        <f>cubic_spline(CURVA!$B$6:$B$20,CURVA!$G$6:$G$20,#REF!)</f>
        <v>#VALUE!</v>
      </c>
    </row>
    <row r="8058" spans="1:5" x14ac:dyDescent="0.2">
      <c r="A8058" s="28">
        <v>8057</v>
      </c>
      <c r="B8058" s="28" t="e">
        <f>interpola(#REF!,CURVA!$B$6:$B$20,CURVA!$G$6:$G$20)</f>
        <v>#VALUE!</v>
      </c>
      <c r="C8058" s="29" t="e">
        <f t="shared" si="125"/>
        <v>#VALUE!</v>
      </c>
      <c r="E8058" t="e">
        <f>cubic_spline(CURVA!$B$6:$B$20,CURVA!$G$6:$G$20,#REF!)</f>
        <v>#VALUE!</v>
      </c>
    </row>
    <row r="8059" spans="1:5" x14ac:dyDescent="0.2">
      <c r="A8059" s="28">
        <v>8058</v>
      </c>
      <c r="B8059" s="28" t="e">
        <f>interpola(#REF!,CURVA!$B$6:$B$20,CURVA!$G$6:$G$20)</f>
        <v>#VALUE!</v>
      </c>
      <c r="C8059" s="29" t="e">
        <f t="shared" si="125"/>
        <v>#VALUE!</v>
      </c>
      <c r="E8059" t="e">
        <f>cubic_spline(CURVA!$B$6:$B$20,CURVA!$G$6:$G$20,#REF!)</f>
        <v>#VALUE!</v>
      </c>
    </row>
    <row r="8060" spans="1:5" x14ac:dyDescent="0.2">
      <c r="A8060" s="28">
        <v>8059</v>
      </c>
      <c r="B8060" s="28" t="e">
        <f>interpola(#REF!,CURVA!$B$6:$B$20,CURVA!$G$6:$G$20)</f>
        <v>#VALUE!</v>
      </c>
      <c r="C8060" s="29" t="e">
        <f t="shared" si="125"/>
        <v>#VALUE!</v>
      </c>
      <c r="E8060" t="e">
        <f>cubic_spline(CURVA!$B$6:$B$20,CURVA!$G$6:$G$20,#REF!)</f>
        <v>#VALUE!</v>
      </c>
    </row>
    <row r="8061" spans="1:5" x14ac:dyDescent="0.2">
      <c r="A8061" s="28">
        <v>8060</v>
      </c>
      <c r="B8061" s="28" t="e">
        <f>interpola(#REF!,CURVA!$B$6:$B$20,CURVA!$G$6:$G$20)</f>
        <v>#VALUE!</v>
      </c>
      <c r="C8061" s="29" t="e">
        <f t="shared" si="125"/>
        <v>#VALUE!</v>
      </c>
      <c r="E8061" t="e">
        <f>cubic_spline(CURVA!$B$6:$B$20,CURVA!$G$6:$G$20,#REF!)</f>
        <v>#VALUE!</v>
      </c>
    </row>
    <row r="8062" spans="1:5" x14ac:dyDescent="0.2">
      <c r="A8062" s="28">
        <v>8061</v>
      </c>
      <c r="B8062" s="28" t="e">
        <f>interpola(#REF!,CURVA!$B$6:$B$20,CURVA!$G$6:$G$20)</f>
        <v>#VALUE!</v>
      </c>
      <c r="C8062" s="29" t="e">
        <f t="shared" si="125"/>
        <v>#VALUE!</v>
      </c>
      <c r="E8062" t="e">
        <f>cubic_spline(CURVA!$B$6:$B$20,CURVA!$G$6:$G$20,#REF!)</f>
        <v>#VALUE!</v>
      </c>
    </row>
    <row r="8063" spans="1:5" x14ac:dyDescent="0.2">
      <c r="A8063" s="28">
        <v>8062</v>
      </c>
      <c r="B8063" s="28" t="e">
        <f>interpola(#REF!,CURVA!$B$6:$B$20,CURVA!$G$6:$G$20)</f>
        <v>#VALUE!</v>
      </c>
      <c r="C8063" s="29" t="e">
        <f t="shared" si="125"/>
        <v>#VALUE!</v>
      </c>
      <c r="E8063" t="e">
        <f>cubic_spline(CURVA!$B$6:$B$20,CURVA!$G$6:$G$20,#REF!)</f>
        <v>#VALUE!</v>
      </c>
    </row>
    <row r="8064" spans="1:5" x14ac:dyDescent="0.2">
      <c r="A8064" s="28">
        <v>8063</v>
      </c>
      <c r="B8064" s="28" t="e">
        <f>interpola(#REF!,CURVA!$B$6:$B$20,CURVA!$G$6:$G$20)</f>
        <v>#VALUE!</v>
      </c>
      <c r="C8064" s="29" t="e">
        <f t="shared" si="125"/>
        <v>#VALUE!</v>
      </c>
      <c r="E8064" t="e">
        <f>cubic_spline(CURVA!$B$6:$B$20,CURVA!$G$6:$G$20,#REF!)</f>
        <v>#VALUE!</v>
      </c>
    </row>
    <row r="8065" spans="1:5" x14ac:dyDescent="0.2">
      <c r="A8065" s="28">
        <v>8064</v>
      </c>
      <c r="B8065" s="28" t="e">
        <f>interpola(#REF!,CURVA!$B$6:$B$20,CURVA!$G$6:$G$20)</f>
        <v>#VALUE!</v>
      </c>
      <c r="C8065" s="29" t="e">
        <f t="shared" si="125"/>
        <v>#VALUE!</v>
      </c>
      <c r="E8065" t="e">
        <f>cubic_spline(CURVA!$B$6:$B$20,CURVA!$G$6:$G$20,#REF!)</f>
        <v>#VALUE!</v>
      </c>
    </row>
    <row r="8066" spans="1:5" x14ac:dyDescent="0.2">
      <c r="A8066" s="28">
        <v>8065</v>
      </c>
      <c r="B8066" s="28" t="e">
        <f>interpola(#REF!,CURVA!$B$6:$B$20,CURVA!$G$6:$G$20)</f>
        <v>#VALUE!</v>
      </c>
      <c r="C8066" s="29" t="e">
        <f t="shared" ref="C8066:C8129" si="126">(EXP(B8066*A8066/360)-1)*360/A8066</f>
        <v>#VALUE!</v>
      </c>
      <c r="E8066" t="e">
        <f>cubic_spline(CURVA!$B$6:$B$20,CURVA!$G$6:$G$20,#REF!)</f>
        <v>#VALUE!</v>
      </c>
    </row>
    <row r="8067" spans="1:5" x14ac:dyDescent="0.2">
      <c r="A8067" s="28">
        <v>8066</v>
      </c>
      <c r="B8067" s="28" t="e">
        <f>interpola(#REF!,CURVA!$B$6:$B$20,CURVA!$G$6:$G$20)</f>
        <v>#VALUE!</v>
      </c>
      <c r="C8067" s="29" t="e">
        <f t="shared" si="126"/>
        <v>#VALUE!</v>
      </c>
      <c r="E8067" t="e">
        <f>cubic_spline(CURVA!$B$6:$B$20,CURVA!$G$6:$G$20,#REF!)</f>
        <v>#VALUE!</v>
      </c>
    </row>
    <row r="8068" spans="1:5" x14ac:dyDescent="0.2">
      <c r="A8068" s="28">
        <v>8067</v>
      </c>
      <c r="B8068" s="28" t="e">
        <f>interpola(#REF!,CURVA!$B$6:$B$20,CURVA!$G$6:$G$20)</f>
        <v>#VALUE!</v>
      </c>
      <c r="C8068" s="29" t="e">
        <f t="shared" si="126"/>
        <v>#VALUE!</v>
      </c>
      <c r="E8068" t="e">
        <f>cubic_spline(CURVA!$B$6:$B$20,CURVA!$G$6:$G$20,#REF!)</f>
        <v>#VALUE!</v>
      </c>
    </row>
    <row r="8069" spans="1:5" x14ac:dyDescent="0.2">
      <c r="A8069" s="28">
        <v>8068</v>
      </c>
      <c r="B8069" s="28" t="e">
        <f>interpola(#REF!,CURVA!$B$6:$B$20,CURVA!$G$6:$G$20)</f>
        <v>#VALUE!</v>
      </c>
      <c r="C8069" s="29" t="e">
        <f t="shared" si="126"/>
        <v>#VALUE!</v>
      </c>
      <c r="E8069" t="e">
        <f>cubic_spline(CURVA!$B$6:$B$20,CURVA!$G$6:$G$20,#REF!)</f>
        <v>#VALUE!</v>
      </c>
    </row>
    <row r="8070" spans="1:5" x14ac:dyDescent="0.2">
      <c r="A8070" s="28">
        <v>8069</v>
      </c>
      <c r="B8070" s="28" t="e">
        <f>interpola(#REF!,CURVA!$B$6:$B$20,CURVA!$G$6:$G$20)</f>
        <v>#VALUE!</v>
      </c>
      <c r="C8070" s="29" t="e">
        <f t="shared" si="126"/>
        <v>#VALUE!</v>
      </c>
      <c r="E8070" t="e">
        <f>cubic_spline(CURVA!$B$6:$B$20,CURVA!$G$6:$G$20,#REF!)</f>
        <v>#VALUE!</v>
      </c>
    </row>
    <row r="8071" spans="1:5" x14ac:dyDescent="0.2">
      <c r="A8071" s="28">
        <v>8070</v>
      </c>
      <c r="B8071" s="28" t="e">
        <f>interpola(#REF!,CURVA!$B$6:$B$20,CURVA!$G$6:$G$20)</f>
        <v>#VALUE!</v>
      </c>
      <c r="C8071" s="29" t="e">
        <f t="shared" si="126"/>
        <v>#VALUE!</v>
      </c>
      <c r="E8071" t="e">
        <f>cubic_spline(CURVA!$B$6:$B$20,CURVA!$G$6:$G$20,#REF!)</f>
        <v>#VALUE!</v>
      </c>
    </row>
    <row r="8072" spans="1:5" x14ac:dyDescent="0.2">
      <c r="A8072" s="28">
        <v>8071</v>
      </c>
      <c r="B8072" s="28" t="e">
        <f>interpola(#REF!,CURVA!$B$6:$B$20,CURVA!$G$6:$G$20)</f>
        <v>#VALUE!</v>
      </c>
      <c r="C8072" s="29" t="e">
        <f t="shared" si="126"/>
        <v>#VALUE!</v>
      </c>
      <c r="E8072" t="e">
        <f>cubic_spline(CURVA!$B$6:$B$20,CURVA!$G$6:$G$20,#REF!)</f>
        <v>#VALUE!</v>
      </c>
    </row>
    <row r="8073" spans="1:5" x14ac:dyDescent="0.2">
      <c r="A8073" s="28">
        <v>8072</v>
      </c>
      <c r="B8073" s="28" t="e">
        <f>interpola(#REF!,CURVA!$B$6:$B$20,CURVA!$G$6:$G$20)</f>
        <v>#VALUE!</v>
      </c>
      <c r="C8073" s="29" t="e">
        <f t="shared" si="126"/>
        <v>#VALUE!</v>
      </c>
      <c r="E8073" t="e">
        <f>cubic_spline(CURVA!$B$6:$B$20,CURVA!$G$6:$G$20,#REF!)</f>
        <v>#VALUE!</v>
      </c>
    </row>
    <row r="8074" spans="1:5" x14ac:dyDescent="0.2">
      <c r="A8074" s="28">
        <v>8073</v>
      </c>
      <c r="B8074" s="28" t="e">
        <f>interpola(#REF!,CURVA!$B$6:$B$20,CURVA!$G$6:$G$20)</f>
        <v>#VALUE!</v>
      </c>
      <c r="C8074" s="29" t="e">
        <f t="shared" si="126"/>
        <v>#VALUE!</v>
      </c>
      <c r="E8074" t="e">
        <f>cubic_spline(CURVA!$B$6:$B$20,CURVA!$G$6:$G$20,#REF!)</f>
        <v>#VALUE!</v>
      </c>
    </row>
    <row r="8075" spans="1:5" x14ac:dyDescent="0.2">
      <c r="A8075" s="28">
        <v>8074</v>
      </c>
      <c r="B8075" s="28" t="e">
        <f>interpola(#REF!,CURVA!$B$6:$B$20,CURVA!$G$6:$G$20)</f>
        <v>#VALUE!</v>
      </c>
      <c r="C8075" s="29" t="e">
        <f t="shared" si="126"/>
        <v>#VALUE!</v>
      </c>
      <c r="E8075" t="e">
        <f>cubic_spline(CURVA!$B$6:$B$20,CURVA!$G$6:$G$20,#REF!)</f>
        <v>#VALUE!</v>
      </c>
    </row>
    <row r="8076" spans="1:5" x14ac:dyDescent="0.2">
      <c r="A8076" s="28">
        <v>8075</v>
      </c>
      <c r="B8076" s="28" t="e">
        <f>interpola(#REF!,CURVA!$B$6:$B$20,CURVA!$G$6:$G$20)</f>
        <v>#VALUE!</v>
      </c>
      <c r="C8076" s="29" t="e">
        <f t="shared" si="126"/>
        <v>#VALUE!</v>
      </c>
      <c r="E8076" t="e">
        <f>cubic_spline(CURVA!$B$6:$B$20,CURVA!$G$6:$G$20,#REF!)</f>
        <v>#VALUE!</v>
      </c>
    </row>
    <row r="8077" spans="1:5" x14ac:dyDescent="0.2">
      <c r="A8077" s="28">
        <v>8076</v>
      </c>
      <c r="B8077" s="28" t="e">
        <f>interpola(#REF!,CURVA!$B$6:$B$20,CURVA!$G$6:$G$20)</f>
        <v>#VALUE!</v>
      </c>
      <c r="C8077" s="29" t="e">
        <f t="shared" si="126"/>
        <v>#VALUE!</v>
      </c>
      <c r="E8077" t="e">
        <f>cubic_spline(CURVA!$B$6:$B$20,CURVA!$G$6:$G$20,#REF!)</f>
        <v>#VALUE!</v>
      </c>
    </row>
    <row r="8078" spans="1:5" x14ac:dyDescent="0.2">
      <c r="A8078" s="28">
        <v>8077</v>
      </c>
      <c r="B8078" s="28" t="e">
        <f>interpola(#REF!,CURVA!$B$6:$B$20,CURVA!$G$6:$G$20)</f>
        <v>#VALUE!</v>
      </c>
      <c r="C8078" s="29" t="e">
        <f t="shared" si="126"/>
        <v>#VALUE!</v>
      </c>
      <c r="E8078" t="e">
        <f>cubic_spline(CURVA!$B$6:$B$20,CURVA!$G$6:$G$20,#REF!)</f>
        <v>#VALUE!</v>
      </c>
    </row>
    <row r="8079" spans="1:5" x14ac:dyDescent="0.2">
      <c r="A8079" s="28">
        <v>8078</v>
      </c>
      <c r="B8079" s="28" t="e">
        <f>interpola(#REF!,CURVA!$B$6:$B$20,CURVA!$G$6:$G$20)</f>
        <v>#VALUE!</v>
      </c>
      <c r="C8079" s="29" t="e">
        <f t="shared" si="126"/>
        <v>#VALUE!</v>
      </c>
      <c r="E8079" t="e">
        <f>cubic_spline(CURVA!$B$6:$B$20,CURVA!$G$6:$G$20,#REF!)</f>
        <v>#VALUE!</v>
      </c>
    </row>
    <row r="8080" spans="1:5" x14ac:dyDescent="0.2">
      <c r="A8080" s="28">
        <v>8079</v>
      </c>
      <c r="B8080" s="28" t="e">
        <f>interpola(#REF!,CURVA!$B$6:$B$20,CURVA!$G$6:$G$20)</f>
        <v>#VALUE!</v>
      </c>
      <c r="C8080" s="29" t="e">
        <f t="shared" si="126"/>
        <v>#VALUE!</v>
      </c>
      <c r="E8080" t="e">
        <f>cubic_spline(CURVA!$B$6:$B$20,CURVA!$G$6:$G$20,#REF!)</f>
        <v>#VALUE!</v>
      </c>
    </row>
    <row r="8081" spans="1:5" x14ac:dyDescent="0.2">
      <c r="A8081" s="28">
        <v>8080</v>
      </c>
      <c r="B8081" s="28" t="e">
        <f>interpola(#REF!,CURVA!$B$6:$B$20,CURVA!$G$6:$G$20)</f>
        <v>#VALUE!</v>
      </c>
      <c r="C8081" s="29" t="e">
        <f t="shared" si="126"/>
        <v>#VALUE!</v>
      </c>
      <c r="E8081" t="e">
        <f>cubic_spline(CURVA!$B$6:$B$20,CURVA!$G$6:$G$20,#REF!)</f>
        <v>#VALUE!</v>
      </c>
    </row>
    <row r="8082" spans="1:5" x14ac:dyDescent="0.2">
      <c r="A8082" s="28">
        <v>8081</v>
      </c>
      <c r="B8082" s="28" t="e">
        <f>interpola(#REF!,CURVA!$B$6:$B$20,CURVA!$G$6:$G$20)</f>
        <v>#VALUE!</v>
      </c>
      <c r="C8082" s="29" t="e">
        <f t="shared" si="126"/>
        <v>#VALUE!</v>
      </c>
      <c r="E8082" t="e">
        <f>cubic_spline(CURVA!$B$6:$B$20,CURVA!$G$6:$G$20,#REF!)</f>
        <v>#VALUE!</v>
      </c>
    </row>
    <row r="8083" spans="1:5" x14ac:dyDescent="0.2">
      <c r="A8083" s="28">
        <v>8082</v>
      </c>
      <c r="B8083" s="28" t="e">
        <f>interpola(#REF!,CURVA!$B$6:$B$20,CURVA!$G$6:$G$20)</f>
        <v>#VALUE!</v>
      </c>
      <c r="C8083" s="29" t="e">
        <f t="shared" si="126"/>
        <v>#VALUE!</v>
      </c>
      <c r="E8083" t="e">
        <f>cubic_spline(CURVA!$B$6:$B$20,CURVA!$G$6:$G$20,#REF!)</f>
        <v>#VALUE!</v>
      </c>
    </row>
    <row r="8084" spans="1:5" x14ac:dyDescent="0.2">
      <c r="A8084" s="28">
        <v>8083</v>
      </c>
      <c r="B8084" s="28" t="e">
        <f>interpola(#REF!,CURVA!$B$6:$B$20,CURVA!$G$6:$G$20)</f>
        <v>#VALUE!</v>
      </c>
      <c r="C8084" s="29" t="e">
        <f t="shared" si="126"/>
        <v>#VALUE!</v>
      </c>
      <c r="E8084" t="e">
        <f>cubic_spline(CURVA!$B$6:$B$20,CURVA!$G$6:$G$20,#REF!)</f>
        <v>#VALUE!</v>
      </c>
    </row>
    <row r="8085" spans="1:5" x14ac:dyDescent="0.2">
      <c r="A8085" s="28">
        <v>8084</v>
      </c>
      <c r="B8085" s="28" t="e">
        <f>interpola(#REF!,CURVA!$B$6:$B$20,CURVA!$G$6:$G$20)</f>
        <v>#VALUE!</v>
      </c>
      <c r="C8085" s="29" t="e">
        <f t="shared" si="126"/>
        <v>#VALUE!</v>
      </c>
      <c r="E8085" t="e">
        <f>cubic_spline(CURVA!$B$6:$B$20,CURVA!$G$6:$G$20,#REF!)</f>
        <v>#VALUE!</v>
      </c>
    </row>
    <row r="8086" spans="1:5" x14ac:dyDescent="0.2">
      <c r="A8086" s="28">
        <v>8085</v>
      </c>
      <c r="B8086" s="28" t="e">
        <f>interpola(#REF!,CURVA!$B$6:$B$20,CURVA!$G$6:$G$20)</f>
        <v>#VALUE!</v>
      </c>
      <c r="C8086" s="29" t="e">
        <f t="shared" si="126"/>
        <v>#VALUE!</v>
      </c>
      <c r="E8086" t="e">
        <f>cubic_spline(CURVA!$B$6:$B$20,CURVA!$G$6:$G$20,#REF!)</f>
        <v>#VALUE!</v>
      </c>
    </row>
    <row r="8087" spans="1:5" x14ac:dyDescent="0.2">
      <c r="A8087" s="28">
        <v>8086</v>
      </c>
      <c r="B8087" s="28" t="e">
        <f>interpola(#REF!,CURVA!$B$6:$B$20,CURVA!$G$6:$G$20)</f>
        <v>#VALUE!</v>
      </c>
      <c r="C8087" s="29" t="e">
        <f t="shared" si="126"/>
        <v>#VALUE!</v>
      </c>
      <c r="E8087" t="e">
        <f>cubic_spline(CURVA!$B$6:$B$20,CURVA!$G$6:$G$20,#REF!)</f>
        <v>#VALUE!</v>
      </c>
    </row>
    <row r="8088" spans="1:5" x14ac:dyDescent="0.2">
      <c r="A8088" s="28">
        <v>8087</v>
      </c>
      <c r="B8088" s="28" t="e">
        <f>interpola(#REF!,CURVA!$B$6:$B$20,CURVA!$G$6:$G$20)</f>
        <v>#VALUE!</v>
      </c>
      <c r="C8088" s="29" t="e">
        <f t="shared" si="126"/>
        <v>#VALUE!</v>
      </c>
      <c r="E8088" t="e">
        <f>cubic_spline(CURVA!$B$6:$B$20,CURVA!$G$6:$G$20,#REF!)</f>
        <v>#VALUE!</v>
      </c>
    </row>
    <row r="8089" spans="1:5" x14ac:dyDescent="0.2">
      <c r="A8089" s="28">
        <v>8088</v>
      </c>
      <c r="B8089" s="28" t="e">
        <f>interpola(#REF!,CURVA!$B$6:$B$20,CURVA!$G$6:$G$20)</f>
        <v>#VALUE!</v>
      </c>
      <c r="C8089" s="29" t="e">
        <f t="shared" si="126"/>
        <v>#VALUE!</v>
      </c>
      <c r="E8089" t="e">
        <f>cubic_spline(CURVA!$B$6:$B$20,CURVA!$G$6:$G$20,#REF!)</f>
        <v>#VALUE!</v>
      </c>
    </row>
    <row r="8090" spans="1:5" x14ac:dyDescent="0.2">
      <c r="A8090" s="28">
        <v>8089</v>
      </c>
      <c r="B8090" s="28" t="e">
        <f>interpola(#REF!,CURVA!$B$6:$B$20,CURVA!$G$6:$G$20)</f>
        <v>#VALUE!</v>
      </c>
      <c r="C8090" s="29" t="e">
        <f t="shared" si="126"/>
        <v>#VALUE!</v>
      </c>
      <c r="E8090" t="e">
        <f>cubic_spline(CURVA!$B$6:$B$20,CURVA!$G$6:$G$20,#REF!)</f>
        <v>#VALUE!</v>
      </c>
    </row>
    <row r="8091" spans="1:5" x14ac:dyDescent="0.2">
      <c r="A8091" s="28">
        <v>8090</v>
      </c>
      <c r="B8091" s="28" t="e">
        <f>interpola(#REF!,CURVA!$B$6:$B$20,CURVA!$G$6:$G$20)</f>
        <v>#VALUE!</v>
      </c>
      <c r="C8091" s="29" t="e">
        <f t="shared" si="126"/>
        <v>#VALUE!</v>
      </c>
      <c r="E8091" t="e">
        <f>cubic_spline(CURVA!$B$6:$B$20,CURVA!$G$6:$G$20,#REF!)</f>
        <v>#VALUE!</v>
      </c>
    </row>
    <row r="8092" spans="1:5" x14ac:dyDescent="0.2">
      <c r="A8092" s="28">
        <v>8091</v>
      </c>
      <c r="B8092" s="28" t="e">
        <f>interpola(#REF!,CURVA!$B$6:$B$20,CURVA!$G$6:$G$20)</f>
        <v>#VALUE!</v>
      </c>
      <c r="C8092" s="29" t="e">
        <f t="shared" si="126"/>
        <v>#VALUE!</v>
      </c>
      <c r="E8092" t="e">
        <f>cubic_spline(CURVA!$B$6:$B$20,CURVA!$G$6:$G$20,#REF!)</f>
        <v>#VALUE!</v>
      </c>
    </row>
    <row r="8093" spans="1:5" x14ac:dyDescent="0.2">
      <c r="A8093" s="28">
        <v>8092</v>
      </c>
      <c r="B8093" s="28" t="e">
        <f>interpola(#REF!,CURVA!$B$6:$B$20,CURVA!$G$6:$G$20)</f>
        <v>#VALUE!</v>
      </c>
      <c r="C8093" s="29" t="e">
        <f t="shared" si="126"/>
        <v>#VALUE!</v>
      </c>
      <c r="E8093" t="e">
        <f>cubic_spline(CURVA!$B$6:$B$20,CURVA!$G$6:$G$20,#REF!)</f>
        <v>#VALUE!</v>
      </c>
    </row>
    <row r="8094" spans="1:5" x14ac:dyDescent="0.2">
      <c r="A8094" s="28">
        <v>8093</v>
      </c>
      <c r="B8094" s="28" t="e">
        <f>interpola(#REF!,CURVA!$B$6:$B$20,CURVA!$G$6:$G$20)</f>
        <v>#VALUE!</v>
      </c>
      <c r="C8094" s="29" t="e">
        <f t="shared" si="126"/>
        <v>#VALUE!</v>
      </c>
      <c r="E8094" t="e">
        <f>cubic_spline(CURVA!$B$6:$B$20,CURVA!$G$6:$G$20,#REF!)</f>
        <v>#VALUE!</v>
      </c>
    </row>
    <row r="8095" spans="1:5" x14ac:dyDescent="0.2">
      <c r="A8095" s="28">
        <v>8094</v>
      </c>
      <c r="B8095" s="28" t="e">
        <f>interpola(#REF!,CURVA!$B$6:$B$20,CURVA!$G$6:$G$20)</f>
        <v>#VALUE!</v>
      </c>
      <c r="C8095" s="29" t="e">
        <f t="shared" si="126"/>
        <v>#VALUE!</v>
      </c>
      <c r="E8095" t="e">
        <f>cubic_spline(CURVA!$B$6:$B$20,CURVA!$G$6:$G$20,#REF!)</f>
        <v>#VALUE!</v>
      </c>
    </row>
    <row r="8096" spans="1:5" x14ac:dyDescent="0.2">
      <c r="A8096" s="28">
        <v>8095</v>
      </c>
      <c r="B8096" s="28" t="e">
        <f>interpola(#REF!,CURVA!$B$6:$B$20,CURVA!$G$6:$G$20)</f>
        <v>#VALUE!</v>
      </c>
      <c r="C8096" s="29" t="e">
        <f t="shared" si="126"/>
        <v>#VALUE!</v>
      </c>
      <c r="E8096" t="e">
        <f>cubic_spline(CURVA!$B$6:$B$20,CURVA!$G$6:$G$20,#REF!)</f>
        <v>#VALUE!</v>
      </c>
    </row>
    <row r="8097" spans="1:5" x14ac:dyDescent="0.2">
      <c r="A8097" s="28">
        <v>8096</v>
      </c>
      <c r="B8097" s="28" t="e">
        <f>interpola(#REF!,CURVA!$B$6:$B$20,CURVA!$G$6:$G$20)</f>
        <v>#VALUE!</v>
      </c>
      <c r="C8097" s="29" t="e">
        <f t="shared" si="126"/>
        <v>#VALUE!</v>
      </c>
      <c r="E8097" t="e">
        <f>cubic_spline(CURVA!$B$6:$B$20,CURVA!$G$6:$G$20,#REF!)</f>
        <v>#VALUE!</v>
      </c>
    </row>
    <row r="8098" spans="1:5" x14ac:dyDescent="0.2">
      <c r="A8098" s="28">
        <v>8097</v>
      </c>
      <c r="B8098" s="28" t="e">
        <f>interpola(#REF!,CURVA!$B$6:$B$20,CURVA!$G$6:$G$20)</f>
        <v>#VALUE!</v>
      </c>
      <c r="C8098" s="29" t="e">
        <f t="shared" si="126"/>
        <v>#VALUE!</v>
      </c>
      <c r="E8098" t="e">
        <f>cubic_spline(CURVA!$B$6:$B$20,CURVA!$G$6:$G$20,#REF!)</f>
        <v>#VALUE!</v>
      </c>
    </row>
    <row r="8099" spans="1:5" x14ac:dyDescent="0.2">
      <c r="A8099" s="28">
        <v>8098</v>
      </c>
      <c r="B8099" s="28" t="e">
        <f>interpola(#REF!,CURVA!$B$6:$B$20,CURVA!$G$6:$G$20)</f>
        <v>#VALUE!</v>
      </c>
      <c r="C8099" s="29" t="e">
        <f t="shared" si="126"/>
        <v>#VALUE!</v>
      </c>
      <c r="E8099" t="e">
        <f>cubic_spline(CURVA!$B$6:$B$20,CURVA!$G$6:$G$20,#REF!)</f>
        <v>#VALUE!</v>
      </c>
    </row>
    <row r="8100" spans="1:5" x14ac:dyDescent="0.2">
      <c r="A8100" s="28">
        <v>8099</v>
      </c>
      <c r="B8100" s="28" t="e">
        <f>interpola(#REF!,CURVA!$B$6:$B$20,CURVA!$G$6:$G$20)</f>
        <v>#VALUE!</v>
      </c>
      <c r="C8100" s="29" t="e">
        <f t="shared" si="126"/>
        <v>#VALUE!</v>
      </c>
      <c r="E8100" t="e">
        <f>cubic_spline(CURVA!$B$6:$B$20,CURVA!$G$6:$G$20,#REF!)</f>
        <v>#VALUE!</v>
      </c>
    </row>
    <row r="8101" spans="1:5" x14ac:dyDescent="0.2">
      <c r="A8101" s="28">
        <v>8100</v>
      </c>
      <c r="B8101" s="28" t="e">
        <f>interpola(#REF!,CURVA!$B$6:$B$20,CURVA!$G$6:$G$20)</f>
        <v>#VALUE!</v>
      </c>
      <c r="C8101" s="29" t="e">
        <f t="shared" si="126"/>
        <v>#VALUE!</v>
      </c>
      <c r="E8101" t="e">
        <f>cubic_spline(CURVA!$B$6:$B$20,CURVA!$G$6:$G$20,#REF!)</f>
        <v>#VALUE!</v>
      </c>
    </row>
    <row r="8102" spans="1:5" x14ac:dyDescent="0.2">
      <c r="A8102" s="28">
        <v>8101</v>
      </c>
      <c r="B8102" s="28" t="e">
        <f>interpola(#REF!,CURVA!$B$6:$B$20,CURVA!$G$6:$G$20)</f>
        <v>#VALUE!</v>
      </c>
      <c r="C8102" s="29" t="e">
        <f t="shared" si="126"/>
        <v>#VALUE!</v>
      </c>
      <c r="E8102" t="e">
        <f>cubic_spline(CURVA!$B$6:$B$20,CURVA!$G$6:$G$20,#REF!)</f>
        <v>#VALUE!</v>
      </c>
    </row>
    <row r="8103" spans="1:5" x14ac:dyDescent="0.2">
      <c r="A8103" s="28">
        <v>8102</v>
      </c>
      <c r="B8103" s="28" t="e">
        <f>interpola(#REF!,CURVA!$B$6:$B$20,CURVA!$G$6:$G$20)</f>
        <v>#VALUE!</v>
      </c>
      <c r="C8103" s="29" t="e">
        <f t="shared" si="126"/>
        <v>#VALUE!</v>
      </c>
      <c r="E8103" t="e">
        <f>cubic_spline(CURVA!$B$6:$B$20,CURVA!$G$6:$G$20,#REF!)</f>
        <v>#VALUE!</v>
      </c>
    </row>
    <row r="8104" spans="1:5" x14ac:dyDescent="0.2">
      <c r="A8104" s="28">
        <v>8103</v>
      </c>
      <c r="B8104" s="28" t="e">
        <f>interpola(#REF!,CURVA!$B$6:$B$20,CURVA!$G$6:$G$20)</f>
        <v>#VALUE!</v>
      </c>
      <c r="C8104" s="29" t="e">
        <f t="shared" si="126"/>
        <v>#VALUE!</v>
      </c>
      <c r="E8104" t="e">
        <f>cubic_spline(CURVA!$B$6:$B$20,CURVA!$G$6:$G$20,#REF!)</f>
        <v>#VALUE!</v>
      </c>
    </row>
    <row r="8105" spans="1:5" x14ac:dyDescent="0.2">
      <c r="A8105" s="28">
        <v>8104</v>
      </c>
      <c r="B8105" s="28" t="e">
        <f>interpola(#REF!,CURVA!$B$6:$B$20,CURVA!$G$6:$G$20)</f>
        <v>#VALUE!</v>
      </c>
      <c r="C8105" s="29" t="e">
        <f t="shared" si="126"/>
        <v>#VALUE!</v>
      </c>
      <c r="E8105" t="e">
        <f>cubic_spline(CURVA!$B$6:$B$20,CURVA!$G$6:$G$20,#REF!)</f>
        <v>#VALUE!</v>
      </c>
    </row>
    <row r="8106" spans="1:5" x14ac:dyDescent="0.2">
      <c r="A8106" s="28">
        <v>8105</v>
      </c>
      <c r="B8106" s="28" t="e">
        <f>interpola(#REF!,CURVA!$B$6:$B$20,CURVA!$G$6:$G$20)</f>
        <v>#VALUE!</v>
      </c>
      <c r="C8106" s="29" t="e">
        <f t="shared" si="126"/>
        <v>#VALUE!</v>
      </c>
      <c r="E8106" t="e">
        <f>cubic_spline(CURVA!$B$6:$B$20,CURVA!$G$6:$G$20,#REF!)</f>
        <v>#VALUE!</v>
      </c>
    </row>
    <row r="8107" spans="1:5" x14ac:dyDescent="0.2">
      <c r="A8107" s="28">
        <v>8106</v>
      </c>
      <c r="B8107" s="28" t="e">
        <f>interpola(#REF!,CURVA!$B$6:$B$20,CURVA!$G$6:$G$20)</f>
        <v>#VALUE!</v>
      </c>
      <c r="C8107" s="29" t="e">
        <f t="shared" si="126"/>
        <v>#VALUE!</v>
      </c>
      <c r="E8107" t="e">
        <f>cubic_spline(CURVA!$B$6:$B$20,CURVA!$G$6:$G$20,#REF!)</f>
        <v>#VALUE!</v>
      </c>
    </row>
    <row r="8108" spans="1:5" x14ac:dyDescent="0.2">
      <c r="A8108" s="28">
        <v>8107</v>
      </c>
      <c r="B8108" s="28" t="e">
        <f>interpola(#REF!,CURVA!$B$6:$B$20,CURVA!$G$6:$G$20)</f>
        <v>#VALUE!</v>
      </c>
      <c r="C8108" s="29" t="e">
        <f t="shared" si="126"/>
        <v>#VALUE!</v>
      </c>
      <c r="E8108" t="e">
        <f>cubic_spline(CURVA!$B$6:$B$20,CURVA!$G$6:$G$20,#REF!)</f>
        <v>#VALUE!</v>
      </c>
    </row>
    <row r="8109" spans="1:5" x14ac:dyDescent="0.2">
      <c r="A8109" s="28">
        <v>8108</v>
      </c>
      <c r="B8109" s="28" t="e">
        <f>interpola(#REF!,CURVA!$B$6:$B$20,CURVA!$G$6:$G$20)</f>
        <v>#VALUE!</v>
      </c>
      <c r="C8109" s="29" t="e">
        <f t="shared" si="126"/>
        <v>#VALUE!</v>
      </c>
      <c r="E8109" t="e">
        <f>cubic_spline(CURVA!$B$6:$B$20,CURVA!$G$6:$G$20,#REF!)</f>
        <v>#VALUE!</v>
      </c>
    </row>
    <row r="8110" spans="1:5" x14ac:dyDescent="0.2">
      <c r="A8110" s="28">
        <v>8109</v>
      </c>
      <c r="B8110" s="28" t="e">
        <f>interpola(#REF!,CURVA!$B$6:$B$20,CURVA!$G$6:$G$20)</f>
        <v>#VALUE!</v>
      </c>
      <c r="C8110" s="29" t="e">
        <f t="shared" si="126"/>
        <v>#VALUE!</v>
      </c>
      <c r="E8110" t="e">
        <f>cubic_spline(CURVA!$B$6:$B$20,CURVA!$G$6:$G$20,#REF!)</f>
        <v>#VALUE!</v>
      </c>
    </row>
    <row r="8111" spans="1:5" x14ac:dyDescent="0.2">
      <c r="A8111" s="28">
        <v>8110</v>
      </c>
      <c r="B8111" s="28" t="e">
        <f>interpola(#REF!,CURVA!$B$6:$B$20,CURVA!$G$6:$G$20)</f>
        <v>#VALUE!</v>
      </c>
      <c r="C8111" s="29" t="e">
        <f t="shared" si="126"/>
        <v>#VALUE!</v>
      </c>
      <c r="E8111" t="e">
        <f>cubic_spline(CURVA!$B$6:$B$20,CURVA!$G$6:$G$20,#REF!)</f>
        <v>#VALUE!</v>
      </c>
    </row>
    <row r="8112" spans="1:5" x14ac:dyDescent="0.2">
      <c r="A8112" s="28">
        <v>8111</v>
      </c>
      <c r="B8112" s="28" t="e">
        <f>interpola(#REF!,CURVA!$B$6:$B$20,CURVA!$G$6:$G$20)</f>
        <v>#VALUE!</v>
      </c>
      <c r="C8112" s="29" t="e">
        <f t="shared" si="126"/>
        <v>#VALUE!</v>
      </c>
      <c r="E8112" t="e">
        <f>cubic_spline(CURVA!$B$6:$B$20,CURVA!$G$6:$G$20,#REF!)</f>
        <v>#VALUE!</v>
      </c>
    </row>
    <row r="8113" spans="1:5" x14ac:dyDescent="0.2">
      <c r="A8113" s="28">
        <v>8112</v>
      </c>
      <c r="B8113" s="28" t="e">
        <f>interpola(#REF!,CURVA!$B$6:$B$20,CURVA!$G$6:$G$20)</f>
        <v>#VALUE!</v>
      </c>
      <c r="C8113" s="29" t="e">
        <f t="shared" si="126"/>
        <v>#VALUE!</v>
      </c>
      <c r="E8113" t="e">
        <f>cubic_spline(CURVA!$B$6:$B$20,CURVA!$G$6:$G$20,#REF!)</f>
        <v>#VALUE!</v>
      </c>
    </row>
    <row r="8114" spans="1:5" x14ac:dyDescent="0.2">
      <c r="A8114" s="28">
        <v>8113</v>
      </c>
      <c r="B8114" s="28" t="e">
        <f>interpola(#REF!,CURVA!$B$6:$B$20,CURVA!$G$6:$G$20)</f>
        <v>#VALUE!</v>
      </c>
      <c r="C8114" s="29" t="e">
        <f t="shared" si="126"/>
        <v>#VALUE!</v>
      </c>
      <c r="E8114" t="e">
        <f>cubic_spline(CURVA!$B$6:$B$20,CURVA!$G$6:$G$20,#REF!)</f>
        <v>#VALUE!</v>
      </c>
    </row>
    <row r="8115" spans="1:5" x14ac:dyDescent="0.2">
      <c r="A8115" s="28">
        <v>8114</v>
      </c>
      <c r="B8115" s="28" t="e">
        <f>interpola(#REF!,CURVA!$B$6:$B$20,CURVA!$G$6:$G$20)</f>
        <v>#VALUE!</v>
      </c>
      <c r="C8115" s="29" t="e">
        <f t="shared" si="126"/>
        <v>#VALUE!</v>
      </c>
      <c r="E8115" t="e">
        <f>cubic_spline(CURVA!$B$6:$B$20,CURVA!$G$6:$G$20,#REF!)</f>
        <v>#VALUE!</v>
      </c>
    </row>
    <row r="8116" spans="1:5" x14ac:dyDescent="0.2">
      <c r="A8116" s="28">
        <v>8115</v>
      </c>
      <c r="B8116" s="28" t="e">
        <f>interpola(#REF!,CURVA!$B$6:$B$20,CURVA!$G$6:$G$20)</f>
        <v>#VALUE!</v>
      </c>
      <c r="C8116" s="29" t="e">
        <f t="shared" si="126"/>
        <v>#VALUE!</v>
      </c>
      <c r="E8116" t="e">
        <f>cubic_spline(CURVA!$B$6:$B$20,CURVA!$G$6:$G$20,#REF!)</f>
        <v>#VALUE!</v>
      </c>
    </row>
    <row r="8117" spans="1:5" x14ac:dyDescent="0.2">
      <c r="A8117" s="28">
        <v>8116</v>
      </c>
      <c r="B8117" s="28" t="e">
        <f>interpola(#REF!,CURVA!$B$6:$B$20,CURVA!$G$6:$G$20)</f>
        <v>#VALUE!</v>
      </c>
      <c r="C8117" s="29" t="e">
        <f t="shared" si="126"/>
        <v>#VALUE!</v>
      </c>
      <c r="E8117" t="e">
        <f>cubic_spline(CURVA!$B$6:$B$20,CURVA!$G$6:$G$20,#REF!)</f>
        <v>#VALUE!</v>
      </c>
    </row>
    <row r="8118" spans="1:5" x14ac:dyDescent="0.2">
      <c r="A8118" s="28">
        <v>8117</v>
      </c>
      <c r="B8118" s="28" t="e">
        <f>interpola(#REF!,CURVA!$B$6:$B$20,CURVA!$G$6:$G$20)</f>
        <v>#VALUE!</v>
      </c>
      <c r="C8118" s="29" t="e">
        <f t="shared" si="126"/>
        <v>#VALUE!</v>
      </c>
      <c r="E8118" t="e">
        <f>cubic_spline(CURVA!$B$6:$B$20,CURVA!$G$6:$G$20,#REF!)</f>
        <v>#VALUE!</v>
      </c>
    </row>
    <row r="8119" spans="1:5" x14ac:dyDescent="0.2">
      <c r="A8119" s="28">
        <v>8118</v>
      </c>
      <c r="B8119" s="28" t="e">
        <f>interpola(#REF!,CURVA!$B$6:$B$20,CURVA!$G$6:$G$20)</f>
        <v>#VALUE!</v>
      </c>
      <c r="C8119" s="29" t="e">
        <f t="shared" si="126"/>
        <v>#VALUE!</v>
      </c>
      <c r="E8119" t="e">
        <f>cubic_spline(CURVA!$B$6:$B$20,CURVA!$G$6:$G$20,#REF!)</f>
        <v>#VALUE!</v>
      </c>
    </row>
    <row r="8120" spans="1:5" x14ac:dyDescent="0.2">
      <c r="A8120" s="28">
        <v>8119</v>
      </c>
      <c r="B8120" s="28" t="e">
        <f>interpola(#REF!,CURVA!$B$6:$B$20,CURVA!$G$6:$G$20)</f>
        <v>#VALUE!</v>
      </c>
      <c r="C8120" s="29" t="e">
        <f t="shared" si="126"/>
        <v>#VALUE!</v>
      </c>
      <c r="E8120" t="e">
        <f>cubic_spline(CURVA!$B$6:$B$20,CURVA!$G$6:$G$20,#REF!)</f>
        <v>#VALUE!</v>
      </c>
    </row>
    <row r="8121" spans="1:5" x14ac:dyDescent="0.2">
      <c r="A8121" s="28">
        <v>8120</v>
      </c>
      <c r="B8121" s="28" t="e">
        <f>interpola(#REF!,CURVA!$B$6:$B$20,CURVA!$G$6:$G$20)</f>
        <v>#VALUE!</v>
      </c>
      <c r="C8121" s="29" t="e">
        <f t="shared" si="126"/>
        <v>#VALUE!</v>
      </c>
      <c r="E8121" t="e">
        <f>cubic_spline(CURVA!$B$6:$B$20,CURVA!$G$6:$G$20,#REF!)</f>
        <v>#VALUE!</v>
      </c>
    </row>
    <row r="8122" spans="1:5" x14ac:dyDescent="0.2">
      <c r="A8122" s="28">
        <v>8121</v>
      </c>
      <c r="B8122" s="28" t="e">
        <f>interpola(#REF!,CURVA!$B$6:$B$20,CURVA!$G$6:$G$20)</f>
        <v>#VALUE!</v>
      </c>
      <c r="C8122" s="29" t="e">
        <f t="shared" si="126"/>
        <v>#VALUE!</v>
      </c>
      <c r="E8122" t="e">
        <f>cubic_spline(CURVA!$B$6:$B$20,CURVA!$G$6:$G$20,#REF!)</f>
        <v>#VALUE!</v>
      </c>
    </row>
    <row r="8123" spans="1:5" x14ac:dyDescent="0.2">
      <c r="A8123" s="28">
        <v>8122</v>
      </c>
      <c r="B8123" s="28" t="e">
        <f>interpola(#REF!,CURVA!$B$6:$B$20,CURVA!$G$6:$G$20)</f>
        <v>#VALUE!</v>
      </c>
      <c r="C8123" s="29" t="e">
        <f t="shared" si="126"/>
        <v>#VALUE!</v>
      </c>
      <c r="E8123" t="e">
        <f>cubic_spline(CURVA!$B$6:$B$20,CURVA!$G$6:$G$20,#REF!)</f>
        <v>#VALUE!</v>
      </c>
    </row>
    <row r="8124" spans="1:5" x14ac:dyDescent="0.2">
      <c r="A8124" s="28">
        <v>8123</v>
      </c>
      <c r="B8124" s="28" t="e">
        <f>interpola(#REF!,CURVA!$B$6:$B$20,CURVA!$G$6:$G$20)</f>
        <v>#VALUE!</v>
      </c>
      <c r="C8124" s="29" t="e">
        <f t="shared" si="126"/>
        <v>#VALUE!</v>
      </c>
      <c r="E8124" t="e">
        <f>cubic_spline(CURVA!$B$6:$B$20,CURVA!$G$6:$G$20,#REF!)</f>
        <v>#VALUE!</v>
      </c>
    </row>
    <row r="8125" spans="1:5" x14ac:dyDescent="0.2">
      <c r="A8125" s="28">
        <v>8124</v>
      </c>
      <c r="B8125" s="28" t="e">
        <f>interpola(#REF!,CURVA!$B$6:$B$20,CURVA!$G$6:$G$20)</f>
        <v>#VALUE!</v>
      </c>
      <c r="C8125" s="29" t="e">
        <f t="shared" si="126"/>
        <v>#VALUE!</v>
      </c>
      <c r="E8125" t="e">
        <f>cubic_spline(CURVA!$B$6:$B$20,CURVA!$G$6:$G$20,#REF!)</f>
        <v>#VALUE!</v>
      </c>
    </row>
    <row r="8126" spans="1:5" x14ac:dyDescent="0.2">
      <c r="A8126" s="28">
        <v>8125</v>
      </c>
      <c r="B8126" s="28" t="e">
        <f>interpola(#REF!,CURVA!$B$6:$B$20,CURVA!$G$6:$G$20)</f>
        <v>#VALUE!</v>
      </c>
      <c r="C8126" s="29" t="e">
        <f t="shared" si="126"/>
        <v>#VALUE!</v>
      </c>
      <c r="E8126" t="e">
        <f>cubic_spline(CURVA!$B$6:$B$20,CURVA!$G$6:$G$20,#REF!)</f>
        <v>#VALUE!</v>
      </c>
    </row>
    <row r="8127" spans="1:5" x14ac:dyDescent="0.2">
      <c r="A8127" s="28">
        <v>8126</v>
      </c>
      <c r="B8127" s="28" t="e">
        <f>interpola(#REF!,CURVA!$B$6:$B$20,CURVA!$G$6:$G$20)</f>
        <v>#VALUE!</v>
      </c>
      <c r="C8127" s="29" t="e">
        <f t="shared" si="126"/>
        <v>#VALUE!</v>
      </c>
      <c r="E8127" t="e">
        <f>cubic_spline(CURVA!$B$6:$B$20,CURVA!$G$6:$G$20,#REF!)</f>
        <v>#VALUE!</v>
      </c>
    </row>
    <row r="8128" spans="1:5" x14ac:dyDescent="0.2">
      <c r="A8128" s="28">
        <v>8127</v>
      </c>
      <c r="B8128" s="28" t="e">
        <f>interpola(#REF!,CURVA!$B$6:$B$20,CURVA!$G$6:$G$20)</f>
        <v>#VALUE!</v>
      </c>
      <c r="C8128" s="29" t="e">
        <f t="shared" si="126"/>
        <v>#VALUE!</v>
      </c>
      <c r="E8128" t="e">
        <f>cubic_spline(CURVA!$B$6:$B$20,CURVA!$G$6:$G$20,#REF!)</f>
        <v>#VALUE!</v>
      </c>
    </row>
    <row r="8129" spans="1:5" x14ac:dyDescent="0.2">
      <c r="A8129" s="28">
        <v>8128</v>
      </c>
      <c r="B8129" s="28" t="e">
        <f>interpola(#REF!,CURVA!$B$6:$B$20,CURVA!$G$6:$G$20)</f>
        <v>#VALUE!</v>
      </c>
      <c r="C8129" s="29" t="e">
        <f t="shared" si="126"/>
        <v>#VALUE!</v>
      </c>
      <c r="E8129" t="e">
        <f>cubic_spline(CURVA!$B$6:$B$20,CURVA!$G$6:$G$20,#REF!)</f>
        <v>#VALUE!</v>
      </c>
    </row>
    <row r="8130" spans="1:5" x14ac:dyDescent="0.2">
      <c r="A8130" s="28">
        <v>8129</v>
      </c>
      <c r="B8130" s="28" t="e">
        <f>interpola(#REF!,CURVA!$B$6:$B$20,CURVA!$G$6:$G$20)</f>
        <v>#VALUE!</v>
      </c>
      <c r="C8130" s="29" t="e">
        <f t="shared" ref="C8130:C8193" si="127">(EXP(B8130*A8130/360)-1)*360/A8130</f>
        <v>#VALUE!</v>
      </c>
      <c r="E8130" t="e">
        <f>cubic_spline(CURVA!$B$6:$B$20,CURVA!$G$6:$G$20,#REF!)</f>
        <v>#VALUE!</v>
      </c>
    </row>
    <row r="8131" spans="1:5" x14ac:dyDescent="0.2">
      <c r="A8131" s="28">
        <v>8130</v>
      </c>
      <c r="B8131" s="28" t="e">
        <f>interpola(#REF!,CURVA!$B$6:$B$20,CURVA!$G$6:$G$20)</f>
        <v>#VALUE!</v>
      </c>
      <c r="C8131" s="29" t="e">
        <f t="shared" si="127"/>
        <v>#VALUE!</v>
      </c>
      <c r="E8131" t="e">
        <f>cubic_spline(CURVA!$B$6:$B$20,CURVA!$G$6:$G$20,#REF!)</f>
        <v>#VALUE!</v>
      </c>
    </row>
    <row r="8132" spans="1:5" x14ac:dyDescent="0.2">
      <c r="A8132" s="28">
        <v>8131</v>
      </c>
      <c r="B8132" s="28" t="e">
        <f>interpola(#REF!,CURVA!$B$6:$B$20,CURVA!$G$6:$G$20)</f>
        <v>#VALUE!</v>
      </c>
      <c r="C8132" s="29" t="e">
        <f t="shared" si="127"/>
        <v>#VALUE!</v>
      </c>
      <c r="E8132" t="e">
        <f>cubic_spline(CURVA!$B$6:$B$20,CURVA!$G$6:$G$20,#REF!)</f>
        <v>#VALUE!</v>
      </c>
    </row>
    <row r="8133" spans="1:5" x14ac:dyDescent="0.2">
      <c r="A8133" s="28">
        <v>8132</v>
      </c>
      <c r="B8133" s="28" t="e">
        <f>interpola(#REF!,CURVA!$B$6:$B$20,CURVA!$G$6:$G$20)</f>
        <v>#VALUE!</v>
      </c>
      <c r="C8133" s="29" t="e">
        <f t="shared" si="127"/>
        <v>#VALUE!</v>
      </c>
      <c r="E8133" t="e">
        <f>cubic_spline(CURVA!$B$6:$B$20,CURVA!$G$6:$G$20,#REF!)</f>
        <v>#VALUE!</v>
      </c>
    </row>
    <row r="8134" spans="1:5" x14ac:dyDescent="0.2">
      <c r="A8134" s="28">
        <v>8133</v>
      </c>
      <c r="B8134" s="28" t="e">
        <f>interpola(#REF!,CURVA!$B$6:$B$20,CURVA!$G$6:$G$20)</f>
        <v>#VALUE!</v>
      </c>
      <c r="C8134" s="29" t="e">
        <f t="shared" si="127"/>
        <v>#VALUE!</v>
      </c>
      <c r="E8134" t="e">
        <f>cubic_spline(CURVA!$B$6:$B$20,CURVA!$G$6:$G$20,#REF!)</f>
        <v>#VALUE!</v>
      </c>
    </row>
    <row r="8135" spans="1:5" x14ac:dyDescent="0.2">
      <c r="A8135" s="28">
        <v>8134</v>
      </c>
      <c r="B8135" s="28" t="e">
        <f>interpola(#REF!,CURVA!$B$6:$B$20,CURVA!$G$6:$G$20)</f>
        <v>#VALUE!</v>
      </c>
      <c r="C8135" s="29" t="e">
        <f t="shared" si="127"/>
        <v>#VALUE!</v>
      </c>
      <c r="E8135" t="e">
        <f>cubic_spline(CURVA!$B$6:$B$20,CURVA!$G$6:$G$20,#REF!)</f>
        <v>#VALUE!</v>
      </c>
    </row>
    <row r="8136" spans="1:5" x14ac:dyDescent="0.2">
      <c r="A8136" s="28">
        <v>8135</v>
      </c>
      <c r="B8136" s="28" t="e">
        <f>interpola(#REF!,CURVA!$B$6:$B$20,CURVA!$G$6:$G$20)</f>
        <v>#VALUE!</v>
      </c>
      <c r="C8136" s="29" t="e">
        <f t="shared" si="127"/>
        <v>#VALUE!</v>
      </c>
      <c r="E8136" t="e">
        <f>cubic_spline(CURVA!$B$6:$B$20,CURVA!$G$6:$G$20,#REF!)</f>
        <v>#VALUE!</v>
      </c>
    </row>
    <row r="8137" spans="1:5" x14ac:dyDescent="0.2">
      <c r="A8137" s="28">
        <v>8136</v>
      </c>
      <c r="B8137" s="28" t="e">
        <f>interpola(#REF!,CURVA!$B$6:$B$20,CURVA!$G$6:$G$20)</f>
        <v>#VALUE!</v>
      </c>
      <c r="C8137" s="29" t="e">
        <f t="shared" si="127"/>
        <v>#VALUE!</v>
      </c>
      <c r="E8137" t="e">
        <f>cubic_spline(CURVA!$B$6:$B$20,CURVA!$G$6:$G$20,#REF!)</f>
        <v>#VALUE!</v>
      </c>
    </row>
    <row r="8138" spans="1:5" x14ac:dyDescent="0.2">
      <c r="A8138" s="28">
        <v>8137</v>
      </c>
      <c r="B8138" s="28" t="e">
        <f>interpola(#REF!,CURVA!$B$6:$B$20,CURVA!$G$6:$G$20)</f>
        <v>#VALUE!</v>
      </c>
      <c r="C8138" s="29" t="e">
        <f t="shared" si="127"/>
        <v>#VALUE!</v>
      </c>
      <c r="E8138" t="e">
        <f>cubic_spline(CURVA!$B$6:$B$20,CURVA!$G$6:$G$20,#REF!)</f>
        <v>#VALUE!</v>
      </c>
    </row>
    <row r="8139" spans="1:5" x14ac:dyDescent="0.2">
      <c r="A8139" s="28">
        <v>8138</v>
      </c>
      <c r="B8139" s="28" t="e">
        <f>interpola(#REF!,CURVA!$B$6:$B$20,CURVA!$G$6:$G$20)</f>
        <v>#VALUE!</v>
      </c>
      <c r="C8139" s="29" t="e">
        <f t="shared" si="127"/>
        <v>#VALUE!</v>
      </c>
      <c r="E8139" t="e">
        <f>cubic_spline(CURVA!$B$6:$B$20,CURVA!$G$6:$G$20,#REF!)</f>
        <v>#VALUE!</v>
      </c>
    </row>
    <row r="8140" spans="1:5" x14ac:dyDescent="0.2">
      <c r="A8140" s="28">
        <v>8139</v>
      </c>
      <c r="B8140" s="28" t="e">
        <f>interpola(#REF!,CURVA!$B$6:$B$20,CURVA!$G$6:$G$20)</f>
        <v>#VALUE!</v>
      </c>
      <c r="C8140" s="29" t="e">
        <f t="shared" si="127"/>
        <v>#VALUE!</v>
      </c>
      <c r="E8140" t="e">
        <f>cubic_spline(CURVA!$B$6:$B$20,CURVA!$G$6:$G$20,#REF!)</f>
        <v>#VALUE!</v>
      </c>
    </row>
    <row r="8141" spans="1:5" x14ac:dyDescent="0.2">
      <c r="A8141" s="28">
        <v>8140</v>
      </c>
      <c r="B8141" s="28" t="e">
        <f>interpola(#REF!,CURVA!$B$6:$B$20,CURVA!$G$6:$G$20)</f>
        <v>#VALUE!</v>
      </c>
      <c r="C8141" s="29" t="e">
        <f t="shared" si="127"/>
        <v>#VALUE!</v>
      </c>
      <c r="E8141" t="e">
        <f>cubic_spline(CURVA!$B$6:$B$20,CURVA!$G$6:$G$20,#REF!)</f>
        <v>#VALUE!</v>
      </c>
    </row>
    <row r="8142" spans="1:5" x14ac:dyDescent="0.2">
      <c r="A8142" s="28">
        <v>8141</v>
      </c>
      <c r="B8142" s="28" t="e">
        <f>interpola(#REF!,CURVA!$B$6:$B$20,CURVA!$G$6:$G$20)</f>
        <v>#VALUE!</v>
      </c>
      <c r="C8142" s="29" t="e">
        <f t="shared" si="127"/>
        <v>#VALUE!</v>
      </c>
      <c r="E8142" t="e">
        <f>cubic_spline(CURVA!$B$6:$B$20,CURVA!$G$6:$G$20,#REF!)</f>
        <v>#VALUE!</v>
      </c>
    </row>
    <row r="8143" spans="1:5" x14ac:dyDescent="0.2">
      <c r="A8143" s="28">
        <v>8142</v>
      </c>
      <c r="B8143" s="28" t="e">
        <f>interpola(#REF!,CURVA!$B$6:$B$20,CURVA!$G$6:$G$20)</f>
        <v>#VALUE!</v>
      </c>
      <c r="C8143" s="29" t="e">
        <f t="shared" si="127"/>
        <v>#VALUE!</v>
      </c>
      <c r="E8143" t="e">
        <f>cubic_spline(CURVA!$B$6:$B$20,CURVA!$G$6:$G$20,#REF!)</f>
        <v>#VALUE!</v>
      </c>
    </row>
    <row r="8144" spans="1:5" x14ac:dyDescent="0.2">
      <c r="A8144" s="28">
        <v>8143</v>
      </c>
      <c r="B8144" s="28" t="e">
        <f>interpola(#REF!,CURVA!$B$6:$B$20,CURVA!$G$6:$G$20)</f>
        <v>#VALUE!</v>
      </c>
      <c r="C8144" s="29" t="e">
        <f t="shared" si="127"/>
        <v>#VALUE!</v>
      </c>
      <c r="E8144" t="e">
        <f>cubic_spline(CURVA!$B$6:$B$20,CURVA!$G$6:$G$20,#REF!)</f>
        <v>#VALUE!</v>
      </c>
    </row>
    <row r="8145" spans="1:5" x14ac:dyDescent="0.2">
      <c r="A8145" s="28">
        <v>8144</v>
      </c>
      <c r="B8145" s="28" t="e">
        <f>interpola(#REF!,CURVA!$B$6:$B$20,CURVA!$G$6:$G$20)</f>
        <v>#VALUE!</v>
      </c>
      <c r="C8145" s="29" t="e">
        <f t="shared" si="127"/>
        <v>#VALUE!</v>
      </c>
      <c r="E8145" t="e">
        <f>cubic_spline(CURVA!$B$6:$B$20,CURVA!$G$6:$G$20,#REF!)</f>
        <v>#VALUE!</v>
      </c>
    </row>
    <row r="8146" spans="1:5" x14ac:dyDescent="0.2">
      <c r="A8146" s="28">
        <v>8145</v>
      </c>
      <c r="B8146" s="28" t="e">
        <f>interpola(#REF!,CURVA!$B$6:$B$20,CURVA!$G$6:$G$20)</f>
        <v>#VALUE!</v>
      </c>
      <c r="C8146" s="29" t="e">
        <f t="shared" si="127"/>
        <v>#VALUE!</v>
      </c>
      <c r="E8146" t="e">
        <f>cubic_spline(CURVA!$B$6:$B$20,CURVA!$G$6:$G$20,#REF!)</f>
        <v>#VALUE!</v>
      </c>
    </row>
    <row r="8147" spans="1:5" x14ac:dyDescent="0.2">
      <c r="A8147" s="28">
        <v>8146</v>
      </c>
      <c r="B8147" s="28" t="e">
        <f>interpola(#REF!,CURVA!$B$6:$B$20,CURVA!$G$6:$G$20)</f>
        <v>#VALUE!</v>
      </c>
      <c r="C8147" s="29" t="e">
        <f t="shared" si="127"/>
        <v>#VALUE!</v>
      </c>
      <c r="E8147" t="e">
        <f>cubic_spline(CURVA!$B$6:$B$20,CURVA!$G$6:$G$20,#REF!)</f>
        <v>#VALUE!</v>
      </c>
    </row>
    <row r="8148" spans="1:5" x14ac:dyDescent="0.2">
      <c r="A8148" s="28">
        <v>8147</v>
      </c>
      <c r="B8148" s="28" t="e">
        <f>interpola(#REF!,CURVA!$B$6:$B$20,CURVA!$G$6:$G$20)</f>
        <v>#VALUE!</v>
      </c>
      <c r="C8148" s="29" t="e">
        <f t="shared" si="127"/>
        <v>#VALUE!</v>
      </c>
      <c r="E8148" t="e">
        <f>cubic_spline(CURVA!$B$6:$B$20,CURVA!$G$6:$G$20,#REF!)</f>
        <v>#VALUE!</v>
      </c>
    </row>
    <row r="8149" spans="1:5" x14ac:dyDescent="0.2">
      <c r="A8149" s="28">
        <v>8148</v>
      </c>
      <c r="B8149" s="28" t="e">
        <f>interpola(#REF!,CURVA!$B$6:$B$20,CURVA!$G$6:$G$20)</f>
        <v>#VALUE!</v>
      </c>
      <c r="C8149" s="29" t="e">
        <f t="shared" si="127"/>
        <v>#VALUE!</v>
      </c>
      <c r="E8149" t="e">
        <f>cubic_spline(CURVA!$B$6:$B$20,CURVA!$G$6:$G$20,#REF!)</f>
        <v>#VALUE!</v>
      </c>
    </row>
    <row r="8150" spans="1:5" x14ac:dyDescent="0.2">
      <c r="A8150" s="28">
        <v>8149</v>
      </c>
      <c r="B8150" s="28" t="e">
        <f>interpola(#REF!,CURVA!$B$6:$B$20,CURVA!$G$6:$G$20)</f>
        <v>#VALUE!</v>
      </c>
      <c r="C8150" s="29" t="e">
        <f t="shared" si="127"/>
        <v>#VALUE!</v>
      </c>
      <c r="E8150" t="e">
        <f>cubic_spline(CURVA!$B$6:$B$20,CURVA!$G$6:$G$20,#REF!)</f>
        <v>#VALUE!</v>
      </c>
    </row>
    <row r="8151" spans="1:5" x14ac:dyDescent="0.2">
      <c r="A8151" s="28">
        <v>8150</v>
      </c>
      <c r="B8151" s="28" t="e">
        <f>interpola(#REF!,CURVA!$B$6:$B$20,CURVA!$G$6:$G$20)</f>
        <v>#VALUE!</v>
      </c>
      <c r="C8151" s="29" t="e">
        <f t="shared" si="127"/>
        <v>#VALUE!</v>
      </c>
      <c r="E8151" t="e">
        <f>cubic_spline(CURVA!$B$6:$B$20,CURVA!$G$6:$G$20,#REF!)</f>
        <v>#VALUE!</v>
      </c>
    </row>
    <row r="8152" spans="1:5" x14ac:dyDescent="0.2">
      <c r="A8152" s="28">
        <v>8151</v>
      </c>
      <c r="B8152" s="28" t="e">
        <f>interpola(#REF!,CURVA!$B$6:$B$20,CURVA!$G$6:$G$20)</f>
        <v>#VALUE!</v>
      </c>
      <c r="C8152" s="29" t="e">
        <f t="shared" si="127"/>
        <v>#VALUE!</v>
      </c>
      <c r="E8152" t="e">
        <f>cubic_spline(CURVA!$B$6:$B$20,CURVA!$G$6:$G$20,#REF!)</f>
        <v>#VALUE!</v>
      </c>
    </row>
    <row r="8153" spans="1:5" x14ac:dyDescent="0.2">
      <c r="A8153" s="28">
        <v>8152</v>
      </c>
      <c r="B8153" s="28" t="e">
        <f>interpola(#REF!,CURVA!$B$6:$B$20,CURVA!$G$6:$G$20)</f>
        <v>#VALUE!</v>
      </c>
      <c r="C8153" s="29" t="e">
        <f t="shared" si="127"/>
        <v>#VALUE!</v>
      </c>
      <c r="E8153" t="e">
        <f>cubic_spline(CURVA!$B$6:$B$20,CURVA!$G$6:$G$20,#REF!)</f>
        <v>#VALUE!</v>
      </c>
    </row>
    <row r="8154" spans="1:5" x14ac:dyDescent="0.2">
      <c r="A8154" s="28">
        <v>8153</v>
      </c>
      <c r="B8154" s="28" t="e">
        <f>interpola(#REF!,CURVA!$B$6:$B$20,CURVA!$G$6:$G$20)</f>
        <v>#VALUE!</v>
      </c>
      <c r="C8154" s="29" t="e">
        <f t="shared" si="127"/>
        <v>#VALUE!</v>
      </c>
      <c r="E8154" t="e">
        <f>cubic_spline(CURVA!$B$6:$B$20,CURVA!$G$6:$G$20,#REF!)</f>
        <v>#VALUE!</v>
      </c>
    </row>
    <row r="8155" spans="1:5" x14ac:dyDescent="0.2">
      <c r="A8155" s="28">
        <v>8154</v>
      </c>
      <c r="B8155" s="28" t="e">
        <f>interpola(#REF!,CURVA!$B$6:$B$20,CURVA!$G$6:$G$20)</f>
        <v>#VALUE!</v>
      </c>
      <c r="C8155" s="29" t="e">
        <f t="shared" si="127"/>
        <v>#VALUE!</v>
      </c>
      <c r="E8155" t="e">
        <f>cubic_spline(CURVA!$B$6:$B$20,CURVA!$G$6:$G$20,#REF!)</f>
        <v>#VALUE!</v>
      </c>
    </row>
    <row r="8156" spans="1:5" x14ac:dyDescent="0.2">
      <c r="A8156" s="28">
        <v>8155</v>
      </c>
      <c r="B8156" s="28" t="e">
        <f>interpola(#REF!,CURVA!$B$6:$B$20,CURVA!$G$6:$G$20)</f>
        <v>#VALUE!</v>
      </c>
      <c r="C8156" s="29" t="e">
        <f t="shared" si="127"/>
        <v>#VALUE!</v>
      </c>
      <c r="E8156" t="e">
        <f>cubic_spline(CURVA!$B$6:$B$20,CURVA!$G$6:$G$20,#REF!)</f>
        <v>#VALUE!</v>
      </c>
    </row>
    <row r="8157" spans="1:5" x14ac:dyDescent="0.2">
      <c r="A8157" s="28">
        <v>8156</v>
      </c>
      <c r="B8157" s="28" t="e">
        <f>interpola(#REF!,CURVA!$B$6:$B$20,CURVA!$G$6:$G$20)</f>
        <v>#VALUE!</v>
      </c>
      <c r="C8157" s="29" t="e">
        <f t="shared" si="127"/>
        <v>#VALUE!</v>
      </c>
      <c r="E8157" t="e">
        <f>cubic_spline(CURVA!$B$6:$B$20,CURVA!$G$6:$G$20,#REF!)</f>
        <v>#VALUE!</v>
      </c>
    </row>
    <row r="8158" spans="1:5" x14ac:dyDescent="0.2">
      <c r="A8158" s="28">
        <v>8157</v>
      </c>
      <c r="B8158" s="28" t="e">
        <f>interpola(#REF!,CURVA!$B$6:$B$20,CURVA!$G$6:$G$20)</f>
        <v>#VALUE!</v>
      </c>
      <c r="C8158" s="29" t="e">
        <f t="shared" si="127"/>
        <v>#VALUE!</v>
      </c>
      <c r="E8158" t="e">
        <f>cubic_spline(CURVA!$B$6:$B$20,CURVA!$G$6:$G$20,#REF!)</f>
        <v>#VALUE!</v>
      </c>
    </row>
    <row r="8159" spans="1:5" x14ac:dyDescent="0.2">
      <c r="A8159" s="28">
        <v>8158</v>
      </c>
      <c r="B8159" s="28" t="e">
        <f>interpola(#REF!,CURVA!$B$6:$B$20,CURVA!$G$6:$G$20)</f>
        <v>#VALUE!</v>
      </c>
      <c r="C8159" s="29" t="e">
        <f t="shared" si="127"/>
        <v>#VALUE!</v>
      </c>
      <c r="E8159" t="e">
        <f>cubic_spline(CURVA!$B$6:$B$20,CURVA!$G$6:$G$20,#REF!)</f>
        <v>#VALUE!</v>
      </c>
    </row>
    <row r="8160" spans="1:5" x14ac:dyDescent="0.2">
      <c r="A8160" s="28">
        <v>8159</v>
      </c>
      <c r="B8160" s="28" t="e">
        <f>interpola(#REF!,CURVA!$B$6:$B$20,CURVA!$G$6:$G$20)</f>
        <v>#VALUE!</v>
      </c>
      <c r="C8160" s="29" t="e">
        <f t="shared" si="127"/>
        <v>#VALUE!</v>
      </c>
      <c r="E8160" t="e">
        <f>cubic_spline(CURVA!$B$6:$B$20,CURVA!$G$6:$G$20,#REF!)</f>
        <v>#VALUE!</v>
      </c>
    </row>
    <row r="8161" spans="1:5" x14ac:dyDescent="0.2">
      <c r="A8161" s="28">
        <v>8160</v>
      </c>
      <c r="B8161" s="28" t="e">
        <f>interpola(#REF!,CURVA!$B$6:$B$20,CURVA!$G$6:$G$20)</f>
        <v>#VALUE!</v>
      </c>
      <c r="C8161" s="29" t="e">
        <f t="shared" si="127"/>
        <v>#VALUE!</v>
      </c>
      <c r="E8161" t="e">
        <f>cubic_spline(CURVA!$B$6:$B$20,CURVA!$G$6:$G$20,#REF!)</f>
        <v>#VALUE!</v>
      </c>
    </row>
    <row r="8162" spans="1:5" x14ac:dyDescent="0.2">
      <c r="A8162" s="28">
        <v>8161</v>
      </c>
      <c r="B8162" s="28" t="e">
        <f>interpola(#REF!,CURVA!$B$6:$B$20,CURVA!$G$6:$G$20)</f>
        <v>#VALUE!</v>
      </c>
      <c r="C8162" s="29" t="e">
        <f t="shared" si="127"/>
        <v>#VALUE!</v>
      </c>
      <c r="E8162" t="e">
        <f>cubic_spline(CURVA!$B$6:$B$20,CURVA!$G$6:$G$20,#REF!)</f>
        <v>#VALUE!</v>
      </c>
    </row>
    <row r="8163" spans="1:5" x14ac:dyDescent="0.2">
      <c r="A8163" s="28">
        <v>8162</v>
      </c>
      <c r="B8163" s="28" t="e">
        <f>interpola(#REF!,CURVA!$B$6:$B$20,CURVA!$G$6:$G$20)</f>
        <v>#VALUE!</v>
      </c>
      <c r="C8163" s="29" t="e">
        <f t="shared" si="127"/>
        <v>#VALUE!</v>
      </c>
      <c r="E8163" t="e">
        <f>cubic_spline(CURVA!$B$6:$B$20,CURVA!$G$6:$G$20,#REF!)</f>
        <v>#VALUE!</v>
      </c>
    </row>
    <row r="8164" spans="1:5" x14ac:dyDescent="0.2">
      <c r="A8164" s="28">
        <v>8163</v>
      </c>
      <c r="B8164" s="28" t="e">
        <f>interpola(#REF!,CURVA!$B$6:$B$20,CURVA!$G$6:$G$20)</f>
        <v>#VALUE!</v>
      </c>
      <c r="C8164" s="29" t="e">
        <f t="shared" si="127"/>
        <v>#VALUE!</v>
      </c>
      <c r="E8164" t="e">
        <f>cubic_spline(CURVA!$B$6:$B$20,CURVA!$G$6:$G$20,#REF!)</f>
        <v>#VALUE!</v>
      </c>
    </row>
    <row r="8165" spans="1:5" x14ac:dyDescent="0.2">
      <c r="A8165" s="28">
        <v>8164</v>
      </c>
      <c r="B8165" s="28" t="e">
        <f>interpola(#REF!,CURVA!$B$6:$B$20,CURVA!$G$6:$G$20)</f>
        <v>#VALUE!</v>
      </c>
      <c r="C8165" s="29" t="e">
        <f t="shared" si="127"/>
        <v>#VALUE!</v>
      </c>
      <c r="E8165" t="e">
        <f>cubic_spline(CURVA!$B$6:$B$20,CURVA!$G$6:$G$20,#REF!)</f>
        <v>#VALUE!</v>
      </c>
    </row>
    <row r="8166" spans="1:5" x14ac:dyDescent="0.2">
      <c r="A8166" s="28">
        <v>8165</v>
      </c>
      <c r="B8166" s="28" t="e">
        <f>interpola(#REF!,CURVA!$B$6:$B$20,CURVA!$G$6:$G$20)</f>
        <v>#VALUE!</v>
      </c>
      <c r="C8166" s="29" t="e">
        <f t="shared" si="127"/>
        <v>#VALUE!</v>
      </c>
      <c r="E8166" t="e">
        <f>cubic_spline(CURVA!$B$6:$B$20,CURVA!$G$6:$G$20,#REF!)</f>
        <v>#VALUE!</v>
      </c>
    </row>
    <row r="8167" spans="1:5" x14ac:dyDescent="0.2">
      <c r="A8167" s="28">
        <v>8166</v>
      </c>
      <c r="B8167" s="28" t="e">
        <f>interpola(#REF!,CURVA!$B$6:$B$20,CURVA!$G$6:$G$20)</f>
        <v>#VALUE!</v>
      </c>
      <c r="C8167" s="29" t="e">
        <f t="shared" si="127"/>
        <v>#VALUE!</v>
      </c>
      <c r="E8167" t="e">
        <f>cubic_spline(CURVA!$B$6:$B$20,CURVA!$G$6:$G$20,#REF!)</f>
        <v>#VALUE!</v>
      </c>
    </row>
    <row r="8168" spans="1:5" x14ac:dyDescent="0.2">
      <c r="A8168" s="28">
        <v>8167</v>
      </c>
      <c r="B8168" s="28" t="e">
        <f>interpola(#REF!,CURVA!$B$6:$B$20,CURVA!$G$6:$G$20)</f>
        <v>#VALUE!</v>
      </c>
      <c r="C8168" s="29" t="e">
        <f t="shared" si="127"/>
        <v>#VALUE!</v>
      </c>
      <c r="E8168" t="e">
        <f>cubic_spline(CURVA!$B$6:$B$20,CURVA!$G$6:$G$20,#REF!)</f>
        <v>#VALUE!</v>
      </c>
    </row>
    <row r="8169" spans="1:5" x14ac:dyDescent="0.2">
      <c r="A8169" s="28">
        <v>8168</v>
      </c>
      <c r="B8169" s="28" t="e">
        <f>interpola(#REF!,CURVA!$B$6:$B$20,CURVA!$G$6:$G$20)</f>
        <v>#VALUE!</v>
      </c>
      <c r="C8169" s="29" t="e">
        <f t="shared" si="127"/>
        <v>#VALUE!</v>
      </c>
      <c r="E8169" t="e">
        <f>cubic_spline(CURVA!$B$6:$B$20,CURVA!$G$6:$G$20,#REF!)</f>
        <v>#VALUE!</v>
      </c>
    </row>
    <row r="8170" spans="1:5" x14ac:dyDescent="0.2">
      <c r="A8170" s="28">
        <v>8169</v>
      </c>
      <c r="B8170" s="28" t="e">
        <f>interpola(#REF!,CURVA!$B$6:$B$20,CURVA!$G$6:$G$20)</f>
        <v>#VALUE!</v>
      </c>
      <c r="C8170" s="29" t="e">
        <f t="shared" si="127"/>
        <v>#VALUE!</v>
      </c>
      <c r="E8170" t="e">
        <f>cubic_spline(CURVA!$B$6:$B$20,CURVA!$G$6:$G$20,#REF!)</f>
        <v>#VALUE!</v>
      </c>
    </row>
    <row r="8171" spans="1:5" x14ac:dyDescent="0.2">
      <c r="A8171" s="28">
        <v>8170</v>
      </c>
      <c r="B8171" s="28" t="e">
        <f>interpola(#REF!,CURVA!$B$6:$B$20,CURVA!$G$6:$G$20)</f>
        <v>#VALUE!</v>
      </c>
      <c r="C8171" s="29" t="e">
        <f t="shared" si="127"/>
        <v>#VALUE!</v>
      </c>
      <c r="E8171" t="e">
        <f>cubic_spline(CURVA!$B$6:$B$20,CURVA!$G$6:$G$20,#REF!)</f>
        <v>#VALUE!</v>
      </c>
    </row>
    <row r="8172" spans="1:5" x14ac:dyDescent="0.2">
      <c r="A8172" s="28">
        <v>8171</v>
      </c>
      <c r="B8172" s="28" t="e">
        <f>interpola(#REF!,CURVA!$B$6:$B$20,CURVA!$G$6:$G$20)</f>
        <v>#VALUE!</v>
      </c>
      <c r="C8172" s="29" t="e">
        <f t="shared" si="127"/>
        <v>#VALUE!</v>
      </c>
      <c r="E8172" t="e">
        <f>cubic_spline(CURVA!$B$6:$B$20,CURVA!$G$6:$G$20,#REF!)</f>
        <v>#VALUE!</v>
      </c>
    </row>
    <row r="8173" spans="1:5" x14ac:dyDescent="0.2">
      <c r="A8173" s="28">
        <v>8172</v>
      </c>
      <c r="B8173" s="28" t="e">
        <f>interpola(#REF!,CURVA!$B$6:$B$20,CURVA!$G$6:$G$20)</f>
        <v>#VALUE!</v>
      </c>
      <c r="C8173" s="29" t="e">
        <f t="shared" si="127"/>
        <v>#VALUE!</v>
      </c>
      <c r="E8173" t="e">
        <f>cubic_spline(CURVA!$B$6:$B$20,CURVA!$G$6:$G$20,#REF!)</f>
        <v>#VALUE!</v>
      </c>
    </row>
    <row r="8174" spans="1:5" x14ac:dyDescent="0.2">
      <c r="A8174" s="28">
        <v>8173</v>
      </c>
      <c r="B8174" s="28" t="e">
        <f>interpola(#REF!,CURVA!$B$6:$B$20,CURVA!$G$6:$G$20)</f>
        <v>#VALUE!</v>
      </c>
      <c r="C8174" s="29" t="e">
        <f t="shared" si="127"/>
        <v>#VALUE!</v>
      </c>
      <c r="E8174" t="e">
        <f>cubic_spline(CURVA!$B$6:$B$20,CURVA!$G$6:$G$20,#REF!)</f>
        <v>#VALUE!</v>
      </c>
    </row>
    <row r="8175" spans="1:5" x14ac:dyDescent="0.2">
      <c r="A8175" s="28">
        <v>8174</v>
      </c>
      <c r="B8175" s="28" t="e">
        <f>interpola(#REF!,CURVA!$B$6:$B$20,CURVA!$G$6:$G$20)</f>
        <v>#VALUE!</v>
      </c>
      <c r="C8175" s="29" t="e">
        <f t="shared" si="127"/>
        <v>#VALUE!</v>
      </c>
      <c r="E8175" t="e">
        <f>cubic_spline(CURVA!$B$6:$B$20,CURVA!$G$6:$G$20,#REF!)</f>
        <v>#VALUE!</v>
      </c>
    </row>
    <row r="8176" spans="1:5" x14ac:dyDescent="0.2">
      <c r="A8176" s="28">
        <v>8175</v>
      </c>
      <c r="B8176" s="28" t="e">
        <f>interpola(#REF!,CURVA!$B$6:$B$20,CURVA!$G$6:$G$20)</f>
        <v>#VALUE!</v>
      </c>
      <c r="C8176" s="29" t="e">
        <f t="shared" si="127"/>
        <v>#VALUE!</v>
      </c>
      <c r="E8176" t="e">
        <f>cubic_spline(CURVA!$B$6:$B$20,CURVA!$G$6:$G$20,#REF!)</f>
        <v>#VALUE!</v>
      </c>
    </row>
    <row r="8177" spans="1:5" x14ac:dyDescent="0.2">
      <c r="A8177" s="28">
        <v>8176</v>
      </c>
      <c r="B8177" s="28" t="e">
        <f>interpola(#REF!,CURVA!$B$6:$B$20,CURVA!$G$6:$G$20)</f>
        <v>#VALUE!</v>
      </c>
      <c r="C8177" s="29" t="e">
        <f t="shared" si="127"/>
        <v>#VALUE!</v>
      </c>
      <c r="E8177" t="e">
        <f>cubic_spline(CURVA!$B$6:$B$20,CURVA!$G$6:$G$20,#REF!)</f>
        <v>#VALUE!</v>
      </c>
    </row>
    <row r="8178" spans="1:5" x14ac:dyDescent="0.2">
      <c r="A8178" s="28">
        <v>8177</v>
      </c>
      <c r="B8178" s="28" t="e">
        <f>interpola(#REF!,CURVA!$B$6:$B$20,CURVA!$G$6:$G$20)</f>
        <v>#VALUE!</v>
      </c>
      <c r="C8178" s="29" t="e">
        <f t="shared" si="127"/>
        <v>#VALUE!</v>
      </c>
      <c r="E8178" t="e">
        <f>cubic_spline(CURVA!$B$6:$B$20,CURVA!$G$6:$G$20,#REF!)</f>
        <v>#VALUE!</v>
      </c>
    </row>
    <row r="8179" spans="1:5" x14ac:dyDescent="0.2">
      <c r="A8179" s="28">
        <v>8178</v>
      </c>
      <c r="B8179" s="28" t="e">
        <f>interpola(#REF!,CURVA!$B$6:$B$20,CURVA!$G$6:$G$20)</f>
        <v>#VALUE!</v>
      </c>
      <c r="C8179" s="29" t="e">
        <f t="shared" si="127"/>
        <v>#VALUE!</v>
      </c>
      <c r="E8179" t="e">
        <f>cubic_spline(CURVA!$B$6:$B$20,CURVA!$G$6:$G$20,#REF!)</f>
        <v>#VALUE!</v>
      </c>
    </row>
    <row r="8180" spans="1:5" x14ac:dyDescent="0.2">
      <c r="A8180" s="28">
        <v>8179</v>
      </c>
      <c r="B8180" s="28" t="e">
        <f>interpola(#REF!,CURVA!$B$6:$B$20,CURVA!$G$6:$G$20)</f>
        <v>#VALUE!</v>
      </c>
      <c r="C8180" s="29" t="e">
        <f t="shared" si="127"/>
        <v>#VALUE!</v>
      </c>
      <c r="E8180" t="e">
        <f>cubic_spline(CURVA!$B$6:$B$20,CURVA!$G$6:$G$20,#REF!)</f>
        <v>#VALUE!</v>
      </c>
    </row>
    <row r="8181" spans="1:5" x14ac:dyDescent="0.2">
      <c r="A8181" s="28">
        <v>8180</v>
      </c>
      <c r="B8181" s="28" t="e">
        <f>interpola(#REF!,CURVA!$B$6:$B$20,CURVA!$G$6:$G$20)</f>
        <v>#VALUE!</v>
      </c>
      <c r="C8181" s="29" t="e">
        <f t="shared" si="127"/>
        <v>#VALUE!</v>
      </c>
      <c r="E8181" t="e">
        <f>cubic_spline(CURVA!$B$6:$B$20,CURVA!$G$6:$G$20,#REF!)</f>
        <v>#VALUE!</v>
      </c>
    </row>
    <row r="8182" spans="1:5" x14ac:dyDescent="0.2">
      <c r="A8182" s="28">
        <v>8181</v>
      </c>
      <c r="B8182" s="28" t="e">
        <f>interpola(#REF!,CURVA!$B$6:$B$20,CURVA!$G$6:$G$20)</f>
        <v>#VALUE!</v>
      </c>
      <c r="C8182" s="29" t="e">
        <f t="shared" si="127"/>
        <v>#VALUE!</v>
      </c>
      <c r="E8182" t="e">
        <f>cubic_spline(CURVA!$B$6:$B$20,CURVA!$G$6:$G$20,#REF!)</f>
        <v>#VALUE!</v>
      </c>
    </row>
    <row r="8183" spans="1:5" x14ac:dyDescent="0.2">
      <c r="A8183" s="28">
        <v>8182</v>
      </c>
      <c r="B8183" s="28" t="e">
        <f>interpola(#REF!,CURVA!$B$6:$B$20,CURVA!$G$6:$G$20)</f>
        <v>#VALUE!</v>
      </c>
      <c r="C8183" s="29" t="e">
        <f t="shared" si="127"/>
        <v>#VALUE!</v>
      </c>
      <c r="E8183" t="e">
        <f>cubic_spline(CURVA!$B$6:$B$20,CURVA!$G$6:$G$20,#REF!)</f>
        <v>#VALUE!</v>
      </c>
    </row>
    <row r="8184" spans="1:5" x14ac:dyDescent="0.2">
      <c r="A8184" s="28">
        <v>8183</v>
      </c>
      <c r="B8184" s="28" t="e">
        <f>interpola(#REF!,CURVA!$B$6:$B$20,CURVA!$G$6:$G$20)</f>
        <v>#VALUE!</v>
      </c>
      <c r="C8184" s="29" t="e">
        <f t="shared" si="127"/>
        <v>#VALUE!</v>
      </c>
      <c r="E8184" t="e">
        <f>cubic_spline(CURVA!$B$6:$B$20,CURVA!$G$6:$G$20,#REF!)</f>
        <v>#VALUE!</v>
      </c>
    </row>
    <row r="8185" spans="1:5" x14ac:dyDescent="0.2">
      <c r="A8185" s="28">
        <v>8184</v>
      </c>
      <c r="B8185" s="28" t="e">
        <f>interpola(#REF!,CURVA!$B$6:$B$20,CURVA!$G$6:$G$20)</f>
        <v>#VALUE!</v>
      </c>
      <c r="C8185" s="29" t="e">
        <f t="shared" si="127"/>
        <v>#VALUE!</v>
      </c>
      <c r="E8185" t="e">
        <f>cubic_spline(CURVA!$B$6:$B$20,CURVA!$G$6:$G$20,#REF!)</f>
        <v>#VALUE!</v>
      </c>
    </row>
    <row r="8186" spans="1:5" x14ac:dyDescent="0.2">
      <c r="A8186" s="28">
        <v>8185</v>
      </c>
      <c r="B8186" s="28" t="e">
        <f>interpola(#REF!,CURVA!$B$6:$B$20,CURVA!$G$6:$G$20)</f>
        <v>#VALUE!</v>
      </c>
      <c r="C8186" s="29" t="e">
        <f t="shared" si="127"/>
        <v>#VALUE!</v>
      </c>
      <c r="E8186" t="e">
        <f>cubic_spline(CURVA!$B$6:$B$20,CURVA!$G$6:$G$20,#REF!)</f>
        <v>#VALUE!</v>
      </c>
    </row>
    <row r="8187" spans="1:5" x14ac:dyDescent="0.2">
      <c r="A8187" s="28">
        <v>8186</v>
      </c>
      <c r="B8187" s="28" t="e">
        <f>interpola(#REF!,CURVA!$B$6:$B$20,CURVA!$G$6:$G$20)</f>
        <v>#VALUE!</v>
      </c>
      <c r="C8187" s="29" t="e">
        <f t="shared" si="127"/>
        <v>#VALUE!</v>
      </c>
      <c r="E8187" t="e">
        <f>cubic_spline(CURVA!$B$6:$B$20,CURVA!$G$6:$G$20,#REF!)</f>
        <v>#VALUE!</v>
      </c>
    </row>
    <row r="8188" spans="1:5" x14ac:dyDescent="0.2">
      <c r="A8188" s="28">
        <v>8187</v>
      </c>
      <c r="B8188" s="28" t="e">
        <f>interpola(#REF!,CURVA!$B$6:$B$20,CURVA!$G$6:$G$20)</f>
        <v>#VALUE!</v>
      </c>
      <c r="C8188" s="29" t="e">
        <f t="shared" si="127"/>
        <v>#VALUE!</v>
      </c>
      <c r="E8188" t="e">
        <f>cubic_spline(CURVA!$B$6:$B$20,CURVA!$G$6:$G$20,#REF!)</f>
        <v>#VALUE!</v>
      </c>
    </row>
    <row r="8189" spans="1:5" x14ac:dyDescent="0.2">
      <c r="A8189" s="28">
        <v>8188</v>
      </c>
      <c r="B8189" s="28" t="e">
        <f>interpola(#REF!,CURVA!$B$6:$B$20,CURVA!$G$6:$G$20)</f>
        <v>#VALUE!</v>
      </c>
      <c r="C8189" s="29" t="e">
        <f t="shared" si="127"/>
        <v>#VALUE!</v>
      </c>
      <c r="E8189" t="e">
        <f>cubic_spline(CURVA!$B$6:$B$20,CURVA!$G$6:$G$20,#REF!)</f>
        <v>#VALUE!</v>
      </c>
    </row>
    <row r="8190" spans="1:5" x14ac:dyDescent="0.2">
      <c r="A8190" s="28">
        <v>8189</v>
      </c>
      <c r="B8190" s="28" t="e">
        <f>interpola(#REF!,CURVA!$B$6:$B$20,CURVA!$G$6:$G$20)</f>
        <v>#VALUE!</v>
      </c>
      <c r="C8190" s="29" t="e">
        <f t="shared" si="127"/>
        <v>#VALUE!</v>
      </c>
      <c r="E8190" t="e">
        <f>cubic_spline(CURVA!$B$6:$B$20,CURVA!$G$6:$G$20,#REF!)</f>
        <v>#VALUE!</v>
      </c>
    </row>
    <row r="8191" spans="1:5" x14ac:dyDescent="0.2">
      <c r="A8191" s="28">
        <v>8190</v>
      </c>
      <c r="B8191" s="28" t="e">
        <f>interpola(#REF!,CURVA!$B$6:$B$20,CURVA!$G$6:$G$20)</f>
        <v>#VALUE!</v>
      </c>
      <c r="C8191" s="29" t="e">
        <f t="shared" si="127"/>
        <v>#VALUE!</v>
      </c>
      <c r="E8191" t="e">
        <f>cubic_spline(CURVA!$B$6:$B$20,CURVA!$G$6:$G$20,#REF!)</f>
        <v>#VALUE!</v>
      </c>
    </row>
    <row r="8192" spans="1:5" x14ac:dyDescent="0.2">
      <c r="A8192" s="28">
        <v>8191</v>
      </c>
      <c r="B8192" s="28" t="e">
        <f>interpola(#REF!,CURVA!$B$6:$B$20,CURVA!$G$6:$G$20)</f>
        <v>#VALUE!</v>
      </c>
      <c r="C8192" s="29" t="e">
        <f t="shared" si="127"/>
        <v>#VALUE!</v>
      </c>
      <c r="E8192" t="e">
        <f>cubic_spline(CURVA!$B$6:$B$20,CURVA!$G$6:$G$20,#REF!)</f>
        <v>#VALUE!</v>
      </c>
    </row>
    <row r="8193" spans="1:5" x14ac:dyDescent="0.2">
      <c r="A8193" s="28">
        <v>8192</v>
      </c>
      <c r="B8193" s="28" t="e">
        <f>interpola(#REF!,CURVA!$B$6:$B$20,CURVA!$G$6:$G$20)</f>
        <v>#VALUE!</v>
      </c>
      <c r="C8193" s="29" t="e">
        <f t="shared" si="127"/>
        <v>#VALUE!</v>
      </c>
      <c r="E8193" t="e">
        <f>cubic_spline(CURVA!$B$6:$B$20,CURVA!$G$6:$G$20,#REF!)</f>
        <v>#VALUE!</v>
      </c>
    </row>
    <row r="8194" spans="1:5" x14ac:dyDescent="0.2">
      <c r="A8194" s="28">
        <v>8193</v>
      </c>
      <c r="B8194" s="28" t="e">
        <f>interpola(#REF!,CURVA!$B$6:$B$20,CURVA!$G$6:$G$20)</f>
        <v>#VALUE!</v>
      </c>
      <c r="C8194" s="29" t="e">
        <f t="shared" ref="C8194:C8257" si="128">(EXP(B8194*A8194/360)-1)*360/A8194</f>
        <v>#VALUE!</v>
      </c>
      <c r="E8194" t="e">
        <f>cubic_spline(CURVA!$B$6:$B$20,CURVA!$G$6:$G$20,#REF!)</f>
        <v>#VALUE!</v>
      </c>
    </row>
    <row r="8195" spans="1:5" x14ac:dyDescent="0.2">
      <c r="A8195" s="28">
        <v>8194</v>
      </c>
      <c r="B8195" s="28" t="e">
        <f>interpola(#REF!,CURVA!$B$6:$B$20,CURVA!$G$6:$G$20)</f>
        <v>#VALUE!</v>
      </c>
      <c r="C8195" s="29" t="e">
        <f t="shared" si="128"/>
        <v>#VALUE!</v>
      </c>
      <c r="E8195" t="e">
        <f>cubic_spline(CURVA!$B$6:$B$20,CURVA!$G$6:$G$20,#REF!)</f>
        <v>#VALUE!</v>
      </c>
    </row>
    <row r="8196" spans="1:5" x14ac:dyDescent="0.2">
      <c r="A8196" s="28">
        <v>8195</v>
      </c>
      <c r="B8196" s="28" t="e">
        <f>interpola(#REF!,CURVA!$B$6:$B$20,CURVA!$G$6:$G$20)</f>
        <v>#VALUE!</v>
      </c>
      <c r="C8196" s="29" t="e">
        <f t="shared" si="128"/>
        <v>#VALUE!</v>
      </c>
      <c r="E8196" t="e">
        <f>cubic_spline(CURVA!$B$6:$B$20,CURVA!$G$6:$G$20,#REF!)</f>
        <v>#VALUE!</v>
      </c>
    </row>
    <row r="8197" spans="1:5" x14ac:dyDescent="0.2">
      <c r="A8197" s="28">
        <v>8196</v>
      </c>
      <c r="B8197" s="28" t="e">
        <f>interpola(#REF!,CURVA!$B$6:$B$20,CURVA!$G$6:$G$20)</f>
        <v>#VALUE!</v>
      </c>
      <c r="C8197" s="29" t="e">
        <f t="shared" si="128"/>
        <v>#VALUE!</v>
      </c>
      <c r="E8197" t="e">
        <f>cubic_spline(CURVA!$B$6:$B$20,CURVA!$G$6:$G$20,#REF!)</f>
        <v>#VALUE!</v>
      </c>
    </row>
    <row r="8198" spans="1:5" x14ac:dyDescent="0.2">
      <c r="A8198" s="28">
        <v>8197</v>
      </c>
      <c r="B8198" s="28" t="e">
        <f>interpola(#REF!,CURVA!$B$6:$B$20,CURVA!$G$6:$G$20)</f>
        <v>#VALUE!</v>
      </c>
      <c r="C8198" s="29" t="e">
        <f t="shared" si="128"/>
        <v>#VALUE!</v>
      </c>
      <c r="E8198" t="e">
        <f>cubic_spline(CURVA!$B$6:$B$20,CURVA!$G$6:$G$20,#REF!)</f>
        <v>#VALUE!</v>
      </c>
    </row>
    <row r="8199" spans="1:5" x14ac:dyDescent="0.2">
      <c r="A8199" s="28">
        <v>8198</v>
      </c>
      <c r="B8199" s="28" t="e">
        <f>interpola(#REF!,CURVA!$B$6:$B$20,CURVA!$G$6:$G$20)</f>
        <v>#VALUE!</v>
      </c>
      <c r="C8199" s="29" t="e">
        <f t="shared" si="128"/>
        <v>#VALUE!</v>
      </c>
      <c r="E8199" t="e">
        <f>cubic_spline(CURVA!$B$6:$B$20,CURVA!$G$6:$G$20,#REF!)</f>
        <v>#VALUE!</v>
      </c>
    </row>
    <row r="8200" spans="1:5" x14ac:dyDescent="0.2">
      <c r="A8200" s="28">
        <v>8199</v>
      </c>
      <c r="B8200" s="28" t="e">
        <f>interpola(#REF!,CURVA!$B$6:$B$20,CURVA!$G$6:$G$20)</f>
        <v>#VALUE!</v>
      </c>
      <c r="C8200" s="29" t="e">
        <f t="shared" si="128"/>
        <v>#VALUE!</v>
      </c>
      <c r="E8200" t="e">
        <f>cubic_spline(CURVA!$B$6:$B$20,CURVA!$G$6:$G$20,#REF!)</f>
        <v>#VALUE!</v>
      </c>
    </row>
    <row r="8201" spans="1:5" x14ac:dyDescent="0.2">
      <c r="A8201" s="28">
        <v>8200</v>
      </c>
      <c r="B8201" s="28" t="e">
        <f>interpola(#REF!,CURVA!$B$6:$B$20,CURVA!$G$6:$G$20)</f>
        <v>#VALUE!</v>
      </c>
      <c r="C8201" s="29" t="e">
        <f t="shared" si="128"/>
        <v>#VALUE!</v>
      </c>
      <c r="E8201" t="e">
        <f>cubic_spline(CURVA!$B$6:$B$20,CURVA!$G$6:$G$20,#REF!)</f>
        <v>#VALUE!</v>
      </c>
    </row>
    <row r="8202" spans="1:5" x14ac:dyDescent="0.2">
      <c r="A8202" s="28">
        <v>8201</v>
      </c>
      <c r="B8202" s="28" t="e">
        <f>interpola(#REF!,CURVA!$B$6:$B$20,CURVA!$G$6:$G$20)</f>
        <v>#VALUE!</v>
      </c>
      <c r="C8202" s="29" t="e">
        <f t="shared" si="128"/>
        <v>#VALUE!</v>
      </c>
      <c r="E8202" t="e">
        <f>cubic_spline(CURVA!$B$6:$B$20,CURVA!$G$6:$G$20,#REF!)</f>
        <v>#VALUE!</v>
      </c>
    </row>
    <row r="8203" spans="1:5" x14ac:dyDescent="0.2">
      <c r="A8203" s="28">
        <v>8202</v>
      </c>
      <c r="B8203" s="28" t="e">
        <f>interpola(#REF!,CURVA!$B$6:$B$20,CURVA!$G$6:$G$20)</f>
        <v>#VALUE!</v>
      </c>
      <c r="C8203" s="29" t="e">
        <f t="shared" si="128"/>
        <v>#VALUE!</v>
      </c>
      <c r="E8203" t="e">
        <f>cubic_spline(CURVA!$B$6:$B$20,CURVA!$G$6:$G$20,#REF!)</f>
        <v>#VALUE!</v>
      </c>
    </row>
    <row r="8204" spans="1:5" x14ac:dyDescent="0.2">
      <c r="A8204" s="28">
        <v>8203</v>
      </c>
      <c r="B8204" s="28" t="e">
        <f>interpola(#REF!,CURVA!$B$6:$B$20,CURVA!$G$6:$G$20)</f>
        <v>#VALUE!</v>
      </c>
      <c r="C8204" s="29" t="e">
        <f t="shared" si="128"/>
        <v>#VALUE!</v>
      </c>
      <c r="E8204" t="e">
        <f>cubic_spline(CURVA!$B$6:$B$20,CURVA!$G$6:$G$20,#REF!)</f>
        <v>#VALUE!</v>
      </c>
    </row>
    <row r="8205" spans="1:5" x14ac:dyDescent="0.2">
      <c r="A8205" s="28">
        <v>8204</v>
      </c>
      <c r="B8205" s="28" t="e">
        <f>interpola(#REF!,CURVA!$B$6:$B$20,CURVA!$G$6:$G$20)</f>
        <v>#VALUE!</v>
      </c>
      <c r="C8205" s="29" t="e">
        <f t="shared" si="128"/>
        <v>#VALUE!</v>
      </c>
      <c r="E8205" t="e">
        <f>cubic_spline(CURVA!$B$6:$B$20,CURVA!$G$6:$G$20,#REF!)</f>
        <v>#VALUE!</v>
      </c>
    </row>
    <row r="8206" spans="1:5" x14ac:dyDescent="0.2">
      <c r="A8206" s="28">
        <v>8205</v>
      </c>
      <c r="B8206" s="28" t="e">
        <f>interpola(#REF!,CURVA!$B$6:$B$20,CURVA!$G$6:$G$20)</f>
        <v>#VALUE!</v>
      </c>
      <c r="C8206" s="29" t="e">
        <f t="shared" si="128"/>
        <v>#VALUE!</v>
      </c>
      <c r="E8206" t="e">
        <f>cubic_spline(CURVA!$B$6:$B$20,CURVA!$G$6:$G$20,#REF!)</f>
        <v>#VALUE!</v>
      </c>
    </row>
    <row r="8207" spans="1:5" x14ac:dyDescent="0.2">
      <c r="A8207" s="28">
        <v>8206</v>
      </c>
      <c r="B8207" s="28" t="e">
        <f>interpola(#REF!,CURVA!$B$6:$B$20,CURVA!$G$6:$G$20)</f>
        <v>#VALUE!</v>
      </c>
      <c r="C8207" s="29" t="e">
        <f t="shared" si="128"/>
        <v>#VALUE!</v>
      </c>
      <c r="E8207" t="e">
        <f>cubic_spline(CURVA!$B$6:$B$20,CURVA!$G$6:$G$20,#REF!)</f>
        <v>#VALUE!</v>
      </c>
    </row>
    <row r="8208" spans="1:5" x14ac:dyDescent="0.2">
      <c r="A8208" s="28">
        <v>8207</v>
      </c>
      <c r="B8208" s="28" t="e">
        <f>interpola(#REF!,CURVA!$B$6:$B$20,CURVA!$G$6:$G$20)</f>
        <v>#VALUE!</v>
      </c>
      <c r="C8208" s="29" t="e">
        <f t="shared" si="128"/>
        <v>#VALUE!</v>
      </c>
      <c r="E8208" t="e">
        <f>cubic_spline(CURVA!$B$6:$B$20,CURVA!$G$6:$G$20,#REF!)</f>
        <v>#VALUE!</v>
      </c>
    </row>
    <row r="8209" spans="1:5" x14ac:dyDescent="0.2">
      <c r="A8209" s="28">
        <v>8208</v>
      </c>
      <c r="B8209" s="28" t="e">
        <f>interpola(#REF!,CURVA!$B$6:$B$20,CURVA!$G$6:$G$20)</f>
        <v>#VALUE!</v>
      </c>
      <c r="C8209" s="29" t="e">
        <f t="shared" si="128"/>
        <v>#VALUE!</v>
      </c>
      <c r="E8209" t="e">
        <f>cubic_spline(CURVA!$B$6:$B$20,CURVA!$G$6:$G$20,#REF!)</f>
        <v>#VALUE!</v>
      </c>
    </row>
    <row r="8210" spans="1:5" x14ac:dyDescent="0.2">
      <c r="A8210" s="28">
        <v>8209</v>
      </c>
      <c r="B8210" s="28" t="e">
        <f>interpola(#REF!,CURVA!$B$6:$B$20,CURVA!$G$6:$G$20)</f>
        <v>#VALUE!</v>
      </c>
      <c r="C8210" s="29" t="e">
        <f t="shared" si="128"/>
        <v>#VALUE!</v>
      </c>
      <c r="E8210" t="e">
        <f>cubic_spline(CURVA!$B$6:$B$20,CURVA!$G$6:$G$20,#REF!)</f>
        <v>#VALUE!</v>
      </c>
    </row>
    <row r="8211" spans="1:5" x14ac:dyDescent="0.2">
      <c r="A8211" s="28">
        <v>8210</v>
      </c>
      <c r="B8211" s="28" t="e">
        <f>interpola(#REF!,CURVA!$B$6:$B$20,CURVA!$G$6:$G$20)</f>
        <v>#VALUE!</v>
      </c>
      <c r="C8211" s="29" t="e">
        <f t="shared" si="128"/>
        <v>#VALUE!</v>
      </c>
      <c r="E8211" t="e">
        <f>cubic_spline(CURVA!$B$6:$B$20,CURVA!$G$6:$G$20,#REF!)</f>
        <v>#VALUE!</v>
      </c>
    </row>
    <row r="8212" spans="1:5" x14ac:dyDescent="0.2">
      <c r="A8212" s="28">
        <v>8211</v>
      </c>
      <c r="B8212" s="28" t="e">
        <f>interpola(#REF!,CURVA!$B$6:$B$20,CURVA!$G$6:$G$20)</f>
        <v>#VALUE!</v>
      </c>
      <c r="C8212" s="29" t="e">
        <f t="shared" si="128"/>
        <v>#VALUE!</v>
      </c>
      <c r="E8212" t="e">
        <f>cubic_spline(CURVA!$B$6:$B$20,CURVA!$G$6:$G$20,#REF!)</f>
        <v>#VALUE!</v>
      </c>
    </row>
    <row r="8213" spans="1:5" x14ac:dyDescent="0.2">
      <c r="A8213" s="28">
        <v>8212</v>
      </c>
      <c r="B8213" s="28" t="e">
        <f>interpola(#REF!,CURVA!$B$6:$B$20,CURVA!$G$6:$G$20)</f>
        <v>#VALUE!</v>
      </c>
      <c r="C8213" s="29" t="e">
        <f t="shared" si="128"/>
        <v>#VALUE!</v>
      </c>
      <c r="E8213" t="e">
        <f>cubic_spline(CURVA!$B$6:$B$20,CURVA!$G$6:$G$20,#REF!)</f>
        <v>#VALUE!</v>
      </c>
    </row>
    <row r="8214" spans="1:5" x14ac:dyDescent="0.2">
      <c r="A8214" s="28">
        <v>8213</v>
      </c>
      <c r="B8214" s="28" t="e">
        <f>interpola(#REF!,CURVA!$B$6:$B$20,CURVA!$G$6:$G$20)</f>
        <v>#VALUE!</v>
      </c>
      <c r="C8214" s="29" t="e">
        <f t="shared" si="128"/>
        <v>#VALUE!</v>
      </c>
      <c r="E8214" t="e">
        <f>cubic_spline(CURVA!$B$6:$B$20,CURVA!$G$6:$G$20,#REF!)</f>
        <v>#VALUE!</v>
      </c>
    </row>
    <row r="8215" spans="1:5" x14ac:dyDescent="0.2">
      <c r="A8215" s="28">
        <v>8214</v>
      </c>
      <c r="B8215" s="28" t="e">
        <f>interpola(#REF!,CURVA!$B$6:$B$20,CURVA!$G$6:$G$20)</f>
        <v>#VALUE!</v>
      </c>
      <c r="C8215" s="29" t="e">
        <f t="shared" si="128"/>
        <v>#VALUE!</v>
      </c>
      <c r="E8215" t="e">
        <f>cubic_spline(CURVA!$B$6:$B$20,CURVA!$G$6:$G$20,#REF!)</f>
        <v>#VALUE!</v>
      </c>
    </row>
    <row r="8216" spans="1:5" x14ac:dyDescent="0.2">
      <c r="A8216" s="28">
        <v>8215</v>
      </c>
      <c r="B8216" s="28" t="e">
        <f>interpola(#REF!,CURVA!$B$6:$B$20,CURVA!$G$6:$G$20)</f>
        <v>#VALUE!</v>
      </c>
      <c r="C8216" s="29" t="e">
        <f t="shared" si="128"/>
        <v>#VALUE!</v>
      </c>
      <c r="E8216" t="e">
        <f>cubic_spline(CURVA!$B$6:$B$20,CURVA!$G$6:$G$20,#REF!)</f>
        <v>#VALUE!</v>
      </c>
    </row>
    <row r="8217" spans="1:5" x14ac:dyDescent="0.2">
      <c r="A8217" s="28">
        <v>8216</v>
      </c>
      <c r="B8217" s="28" t="e">
        <f>interpola(#REF!,CURVA!$B$6:$B$20,CURVA!$G$6:$G$20)</f>
        <v>#VALUE!</v>
      </c>
      <c r="C8217" s="29" t="e">
        <f t="shared" si="128"/>
        <v>#VALUE!</v>
      </c>
      <c r="E8217" t="e">
        <f>cubic_spline(CURVA!$B$6:$B$20,CURVA!$G$6:$G$20,#REF!)</f>
        <v>#VALUE!</v>
      </c>
    </row>
    <row r="8218" spans="1:5" x14ac:dyDescent="0.2">
      <c r="A8218" s="28">
        <v>8217</v>
      </c>
      <c r="B8218" s="28" t="e">
        <f>interpola(#REF!,CURVA!$B$6:$B$20,CURVA!$G$6:$G$20)</f>
        <v>#VALUE!</v>
      </c>
      <c r="C8218" s="29" t="e">
        <f t="shared" si="128"/>
        <v>#VALUE!</v>
      </c>
      <c r="E8218" t="e">
        <f>cubic_spline(CURVA!$B$6:$B$20,CURVA!$G$6:$G$20,#REF!)</f>
        <v>#VALUE!</v>
      </c>
    </row>
    <row r="8219" spans="1:5" x14ac:dyDescent="0.2">
      <c r="A8219" s="28">
        <v>8218</v>
      </c>
      <c r="B8219" s="28" t="e">
        <f>interpola(#REF!,CURVA!$B$6:$B$20,CURVA!$G$6:$G$20)</f>
        <v>#VALUE!</v>
      </c>
      <c r="C8219" s="29" t="e">
        <f t="shared" si="128"/>
        <v>#VALUE!</v>
      </c>
      <c r="E8219" t="e">
        <f>cubic_spline(CURVA!$B$6:$B$20,CURVA!$G$6:$G$20,#REF!)</f>
        <v>#VALUE!</v>
      </c>
    </row>
    <row r="8220" spans="1:5" x14ac:dyDescent="0.2">
      <c r="A8220" s="28">
        <v>8219</v>
      </c>
      <c r="B8220" s="28" t="e">
        <f>interpola(#REF!,CURVA!$B$6:$B$20,CURVA!$G$6:$G$20)</f>
        <v>#VALUE!</v>
      </c>
      <c r="C8220" s="29" t="e">
        <f t="shared" si="128"/>
        <v>#VALUE!</v>
      </c>
      <c r="E8220" t="e">
        <f>cubic_spline(CURVA!$B$6:$B$20,CURVA!$G$6:$G$20,#REF!)</f>
        <v>#VALUE!</v>
      </c>
    </row>
    <row r="8221" spans="1:5" x14ac:dyDescent="0.2">
      <c r="A8221" s="28">
        <v>8220</v>
      </c>
      <c r="B8221" s="28" t="e">
        <f>interpola(#REF!,CURVA!$B$6:$B$20,CURVA!$G$6:$G$20)</f>
        <v>#VALUE!</v>
      </c>
      <c r="C8221" s="29" t="e">
        <f t="shared" si="128"/>
        <v>#VALUE!</v>
      </c>
      <c r="E8221" t="e">
        <f>cubic_spline(CURVA!$B$6:$B$20,CURVA!$G$6:$G$20,#REF!)</f>
        <v>#VALUE!</v>
      </c>
    </row>
    <row r="8222" spans="1:5" x14ac:dyDescent="0.2">
      <c r="A8222" s="28">
        <v>8221</v>
      </c>
      <c r="B8222" s="28" t="e">
        <f>interpola(#REF!,CURVA!$B$6:$B$20,CURVA!$G$6:$G$20)</f>
        <v>#VALUE!</v>
      </c>
      <c r="C8222" s="29" t="e">
        <f t="shared" si="128"/>
        <v>#VALUE!</v>
      </c>
      <c r="E8222" t="e">
        <f>cubic_spline(CURVA!$B$6:$B$20,CURVA!$G$6:$G$20,#REF!)</f>
        <v>#VALUE!</v>
      </c>
    </row>
    <row r="8223" spans="1:5" x14ac:dyDescent="0.2">
      <c r="A8223" s="28">
        <v>8222</v>
      </c>
      <c r="B8223" s="28" t="e">
        <f>interpola(#REF!,CURVA!$B$6:$B$20,CURVA!$G$6:$G$20)</f>
        <v>#VALUE!</v>
      </c>
      <c r="C8223" s="29" t="e">
        <f t="shared" si="128"/>
        <v>#VALUE!</v>
      </c>
      <c r="E8223" t="e">
        <f>cubic_spline(CURVA!$B$6:$B$20,CURVA!$G$6:$G$20,#REF!)</f>
        <v>#VALUE!</v>
      </c>
    </row>
    <row r="8224" spans="1:5" x14ac:dyDescent="0.2">
      <c r="A8224" s="28">
        <v>8223</v>
      </c>
      <c r="B8224" s="28" t="e">
        <f>interpola(#REF!,CURVA!$B$6:$B$20,CURVA!$G$6:$G$20)</f>
        <v>#VALUE!</v>
      </c>
      <c r="C8224" s="29" t="e">
        <f t="shared" si="128"/>
        <v>#VALUE!</v>
      </c>
      <c r="E8224" t="e">
        <f>cubic_spline(CURVA!$B$6:$B$20,CURVA!$G$6:$G$20,#REF!)</f>
        <v>#VALUE!</v>
      </c>
    </row>
    <row r="8225" spans="1:5" x14ac:dyDescent="0.2">
      <c r="A8225" s="28">
        <v>8224</v>
      </c>
      <c r="B8225" s="28" t="e">
        <f>interpola(#REF!,CURVA!$B$6:$B$20,CURVA!$G$6:$G$20)</f>
        <v>#VALUE!</v>
      </c>
      <c r="C8225" s="29" t="e">
        <f t="shared" si="128"/>
        <v>#VALUE!</v>
      </c>
      <c r="E8225" t="e">
        <f>cubic_spline(CURVA!$B$6:$B$20,CURVA!$G$6:$G$20,#REF!)</f>
        <v>#VALUE!</v>
      </c>
    </row>
    <row r="8226" spans="1:5" x14ac:dyDescent="0.2">
      <c r="A8226" s="28">
        <v>8225</v>
      </c>
      <c r="B8226" s="28" t="e">
        <f>interpola(#REF!,CURVA!$B$6:$B$20,CURVA!$G$6:$G$20)</f>
        <v>#VALUE!</v>
      </c>
      <c r="C8226" s="29" t="e">
        <f t="shared" si="128"/>
        <v>#VALUE!</v>
      </c>
      <c r="E8226" t="e">
        <f>cubic_spline(CURVA!$B$6:$B$20,CURVA!$G$6:$G$20,#REF!)</f>
        <v>#VALUE!</v>
      </c>
    </row>
    <row r="8227" spans="1:5" x14ac:dyDescent="0.2">
      <c r="A8227" s="28">
        <v>8226</v>
      </c>
      <c r="B8227" s="28" t="e">
        <f>interpola(#REF!,CURVA!$B$6:$B$20,CURVA!$G$6:$G$20)</f>
        <v>#VALUE!</v>
      </c>
      <c r="C8227" s="29" t="e">
        <f t="shared" si="128"/>
        <v>#VALUE!</v>
      </c>
      <c r="E8227" t="e">
        <f>cubic_spline(CURVA!$B$6:$B$20,CURVA!$G$6:$G$20,#REF!)</f>
        <v>#VALUE!</v>
      </c>
    </row>
    <row r="8228" spans="1:5" x14ac:dyDescent="0.2">
      <c r="A8228" s="28">
        <v>8227</v>
      </c>
      <c r="B8228" s="28" t="e">
        <f>interpola(#REF!,CURVA!$B$6:$B$20,CURVA!$G$6:$G$20)</f>
        <v>#VALUE!</v>
      </c>
      <c r="C8228" s="29" t="e">
        <f t="shared" si="128"/>
        <v>#VALUE!</v>
      </c>
      <c r="E8228" t="e">
        <f>cubic_spline(CURVA!$B$6:$B$20,CURVA!$G$6:$G$20,#REF!)</f>
        <v>#VALUE!</v>
      </c>
    </row>
    <row r="8229" spans="1:5" x14ac:dyDescent="0.2">
      <c r="A8229" s="28">
        <v>8228</v>
      </c>
      <c r="B8229" s="28" t="e">
        <f>interpola(#REF!,CURVA!$B$6:$B$20,CURVA!$G$6:$G$20)</f>
        <v>#VALUE!</v>
      </c>
      <c r="C8229" s="29" t="e">
        <f t="shared" si="128"/>
        <v>#VALUE!</v>
      </c>
      <c r="E8229" t="e">
        <f>cubic_spline(CURVA!$B$6:$B$20,CURVA!$G$6:$G$20,#REF!)</f>
        <v>#VALUE!</v>
      </c>
    </row>
    <row r="8230" spans="1:5" x14ac:dyDescent="0.2">
      <c r="A8230" s="28">
        <v>8229</v>
      </c>
      <c r="B8230" s="28" t="e">
        <f>interpola(#REF!,CURVA!$B$6:$B$20,CURVA!$G$6:$G$20)</f>
        <v>#VALUE!</v>
      </c>
      <c r="C8230" s="29" t="e">
        <f t="shared" si="128"/>
        <v>#VALUE!</v>
      </c>
      <c r="E8230" t="e">
        <f>cubic_spline(CURVA!$B$6:$B$20,CURVA!$G$6:$G$20,#REF!)</f>
        <v>#VALUE!</v>
      </c>
    </row>
    <row r="8231" spans="1:5" x14ac:dyDescent="0.2">
      <c r="A8231" s="28">
        <v>8230</v>
      </c>
      <c r="B8231" s="28" t="e">
        <f>interpola(#REF!,CURVA!$B$6:$B$20,CURVA!$G$6:$G$20)</f>
        <v>#VALUE!</v>
      </c>
      <c r="C8231" s="29" t="e">
        <f t="shared" si="128"/>
        <v>#VALUE!</v>
      </c>
      <c r="E8231" t="e">
        <f>cubic_spline(CURVA!$B$6:$B$20,CURVA!$G$6:$G$20,#REF!)</f>
        <v>#VALUE!</v>
      </c>
    </row>
    <row r="8232" spans="1:5" x14ac:dyDescent="0.2">
      <c r="A8232" s="28">
        <v>8231</v>
      </c>
      <c r="B8232" s="28" t="e">
        <f>interpola(#REF!,CURVA!$B$6:$B$20,CURVA!$G$6:$G$20)</f>
        <v>#VALUE!</v>
      </c>
      <c r="C8232" s="29" t="e">
        <f t="shared" si="128"/>
        <v>#VALUE!</v>
      </c>
      <c r="E8232" t="e">
        <f>cubic_spline(CURVA!$B$6:$B$20,CURVA!$G$6:$G$20,#REF!)</f>
        <v>#VALUE!</v>
      </c>
    </row>
    <row r="8233" spans="1:5" x14ac:dyDescent="0.2">
      <c r="A8233" s="28">
        <v>8232</v>
      </c>
      <c r="B8233" s="28" t="e">
        <f>interpola(#REF!,CURVA!$B$6:$B$20,CURVA!$G$6:$G$20)</f>
        <v>#VALUE!</v>
      </c>
      <c r="C8233" s="29" t="e">
        <f t="shared" si="128"/>
        <v>#VALUE!</v>
      </c>
      <c r="E8233" t="e">
        <f>cubic_spline(CURVA!$B$6:$B$20,CURVA!$G$6:$G$20,#REF!)</f>
        <v>#VALUE!</v>
      </c>
    </row>
    <row r="8234" spans="1:5" x14ac:dyDescent="0.2">
      <c r="A8234" s="28">
        <v>8233</v>
      </c>
      <c r="B8234" s="28" t="e">
        <f>interpola(#REF!,CURVA!$B$6:$B$20,CURVA!$G$6:$G$20)</f>
        <v>#VALUE!</v>
      </c>
      <c r="C8234" s="29" t="e">
        <f t="shared" si="128"/>
        <v>#VALUE!</v>
      </c>
      <c r="E8234" t="e">
        <f>cubic_spline(CURVA!$B$6:$B$20,CURVA!$G$6:$G$20,#REF!)</f>
        <v>#VALUE!</v>
      </c>
    </row>
    <row r="8235" spans="1:5" x14ac:dyDescent="0.2">
      <c r="A8235" s="28">
        <v>8234</v>
      </c>
      <c r="B8235" s="28" t="e">
        <f>interpola(#REF!,CURVA!$B$6:$B$20,CURVA!$G$6:$G$20)</f>
        <v>#VALUE!</v>
      </c>
      <c r="C8235" s="29" t="e">
        <f t="shared" si="128"/>
        <v>#VALUE!</v>
      </c>
      <c r="E8235" t="e">
        <f>cubic_spline(CURVA!$B$6:$B$20,CURVA!$G$6:$G$20,#REF!)</f>
        <v>#VALUE!</v>
      </c>
    </row>
    <row r="8236" spans="1:5" x14ac:dyDescent="0.2">
      <c r="A8236" s="28">
        <v>8235</v>
      </c>
      <c r="B8236" s="28" t="e">
        <f>interpola(#REF!,CURVA!$B$6:$B$20,CURVA!$G$6:$G$20)</f>
        <v>#VALUE!</v>
      </c>
      <c r="C8236" s="29" t="e">
        <f t="shared" si="128"/>
        <v>#VALUE!</v>
      </c>
      <c r="E8236" t="e">
        <f>cubic_spline(CURVA!$B$6:$B$20,CURVA!$G$6:$G$20,#REF!)</f>
        <v>#VALUE!</v>
      </c>
    </row>
    <row r="8237" spans="1:5" x14ac:dyDescent="0.2">
      <c r="A8237" s="28">
        <v>8236</v>
      </c>
      <c r="B8237" s="28" t="e">
        <f>interpola(#REF!,CURVA!$B$6:$B$20,CURVA!$G$6:$G$20)</f>
        <v>#VALUE!</v>
      </c>
      <c r="C8237" s="29" t="e">
        <f t="shared" si="128"/>
        <v>#VALUE!</v>
      </c>
      <c r="E8237" t="e">
        <f>cubic_spline(CURVA!$B$6:$B$20,CURVA!$G$6:$G$20,#REF!)</f>
        <v>#VALUE!</v>
      </c>
    </row>
    <row r="8238" spans="1:5" x14ac:dyDescent="0.2">
      <c r="A8238" s="28">
        <v>8237</v>
      </c>
      <c r="B8238" s="28" t="e">
        <f>interpola(#REF!,CURVA!$B$6:$B$20,CURVA!$G$6:$G$20)</f>
        <v>#VALUE!</v>
      </c>
      <c r="C8238" s="29" t="e">
        <f t="shared" si="128"/>
        <v>#VALUE!</v>
      </c>
      <c r="E8238" t="e">
        <f>cubic_spline(CURVA!$B$6:$B$20,CURVA!$G$6:$G$20,#REF!)</f>
        <v>#VALUE!</v>
      </c>
    </row>
    <row r="8239" spans="1:5" x14ac:dyDescent="0.2">
      <c r="A8239" s="28">
        <v>8238</v>
      </c>
      <c r="B8239" s="28" t="e">
        <f>interpola(#REF!,CURVA!$B$6:$B$20,CURVA!$G$6:$G$20)</f>
        <v>#VALUE!</v>
      </c>
      <c r="C8239" s="29" t="e">
        <f t="shared" si="128"/>
        <v>#VALUE!</v>
      </c>
      <c r="E8239" t="e">
        <f>cubic_spline(CURVA!$B$6:$B$20,CURVA!$G$6:$G$20,#REF!)</f>
        <v>#VALUE!</v>
      </c>
    </row>
    <row r="8240" spans="1:5" x14ac:dyDescent="0.2">
      <c r="A8240" s="28">
        <v>8239</v>
      </c>
      <c r="B8240" s="28" t="e">
        <f>interpola(#REF!,CURVA!$B$6:$B$20,CURVA!$G$6:$G$20)</f>
        <v>#VALUE!</v>
      </c>
      <c r="C8240" s="29" t="e">
        <f t="shared" si="128"/>
        <v>#VALUE!</v>
      </c>
      <c r="E8240" t="e">
        <f>cubic_spline(CURVA!$B$6:$B$20,CURVA!$G$6:$G$20,#REF!)</f>
        <v>#VALUE!</v>
      </c>
    </row>
    <row r="8241" spans="1:5" x14ac:dyDescent="0.2">
      <c r="A8241" s="28">
        <v>8240</v>
      </c>
      <c r="B8241" s="28" t="e">
        <f>interpola(#REF!,CURVA!$B$6:$B$20,CURVA!$G$6:$G$20)</f>
        <v>#VALUE!</v>
      </c>
      <c r="C8241" s="29" t="e">
        <f t="shared" si="128"/>
        <v>#VALUE!</v>
      </c>
      <c r="E8241" t="e">
        <f>cubic_spline(CURVA!$B$6:$B$20,CURVA!$G$6:$G$20,#REF!)</f>
        <v>#VALUE!</v>
      </c>
    </row>
    <row r="8242" spans="1:5" x14ac:dyDescent="0.2">
      <c r="A8242" s="28">
        <v>8241</v>
      </c>
      <c r="B8242" s="28" t="e">
        <f>interpola(#REF!,CURVA!$B$6:$B$20,CURVA!$G$6:$G$20)</f>
        <v>#VALUE!</v>
      </c>
      <c r="C8242" s="29" t="e">
        <f t="shared" si="128"/>
        <v>#VALUE!</v>
      </c>
      <c r="E8242" t="e">
        <f>cubic_spline(CURVA!$B$6:$B$20,CURVA!$G$6:$G$20,#REF!)</f>
        <v>#VALUE!</v>
      </c>
    </row>
    <row r="8243" spans="1:5" x14ac:dyDescent="0.2">
      <c r="A8243" s="28">
        <v>8242</v>
      </c>
      <c r="B8243" s="28" t="e">
        <f>interpola(#REF!,CURVA!$B$6:$B$20,CURVA!$G$6:$G$20)</f>
        <v>#VALUE!</v>
      </c>
      <c r="C8243" s="29" t="e">
        <f t="shared" si="128"/>
        <v>#VALUE!</v>
      </c>
      <c r="E8243" t="e">
        <f>cubic_spline(CURVA!$B$6:$B$20,CURVA!$G$6:$G$20,#REF!)</f>
        <v>#VALUE!</v>
      </c>
    </row>
    <row r="8244" spans="1:5" x14ac:dyDescent="0.2">
      <c r="A8244" s="28">
        <v>8243</v>
      </c>
      <c r="B8244" s="28" t="e">
        <f>interpola(#REF!,CURVA!$B$6:$B$20,CURVA!$G$6:$G$20)</f>
        <v>#VALUE!</v>
      </c>
      <c r="C8244" s="29" t="e">
        <f t="shared" si="128"/>
        <v>#VALUE!</v>
      </c>
      <c r="E8244" t="e">
        <f>cubic_spline(CURVA!$B$6:$B$20,CURVA!$G$6:$G$20,#REF!)</f>
        <v>#VALUE!</v>
      </c>
    </row>
    <row r="8245" spans="1:5" x14ac:dyDescent="0.2">
      <c r="A8245" s="28">
        <v>8244</v>
      </c>
      <c r="B8245" s="28" t="e">
        <f>interpola(#REF!,CURVA!$B$6:$B$20,CURVA!$G$6:$G$20)</f>
        <v>#VALUE!</v>
      </c>
      <c r="C8245" s="29" t="e">
        <f t="shared" si="128"/>
        <v>#VALUE!</v>
      </c>
      <c r="E8245" t="e">
        <f>cubic_spline(CURVA!$B$6:$B$20,CURVA!$G$6:$G$20,#REF!)</f>
        <v>#VALUE!</v>
      </c>
    </row>
    <row r="8246" spans="1:5" x14ac:dyDescent="0.2">
      <c r="A8246" s="28">
        <v>8245</v>
      </c>
      <c r="B8246" s="28" t="e">
        <f>interpola(#REF!,CURVA!$B$6:$B$20,CURVA!$G$6:$G$20)</f>
        <v>#VALUE!</v>
      </c>
      <c r="C8246" s="29" t="e">
        <f t="shared" si="128"/>
        <v>#VALUE!</v>
      </c>
      <c r="E8246" t="e">
        <f>cubic_spline(CURVA!$B$6:$B$20,CURVA!$G$6:$G$20,#REF!)</f>
        <v>#VALUE!</v>
      </c>
    </row>
    <row r="8247" spans="1:5" x14ac:dyDescent="0.2">
      <c r="A8247" s="28">
        <v>8246</v>
      </c>
      <c r="B8247" s="28" t="e">
        <f>interpola(#REF!,CURVA!$B$6:$B$20,CURVA!$G$6:$G$20)</f>
        <v>#VALUE!</v>
      </c>
      <c r="C8247" s="29" t="e">
        <f t="shared" si="128"/>
        <v>#VALUE!</v>
      </c>
      <c r="E8247" t="e">
        <f>cubic_spline(CURVA!$B$6:$B$20,CURVA!$G$6:$G$20,#REF!)</f>
        <v>#VALUE!</v>
      </c>
    </row>
    <row r="8248" spans="1:5" x14ac:dyDescent="0.2">
      <c r="A8248" s="28">
        <v>8247</v>
      </c>
      <c r="B8248" s="28" t="e">
        <f>interpola(#REF!,CURVA!$B$6:$B$20,CURVA!$G$6:$G$20)</f>
        <v>#VALUE!</v>
      </c>
      <c r="C8248" s="29" t="e">
        <f t="shared" si="128"/>
        <v>#VALUE!</v>
      </c>
      <c r="E8248" t="e">
        <f>cubic_spline(CURVA!$B$6:$B$20,CURVA!$G$6:$G$20,#REF!)</f>
        <v>#VALUE!</v>
      </c>
    </row>
    <row r="8249" spans="1:5" x14ac:dyDescent="0.2">
      <c r="A8249" s="28">
        <v>8248</v>
      </c>
      <c r="B8249" s="28" t="e">
        <f>interpola(#REF!,CURVA!$B$6:$B$20,CURVA!$G$6:$G$20)</f>
        <v>#VALUE!</v>
      </c>
      <c r="C8249" s="29" t="e">
        <f t="shared" si="128"/>
        <v>#VALUE!</v>
      </c>
      <c r="E8249" t="e">
        <f>cubic_spline(CURVA!$B$6:$B$20,CURVA!$G$6:$G$20,#REF!)</f>
        <v>#VALUE!</v>
      </c>
    </row>
    <row r="8250" spans="1:5" x14ac:dyDescent="0.2">
      <c r="A8250" s="28">
        <v>8249</v>
      </c>
      <c r="B8250" s="28" t="e">
        <f>interpola(#REF!,CURVA!$B$6:$B$20,CURVA!$G$6:$G$20)</f>
        <v>#VALUE!</v>
      </c>
      <c r="C8250" s="29" t="e">
        <f t="shared" si="128"/>
        <v>#VALUE!</v>
      </c>
      <c r="E8250" t="e">
        <f>cubic_spline(CURVA!$B$6:$B$20,CURVA!$G$6:$G$20,#REF!)</f>
        <v>#VALUE!</v>
      </c>
    </row>
    <row r="8251" spans="1:5" x14ac:dyDescent="0.2">
      <c r="A8251" s="28">
        <v>8250</v>
      </c>
      <c r="B8251" s="28" t="e">
        <f>interpola(#REF!,CURVA!$B$6:$B$20,CURVA!$G$6:$G$20)</f>
        <v>#VALUE!</v>
      </c>
      <c r="C8251" s="29" t="e">
        <f t="shared" si="128"/>
        <v>#VALUE!</v>
      </c>
      <c r="E8251" t="e">
        <f>cubic_spline(CURVA!$B$6:$B$20,CURVA!$G$6:$G$20,#REF!)</f>
        <v>#VALUE!</v>
      </c>
    </row>
    <row r="8252" spans="1:5" x14ac:dyDescent="0.2">
      <c r="A8252" s="28">
        <v>8251</v>
      </c>
      <c r="B8252" s="28" t="e">
        <f>interpola(#REF!,CURVA!$B$6:$B$20,CURVA!$G$6:$G$20)</f>
        <v>#VALUE!</v>
      </c>
      <c r="C8252" s="29" t="e">
        <f t="shared" si="128"/>
        <v>#VALUE!</v>
      </c>
      <c r="E8252" t="e">
        <f>cubic_spline(CURVA!$B$6:$B$20,CURVA!$G$6:$G$20,#REF!)</f>
        <v>#VALUE!</v>
      </c>
    </row>
    <row r="8253" spans="1:5" x14ac:dyDescent="0.2">
      <c r="A8253" s="28">
        <v>8252</v>
      </c>
      <c r="B8253" s="28" t="e">
        <f>interpola(#REF!,CURVA!$B$6:$B$20,CURVA!$G$6:$G$20)</f>
        <v>#VALUE!</v>
      </c>
      <c r="C8253" s="29" t="e">
        <f t="shared" si="128"/>
        <v>#VALUE!</v>
      </c>
      <c r="E8253" t="e">
        <f>cubic_spline(CURVA!$B$6:$B$20,CURVA!$G$6:$G$20,#REF!)</f>
        <v>#VALUE!</v>
      </c>
    </row>
    <row r="8254" spans="1:5" x14ac:dyDescent="0.2">
      <c r="A8254" s="28">
        <v>8253</v>
      </c>
      <c r="B8254" s="28" t="e">
        <f>interpola(#REF!,CURVA!$B$6:$B$20,CURVA!$G$6:$G$20)</f>
        <v>#VALUE!</v>
      </c>
      <c r="C8254" s="29" t="e">
        <f t="shared" si="128"/>
        <v>#VALUE!</v>
      </c>
      <c r="E8254" t="e">
        <f>cubic_spline(CURVA!$B$6:$B$20,CURVA!$G$6:$G$20,#REF!)</f>
        <v>#VALUE!</v>
      </c>
    </row>
    <row r="8255" spans="1:5" x14ac:dyDescent="0.2">
      <c r="A8255" s="28">
        <v>8254</v>
      </c>
      <c r="B8255" s="28" t="e">
        <f>interpola(#REF!,CURVA!$B$6:$B$20,CURVA!$G$6:$G$20)</f>
        <v>#VALUE!</v>
      </c>
      <c r="C8255" s="29" t="e">
        <f t="shared" si="128"/>
        <v>#VALUE!</v>
      </c>
      <c r="E8255" t="e">
        <f>cubic_spline(CURVA!$B$6:$B$20,CURVA!$G$6:$G$20,#REF!)</f>
        <v>#VALUE!</v>
      </c>
    </row>
    <row r="8256" spans="1:5" x14ac:dyDescent="0.2">
      <c r="A8256" s="28">
        <v>8255</v>
      </c>
      <c r="B8256" s="28" t="e">
        <f>interpola(#REF!,CURVA!$B$6:$B$20,CURVA!$G$6:$G$20)</f>
        <v>#VALUE!</v>
      </c>
      <c r="C8256" s="29" t="e">
        <f t="shared" si="128"/>
        <v>#VALUE!</v>
      </c>
      <c r="E8256" t="e">
        <f>cubic_spline(CURVA!$B$6:$B$20,CURVA!$G$6:$G$20,#REF!)</f>
        <v>#VALUE!</v>
      </c>
    </row>
    <row r="8257" spans="1:5" x14ac:dyDescent="0.2">
      <c r="A8257" s="28">
        <v>8256</v>
      </c>
      <c r="B8257" s="28" t="e">
        <f>interpola(#REF!,CURVA!$B$6:$B$20,CURVA!$G$6:$G$20)</f>
        <v>#VALUE!</v>
      </c>
      <c r="C8257" s="29" t="e">
        <f t="shared" si="128"/>
        <v>#VALUE!</v>
      </c>
      <c r="E8257" t="e">
        <f>cubic_spline(CURVA!$B$6:$B$20,CURVA!$G$6:$G$20,#REF!)</f>
        <v>#VALUE!</v>
      </c>
    </row>
    <row r="8258" spans="1:5" x14ac:dyDescent="0.2">
      <c r="A8258" s="28">
        <v>8257</v>
      </c>
      <c r="B8258" s="28" t="e">
        <f>interpola(#REF!,CURVA!$B$6:$B$20,CURVA!$G$6:$G$20)</f>
        <v>#VALUE!</v>
      </c>
      <c r="C8258" s="29" t="e">
        <f t="shared" ref="C8258:C8321" si="129">(EXP(B8258*A8258/360)-1)*360/A8258</f>
        <v>#VALUE!</v>
      </c>
      <c r="E8258" t="e">
        <f>cubic_spline(CURVA!$B$6:$B$20,CURVA!$G$6:$G$20,#REF!)</f>
        <v>#VALUE!</v>
      </c>
    </row>
    <row r="8259" spans="1:5" x14ac:dyDescent="0.2">
      <c r="A8259" s="28">
        <v>8258</v>
      </c>
      <c r="B8259" s="28" t="e">
        <f>interpola(#REF!,CURVA!$B$6:$B$20,CURVA!$G$6:$G$20)</f>
        <v>#VALUE!</v>
      </c>
      <c r="C8259" s="29" t="e">
        <f t="shared" si="129"/>
        <v>#VALUE!</v>
      </c>
      <c r="E8259" t="e">
        <f>cubic_spline(CURVA!$B$6:$B$20,CURVA!$G$6:$G$20,#REF!)</f>
        <v>#VALUE!</v>
      </c>
    </row>
    <row r="8260" spans="1:5" x14ac:dyDescent="0.2">
      <c r="A8260" s="28">
        <v>8259</v>
      </c>
      <c r="B8260" s="28" t="e">
        <f>interpola(#REF!,CURVA!$B$6:$B$20,CURVA!$G$6:$G$20)</f>
        <v>#VALUE!</v>
      </c>
      <c r="C8260" s="29" t="e">
        <f t="shared" si="129"/>
        <v>#VALUE!</v>
      </c>
      <c r="E8260" t="e">
        <f>cubic_spline(CURVA!$B$6:$B$20,CURVA!$G$6:$G$20,#REF!)</f>
        <v>#VALUE!</v>
      </c>
    </row>
    <row r="8261" spans="1:5" x14ac:dyDescent="0.2">
      <c r="A8261" s="28">
        <v>8260</v>
      </c>
      <c r="B8261" s="28" t="e">
        <f>interpola(#REF!,CURVA!$B$6:$B$20,CURVA!$G$6:$G$20)</f>
        <v>#VALUE!</v>
      </c>
      <c r="C8261" s="29" t="e">
        <f t="shared" si="129"/>
        <v>#VALUE!</v>
      </c>
      <c r="E8261" t="e">
        <f>cubic_spline(CURVA!$B$6:$B$20,CURVA!$G$6:$G$20,#REF!)</f>
        <v>#VALUE!</v>
      </c>
    </row>
    <row r="8262" spans="1:5" x14ac:dyDescent="0.2">
      <c r="A8262" s="28">
        <v>8261</v>
      </c>
      <c r="B8262" s="28" t="e">
        <f>interpola(#REF!,CURVA!$B$6:$B$20,CURVA!$G$6:$G$20)</f>
        <v>#VALUE!</v>
      </c>
      <c r="C8262" s="29" t="e">
        <f t="shared" si="129"/>
        <v>#VALUE!</v>
      </c>
      <c r="E8262" t="e">
        <f>cubic_spline(CURVA!$B$6:$B$20,CURVA!$G$6:$G$20,#REF!)</f>
        <v>#VALUE!</v>
      </c>
    </row>
    <row r="8263" spans="1:5" x14ac:dyDescent="0.2">
      <c r="A8263" s="28">
        <v>8262</v>
      </c>
      <c r="B8263" s="28" t="e">
        <f>interpola(#REF!,CURVA!$B$6:$B$20,CURVA!$G$6:$G$20)</f>
        <v>#VALUE!</v>
      </c>
      <c r="C8263" s="29" t="e">
        <f t="shared" si="129"/>
        <v>#VALUE!</v>
      </c>
      <c r="E8263" t="e">
        <f>cubic_spline(CURVA!$B$6:$B$20,CURVA!$G$6:$G$20,#REF!)</f>
        <v>#VALUE!</v>
      </c>
    </row>
    <row r="8264" spans="1:5" x14ac:dyDescent="0.2">
      <c r="A8264" s="28">
        <v>8263</v>
      </c>
      <c r="B8264" s="28" t="e">
        <f>interpola(#REF!,CURVA!$B$6:$B$20,CURVA!$G$6:$G$20)</f>
        <v>#VALUE!</v>
      </c>
      <c r="C8264" s="29" t="e">
        <f t="shared" si="129"/>
        <v>#VALUE!</v>
      </c>
      <c r="E8264" t="e">
        <f>cubic_spline(CURVA!$B$6:$B$20,CURVA!$G$6:$G$20,#REF!)</f>
        <v>#VALUE!</v>
      </c>
    </row>
    <row r="8265" spans="1:5" x14ac:dyDescent="0.2">
      <c r="A8265" s="28">
        <v>8264</v>
      </c>
      <c r="B8265" s="28" t="e">
        <f>interpola(#REF!,CURVA!$B$6:$B$20,CURVA!$G$6:$G$20)</f>
        <v>#VALUE!</v>
      </c>
      <c r="C8265" s="29" t="e">
        <f t="shared" si="129"/>
        <v>#VALUE!</v>
      </c>
      <c r="E8265" t="e">
        <f>cubic_spline(CURVA!$B$6:$B$20,CURVA!$G$6:$G$20,#REF!)</f>
        <v>#VALUE!</v>
      </c>
    </row>
    <row r="8266" spans="1:5" x14ac:dyDescent="0.2">
      <c r="A8266" s="28">
        <v>8265</v>
      </c>
      <c r="B8266" s="28" t="e">
        <f>interpola(#REF!,CURVA!$B$6:$B$20,CURVA!$G$6:$G$20)</f>
        <v>#VALUE!</v>
      </c>
      <c r="C8266" s="29" t="e">
        <f t="shared" si="129"/>
        <v>#VALUE!</v>
      </c>
      <c r="E8266" t="e">
        <f>cubic_spline(CURVA!$B$6:$B$20,CURVA!$G$6:$G$20,#REF!)</f>
        <v>#VALUE!</v>
      </c>
    </row>
    <row r="8267" spans="1:5" x14ac:dyDescent="0.2">
      <c r="A8267" s="28">
        <v>8266</v>
      </c>
      <c r="B8267" s="28" t="e">
        <f>interpola(#REF!,CURVA!$B$6:$B$20,CURVA!$G$6:$G$20)</f>
        <v>#VALUE!</v>
      </c>
      <c r="C8267" s="29" t="e">
        <f t="shared" si="129"/>
        <v>#VALUE!</v>
      </c>
      <c r="E8267" t="e">
        <f>cubic_spline(CURVA!$B$6:$B$20,CURVA!$G$6:$G$20,#REF!)</f>
        <v>#VALUE!</v>
      </c>
    </row>
    <row r="8268" spans="1:5" x14ac:dyDescent="0.2">
      <c r="A8268" s="28">
        <v>8267</v>
      </c>
      <c r="B8268" s="28" t="e">
        <f>interpola(#REF!,CURVA!$B$6:$B$20,CURVA!$G$6:$G$20)</f>
        <v>#VALUE!</v>
      </c>
      <c r="C8268" s="29" t="e">
        <f t="shared" si="129"/>
        <v>#VALUE!</v>
      </c>
      <c r="E8268" t="e">
        <f>cubic_spline(CURVA!$B$6:$B$20,CURVA!$G$6:$G$20,#REF!)</f>
        <v>#VALUE!</v>
      </c>
    </row>
    <row r="8269" spans="1:5" x14ac:dyDescent="0.2">
      <c r="A8269" s="28">
        <v>8268</v>
      </c>
      <c r="B8269" s="28" t="e">
        <f>interpola(#REF!,CURVA!$B$6:$B$20,CURVA!$G$6:$G$20)</f>
        <v>#VALUE!</v>
      </c>
      <c r="C8269" s="29" t="e">
        <f t="shared" si="129"/>
        <v>#VALUE!</v>
      </c>
      <c r="E8269" t="e">
        <f>cubic_spline(CURVA!$B$6:$B$20,CURVA!$G$6:$G$20,#REF!)</f>
        <v>#VALUE!</v>
      </c>
    </row>
    <row r="8270" spans="1:5" x14ac:dyDescent="0.2">
      <c r="A8270" s="28">
        <v>8269</v>
      </c>
      <c r="B8270" s="28" t="e">
        <f>interpola(#REF!,CURVA!$B$6:$B$20,CURVA!$G$6:$G$20)</f>
        <v>#VALUE!</v>
      </c>
      <c r="C8270" s="29" t="e">
        <f t="shared" si="129"/>
        <v>#VALUE!</v>
      </c>
      <c r="E8270" t="e">
        <f>cubic_spline(CURVA!$B$6:$B$20,CURVA!$G$6:$G$20,#REF!)</f>
        <v>#VALUE!</v>
      </c>
    </row>
    <row r="8271" spans="1:5" x14ac:dyDescent="0.2">
      <c r="A8271" s="28">
        <v>8270</v>
      </c>
      <c r="B8271" s="28" t="e">
        <f>interpola(#REF!,CURVA!$B$6:$B$20,CURVA!$G$6:$G$20)</f>
        <v>#VALUE!</v>
      </c>
      <c r="C8271" s="29" t="e">
        <f t="shared" si="129"/>
        <v>#VALUE!</v>
      </c>
      <c r="E8271" t="e">
        <f>cubic_spline(CURVA!$B$6:$B$20,CURVA!$G$6:$G$20,#REF!)</f>
        <v>#VALUE!</v>
      </c>
    </row>
    <row r="8272" spans="1:5" x14ac:dyDescent="0.2">
      <c r="A8272" s="28">
        <v>8271</v>
      </c>
      <c r="B8272" s="28" t="e">
        <f>interpola(#REF!,CURVA!$B$6:$B$20,CURVA!$G$6:$G$20)</f>
        <v>#VALUE!</v>
      </c>
      <c r="C8272" s="29" t="e">
        <f t="shared" si="129"/>
        <v>#VALUE!</v>
      </c>
      <c r="E8272" t="e">
        <f>cubic_spline(CURVA!$B$6:$B$20,CURVA!$G$6:$G$20,#REF!)</f>
        <v>#VALUE!</v>
      </c>
    </row>
    <row r="8273" spans="1:5" x14ac:dyDescent="0.2">
      <c r="A8273" s="28">
        <v>8272</v>
      </c>
      <c r="B8273" s="28" t="e">
        <f>interpola(#REF!,CURVA!$B$6:$B$20,CURVA!$G$6:$G$20)</f>
        <v>#VALUE!</v>
      </c>
      <c r="C8273" s="29" t="e">
        <f t="shared" si="129"/>
        <v>#VALUE!</v>
      </c>
      <c r="E8273" t="e">
        <f>cubic_spline(CURVA!$B$6:$B$20,CURVA!$G$6:$G$20,#REF!)</f>
        <v>#VALUE!</v>
      </c>
    </row>
    <row r="8274" spans="1:5" x14ac:dyDescent="0.2">
      <c r="A8274" s="28">
        <v>8273</v>
      </c>
      <c r="B8274" s="28" t="e">
        <f>interpola(#REF!,CURVA!$B$6:$B$20,CURVA!$G$6:$G$20)</f>
        <v>#VALUE!</v>
      </c>
      <c r="C8274" s="29" t="e">
        <f t="shared" si="129"/>
        <v>#VALUE!</v>
      </c>
      <c r="E8274" t="e">
        <f>cubic_spline(CURVA!$B$6:$B$20,CURVA!$G$6:$G$20,#REF!)</f>
        <v>#VALUE!</v>
      </c>
    </row>
    <row r="8275" spans="1:5" x14ac:dyDescent="0.2">
      <c r="A8275" s="28">
        <v>8274</v>
      </c>
      <c r="B8275" s="28" t="e">
        <f>interpola(#REF!,CURVA!$B$6:$B$20,CURVA!$G$6:$G$20)</f>
        <v>#VALUE!</v>
      </c>
      <c r="C8275" s="29" t="e">
        <f t="shared" si="129"/>
        <v>#VALUE!</v>
      </c>
      <c r="E8275" t="e">
        <f>cubic_spline(CURVA!$B$6:$B$20,CURVA!$G$6:$G$20,#REF!)</f>
        <v>#VALUE!</v>
      </c>
    </row>
    <row r="8276" spans="1:5" x14ac:dyDescent="0.2">
      <c r="A8276" s="28">
        <v>8275</v>
      </c>
      <c r="B8276" s="28" t="e">
        <f>interpola(#REF!,CURVA!$B$6:$B$20,CURVA!$G$6:$G$20)</f>
        <v>#VALUE!</v>
      </c>
      <c r="C8276" s="29" t="e">
        <f t="shared" si="129"/>
        <v>#VALUE!</v>
      </c>
      <c r="E8276" t="e">
        <f>cubic_spline(CURVA!$B$6:$B$20,CURVA!$G$6:$G$20,#REF!)</f>
        <v>#VALUE!</v>
      </c>
    </row>
    <row r="8277" spans="1:5" x14ac:dyDescent="0.2">
      <c r="A8277" s="28">
        <v>8276</v>
      </c>
      <c r="B8277" s="28" t="e">
        <f>interpola(#REF!,CURVA!$B$6:$B$20,CURVA!$G$6:$G$20)</f>
        <v>#VALUE!</v>
      </c>
      <c r="C8277" s="29" t="e">
        <f t="shared" si="129"/>
        <v>#VALUE!</v>
      </c>
      <c r="E8277" t="e">
        <f>cubic_spline(CURVA!$B$6:$B$20,CURVA!$G$6:$G$20,#REF!)</f>
        <v>#VALUE!</v>
      </c>
    </row>
    <row r="8278" spans="1:5" x14ac:dyDescent="0.2">
      <c r="A8278" s="28">
        <v>8277</v>
      </c>
      <c r="B8278" s="28" t="e">
        <f>interpola(#REF!,CURVA!$B$6:$B$20,CURVA!$G$6:$G$20)</f>
        <v>#VALUE!</v>
      </c>
      <c r="C8278" s="29" t="e">
        <f t="shared" si="129"/>
        <v>#VALUE!</v>
      </c>
      <c r="E8278" t="e">
        <f>cubic_spline(CURVA!$B$6:$B$20,CURVA!$G$6:$G$20,#REF!)</f>
        <v>#VALUE!</v>
      </c>
    </row>
    <row r="8279" spans="1:5" x14ac:dyDescent="0.2">
      <c r="A8279" s="28">
        <v>8278</v>
      </c>
      <c r="B8279" s="28" t="e">
        <f>interpola(#REF!,CURVA!$B$6:$B$20,CURVA!$G$6:$G$20)</f>
        <v>#VALUE!</v>
      </c>
      <c r="C8279" s="29" t="e">
        <f t="shared" si="129"/>
        <v>#VALUE!</v>
      </c>
      <c r="E8279" t="e">
        <f>cubic_spline(CURVA!$B$6:$B$20,CURVA!$G$6:$G$20,#REF!)</f>
        <v>#VALUE!</v>
      </c>
    </row>
    <row r="8280" spans="1:5" x14ac:dyDescent="0.2">
      <c r="A8280" s="28">
        <v>8279</v>
      </c>
      <c r="B8280" s="28" t="e">
        <f>interpola(#REF!,CURVA!$B$6:$B$20,CURVA!$G$6:$G$20)</f>
        <v>#VALUE!</v>
      </c>
      <c r="C8280" s="29" t="e">
        <f t="shared" si="129"/>
        <v>#VALUE!</v>
      </c>
      <c r="E8280" t="e">
        <f>cubic_spline(CURVA!$B$6:$B$20,CURVA!$G$6:$G$20,#REF!)</f>
        <v>#VALUE!</v>
      </c>
    </row>
    <row r="8281" spans="1:5" x14ac:dyDescent="0.2">
      <c r="A8281" s="28">
        <v>8280</v>
      </c>
      <c r="B8281" s="28" t="e">
        <f>interpola(#REF!,CURVA!$B$6:$B$20,CURVA!$G$6:$G$20)</f>
        <v>#VALUE!</v>
      </c>
      <c r="C8281" s="29" t="e">
        <f t="shared" si="129"/>
        <v>#VALUE!</v>
      </c>
      <c r="E8281" t="e">
        <f>cubic_spline(CURVA!$B$6:$B$20,CURVA!$G$6:$G$20,#REF!)</f>
        <v>#VALUE!</v>
      </c>
    </row>
    <row r="8282" spans="1:5" x14ac:dyDescent="0.2">
      <c r="A8282" s="28">
        <v>8281</v>
      </c>
      <c r="B8282" s="28" t="e">
        <f>interpola(#REF!,CURVA!$B$6:$B$20,CURVA!$G$6:$G$20)</f>
        <v>#VALUE!</v>
      </c>
      <c r="C8282" s="29" t="e">
        <f t="shared" si="129"/>
        <v>#VALUE!</v>
      </c>
      <c r="E8282" t="e">
        <f>cubic_spline(CURVA!$B$6:$B$20,CURVA!$G$6:$G$20,#REF!)</f>
        <v>#VALUE!</v>
      </c>
    </row>
    <row r="8283" spans="1:5" x14ac:dyDescent="0.2">
      <c r="A8283" s="28">
        <v>8282</v>
      </c>
      <c r="B8283" s="28" t="e">
        <f>interpola(#REF!,CURVA!$B$6:$B$20,CURVA!$G$6:$G$20)</f>
        <v>#VALUE!</v>
      </c>
      <c r="C8283" s="29" t="e">
        <f t="shared" si="129"/>
        <v>#VALUE!</v>
      </c>
      <c r="E8283" t="e">
        <f>cubic_spline(CURVA!$B$6:$B$20,CURVA!$G$6:$G$20,#REF!)</f>
        <v>#VALUE!</v>
      </c>
    </row>
    <row r="8284" spans="1:5" x14ac:dyDescent="0.2">
      <c r="A8284" s="28">
        <v>8283</v>
      </c>
      <c r="B8284" s="28" t="e">
        <f>interpola(#REF!,CURVA!$B$6:$B$20,CURVA!$G$6:$G$20)</f>
        <v>#VALUE!</v>
      </c>
      <c r="C8284" s="29" t="e">
        <f t="shared" si="129"/>
        <v>#VALUE!</v>
      </c>
      <c r="E8284" t="e">
        <f>cubic_spline(CURVA!$B$6:$B$20,CURVA!$G$6:$G$20,#REF!)</f>
        <v>#VALUE!</v>
      </c>
    </row>
    <row r="8285" spans="1:5" x14ac:dyDescent="0.2">
      <c r="A8285" s="28">
        <v>8284</v>
      </c>
      <c r="B8285" s="28" t="e">
        <f>interpola(#REF!,CURVA!$B$6:$B$20,CURVA!$G$6:$G$20)</f>
        <v>#VALUE!</v>
      </c>
      <c r="C8285" s="29" t="e">
        <f t="shared" si="129"/>
        <v>#VALUE!</v>
      </c>
      <c r="E8285" t="e">
        <f>cubic_spline(CURVA!$B$6:$B$20,CURVA!$G$6:$G$20,#REF!)</f>
        <v>#VALUE!</v>
      </c>
    </row>
    <row r="8286" spans="1:5" x14ac:dyDescent="0.2">
      <c r="A8286" s="28">
        <v>8285</v>
      </c>
      <c r="B8286" s="28" t="e">
        <f>interpola(#REF!,CURVA!$B$6:$B$20,CURVA!$G$6:$G$20)</f>
        <v>#VALUE!</v>
      </c>
      <c r="C8286" s="29" t="e">
        <f t="shared" si="129"/>
        <v>#VALUE!</v>
      </c>
      <c r="E8286" t="e">
        <f>cubic_spline(CURVA!$B$6:$B$20,CURVA!$G$6:$G$20,#REF!)</f>
        <v>#VALUE!</v>
      </c>
    </row>
    <row r="8287" spans="1:5" x14ac:dyDescent="0.2">
      <c r="A8287" s="28">
        <v>8286</v>
      </c>
      <c r="B8287" s="28" t="e">
        <f>interpola(#REF!,CURVA!$B$6:$B$20,CURVA!$G$6:$G$20)</f>
        <v>#VALUE!</v>
      </c>
      <c r="C8287" s="29" t="e">
        <f t="shared" si="129"/>
        <v>#VALUE!</v>
      </c>
      <c r="E8287" t="e">
        <f>cubic_spline(CURVA!$B$6:$B$20,CURVA!$G$6:$G$20,#REF!)</f>
        <v>#VALUE!</v>
      </c>
    </row>
    <row r="8288" spans="1:5" x14ac:dyDescent="0.2">
      <c r="A8288" s="28">
        <v>8287</v>
      </c>
      <c r="B8288" s="28" t="e">
        <f>interpola(#REF!,CURVA!$B$6:$B$20,CURVA!$G$6:$G$20)</f>
        <v>#VALUE!</v>
      </c>
      <c r="C8288" s="29" t="e">
        <f t="shared" si="129"/>
        <v>#VALUE!</v>
      </c>
      <c r="E8288" t="e">
        <f>cubic_spline(CURVA!$B$6:$B$20,CURVA!$G$6:$G$20,#REF!)</f>
        <v>#VALUE!</v>
      </c>
    </row>
    <row r="8289" spans="1:5" x14ac:dyDescent="0.2">
      <c r="A8289" s="28">
        <v>8288</v>
      </c>
      <c r="B8289" s="28" t="e">
        <f>interpola(#REF!,CURVA!$B$6:$B$20,CURVA!$G$6:$G$20)</f>
        <v>#VALUE!</v>
      </c>
      <c r="C8289" s="29" t="e">
        <f t="shared" si="129"/>
        <v>#VALUE!</v>
      </c>
      <c r="E8289" t="e">
        <f>cubic_spline(CURVA!$B$6:$B$20,CURVA!$G$6:$G$20,#REF!)</f>
        <v>#VALUE!</v>
      </c>
    </row>
    <row r="8290" spans="1:5" x14ac:dyDescent="0.2">
      <c r="A8290" s="28">
        <v>8289</v>
      </c>
      <c r="B8290" s="28" t="e">
        <f>interpola(#REF!,CURVA!$B$6:$B$20,CURVA!$G$6:$G$20)</f>
        <v>#VALUE!</v>
      </c>
      <c r="C8290" s="29" t="e">
        <f t="shared" si="129"/>
        <v>#VALUE!</v>
      </c>
      <c r="E8290" t="e">
        <f>cubic_spline(CURVA!$B$6:$B$20,CURVA!$G$6:$G$20,#REF!)</f>
        <v>#VALUE!</v>
      </c>
    </row>
    <row r="8291" spans="1:5" x14ac:dyDescent="0.2">
      <c r="A8291" s="28">
        <v>8290</v>
      </c>
      <c r="B8291" s="28" t="e">
        <f>interpola(#REF!,CURVA!$B$6:$B$20,CURVA!$G$6:$G$20)</f>
        <v>#VALUE!</v>
      </c>
      <c r="C8291" s="29" t="e">
        <f t="shared" si="129"/>
        <v>#VALUE!</v>
      </c>
      <c r="E8291" t="e">
        <f>cubic_spline(CURVA!$B$6:$B$20,CURVA!$G$6:$G$20,#REF!)</f>
        <v>#VALUE!</v>
      </c>
    </row>
    <row r="8292" spans="1:5" x14ac:dyDescent="0.2">
      <c r="A8292" s="28">
        <v>8291</v>
      </c>
      <c r="B8292" s="28" t="e">
        <f>interpola(#REF!,CURVA!$B$6:$B$20,CURVA!$G$6:$G$20)</f>
        <v>#VALUE!</v>
      </c>
      <c r="C8292" s="29" t="e">
        <f t="shared" si="129"/>
        <v>#VALUE!</v>
      </c>
      <c r="E8292" t="e">
        <f>cubic_spline(CURVA!$B$6:$B$20,CURVA!$G$6:$G$20,#REF!)</f>
        <v>#VALUE!</v>
      </c>
    </row>
    <row r="8293" spans="1:5" x14ac:dyDescent="0.2">
      <c r="A8293" s="28">
        <v>8292</v>
      </c>
      <c r="B8293" s="28" t="e">
        <f>interpola(#REF!,CURVA!$B$6:$B$20,CURVA!$G$6:$G$20)</f>
        <v>#VALUE!</v>
      </c>
      <c r="C8293" s="29" t="e">
        <f t="shared" si="129"/>
        <v>#VALUE!</v>
      </c>
      <c r="E8293" t="e">
        <f>cubic_spline(CURVA!$B$6:$B$20,CURVA!$G$6:$G$20,#REF!)</f>
        <v>#VALUE!</v>
      </c>
    </row>
    <row r="8294" spans="1:5" x14ac:dyDescent="0.2">
      <c r="A8294" s="28">
        <v>8293</v>
      </c>
      <c r="B8294" s="28" t="e">
        <f>interpola(#REF!,CURVA!$B$6:$B$20,CURVA!$G$6:$G$20)</f>
        <v>#VALUE!</v>
      </c>
      <c r="C8294" s="29" t="e">
        <f t="shared" si="129"/>
        <v>#VALUE!</v>
      </c>
      <c r="E8294" t="e">
        <f>cubic_spline(CURVA!$B$6:$B$20,CURVA!$G$6:$G$20,#REF!)</f>
        <v>#VALUE!</v>
      </c>
    </row>
    <row r="8295" spans="1:5" x14ac:dyDescent="0.2">
      <c r="A8295" s="28">
        <v>8294</v>
      </c>
      <c r="B8295" s="28" t="e">
        <f>interpola(#REF!,CURVA!$B$6:$B$20,CURVA!$G$6:$G$20)</f>
        <v>#VALUE!</v>
      </c>
      <c r="C8295" s="29" t="e">
        <f t="shared" si="129"/>
        <v>#VALUE!</v>
      </c>
      <c r="E8295" t="e">
        <f>cubic_spline(CURVA!$B$6:$B$20,CURVA!$G$6:$G$20,#REF!)</f>
        <v>#VALUE!</v>
      </c>
    </row>
    <row r="8296" spans="1:5" x14ac:dyDescent="0.2">
      <c r="A8296" s="28">
        <v>8295</v>
      </c>
      <c r="B8296" s="28" t="e">
        <f>interpola(#REF!,CURVA!$B$6:$B$20,CURVA!$G$6:$G$20)</f>
        <v>#VALUE!</v>
      </c>
      <c r="C8296" s="29" t="e">
        <f t="shared" si="129"/>
        <v>#VALUE!</v>
      </c>
      <c r="E8296" t="e">
        <f>cubic_spline(CURVA!$B$6:$B$20,CURVA!$G$6:$G$20,#REF!)</f>
        <v>#VALUE!</v>
      </c>
    </row>
    <row r="8297" spans="1:5" x14ac:dyDescent="0.2">
      <c r="A8297" s="28">
        <v>8296</v>
      </c>
      <c r="B8297" s="28" t="e">
        <f>interpola(#REF!,CURVA!$B$6:$B$20,CURVA!$G$6:$G$20)</f>
        <v>#VALUE!</v>
      </c>
      <c r="C8297" s="29" t="e">
        <f t="shared" si="129"/>
        <v>#VALUE!</v>
      </c>
      <c r="E8297" t="e">
        <f>cubic_spline(CURVA!$B$6:$B$20,CURVA!$G$6:$G$20,#REF!)</f>
        <v>#VALUE!</v>
      </c>
    </row>
    <row r="8298" spans="1:5" x14ac:dyDescent="0.2">
      <c r="A8298" s="28">
        <v>8297</v>
      </c>
      <c r="B8298" s="28" t="e">
        <f>interpola(#REF!,CURVA!$B$6:$B$20,CURVA!$G$6:$G$20)</f>
        <v>#VALUE!</v>
      </c>
      <c r="C8298" s="29" t="e">
        <f t="shared" si="129"/>
        <v>#VALUE!</v>
      </c>
      <c r="E8298" t="e">
        <f>cubic_spline(CURVA!$B$6:$B$20,CURVA!$G$6:$G$20,#REF!)</f>
        <v>#VALUE!</v>
      </c>
    </row>
    <row r="8299" spans="1:5" x14ac:dyDescent="0.2">
      <c r="A8299" s="28">
        <v>8298</v>
      </c>
      <c r="B8299" s="28" t="e">
        <f>interpola(#REF!,CURVA!$B$6:$B$20,CURVA!$G$6:$G$20)</f>
        <v>#VALUE!</v>
      </c>
      <c r="C8299" s="29" t="e">
        <f t="shared" si="129"/>
        <v>#VALUE!</v>
      </c>
      <c r="E8299" t="e">
        <f>cubic_spline(CURVA!$B$6:$B$20,CURVA!$G$6:$G$20,#REF!)</f>
        <v>#VALUE!</v>
      </c>
    </row>
    <row r="8300" spans="1:5" x14ac:dyDescent="0.2">
      <c r="A8300" s="28">
        <v>8299</v>
      </c>
      <c r="B8300" s="28" t="e">
        <f>interpola(#REF!,CURVA!$B$6:$B$20,CURVA!$G$6:$G$20)</f>
        <v>#VALUE!</v>
      </c>
      <c r="C8300" s="29" t="e">
        <f t="shared" si="129"/>
        <v>#VALUE!</v>
      </c>
      <c r="E8300" t="e">
        <f>cubic_spline(CURVA!$B$6:$B$20,CURVA!$G$6:$G$20,#REF!)</f>
        <v>#VALUE!</v>
      </c>
    </row>
    <row r="8301" spans="1:5" x14ac:dyDescent="0.2">
      <c r="A8301" s="28">
        <v>8300</v>
      </c>
      <c r="B8301" s="28" t="e">
        <f>interpola(#REF!,CURVA!$B$6:$B$20,CURVA!$G$6:$G$20)</f>
        <v>#VALUE!</v>
      </c>
      <c r="C8301" s="29" t="e">
        <f t="shared" si="129"/>
        <v>#VALUE!</v>
      </c>
      <c r="E8301" t="e">
        <f>cubic_spline(CURVA!$B$6:$B$20,CURVA!$G$6:$G$20,#REF!)</f>
        <v>#VALUE!</v>
      </c>
    </row>
    <row r="8302" spans="1:5" x14ac:dyDescent="0.2">
      <c r="A8302" s="28">
        <v>8301</v>
      </c>
      <c r="B8302" s="28" t="e">
        <f>interpola(#REF!,CURVA!$B$6:$B$20,CURVA!$G$6:$G$20)</f>
        <v>#VALUE!</v>
      </c>
      <c r="C8302" s="29" t="e">
        <f t="shared" si="129"/>
        <v>#VALUE!</v>
      </c>
      <c r="E8302" t="e">
        <f>cubic_spline(CURVA!$B$6:$B$20,CURVA!$G$6:$G$20,#REF!)</f>
        <v>#VALUE!</v>
      </c>
    </row>
    <row r="8303" spans="1:5" x14ac:dyDescent="0.2">
      <c r="A8303" s="28">
        <v>8302</v>
      </c>
      <c r="B8303" s="28" t="e">
        <f>interpola(#REF!,CURVA!$B$6:$B$20,CURVA!$G$6:$G$20)</f>
        <v>#VALUE!</v>
      </c>
      <c r="C8303" s="29" t="e">
        <f t="shared" si="129"/>
        <v>#VALUE!</v>
      </c>
      <c r="E8303" t="e">
        <f>cubic_spline(CURVA!$B$6:$B$20,CURVA!$G$6:$G$20,#REF!)</f>
        <v>#VALUE!</v>
      </c>
    </row>
    <row r="8304" spans="1:5" x14ac:dyDescent="0.2">
      <c r="A8304" s="28">
        <v>8303</v>
      </c>
      <c r="B8304" s="28" t="e">
        <f>interpola(#REF!,CURVA!$B$6:$B$20,CURVA!$G$6:$G$20)</f>
        <v>#VALUE!</v>
      </c>
      <c r="C8304" s="29" t="e">
        <f t="shared" si="129"/>
        <v>#VALUE!</v>
      </c>
      <c r="E8304" t="e">
        <f>cubic_spline(CURVA!$B$6:$B$20,CURVA!$G$6:$G$20,#REF!)</f>
        <v>#VALUE!</v>
      </c>
    </row>
    <row r="8305" spans="1:5" x14ac:dyDescent="0.2">
      <c r="A8305" s="28">
        <v>8304</v>
      </c>
      <c r="B8305" s="28" t="e">
        <f>interpola(#REF!,CURVA!$B$6:$B$20,CURVA!$G$6:$G$20)</f>
        <v>#VALUE!</v>
      </c>
      <c r="C8305" s="29" t="e">
        <f t="shared" si="129"/>
        <v>#VALUE!</v>
      </c>
      <c r="E8305" t="e">
        <f>cubic_spline(CURVA!$B$6:$B$20,CURVA!$G$6:$G$20,#REF!)</f>
        <v>#VALUE!</v>
      </c>
    </row>
    <row r="8306" spans="1:5" x14ac:dyDescent="0.2">
      <c r="A8306" s="28">
        <v>8305</v>
      </c>
      <c r="B8306" s="28" t="e">
        <f>interpola(#REF!,CURVA!$B$6:$B$20,CURVA!$G$6:$G$20)</f>
        <v>#VALUE!</v>
      </c>
      <c r="C8306" s="29" t="e">
        <f t="shared" si="129"/>
        <v>#VALUE!</v>
      </c>
      <c r="E8306" t="e">
        <f>cubic_spline(CURVA!$B$6:$B$20,CURVA!$G$6:$G$20,#REF!)</f>
        <v>#VALUE!</v>
      </c>
    </row>
    <row r="8307" spans="1:5" x14ac:dyDescent="0.2">
      <c r="A8307" s="28">
        <v>8306</v>
      </c>
      <c r="B8307" s="28" t="e">
        <f>interpola(#REF!,CURVA!$B$6:$B$20,CURVA!$G$6:$G$20)</f>
        <v>#VALUE!</v>
      </c>
      <c r="C8307" s="29" t="e">
        <f t="shared" si="129"/>
        <v>#VALUE!</v>
      </c>
      <c r="E8307" t="e">
        <f>cubic_spline(CURVA!$B$6:$B$20,CURVA!$G$6:$G$20,#REF!)</f>
        <v>#VALUE!</v>
      </c>
    </row>
    <row r="8308" spans="1:5" x14ac:dyDescent="0.2">
      <c r="A8308" s="28">
        <v>8307</v>
      </c>
      <c r="B8308" s="28" t="e">
        <f>interpola(#REF!,CURVA!$B$6:$B$20,CURVA!$G$6:$G$20)</f>
        <v>#VALUE!</v>
      </c>
      <c r="C8308" s="29" t="e">
        <f t="shared" si="129"/>
        <v>#VALUE!</v>
      </c>
      <c r="E8308" t="e">
        <f>cubic_spline(CURVA!$B$6:$B$20,CURVA!$G$6:$G$20,#REF!)</f>
        <v>#VALUE!</v>
      </c>
    </row>
    <row r="8309" spans="1:5" x14ac:dyDescent="0.2">
      <c r="A8309" s="28">
        <v>8308</v>
      </c>
      <c r="B8309" s="28" t="e">
        <f>interpola(#REF!,CURVA!$B$6:$B$20,CURVA!$G$6:$G$20)</f>
        <v>#VALUE!</v>
      </c>
      <c r="C8309" s="29" t="e">
        <f t="shared" si="129"/>
        <v>#VALUE!</v>
      </c>
      <c r="E8309" t="e">
        <f>cubic_spline(CURVA!$B$6:$B$20,CURVA!$G$6:$G$20,#REF!)</f>
        <v>#VALUE!</v>
      </c>
    </row>
    <row r="8310" spans="1:5" x14ac:dyDescent="0.2">
      <c r="A8310" s="28">
        <v>8309</v>
      </c>
      <c r="B8310" s="28" t="e">
        <f>interpola(#REF!,CURVA!$B$6:$B$20,CURVA!$G$6:$G$20)</f>
        <v>#VALUE!</v>
      </c>
      <c r="C8310" s="29" t="e">
        <f t="shared" si="129"/>
        <v>#VALUE!</v>
      </c>
      <c r="E8310" t="e">
        <f>cubic_spline(CURVA!$B$6:$B$20,CURVA!$G$6:$G$20,#REF!)</f>
        <v>#VALUE!</v>
      </c>
    </row>
    <row r="8311" spans="1:5" x14ac:dyDescent="0.2">
      <c r="A8311" s="28">
        <v>8310</v>
      </c>
      <c r="B8311" s="28" t="e">
        <f>interpola(#REF!,CURVA!$B$6:$B$20,CURVA!$G$6:$G$20)</f>
        <v>#VALUE!</v>
      </c>
      <c r="C8311" s="29" t="e">
        <f t="shared" si="129"/>
        <v>#VALUE!</v>
      </c>
      <c r="E8311" t="e">
        <f>cubic_spline(CURVA!$B$6:$B$20,CURVA!$G$6:$G$20,#REF!)</f>
        <v>#VALUE!</v>
      </c>
    </row>
    <row r="8312" spans="1:5" x14ac:dyDescent="0.2">
      <c r="A8312" s="28">
        <v>8311</v>
      </c>
      <c r="B8312" s="28" t="e">
        <f>interpola(#REF!,CURVA!$B$6:$B$20,CURVA!$G$6:$G$20)</f>
        <v>#VALUE!</v>
      </c>
      <c r="C8312" s="29" t="e">
        <f t="shared" si="129"/>
        <v>#VALUE!</v>
      </c>
      <c r="E8312" t="e">
        <f>cubic_spline(CURVA!$B$6:$B$20,CURVA!$G$6:$G$20,#REF!)</f>
        <v>#VALUE!</v>
      </c>
    </row>
    <row r="8313" spans="1:5" x14ac:dyDescent="0.2">
      <c r="A8313" s="28">
        <v>8312</v>
      </c>
      <c r="B8313" s="28" t="e">
        <f>interpola(#REF!,CURVA!$B$6:$B$20,CURVA!$G$6:$G$20)</f>
        <v>#VALUE!</v>
      </c>
      <c r="C8313" s="29" t="e">
        <f t="shared" si="129"/>
        <v>#VALUE!</v>
      </c>
      <c r="E8313" t="e">
        <f>cubic_spline(CURVA!$B$6:$B$20,CURVA!$G$6:$G$20,#REF!)</f>
        <v>#VALUE!</v>
      </c>
    </row>
    <row r="8314" spans="1:5" x14ac:dyDescent="0.2">
      <c r="A8314" s="28">
        <v>8313</v>
      </c>
      <c r="B8314" s="28" t="e">
        <f>interpola(#REF!,CURVA!$B$6:$B$20,CURVA!$G$6:$G$20)</f>
        <v>#VALUE!</v>
      </c>
      <c r="C8314" s="29" t="e">
        <f t="shared" si="129"/>
        <v>#VALUE!</v>
      </c>
      <c r="E8314" t="e">
        <f>cubic_spline(CURVA!$B$6:$B$20,CURVA!$G$6:$G$20,#REF!)</f>
        <v>#VALUE!</v>
      </c>
    </row>
    <row r="8315" spans="1:5" x14ac:dyDescent="0.2">
      <c r="A8315" s="28">
        <v>8314</v>
      </c>
      <c r="B8315" s="28" t="e">
        <f>interpola(#REF!,CURVA!$B$6:$B$20,CURVA!$G$6:$G$20)</f>
        <v>#VALUE!</v>
      </c>
      <c r="C8315" s="29" t="e">
        <f t="shared" si="129"/>
        <v>#VALUE!</v>
      </c>
      <c r="E8315" t="e">
        <f>cubic_spline(CURVA!$B$6:$B$20,CURVA!$G$6:$G$20,#REF!)</f>
        <v>#VALUE!</v>
      </c>
    </row>
    <row r="8316" spans="1:5" x14ac:dyDescent="0.2">
      <c r="A8316" s="28">
        <v>8315</v>
      </c>
      <c r="B8316" s="28" t="e">
        <f>interpola(#REF!,CURVA!$B$6:$B$20,CURVA!$G$6:$G$20)</f>
        <v>#VALUE!</v>
      </c>
      <c r="C8316" s="29" t="e">
        <f t="shared" si="129"/>
        <v>#VALUE!</v>
      </c>
      <c r="E8316" t="e">
        <f>cubic_spline(CURVA!$B$6:$B$20,CURVA!$G$6:$G$20,#REF!)</f>
        <v>#VALUE!</v>
      </c>
    </row>
    <row r="8317" spans="1:5" x14ac:dyDescent="0.2">
      <c r="A8317" s="28">
        <v>8316</v>
      </c>
      <c r="B8317" s="28" t="e">
        <f>interpola(#REF!,CURVA!$B$6:$B$20,CURVA!$G$6:$G$20)</f>
        <v>#VALUE!</v>
      </c>
      <c r="C8317" s="29" t="e">
        <f t="shared" si="129"/>
        <v>#VALUE!</v>
      </c>
      <c r="E8317" t="e">
        <f>cubic_spline(CURVA!$B$6:$B$20,CURVA!$G$6:$G$20,#REF!)</f>
        <v>#VALUE!</v>
      </c>
    </row>
    <row r="8318" spans="1:5" x14ac:dyDescent="0.2">
      <c r="A8318" s="28">
        <v>8317</v>
      </c>
      <c r="B8318" s="28" t="e">
        <f>interpola(#REF!,CURVA!$B$6:$B$20,CURVA!$G$6:$G$20)</f>
        <v>#VALUE!</v>
      </c>
      <c r="C8318" s="29" t="e">
        <f t="shared" si="129"/>
        <v>#VALUE!</v>
      </c>
      <c r="E8318" t="e">
        <f>cubic_spline(CURVA!$B$6:$B$20,CURVA!$G$6:$G$20,#REF!)</f>
        <v>#VALUE!</v>
      </c>
    </row>
    <row r="8319" spans="1:5" x14ac:dyDescent="0.2">
      <c r="A8319" s="28">
        <v>8318</v>
      </c>
      <c r="B8319" s="28" t="e">
        <f>interpola(#REF!,CURVA!$B$6:$B$20,CURVA!$G$6:$G$20)</f>
        <v>#VALUE!</v>
      </c>
      <c r="C8319" s="29" t="e">
        <f t="shared" si="129"/>
        <v>#VALUE!</v>
      </c>
      <c r="E8319" t="e">
        <f>cubic_spline(CURVA!$B$6:$B$20,CURVA!$G$6:$G$20,#REF!)</f>
        <v>#VALUE!</v>
      </c>
    </row>
    <row r="8320" spans="1:5" x14ac:dyDescent="0.2">
      <c r="A8320" s="28">
        <v>8319</v>
      </c>
      <c r="B8320" s="28" t="e">
        <f>interpola(#REF!,CURVA!$B$6:$B$20,CURVA!$G$6:$G$20)</f>
        <v>#VALUE!</v>
      </c>
      <c r="C8320" s="29" t="e">
        <f t="shared" si="129"/>
        <v>#VALUE!</v>
      </c>
      <c r="E8320" t="e">
        <f>cubic_spline(CURVA!$B$6:$B$20,CURVA!$G$6:$G$20,#REF!)</f>
        <v>#VALUE!</v>
      </c>
    </row>
    <row r="8321" spans="1:5" x14ac:dyDescent="0.2">
      <c r="A8321" s="28">
        <v>8320</v>
      </c>
      <c r="B8321" s="28" t="e">
        <f>interpola(#REF!,CURVA!$B$6:$B$20,CURVA!$G$6:$G$20)</f>
        <v>#VALUE!</v>
      </c>
      <c r="C8321" s="29" t="e">
        <f t="shared" si="129"/>
        <v>#VALUE!</v>
      </c>
      <c r="E8321" t="e">
        <f>cubic_spline(CURVA!$B$6:$B$20,CURVA!$G$6:$G$20,#REF!)</f>
        <v>#VALUE!</v>
      </c>
    </row>
    <row r="8322" spans="1:5" x14ac:dyDescent="0.2">
      <c r="A8322" s="28">
        <v>8321</v>
      </c>
      <c r="B8322" s="28" t="e">
        <f>interpola(#REF!,CURVA!$B$6:$B$20,CURVA!$G$6:$G$20)</f>
        <v>#VALUE!</v>
      </c>
      <c r="C8322" s="29" t="e">
        <f t="shared" ref="C8322:C8385" si="130">(EXP(B8322*A8322/360)-1)*360/A8322</f>
        <v>#VALUE!</v>
      </c>
      <c r="E8322" t="e">
        <f>cubic_spline(CURVA!$B$6:$B$20,CURVA!$G$6:$G$20,#REF!)</f>
        <v>#VALUE!</v>
      </c>
    </row>
    <row r="8323" spans="1:5" x14ac:dyDescent="0.2">
      <c r="A8323" s="28">
        <v>8322</v>
      </c>
      <c r="B8323" s="28" t="e">
        <f>interpola(#REF!,CURVA!$B$6:$B$20,CURVA!$G$6:$G$20)</f>
        <v>#VALUE!</v>
      </c>
      <c r="C8323" s="29" t="e">
        <f t="shared" si="130"/>
        <v>#VALUE!</v>
      </c>
      <c r="E8323" t="e">
        <f>cubic_spline(CURVA!$B$6:$B$20,CURVA!$G$6:$G$20,#REF!)</f>
        <v>#VALUE!</v>
      </c>
    </row>
    <row r="8324" spans="1:5" x14ac:dyDescent="0.2">
      <c r="A8324" s="28">
        <v>8323</v>
      </c>
      <c r="B8324" s="28" t="e">
        <f>interpola(#REF!,CURVA!$B$6:$B$20,CURVA!$G$6:$G$20)</f>
        <v>#VALUE!</v>
      </c>
      <c r="C8324" s="29" t="e">
        <f t="shared" si="130"/>
        <v>#VALUE!</v>
      </c>
      <c r="E8324" t="e">
        <f>cubic_spline(CURVA!$B$6:$B$20,CURVA!$G$6:$G$20,#REF!)</f>
        <v>#VALUE!</v>
      </c>
    </row>
    <row r="8325" spans="1:5" x14ac:dyDescent="0.2">
      <c r="A8325" s="28">
        <v>8324</v>
      </c>
      <c r="B8325" s="28" t="e">
        <f>interpola(#REF!,CURVA!$B$6:$B$20,CURVA!$G$6:$G$20)</f>
        <v>#VALUE!</v>
      </c>
      <c r="C8325" s="29" t="e">
        <f t="shared" si="130"/>
        <v>#VALUE!</v>
      </c>
      <c r="E8325" t="e">
        <f>cubic_spline(CURVA!$B$6:$B$20,CURVA!$G$6:$G$20,#REF!)</f>
        <v>#VALUE!</v>
      </c>
    </row>
    <row r="8326" spans="1:5" x14ac:dyDescent="0.2">
      <c r="A8326" s="28">
        <v>8325</v>
      </c>
      <c r="B8326" s="28" t="e">
        <f>interpola(#REF!,CURVA!$B$6:$B$20,CURVA!$G$6:$G$20)</f>
        <v>#VALUE!</v>
      </c>
      <c r="C8326" s="29" t="e">
        <f t="shared" si="130"/>
        <v>#VALUE!</v>
      </c>
      <c r="E8326" t="e">
        <f>cubic_spline(CURVA!$B$6:$B$20,CURVA!$G$6:$G$20,#REF!)</f>
        <v>#VALUE!</v>
      </c>
    </row>
    <row r="8327" spans="1:5" x14ac:dyDescent="0.2">
      <c r="A8327" s="28">
        <v>8326</v>
      </c>
      <c r="B8327" s="28" t="e">
        <f>interpola(#REF!,CURVA!$B$6:$B$20,CURVA!$G$6:$G$20)</f>
        <v>#VALUE!</v>
      </c>
      <c r="C8327" s="29" t="e">
        <f t="shared" si="130"/>
        <v>#VALUE!</v>
      </c>
      <c r="E8327" t="e">
        <f>cubic_spline(CURVA!$B$6:$B$20,CURVA!$G$6:$G$20,#REF!)</f>
        <v>#VALUE!</v>
      </c>
    </row>
    <row r="8328" spans="1:5" x14ac:dyDescent="0.2">
      <c r="A8328" s="28">
        <v>8327</v>
      </c>
      <c r="B8328" s="28" t="e">
        <f>interpola(#REF!,CURVA!$B$6:$B$20,CURVA!$G$6:$G$20)</f>
        <v>#VALUE!</v>
      </c>
      <c r="C8328" s="29" t="e">
        <f t="shared" si="130"/>
        <v>#VALUE!</v>
      </c>
      <c r="E8328" t="e">
        <f>cubic_spline(CURVA!$B$6:$B$20,CURVA!$G$6:$G$20,#REF!)</f>
        <v>#VALUE!</v>
      </c>
    </row>
    <row r="8329" spans="1:5" x14ac:dyDescent="0.2">
      <c r="A8329" s="28">
        <v>8328</v>
      </c>
      <c r="B8329" s="28" t="e">
        <f>interpola(#REF!,CURVA!$B$6:$B$20,CURVA!$G$6:$G$20)</f>
        <v>#VALUE!</v>
      </c>
      <c r="C8329" s="29" t="e">
        <f t="shared" si="130"/>
        <v>#VALUE!</v>
      </c>
      <c r="E8329" t="e">
        <f>cubic_spline(CURVA!$B$6:$B$20,CURVA!$G$6:$G$20,#REF!)</f>
        <v>#VALUE!</v>
      </c>
    </row>
    <row r="8330" spans="1:5" x14ac:dyDescent="0.2">
      <c r="A8330" s="28">
        <v>8329</v>
      </c>
      <c r="B8330" s="28" t="e">
        <f>interpola(#REF!,CURVA!$B$6:$B$20,CURVA!$G$6:$G$20)</f>
        <v>#VALUE!</v>
      </c>
      <c r="C8330" s="29" t="e">
        <f t="shared" si="130"/>
        <v>#VALUE!</v>
      </c>
      <c r="E8330" t="e">
        <f>cubic_spline(CURVA!$B$6:$B$20,CURVA!$G$6:$G$20,#REF!)</f>
        <v>#VALUE!</v>
      </c>
    </row>
    <row r="8331" spans="1:5" x14ac:dyDescent="0.2">
      <c r="A8331" s="28">
        <v>8330</v>
      </c>
      <c r="B8331" s="28" t="e">
        <f>interpola(#REF!,CURVA!$B$6:$B$20,CURVA!$G$6:$G$20)</f>
        <v>#VALUE!</v>
      </c>
      <c r="C8331" s="29" t="e">
        <f t="shared" si="130"/>
        <v>#VALUE!</v>
      </c>
      <c r="E8331" t="e">
        <f>cubic_spline(CURVA!$B$6:$B$20,CURVA!$G$6:$G$20,#REF!)</f>
        <v>#VALUE!</v>
      </c>
    </row>
    <row r="8332" spans="1:5" x14ac:dyDescent="0.2">
      <c r="A8332" s="28">
        <v>8331</v>
      </c>
      <c r="B8332" s="28" t="e">
        <f>interpola(#REF!,CURVA!$B$6:$B$20,CURVA!$G$6:$G$20)</f>
        <v>#VALUE!</v>
      </c>
      <c r="C8332" s="29" t="e">
        <f t="shared" si="130"/>
        <v>#VALUE!</v>
      </c>
      <c r="E8332" t="e">
        <f>cubic_spline(CURVA!$B$6:$B$20,CURVA!$G$6:$G$20,#REF!)</f>
        <v>#VALUE!</v>
      </c>
    </row>
    <row r="8333" spans="1:5" x14ac:dyDescent="0.2">
      <c r="A8333" s="28">
        <v>8332</v>
      </c>
      <c r="B8333" s="28" t="e">
        <f>interpola(#REF!,CURVA!$B$6:$B$20,CURVA!$G$6:$G$20)</f>
        <v>#VALUE!</v>
      </c>
      <c r="C8333" s="29" t="e">
        <f t="shared" si="130"/>
        <v>#VALUE!</v>
      </c>
      <c r="E8333" t="e">
        <f>cubic_spline(CURVA!$B$6:$B$20,CURVA!$G$6:$G$20,#REF!)</f>
        <v>#VALUE!</v>
      </c>
    </row>
    <row r="8334" spans="1:5" x14ac:dyDescent="0.2">
      <c r="A8334" s="28">
        <v>8333</v>
      </c>
      <c r="B8334" s="28" t="e">
        <f>interpola(#REF!,CURVA!$B$6:$B$20,CURVA!$G$6:$G$20)</f>
        <v>#VALUE!</v>
      </c>
      <c r="C8334" s="29" t="e">
        <f t="shared" si="130"/>
        <v>#VALUE!</v>
      </c>
      <c r="E8334" t="e">
        <f>cubic_spline(CURVA!$B$6:$B$20,CURVA!$G$6:$G$20,#REF!)</f>
        <v>#VALUE!</v>
      </c>
    </row>
    <row r="8335" spans="1:5" x14ac:dyDescent="0.2">
      <c r="A8335" s="28">
        <v>8334</v>
      </c>
      <c r="B8335" s="28" t="e">
        <f>interpola(#REF!,CURVA!$B$6:$B$20,CURVA!$G$6:$G$20)</f>
        <v>#VALUE!</v>
      </c>
      <c r="C8335" s="29" t="e">
        <f t="shared" si="130"/>
        <v>#VALUE!</v>
      </c>
      <c r="E8335" t="e">
        <f>cubic_spline(CURVA!$B$6:$B$20,CURVA!$G$6:$G$20,#REF!)</f>
        <v>#VALUE!</v>
      </c>
    </row>
    <row r="8336" spans="1:5" x14ac:dyDescent="0.2">
      <c r="A8336" s="28">
        <v>8335</v>
      </c>
      <c r="B8336" s="28" t="e">
        <f>interpola(#REF!,CURVA!$B$6:$B$20,CURVA!$G$6:$G$20)</f>
        <v>#VALUE!</v>
      </c>
      <c r="C8336" s="29" t="e">
        <f t="shared" si="130"/>
        <v>#VALUE!</v>
      </c>
      <c r="E8336" t="e">
        <f>cubic_spline(CURVA!$B$6:$B$20,CURVA!$G$6:$G$20,#REF!)</f>
        <v>#VALUE!</v>
      </c>
    </row>
    <row r="8337" spans="1:5" x14ac:dyDescent="0.2">
      <c r="A8337" s="28">
        <v>8336</v>
      </c>
      <c r="B8337" s="28" t="e">
        <f>interpola(#REF!,CURVA!$B$6:$B$20,CURVA!$G$6:$G$20)</f>
        <v>#VALUE!</v>
      </c>
      <c r="C8337" s="29" t="e">
        <f t="shared" si="130"/>
        <v>#VALUE!</v>
      </c>
      <c r="E8337" t="e">
        <f>cubic_spline(CURVA!$B$6:$B$20,CURVA!$G$6:$G$20,#REF!)</f>
        <v>#VALUE!</v>
      </c>
    </row>
    <row r="8338" spans="1:5" x14ac:dyDescent="0.2">
      <c r="A8338" s="28">
        <v>8337</v>
      </c>
      <c r="B8338" s="28" t="e">
        <f>interpola(#REF!,CURVA!$B$6:$B$20,CURVA!$G$6:$G$20)</f>
        <v>#VALUE!</v>
      </c>
      <c r="C8338" s="29" t="e">
        <f t="shared" si="130"/>
        <v>#VALUE!</v>
      </c>
      <c r="E8338" t="e">
        <f>cubic_spline(CURVA!$B$6:$B$20,CURVA!$G$6:$G$20,#REF!)</f>
        <v>#VALUE!</v>
      </c>
    </row>
    <row r="8339" spans="1:5" x14ac:dyDescent="0.2">
      <c r="A8339" s="28">
        <v>8338</v>
      </c>
      <c r="B8339" s="28" t="e">
        <f>interpola(#REF!,CURVA!$B$6:$B$20,CURVA!$G$6:$G$20)</f>
        <v>#VALUE!</v>
      </c>
      <c r="C8339" s="29" t="e">
        <f t="shared" si="130"/>
        <v>#VALUE!</v>
      </c>
      <c r="E8339" t="e">
        <f>cubic_spline(CURVA!$B$6:$B$20,CURVA!$G$6:$G$20,#REF!)</f>
        <v>#VALUE!</v>
      </c>
    </row>
    <row r="8340" spans="1:5" x14ac:dyDescent="0.2">
      <c r="A8340" s="28">
        <v>8339</v>
      </c>
      <c r="B8340" s="28" t="e">
        <f>interpola(#REF!,CURVA!$B$6:$B$20,CURVA!$G$6:$G$20)</f>
        <v>#VALUE!</v>
      </c>
      <c r="C8340" s="29" t="e">
        <f t="shared" si="130"/>
        <v>#VALUE!</v>
      </c>
      <c r="E8340" t="e">
        <f>cubic_spline(CURVA!$B$6:$B$20,CURVA!$G$6:$G$20,#REF!)</f>
        <v>#VALUE!</v>
      </c>
    </row>
    <row r="8341" spans="1:5" x14ac:dyDescent="0.2">
      <c r="A8341" s="28">
        <v>8340</v>
      </c>
      <c r="B8341" s="28" t="e">
        <f>interpola(#REF!,CURVA!$B$6:$B$20,CURVA!$G$6:$G$20)</f>
        <v>#VALUE!</v>
      </c>
      <c r="C8341" s="29" t="e">
        <f t="shared" si="130"/>
        <v>#VALUE!</v>
      </c>
      <c r="E8341" t="e">
        <f>cubic_spline(CURVA!$B$6:$B$20,CURVA!$G$6:$G$20,#REF!)</f>
        <v>#VALUE!</v>
      </c>
    </row>
    <row r="8342" spans="1:5" x14ac:dyDescent="0.2">
      <c r="A8342" s="28">
        <v>8341</v>
      </c>
      <c r="B8342" s="28" t="e">
        <f>interpola(#REF!,CURVA!$B$6:$B$20,CURVA!$G$6:$G$20)</f>
        <v>#VALUE!</v>
      </c>
      <c r="C8342" s="29" t="e">
        <f t="shared" si="130"/>
        <v>#VALUE!</v>
      </c>
      <c r="E8342" t="e">
        <f>cubic_spline(CURVA!$B$6:$B$20,CURVA!$G$6:$G$20,#REF!)</f>
        <v>#VALUE!</v>
      </c>
    </row>
    <row r="8343" spans="1:5" x14ac:dyDescent="0.2">
      <c r="A8343" s="28">
        <v>8342</v>
      </c>
      <c r="B8343" s="28" t="e">
        <f>interpola(#REF!,CURVA!$B$6:$B$20,CURVA!$G$6:$G$20)</f>
        <v>#VALUE!</v>
      </c>
      <c r="C8343" s="29" t="e">
        <f t="shared" si="130"/>
        <v>#VALUE!</v>
      </c>
      <c r="E8343" t="e">
        <f>cubic_spline(CURVA!$B$6:$B$20,CURVA!$G$6:$G$20,#REF!)</f>
        <v>#VALUE!</v>
      </c>
    </row>
    <row r="8344" spans="1:5" x14ac:dyDescent="0.2">
      <c r="A8344" s="28">
        <v>8343</v>
      </c>
      <c r="B8344" s="28" t="e">
        <f>interpola(#REF!,CURVA!$B$6:$B$20,CURVA!$G$6:$G$20)</f>
        <v>#VALUE!</v>
      </c>
      <c r="C8344" s="29" t="e">
        <f t="shared" si="130"/>
        <v>#VALUE!</v>
      </c>
      <c r="E8344" t="e">
        <f>cubic_spline(CURVA!$B$6:$B$20,CURVA!$G$6:$G$20,#REF!)</f>
        <v>#VALUE!</v>
      </c>
    </row>
    <row r="8345" spans="1:5" x14ac:dyDescent="0.2">
      <c r="A8345" s="28">
        <v>8344</v>
      </c>
      <c r="B8345" s="28" t="e">
        <f>interpola(#REF!,CURVA!$B$6:$B$20,CURVA!$G$6:$G$20)</f>
        <v>#VALUE!</v>
      </c>
      <c r="C8345" s="29" t="e">
        <f t="shared" si="130"/>
        <v>#VALUE!</v>
      </c>
      <c r="E8345" t="e">
        <f>cubic_spline(CURVA!$B$6:$B$20,CURVA!$G$6:$G$20,#REF!)</f>
        <v>#VALUE!</v>
      </c>
    </row>
    <row r="8346" spans="1:5" x14ac:dyDescent="0.2">
      <c r="A8346" s="28">
        <v>8345</v>
      </c>
      <c r="B8346" s="28" t="e">
        <f>interpola(#REF!,CURVA!$B$6:$B$20,CURVA!$G$6:$G$20)</f>
        <v>#VALUE!</v>
      </c>
      <c r="C8346" s="29" t="e">
        <f t="shared" si="130"/>
        <v>#VALUE!</v>
      </c>
      <c r="E8346" t="e">
        <f>cubic_spline(CURVA!$B$6:$B$20,CURVA!$G$6:$G$20,#REF!)</f>
        <v>#VALUE!</v>
      </c>
    </row>
    <row r="8347" spans="1:5" x14ac:dyDescent="0.2">
      <c r="A8347" s="28">
        <v>8346</v>
      </c>
      <c r="B8347" s="28" t="e">
        <f>interpola(#REF!,CURVA!$B$6:$B$20,CURVA!$G$6:$G$20)</f>
        <v>#VALUE!</v>
      </c>
      <c r="C8347" s="29" t="e">
        <f t="shared" si="130"/>
        <v>#VALUE!</v>
      </c>
      <c r="E8347" t="e">
        <f>cubic_spline(CURVA!$B$6:$B$20,CURVA!$G$6:$G$20,#REF!)</f>
        <v>#VALUE!</v>
      </c>
    </row>
    <row r="8348" spans="1:5" x14ac:dyDescent="0.2">
      <c r="A8348" s="28">
        <v>8347</v>
      </c>
      <c r="B8348" s="28" t="e">
        <f>interpola(#REF!,CURVA!$B$6:$B$20,CURVA!$G$6:$G$20)</f>
        <v>#VALUE!</v>
      </c>
      <c r="C8348" s="29" t="e">
        <f t="shared" si="130"/>
        <v>#VALUE!</v>
      </c>
      <c r="E8348" t="e">
        <f>cubic_spline(CURVA!$B$6:$B$20,CURVA!$G$6:$G$20,#REF!)</f>
        <v>#VALUE!</v>
      </c>
    </row>
    <row r="8349" spans="1:5" x14ac:dyDescent="0.2">
      <c r="A8349" s="28">
        <v>8348</v>
      </c>
      <c r="B8349" s="28" t="e">
        <f>interpola(#REF!,CURVA!$B$6:$B$20,CURVA!$G$6:$G$20)</f>
        <v>#VALUE!</v>
      </c>
      <c r="C8349" s="29" t="e">
        <f t="shared" si="130"/>
        <v>#VALUE!</v>
      </c>
      <c r="E8349" t="e">
        <f>cubic_spline(CURVA!$B$6:$B$20,CURVA!$G$6:$G$20,#REF!)</f>
        <v>#VALUE!</v>
      </c>
    </row>
    <row r="8350" spans="1:5" x14ac:dyDescent="0.2">
      <c r="A8350" s="28">
        <v>8349</v>
      </c>
      <c r="B8350" s="28" t="e">
        <f>interpola(#REF!,CURVA!$B$6:$B$20,CURVA!$G$6:$G$20)</f>
        <v>#VALUE!</v>
      </c>
      <c r="C8350" s="29" t="e">
        <f t="shared" si="130"/>
        <v>#VALUE!</v>
      </c>
      <c r="E8350" t="e">
        <f>cubic_spline(CURVA!$B$6:$B$20,CURVA!$G$6:$G$20,#REF!)</f>
        <v>#VALUE!</v>
      </c>
    </row>
    <row r="8351" spans="1:5" x14ac:dyDescent="0.2">
      <c r="A8351" s="28">
        <v>8350</v>
      </c>
      <c r="B8351" s="28" t="e">
        <f>interpola(#REF!,CURVA!$B$6:$B$20,CURVA!$G$6:$G$20)</f>
        <v>#VALUE!</v>
      </c>
      <c r="C8351" s="29" t="e">
        <f t="shared" si="130"/>
        <v>#VALUE!</v>
      </c>
      <c r="E8351" t="e">
        <f>cubic_spline(CURVA!$B$6:$B$20,CURVA!$G$6:$G$20,#REF!)</f>
        <v>#VALUE!</v>
      </c>
    </row>
    <row r="8352" spans="1:5" x14ac:dyDescent="0.2">
      <c r="A8352" s="28">
        <v>8351</v>
      </c>
      <c r="B8352" s="28" t="e">
        <f>interpola(#REF!,CURVA!$B$6:$B$20,CURVA!$G$6:$G$20)</f>
        <v>#VALUE!</v>
      </c>
      <c r="C8352" s="29" t="e">
        <f t="shared" si="130"/>
        <v>#VALUE!</v>
      </c>
      <c r="E8352" t="e">
        <f>cubic_spline(CURVA!$B$6:$B$20,CURVA!$G$6:$G$20,#REF!)</f>
        <v>#VALUE!</v>
      </c>
    </row>
    <row r="8353" spans="1:5" x14ac:dyDescent="0.2">
      <c r="A8353" s="28">
        <v>8352</v>
      </c>
      <c r="B8353" s="28" t="e">
        <f>interpola(#REF!,CURVA!$B$6:$B$20,CURVA!$G$6:$G$20)</f>
        <v>#VALUE!</v>
      </c>
      <c r="C8353" s="29" t="e">
        <f t="shared" si="130"/>
        <v>#VALUE!</v>
      </c>
      <c r="E8353" t="e">
        <f>cubic_spline(CURVA!$B$6:$B$20,CURVA!$G$6:$G$20,#REF!)</f>
        <v>#VALUE!</v>
      </c>
    </row>
    <row r="8354" spans="1:5" x14ac:dyDescent="0.2">
      <c r="A8354" s="28">
        <v>8353</v>
      </c>
      <c r="B8354" s="28" t="e">
        <f>interpola(#REF!,CURVA!$B$6:$B$20,CURVA!$G$6:$G$20)</f>
        <v>#VALUE!</v>
      </c>
      <c r="C8354" s="29" t="e">
        <f t="shared" si="130"/>
        <v>#VALUE!</v>
      </c>
      <c r="E8354" t="e">
        <f>cubic_spline(CURVA!$B$6:$B$20,CURVA!$G$6:$G$20,#REF!)</f>
        <v>#VALUE!</v>
      </c>
    </row>
    <row r="8355" spans="1:5" x14ac:dyDescent="0.2">
      <c r="A8355" s="28">
        <v>8354</v>
      </c>
      <c r="B8355" s="28" t="e">
        <f>interpola(#REF!,CURVA!$B$6:$B$20,CURVA!$G$6:$G$20)</f>
        <v>#VALUE!</v>
      </c>
      <c r="C8355" s="29" t="e">
        <f t="shared" si="130"/>
        <v>#VALUE!</v>
      </c>
      <c r="E8355" t="e">
        <f>cubic_spline(CURVA!$B$6:$B$20,CURVA!$G$6:$G$20,#REF!)</f>
        <v>#VALUE!</v>
      </c>
    </row>
    <row r="8356" spans="1:5" x14ac:dyDescent="0.2">
      <c r="A8356" s="28">
        <v>8355</v>
      </c>
      <c r="B8356" s="28" t="e">
        <f>interpola(#REF!,CURVA!$B$6:$B$20,CURVA!$G$6:$G$20)</f>
        <v>#VALUE!</v>
      </c>
      <c r="C8356" s="29" t="e">
        <f t="shared" si="130"/>
        <v>#VALUE!</v>
      </c>
      <c r="E8356" t="e">
        <f>cubic_spline(CURVA!$B$6:$B$20,CURVA!$G$6:$G$20,#REF!)</f>
        <v>#VALUE!</v>
      </c>
    </row>
    <row r="8357" spans="1:5" x14ac:dyDescent="0.2">
      <c r="A8357" s="28">
        <v>8356</v>
      </c>
      <c r="B8357" s="28" t="e">
        <f>interpola(#REF!,CURVA!$B$6:$B$20,CURVA!$G$6:$G$20)</f>
        <v>#VALUE!</v>
      </c>
      <c r="C8357" s="29" t="e">
        <f t="shared" si="130"/>
        <v>#VALUE!</v>
      </c>
      <c r="E8357" t="e">
        <f>cubic_spline(CURVA!$B$6:$B$20,CURVA!$G$6:$G$20,#REF!)</f>
        <v>#VALUE!</v>
      </c>
    </row>
    <row r="8358" spans="1:5" x14ac:dyDescent="0.2">
      <c r="A8358" s="28">
        <v>8357</v>
      </c>
      <c r="B8358" s="28" t="e">
        <f>interpola(#REF!,CURVA!$B$6:$B$20,CURVA!$G$6:$G$20)</f>
        <v>#VALUE!</v>
      </c>
      <c r="C8358" s="29" t="e">
        <f t="shared" si="130"/>
        <v>#VALUE!</v>
      </c>
      <c r="E8358" t="e">
        <f>cubic_spline(CURVA!$B$6:$B$20,CURVA!$G$6:$G$20,#REF!)</f>
        <v>#VALUE!</v>
      </c>
    </row>
    <row r="8359" spans="1:5" x14ac:dyDescent="0.2">
      <c r="A8359" s="28">
        <v>8358</v>
      </c>
      <c r="B8359" s="28" t="e">
        <f>interpola(#REF!,CURVA!$B$6:$B$20,CURVA!$G$6:$G$20)</f>
        <v>#VALUE!</v>
      </c>
      <c r="C8359" s="29" t="e">
        <f t="shared" si="130"/>
        <v>#VALUE!</v>
      </c>
      <c r="E8359" t="e">
        <f>cubic_spline(CURVA!$B$6:$B$20,CURVA!$G$6:$G$20,#REF!)</f>
        <v>#VALUE!</v>
      </c>
    </row>
    <row r="8360" spans="1:5" x14ac:dyDescent="0.2">
      <c r="A8360" s="28">
        <v>8359</v>
      </c>
      <c r="B8360" s="28" t="e">
        <f>interpola(#REF!,CURVA!$B$6:$B$20,CURVA!$G$6:$G$20)</f>
        <v>#VALUE!</v>
      </c>
      <c r="C8360" s="29" t="e">
        <f t="shared" si="130"/>
        <v>#VALUE!</v>
      </c>
      <c r="E8360" t="e">
        <f>cubic_spline(CURVA!$B$6:$B$20,CURVA!$G$6:$G$20,#REF!)</f>
        <v>#VALUE!</v>
      </c>
    </row>
    <row r="8361" spans="1:5" x14ac:dyDescent="0.2">
      <c r="A8361" s="28">
        <v>8360</v>
      </c>
      <c r="B8361" s="28" t="e">
        <f>interpola(#REF!,CURVA!$B$6:$B$20,CURVA!$G$6:$G$20)</f>
        <v>#VALUE!</v>
      </c>
      <c r="C8361" s="29" t="e">
        <f t="shared" si="130"/>
        <v>#VALUE!</v>
      </c>
      <c r="E8361" t="e">
        <f>cubic_spline(CURVA!$B$6:$B$20,CURVA!$G$6:$G$20,#REF!)</f>
        <v>#VALUE!</v>
      </c>
    </row>
    <row r="8362" spans="1:5" x14ac:dyDescent="0.2">
      <c r="A8362" s="28">
        <v>8361</v>
      </c>
      <c r="B8362" s="28" t="e">
        <f>interpola(#REF!,CURVA!$B$6:$B$20,CURVA!$G$6:$G$20)</f>
        <v>#VALUE!</v>
      </c>
      <c r="C8362" s="29" t="e">
        <f t="shared" si="130"/>
        <v>#VALUE!</v>
      </c>
      <c r="E8362" t="e">
        <f>cubic_spline(CURVA!$B$6:$B$20,CURVA!$G$6:$G$20,#REF!)</f>
        <v>#VALUE!</v>
      </c>
    </row>
    <row r="8363" spans="1:5" x14ac:dyDescent="0.2">
      <c r="A8363" s="28">
        <v>8362</v>
      </c>
      <c r="B8363" s="28" t="e">
        <f>interpola(#REF!,CURVA!$B$6:$B$20,CURVA!$G$6:$G$20)</f>
        <v>#VALUE!</v>
      </c>
      <c r="C8363" s="29" t="e">
        <f t="shared" si="130"/>
        <v>#VALUE!</v>
      </c>
      <c r="E8363" t="e">
        <f>cubic_spline(CURVA!$B$6:$B$20,CURVA!$G$6:$G$20,#REF!)</f>
        <v>#VALUE!</v>
      </c>
    </row>
    <row r="8364" spans="1:5" x14ac:dyDescent="0.2">
      <c r="A8364" s="28">
        <v>8363</v>
      </c>
      <c r="B8364" s="28" t="e">
        <f>interpola(#REF!,CURVA!$B$6:$B$20,CURVA!$G$6:$G$20)</f>
        <v>#VALUE!</v>
      </c>
      <c r="C8364" s="29" t="e">
        <f t="shared" si="130"/>
        <v>#VALUE!</v>
      </c>
      <c r="E8364" t="e">
        <f>cubic_spline(CURVA!$B$6:$B$20,CURVA!$G$6:$G$20,#REF!)</f>
        <v>#VALUE!</v>
      </c>
    </row>
    <row r="8365" spans="1:5" x14ac:dyDescent="0.2">
      <c r="A8365" s="28">
        <v>8364</v>
      </c>
      <c r="B8365" s="28" t="e">
        <f>interpola(#REF!,CURVA!$B$6:$B$20,CURVA!$G$6:$G$20)</f>
        <v>#VALUE!</v>
      </c>
      <c r="C8365" s="29" t="e">
        <f t="shared" si="130"/>
        <v>#VALUE!</v>
      </c>
      <c r="E8365" t="e">
        <f>cubic_spline(CURVA!$B$6:$B$20,CURVA!$G$6:$G$20,#REF!)</f>
        <v>#VALUE!</v>
      </c>
    </row>
    <row r="8366" spans="1:5" x14ac:dyDescent="0.2">
      <c r="A8366" s="28">
        <v>8365</v>
      </c>
      <c r="B8366" s="28" t="e">
        <f>interpola(#REF!,CURVA!$B$6:$B$20,CURVA!$G$6:$G$20)</f>
        <v>#VALUE!</v>
      </c>
      <c r="C8366" s="29" t="e">
        <f t="shared" si="130"/>
        <v>#VALUE!</v>
      </c>
      <c r="E8366" t="e">
        <f>cubic_spline(CURVA!$B$6:$B$20,CURVA!$G$6:$G$20,#REF!)</f>
        <v>#VALUE!</v>
      </c>
    </row>
    <row r="8367" spans="1:5" x14ac:dyDescent="0.2">
      <c r="A8367" s="28">
        <v>8366</v>
      </c>
      <c r="B8367" s="28" t="e">
        <f>interpola(#REF!,CURVA!$B$6:$B$20,CURVA!$G$6:$G$20)</f>
        <v>#VALUE!</v>
      </c>
      <c r="C8367" s="29" t="e">
        <f t="shared" si="130"/>
        <v>#VALUE!</v>
      </c>
      <c r="E8367" t="e">
        <f>cubic_spline(CURVA!$B$6:$B$20,CURVA!$G$6:$G$20,#REF!)</f>
        <v>#VALUE!</v>
      </c>
    </row>
    <row r="8368" spans="1:5" x14ac:dyDescent="0.2">
      <c r="A8368" s="28">
        <v>8367</v>
      </c>
      <c r="B8368" s="28" t="e">
        <f>interpola(#REF!,CURVA!$B$6:$B$20,CURVA!$G$6:$G$20)</f>
        <v>#VALUE!</v>
      </c>
      <c r="C8368" s="29" t="e">
        <f t="shared" si="130"/>
        <v>#VALUE!</v>
      </c>
      <c r="E8368" t="e">
        <f>cubic_spline(CURVA!$B$6:$B$20,CURVA!$G$6:$G$20,#REF!)</f>
        <v>#VALUE!</v>
      </c>
    </row>
    <row r="8369" spans="1:5" x14ac:dyDescent="0.2">
      <c r="A8369" s="28">
        <v>8368</v>
      </c>
      <c r="B8369" s="28" t="e">
        <f>interpola(#REF!,CURVA!$B$6:$B$20,CURVA!$G$6:$G$20)</f>
        <v>#VALUE!</v>
      </c>
      <c r="C8369" s="29" t="e">
        <f t="shared" si="130"/>
        <v>#VALUE!</v>
      </c>
      <c r="E8369" t="e">
        <f>cubic_spline(CURVA!$B$6:$B$20,CURVA!$G$6:$G$20,#REF!)</f>
        <v>#VALUE!</v>
      </c>
    </row>
    <row r="8370" spans="1:5" x14ac:dyDescent="0.2">
      <c r="A8370" s="28">
        <v>8369</v>
      </c>
      <c r="B8370" s="28" t="e">
        <f>interpola(#REF!,CURVA!$B$6:$B$20,CURVA!$G$6:$G$20)</f>
        <v>#VALUE!</v>
      </c>
      <c r="C8370" s="29" t="e">
        <f t="shared" si="130"/>
        <v>#VALUE!</v>
      </c>
      <c r="E8370" t="e">
        <f>cubic_spline(CURVA!$B$6:$B$20,CURVA!$G$6:$G$20,#REF!)</f>
        <v>#VALUE!</v>
      </c>
    </row>
    <row r="8371" spans="1:5" x14ac:dyDescent="0.2">
      <c r="A8371" s="28">
        <v>8370</v>
      </c>
      <c r="B8371" s="28" t="e">
        <f>interpola(#REF!,CURVA!$B$6:$B$20,CURVA!$G$6:$G$20)</f>
        <v>#VALUE!</v>
      </c>
      <c r="C8371" s="29" t="e">
        <f t="shared" si="130"/>
        <v>#VALUE!</v>
      </c>
      <c r="E8371" t="e">
        <f>cubic_spline(CURVA!$B$6:$B$20,CURVA!$G$6:$G$20,#REF!)</f>
        <v>#VALUE!</v>
      </c>
    </row>
    <row r="8372" spans="1:5" x14ac:dyDescent="0.2">
      <c r="A8372" s="28">
        <v>8371</v>
      </c>
      <c r="B8372" s="28" t="e">
        <f>interpola(#REF!,CURVA!$B$6:$B$20,CURVA!$G$6:$G$20)</f>
        <v>#VALUE!</v>
      </c>
      <c r="C8372" s="29" t="e">
        <f t="shared" si="130"/>
        <v>#VALUE!</v>
      </c>
      <c r="E8372" t="e">
        <f>cubic_spline(CURVA!$B$6:$B$20,CURVA!$G$6:$G$20,#REF!)</f>
        <v>#VALUE!</v>
      </c>
    </row>
    <row r="8373" spans="1:5" x14ac:dyDescent="0.2">
      <c r="A8373" s="28">
        <v>8372</v>
      </c>
      <c r="B8373" s="28" t="e">
        <f>interpola(#REF!,CURVA!$B$6:$B$20,CURVA!$G$6:$G$20)</f>
        <v>#VALUE!</v>
      </c>
      <c r="C8373" s="29" t="e">
        <f t="shared" si="130"/>
        <v>#VALUE!</v>
      </c>
      <c r="E8373" t="e">
        <f>cubic_spline(CURVA!$B$6:$B$20,CURVA!$G$6:$G$20,#REF!)</f>
        <v>#VALUE!</v>
      </c>
    </row>
    <row r="8374" spans="1:5" x14ac:dyDescent="0.2">
      <c r="A8374" s="28">
        <v>8373</v>
      </c>
      <c r="B8374" s="28" t="e">
        <f>interpola(#REF!,CURVA!$B$6:$B$20,CURVA!$G$6:$G$20)</f>
        <v>#VALUE!</v>
      </c>
      <c r="C8374" s="29" t="e">
        <f t="shared" si="130"/>
        <v>#VALUE!</v>
      </c>
      <c r="E8374" t="e">
        <f>cubic_spline(CURVA!$B$6:$B$20,CURVA!$G$6:$G$20,#REF!)</f>
        <v>#VALUE!</v>
      </c>
    </row>
    <row r="8375" spans="1:5" x14ac:dyDescent="0.2">
      <c r="A8375" s="28">
        <v>8374</v>
      </c>
      <c r="B8375" s="28" t="e">
        <f>interpola(#REF!,CURVA!$B$6:$B$20,CURVA!$G$6:$G$20)</f>
        <v>#VALUE!</v>
      </c>
      <c r="C8375" s="29" t="e">
        <f t="shared" si="130"/>
        <v>#VALUE!</v>
      </c>
      <c r="E8375" t="e">
        <f>cubic_spline(CURVA!$B$6:$B$20,CURVA!$G$6:$G$20,#REF!)</f>
        <v>#VALUE!</v>
      </c>
    </row>
    <row r="8376" spans="1:5" x14ac:dyDescent="0.2">
      <c r="A8376" s="28">
        <v>8375</v>
      </c>
      <c r="B8376" s="28" t="e">
        <f>interpola(#REF!,CURVA!$B$6:$B$20,CURVA!$G$6:$G$20)</f>
        <v>#VALUE!</v>
      </c>
      <c r="C8376" s="29" t="e">
        <f t="shared" si="130"/>
        <v>#VALUE!</v>
      </c>
      <c r="E8376" t="e">
        <f>cubic_spline(CURVA!$B$6:$B$20,CURVA!$G$6:$G$20,#REF!)</f>
        <v>#VALUE!</v>
      </c>
    </row>
    <row r="8377" spans="1:5" x14ac:dyDescent="0.2">
      <c r="A8377" s="28">
        <v>8376</v>
      </c>
      <c r="B8377" s="28" t="e">
        <f>interpola(#REF!,CURVA!$B$6:$B$20,CURVA!$G$6:$G$20)</f>
        <v>#VALUE!</v>
      </c>
      <c r="C8377" s="29" t="e">
        <f t="shared" si="130"/>
        <v>#VALUE!</v>
      </c>
      <c r="E8377" t="e">
        <f>cubic_spline(CURVA!$B$6:$B$20,CURVA!$G$6:$G$20,#REF!)</f>
        <v>#VALUE!</v>
      </c>
    </row>
    <row r="8378" spans="1:5" x14ac:dyDescent="0.2">
      <c r="A8378" s="28">
        <v>8377</v>
      </c>
      <c r="B8378" s="28" t="e">
        <f>interpola(#REF!,CURVA!$B$6:$B$20,CURVA!$G$6:$G$20)</f>
        <v>#VALUE!</v>
      </c>
      <c r="C8378" s="29" t="e">
        <f t="shared" si="130"/>
        <v>#VALUE!</v>
      </c>
      <c r="E8378" t="e">
        <f>cubic_spline(CURVA!$B$6:$B$20,CURVA!$G$6:$G$20,#REF!)</f>
        <v>#VALUE!</v>
      </c>
    </row>
    <row r="8379" spans="1:5" x14ac:dyDescent="0.2">
      <c r="A8379" s="28">
        <v>8378</v>
      </c>
      <c r="B8379" s="28" t="e">
        <f>interpola(#REF!,CURVA!$B$6:$B$20,CURVA!$G$6:$G$20)</f>
        <v>#VALUE!</v>
      </c>
      <c r="C8379" s="29" t="e">
        <f t="shared" si="130"/>
        <v>#VALUE!</v>
      </c>
      <c r="E8379" t="e">
        <f>cubic_spline(CURVA!$B$6:$B$20,CURVA!$G$6:$G$20,#REF!)</f>
        <v>#VALUE!</v>
      </c>
    </row>
    <row r="8380" spans="1:5" x14ac:dyDescent="0.2">
      <c r="A8380" s="28">
        <v>8379</v>
      </c>
      <c r="B8380" s="28" t="e">
        <f>interpola(#REF!,CURVA!$B$6:$B$20,CURVA!$G$6:$G$20)</f>
        <v>#VALUE!</v>
      </c>
      <c r="C8380" s="29" t="e">
        <f t="shared" si="130"/>
        <v>#VALUE!</v>
      </c>
      <c r="E8380" t="e">
        <f>cubic_spline(CURVA!$B$6:$B$20,CURVA!$G$6:$G$20,#REF!)</f>
        <v>#VALUE!</v>
      </c>
    </row>
    <row r="8381" spans="1:5" x14ac:dyDescent="0.2">
      <c r="A8381" s="28">
        <v>8380</v>
      </c>
      <c r="B8381" s="28" t="e">
        <f>interpola(#REF!,CURVA!$B$6:$B$20,CURVA!$G$6:$G$20)</f>
        <v>#VALUE!</v>
      </c>
      <c r="C8381" s="29" t="e">
        <f t="shared" si="130"/>
        <v>#VALUE!</v>
      </c>
      <c r="E8381" t="e">
        <f>cubic_spline(CURVA!$B$6:$B$20,CURVA!$G$6:$G$20,#REF!)</f>
        <v>#VALUE!</v>
      </c>
    </row>
    <row r="8382" spans="1:5" x14ac:dyDescent="0.2">
      <c r="A8382" s="28">
        <v>8381</v>
      </c>
      <c r="B8382" s="28" t="e">
        <f>interpola(#REF!,CURVA!$B$6:$B$20,CURVA!$G$6:$G$20)</f>
        <v>#VALUE!</v>
      </c>
      <c r="C8382" s="29" t="e">
        <f t="shared" si="130"/>
        <v>#VALUE!</v>
      </c>
      <c r="E8382" t="e">
        <f>cubic_spline(CURVA!$B$6:$B$20,CURVA!$G$6:$G$20,#REF!)</f>
        <v>#VALUE!</v>
      </c>
    </row>
    <row r="8383" spans="1:5" x14ac:dyDescent="0.2">
      <c r="A8383" s="28">
        <v>8382</v>
      </c>
      <c r="B8383" s="28" t="e">
        <f>interpola(#REF!,CURVA!$B$6:$B$20,CURVA!$G$6:$G$20)</f>
        <v>#VALUE!</v>
      </c>
      <c r="C8383" s="29" t="e">
        <f t="shared" si="130"/>
        <v>#VALUE!</v>
      </c>
      <c r="E8383" t="e">
        <f>cubic_spline(CURVA!$B$6:$B$20,CURVA!$G$6:$G$20,#REF!)</f>
        <v>#VALUE!</v>
      </c>
    </row>
    <row r="8384" spans="1:5" x14ac:dyDescent="0.2">
      <c r="A8384" s="28">
        <v>8383</v>
      </c>
      <c r="B8384" s="28" t="e">
        <f>interpola(#REF!,CURVA!$B$6:$B$20,CURVA!$G$6:$G$20)</f>
        <v>#VALUE!</v>
      </c>
      <c r="C8384" s="29" t="e">
        <f t="shared" si="130"/>
        <v>#VALUE!</v>
      </c>
      <c r="E8384" t="e">
        <f>cubic_spline(CURVA!$B$6:$B$20,CURVA!$G$6:$G$20,#REF!)</f>
        <v>#VALUE!</v>
      </c>
    </row>
    <row r="8385" spans="1:5" x14ac:dyDescent="0.2">
      <c r="A8385" s="28">
        <v>8384</v>
      </c>
      <c r="B8385" s="28" t="e">
        <f>interpola(#REF!,CURVA!$B$6:$B$20,CURVA!$G$6:$G$20)</f>
        <v>#VALUE!</v>
      </c>
      <c r="C8385" s="29" t="e">
        <f t="shared" si="130"/>
        <v>#VALUE!</v>
      </c>
      <c r="E8385" t="e">
        <f>cubic_spline(CURVA!$B$6:$B$20,CURVA!$G$6:$G$20,#REF!)</f>
        <v>#VALUE!</v>
      </c>
    </row>
    <row r="8386" spans="1:5" x14ac:dyDescent="0.2">
      <c r="A8386" s="28">
        <v>8385</v>
      </c>
      <c r="B8386" s="28" t="e">
        <f>interpola(#REF!,CURVA!$B$6:$B$20,CURVA!$G$6:$G$20)</f>
        <v>#VALUE!</v>
      </c>
      <c r="C8386" s="29" t="e">
        <f t="shared" ref="C8386:C8449" si="131">(EXP(B8386*A8386/360)-1)*360/A8386</f>
        <v>#VALUE!</v>
      </c>
      <c r="E8386" t="e">
        <f>cubic_spline(CURVA!$B$6:$B$20,CURVA!$G$6:$G$20,#REF!)</f>
        <v>#VALUE!</v>
      </c>
    </row>
    <row r="8387" spans="1:5" x14ac:dyDescent="0.2">
      <c r="A8387" s="28">
        <v>8386</v>
      </c>
      <c r="B8387" s="28" t="e">
        <f>interpola(#REF!,CURVA!$B$6:$B$20,CURVA!$G$6:$G$20)</f>
        <v>#VALUE!</v>
      </c>
      <c r="C8387" s="29" t="e">
        <f t="shared" si="131"/>
        <v>#VALUE!</v>
      </c>
      <c r="E8387" t="e">
        <f>cubic_spline(CURVA!$B$6:$B$20,CURVA!$G$6:$G$20,#REF!)</f>
        <v>#VALUE!</v>
      </c>
    </row>
    <row r="8388" spans="1:5" x14ac:dyDescent="0.2">
      <c r="A8388" s="28">
        <v>8387</v>
      </c>
      <c r="B8388" s="28" t="e">
        <f>interpola(#REF!,CURVA!$B$6:$B$20,CURVA!$G$6:$G$20)</f>
        <v>#VALUE!</v>
      </c>
      <c r="C8388" s="29" t="e">
        <f t="shared" si="131"/>
        <v>#VALUE!</v>
      </c>
      <c r="E8388" t="e">
        <f>cubic_spline(CURVA!$B$6:$B$20,CURVA!$G$6:$G$20,#REF!)</f>
        <v>#VALUE!</v>
      </c>
    </row>
    <row r="8389" spans="1:5" x14ac:dyDescent="0.2">
      <c r="A8389" s="28">
        <v>8388</v>
      </c>
      <c r="B8389" s="28" t="e">
        <f>interpola(#REF!,CURVA!$B$6:$B$20,CURVA!$G$6:$G$20)</f>
        <v>#VALUE!</v>
      </c>
      <c r="C8389" s="29" t="e">
        <f t="shared" si="131"/>
        <v>#VALUE!</v>
      </c>
      <c r="E8389" t="e">
        <f>cubic_spline(CURVA!$B$6:$B$20,CURVA!$G$6:$G$20,#REF!)</f>
        <v>#VALUE!</v>
      </c>
    </row>
    <row r="8390" spans="1:5" x14ac:dyDescent="0.2">
      <c r="A8390" s="28">
        <v>8389</v>
      </c>
      <c r="B8390" s="28" t="e">
        <f>interpola(#REF!,CURVA!$B$6:$B$20,CURVA!$G$6:$G$20)</f>
        <v>#VALUE!</v>
      </c>
      <c r="C8390" s="29" t="e">
        <f t="shared" si="131"/>
        <v>#VALUE!</v>
      </c>
      <c r="E8390" t="e">
        <f>cubic_spline(CURVA!$B$6:$B$20,CURVA!$G$6:$G$20,#REF!)</f>
        <v>#VALUE!</v>
      </c>
    </row>
    <row r="8391" spans="1:5" x14ac:dyDescent="0.2">
      <c r="A8391" s="28">
        <v>8390</v>
      </c>
      <c r="B8391" s="28" t="e">
        <f>interpola(#REF!,CURVA!$B$6:$B$20,CURVA!$G$6:$G$20)</f>
        <v>#VALUE!</v>
      </c>
      <c r="C8391" s="29" t="e">
        <f t="shared" si="131"/>
        <v>#VALUE!</v>
      </c>
      <c r="E8391" t="e">
        <f>cubic_spline(CURVA!$B$6:$B$20,CURVA!$G$6:$G$20,#REF!)</f>
        <v>#VALUE!</v>
      </c>
    </row>
    <row r="8392" spans="1:5" x14ac:dyDescent="0.2">
      <c r="A8392" s="28">
        <v>8391</v>
      </c>
      <c r="B8392" s="28" t="e">
        <f>interpola(#REF!,CURVA!$B$6:$B$20,CURVA!$G$6:$G$20)</f>
        <v>#VALUE!</v>
      </c>
      <c r="C8392" s="29" t="e">
        <f t="shared" si="131"/>
        <v>#VALUE!</v>
      </c>
      <c r="E8392" t="e">
        <f>cubic_spline(CURVA!$B$6:$B$20,CURVA!$G$6:$G$20,#REF!)</f>
        <v>#VALUE!</v>
      </c>
    </row>
    <row r="8393" spans="1:5" x14ac:dyDescent="0.2">
      <c r="A8393" s="28">
        <v>8392</v>
      </c>
      <c r="B8393" s="28" t="e">
        <f>interpola(#REF!,CURVA!$B$6:$B$20,CURVA!$G$6:$G$20)</f>
        <v>#VALUE!</v>
      </c>
      <c r="C8393" s="29" t="e">
        <f t="shared" si="131"/>
        <v>#VALUE!</v>
      </c>
      <c r="E8393" t="e">
        <f>cubic_spline(CURVA!$B$6:$B$20,CURVA!$G$6:$G$20,#REF!)</f>
        <v>#VALUE!</v>
      </c>
    </row>
    <row r="8394" spans="1:5" x14ac:dyDescent="0.2">
      <c r="A8394" s="28">
        <v>8393</v>
      </c>
      <c r="B8394" s="28" t="e">
        <f>interpola(#REF!,CURVA!$B$6:$B$20,CURVA!$G$6:$G$20)</f>
        <v>#VALUE!</v>
      </c>
      <c r="C8394" s="29" t="e">
        <f t="shared" si="131"/>
        <v>#VALUE!</v>
      </c>
      <c r="E8394" t="e">
        <f>cubic_spline(CURVA!$B$6:$B$20,CURVA!$G$6:$G$20,#REF!)</f>
        <v>#VALUE!</v>
      </c>
    </row>
    <row r="8395" spans="1:5" x14ac:dyDescent="0.2">
      <c r="A8395" s="28">
        <v>8394</v>
      </c>
      <c r="B8395" s="28" t="e">
        <f>interpola(#REF!,CURVA!$B$6:$B$20,CURVA!$G$6:$G$20)</f>
        <v>#VALUE!</v>
      </c>
      <c r="C8395" s="29" t="e">
        <f t="shared" si="131"/>
        <v>#VALUE!</v>
      </c>
      <c r="E8395" t="e">
        <f>cubic_spline(CURVA!$B$6:$B$20,CURVA!$G$6:$G$20,#REF!)</f>
        <v>#VALUE!</v>
      </c>
    </row>
    <row r="8396" spans="1:5" x14ac:dyDescent="0.2">
      <c r="A8396" s="28">
        <v>8395</v>
      </c>
      <c r="B8396" s="28" t="e">
        <f>interpola(#REF!,CURVA!$B$6:$B$20,CURVA!$G$6:$G$20)</f>
        <v>#VALUE!</v>
      </c>
      <c r="C8396" s="29" t="e">
        <f t="shared" si="131"/>
        <v>#VALUE!</v>
      </c>
      <c r="E8396" t="e">
        <f>cubic_spline(CURVA!$B$6:$B$20,CURVA!$G$6:$G$20,#REF!)</f>
        <v>#VALUE!</v>
      </c>
    </row>
    <row r="8397" spans="1:5" x14ac:dyDescent="0.2">
      <c r="A8397" s="28">
        <v>8396</v>
      </c>
      <c r="B8397" s="28" t="e">
        <f>interpola(#REF!,CURVA!$B$6:$B$20,CURVA!$G$6:$G$20)</f>
        <v>#VALUE!</v>
      </c>
      <c r="C8397" s="29" t="e">
        <f t="shared" si="131"/>
        <v>#VALUE!</v>
      </c>
      <c r="E8397" t="e">
        <f>cubic_spline(CURVA!$B$6:$B$20,CURVA!$G$6:$G$20,#REF!)</f>
        <v>#VALUE!</v>
      </c>
    </row>
    <row r="8398" spans="1:5" x14ac:dyDescent="0.2">
      <c r="A8398" s="28">
        <v>8397</v>
      </c>
      <c r="B8398" s="28" t="e">
        <f>interpola(#REF!,CURVA!$B$6:$B$20,CURVA!$G$6:$G$20)</f>
        <v>#VALUE!</v>
      </c>
      <c r="C8398" s="29" t="e">
        <f t="shared" si="131"/>
        <v>#VALUE!</v>
      </c>
      <c r="E8398" t="e">
        <f>cubic_spline(CURVA!$B$6:$B$20,CURVA!$G$6:$G$20,#REF!)</f>
        <v>#VALUE!</v>
      </c>
    </row>
    <row r="8399" spans="1:5" x14ac:dyDescent="0.2">
      <c r="A8399" s="28">
        <v>8398</v>
      </c>
      <c r="B8399" s="28" t="e">
        <f>interpola(#REF!,CURVA!$B$6:$B$20,CURVA!$G$6:$G$20)</f>
        <v>#VALUE!</v>
      </c>
      <c r="C8399" s="29" t="e">
        <f t="shared" si="131"/>
        <v>#VALUE!</v>
      </c>
      <c r="E8399" t="e">
        <f>cubic_spline(CURVA!$B$6:$B$20,CURVA!$G$6:$G$20,#REF!)</f>
        <v>#VALUE!</v>
      </c>
    </row>
    <row r="8400" spans="1:5" x14ac:dyDescent="0.2">
      <c r="A8400" s="28">
        <v>8399</v>
      </c>
      <c r="B8400" s="28" t="e">
        <f>interpola(#REF!,CURVA!$B$6:$B$20,CURVA!$G$6:$G$20)</f>
        <v>#VALUE!</v>
      </c>
      <c r="C8400" s="29" t="e">
        <f t="shared" si="131"/>
        <v>#VALUE!</v>
      </c>
      <c r="E8400" t="e">
        <f>cubic_spline(CURVA!$B$6:$B$20,CURVA!$G$6:$G$20,#REF!)</f>
        <v>#VALUE!</v>
      </c>
    </row>
    <row r="8401" spans="1:5" x14ac:dyDescent="0.2">
      <c r="A8401" s="28">
        <v>8400</v>
      </c>
      <c r="B8401" s="28" t="e">
        <f>interpola(#REF!,CURVA!$B$6:$B$20,CURVA!$G$6:$G$20)</f>
        <v>#VALUE!</v>
      </c>
      <c r="C8401" s="29" t="e">
        <f t="shared" si="131"/>
        <v>#VALUE!</v>
      </c>
      <c r="E8401" t="e">
        <f>cubic_spline(CURVA!$B$6:$B$20,CURVA!$G$6:$G$20,#REF!)</f>
        <v>#VALUE!</v>
      </c>
    </row>
    <row r="8402" spans="1:5" x14ac:dyDescent="0.2">
      <c r="A8402" s="28">
        <v>8401</v>
      </c>
      <c r="B8402" s="28" t="e">
        <f>interpola(#REF!,CURVA!$B$6:$B$20,CURVA!$G$6:$G$20)</f>
        <v>#VALUE!</v>
      </c>
      <c r="C8402" s="29" t="e">
        <f t="shared" si="131"/>
        <v>#VALUE!</v>
      </c>
      <c r="E8402" t="e">
        <f>cubic_spline(CURVA!$B$6:$B$20,CURVA!$G$6:$G$20,#REF!)</f>
        <v>#VALUE!</v>
      </c>
    </row>
    <row r="8403" spans="1:5" x14ac:dyDescent="0.2">
      <c r="A8403" s="28">
        <v>8402</v>
      </c>
      <c r="B8403" s="28" t="e">
        <f>interpola(#REF!,CURVA!$B$6:$B$20,CURVA!$G$6:$G$20)</f>
        <v>#VALUE!</v>
      </c>
      <c r="C8403" s="29" t="e">
        <f t="shared" si="131"/>
        <v>#VALUE!</v>
      </c>
      <c r="E8403" t="e">
        <f>cubic_spline(CURVA!$B$6:$B$20,CURVA!$G$6:$G$20,#REF!)</f>
        <v>#VALUE!</v>
      </c>
    </row>
    <row r="8404" spans="1:5" x14ac:dyDescent="0.2">
      <c r="A8404" s="28">
        <v>8403</v>
      </c>
      <c r="B8404" s="28" t="e">
        <f>interpola(#REF!,CURVA!$B$6:$B$20,CURVA!$G$6:$G$20)</f>
        <v>#VALUE!</v>
      </c>
      <c r="C8404" s="29" t="e">
        <f t="shared" si="131"/>
        <v>#VALUE!</v>
      </c>
      <c r="E8404" t="e">
        <f>cubic_spline(CURVA!$B$6:$B$20,CURVA!$G$6:$G$20,#REF!)</f>
        <v>#VALUE!</v>
      </c>
    </row>
    <row r="8405" spans="1:5" x14ac:dyDescent="0.2">
      <c r="A8405" s="28">
        <v>8404</v>
      </c>
      <c r="B8405" s="28" t="e">
        <f>interpola(#REF!,CURVA!$B$6:$B$20,CURVA!$G$6:$G$20)</f>
        <v>#VALUE!</v>
      </c>
      <c r="C8405" s="29" t="e">
        <f t="shared" si="131"/>
        <v>#VALUE!</v>
      </c>
      <c r="E8405" t="e">
        <f>cubic_spline(CURVA!$B$6:$B$20,CURVA!$G$6:$G$20,#REF!)</f>
        <v>#VALUE!</v>
      </c>
    </row>
    <row r="8406" spans="1:5" x14ac:dyDescent="0.2">
      <c r="A8406" s="28">
        <v>8405</v>
      </c>
      <c r="B8406" s="28" t="e">
        <f>interpola(#REF!,CURVA!$B$6:$B$20,CURVA!$G$6:$G$20)</f>
        <v>#VALUE!</v>
      </c>
      <c r="C8406" s="29" t="e">
        <f t="shared" si="131"/>
        <v>#VALUE!</v>
      </c>
      <c r="E8406" t="e">
        <f>cubic_spline(CURVA!$B$6:$B$20,CURVA!$G$6:$G$20,#REF!)</f>
        <v>#VALUE!</v>
      </c>
    </row>
    <row r="8407" spans="1:5" x14ac:dyDescent="0.2">
      <c r="A8407" s="28">
        <v>8406</v>
      </c>
      <c r="B8407" s="28" t="e">
        <f>interpola(#REF!,CURVA!$B$6:$B$20,CURVA!$G$6:$G$20)</f>
        <v>#VALUE!</v>
      </c>
      <c r="C8407" s="29" t="e">
        <f t="shared" si="131"/>
        <v>#VALUE!</v>
      </c>
      <c r="E8407" t="e">
        <f>cubic_spline(CURVA!$B$6:$B$20,CURVA!$G$6:$G$20,#REF!)</f>
        <v>#VALUE!</v>
      </c>
    </row>
    <row r="8408" spans="1:5" x14ac:dyDescent="0.2">
      <c r="A8408" s="28">
        <v>8407</v>
      </c>
      <c r="B8408" s="28" t="e">
        <f>interpola(#REF!,CURVA!$B$6:$B$20,CURVA!$G$6:$G$20)</f>
        <v>#VALUE!</v>
      </c>
      <c r="C8408" s="29" t="e">
        <f t="shared" si="131"/>
        <v>#VALUE!</v>
      </c>
      <c r="E8408" t="e">
        <f>cubic_spline(CURVA!$B$6:$B$20,CURVA!$G$6:$G$20,#REF!)</f>
        <v>#VALUE!</v>
      </c>
    </row>
    <row r="8409" spans="1:5" x14ac:dyDescent="0.2">
      <c r="A8409" s="28">
        <v>8408</v>
      </c>
      <c r="B8409" s="28" t="e">
        <f>interpola(#REF!,CURVA!$B$6:$B$20,CURVA!$G$6:$G$20)</f>
        <v>#VALUE!</v>
      </c>
      <c r="C8409" s="29" t="e">
        <f t="shared" si="131"/>
        <v>#VALUE!</v>
      </c>
      <c r="E8409" t="e">
        <f>cubic_spline(CURVA!$B$6:$B$20,CURVA!$G$6:$G$20,#REF!)</f>
        <v>#VALUE!</v>
      </c>
    </row>
    <row r="8410" spans="1:5" x14ac:dyDescent="0.2">
      <c r="A8410" s="28">
        <v>8409</v>
      </c>
      <c r="B8410" s="28" t="e">
        <f>interpola(#REF!,CURVA!$B$6:$B$20,CURVA!$G$6:$G$20)</f>
        <v>#VALUE!</v>
      </c>
      <c r="C8410" s="29" t="e">
        <f t="shared" si="131"/>
        <v>#VALUE!</v>
      </c>
      <c r="E8410" t="e">
        <f>cubic_spline(CURVA!$B$6:$B$20,CURVA!$G$6:$G$20,#REF!)</f>
        <v>#VALUE!</v>
      </c>
    </row>
    <row r="8411" spans="1:5" x14ac:dyDescent="0.2">
      <c r="A8411" s="28">
        <v>8410</v>
      </c>
      <c r="B8411" s="28" t="e">
        <f>interpola(#REF!,CURVA!$B$6:$B$20,CURVA!$G$6:$G$20)</f>
        <v>#VALUE!</v>
      </c>
      <c r="C8411" s="29" t="e">
        <f t="shared" si="131"/>
        <v>#VALUE!</v>
      </c>
      <c r="E8411" t="e">
        <f>cubic_spline(CURVA!$B$6:$B$20,CURVA!$G$6:$G$20,#REF!)</f>
        <v>#VALUE!</v>
      </c>
    </row>
    <row r="8412" spans="1:5" x14ac:dyDescent="0.2">
      <c r="A8412" s="28">
        <v>8411</v>
      </c>
      <c r="B8412" s="28" t="e">
        <f>interpola(#REF!,CURVA!$B$6:$B$20,CURVA!$G$6:$G$20)</f>
        <v>#VALUE!</v>
      </c>
      <c r="C8412" s="29" t="e">
        <f t="shared" si="131"/>
        <v>#VALUE!</v>
      </c>
      <c r="E8412" t="e">
        <f>cubic_spline(CURVA!$B$6:$B$20,CURVA!$G$6:$G$20,#REF!)</f>
        <v>#VALUE!</v>
      </c>
    </row>
    <row r="8413" spans="1:5" x14ac:dyDescent="0.2">
      <c r="A8413" s="28">
        <v>8412</v>
      </c>
      <c r="B8413" s="28" t="e">
        <f>interpola(#REF!,CURVA!$B$6:$B$20,CURVA!$G$6:$G$20)</f>
        <v>#VALUE!</v>
      </c>
      <c r="C8413" s="29" t="e">
        <f t="shared" si="131"/>
        <v>#VALUE!</v>
      </c>
      <c r="E8413" t="e">
        <f>cubic_spline(CURVA!$B$6:$B$20,CURVA!$G$6:$G$20,#REF!)</f>
        <v>#VALUE!</v>
      </c>
    </row>
    <row r="8414" spans="1:5" x14ac:dyDescent="0.2">
      <c r="A8414" s="28">
        <v>8413</v>
      </c>
      <c r="B8414" s="28" t="e">
        <f>interpola(#REF!,CURVA!$B$6:$B$20,CURVA!$G$6:$G$20)</f>
        <v>#VALUE!</v>
      </c>
      <c r="C8414" s="29" t="e">
        <f t="shared" si="131"/>
        <v>#VALUE!</v>
      </c>
      <c r="E8414" t="e">
        <f>cubic_spline(CURVA!$B$6:$B$20,CURVA!$G$6:$G$20,#REF!)</f>
        <v>#VALUE!</v>
      </c>
    </row>
    <row r="8415" spans="1:5" x14ac:dyDescent="0.2">
      <c r="A8415" s="28">
        <v>8414</v>
      </c>
      <c r="B8415" s="28" t="e">
        <f>interpola(#REF!,CURVA!$B$6:$B$20,CURVA!$G$6:$G$20)</f>
        <v>#VALUE!</v>
      </c>
      <c r="C8415" s="29" t="e">
        <f t="shared" si="131"/>
        <v>#VALUE!</v>
      </c>
      <c r="E8415" t="e">
        <f>cubic_spline(CURVA!$B$6:$B$20,CURVA!$G$6:$G$20,#REF!)</f>
        <v>#VALUE!</v>
      </c>
    </row>
    <row r="8416" spans="1:5" x14ac:dyDescent="0.2">
      <c r="A8416" s="28">
        <v>8415</v>
      </c>
      <c r="B8416" s="28" t="e">
        <f>interpola(#REF!,CURVA!$B$6:$B$20,CURVA!$G$6:$G$20)</f>
        <v>#VALUE!</v>
      </c>
      <c r="C8416" s="29" t="e">
        <f t="shared" si="131"/>
        <v>#VALUE!</v>
      </c>
      <c r="E8416" t="e">
        <f>cubic_spline(CURVA!$B$6:$B$20,CURVA!$G$6:$G$20,#REF!)</f>
        <v>#VALUE!</v>
      </c>
    </row>
    <row r="8417" spans="1:5" x14ac:dyDescent="0.2">
      <c r="A8417" s="28">
        <v>8416</v>
      </c>
      <c r="B8417" s="28" t="e">
        <f>interpola(#REF!,CURVA!$B$6:$B$20,CURVA!$G$6:$G$20)</f>
        <v>#VALUE!</v>
      </c>
      <c r="C8417" s="29" t="e">
        <f t="shared" si="131"/>
        <v>#VALUE!</v>
      </c>
      <c r="E8417" t="e">
        <f>cubic_spline(CURVA!$B$6:$B$20,CURVA!$G$6:$G$20,#REF!)</f>
        <v>#VALUE!</v>
      </c>
    </row>
    <row r="8418" spans="1:5" x14ac:dyDescent="0.2">
      <c r="A8418" s="28">
        <v>8417</v>
      </c>
      <c r="B8418" s="28" t="e">
        <f>interpola(#REF!,CURVA!$B$6:$B$20,CURVA!$G$6:$G$20)</f>
        <v>#VALUE!</v>
      </c>
      <c r="C8418" s="29" t="e">
        <f t="shared" si="131"/>
        <v>#VALUE!</v>
      </c>
      <c r="E8418" t="e">
        <f>cubic_spline(CURVA!$B$6:$B$20,CURVA!$G$6:$G$20,#REF!)</f>
        <v>#VALUE!</v>
      </c>
    </row>
    <row r="8419" spans="1:5" x14ac:dyDescent="0.2">
      <c r="A8419" s="28">
        <v>8418</v>
      </c>
      <c r="B8419" s="28" t="e">
        <f>interpola(#REF!,CURVA!$B$6:$B$20,CURVA!$G$6:$G$20)</f>
        <v>#VALUE!</v>
      </c>
      <c r="C8419" s="29" t="e">
        <f t="shared" si="131"/>
        <v>#VALUE!</v>
      </c>
      <c r="E8419" t="e">
        <f>cubic_spline(CURVA!$B$6:$B$20,CURVA!$G$6:$G$20,#REF!)</f>
        <v>#VALUE!</v>
      </c>
    </row>
    <row r="8420" spans="1:5" x14ac:dyDescent="0.2">
      <c r="A8420" s="28">
        <v>8419</v>
      </c>
      <c r="B8420" s="28" t="e">
        <f>interpola(#REF!,CURVA!$B$6:$B$20,CURVA!$G$6:$G$20)</f>
        <v>#VALUE!</v>
      </c>
      <c r="C8420" s="29" t="e">
        <f t="shared" si="131"/>
        <v>#VALUE!</v>
      </c>
      <c r="E8420" t="e">
        <f>cubic_spline(CURVA!$B$6:$B$20,CURVA!$G$6:$G$20,#REF!)</f>
        <v>#VALUE!</v>
      </c>
    </row>
    <row r="8421" spans="1:5" x14ac:dyDescent="0.2">
      <c r="A8421" s="28">
        <v>8420</v>
      </c>
      <c r="B8421" s="28" t="e">
        <f>interpola(#REF!,CURVA!$B$6:$B$20,CURVA!$G$6:$G$20)</f>
        <v>#VALUE!</v>
      </c>
      <c r="C8421" s="29" t="e">
        <f t="shared" si="131"/>
        <v>#VALUE!</v>
      </c>
      <c r="E8421" t="e">
        <f>cubic_spline(CURVA!$B$6:$B$20,CURVA!$G$6:$G$20,#REF!)</f>
        <v>#VALUE!</v>
      </c>
    </row>
    <row r="8422" spans="1:5" x14ac:dyDescent="0.2">
      <c r="A8422" s="28">
        <v>8421</v>
      </c>
      <c r="B8422" s="28" t="e">
        <f>interpola(#REF!,CURVA!$B$6:$B$20,CURVA!$G$6:$G$20)</f>
        <v>#VALUE!</v>
      </c>
      <c r="C8422" s="29" t="e">
        <f t="shared" si="131"/>
        <v>#VALUE!</v>
      </c>
      <c r="E8422" t="e">
        <f>cubic_spline(CURVA!$B$6:$B$20,CURVA!$G$6:$G$20,#REF!)</f>
        <v>#VALUE!</v>
      </c>
    </row>
    <row r="8423" spans="1:5" x14ac:dyDescent="0.2">
      <c r="A8423" s="28">
        <v>8422</v>
      </c>
      <c r="B8423" s="28" t="e">
        <f>interpola(#REF!,CURVA!$B$6:$B$20,CURVA!$G$6:$G$20)</f>
        <v>#VALUE!</v>
      </c>
      <c r="C8423" s="29" t="e">
        <f t="shared" si="131"/>
        <v>#VALUE!</v>
      </c>
      <c r="E8423" t="e">
        <f>cubic_spline(CURVA!$B$6:$B$20,CURVA!$G$6:$G$20,#REF!)</f>
        <v>#VALUE!</v>
      </c>
    </row>
    <row r="8424" spans="1:5" x14ac:dyDescent="0.2">
      <c r="A8424" s="28">
        <v>8423</v>
      </c>
      <c r="B8424" s="28" t="e">
        <f>interpola(#REF!,CURVA!$B$6:$B$20,CURVA!$G$6:$G$20)</f>
        <v>#VALUE!</v>
      </c>
      <c r="C8424" s="29" t="e">
        <f t="shared" si="131"/>
        <v>#VALUE!</v>
      </c>
      <c r="E8424" t="e">
        <f>cubic_spline(CURVA!$B$6:$B$20,CURVA!$G$6:$G$20,#REF!)</f>
        <v>#VALUE!</v>
      </c>
    </row>
    <row r="8425" spans="1:5" x14ac:dyDescent="0.2">
      <c r="A8425" s="28">
        <v>8424</v>
      </c>
      <c r="B8425" s="28" t="e">
        <f>interpola(#REF!,CURVA!$B$6:$B$20,CURVA!$G$6:$G$20)</f>
        <v>#VALUE!</v>
      </c>
      <c r="C8425" s="29" t="e">
        <f t="shared" si="131"/>
        <v>#VALUE!</v>
      </c>
      <c r="E8425" t="e">
        <f>cubic_spline(CURVA!$B$6:$B$20,CURVA!$G$6:$G$20,#REF!)</f>
        <v>#VALUE!</v>
      </c>
    </row>
    <row r="8426" spans="1:5" x14ac:dyDescent="0.2">
      <c r="A8426" s="28">
        <v>8425</v>
      </c>
      <c r="B8426" s="28" t="e">
        <f>interpola(#REF!,CURVA!$B$6:$B$20,CURVA!$G$6:$G$20)</f>
        <v>#VALUE!</v>
      </c>
      <c r="C8426" s="29" t="e">
        <f t="shared" si="131"/>
        <v>#VALUE!</v>
      </c>
      <c r="E8426" t="e">
        <f>cubic_spline(CURVA!$B$6:$B$20,CURVA!$G$6:$G$20,#REF!)</f>
        <v>#VALUE!</v>
      </c>
    </row>
    <row r="8427" spans="1:5" x14ac:dyDescent="0.2">
      <c r="A8427" s="28">
        <v>8426</v>
      </c>
      <c r="B8427" s="28" t="e">
        <f>interpola(#REF!,CURVA!$B$6:$B$20,CURVA!$G$6:$G$20)</f>
        <v>#VALUE!</v>
      </c>
      <c r="C8427" s="29" t="e">
        <f t="shared" si="131"/>
        <v>#VALUE!</v>
      </c>
      <c r="E8427" t="e">
        <f>cubic_spline(CURVA!$B$6:$B$20,CURVA!$G$6:$G$20,#REF!)</f>
        <v>#VALUE!</v>
      </c>
    </row>
    <row r="8428" spans="1:5" x14ac:dyDescent="0.2">
      <c r="A8428" s="28">
        <v>8427</v>
      </c>
      <c r="B8428" s="28" t="e">
        <f>interpola(#REF!,CURVA!$B$6:$B$20,CURVA!$G$6:$G$20)</f>
        <v>#VALUE!</v>
      </c>
      <c r="C8428" s="29" t="e">
        <f t="shared" si="131"/>
        <v>#VALUE!</v>
      </c>
      <c r="E8428" t="e">
        <f>cubic_spline(CURVA!$B$6:$B$20,CURVA!$G$6:$G$20,#REF!)</f>
        <v>#VALUE!</v>
      </c>
    </row>
    <row r="8429" spans="1:5" x14ac:dyDescent="0.2">
      <c r="A8429" s="28">
        <v>8428</v>
      </c>
      <c r="B8429" s="28" t="e">
        <f>interpola(#REF!,CURVA!$B$6:$B$20,CURVA!$G$6:$G$20)</f>
        <v>#VALUE!</v>
      </c>
      <c r="C8429" s="29" t="e">
        <f t="shared" si="131"/>
        <v>#VALUE!</v>
      </c>
      <c r="E8429" t="e">
        <f>cubic_spline(CURVA!$B$6:$B$20,CURVA!$G$6:$G$20,#REF!)</f>
        <v>#VALUE!</v>
      </c>
    </row>
    <row r="8430" spans="1:5" x14ac:dyDescent="0.2">
      <c r="A8430" s="28">
        <v>8429</v>
      </c>
      <c r="B8430" s="28" t="e">
        <f>interpola(#REF!,CURVA!$B$6:$B$20,CURVA!$G$6:$G$20)</f>
        <v>#VALUE!</v>
      </c>
      <c r="C8430" s="29" t="e">
        <f t="shared" si="131"/>
        <v>#VALUE!</v>
      </c>
      <c r="E8430" t="e">
        <f>cubic_spline(CURVA!$B$6:$B$20,CURVA!$G$6:$G$20,#REF!)</f>
        <v>#VALUE!</v>
      </c>
    </row>
    <row r="8431" spans="1:5" x14ac:dyDescent="0.2">
      <c r="A8431" s="28">
        <v>8430</v>
      </c>
      <c r="B8431" s="28" t="e">
        <f>interpola(#REF!,CURVA!$B$6:$B$20,CURVA!$G$6:$G$20)</f>
        <v>#VALUE!</v>
      </c>
      <c r="C8431" s="29" t="e">
        <f t="shared" si="131"/>
        <v>#VALUE!</v>
      </c>
      <c r="E8431" t="e">
        <f>cubic_spline(CURVA!$B$6:$B$20,CURVA!$G$6:$G$20,#REF!)</f>
        <v>#VALUE!</v>
      </c>
    </row>
    <row r="8432" spans="1:5" x14ac:dyDescent="0.2">
      <c r="A8432" s="28">
        <v>8431</v>
      </c>
      <c r="B8432" s="28" t="e">
        <f>interpola(#REF!,CURVA!$B$6:$B$20,CURVA!$G$6:$G$20)</f>
        <v>#VALUE!</v>
      </c>
      <c r="C8432" s="29" t="e">
        <f t="shared" si="131"/>
        <v>#VALUE!</v>
      </c>
      <c r="E8432" t="e">
        <f>cubic_spline(CURVA!$B$6:$B$20,CURVA!$G$6:$G$20,#REF!)</f>
        <v>#VALUE!</v>
      </c>
    </row>
    <row r="8433" spans="1:5" x14ac:dyDescent="0.2">
      <c r="A8433" s="28">
        <v>8432</v>
      </c>
      <c r="B8433" s="28" t="e">
        <f>interpola(#REF!,CURVA!$B$6:$B$20,CURVA!$G$6:$G$20)</f>
        <v>#VALUE!</v>
      </c>
      <c r="C8433" s="29" t="e">
        <f t="shared" si="131"/>
        <v>#VALUE!</v>
      </c>
      <c r="E8433" t="e">
        <f>cubic_spline(CURVA!$B$6:$B$20,CURVA!$G$6:$G$20,#REF!)</f>
        <v>#VALUE!</v>
      </c>
    </row>
    <row r="8434" spans="1:5" x14ac:dyDescent="0.2">
      <c r="A8434" s="28">
        <v>8433</v>
      </c>
      <c r="B8434" s="28" t="e">
        <f>interpola(#REF!,CURVA!$B$6:$B$20,CURVA!$G$6:$G$20)</f>
        <v>#VALUE!</v>
      </c>
      <c r="C8434" s="29" t="e">
        <f t="shared" si="131"/>
        <v>#VALUE!</v>
      </c>
      <c r="E8434" t="e">
        <f>cubic_spline(CURVA!$B$6:$B$20,CURVA!$G$6:$G$20,#REF!)</f>
        <v>#VALUE!</v>
      </c>
    </row>
    <row r="8435" spans="1:5" x14ac:dyDescent="0.2">
      <c r="A8435" s="28">
        <v>8434</v>
      </c>
      <c r="B8435" s="28" t="e">
        <f>interpola(#REF!,CURVA!$B$6:$B$20,CURVA!$G$6:$G$20)</f>
        <v>#VALUE!</v>
      </c>
      <c r="C8435" s="29" t="e">
        <f t="shared" si="131"/>
        <v>#VALUE!</v>
      </c>
      <c r="E8435" t="e">
        <f>cubic_spline(CURVA!$B$6:$B$20,CURVA!$G$6:$G$20,#REF!)</f>
        <v>#VALUE!</v>
      </c>
    </row>
    <row r="8436" spans="1:5" x14ac:dyDescent="0.2">
      <c r="A8436" s="28">
        <v>8435</v>
      </c>
      <c r="B8436" s="28" t="e">
        <f>interpola(#REF!,CURVA!$B$6:$B$20,CURVA!$G$6:$G$20)</f>
        <v>#VALUE!</v>
      </c>
      <c r="C8436" s="29" t="e">
        <f t="shared" si="131"/>
        <v>#VALUE!</v>
      </c>
      <c r="E8436" t="e">
        <f>cubic_spline(CURVA!$B$6:$B$20,CURVA!$G$6:$G$20,#REF!)</f>
        <v>#VALUE!</v>
      </c>
    </row>
    <row r="8437" spans="1:5" x14ac:dyDescent="0.2">
      <c r="A8437" s="28">
        <v>8436</v>
      </c>
      <c r="B8437" s="28" t="e">
        <f>interpola(#REF!,CURVA!$B$6:$B$20,CURVA!$G$6:$G$20)</f>
        <v>#VALUE!</v>
      </c>
      <c r="C8437" s="29" t="e">
        <f t="shared" si="131"/>
        <v>#VALUE!</v>
      </c>
      <c r="E8437" t="e">
        <f>cubic_spline(CURVA!$B$6:$B$20,CURVA!$G$6:$G$20,#REF!)</f>
        <v>#VALUE!</v>
      </c>
    </row>
    <row r="8438" spans="1:5" x14ac:dyDescent="0.2">
      <c r="A8438" s="28">
        <v>8437</v>
      </c>
      <c r="B8438" s="28" t="e">
        <f>interpola(#REF!,CURVA!$B$6:$B$20,CURVA!$G$6:$G$20)</f>
        <v>#VALUE!</v>
      </c>
      <c r="C8438" s="29" t="e">
        <f t="shared" si="131"/>
        <v>#VALUE!</v>
      </c>
      <c r="E8438" t="e">
        <f>cubic_spline(CURVA!$B$6:$B$20,CURVA!$G$6:$G$20,#REF!)</f>
        <v>#VALUE!</v>
      </c>
    </row>
    <row r="8439" spans="1:5" x14ac:dyDescent="0.2">
      <c r="A8439" s="28">
        <v>8438</v>
      </c>
      <c r="B8439" s="28" t="e">
        <f>interpola(#REF!,CURVA!$B$6:$B$20,CURVA!$G$6:$G$20)</f>
        <v>#VALUE!</v>
      </c>
      <c r="C8439" s="29" t="e">
        <f t="shared" si="131"/>
        <v>#VALUE!</v>
      </c>
      <c r="E8439" t="e">
        <f>cubic_spline(CURVA!$B$6:$B$20,CURVA!$G$6:$G$20,#REF!)</f>
        <v>#VALUE!</v>
      </c>
    </row>
    <row r="8440" spans="1:5" x14ac:dyDescent="0.2">
      <c r="A8440" s="28">
        <v>8439</v>
      </c>
      <c r="B8440" s="28" t="e">
        <f>interpola(#REF!,CURVA!$B$6:$B$20,CURVA!$G$6:$G$20)</f>
        <v>#VALUE!</v>
      </c>
      <c r="C8440" s="29" t="e">
        <f t="shared" si="131"/>
        <v>#VALUE!</v>
      </c>
      <c r="E8440" t="e">
        <f>cubic_spline(CURVA!$B$6:$B$20,CURVA!$G$6:$G$20,#REF!)</f>
        <v>#VALUE!</v>
      </c>
    </row>
    <row r="8441" spans="1:5" x14ac:dyDescent="0.2">
      <c r="A8441" s="28">
        <v>8440</v>
      </c>
      <c r="B8441" s="28" t="e">
        <f>interpola(#REF!,CURVA!$B$6:$B$20,CURVA!$G$6:$G$20)</f>
        <v>#VALUE!</v>
      </c>
      <c r="C8441" s="29" t="e">
        <f t="shared" si="131"/>
        <v>#VALUE!</v>
      </c>
      <c r="E8441" t="e">
        <f>cubic_spline(CURVA!$B$6:$B$20,CURVA!$G$6:$G$20,#REF!)</f>
        <v>#VALUE!</v>
      </c>
    </row>
    <row r="8442" spans="1:5" x14ac:dyDescent="0.2">
      <c r="A8442" s="28">
        <v>8441</v>
      </c>
      <c r="B8442" s="28" t="e">
        <f>interpola(#REF!,CURVA!$B$6:$B$20,CURVA!$G$6:$G$20)</f>
        <v>#VALUE!</v>
      </c>
      <c r="C8442" s="29" t="e">
        <f t="shared" si="131"/>
        <v>#VALUE!</v>
      </c>
      <c r="E8442" t="e">
        <f>cubic_spline(CURVA!$B$6:$B$20,CURVA!$G$6:$G$20,#REF!)</f>
        <v>#VALUE!</v>
      </c>
    </row>
    <row r="8443" spans="1:5" x14ac:dyDescent="0.2">
      <c r="A8443" s="28">
        <v>8442</v>
      </c>
      <c r="B8443" s="28" t="e">
        <f>interpola(#REF!,CURVA!$B$6:$B$20,CURVA!$G$6:$G$20)</f>
        <v>#VALUE!</v>
      </c>
      <c r="C8443" s="29" t="e">
        <f t="shared" si="131"/>
        <v>#VALUE!</v>
      </c>
      <c r="E8443" t="e">
        <f>cubic_spline(CURVA!$B$6:$B$20,CURVA!$G$6:$G$20,#REF!)</f>
        <v>#VALUE!</v>
      </c>
    </row>
    <row r="8444" spans="1:5" x14ac:dyDescent="0.2">
      <c r="A8444" s="28">
        <v>8443</v>
      </c>
      <c r="B8444" s="28" t="e">
        <f>interpola(#REF!,CURVA!$B$6:$B$20,CURVA!$G$6:$G$20)</f>
        <v>#VALUE!</v>
      </c>
      <c r="C8444" s="29" t="e">
        <f t="shared" si="131"/>
        <v>#VALUE!</v>
      </c>
      <c r="E8444" t="e">
        <f>cubic_spline(CURVA!$B$6:$B$20,CURVA!$G$6:$G$20,#REF!)</f>
        <v>#VALUE!</v>
      </c>
    </row>
    <row r="8445" spans="1:5" x14ac:dyDescent="0.2">
      <c r="A8445" s="28">
        <v>8444</v>
      </c>
      <c r="B8445" s="28" t="e">
        <f>interpola(#REF!,CURVA!$B$6:$B$20,CURVA!$G$6:$G$20)</f>
        <v>#VALUE!</v>
      </c>
      <c r="C8445" s="29" t="e">
        <f t="shared" si="131"/>
        <v>#VALUE!</v>
      </c>
      <c r="E8445" t="e">
        <f>cubic_spline(CURVA!$B$6:$B$20,CURVA!$G$6:$G$20,#REF!)</f>
        <v>#VALUE!</v>
      </c>
    </row>
    <row r="8446" spans="1:5" x14ac:dyDescent="0.2">
      <c r="A8446" s="28">
        <v>8445</v>
      </c>
      <c r="B8446" s="28" t="e">
        <f>interpola(#REF!,CURVA!$B$6:$B$20,CURVA!$G$6:$G$20)</f>
        <v>#VALUE!</v>
      </c>
      <c r="C8446" s="29" t="e">
        <f t="shared" si="131"/>
        <v>#VALUE!</v>
      </c>
      <c r="E8446" t="e">
        <f>cubic_spline(CURVA!$B$6:$B$20,CURVA!$G$6:$G$20,#REF!)</f>
        <v>#VALUE!</v>
      </c>
    </row>
    <row r="8447" spans="1:5" x14ac:dyDescent="0.2">
      <c r="A8447" s="28">
        <v>8446</v>
      </c>
      <c r="B8447" s="28" t="e">
        <f>interpola(#REF!,CURVA!$B$6:$B$20,CURVA!$G$6:$G$20)</f>
        <v>#VALUE!</v>
      </c>
      <c r="C8447" s="29" t="e">
        <f t="shared" si="131"/>
        <v>#VALUE!</v>
      </c>
      <c r="E8447" t="e">
        <f>cubic_spline(CURVA!$B$6:$B$20,CURVA!$G$6:$G$20,#REF!)</f>
        <v>#VALUE!</v>
      </c>
    </row>
    <row r="8448" spans="1:5" x14ac:dyDescent="0.2">
      <c r="A8448" s="28">
        <v>8447</v>
      </c>
      <c r="B8448" s="28" t="e">
        <f>interpola(#REF!,CURVA!$B$6:$B$20,CURVA!$G$6:$G$20)</f>
        <v>#VALUE!</v>
      </c>
      <c r="C8448" s="29" t="e">
        <f t="shared" si="131"/>
        <v>#VALUE!</v>
      </c>
      <c r="E8448" t="e">
        <f>cubic_spline(CURVA!$B$6:$B$20,CURVA!$G$6:$G$20,#REF!)</f>
        <v>#VALUE!</v>
      </c>
    </row>
    <row r="8449" spans="1:5" x14ac:dyDescent="0.2">
      <c r="A8449" s="28">
        <v>8448</v>
      </c>
      <c r="B8449" s="28" t="e">
        <f>interpola(#REF!,CURVA!$B$6:$B$20,CURVA!$G$6:$G$20)</f>
        <v>#VALUE!</v>
      </c>
      <c r="C8449" s="29" t="e">
        <f t="shared" si="131"/>
        <v>#VALUE!</v>
      </c>
      <c r="E8449" t="e">
        <f>cubic_spline(CURVA!$B$6:$B$20,CURVA!$G$6:$G$20,#REF!)</f>
        <v>#VALUE!</v>
      </c>
    </row>
    <row r="8450" spans="1:5" x14ac:dyDescent="0.2">
      <c r="A8450" s="28">
        <v>8449</v>
      </c>
      <c r="B8450" s="28" t="e">
        <f>interpola(#REF!,CURVA!$B$6:$B$20,CURVA!$G$6:$G$20)</f>
        <v>#VALUE!</v>
      </c>
      <c r="C8450" s="29" t="e">
        <f t="shared" ref="C8450:C8513" si="132">(EXP(B8450*A8450/360)-1)*360/A8450</f>
        <v>#VALUE!</v>
      </c>
      <c r="E8450" t="e">
        <f>cubic_spline(CURVA!$B$6:$B$20,CURVA!$G$6:$G$20,#REF!)</f>
        <v>#VALUE!</v>
      </c>
    </row>
    <row r="8451" spans="1:5" x14ac:dyDescent="0.2">
      <c r="A8451" s="28">
        <v>8450</v>
      </c>
      <c r="B8451" s="28" t="e">
        <f>interpola(#REF!,CURVA!$B$6:$B$20,CURVA!$G$6:$G$20)</f>
        <v>#VALUE!</v>
      </c>
      <c r="C8451" s="29" t="e">
        <f t="shared" si="132"/>
        <v>#VALUE!</v>
      </c>
      <c r="E8451" t="e">
        <f>cubic_spline(CURVA!$B$6:$B$20,CURVA!$G$6:$G$20,#REF!)</f>
        <v>#VALUE!</v>
      </c>
    </row>
    <row r="8452" spans="1:5" x14ac:dyDescent="0.2">
      <c r="A8452" s="28">
        <v>8451</v>
      </c>
      <c r="B8452" s="28" t="e">
        <f>interpola(#REF!,CURVA!$B$6:$B$20,CURVA!$G$6:$G$20)</f>
        <v>#VALUE!</v>
      </c>
      <c r="C8452" s="29" t="e">
        <f t="shared" si="132"/>
        <v>#VALUE!</v>
      </c>
      <c r="E8452" t="e">
        <f>cubic_spline(CURVA!$B$6:$B$20,CURVA!$G$6:$G$20,#REF!)</f>
        <v>#VALUE!</v>
      </c>
    </row>
    <row r="8453" spans="1:5" x14ac:dyDescent="0.2">
      <c r="A8453" s="28">
        <v>8452</v>
      </c>
      <c r="B8453" s="28" t="e">
        <f>interpola(#REF!,CURVA!$B$6:$B$20,CURVA!$G$6:$G$20)</f>
        <v>#VALUE!</v>
      </c>
      <c r="C8453" s="29" t="e">
        <f t="shared" si="132"/>
        <v>#VALUE!</v>
      </c>
      <c r="E8453" t="e">
        <f>cubic_spline(CURVA!$B$6:$B$20,CURVA!$G$6:$G$20,#REF!)</f>
        <v>#VALUE!</v>
      </c>
    </row>
    <row r="8454" spans="1:5" x14ac:dyDescent="0.2">
      <c r="A8454" s="28">
        <v>8453</v>
      </c>
      <c r="B8454" s="28" t="e">
        <f>interpola(#REF!,CURVA!$B$6:$B$20,CURVA!$G$6:$G$20)</f>
        <v>#VALUE!</v>
      </c>
      <c r="C8454" s="29" t="e">
        <f t="shared" si="132"/>
        <v>#VALUE!</v>
      </c>
      <c r="E8454" t="e">
        <f>cubic_spline(CURVA!$B$6:$B$20,CURVA!$G$6:$G$20,#REF!)</f>
        <v>#VALUE!</v>
      </c>
    </row>
    <row r="8455" spans="1:5" x14ac:dyDescent="0.2">
      <c r="A8455" s="28">
        <v>8454</v>
      </c>
      <c r="B8455" s="28" t="e">
        <f>interpola(#REF!,CURVA!$B$6:$B$20,CURVA!$G$6:$G$20)</f>
        <v>#VALUE!</v>
      </c>
      <c r="C8455" s="29" t="e">
        <f t="shared" si="132"/>
        <v>#VALUE!</v>
      </c>
      <c r="E8455" t="e">
        <f>cubic_spline(CURVA!$B$6:$B$20,CURVA!$G$6:$G$20,#REF!)</f>
        <v>#VALUE!</v>
      </c>
    </row>
    <row r="8456" spans="1:5" x14ac:dyDescent="0.2">
      <c r="A8456" s="28">
        <v>8455</v>
      </c>
      <c r="B8456" s="28" t="e">
        <f>interpola(#REF!,CURVA!$B$6:$B$20,CURVA!$G$6:$G$20)</f>
        <v>#VALUE!</v>
      </c>
      <c r="C8456" s="29" t="e">
        <f t="shared" si="132"/>
        <v>#VALUE!</v>
      </c>
      <c r="E8456" t="e">
        <f>cubic_spline(CURVA!$B$6:$B$20,CURVA!$G$6:$G$20,#REF!)</f>
        <v>#VALUE!</v>
      </c>
    </row>
    <row r="8457" spans="1:5" x14ac:dyDescent="0.2">
      <c r="A8457" s="28">
        <v>8456</v>
      </c>
      <c r="B8457" s="28" t="e">
        <f>interpola(#REF!,CURVA!$B$6:$B$20,CURVA!$G$6:$G$20)</f>
        <v>#VALUE!</v>
      </c>
      <c r="C8457" s="29" t="e">
        <f t="shared" si="132"/>
        <v>#VALUE!</v>
      </c>
      <c r="E8457" t="e">
        <f>cubic_spline(CURVA!$B$6:$B$20,CURVA!$G$6:$G$20,#REF!)</f>
        <v>#VALUE!</v>
      </c>
    </row>
    <row r="8458" spans="1:5" x14ac:dyDescent="0.2">
      <c r="A8458" s="28">
        <v>8457</v>
      </c>
      <c r="B8458" s="28" t="e">
        <f>interpola(#REF!,CURVA!$B$6:$B$20,CURVA!$G$6:$G$20)</f>
        <v>#VALUE!</v>
      </c>
      <c r="C8458" s="29" t="e">
        <f t="shared" si="132"/>
        <v>#VALUE!</v>
      </c>
      <c r="E8458" t="e">
        <f>cubic_spline(CURVA!$B$6:$B$20,CURVA!$G$6:$G$20,#REF!)</f>
        <v>#VALUE!</v>
      </c>
    </row>
    <row r="8459" spans="1:5" x14ac:dyDescent="0.2">
      <c r="A8459" s="28">
        <v>8458</v>
      </c>
      <c r="B8459" s="28" t="e">
        <f>interpola(#REF!,CURVA!$B$6:$B$20,CURVA!$G$6:$G$20)</f>
        <v>#VALUE!</v>
      </c>
      <c r="C8459" s="29" t="e">
        <f t="shared" si="132"/>
        <v>#VALUE!</v>
      </c>
      <c r="E8459" t="e">
        <f>cubic_spline(CURVA!$B$6:$B$20,CURVA!$G$6:$G$20,#REF!)</f>
        <v>#VALUE!</v>
      </c>
    </row>
    <row r="8460" spans="1:5" x14ac:dyDescent="0.2">
      <c r="A8460" s="28">
        <v>8459</v>
      </c>
      <c r="B8460" s="28" t="e">
        <f>interpola(#REF!,CURVA!$B$6:$B$20,CURVA!$G$6:$G$20)</f>
        <v>#VALUE!</v>
      </c>
      <c r="C8460" s="29" t="e">
        <f t="shared" si="132"/>
        <v>#VALUE!</v>
      </c>
      <c r="E8460" t="e">
        <f>cubic_spline(CURVA!$B$6:$B$20,CURVA!$G$6:$G$20,#REF!)</f>
        <v>#VALUE!</v>
      </c>
    </row>
    <row r="8461" spans="1:5" x14ac:dyDescent="0.2">
      <c r="A8461" s="28">
        <v>8460</v>
      </c>
      <c r="B8461" s="28" t="e">
        <f>interpola(#REF!,CURVA!$B$6:$B$20,CURVA!$G$6:$G$20)</f>
        <v>#VALUE!</v>
      </c>
      <c r="C8461" s="29" t="e">
        <f t="shared" si="132"/>
        <v>#VALUE!</v>
      </c>
      <c r="E8461" t="e">
        <f>cubic_spline(CURVA!$B$6:$B$20,CURVA!$G$6:$G$20,#REF!)</f>
        <v>#VALUE!</v>
      </c>
    </row>
    <row r="8462" spans="1:5" x14ac:dyDescent="0.2">
      <c r="A8462" s="28">
        <v>8461</v>
      </c>
      <c r="B8462" s="28" t="e">
        <f>interpola(#REF!,CURVA!$B$6:$B$20,CURVA!$G$6:$G$20)</f>
        <v>#VALUE!</v>
      </c>
      <c r="C8462" s="29" t="e">
        <f t="shared" si="132"/>
        <v>#VALUE!</v>
      </c>
      <c r="E8462" t="e">
        <f>cubic_spline(CURVA!$B$6:$B$20,CURVA!$G$6:$G$20,#REF!)</f>
        <v>#VALUE!</v>
      </c>
    </row>
    <row r="8463" spans="1:5" x14ac:dyDescent="0.2">
      <c r="A8463" s="28">
        <v>8462</v>
      </c>
      <c r="B8463" s="28" t="e">
        <f>interpola(#REF!,CURVA!$B$6:$B$20,CURVA!$G$6:$G$20)</f>
        <v>#VALUE!</v>
      </c>
      <c r="C8463" s="29" t="e">
        <f t="shared" si="132"/>
        <v>#VALUE!</v>
      </c>
      <c r="E8463" t="e">
        <f>cubic_spline(CURVA!$B$6:$B$20,CURVA!$G$6:$G$20,#REF!)</f>
        <v>#VALUE!</v>
      </c>
    </row>
    <row r="8464" spans="1:5" x14ac:dyDescent="0.2">
      <c r="A8464" s="28">
        <v>8463</v>
      </c>
      <c r="B8464" s="28" t="e">
        <f>interpola(#REF!,CURVA!$B$6:$B$20,CURVA!$G$6:$G$20)</f>
        <v>#VALUE!</v>
      </c>
      <c r="C8464" s="29" t="e">
        <f t="shared" si="132"/>
        <v>#VALUE!</v>
      </c>
      <c r="E8464" t="e">
        <f>cubic_spline(CURVA!$B$6:$B$20,CURVA!$G$6:$G$20,#REF!)</f>
        <v>#VALUE!</v>
      </c>
    </row>
    <row r="8465" spans="1:5" x14ac:dyDescent="0.2">
      <c r="A8465" s="28">
        <v>8464</v>
      </c>
      <c r="B8465" s="28" t="e">
        <f>interpola(#REF!,CURVA!$B$6:$B$20,CURVA!$G$6:$G$20)</f>
        <v>#VALUE!</v>
      </c>
      <c r="C8465" s="29" t="e">
        <f t="shared" si="132"/>
        <v>#VALUE!</v>
      </c>
      <c r="E8465" t="e">
        <f>cubic_spline(CURVA!$B$6:$B$20,CURVA!$G$6:$G$20,#REF!)</f>
        <v>#VALUE!</v>
      </c>
    </row>
    <row r="8466" spans="1:5" x14ac:dyDescent="0.2">
      <c r="A8466" s="28">
        <v>8465</v>
      </c>
      <c r="B8466" s="28" t="e">
        <f>interpola(#REF!,CURVA!$B$6:$B$20,CURVA!$G$6:$G$20)</f>
        <v>#VALUE!</v>
      </c>
      <c r="C8466" s="29" t="e">
        <f t="shared" si="132"/>
        <v>#VALUE!</v>
      </c>
      <c r="E8466" t="e">
        <f>cubic_spline(CURVA!$B$6:$B$20,CURVA!$G$6:$G$20,#REF!)</f>
        <v>#VALUE!</v>
      </c>
    </row>
    <row r="8467" spans="1:5" x14ac:dyDescent="0.2">
      <c r="A8467" s="28">
        <v>8466</v>
      </c>
      <c r="B8467" s="28" t="e">
        <f>interpola(#REF!,CURVA!$B$6:$B$20,CURVA!$G$6:$G$20)</f>
        <v>#VALUE!</v>
      </c>
      <c r="C8467" s="29" t="e">
        <f t="shared" si="132"/>
        <v>#VALUE!</v>
      </c>
      <c r="E8467" t="e">
        <f>cubic_spline(CURVA!$B$6:$B$20,CURVA!$G$6:$G$20,#REF!)</f>
        <v>#VALUE!</v>
      </c>
    </row>
    <row r="8468" spans="1:5" x14ac:dyDescent="0.2">
      <c r="A8468" s="28">
        <v>8467</v>
      </c>
      <c r="B8468" s="28" t="e">
        <f>interpola(#REF!,CURVA!$B$6:$B$20,CURVA!$G$6:$G$20)</f>
        <v>#VALUE!</v>
      </c>
      <c r="C8468" s="29" t="e">
        <f t="shared" si="132"/>
        <v>#VALUE!</v>
      </c>
      <c r="E8468" t="e">
        <f>cubic_spline(CURVA!$B$6:$B$20,CURVA!$G$6:$G$20,#REF!)</f>
        <v>#VALUE!</v>
      </c>
    </row>
    <row r="8469" spans="1:5" x14ac:dyDescent="0.2">
      <c r="A8469" s="28">
        <v>8468</v>
      </c>
      <c r="B8469" s="28" t="e">
        <f>interpola(#REF!,CURVA!$B$6:$B$20,CURVA!$G$6:$G$20)</f>
        <v>#VALUE!</v>
      </c>
      <c r="C8469" s="29" t="e">
        <f t="shared" si="132"/>
        <v>#VALUE!</v>
      </c>
      <c r="E8469" t="e">
        <f>cubic_spline(CURVA!$B$6:$B$20,CURVA!$G$6:$G$20,#REF!)</f>
        <v>#VALUE!</v>
      </c>
    </row>
    <row r="8470" spans="1:5" x14ac:dyDescent="0.2">
      <c r="A8470" s="28">
        <v>8469</v>
      </c>
      <c r="B8470" s="28" t="e">
        <f>interpola(#REF!,CURVA!$B$6:$B$20,CURVA!$G$6:$G$20)</f>
        <v>#VALUE!</v>
      </c>
      <c r="C8470" s="29" t="e">
        <f t="shared" si="132"/>
        <v>#VALUE!</v>
      </c>
      <c r="E8470" t="e">
        <f>cubic_spline(CURVA!$B$6:$B$20,CURVA!$G$6:$G$20,#REF!)</f>
        <v>#VALUE!</v>
      </c>
    </row>
    <row r="8471" spans="1:5" x14ac:dyDescent="0.2">
      <c r="A8471" s="28">
        <v>8470</v>
      </c>
      <c r="B8471" s="28" t="e">
        <f>interpola(#REF!,CURVA!$B$6:$B$20,CURVA!$G$6:$G$20)</f>
        <v>#VALUE!</v>
      </c>
      <c r="C8471" s="29" t="e">
        <f t="shared" si="132"/>
        <v>#VALUE!</v>
      </c>
      <c r="E8471" t="e">
        <f>cubic_spline(CURVA!$B$6:$B$20,CURVA!$G$6:$G$20,#REF!)</f>
        <v>#VALUE!</v>
      </c>
    </row>
    <row r="8472" spans="1:5" x14ac:dyDescent="0.2">
      <c r="A8472" s="28">
        <v>8471</v>
      </c>
      <c r="B8472" s="28" t="e">
        <f>interpola(#REF!,CURVA!$B$6:$B$20,CURVA!$G$6:$G$20)</f>
        <v>#VALUE!</v>
      </c>
      <c r="C8472" s="29" t="e">
        <f t="shared" si="132"/>
        <v>#VALUE!</v>
      </c>
      <c r="E8472" t="e">
        <f>cubic_spline(CURVA!$B$6:$B$20,CURVA!$G$6:$G$20,#REF!)</f>
        <v>#VALUE!</v>
      </c>
    </row>
    <row r="8473" spans="1:5" x14ac:dyDescent="0.2">
      <c r="A8473" s="28">
        <v>8472</v>
      </c>
      <c r="B8473" s="28" t="e">
        <f>interpola(#REF!,CURVA!$B$6:$B$20,CURVA!$G$6:$G$20)</f>
        <v>#VALUE!</v>
      </c>
      <c r="C8473" s="29" t="e">
        <f t="shared" si="132"/>
        <v>#VALUE!</v>
      </c>
      <c r="E8473" t="e">
        <f>cubic_spline(CURVA!$B$6:$B$20,CURVA!$G$6:$G$20,#REF!)</f>
        <v>#VALUE!</v>
      </c>
    </row>
    <row r="8474" spans="1:5" x14ac:dyDescent="0.2">
      <c r="A8474" s="28">
        <v>8473</v>
      </c>
      <c r="B8474" s="28" t="e">
        <f>interpola(#REF!,CURVA!$B$6:$B$20,CURVA!$G$6:$G$20)</f>
        <v>#VALUE!</v>
      </c>
      <c r="C8474" s="29" t="e">
        <f t="shared" si="132"/>
        <v>#VALUE!</v>
      </c>
      <c r="E8474" t="e">
        <f>cubic_spline(CURVA!$B$6:$B$20,CURVA!$G$6:$G$20,#REF!)</f>
        <v>#VALUE!</v>
      </c>
    </row>
    <row r="8475" spans="1:5" x14ac:dyDescent="0.2">
      <c r="A8475" s="28">
        <v>8474</v>
      </c>
      <c r="B8475" s="28" t="e">
        <f>interpola(#REF!,CURVA!$B$6:$B$20,CURVA!$G$6:$G$20)</f>
        <v>#VALUE!</v>
      </c>
      <c r="C8475" s="29" t="e">
        <f t="shared" si="132"/>
        <v>#VALUE!</v>
      </c>
      <c r="E8475" t="e">
        <f>cubic_spline(CURVA!$B$6:$B$20,CURVA!$G$6:$G$20,#REF!)</f>
        <v>#VALUE!</v>
      </c>
    </row>
    <row r="8476" spans="1:5" x14ac:dyDescent="0.2">
      <c r="A8476" s="28">
        <v>8475</v>
      </c>
      <c r="B8476" s="28" t="e">
        <f>interpola(#REF!,CURVA!$B$6:$B$20,CURVA!$G$6:$G$20)</f>
        <v>#VALUE!</v>
      </c>
      <c r="C8476" s="29" t="e">
        <f t="shared" si="132"/>
        <v>#VALUE!</v>
      </c>
      <c r="E8476" t="e">
        <f>cubic_spline(CURVA!$B$6:$B$20,CURVA!$G$6:$G$20,#REF!)</f>
        <v>#VALUE!</v>
      </c>
    </row>
    <row r="8477" spans="1:5" x14ac:dyDescent="0.2">
      <c r="A8477" s="28">
        <v>8476</v>
      </c>
      <c r="B8477" s="28" t="e">
        <f>interpola(#REF!,CURVA!$B$6:$B$20,CURVA!$G$6:$G$20)</f>
        <v>#VALUE!</v>
      </c>
      <c r="C8477" s="29" t="e">
        <f t="shared" si="132"/>
        <v>#VALUE!</v>
      </c>
      <c r="E8477" t="e">
        <f>cubic_spline(CURVA!$B$6:$B$20,CURVA!$G$6:$G$20,#REF!)</f>
        <v>#VALUE!</v>
      </c>
    </row>
    <row r="8478" spans="1:5" x14ac:dyDescent="0.2">
      <c r="A8478" s="28">
        <v>8477</v>
      </c>
      <c r="B8478" s="28" t="e">
        <f>interpola(#REF!,CURVA!$B$6:$B$20,CURVA!$G$6:$G$20)</f>
        <v>#VALUE!</v>
      </c>
      <c r="C8478" s="29" t="e">
        <f t="shared" si="132"/>
        <v>#VALUE!</v>
      </c>
      <c r="E8478" t="e">
        <f>cubic_spline(CURVA!$B$6:$B$20,CURVA!$G$6:$G$20,#REF!)</f>
        <v>#VALUE!</v>
      </c>
    </row>
    <row r="8479" spans="1:5" x14ac:dyDescent="0.2">
      <c r="A8479" s="28">
        <v>8478</v>
      </c>
      <c r="B8479" s="28" t="e">
        <f>interpola(#REF!,CURVA!$B$6:$B$20,CURVA!$G$6:$G$20)</f>
        <v>#VALUE!</v>
      </c>
      <c r="C8479" s="29" t="e">
        <f t="shared" si="132"/>
        <v>#VALUE!</v>
      </c>
      <c r="E8479" t="e">
        <f>cubic_spline(CURVA!$B$6:$B$20,CURVA!$G$6:$G$20,#REF!)</f>
        <v>#VALUE!</v>
      </c>
    </row>
    <row r="8480" spans="1:5" x14ac:dyDescent="0.2">
      <c r="A8480" s="28">
        <v>8479</v>
      </c>
      <c r="B8480" s="28" t="e">
        <f>interpola(#REF!,CURVA!$B$6:$B$20,CURVA!$G$6:$G$20)</f>
        <v>#VALUE!</v>
      </c>
      <c r="C8480" s="29" t="e">
        <f t="shared" si="132"/>
        <v>#VALUE!</v>
      </c>
      <c r="E8480" t="e">
        <f>cubic_spline(CURVA!$B$6:$B$20,CURVA!$G$6:$G$20,#REF!)</f>
        <v>#VALUE!</v>
      </c>
    </row>
    <row r="8481" spans="1:5" x14ac:dyDescent="0.2">
      <c r="A8481" s="28">
        <v>8480</v>
      </c>
      <c r="B8481" s="28" t="e">
        <f>interpola(#REF!,CURVA!$B$6:$B$20,CURVA!$G$6:$G$20)</f>
        <v>#VALUE!</v>
      </c>
      <c r="C8481" s="29" t="e">
        <f t="shared" si="132"/>
        <v>#VALUE!</v>
      </c>
      <c r="E8481" t="e">
        <f>cubic_spline(CURVA!$B$6:$B$20,CURVA!$G$6:$G$20,#REF!)</f>
        <v>#VALUE!</v>
      </c>
    </row>
    <row r="8482" spans="1:5" x14ac:dyDescent="0.2">
      <c r="A8482" s="28">
        <v>8481</v>
      </c>
      <c r="B8482" s="28" t="e">
        <f>interpola(#REF!,CURVA!$B$6:$B$20,CURVA!$G$6:$G$20)</f>
        <v>#VALUE!</v>
      </c>
      <c r="C8482" s="29" t="e">
        <f t="shared" si="132"/>
        <v>#VALUE!</v>
      </c>
      <c r="E8482" t="e">
        <f>cubic_spline(CURVA!$B$6:$B$20,CURVA!$G$6:$G$20,#REF!)</f>
        <v>#VALUE!</v>
      </c>
    </row>
    <row r="8483" spans="1:5" x14ac:dyDescent="0.2">
      <c r="A8483" s="28">
        <v>8482</v>
      </c>
      <c r="B8483" s="28" t="e">
        <f>interpola(#REF!,CURVA!$B$6:$B$20,CURVA!$G$6:$G$20)</f>
        <v>#VALUE!</v>
      </c>
      <c r="C8483" s="29" t="e">
        <f t="shared" si="132"/>
        <v>#VALUE!</v>
      </c>
      <c r="E8483" t="e">
        <f>cubic_spline(CURVA!$B$6:$B$20,CURVA!$G$6:$G$20,#REF!)</f>
        <v>#VALUE!</v>
      </c>
    </row>
    <row r="8484" spans="1:5" x14ac:dyDescent="0.2">
      <c r="A8484" s="28">
        <v>8483</v>
      </c>
      <c r="B8484" s="28" t="e">
        <f>interpola(#REF!,CURVA!$B$6:$B$20,CURVA!$G$6:$G$20)</f>
        <v>#VALUE!</v>
      </c>
      <c r="C8484" s="29" t="e">
        <f t="shared" si="132"/>
        <v>#VALUE!</v>
      </c>
      <c r="E8484" t="e">
        <f>cubic_spline(CURVA!$B$6:$B$20,CURVA!$G$6:$G$20,#REF!)</f>
        <v>#VALUE!</v>
      </c>
    </row>
    <row r="8485" spans="1:5" x14ac:dyDescent="0.2">
      <c r="A8485" s="28">
        <v>8484</v>
      </c>
      <c r="B8485" s="28" t="e">
        <f>interpola(#REF!,CURVA!$B$6:$B$20,CURVA!$G$6:$G$20)</f>
        <v>#VALUE!</v>
      </c>
      <c r="C8485" s="29" t="e">
        <f t="shared" si="132"/>
        <v>#VALUE!</v>
      </c>
      <c r="E8485" t="e">
        <f>cubic_spline(CURVA!$B$6:$B$20,CURVA!$G$6:$G$20,#REF!)</f>
        <v>#VALUE!</v>
      </c>
    </row>
    <row r="8486" spans="1:5" x14ac:dyDescent="0.2">
      <c r="A8486" s="28">
        <v>8485</v>
      </c>
      <c r="B8486" s="28" t="e">
        <f>interpola(#REF!,CURVA!$B$6:$B$20,CURVA!$G$6:$G$20)</f>
        <v>#VALUE!</v>
      </c>
      <c r="C8486" s="29" t="e">
        <f t="shared" si="132"/>
        <v>#VALUE!</v>
      </c>
      <c r="E8486" t="e">
        <f>cubic_spline(CURVA!$B$6:$B$20,CURVA!$G$6:$G$20,#REF!)</f>
        <v>#VALUE!</v>
      </c>
    </row>
    <row r="8487" spans="1:5" x14ac:dyDescent="0.2">
      <c r="A8487" s="28">
        <v>8486</v>
      </c>
      <c r="B8487" s="28" t="e">
        <f>interpola(#REF!,CURVA!$B$6:$B$20,CURVA!$G$6:$G$20)</f>
        <v>#VALUE!</v>
      </c>
      <c r="C8487" s="29" t="e">
        <f t="shared" si="132"/>
        <v>#VALUE!</v>
      </c>
      <c r="E8487" t="e">
        <f>cubic_spline(CURVA!$B$6:$B$20,CURVA!$G$6:$G$20,#REF!)</f>
        <v>#VALUE!</v>
      </c>
    </row>
    <row r="8488" spans="1:5" x14ac:dyDescent="0.2">
      <c r="A8488" s="28">
        <v>8487</v>
      </c>
      <c r="B8488" s="28" t="e">
        <f>interpola(#REF!,CURVA!$B$6:$B$20,CURVA!$G$6:$G$20)</f>
        <v>#VALUE!</v>
      </c>
      <c r="C8488" s="29" t="e">
        <f t="shared" si="132"/>
        <v>#VALUE!</v>
      </c>
      <c r="E8488" t="e">
        <f>cubic_spline(CURVA!$B$6:$B$20,CURVA!$G$6:$G$20,#REF!)</f>
        <v>#VALUE!</v>
      </c>
    </row>
    <row r="8489" spans="1:5" x14ac:dyDescent="0.2">
      <c r="A8489" s="28">
        <v>8488</v>
      </c>
      <c r="B8489" s="28" t="e">
        <f>interpola(#REF!,CURVA!$B$6:$B$20,CURVA!$G$6:$G$20)</f>
        <v>#VALUE!</v>
      </c>
      <c r="C8489" s="29" t="e">
        <f t="shared" si="132"/>
        <v>#VALUE!</v>
      </c>
      <c r="E8489" t="e">
        <f>cubic_spline(CURVA!$B$6:$B$20,CURVA!$G$6:$G$20,#REF!)</f>
        <v>#VALUE!</v>
      </c>
    </row>
    <row r="8490" spans="1:5" x14ac:dyDescent="0.2">
      <c r="A8490" s="28">
        <v>8489</v>
      </c>
      <c r="B8490" s="28" t="e">
        <f>interpola(#REF!,CURVA!$B$6:$B$20,CURVA!$G$6:$G$20)</f>
        <v>#VALUE!</v>
      </c>
      <c r="C8490" s="29" t="e">
        <f t="shared" si="132"/>
        <v>#VALUE!</v>
      </c>
      <c r="E8490" t="e">
        <f>cubic_spline(CURVA!$B$6:$B$20,CURVA!$G$6:$G$20,#REF!)</f>
        <v>#VALUE!</v>
      </c>
    </row>
    <row r="8491" spans="1:5" x14ac:dyDescent="0.2">
      <c r="A8491" s="28">
        <v>8490</v>
      </c>
      <c r="B8491" s="28" t="e">
        <f>interpola(#REF!,CURVA!$B$6:$B$20,CURVA!$G$6:$G$20)</f>
        <v>#VALUE!</v>
      </c>
      <c r="C8491" s="29" t="e">
        <f t="shared" si="132"/>
        <v>#VALUE!</v>
      </c>
      <c r="E8491" t="e">
        <f>cubic_spline(CURVA!$B$6:$B$20,CURVA!$G$6:$G$20,#REF!)</f>
        <v>#VALUE!</v>
      </c>
    </row>
    <row r="8492" spans="1:5" x14ac:dyDescent="0.2">
      <c r="A8492" s="28">
        <v>8491</v>
      </c>
      <c r="B8492" s="28" t="e">
        <f>interpola(#REF!,CURVA!$B$6:$B$20,CURVA!$G$6:$G$20)</f>
        <v>#VALUE!</v>
      </c>
      <c r="C8492" s="29" t="e">
        <f t="shared" si="132"/>
        <v>#VALUE!</v>
      </c>
      <c r="E8492" t="e">
        <f>cubic_spline(CURVA!$B$6:$B$20,CURVA!$G$6:$G$20,#REF!)</f>
        <v>#VALUE!</v>
      </c>
    </row>
    <row r="8493" spans="1:5" x14ac:dyDescent="0.2">
      <c r="A8493" s="28">
        <v>8492</v>
      </c>
      <c r="B8493" s="28" t="e">
        <f>interpola(#REF!,CURVA!$B$6:$B$20,CURVA!$G$6:$G$20)</f>
        <v>#VALUE!</v>
      </c>
      <c r="C8493" s="29" t="e">
        <f t="shared" si="132"/>
        <v>#VALUE!</v>
      </c>
      <c r="E8493" t="e">
        <f>cubic_spline(CURVA!$B$6:$B$20,CURVA!$G$6:$G$20,#REF!)</f>
        <v>#VALUE!</v>
      </c>
    </row>
    <row r="8494" spans="1:5" x14ac:dyDescent="0.2">
      <c r="A8494" s="28">
        <v>8493</v>
      </c>
      <c r="B8494" s="28" t="e">
        <f>interpola(#REF!,CURVA!$B$6:$B$20,CURVA!$G$6:$G$20)</f>
        <v>#VALUE!</v>
      </c>
      <c r="C8494" s="29" t="e">
        <f t="shared" si="132"/>
        <v>#VALUE!</v>
      </c>
      <c r="E8494" t="e">
        <f>cubic_spline(CURVA!$B$6:$B$20,CURVA!$G$6:$G$20,#REF!)</f>
        <v>#VALUE!</v>
      </c>
    </row>
    <row r="8495" spans="1:5" x14ac:dyDescent="0.2">
      <c r="A8495" s="28">
        <v>8494</v>
      </c>
      <c r="B8495" s="28" t="e">
        <f>interpola(#REF!,CURVA!$B$6:$B$20,CURVA!$G$6:$G$20)</f>
        <v>#VALUE!</v>
      </c>
      <c r="C8495" s="29" t="e">
        <f t="shared" si="132"/>
        <v>#VALUE!</v>
      </c>
      <c r="E8495" t="e">
        <f>cubic_spline(CURVA!$B$6:$B$20,CURVA!$G$6:$G$20,#REF!)</f>
        <v>#VALUE!</v>
      </c>
    </row>
    <row r="8496" spans="1:5" x14ac:dyDescent="0.2">
      <c r="A8496" s="28">
        <v>8495</v>
      </c>
      <c r="B8496" s="28" t="e">
        <f>interpola(#REF!,CURVA!$B$6:$B$20,CURVA!$G$6:$G$20)</f>
        <v>#VALUE!</v>
      </c>
      <c r="C8496" s="29" t="e">
        <f t="shared" si="132"/>
        <v>#VALUE!</v>
      </c>
      <c r="E8496" t="e">
        <f>cubic_spline(CURVA!$B$6:$B$20,CURVA!$G$6:$G$20,#REF!)</f>
        <v>#VALUE!</v>
      </c>
    </row>
    <row r="8497" spans="1:5" x14ac:dyDescent="0.2">
      <c r="A8497" s="28">
        <v>8496</v>
      </c>
      <c r="B8497" s="28" t="e">
        <f>interpola(#REF!,CURVA!$B$6:$B$20,CURVA!$G$6:$G$20)</f>
        <v>#VALUE!</v>
      </c>
      <c r="C8497" s="29" t="e">
        <f t="shared" si="132"/>
        <v>#VALUE!</v>
      </c>
      <c r="E8497" t="e">
        <f>cubic_spline(CURVA!$B$6:$B$20,CURVA!$G$6:$G$20,#REF!)</f>
        <v>#VALUE!</v>
      </c>
    </row>
    <row r="8498" spans="1:5" x14ac:dyDescent="0.2">
      <c r="A8498" s="28">
        <v>8497</v>
      </c>
      <c r="B8498" s="28" t="e">
        <f>interpola(#REF!,CURVA!$B$6:$B$20,CURVA!$G$6:$G$20)</f>
        <v>#VALUE!</v>
      </c>
      <c r="C8498" s="29" t="e">
        <f t="shared" si="132"/>
        <v>#VALUE!</v>
      </c>
      <c r="E8498" t="e">
        <f>cubic_spline(CURVA!$B$6:$B$20,CURVA!$G$6:$G$20,#REF!)</f>
        <v>#VALUE!</v>
      </c>
    </row>
    <row r="8499" spans="1:5" x14ac:dyDescent="0.2">
      <c r="A8499" s="28">
        <v>8498</v>
      </c>
      <c r="B8499" s="28" t="e">
        <f>interpola(#REF!,CURVA!$B$6:$B$20,CURVA!$G$6:$G$20)</f>
        <v>#VALUE!</v>
      </c>
      <c r="C8499" s="29" t="e">
        <f t="shared" si="132"/>
        <v>#VALUE!</v>
      </c>
      <c r="E8499" t="e">
        <f>cubic_spline(CURVA!$B$6:$B$20,CURVA!$G$6:$G$20,#REF!)</f>
        <v>#VALUE!</v>
      </c>
    </row>
    <row r="8500" spans="1:5" x14ac:dyDescent="0.2">
      <c r="A8500" s="28">
        <v>8499</v>
      </c>
      <c r="B8500" s="28" t="e">
        <f>interpola(#REF!,CURVA!$B$6:$B$20,CURVA!$G$6:$G$20)</f>
        <v>#VALUE!</v>
      </c>
      <c r="C8500" s="29" t="e">
        <f t="shared" si="132"/>
        <v>#VALUE!</v>
      </c>
      <c r="E8500" t="e">
        <f>cubic_spline(CURVA!$B$6:$B$20,CURVA!$G$6:$G$20,#REF!)</f>
        <v>#VALUE!</v>
      </c>
    </row>
    <row r="8501" spans="1:5" x14ac:dyDescent="0.2">
      <c r="A8501" s="28">
        <v>8500</v>
      </c>
      <c r="B8501" s="28" t="e">
        <f>interpola(#REF!,CURVA!$B$6:$B$20,CURVA!$G$6:$G$20)</f>
        <v>#VALUE!</v>
      </c>
      <c r="C8501" s="29" t="e">
        <f t="shared" si="132"/>
        <v>#VALUE!</v>
      </c>
      <c r="E8501" t="e">
        <f>cubic_spline(CURVA!$B$6:$B$20,CURVA!$G$6:$G$20,#REF!)</f>
        <v>#VALUE!</v>
      </c>
    </row>
    <row r="8502" spans="1:5" x14ac:dyDescent="0.2">
      <c r="A8502" s="28">
        <v>8501</v>
      </c>
      <c r="B8502" s="28" t="e">
        <f>interpola(#REF!,CURVA!$B$6:$B$20,CURVA!$G$6:$G$20)</f>
        <v>#VALUE!</v>
      </c>
      <c r="C8502" s="29" t="e">
        <f t="shared" si="132"/>
        <v>#VALUE!</v>
      </c>
      <c r="E8502" t="e">
        <f>cubic_spline(CURVA!$B$6:$B$20,CURVA!$G$6:$G$20,#REF!)</f>
        <v>#VALUE!</v>
      </c>
    </row>
    <row r="8503" spans="1:5" x14ac:dyDescent="0.2">
      <c r="A8503" s="28">
        <v>8502</v>
      </c>
      <c r="B8503" s="28" t="e">
        <f>interpola(#REF!,CURVA!$B$6:$B$20,CURVA!$G$6:$G$20)</f>
        <v>#VALUE!</v>
      </c>
      <c r="C8503" s="29" t="e">
        <f t="shared" si="132"/>
        <v>#VALUE!</v>
      </c>
      <c r="E8503" t="e">
        <f>cubic_spline(CURVA!$B$6:$B$20,CURVA!$G$6:$G$20,#REF!)</f>
        <v>#VALUE!</v>
      </c>
    </row>
    <row r="8504" spans="1:5" x14ac:dyDescent="0.2">
      <c r="A8504" s="28">
        <v>8503</v>
      </c>
      <c r="B8504" s="28" t="e">
        <f>interpola(#REF!,CURVA!$B$6:$B$20,CURVA!$G$6:$G$20)</f>
        <v>#VALUE!</v>
      </c>
      <c r="C8504" s="29" t="e">
        <f t="shared" si="132"/>
        <v>#VALUE!</v>
      </c>
      <c r="E8504" t="e">
        <f>cubic_spline(CURVA!$B$6:$B$20,CURVA!$G$6:$G$20,#REF!)</f>
        <v>#VALUE!</v>
      </c>
    </row>
    <row r="8505" spans="1:5" x14ac:dyDescent="0.2">
      <c r="A8505" s="28">
        <v>8504</v>
      </c>
      <c r="B8505" s="28" t="e">
        <f>interpola(#REF!,CURVA!$B$6:$B$20,CURVA!$G$6:$G$20)</f>
        <v>#VALUE!</v>
      </c>
      <c r="C8505" s="29" t="e">
        <f t="shared" si="132"/>
        <v>#VALUE!</v>
      </c>
      <c r="E8505" t="e">
        <f>cubic_spline(CURVA!$B$6:$B$20,CURVA!$G$6:$G$20,#REF!)</f>
        <v>#VALUE!</v>
      </c>
    </row>
    <row r="8506" spans="1:5" x14ac:dyDescent="0.2">
      <c r="A8506" s="28">
        <v>8505</v>
      </c>
      <c r="B8506" s="28" t="e">
        <f>interpola(#REF!,CURVA!$B$6:$B$20,CURVA!$G$6:$G$20)</f>
        <v>#VALUE!</v>
      </c>
      <c r="C8506" s="29" t="e">
        <f t="shared" si="132"/>
        <v>#VALUE!</v>
      </c>
      <c r="E8506" t="e">
        <f>cubic_spline(CURVA!$B$6:$B$20,CURVA!$G$6:$G$20,#REF!)</f>
        <v>#VALUE!</v>
      </c>
    </row>
    <row r="8507" spans="1:5" x14ac:dyDescent="0.2">
      <c r="A8507" s="28">
        <v>8506</v>
      </c>
      <c r="B8507" s="28" t="e">
        <f>interpola(#REF!,CURVA!$B$6:$B$20,CURVA!$G$6:$G$20)</f>
        <v>#VALUE!</v>
      </c>
      <c r="C8507" s="29" t="e">
        <f t="shared" si="132"/>
        <v>#VALUE!</v>
      </c>
      <c r="E8507" t="e">
        <f>cubic_spline(CURVA!$B$6:$B$20,CURVA!$G$6:$G$20,#REF!)</f>
        <v>#VALUE!</v>
      </c>
    </row>
    <row r="8508" spans="1:5" x14ac:dyDescent="0.2">
      <c r="A8508" s="28">
        <v>8507</v>
      </c>
      <c r="B8508" s="28" t="e">
        <f>interpola(#REF!,CURVA!$B$6:$B$20,CURVA!$G$6:$G$20)</f>
        <v>#VALUE!</v>
      </c>
      <c r="C8508" s="29" t="e">
        <f t="shared" si="132"/>
        <v>#VALUE!</v>
      </c>
      <c r="E8508" t="e">
        <f>cubic_spline(CURVA!$B$6:$B$20,CURVA!$G$6:$G$20,#REF!)</f>
        <v>#VALUE!</v>
      </c>
    </row>
    <row r="8509" spans="1:5" x14ac:dyDescent="0.2">
      <c r="A8509" s="28">
        <v>8508</v>
      </c>
      <c r="B8509" s="28" t="e">
        <f>interpola(#REF!,CURVA!$B$6:$B$20,CURVA!$G$6:$G$20)</f>
        <v>#VALUE!</v>
      </c>
      <c r="C8509" s="29" t="e">
        <f t="shared" si="132"/>
        <v>#VALUE!</v>
      </c>
      <c r="E8509" t="e">
        <f>cubic_spline(CURVA!$B$6:$B$20,CURVA!$G$6:$G$20,#REF!)</f>
        <v>#VALUE!</v>
      </c>
    </row>
    <row r="8510" spans="1:5" x14ac:dyDescent="0.2">
      <c r="A8510" s="28">
        <v>8509</v>
      </c>
      <c r="B8510" s="28" t="e">
        <f>interpola(#REF!,CURVA!$B$6:$B$20,CURVA!$G$6:$G$20)</f>
        <v>#VALUE!</v>
      </c>
      <c r="C8510" s="29" t="e">
        <f t="shared" si="132"/>
        <v>#VALUE!</v>
      </c>
      <c r="E8510" t="e">
        <f>cubic_spline(CURVA!$B$6:$B$20,CURVA!$G$6:$G$20,#REF!)</f>
        <v>#VALUE!</v>
      </c>
    </row>
    <row r="8511" spans="1:5" x14ac:dyDescent="0.2">
      <c r="A8511" s="28">
        <v>8510</v>
      </c>
      <c r="B8511" s="28" t="e">
        <f>interpola(#REF!,CURVA!$B$6:$B$20,CURVA!$G$6:$G$20)</f>
        <v>#VALUE!</v>
      </c>
      <c r="C8511" s="29" t="e">
        <f t="shared" si="132"/>
        <v>#VALUE!</v>
      </c>
      <c r="E8511" t="e">
        <f>cubic_spline(CURVA!$B$6:$B$20,CURVA!$G$6:$G$20,#REF!)</f>
        <v>#VALUE!</v>
      </c>
    </row>
    <row r="8512" spans="1:5" x14ac:dyDescent="0.2">
      <c r="A8512" s="28">
        <v>8511</v>
      </c>
      <c r="B8512" s="28" t="e">
        <f>interpola(#REF!,CURVA!$B$6:$B$20,CURVA!$G$6:$G$20)</f>
        <v>#VALUE!</v>
      </c>
      <c r="C8512" s="29" t="e">
        <f t="shared" si="132"/>
        <v>#VALUE!</v>
      </c>
      <c r="E8512" t="e">
        <f>cubic_spline(CURVA!$B$6:$B$20,CURVA!$G$6:$G$20,#REF!)</f>
        <v>#VALUE!</v>
      </c>
    </row>
    <row r="8513" spans="1:5" x14ac:dyDescent="0.2">
      <c r="A8513" s="28">
        <v>8512</v>
      </c>
      <c r="B8513" s="28" t="e">
        <f>interpola(#REF!,CURVA!$B$6:$B$20,CURVA!$G$6:$G$20)</f>
        <v>#VALUE!</v>
      </c>
      <c r="C8513" s="29" t="e">
        <f t="shared" si="132"/>
        <v>#VALUE!</v>
      </c>
      <c r="E8513" t="e">
        <f>cubic_spline(CURVA!$B$6:$B$20,CURVA!$G$6:$G$20,#REF!)</f>
        <v>#VALUE!</v>
      </c>
    </row>
    <row r="8514" spans="1:5" x14ac:dyDescent="0.2">
      <c r="A8514" s="28">
        <v>8513</v>
      </c>
      <c r="B8514" s="28" t="e">
        <f>interpola(#REF!,CURVA!$B$6:$B$20,CURVA!$G$6:$G$20)</f>
        <v>#VALUE!</v>
      </c>
      <c r="C8514" s="29" t="e">
        <f t="shared" ref="C8514:C8577" si="133">(EXP(B8514*A8514/360)-1)*360/A8514</f>
        <v>#VALUE!</v>
      </c>
      <c r="E8514" t="e">
        <f>cubic_spline(CURVA!$B$6:$B$20,CURVA!$G$6:$G$20,#REF!)</f>
        <v>#VALUE!</v>
      </c>
    </row>
    <row r="8515" spans="1:5" x14ac:dyDescent="0.2">
      <c r="A8515" s="28">
        <v>8514</v>
      </c>
      <c r="B8515" s="28" t="e">
        <f>interpola(#REF!,CURVA!$B$6:$B$20,CURVA!$G$6:$G$20)</f>
        <v>#VALUE!</v>
      </c>
      <c r="C8515" s="29" t="e">
        <f t="shared" si="133"/>
        <v>#VALUE!</v>
      </c>
      <c r="E8515" t="e">
        <f>cubic_spline(CURVA!$B$6:$B$20,CURVA!$G$6:$G$20,#REF!)</f>
        <v>#VALUE!</v>
      </c>
    </row>
    <row r="8516" spans="1:5" x14ac:dyDescent="0.2">
      <c r="A8516" s="28">
        <v>8515</v>
      </c>
      <c r="B8516" s="28" t="e">
        <f>interpola(#REF!,CURVA!$B$6:$B$20,CURVA!$G$6:$G$20)</f>
        <v>#VALUE!</v>
      </c>
      <c r="C8516" s="29" t="e">
        <f t="shared" si="133"/>
        <v>#VALUE!</v>
      </c>
      <c r="E8516" t="e">
        <f>cubic_spline(CURVA!$B$6:$B$20,CURVA!$G$6:$G$20,#REF!)</f>
        <v>#VALUE!</v>
      </c>
    </row>
    <row r="8517" spans="1:5" x14ac:dyDescent="0.2">
      <c r="A8517" s="28">
        <v>8516</v>
      </c>
      <c r="B8517" s="28" t="e">
        <f>interpola(#REF!,CURVA!$B$6:$B$20,CURVA!$G$6:$G$20)</f>
        <v>#VALUE!</v>
      </c>
      <c r="C8517" s="29" t="e">
        <f t="shared" si="133"/>
        <v>#VALUE!</v>
      </c>
      <c r="E8517" t="e">
        <f>cubic_spline(CURVA!$B$6:$B$20,CURVA!$G$6:$G$20,#REF!)</f>
        <v>#VALUE!</v>
      </c>
    </row>
    <row r="8518" spans="1:5" x14ac:dyDescent="0.2">
      <c r="A8518" s="28">
        <v>8517</v>
      </c>
      <c r="B8518" s="28" t="e">
        <f>interpola(#REF!,CURVA!$B$6:$B$20,CURVA!$G$6:$G$20)</f>
        <v>#VALUE!</v>
      </c>
      <c r="C8518" s="29" t="e">
        <f t="shared" si="133"/>
        <v>#VALUE!</v>
      </c>
      <c r="E8518" t="e">
        <f>cubic_spline(CURVA!$B$6:$B$20,CURVA!$G$6:$G$20,#REF!)</f>
        <v>#VALUE!</v>
      </c>
    </row>
    <row r="8519" spans="1:5" x14ac:dyDescent="0.2">
      <c r="A8519" s="28">
        <v>8518</v>
      </c>
      <c r="B8519" s="28" t="e">
        <f>interpola(#REF!,CURVA!$B$6:$B$20,CURVA!$G$6:$G$20)</f>
        <v>#VALUE!</v>
      </c>
      <c r="C8519" s="29" t="e">
        <f t="shared" si="133"/>
        <v>#VALUE!</v>
      </c>
      <c r="E8519" t="e">
        <f>cubic_spline(CURVA!$B$6:$B$20,CURVA!$G$6:$G$20,#REF!)</f>
        <v>#VALUE!</v>
      </c>
    </row>
    <row r="8520" spans="1:5" x14ac:dyDescent="0.2">
      <c r="A8520" s="28">
        <v>8519</v>
      </c>
      <c r="B8520" s="28" t="e">
        <f>interpola(#REF!,CURVA!$B$6:$B$20,CURVA!$G$6:$G$20)</f>
        <v>#VALUE!</v>
      </c>
      <c r="C8520" s="29" t="e">
        <f t="shared" si="133"/>
        <v>#VALUE!</v>
      </c>
      <c r="E8520" t="e">
        <f>cubic_spline(CURVA!$B$6:$B$20,CURVA!$G$6:$G$20,#REF!)</f>
        <v>#VALUE!</v>
      </c>
    </row>
    <row r="8521" spans="1:5" x14ac:dyDescent="0.2">
      <c r="A8521" s="28">
        <v>8520</v>
      </c>
      <c r="B8521" s="28" t="e">
        <f>interpola(#REF!,CURVA!$B$6:$B$20,CURVA!$G$6:$G$20)</f>
        <v>#VALUE!</v>
      </c>
      <c r="C8521" s="29" t="e">
        <f t="shared" si="133"/>
        <v>#VALUE!</v>
      </c>
      <c r="E8521" t="e">
        <f>cubic_spline(CURVA!$B$6:$B$20,CURVA!$G$6:$G$20,#REF!)</f>
        <v>#VALUE!</v>
      </c>
    </row>
    <row r="8522" spans="1:5" x14ac:dyDescent="0.2">
      <c r="A8522" s="28">
        <v>8521</v>
      </c>
      <c r="B8522" s="28" t="e">
        <f>interpola(#REF!,CURVA!$B$6:$B$20,CURVA!$G$6:$G$20)</f>
        <v>#VALUE!</v>
      </c>
      <c r="C8522" s="29" t="e">
        <f t="shared" si="133"/>
        <v>#VALUE!</v>
      </c>
      <c r="E8522" t="e">
        <f>cubic_spline(CURVA!$B$6:$B$20,CURVA!$G$6:$G$20,#REF!)</f>
        <v>#VALUE!</v>
      </c>
    </row>
    <row r="8523" spans="1:5" x14ac:dyDescent="0.2">
      <c r="A8523" s="28">
        <v>8522</v>
      </c>
      <c r="B8523" s="28" t="e">
        <f>interpola(#REF!,CURVA!$B$6:$B$20,CURVA!$G$6:$G$20)</f>
        <v>#VALUE!</v>
      </c>
      <c r="C8523" s="29" t="e">
        <f t="shared" si="133"/>
        <v>#VALUE!</v>
      </c>
      <c r="E8523" t="e">
        <f>cubic_spline(CURVA!$B$6:$B$20,CURVA!$G$6:$G$20,#REF!)</f>
        <v>#VALUE!</v>
      </c>
    </row>
    <row r="8524" spans="1:5" x14ac:dyDescent="0.2">
      <c r="A8524" s="28">
        <v>8523</v>
      </c>
      <c r="B8524" s="28" t="e">
        <f>interpola(#REF!,CURVA!$B$6:$B$20,CURVA!$G$6:$G$20)</f>
        <v>#VALUE!</v>
      </c>
      <c r="C8524" s="29" t="e">
        <f t="shared" si="133"/>
        <v>#VALUE!</v>
      </c>
      <c r="E8524" t="e">
        <f>cubic_spline(CURVA!$B$6:$B$20,CURVA!$G$6:$G$20,#REF!)</f>
        <v>#VALUE!</v>
      </c>
    </row>
    <row r="8525" spans="1:5" x14ac:dyDescent="0.2">
      <c r="A8525" s="28">
        <v>8524</v>
      </c>
      <c r="B8525" s="28" t="e">
        <f>interpola(#REF!,CURVA!$B$6:$B$20,CURVA!$G$6:$G$20)</f>
        <v>#VALUE!</v>
      </c>
      <c r="C8525" s="29" t="e">
        <f t="shared" si="133"/>
        <v>#VALUE!</v>
      </c>
      <c r="E8525" t="e">
        <f>cubic_spline(CURVA!$B$6:$B$20,CURVA!$G$6:$G$20,#REF!)</f>
        <v>#VALUE!</v>
      </c>
    </row>
    <row r="8526" spans="1:5" x14ac:dyDescent="0.2">
      <c r="A8526" s="28">
        <v>8525</v>
      </c>
      <c r="B8526" s="28" t="e">
        <f>interpola(#REF!,CURVA!$B$6:$B$20,CURVA!$G$6:$G$20)</f>
        <v>#VALUE!</v>
      </c>
      <c r="C8526" s="29" t="e">
        <f t="shared" si="133"/>
        <v>#VALUE!</v>
      </c>
      <c r="E8526" t="e">
        <f>cubic_spline(CURVA!$B$6:$B$20,CURVA!$G$6:$G$20,#REF!)</f>
        <v>#VALUE!</v>
      </c>
    </row>
    <row r="8527" spans="1:5" x14ac:dyDescent="0.2">
      <c r="A8527" s="28">
        <v>8526</v>
      </c>
      <c r="B8527" s="28" t="e">
        <f>interpola(#REF!,CURVA!$B$6:$B$20,CURVA!$G$6:$G$20)</f>
        <v>#VALUE!</v>
      </c>
      <c r="C8527" s="29" t="e">
        <f t="shared" si="133"/>
        <v>#VALUE!</v>
      </c>
      <c r="E8527" t="e">
        <f>cubic_spline(CURVA!$B$6:$B$20,CURVA!$G$6:$G$20,#REF!)</f>
        <v>#VALUE!</v>
      </c>
    </row>
    <row r="8528" spans="1:5" x14ac:dyDescent="0.2">
      <c r="A8528" s="28">
        <v>8527</v>
      </c>
      <c r="B8528" s="28" t="e">
        <f>interpola(#REF!,CURVA!$B$6:$B$20,CURVA!$G$6:$G$20)</f>
        <v>#VALUE!</v>
      </c>
      <c r="C8528" s="29" t="e">
        <f t="shared" si="133"/>
        <v>#VALUE!</v>
      </c>
      <c r="E8528" t="e">
        <f>cubic_spline(CURVA!$B$6:$B$20,CURVA!$G$6:$G$20,#REF!)</f>
        <v>#VALUE!</v>
      </c>
    </row>
    <row r="8529" spans="1:5" x14ac:dyDescent="0.2">
      <c r="A8529" s="28">
        <v>8528</v>
      </c>
      <c r="B8529" s="28" t="e">
        <f>interpola(#REF!,CURVA!$B$6:$B$20,CURVA!$G$6:$G$20)</f>
        <v>#VALUE!</v>
      </c>
      <c r="C8529" s="29" t="e">
        <f t="shared" si="133"/>
        <v>#VALUE!</v>
      </c>
      <c r="E8529" t="e">
        <f>cubic_spline(CURVA!$B$6:$B$20,CURVA!$G$6:$G$20,#REF!)</f>
        <v>#VALUE!</v>
      </c>
    </row>
    <row r="8530" spans="1:5" x14ac:dyDescent="0.2">
      <c r="A8530" s="28">
        <v>8529</v>
      </c>
      <c r="B8530" s="28" t="e">
        <f>interpola(#REF!,CURVA!$B$6:$B$20,CURVA!$G$6:$G$20)</f>
        <v>#VALUE!</v>
      </c>
      <c r="C8530" s="29" t="e">
        <f t="shared" si="133"/>
        <v>#VALUE!</v>
      </c>
      <c r="E8530" t="e">
        <f>cubic_spline(CURVA!$B$6:$B$20,CURVA!$G$6:$G$20,#REF!)</f>
        <v>#VALUE!</v>
      </c>
    </row>
    <row r="8531" spans="1:5" x14ac:dyDescent="0.2">
      <c r="A8531" s="28">
        <v>8530</v>
      </c>
      <c r="B8531" s="28" t="e">
        <f>interpola(#REF!,CURVA!$B$6:$B$20,CURVA!$G$6:$G$20)</f>
        <v>#VALUE!</v>
      </c>
      <c r="C8531" s="29" t="e">
        <f t="shared" si="133"/>
        <v>#VALUE!</v>
      </c>
      <c r="E8531" t="e">
        <f>cubic_spline(CURVA!$B$6:$B$20,CURVA!$G$6:$G$20,#REF!)</f>
        <v>#VALUE!</v>
      </c>
    </row>
    <row r="8532" spans="1:5" x14ac:dyDescent="0.2">
      <c r="A8532" s="28">
        <v>8531</v>
      </c>
      <c r="B8532" s="28" t="e">
        <f>interpola(#REF!,CURVA!$B$6:$B$20,CURVA!$G$6:$G$20)</f>
        <v>#VALUE!</v>
      </c>
      <c r="C8532" s="29" t="e">
        <f t="shared" si="133"/>
        <v>#VALUE!</v>
      </c>
      <c r="E8532" t="e">
        <f>cubic_spline(CURVA!$B$6:$B$20,CURVA!$G$6:$G$20,#REF!)</f>
        <v>#VALUE!</v>
      </c>
    </row>
    <row r="8533" spans="1:5" x14ac:dyDescent="0.2">
      <c r="A8533" s="28">
        <v>8532</v>
      </c>
      <c r="B8533" s="28" t="e">
        <f>interpola(#REF!,CURVA!$B$6:$B$20,CURVA!$G$6:$G$20)</f>
        <v>#VALUE!</v>
      </c>
      <c r="C8533" s="29" t="e">
        <f t="shared" si="133"/>
        <v>#VALUE!</v>
      </c>
      <c r="E8533" t="e">
        <f>cubic_spline(CURVA!$B$6:$B$20,CURVA!$G$6:$G$20,#REF!)</f>
        <v>#VALUE!</v>
      </c>
    </row>
    <row r="8534" spans="1:5" x14ac:dyDescent="0.2">
      <c r="A8534" s="28">
        <v>8533</v>
      </c>
      <c r="B8534" s="28" t="e">
        <f>interpola(#REF!,CURVA!$B$6:$B$20,CURVA!$G$6:$G$20)</f>
        <v>#VALUE!</v>
      </c>
      <c r="C8534" s="29" t="e">
        <f t="shared" si="133"/>
        <v>#VALUE!</v>
      </c>
      <c r="E8534" t="e">
        <f>cubic_spline(CURVA!$B$6:$B$20,CURVA!$G$6:$G$20,#REF!)</f>
        <v>#VALUE!</v>
      </c>
    </row>
    <row r="8535" spans="1:5" x14ac:dyDescent="0.2">
      <c r="A8535" s="28">
        <v>8534</v>
      </c>
      <c r="B8535" s="28" t="e">
        <f>interpola(#REF!,CURVA!$B$6:$B$20,CURVA!$G$6:$G$20)</f>
        <v>#VALUE!</v>
      </c>
      <c r="C8535" s="29" t="e">
        <f t="shared" si="133"/>
        <v>#VALUE!</v>
      </c>
      <c r="E8535" t="e">
        <f>cubic_spline(CURVA!$B$6:$B$20,CURVA!$G$6:$G$20,#REF!)</f>
        <v>#VALUE!</v>
      </c>
    </row>
    <row r="8536" spans="1:5" x14ac:dyDescent="0.2">
      <c r="A8536" s="28">
        <v>8535</v>
      </c>
      <c r="B8536" s="28" t="e">
        <f>interpola(#REF!,CURVA!$B$6:$B$20,CURVA!$G$6:$G$20)</f>
        <v>#VALUE!</v>
      </c>
      <c r="C8536" s="29" t="e">
        <f t="shared" si="133"/>
        <v>#VALUE!</v>
      </c>
      <c r="E8536" t="e">
        <f>cubic_spline(CURVA!$B$6:$B$20,CURVA!$G$6:$G$20,#REF!)</f>
        <v>#VALUE!</v>
      </c>
    </row>
    <row r="8537" spans="1:5" x14ac:dyDescent="0.2">
      <c r="A8537" s="28">
        <v>8536</v>
      </c>
      <c r="B8537" s="28" t="e">
        <f>interpola(#REF!,CURVA!$B$6:$B$20,CURVA!$G$6:$G$20)</f>
        <v>#VALUE!</v>
      </c>
      <c r="C8537" s="29" t="e">
        <f t="shared" si="133"/>
        <v>#VALUE!</v>
      </c>
      <c r="E8537" t="e">
        <f>cubic_spline(CURVA!$B$6:$B$20,CURVA!$G$6:$G$20,#REF!)</f>
        <v>#VALUE!</v>
      </c>
    </row>
    <row r="8538" spans="1:5" x14ac:dyDescent="0.2">
      <c r="A8538" s="28">
        <v>8537</v>
      </c>
      <c r="B8538" s="28" t="e">
        <f>interpola(#REF!,CURVA!$B$6:$B$20,CURVA!$G$6:$G$20)</f>
        <v>#VALUE!</v>
      </c>
      <c r="C8538" s="29" t="e">
        <f t="shared" si="133"/>
        <v>#VALUE!</v>
      </c>
      <c r="E8538" t="e">
        <f>cubic_spline(CURVA!$B$6:$B$20,CURVA!$G$6:$G$20,#REF!)</f>
        <v>#VALUE!</v>
      </c>
    </row>
    <row r="8539" spans="1:5" x14ac:dyDescent="0.2">
      <c r="A8539" s="28">
        <v>8538</v>
      </c>
      <c r="B8539" s="28" t="e">
        <f>interpola(#REF!,CURVA!$B$6:$B$20,CURVA!$G$6:$G$20)</f>
        <v>#VALUE!</v>
      </c>
      <c r="C8539" s="29" t="e">
        <f t="shared" si="133"/>
        <v>#VALUE!</v>
      </c>
      <c r="E8539" t="e">
        <f>cubic_spline(CURVA!$B$6:$B$20,CURVA!$G$6:$G$20,#REF!)</f>
        <v>#VALUE!</v>
      </c>
    </row>
    <row r="8540" spans="1:5" x14ac:dyDescent="0.2">
      <c r="A8540" s="28">
        <v>8539</v>
      </c>
      <c r="B8540" s="28" t="e">
        <f>interpola(#REF!,CURVA!$B$6:$B$20,CURVA!$G$6:$G$20)</f>
        <v>#VALUE!</v>
      </c>
      <c r="C8540" s="29" t="e">
        <f t="shared" si="133"/>
        <v>#VALUE!</v>
      </c>
      <c r="E8540" t="e">
        <f>cubic_spline(CURVA!$B$6:$B$20,CURVA!$G$6:$G$20,#REF!)</f>
        <v>#VALUE!</v>
      </c>
    </row>
    <row r="8541" spans="1:5" x14ac:dyDescent="0.2">
      <c r="A8541" s="28">
        <v>8540</v>
      </c>
      <c r="B8541" s="28" t="e">
        <f>interpola(#REF!,CURVA!$B$6:$B$20,CURVA!$G$6:$G$20)</f>
        <v>#VALUE!</v>
      </c>
      <c r="C8541" s="29" t="e">
        <f t="shared" si="133"/>
        <v>#VALUE!</v>
      </c>
      <c r="E8541" t="e">
        <f>cubic_spline(CURVA!$B$6:$B$20,CURVA!$G$6:$G$20,#REF!)</f>
        <v>#VALUE!</v>
      </c>
    </row>
    <row r="8542" spans="1:5" x14ac:dyDescent="0.2">
      <c r="A8542" s="28">
        <v>8541</v>
      </c>
      <c r="B8542" s="28" t="e">
        <f>interpola(#REF!,CURVA!$B$6:$B$20,CURVA!$G$6:$G$20)</f>
        <v>#VALUE!</v>
      </c>
      <c r="C8542" s="29" t="e">
        <f t="shared" si="133"/>
        <v>#VALUE!</v>
      </c>
      <c r="E8542" t="e">
        <f>cubic_spline(CURVA!$B$6:$B$20,CURVA!$G$6:$G$20,#REF!)</f>
        <v>#VALUE!</v>
      </c>
    </row>
    <row r="8543" spans="1:5" x14ac:dyDescent="0.2">
      <c r="A8543" s="28">
        <v>8542</v>
      </c>
      <c r="B8543" s="28" t="e">
        <f>interpola(#REF!,CURVA!$B$6:$B$20,CURVA!$G$6:$G$20)</f>
        <v>#VALUE!</v>
      </c>
      <c r="C8543" s="29" t="e">
        <f t="shared" si="133"/>
        <v>#VALUE!</v>
      </c>
      <c r="E8543" t="e">
        <f>cubic_spline(CURVA!$B$6:$B$20,CURVA!$G$6:$G$20,#REF!)</f>
        <v>#VALUE!</v>
      </c>
    </row>
    <row r="8544" spans="1:5" x14ac:dyDescent="0.2">
      <c r="A8544" s="28">
        <v>8543</v>
      </c>
      <c r="B8544" s="28" t="e">
        <f>interpola(#REF!,CURVA!$B$6:$B$20,CURVA!$G$6:$G$20)</f>
        <v>#VALUE!</v>
      </c>
      <c r="C8544" s="29" t="e">
        <f t="shared" si="133"/>
        <v>#VALUE!</v>
      </c>
      <c r="E8544" t="e">
        <f>cubic_spline(CURVA!$B$6:$B$20,CURVA!$G$6:$G$20,#REF!)</f>
        <v>#VALUE!</v>
      </c>
    </row>
    <row r="8545" spans="1:5" x14ac:dyDescent="0.2">
      <c r="A8545" s="28">
        <v>8544</v>
      </c>
      <c r="B8545" s="28" t="e">
        <f>interpola(#REF!,CURVA!$B$6:$B$20,CURVA!$G$6:$G$20)</f>
        <v>#VALUE!</v>
      </c>
      <c r="C8545" s="29" t="e">
        <f t="shared" si="133"/>
        <v>#VALUE!</v>
      </c>
      <c r="E8545" t="e">
        <f>cubic_spline(CURVA!$B$6:$B$20,CURVA!$G$6:$G$20,#REF!)</f>
        <v>#VALUE!</v>
      </c>
    </row>
    <row r="8546" spans="1:5" x14ac:dyDescent="0.2">
      <c r="A8546" s="28">
        <v>8545</v>
      </c>
      <c r="B8546" s="28" t="e">
        <f>interpola(#REF!,CURVA!$B$6:$B$20,CURVA!$G$6:$G$20)</f>
        <v>#VALUE!</v>
      </c>
      <c r="C8546" s="29" t="e">
        <f t="shared" si="133"/>
        <v>#VALUE!</v>
      </c>
      <c r="E8546" t="e">
        <f>cubic_spline(CURVA!$B$6:$B$20,CURVA!$G$6:$G$20,#REF!)</f>
        <v>#VALUE!</v>
      </c>
    </row>
    <row r="8547" spans="1:5" x14ac:dyDescent="0.2">
      <c r="A8547" s="28">
        <v>8546</v>
      </c>
      <c r="B8547" s="28" t="e">
        <f>interpola(#REF!,CURVA!$B$6:$B$20,CURVA!$G$6:$G$20)</f>
        <v>#VALUE!</v>
      </c>
      <c r="C8547" s="29" t="e">
        <f t="shared" si="133"/>
        <v>#VALUE!</v>
      </c>
      <c r="E8547" t="e">
        <f>cubic_spline(CURVA!$B$6:$B$20,CURVA!$G$6:$G$20,#REF!)</f>
        <v>#VALUE!</v>
      </c>
    </row>
    <row r="8548" spans="1:5" x14ac:dyDescent="0.2">
      <c r="A8548" s="28">
        <v>8547</v>
      </c>
      <c r="B8548" s="28" t="e">
        <f>interpola(#REF!,CURVA!$B$6:$B$20,CURVA!$G$6:$G$20)</f>
        <v>#VALUE!</v>
      </c>
      <c r="C8548" s="29" t="e">
        <f t="shared" si="133"/>
        <v>#VALUE!</v>
      </c>
      <c r="E8548" t="e">
        <f>cubic_spline(CURVA!$B$6:$B$20,CURVA!$G$6:$G$20,#REF!)</f>
        <v>#VALUE!</v>
      </c>
    </row>
    <row r="8549" spans="1:5" x14ac:dyDescent="0.2">
      <c r="A8549" s="28">
        <v>8548</v>
      </c>
      <c r="B8549" s="28" t="e">
        <f>interpola(#REF!,CURVA!$B$6:$B$20,CURVA!$G$6:$G$20)</f>
        <v>#VALUE!</v>
      </c>
      <c r="C8549" s="29" t="e">
        <f t="shared" si="133"/>
        <v>#VALUE!</v>
      </c>
      <c r="E8549" t="e">
        <f>cubic_spline(CURVA!$B$6:$B$20,CURVA!$G$6:$G$20,#REF!)</f>
        <v>#VALUE!</v>
      </c>
    </row>
    <row r="8550" spans="1:5" x14ac:dyDescent="0.2">
      <c r="A8550" s="28">
        <v>8549</v>
      </c>
      <c r="B8550" s="28" t="e">
        <f>interpola(#REF!,CURVA!$B$6:$B$20,CURVA!$G$6:$G$20)</f>
        <v>#VALUE!</v>
      </c>
      <c r="C8550" s="29" t="e">
        <f t="shared" si="133"/>
        <v>#VALUE!</v>
      </c>
      <c r="E8550" t="e">
        <f>cubic_spline(CURVA!$B$6:$B$20,CURVA!$G$6:$G$20,#REF!)</f>
        <v>#VALUE!</v>
      </c>
    </row>
    <row r="8551" spans="1:5" x14ac:dyDescent="0.2">
      <c r="A8551" s="28">
        <v>8550</v>
      </c>
      <c r="B8551" s="28" t="e">
        <f>interpola(#REF!,CURVA!$B$6:$B$20,CURVA!$G$6:$G$20)</f>
        <v>#VALUE!</v>
      </c>
      <c r="C8551" s="29" t="e">
        <f t="shared" si="133"/>
        <v>#VALUE!</v>
      </c>
      <c r="E8551" t="e">
        <f>cubic_spline(CURVA!$B$6:$B$20,CURVA!$G$6:$G$20,#REF!)</f>
        <v>#VALUE!</v>
      </c>
    </row>
    <row r="8552" spans="1:5" x14ac:dyDescent="0.2">
      <c r="A8552" s="28">
        <v>8551</v>
      </c>
      <c r="B8552" s="28" t="e">
        <f>interpola(#REF!,CURVA!$B$6:$B$20,CURVA!$G$6:$G$20)</f>
        <v>#VALUE!</v>
      </c>
      <c r="C8552" s="29" t="e">
        <f t="shared" si="133"/>
        <v>#VALUE!</v>
      </c>
      <c r="E8552" t="e">
        <f>cubic_spline(CURVA!$B$6:$B$20,CURVA!$G$6:$G$20,#REF!)</f>
        <v>#VALUE!</v>
      </c>
    </row>
    <row r="8553" spans="1:5" x14ac:dyDescent="0.2">
      <c r="A8553" s="28">
        <v>8552</v>
      </c>
      <c r="B8553" s="28" t="e">
        <f>interpola(#REF!,CURVA!$B$6:$B$20,CURVA!$G$6:$G$20)</f>
        <v>#VALUE!</v>
      </c>
      <c r="C8553" s="29" t="e">
        <f t="shared" si="133"/>
        <v>#VALUE!</v>
      </c>
      <c r="E8553" t="e">
        <f>cubic_spline(CURVA!$B$6:$B$20,CURVA!$G$6:$G$20,#REF!)</f>
        <v>#VALUE!</v>
      </c>
    </row>
    <row r="8554" spans="1:5" x14ac:dyDescent="0.2">
      <c r="A8554" s="28">
        <v>8553</v>
      </c>
      <c r="B8554" s="28" t="e">
        <f>interpola(#REF!,CURVA!$B$6:$B$20,CURVA!$G$6:$G$20)</f>
        <v>#VALUE!</v>
      </c>
      <c r="C8554" s="29" t="e">
        <f t="shared" si="133"/>
        <v>#VALUE!</v>
      </c>
      <c r="E8554" t="e">
        <f>cubic_spline(CURVA!$B$6:$B$20,CURVA!$G$6:$G$20,#REF!)</f>
        <v>#VALUE!</v>
      </c>
    </row>
    <row r="8555" spans="1:5" x14ac:dyDescent="0.2">
      <c r="A8555" s="28">
        <v>8554</v>
      </c>
      <c r="B8555" s="28" t="e">
        <f>interpola(#REF!,CURVA!$B$6:$B$20,CURVA!$G$6:$G$20)</f>
        <v>#VALUE!</v>
      </c>
      <c r="C8555" s="29" t="e">
        <f t="shared" si="133"/>
        <v>#VALUE!</v>
      </c>
      <c r="E8555" t="e">
        <f>cubic_spline(CURVA!$B$6:$B$20,CURVA!$G$6:$G$20,#REF!)</f>
        <v>#VALUE!</v>
      </c>
    </row>
    <row r="8556" spans="1:5" x14ac:dyDescent="0.2">
      <c r="A8556" s="28">
        <v>8555</v>
      </c>
      <c r="B8556" s="28" t="e">
        <f>interpola(#REF!,CURVA!$B$6:$B$20,CURVA!$G$6:$G$20)</f>
        <v>#VALUE!</v>
      </c>
      <c r="C8556" s="29" t="e">
        <f t="shared" si="133"/>
        <v>#VALUE!</v>
      </c>
      <c r="E8556" t="e">
        <f>cubic_spline(CURVA!$B$6:$B$20,CURVA!$G$6:$G$20,#REF!)</f>
        <v>#VALUE!</v>
      </c>
    </row>
    <row r="8557" spans="1:5" x14ac:dyDescent="0.2">
      <c r="A8557" s="28">
        <v>8556</v>
      </c>
      <c r="B8557" s="28" t="e">
        <f>interpola(#REF!,CURVA!$B$6:$B$20,CURVA!$G$6:$G$20)</f>
        <v>#VALUE!</v>
      </c>
      <c r="C8557" s="29" t="e">
        <f t="shared" si="133"/>
        <v>#VALUE!</v>
      </c>
      <c r="E8557" t="e">
        <f>cubic_spline(CURVA!$B$6:$B$20,CURVA!$G$6:$G$20,#REF!)</f>
        <v>#VALUE!</v>
      </c>
    </row>
    <row r="8558" spans="1:5" x14ac:dyDescent="0.2">
      <c r="A8558" s="28">
        <v>8557</v>
      </c>
      <c r="B8558" s="28" t="e">
        <f>interpola(#REF!,CURVA!$B$6:$B$20,CURVA!$G$6:$G$20)</f>
        <v>#VALUE!</v>
      </c>
      <c r="C8558" s="29" t="e">
        <f t="shared" si="133"/>
        <v>#VALUE!</v>
      </c>
      <c r="E8558" t="e">
        <f>cubic_spline(CURVA!$B$6:$B$20,CURVA!$G$6:$G$20,#REF!)</f>
        <v>#VALUE!</v>
      </c>
    </row>
    <row r="8559" spans="1:5" x14ac:dyDescent="0.2">
      <c r="A8559" s="28">
        <v>8558</v>
      </c>
      <c r="B8559" s="28" t="e">
        <f>interpola(#REF!,CURVA!$B$6:$B$20,CURVA!$G$6:$G$20)</f>
        <v>#VALUE!</v>
      </c>
      <c r="C8559" s="29" t="e">
        <f t="shared" si="133"/>
        <v>#VALUE!</v>
      </c>
      <c r="E8559" t="e">
        <f>cubic_spline(CURVA!$B$6:$B$20,CURVA!$G$6:$G$20,#REF!)</f>
        <v>#VALUE!</v>
      </c>
    </row>
    <row r="8560" spans="1:5" x14ac:dyDescent="0.2">
      <c r="A8560" s="28">
        <v>8559</v>
      </c>
      <c r="B8560" s="28" t="e">
        <f>interpola(#REF!,CURVA!$B$6:$B$20,CURVA!$G$6:$G$20)</f>
        <v>#VALUE!</v>
      </c>
      <c r="C8560" s="29" t="e">
        <f t="shared" si="133"/>
        <v>#VALUE!</v>
      </c>
      <c r="E8560" t="e">
        <f>cubic_spline(CURVA!$B$6:$B$20,CURVA!$G$6:$G$20,#REF!)</f>
        <v>#VALUE!</v>
      </c>
    </row>
    <row r="8561" spans="1:5" x14ac:dyDescent="0.2">
      <c r="A8561" s="28">
        <v>8560</v>
      </c>
      <c r="B8561" s="28" t="e">
        <f>interpola(#REF!,CURVA!$B$6:$B$20,CURVA!$G$6:$G$20)</f>
        <v>#VALUE!</v>
      </c>
      <c r="C8561" s="29" t="e">
        <f t="shared" si="133"/>
        <v>#VALUE!</v>
      </c>
      <c r="E8561" t="e">
        <f>cubic_spline(CURVA!$B$6:$B$20,CURVA!$G$6:$G$20,#REF!)</f>
        <v>#VALUE!</v>
      </c>
    </row>
    <row r="8562" spans="1:5" x14ac:dyDescent="0.2">
      <c r="A8562" s="28">
        <v>8561</v>
      </c>
      <c r="B8562" s="28" t="e">
        <f>interpola(#REF!,CURVA!$B$6:$B$20,CURVA!$G$6:$G$20)</f>
        <v>#VALUE!</v>
      </c>
      <c r="C8562" s="29" t="e">
        <f t="shared" si="133"/>
        <v>#VALUE!</v>
      </c>
      <c r="E8562" t="e">
        <f>cubic_spline(CURVA!$B$6:$B$20,CURVA!$G$6:$G$20,#REF!)</f>
        <v>#VALUE!</v>
      </c>
    </row>
    <row r="8563" spans="1:5" x14ac:dyDescent="0.2">
      <c r="A8563" s="28">
        <v>8562</v>
      </c>
      <c r="B8563" s="28" t="e">
        <f>interpola(#REF!,CURVA!$B$6:$B$20,CURVA!$G$6:$G$20)</f>
        <v>#VALUE!</v>
      </c>
      <c r="C8563" s="29" t="e">
        <f t="shared" si="133"/>
        <v>#VALUE!</v>
      </c>
      <c r="E8563" t="e">
        <f>cubic_spline(CURVA!$B$6:$B$20,CURVA!$G$6:$G$20,#REF!)</f>
        <v>#VALUE!</v>
      </c>
    </row>
    <row r="8564" spans="1:5" x14ac:dyDescent="0.2">
      <c r="A8564" s="28">
        <v>8563</v>
      </c>
      <c r="B8564" s="28" t="e">
        <f>interpola(#REF!,CURVA!$B$6:$B$20,CURVA!$G$6:$G$20)</f>
        <v>#VALUE!</v>
      </c>
      <c r="C8564" s="29" t="e">
        <f t="shared" si="133"/>
        <v>#VALUE!</v>
      </c>
      <c r="E8564" t="e">
        <f>cubic_spline(CURVA!$B$6:$B$20,CURVA!$G$6:$G$20,#REF!)</f>
        <v>#VALUE!</v>
      </c>
    </row>
    <row r="8565" spans="1:5" x14ac:dyDescent="0.2">
      <c r="A8565" s="28">
        <v>8564</v>
      </c>
      <c r="B8565" s="28" t="e">
        <f>interpola(#REF!,CURVA!$B$6:$B$20,CURVA!$G$6:$G$20)</f>
        <v>#VALUE!</v>
      </c>
      <c r="C8565" s="29" t="e">
        <f t="shared" si="133"/>
        <v>#VALUE!</v>
      </c>
      <c r="E8565" t="e">
        <f>cubic_spline(CURVA!$B$6:$B$20,CURVA!$G$6:$G$20,#REF!)</f>
        <v>#VALUE!</v>
      </c>
    </row>
    <row r="8566" spans="1:5" x14ac:dyDescent="0.2">
      <c r="A8566" s="28">
        <v>8565</v>
      </c>
      <c r="B8566" s="28" t="e">
        <f>interpola(#REF!,CURVA!$B$6:$B$20,CURVA!$G$6:$G$20)</f>
        <v>#VALUE!</v>
      </c>
      <c r="C8566" s="29" t="e">
        <f t="shared" si="133"/>
        <v>#VALUE!</v>
      </c>
      <c r="E8566" t="e">
        <f>cubic_spline(CURVA!$B$6:$B$20,CURVA!$G$6:$G$20,#REF!)</f>
        <v>#VALUE!</v>
      </c>
    </row>
    <row r="8567" spans="1:5" x14ac:dyDescent="0.2">
      <c r="A8567" s="28">
        <v>8566</v>
      </c>
      <c r="B8567" s="28" t="e">
        <f>interpola(#REF!,CURVA!$B$6:$B$20,CURVA!$G$6:$G$20)</f>
        <v>#VALUE!</v>
      </c>
      <c r="C8567" s="29" t="e">
        <f t="shared" si="133"/>
        <v>#VALUE!</v>
      </c>
      <c r="E8567" t="e">
        <f>cubic_spline(CURVA!$B$6:$B$20,CURVA!$G$6:$G$20,#REF!)</f>
        <v>#VALUE!</v>
      </c>
    </row>
    <row r="8568" spans="1:5" x14ac:dyDescent="0.2">
      <c r="A8568" s="28">
        <v>8567</v>
      </c>
      <c r="B8568" s="28" t="e">
        <f>interpola(#REF!,CURVA!$B$6:$B$20,CURVA!$G$6:$G$20)</f>
        <v>#VALUE!</v>
      </c>
      <c r="C8568" s="29" t="e">
        <f t="shared" si="133"/>
        <v>#VALUE!</v>
      </c>
      <c r="E8568" t="e">
        <f>cubic_spline(CURVA!$B$6:$B$20,CURVA!$G$6:$G$20,#REF!)</f>
        <v>#VALUE!</v>
      </c>
    </row>
    <row r="8569" spans="1:5" x14ac:dyDescent="0.2">
      <c r="A8569" s="28">
        <v>8568</v>
      </c>
      <c r="B8569" s="28" t="e">
        <f>interpola(#REF!,CURVA!$B$6:$B$20,CURVA!$G$6:$G$20)</f>
        <v>#VALUE!</v>
      </c>
      <c r="C8569" s="29" t="e">
        <f t="shared" si="133"/>
        <v>#VALUE!</v>
      </c>
      <c r="E8569" t="e">
        <f>cubic_spline(CURVA!$B$6:$B$20,CURVA!$G$6:$G$20,#REF!)</f>
        <v>#VALUE!</v>
      </c>
    </row>
    <row r="8570" spans="1:5" x14ac:dyDescent="0.2">
      <c r="A8570" s="28">
        <v>8569</v>
      </c>
      <c r="B8570" s="28" t="e">
        <f>interpola(#REF!,CURVA!$B$6:$B$20,CURVA!$G$6:$G$20)</f>
        <v>#VALUE!</v>
      </c>
      <c r="C8570" s="29" t="e">
        <f t="shared" si="133"/>
        <v>#VALUE!</v>
      </c>
      <c r="E8570" t="e">
        <f>cubic_spline(CURVA!$B$6:$B$20,CURVA!$G$6:$G$20,#REF!)</f>
        <v>#VALUE!</v>
      </c>
    </row>
    <row r="8571" spans="1:5" x14ac:dyDescent="0.2">
      <c r="A8571" s="28">
        <v>8570</v>
      </c>
      <c r="B8571" s="28" t="e">
        <f>interpola(#REF!,CURVA!$B$6:$B$20,CURVA!$G$6:$G$20)</f>
        <v>#VALUE!</v>
      </c>
      <c r="C8571" s="29" t="e">
        <f t="shared" si="133"/>
        <v>#VALUE!</v>
      </c>
      <c r="E8571" t="e">
        <f>cubic_spline(CURVA!$B$6:$B$20,CURVA!$G$6:$G$20,#REF!)</f>
        <v>#VALUE!</v>
      </c>
    </row>
    <row r="8572" spans="1:5" x14ac:dyDescent="0.2">
      <c r="A8572" s="28">
        <v>8571</v>
      </c>
      <c r="B8572" s="28" t="e">
        <f>interpola(#REF!,CURVA!$B$6:$B$20,CURVA!$G$6:$G$20)</f>
        <v>#VALUE!</v>
      </c>
      <c r="C8572" s="29" t="e">
        <f t="shared" si="133"/>
        <v>#VALUE!</v>
      </c>
      <c r="E8572" t="e">
        <f>cubic_spline(CURVA!$B$6:$B$20,CURVA!$G$6:$G$20,#REF!)</f>
        <v>#VALUE!</v>
      </c>
    </row>
    <row r="8573" spans="1:5" x14ac:dyDescent="0.2">
      <c r="A8573" s="28">
        <v>8572</v>
      </c>
      <c r="B8573" s="28" t="e">
        <f>interpola(#REF!,CURVA!$B$6:$B$20,CURVA!$G$6:$G$20)</f>
        <v>#VALUE!</v>
      </c>
      <c r="C8573" s="29" t="e">
        <f t="shared" si="133"/>
        <v>#VALUE!</v>
      </c>
      <c r="E8573" t="e">
        <f>cubic_spline(CURVA!$B$6:$B$20,CURVA!$G$6:$G$20,#REF!)</f>
        <v>#VALUE!</v>
      </c>
    </row>
    <row r="8574" spans="1:5" x14ac:dyDescent="0.2">
      <c r="A8574" s="28">
        <v>8573</v>
      </c>
      <c r="B8574" s="28" t="e">
        <f>interpola(#REF!,CURVA!$B$6:$B$20,CURVA!$G$6:$G$20)</f>
        <v>#VALUE!</v>
      </c>
      <c r="C8574" s="29" t="e">
        <f t="shared" si="133"/>
        <v>#VALUE!</v>
      </c>
      <c r="E8574" t="e">
        <f>cubic_spline(CURVA!$B$6:$B$20,CURVA!$G$6:$G$20,#REF!)</f>
        <v>#VALUE!</v>
      </c>
    </row>
    <row r="8575" spans="1:5" x14ac:dyDescent="0.2">
      <c r="A8575" s="28">
        <v>8574</v>
      </c>
      <c r="B8575" s="28" t="e">
        <f>interpola(#REF!,CURVA!$B$6:$B$20,CURVA!$G$6:$G$20)</f>
        <v>#VALUE!</v>
      </c>
      <c r="C8575" s="29" t="e">
        <f t="shared" si="133"/>
        <v>#VALUE!</v>
      </c>
      <c r="E8575" t="e">
        <f>cubic_spline(CURVA!$B$6:$B$20,CURVA!$G$6:$G$20,#REF!)</f>
        <v>#VALUE!</v>
      </c>
    </row>
    <row r="8576" spans="1:5" x14ac:dyDescent="0.2">
      <c r="A8576" s="28">
        <v>8575</v>
      </c>
      <c r="B8576" s="28" t="e">
        <f>interpola(#REF!,CURVA!$B$6:$B$20,CURVA!$G$6:$G$20)</f>
        <v>#VALUE!</v>
      </c>
      <c r="C8576" s="29" t="e">
        <f t="shared" si="133"/>
        <v>#VALUE!</v>
      </c>
      <c r="E8576" t="e">
        <f>cubic_spline(CURVA!$B$6:$B$20,CURVA!$G$6:$G$20,#REF!)</f>
        <v>#VALUE!</v>
      </c>
    </row>
    <row r="8577" spans="1:5" x14ac:dyDescent="0.2">
      <c r="A8577" s="28">
        <v>8576</v>
      </c>
      <c r="B8577" s="28" t="e">
        <f>interpola(#REF!,CURVA!$B$6:$B$20,CURVA!$G$6:$G$20)</f>
        <v>#VALUE!</v>
      </c>
      <c r="C8577" s="29" t="e">
        <f t="shared" si="133"/>
        <v>#VALUE!</v>
      </c>
      <c r="E8577" t="e">
        <f>cubic_spline(CURVA!$B$6:$B$20,CURVA!$G$6:$G$20,#REF!)</f>
        <v>#VALUE!</v>
      </c>
    </row>
    <row r="8578" spans="1:5" x14ac:dyDescent="0.2">
      <c r="A8578" s="28">
        <v>8577</v>
      </c>
      <c r="B8578" s="28" t="e">
        <f>interpola(#REF!,CURVA!$B$6:$B$20,CURVA!$G$6:$G$20)</f>
        <v>#VALUE!</v>
      </c>
      <c r="C8578" s="29" t="e">
        <f t="shared" ref="C8578:C8641" si="134">(EXP(B8578*A8578/360)-1)*360/A8578</f>
        <v>#VALUE!</v>
      </c>
      <c r="E8578" t="e">
        <f>cubic_spline(CURVA!$B$6:$B$20,CURVA!$G$6:$G$20,#REF!)</f>
        <v>#VALUE!</v>
      </c>
    </row>
    <row r="8579" spans="1:5" x14ac:dyDescent="0.2">
      <c r="A8579" s="28">
        <v>8578</v>
      </c>
      <c r="B8579" s="28" t="e">
        <f>interpola(#REF!,CURVA!$B$6:$B$20,CURVA!$G$6:$G$20)</f>
        <v>#VALUE!</v>
      </c>
      <c r="C8579" s="29" t="e">
        <f t="shared" si="134"/>
        <v>#VALUE!</v>
      </c>
      <c r="E8579" t="e">
        <f>cubic_spline(CURVA!$B$6:$B$20,CURVA!$G$6:$G$20,#REF!)</f>
        <v>#VALUE!</v>
      </c>
    </row>
    <row r="8580" spans="1:5" x14ac:dyDescent="0.2">
      <c r="A8580" s="28">
        <v>8579</v>
      </c>
      <c r="B8580" s="28" t="e">
        <f>interpola(#REF!,CURVA!$B$6:$B$20,CURVA!$G$6:$G$20)</f>
        <v>#VALUE!</v>
      </c>
      <c r="C8580" s="29" t="e">
        <f t="shared" si="134"/>
        <v>#VALUE!</v>
      </c>
      <c r="E8580" t="e">
        <f>cubic_spline(CURVA!$B$6:$B$20,CURVA!$G$6:$G$20,#REF!)</f>
        <v>#VALUE!</v>
      </c>
    </row>
    <row r="8581" spans="1:5" x14ac:dyDescent="0.2">
      <c r="A8581" s="28">
        <v>8580</v>
      </c>
      <c r="B8581" s="28" t="e">
        <f>interpola(#REF!,CURVA!$B$6:$B$20,CURVA!$G$6:$G$20)</f>
        <v>#VALUE!</v>
      </c>
      <c r="C8581" s="29" t="e">
        <f t="shared" si="134"/>
        <v>#VALUE!</v>
      </c>
      <c r="E8581" t="e">
        <f>cubic_spline(CURVA!$B$6:$B$20,CURVA!$G$6:$G$20,#REF!)</f>
        <v>#VALUE!</v>
      </c>
    </row>
    <row r="8582" spans="1:5" x14ac:dyDescent="0.2">
      <c r="A8582" s="28">
        <v>8581</v>
      </c>
      <c r="B8582" s="28" t="e">
        <f>interpola(#REF!,CURVA!$B$6:$B$20,CURVA!$G$6:$G$20)</f>
        <v>#VALUE!</v>
      </c>
      <c r="C8582" s="29" t="e">
        <f t="shared" si="134"/>
        <v>#VALUE!</v>
      </c>
      <c r="E8582" t="e">
        <f>cubic_spline(CURVA!$B$6:$B$20,CURVA!$G$6:$G$20,#REF!)</f>
        <v>#VALUE!</v>
      </c>
    </row>
    <row r="8583" spans="1:5" x14ac:dyDescent="0.2">
      <c r="A8583" s="28">
        <v>8582</v>
      </c>
      <c r="B8583" s="28" t="e">
        <f>interpola(#REF!,CURVA!$B$6:$B$20,CURVA!$G$6:$G$20)</f>
        <v>#VALUE!</v>
      </c>
      <c r="C8583" s="29" t="e">
        <f t="shared" si="134"/>
        <v>#VALUE!</v>
      </c>
      <c r="E8583" t="e">
        <f>cubic_spline(CURVA!$B$6:$B$20,CURVA!$G$6:$G$20,#REF!)</f>
        <v>#VALUE!</v>
      </c>
    </row>
    <row r="8584" spans="1:5" x14ac:dyDescent="0.2">
      <c r="A8584" s="28">
        <v>8583</v>
      </c>
      <c r="B8584" s="28" t="e">
        <f>interpola(#REF!,CURVA!$B$6:$B$20,CURVA!$G$6:$G$20)</f>
        <v>#VALUE!</v>
      </c>
      <c r="C8584" s="29" t="e">
        <f t="shared" si="134"/>
        <v>#VALUE!</v>
      </c>
      <c r="E8584" t="e">
        <f>cubic_spline(CURVA!$B$6:$B$20,CURVA!$G$6:$G$20,#REF!)</f>
        <v>#VALUE!</v>
      </c>
    </row>
    <row r="8585" spans="1:5" x14ac:dyDescent="0.2">
      <c r="A8585" s="28">
        <v>8584</v>
      </c>
      <c r="B8585" s="28" t="e">
        <f>interpola(#REF!,CURVA!$B$6:$B$20,CURVA!$G$6:$G$20)</f>
        <v>#VALUE!</v>
      </c>
      <c r="C8585" s="29" t="e">
        <f t="shared" si="134"/>
        <v>#VALUE!</v>
      </c>
      <c r="E8585" t="e">
        <f>cubic_spline(CURVA!$B$6:$B$20,CURVA!$G$6:$G$20,#REF!)</f>
        <v>#VALUE!</v>
      </c>
    </row>
    <row r="8586" spans="1:5" x14ac:dyDescent="0.2">
      <c r="A8586" s="28">
        <v>8585</v>
      </c>
      <c r="B8586" s="28" t="e">
        <f>interpola(#REF!,CURVA!$B$6:$B$20,CURVA!$G$6:$G$20)</f>
        <v>#VALUE!</v>
      </c>
      <c r="C8586" s="29" t="e">
        <f t="shared" si="134"/>
        <v>#VALUE!</v>
      </c>
      <c r="E8586" t="e">
        <f>cubic_spline(CURVA!$B$6:$B$20,CURVA!$G$6:$G$20,#REF!)</f>
        <v>#VALUE!</v>
      </c>
    </row>
    <row r="8587" spans="1:5" x14ac:dyDescent="0.2">
      <c r="A8587" s="28">
        <v>8586</v>
      </c>
      <c r="B8587" s="28" t="e">
        <f>interpola(#REF!,CURVA!$B$6:$B$20,CURVA!$G$6:$G$20)</f>
        <v>#VALUE!</v>
      </c>
      <c r="C8587" s="29" t="e">
        <f t="shared" si="134"/>
        <v>#VALUE!</v>
      </c>
      <c r="E8587" t="e">
        <f>cubic_spline(CURVA!$B$6:$B$20,CURVA!$G$6:$G$20,#REF!)</f>
        <v>#VALUE!</v>
      </c>
    </row>
    <row r="8588" spans="1:5" x14ac:dyDescent="0.2">
      <c r="A8588" s="28">
        <v>8587</v>
      </c>
      <c r="B8588" s="28" t="e">
        <f>interpola(#REF!,CURVA!$B$6:$B$20,CURVA!$G$6:$G$20)</f>
        <v>#VALUE!</v>
      </c>
      <c r="C8588" s="29" t="e">
        <f t="shared" si="134"/>
        <v>#VALUE!</v>
      </c>
      <c r="E8588" t="e">
        <f>cubic_spline(CURVA!$B$6:$B$20,CURVA!$G$6:$G$20,#REF!)</f>
        <v>#VALUE!</v>
      </c>
    </row>
    <row r="8589" spans="1:5" x14ac:dyDescent="0.2">
      <c r="A8589" s="28">
        <v>8588</v>
      </c>
      <c r="B8589" s="28" t="e">
        <f>interpola(#REF!,CURVA!$B$6:$B$20,CURVA!$G$6:$G$20)</f>
        <v>#VALUE!</v>
      </c>
      <c r="C8589" s="29" t="e">
        <f t="shared" si="134"/>
        <v>#VALUE!</v>
      </c>
      <c r="E8589" t="e">
        <f>cubic_spline(CURVA!$B$6:$B$20,CURVA!$G$6:$G$20,#REF!)</f>
        <v>#VALUE!</v>
      </c>
    </row>
    <row r="8590" spans="1:5" x14ac:dyDescent="0.2">
      <c r="A8590" s="28">
        <v>8589</v>
      </c>
      <c r="B8590" s="28" t="e">
        <f>interpola(#REF!,CURVA!$B$6:$B$20,CURVA!$G$6:$G$20)</f>
        <v>#VALUE!</v>
      </c>
      <c r="C8590" s="29" t="e">
        <f t="shared" si="134"/>
        <v>#VALUE!</v>
      </c>
      <c r="E8590" t="e">
        <f>cubic_spline(CURVA!$B$6:$B$20,CURVA!$G$6:$G$20,#REF!)</f>
        <v>#VALUE!</v>
      </c>
    </row>
    <row r="8591" spans="1:5" x14ac:dyDescent="0.2">
      <c r="A8591" s="28">
        <v>8590</v>
      </c>
      <c r="B8591" s="28" t="e">
        <f>interpola(#REF!,CURVA!$B$6:$B$20,CURVA!$G$6:$G$20)</f>
        <v>#VALUE!</v>
      </c>
      <c r="C8591" s="29" t="e">
        <f t="shared" si="134"/>
        <v>#VALUE!</v>
      </c>
      <c r="E8591" t="e">
        <f>cubic_spline(CURVA!$B$6:$B$20,CURVA!$G$6:$G$20,#REF!)</f>
        <v>#VALUE!</v>
      </c>
    </row>
    <row r="8592" spans="1:5" x14ac:dyDescent="0.2">
      <c r="A8592" s="28">
        <v>8591</v>
      </c>
      <c r="B8592" s="28" t="e">
        <f>interpola(#REF!,CURVA!$B$6:$B$20,CURVA!$G$6:$G$20)</f>
        <v>#VALUE!</v>
      </c>
      <c r="C8592" s="29" t="e">
        <f t="shared" si="134"/>
        <v>#VALUE!</v>
      </c>
      <c r="E8592" t="e">
        <f>cubic_spline(CURVA!$B$6:$B$20,CURVA!$G$6:$G$20,#REF!)</f>
        <v>#VALUE!</v>
      </c>
    </row>
    <row r="8593" spans="1:5" x14ac:dyDescent="0.2">
      <c r="A8593" s="28">
        <v>8592</v>
      </c>
      <c r="B8593" s="28" t="e">
        <f>interpola(#REF!,CURVA!$B$6:$B$20,CURVA!$G$6:$G$20)</f>
        <v>#VALUE!</v>
      </c>
      <c r="C8593" s="29" t="e">
        <f t="shared" si="134"/>
        <v>#VALUE!</v>
      </c>
      <c r="E8593" t="e">
        <f>cubic_spline(CURVA!$B$6:$B$20,CURVA!$G$6:$G$20,#REF!)</f>
        <v>#VALUE!</v>
      </c>
    </row>
    <row r="8594" spans="1:5" x14ac:dyDescent="0.2">
      <c r="A8594" s="28">
        <v>8593</v>
      </c>
      <c r="B8594" s="28" t="e">
        <f>interpola(#REF!,CURVA!$B$6:$B$20,CURVA!$G$6:$G$20)</f>
        <v>#VALUE!</v>
      </c>
      <c r="C8594" s="29" t="e">
        <f t="shared" si="134"/>
        <v>#VALUE!</v>
      </c>
      <c r="E8594" t="e">
        <f>cubic_spline(CURVA!$B$6:$B$20,CURVA!$G$6:$G$20,#REF!)</f>
        <v>#VALUE!</v>
      </c>
    </row>
    <row r="8595" spans="1:5" x14ac:dyDescent="0.2">
      <c r="A8595" s="28">
        <v>8594</v>
      </c>
      <c r="B8595" s="28" t="e">
        <f>interpola(#REF!,CURVA!$B$6:$B$20,CURVA!$G$6:$G$20)</f>
        <v>#VALUE!</v>
      </c>
      <c r="C8595" s="29" t="e">
        <f t="shared" si="134"/>
        <v>#VALUE!</v>
      </c>
      <c r="E8595" t="e">
        <f>cubic_spline(CURVA!$B$6:$B$20,CURVA!$G$6:$G$20,#REF!)</f>
        <v>#VALUE!</v>
      </c>
    </row>
    <row r="8596" spans="1:5" x14ac:dyDescent="0.2">
      <c r="A8596" s="28">
        <v>8595</v>
      </c>
      <c r="B8596" s="28" t="e">
        <f>interpola(#REF!,CURVA!$B$6:$B$20,CURVA!$G$6:$G$20)</f>
        <v>#VALUE!</v>
      </c>
      <c r="C8596" s="29" t="e">
        <f t="shared" si="134"/>
        <v>#VALUE!</v>
      </c>
      <c r="E8596" t="e">
        <f>cubic_spline(CURVA!$B$6:$B$20,CURVA!$G$6:$G$20,#REF!)</f>
        <v>#VALUE!</v>
      </c>
    </row>
    <row r="8597" spans="1:5" x14ac:dyDescent="0.2">
      <c r="A8597" s="28">
        <v>8596</v>
      </c>
      <c r="B8597" s="28" t="e">
        <f>interpola(#REF!,CURVA!$B$6:$B$20,CURVA!$G$6:$G$20)</f>
        <v>#VALUE!</v>
      </c>
      <c r="C8597" s="29" t="e">
        <f t="shared" si="134"/>
        <v>#VALUE!</v>
      </c>
      <c r="E8597" t="e">
        <f>cubic_spline(CURVA!$B$6:$B$20,CURVA!$G$6:$G$20,#REF!)</f>
        <v>#VALUE!</v>
      </c>
    </row>
    <row r="8598" spans="1:5" x14ac:dyDescent="0.2">
      <c r="A8598" s="28">
        <v>8597</v>
      </c>
      <c r="B8598" s="28" t="e">
        <f>interpola(#REF!,CURVA!$B$6:$B$20,CURVA!$G$6:$G$20)</f>
        <v>#VALUE!</v>
      </c>
      <c r="C8598" s="29" t="e">
        <f t="shared" si="134"/>
        <v>#VALUE!</v>
      </c>
      <c r="E8598" t="e">
        <f>cubic_spline(CURVA!$B$6:$B$20,CURVA!$G$6:$G$20,#REF!)</f>
        <v>#VALUE!</v>
      </c>
    </row>
    <row r="8599" spans="1:5" x14ac:dyDescent="0.2">
      <c r="A8599" s="28">
        <v>8598</v>
      </c>
      <c r="B8599" s="28" t="e">
        <f>interpola(#REF!,CURVA!$B$6:$B$20,CURVA!$G$6:$G$20)</f>
        <v>#VALUE!</v>
      </c>
      <c r="C8599" s="29" t="e">
        <f t="shared" si="134"/>
        <v>#VALUE!</v>
      </c>
      <c r="E8599" t="e">
        <f>cubic_spline(CURVA!$B$6:$B$20,CURVA!$G$6:$G$20,#REF!)</f>
        <v>#VALUE!</v>
      </c>
    </row>
    <row r="8600" spans="1:5" x14ac:dyDescent="0.2">
      <c r="A8600" s="28">
        <v>8599</v>
      </c>
      <c r="B8600" s="28" t="e">
        <f>interpola(#REF!,CURVA!$B$6:$B$20,CURVA!$G$6:$G$20)</f>
        <v>#VALUE!</v>
      </c>
      <c r="C8600" s="29" t="e">
        <f t="shared" si="134"/>
        <v>#VALUE!</v>
      </c>
      <c r="E8600" t="e">
        <f>cubic_spline(CURVA!$B$6:$B$20,CURVA!$G$6:$G$20,#REF!)</f>
        <v>#VALUE!</v>
      </c>
    </row>
    <row r="8601" spans="1:5" x14ac:dyDescent="0.2">
      <c r="A8601" s="28">
        <v>8600</v>
      </c>
      <c r="B8601" s="28" t="e">
        <f>interpola(#REF!,CURVA!$B$6:$B$20,CURVA!$G$6:$G$20)</f>
        <v>#VALUE!</v>
      </c>
      <c r="C8601" s="29" t="e">
        <f t="shared" si="134"/>
        <v>#VALUE!</v>
      </c>
      <c r="E8601" t="e">
        <f>cubic_spline(CURVA!$B$6:$B$20,CURVA!$G$6:$G$20,#REF!)</f>
        <v>#VALUE!</v>
      </c>
    </row>
    <row r="8602" spans="1:5" x14ac:dyDescent="0.2">
      <c r="A8602" s="28">
        <v>8601</v>
      </c>
      <c r="B8602" s="28" t="e">
        <f>interpola(#REF!,CURVA!$B$6:$B$20,CURVA!$G$6:$G$20)</f>
        <v>#VALUE!</v>
      </c>
      <c r="C8602" s="29" t="e">
        <f t="shared" si="134"/>
        <v>#VALUE!</v>
      </c>
      <c r="E8602" t="e">
        <f>cubic_spline(CURVA!$B$6:$B$20,CURVA!$G$6:$G$20,#REF!)</f>
        <v>#VALUE!</v>
      </c>
    </row>
    <row r="8603" spans="1:5" x14ac:dyDescent="0.2">
      <c r="A8603" s="28">
        <v>8602</v>
      </c>
      <c r="B8603" s="28" t="e">
        <f>interpola(#REF!,CURVA!$B$6:$B$20,CURVA!$G$6:$G$20)</f>
        <v>#VALUE!</v>
      </c>
      <c r="C8603" s="29" t="e">
        <f t="shared" si="134"/>
        <v>#VALUE!</v>
      </c>
      <c r="E8603" t="e">
        <f>cubic_spline(CURVA!$B$6:$B$20,CURVA!$G$6:$G$20,#REF!)</f>
        <v>#VALUE!</v>
      </c>
    </row>
    <row r="8604" spans="1:5" x14ac:dyDescent="0.2">
      <c r="A8604" s="28">
        <v>8603</v>
      </c>
      <c r="B8604" s="28" t="e">
        <f>interpola(#REF!,CURVA!$B$6:$B$20,CURVA!$G$6:$G$20)</f>
        <v>#VALUE!</v>
      </c>
      <c r="C8604" s="29" t="e">
        <f t="shared" si="134"/>
        <v>#VALUE!</v>
      </c>
      <c r="E8604" t="e">
        <f>cubic_spline(CURVA!$B$6:$B$20,CURVA!$G$6:$G$20,#REF!)</f>
        <v>#VALUE!</v>
      </c>
    </row>
    <row r="8605" spans="1:5" x14ac:dyDescent="0.2">
      <c r="A8605" s="28">
        <v>8604</v>
      </c>
      <c r="B8605" s="28" t="e">
        <f>interpola(#REF!,CURVA!$B$6:$B$20,CURVA!$G$6:$G$20)</f>
        <v>#VALUE!</v>
      </c>
      <c r="C8605" s="29" t="e">
        <f t="shared" si="134"/>
        <v>#VALUE!</v>
      </c>
      <c r="E8605" t="e">
        <f>cubic_spline(CURVA!$B$6:$B$20,CURVA!$G$6:$G$20,#REF!)</f>
        <v>#VALUE!</v>
      </c>
    </row>
    <row r="8606" spans="1:5" x14ac:dyDescent="0.2">
      <c r="A8606" s="28">
        <v>8605</v>
      </c>
      <c r="B8606" s="28" t="e">
        <f>interpola(#REF!,CURVA!$B$6:$B$20,CURVA!$G$6:$G$20)</f>
        <v>#VALUE!</v>
      </c>
      <c r="C8606" s="29" t="e">
        <f t="shared" si="134"/>
        <v>#VALUE!</v>
      </c>
      <c r="E8606" t="e">
        <f>cubic_spline(CURVA!$B$6:$B$20,CURVA!$G$6:$G$20,#REF!)</f>
        <v>#VALUE!</v>
      </c>
    </row>
    <row r="8607" spans="1:5" x14ac:dyDescent="0.2">
      <c r="A8607" s="28">
        <v>8606</v>
      </c>
      <c r="B8607" s="28" t="e">
        <f>interpola(#REF!,CURVA!$B$6:$B$20,CURVA!$G$6:$G$20)</f>
        <v>#VALUE!</v>
      </c>
      <c r="C8607" s="29" t="e">
        <f t="shared" si="134"/>
        <v>#VALUE!</v>
      </c>
      <c r="E8607" t="e">
        <f>cubic_spline(CURVA!$B$6:$B$20,CURVA!$G$6:$G$20,#REF!)</f>
        <v>#VALUE!</v>
      </c>
    </row>
    <row r="8608" spans="1:5" x14ac:dyDescent="0.2">
      <c r="A8608" s="28">
        <v>8607</v>
      </c>
      <c r="B8608" s="28" t="e">
        <f>interpola(#REF!,CURVA!$B$6:$B$20,CURVA!$G$6:$G$20)</f>
        <v>#VALUE!</v>
      </c>
      <c r="C8608" s="29" t="e">
        <f t="shared" si="134"/>
        <v>#VALUE!</v>
      </c>
      <c r="E8608" t="e">
        <f>cubic_spline(CURVA!$B$6:$B$20,CURVA!$G$6:$G$20,#REF!)</f>
        <v>#VALUE!</v>
      </c>
    </row>
    <row r="8609" spans="1:5" x14ac:dyDescent="0.2">
      <c r="A8609" s="28">
        <v>8608</v>
      </c>
      <c r="B8609" s="28" t="e">
        <f>interpola(#REF!,CURVA!$B$6:$B$20,CURVA!$G$6:$G$20)</f>
        <v>#VALUE!</v>
      </c>
      <c r="C8609" s="29" t="e">
        <f t="shared" si="134"/>
        <v>#VALUE!</v>
      </c>
      <c r="E8609" t="e">
        <f>cubic_spline(CURVA!$B$6:$B$20,CURVA!$G$6:$G$20,#REF!)</f>
        <v>#VALUE!</v>
      </c>
    </row>
    <row r="8610" spans="1:5" x14ac:dyDescent="0.2">
      <c r="A8610" s="28">
        <v>8609</v>
      </c>
      <c r="B8610" s="28" t="e">
        <f>interpola(#REF!,CURVA!$B$6:$B$20,CURVA!$G$6:$G$20)</f>
        <v>#VALUE!</v>
      </c>
      <c r="C8610" s="29" t="e">
        <f t="shared" si="134"/>
        <v>#VALUE!</v>
      </c>
      <c r="E8610" t="e">
        <f>cubic_spline(CURVA!$B$6:$B$20,CURVA!$G$6:$G$20,#REF!)</f>
        <v>#VALUE!</v>
      </c>
    </row>
    <row r="8611" spans="1:5" x14ac:dyDescent="0.2">
      <c r="A8611" s="28">
        <v>8610</v>
      </c>
      <c r="B8611" s="28" t="e">
        <f>interpola(#REF!,CURVA!$B$6:$B$20,CURVA!$G$6:$G$20)</f>
        <v>#VALUE!</v>
      </c>
      <c r="C8611" s="29" t="e">
        <f t="shared" si="134"/>
        <v>#VALUE!</v>
      </c>
      <c r="E8611" t="e">
        <f>cubic_spline(CURVA!$B$6:$B$20,CURVA!$G$6:$G$20,#REF!)</f>
        <v>#VALUE!</v>
      </c>
    </row>
    <row r="8612" spans="1:5" x14ac:dyDescent="0.2">
      <c r="A8612" s="28">
        <v>8611</v>
      </c>
      <c r="B8612" s="28" t="e">
        <f>interpola(#REF!,CURVA!$B$6:$B$20,CURVA!$G$6:$G$20)</f>
        <v>#VALUE!</v>
      </c>
      <c r="C8612" s="29" t="e">
        <f t="shared" si="134"/>
        <v>#VALUE!</v>
      </c>
      <c r="E8612" t="e">
        <f>cubic_spline(CURVA!$B$6:$B$20,CURVA!$G$6:$G$20,#REF!)</f>
        <v>#VALUE!</v>
      </c>
    </row>
    <row r="8613" spans="1:5" x14ac:dyDescent="0.2">
      <c r="A8613" s="28">
        <v>8612</v>
      </c>
      <c r="B8613" s="28" t="e">
        <f>interpola(#REF!,CURVA!$B$6:$B$20,CURVA!$G$6:$G$20)</f>
        <v>#VALUE!</v>
      </c>
      <c r="C8613" s="29" t="e">
        <f t="shared" si="134"/>
        <v>#VALUE!</v>
      </c>
      <c r="E8613" t="e">
        <f>cubic_spline(CURVA!$B$6:$B$20,CURVA!$G$6:$G$20,#REF!)</f>
        <v>#VALUE!</v>
      </c>
    </row>
    <row r="8614" spans="1:5" x14ac:dyDescent="0.2">
      <c r="A8614" s="28">
        <v>8613</v>
      </c>
      <c r="B8614" s="28" t="e">
        <f>interpola(#REF!,CURVA!$B$6:$B$20,CURVA!$G$6:$G$20)</f>
        <v>#VALUE!</v>
      </c>
      <c r="C8614" s="29" t="e">
        <f t="shared" si="134"/>
        <v>#VALUE!</v>
      </c>
      <c r="E8614" t="e">
        <f>cubic_spline(CURVA!$B$6:$B$20,CURVA!$G$6:$G$20,#REF!)</f>
        <v>#VALUE!</v>
      </c>
    </row>
    <row r="8615" spans="1:5" x14ac:dyDescent="0.2">
      <c r="A8615" s="28">
        <v>8614</v>
      </c>
      <c r="B8615" s="28" t="e">
        <f>interpola(#REF!,CURVA!$B$6:$B$20,CURVA!$G$6:$G$20)</f>
        <v>#VALUE!</v>
      </c>
      <c r="C8615" s="29" t="e">
        <f t="shared" si="134"/>
        <v>#VALUE!</v>
      </c>
      <c r="E8615" t="e">
        <f>cubic_spline(CURVA!$B$6:$B$20,CURVA!$G$6:$G$20,#REF!)</f>
        <v>#VALUE!</v>
      </c>
    </row>
    <row r="8616" spans="1:5" x14ac:dyDescent="0.2">
      <c r="A8616" s="28">
        <v>8615</v>
      </c>
      <c r="B8616" s="28" t="e">
        <f>interpola(#REF!,CURVA!$B$6:$B$20,CURVA!$G$6:$G$20)</f>
        <v>#VALUE!</v>
      </c>
      <c r="C8616" s="29" t="e">
        <f t="shared" si="134"/>
        <v>#VALUE!</v>
      </c>
      <c r="E8616" t="e">
        <f>cubic_spline(CURVA!$B$6:$B$20,CURVA!$G$6:$G$20,#REF!)</f>
        <v>#VALUE!</v>
      </c>
    </row>
    <row r="8617" spans="1:5" x14ac:dyDescent="0.2">
      <c r="A8617" s="28">
        <v>8616</v>
      </c>
      <c r="B8617" s="28" t="e">
        <f>interpola(#REF!,CURVA!$B$6:$B$20,CURVA!$G$6:$G$20)</f>
        <v>#VALUE!</v>
      </c>
      <c r="C8617" s="29" t="e">
        <f t="shared" si="134"/>
        <v>#VALUE!</v>
      </c>
      <c r="E8617" t="e">
        <f>cubic_spline(CURVA!$B$6:$B$20,CURVA!$G$6:$G$20,#REF!)</f>
        <v>#VALUE!</v>
      </c>
    </row>
    <row r="8618" spans="1:5" x14ac:dyDescent="0.2">
      <c r="A8618" s="28">
        <v>8617</v>
      </c>
      <c r="B8618" s="28" t="e">
        <f>interpola(#REF!,CURVA!$B$6:$B$20,CURVA!$G$6:$G$20)</f>
        <v>#VALUE!</v>
      </c>
      <c r="C8618" s="29" t="e">
        <f t="shared" si="134"/>
        <v>#VALUE!</v>
      </c>
      <c r="E8618" t="e">
        <f>cubic_spline(CURVA!$B$6:$B$20,CURVA!$G$6:$G$20,#REF!)</f>
        <v>#VALUE!</v>
      </c>
    </row>
    <row r="8619" spans="1:5" x14ac:dyDescent="0.2">
      <c r="A8619" s="28">
        <v>8618</v>
      </c>
      <c r="B8619" s="28" t="e">
        <f>interpola(#REF!,CURVA!$B$6:$B$20,CURVA!$G$6:$G$20)</f>
        <v>#VALUE!</v>
      </c>
      <c r="C8619" s="29" t="e">
        <f t="shared" si="134"/>
        <v>#VALUE!</v>
      </c>
      <c r="E8619" t="e">
        <f>cubic_spline(CURVA!$B$6:$B$20,CURVA!$G$6:$G$20,#REF!)</f>
        <v>#VALUE!</v>
      </c>
    </row>
    <row r="8620" spans="1:5" x14ac:dyDescent="0.2">
      <c r="A8620" s="28">
        <v>8619</v>
      </c>
      <c r="B8620" s="28" t="e">
        <f>interpola(#REF!,CURVA!$B$6:$B$20,CURVA!$G$6:$G$20)</f>
        <v>#VALUE!</v>
      </c>
      <c r="C8620" s="29" t="e">
        <f t="shared" si="134"/>
        <v>#VALUE!</v>
      </c>
      <c r="E8620" t="e">
        <f>cubic_spline(CURVA!$B$6:$B$20,CURVA!$G$6:$G$20,#REF!)</f>
        <v>#VALUE!</v>
      </c>
    </row>
    <row r="8621" spans="1:5" x14ac:dyDescent="0.2">
      <c r="A8621" s="28">
        <v>8620</v>
      </c>
      <c r="B8621" s="28" t="e">
        <f>interpola(#REF!,CURVA!$B$6:$B$20,CURVA!$G$6:$G$20)</f>
        <v>#VALUE!</v>
      </c>
      <c r="C8621" s="29" t="e">
        <f t="shared" si="134"/>
        <v>#VALUE!</v>
      </c>
      <c r="E8621" t="e">
        <f>cubic_spline(CURVA!$B$6:$B$20,CURVA!$G$6:$G$20,#REF!)</f>
        <v>#VALUE!</v>
      </c>
    </row>
    <row r="8622" spans="1:5" x14ac:dyDescent="0.2">
      <c r="A8622" s="28">
        <v>8621</v>
      </c>
      <c r="B8622" s="28" t="e">
        <f>interpola(#REF!,CURVA!$B$6:$B$20,CURVA!$G$6:$G$20)</f>
        <v>#VALUE!</v>
      </c>
      <c r="C8622" s="29" t="e">
        <f t="shared" si="134"/>
        <v>#VALUE!</v>
      </c>
      <c r="E8622" t="e">
        <f>cubic_spline(CURVA!$B$6:$B$20,CURVA!$G$6:$G$20,#REF!)</f>
        <v>#VALUE!</v>
      </c>
    </row>
    <row r="8623" spans="1:5" x14ac:dyDescent="0.2">
      <c r="A8623" s="28">
        <v>8622</v>
      </c>
      <c r="B8623" s="28" t="e">
        <f>interpola(#REF!,CURVA!$B$6:$B$20,CURVA!$G$6:$G$20)</f>
        <v>#VALUE!</v>
      </c>
      <c r="C8623" s="29" t="e">
        <f t="shared" si="134"/>
        <v>#VALUE!</v>
      </c>
      <c r="E8623" t="e">
        <f>cubic_spline(CURVA!$B$6:$B$20,CURVA!$G$6:$G$20,#REF!)</f>
        <v>#VALUE!</v>
      </c>
    </row>
    <row r="8624" spans="1:5" x14ac:dyDescent="0.2">
      <c r="A8624" s="28">
        <v>8623</v>
      </c>
      <c r="B8624" s="28" t="e">
        <f>interpola(#REF!,CURVA!$B$6:$B$20,CURVA!$G$6:$G$20)</f>
        <v>#VALUE!</v>
      </c>
      <c r="C8624" s="29" t="e">
        <f t="shared" si="134"/>
        <v>#VALUE!</v>
      </c>
      <c r="E8624" t="e">
        <f>cubic_spline(CURVA!$B$6:$B$20,CURVA!$G$6:$G$20,#REF!)</f>
        <v>#VALUE!</v>
      </c>
    </row>
    <row r="8625" spans="1:5" x14ac:dyDescent="0.2">
      <c r="A8625" s="28">
        <v>8624</v>
      </c>
      <c r="B8625" s="28" t="e">
        <f>interpola(#REF!,CURVA!$B$6:$B$20,CURVA!$G$6:$G$20)</f>
        <v>#VALUE!</v>
      </c>
      <c r="C8625" s="29" t="e">
        <f t="shared" si="134"/>
        <v>#VALUE!</v>
      </c>
      <c r="E8625" t="e">
        <f>cubic_spline(CURVA!$B$6:$B$20,CURVA!$G$6:$G$20,#REF!)</f>
        <v>#VALUE!</v>
      </c>
    </row>
    <row r="8626" spans="1:5" x14ac:dyDescent="0.2">
      <c r="A8626" s="28">
        <v>8625</v>
      </c>
      <c r="B8626" s="28" t="e">
        <f>interpola(#REF!,CURVA!$B$6:$B$20,CURVA!$G$6:$G$20)</f>
        <v>#VALUE!</v>
      </c>
      <c r="C8626" s="29" t="e">
        <f t="shared" si="134"/>
        <v>#VALUE!</v>
      </c>
      <c r="E8626" t="e">
        <f>cubic_spline(CURVA!$B$6:$B$20,CURVA!$G$6:$G$20,#REF!)</f>
        <v>#VALUE!</v>
      </c>
    </row>
    <row r="8627" spans="1:5" x14ac:dyDescent="0.2">
      <c r="A8627" s="28">
        <v>8626</v>
      </c>
      <c r="B8627" s="28" t="e">
        <f>interpola(#REF!,CURVA!$B$6:$B$20,CURVA!$G$6:$G$20)</f>
        <v>#VALUE!</v>
      </c>
      <c r="C8627" s="29" t="e">
        <f t="shared" si="134"/>
        <v>#VALUE!</v>
      </c>
      <c r="E8627" t="e">
        <f>cubic_spline(CURVA!$B$6:$B$20,CURVA!$G$6:$G$20,#REF!)</f>
        <v>#VALUE!</v>
      </c>
    </row>
    <row r="8628" spans="1:5" x14ac:dyDescent="0.2">
      <c r="A8628" s="28">
        <v>8627</v>
      </c>
      <c r="B8628" s="28" t="e">
        <f>interpola(#REF!,CURVA!$B$6:$B$20,CURVA!$G$6:$G$20)</f>
        <v>#VALUE!</v>
      </c>
      <c r="C8628" s="29" t="e">
        <f t="shared" si="134"/>
        <v>#VALUE!</v>
      </c>
      <c r="E8628" t="e">
        <f>cubic_spline(CURVA!$B$6:$B$20,CURVA!$G$6:$G$20,#REF!)</f>
        <v>#VALUE!</v>
      </c>
    </row>
    <row r="8629" spans="1:5" x14ac:dyDescent="0.2">
      <c r="A8629" s="28">
        <v>8628</v>
      </c>
      <c r="B8629" s="28" t="e">
        <f>interpola(#REF!,CURVA!$B$6:$B$20,CURVA!$G$6:$G$20)</f>
        <v>#VALUE!</v>
      </c>
      <c r="C8629" s="29" t="e">
        <f t="shared" si="134"/>
        <v>#VALUE!</v>
      </c>
      <c r="E8629" t="e">
        <f>cubic_spline(CURVA!$B$6:$B$20,CURVA!$G$6:$G$20,#REF!)</f>
        <v>#VALUE!</v>
      </c>
    </row>
    <row r="8630" spans="1:5" x14ac:dyDescent="0.2">
      <c r="A8630" s="28">
        <v>8629</v>
      </c>
      <c r="B8630" s="28" t="e">
        <f>interpola(#REF!,CURVA!$B$6:$B$20,CURVA!$G$6:$G$20)</f>
        <v>#VALUE!</v>
      </c>
      <c r="C8630" s="29" t="e">
        <f t="shared" si="134"/>
        <v>#VALUE!</v>
      </c>
      <c r="E8630" t="e">
        <f>cubic_spline(CURVA!$B$6:$B$20,CURVA!$G$6:$G$20,#REF!)</f>
        <v>#VALUE!</v>
      </c>
    </row>
    <row r="8631" spans="1:5" x14ac:dyDescent="0.2">
      <c r="A8631" s="28">
        <v>8630</v>
      </c>
      <c r="B8631" s="28" t="e">
        <f>interpola(#REF!,CURVA!$B$6:$B$20,CURVA!$G$6:$G$20)</f>
        <v>#VALUE!</v>
      </c>
      <c r="C8631" s="29" t="e">
        <f t="shared" si="134"/>
        <v>#VALUE!</v>
      </c>
      <c r="E8631" t="e">
        <f>cubic_spline(CURVA!$B$6:$B$20,CURVA!$G$6:$G$20,#REF!)</f>
        <v>#VALUE!</v>
      </c>
    </row>
    <row r="8632" spans="1:5" x14ac:dyDescent="0.2">
      <c r="A8632" s="28">
        <v>8631</v>
      </c>
      <c r="B8632" s="28" t="e">
        <f>interpola(#REF!,CURVA!$B$6:$B$20,CURVA!$G$6:$G$20)</f>
        <v>#VALUE!</v>
      </c>
      <c r="C8632" s="29" t="e">
        <f t="shared" si="134"/>
        <v>#VALUE!</v>
      </c>
      <c r="E8632" t="e">
        <f>cubic_spline(CURVA!$B$6:$B$20,CURVA!$G$6:$G$20,#REF!)</f>
        <v>#VALUE!</v>
      </c>
    </row>
    <row r="8633" spans="1:5" x14ac:dyDescent="0.2">
      <c r="A8633" s="28">
        <v>8632</v>
      </c>
      <c r="B8633" s="28" t="e">
        <f>interpola(#REF!,CURVA!$B$6:$B$20,CURVA!$G$6:$G$20)</f>
        <v>#VALUE!</v>
      </c>
      <c r="C8633" s="29" t="e">
        <f t="shared" si="134"/>
        <v>#VALUE!</v>
      </c>
      <c r="E8633" t="e">
        <f>cubic_spline(CURVA!$B$6:$B$20,CURVA!$G$6:$G$20,#REF!)</f>
        <v>#VALUE!</v>
      </c>
    </row>
    <row r="8634" spans="1:5" x14ac:dyDescent="0.2">
      <c r="A8634" s="28">
        <v>8633</v>
      </c>
      <c r="B8634" s="28" t="e">
        <f>interpola(#REF!,CURVA!$B$6:$B$20,CURVA!$G$6:$G$20)</f>
        <v>#VALUE!</v>
      </c>
      <c r="C8634" s="29" t="e">
        <f t="shared" si="134"/>
        <v>#VALUE!</v>
      </c>
      <c r="E8634" t="e">
        <f>cubic_spline(CURVA!$B$6:$B$20,CURVA!$G$6:$G$20,#REF!)</f>
        <v>#VALUE!</v>
      </c>
    </row>
    <row r="8635" spans="1:5" x14ac:dyDescent="0.2">
      <c r="A8635" s="28">
        <v>8634</v>
      </c>
      <c r="B8635" s="28" t="e">
        <f>interpola(#REF!,CURVA!$B$6:$B$20,CURVA!$G$6:$G$20)</f>
        <v>#VALUE!</v>
      </c>
      <c r="C8635" s="29" t="e">
        <f t="shared" si="134"/>
        <v>#VALUE!</v>
      </c>
      <c r="E8635" t="e">
        <f>cubic_spline(CURVA!$B$6:$B$20,CURVA!$G$6:$G$20,#REF!)</f>
        <v>#VALUE!</v>
      </c>
    </row>
    <row r="8636" spans="1:5" x14ac:dyDescent="0.2">
      <c r="A8636" s="28">
        <v>8635</v>
      </c>
      <c r="B8636" s="28" t="e">
        <f>interpola(#REF!,CURVA!$B$6:$B$20,CURVA!$G$6:$G$20)</f>
        <v>#VALUE!</v>
      </c>
      <c r="C8636" s="29" t="e">
        <f t="shared" si="134"/>
        <v>#VALUE!</v>
      </c>
      <c r="E8636" t="e">
        <f>cubic_spline(CURVA!$B$6:$B$20,CURVA!$G$6:$G$20,#REF!)</f>
        <v>#VALUE!</v>
      </c>
    </row>
    <row r="8637" spans="1:5" x14ac:dyDescent="0.2">
      <c r="A8637" s="28">
        <v>8636</v>
      </c>
      <c r="B8637" s="28" t="e">
        <f>interpola(#REF!,CURVA!$B$6:$B$20,CURVA!$G$6:$G$20)</f>
        <v>#VALUE!</v>
      </c>
      <c r="C8637" s="29" t="e">
        <f t="shared" si="134"/>
        <v>#VALUE!</v>
      </c>
      <c r="E8637" t="e">
        <f>cubic_spline(CURVA!$B$6:$B$20,CURVA!$G$6:$G$20,#REF!)</f>
        <v>#VALUE!</v>
      </c>
    </row>
    <row r="8638" spans="1:5" x14ac:dyDescent="0.2">
      <c r="A8638" s="28">
        <v>8637</v>
      </c>
      <c r="B8638" s="28" t="e">
        <f>interpola(#REF!,CURVA!$B$6:$B$20,CURVA!$G$6:$G$20)</f>
        <v>#VALUE!</v>
      </c>
      <c r="C8638" s="29" t="e">
        <f t="shared" si="134"/>
        <v>#VALUE!</v>
      </c>
      <c r="E8638" t="e">
        <f>cubic_spline(CURVA!$B$6:$B$20,CURVA!$G$6:$G$20,#REF!)</f>
        <v>#VALUE!</v>
      </c>
    </row>
    <row r="8639" spans="1:5" x14ac:dyDescent="0.2">
      <c r="A8639" s="28">
        <v>8638</v>
      </c>
      <c r="B8639" s="28" t="e">
        <f>interpola(#REF!,CURVA!$B$6:$B$20,CURVA!$G$6:$G$20)</f>
        <v>#VALUE!</v>
      </c>
      <c r="C8639" s="29" t="e">
        <f t="shared" si="134"/>
        <v>#VALUE!</v>
      </c>
      <c r="E8639" t="e">
        <f>cubic_spline(CURVA!$B$6:$B$20,CURVA!$G$6:$G$20,#REF!)</f>
        <v>#VALUE!</v>
      </c>
    </row>
    <row r="8640" spans="1:5" x14ac:dyDescent="0.2">
      <c r="A8640" s="28">
        <v>8639</v>
      </c>
      <c r="B8640" s="28" t="e">
        <f>interpola(#REF!,CURVA!$B$6:$B$20,CURVA!$G$6:$G$20)</f>
        <v>#VALUE!</v>
      </c>
      <c r="C8640" s="29" t="e">
        <f t="shared" si="134"/>
        <v>#VALUE!</v>
      </c>
      <c r="E8640" t="e">
        <f>cubic_spline(CURVA!$B$6:$B$20,CURVA!$G$6:$G$20,#REF!)</f>
        <v>#VALUE!</v>
      </c>
    </row>
    <row r="8641" spans="1:5" x14ac:dyDescent="0.2">
      <c r="A8641" s="28">
        <v>8640</v>
      </c>
      <c r="B8641" s="28" t="e">
        <f>interpola(#REF!,CURVA!$B$6:$B$20,CURVA!$G$6:$G$20)</f>
        <v>#VALUE!</v>
      </c>
      <c r="C8641" s="29" t="e">
        <f t="shared" si="134"/>
        <v>#VALUE!</v>
      </c>
      <c r="E8641" t="e">
        <f>cubic_spline(CURVA!$B$6:$B$20,CURVA!$G$6:$G$20,#REF!)</f>
        <v>#VALUE!</v>
      </c>
    </row>
    <row r="8642" spans="1:5" x14ac:dyDescent="0.2">
      <c r="A8642" s="28">
        <v>8641</v>
      </c>
      <c r="B8642" s="28" t="e">
        <f>interpola(#REF!,CURVA!$B$6:$B$20,CURVA!$G$6:$G$20)</f>
        <v>#VALUE!</v>
      </c>
      <c r="C8642" s="29" t="e">
        <f t="shared" ref="C8642:C8705" si="135">(EXP(B8642*A8642/360)-1)*360/A8642</f>
        <v>#VALUE!</v>
      </c>
      <c r="E8642" t="e">
        <f>cubic_spline(CURVA!$B$6:$B$20,CURVA!$G$6:$G$20,#REF!)</f>
        <v>#VALUE!</v>
      </c>
    </row>
    <row r="8643" spans="1:5" x14ac:dyDescent="0.2">
      <c r="A8643" s="28">
        <v>8642</v>
      </c>
      <c r="B8643" s="28" t="e">
        <f>interpola(#REF!,CURVA!$B$6:$B$20,CURVA!$G$6:$G$20)</f>
        <v>#VALUE!</v>
      </c>
      <c r="C8643" s="29" t="e">
        <f t="shared" si="135"/>
        <v>#VALUE!</v>
      </c>
      <c r="E8643" t="e">
        <f>cubic_spline(CURVA!$B$6:$B$20,CURVA!$G$6:$G$20,#REF!)</f>
        <v>#VALUE!</v>
      </c>
    </row>
    <row r="8644" spans="1:5" x14ac:dyDescent="0.2">
      <c r="A8644" s="28">
        <v>8643</v>
      </c>
      <c r="B8644" s="28" t="e">
        <f>interpola(#REF!,CURVA!$B$6:$B$20,CURVA!$G$6:$G$20)</f>
        <v>#VALUE!</v>
      </c>
      <c r="C8644" s="29" t="e">
        <f t="shared" si="135"/>
        <v>#VALUE!</v>
      </c>
      <c r="E8644" t="e">
        <f>cubic_spline(CURVA!$B$6:$B$20,CURVA!$G$6:$G$20,#REF!)</f>
        <v>#VALUE!</v>
      </c>
    </row>
    <row r="8645" spans="1:5" x14ac:dyDescent="0.2">
      <c r="A8645" s="28">
        <v>8644</v>
      </c>
      <c r="B8645" s="28" t="e">
        <f>interpola(#REF!,CURVA!$B$6:$B$20,CURVA!$G$6:$G$20)</f>
        <v>#VALUE!</v>
      </c>
      <c r="C8645" s="29" t="e">
        <f t="shared" si="135"/>
        <v>#VALUE!</v>
      </c>
      <c r="E8645" t="e">
        <f>cubic_spline(CURVA!$B$6:$B$20,CURVA!$G$6:$G$20,#REF!)</f>
        <v>#VALUE!</v>
      </c>
    </row>
    <row r="8646" spans="1:5" x14ac:dyDescent="0.2">
      <c r="A8646" s="28">
        <v>8645</v>
      </c>
      <c r="B8646" s="28" t="e">
        <f>interpola(#REF!,CURVA!$B$6:$B$20,CURVA!$G$6:$G$20)</f>
        <v>#VALUE!</v>
      </c>
      <c r="C8646" s="29" t="e">
        <f t="shared" si="135"/>
        <v>#VALUE!</v>
      </c>
      <c r="E8646" t="e">
        <f>cubic_spline(CURVA!$B$6:$B$20,CURVA!$G$6:$G$20,#REF!)</f>
        <v>#VALUE!</v>
      </c>
    </row>
    <row r="8647" spans="1:5" x14ac:dyDescent="0.2">
      <c r="A8647" s="28">
        <v>8646</v>
      </c>
      <c r="B8647" s="28" t="e">
        <f>interpola(#REF!,CURVA!$B$6:$B$20,CURVA!$G$6:$G$20)</f>
        <v>#VALUE!</v>
      </c>
      <c r="C8647" s="29" t="e">
        <f t="shared" si="135"/>
        <v>#VALUE!</v>
      </c>
      <c r="E8647" t="e">
        <f>cubic_spline(CURVA!$B$6:$B$20,CURVA!$G$6:$G$20,#REF!)</f>
        <v>#VALUE!</v>
      </c>
    </row>
    <row r="8648" spans="1:5" x14ac:dyDescent="0.2">
      <c r="A8648" s="28">
        <v>8647</v>
      </c>
      <c r="B8648" s="28" t="e">
        <f>interpola(#REF!,CURVA!$B$6:$B$20,CURVA!$G$6:$G$20)</f>
        <v>#VALUE!</v>
      </c>
      <c r="C8648" s="29" t="e">
        <f t="shared" si="135"/>
        <v>#VALUE!</v>
      </c>
      <c r="E8648" t="e">
        <f>cubic_spline(CURVA!$B$6:$B$20,CURVA!$G$6:$G$20,#REF!)</f>
        <v>#VALUE!</v>
      </c>
    </row>
    <row r="8649" spans="1:5" x14ac:dyDescent="0.2">
      <c r="A8649" s="28">
        <v>8648</v>
      </c>
      <c r="B8649" s="28" t="e">
        <f>interpola(#REF!,CURVA!$B$6:$B$20,CURVA!$G$6:$G$20)</f>
        <v>#VALUE!</v>
      </c>
      <c r="C8649" s="29" t="e">
        <f t="shared" si="135"/>
        <v>#VALUE!</v>
      </c>
      <c r="E8649" t="e">
        <f>cubic_spline(CURVA!$B$6:$B$20,CURVA!$G$6:$G$20,#REF!)</f>
        <v>#VALUE!</v>
      </c>
    </row>
    <row r="8650" spans="1:5" x14ac:dyDescent="0.2">
      <c r="A8650" s="28">
        <v>8649</v>
      </c>
      <c r="B8650" s="28" t="e">
        <f>interpola(#REF!,CURVA!$B$6:$B$20,CURVA!$G$6:$G$20)</f>
        <v>#VALUE!</v>
      </c>
      <c r="C8650" s="29" t="e">
        <f t="shared" si="135"/>
        <v>#VALUE!</v>
      </c>
      <c r="E8650" t="e">
        <f>cubic_spline(CURVA!$B$6:$B$20,CURVA!$G$6:$G$20,#REF!)</f>
        <v>#VALUE!</v>
      </c>
    </row>
    <row r="8651" spans="1:5" x14ac:dyDescent="0.2">
      <c r="A8651" s="28">
        <v>8650</v>
      </c>
      <c r="B8651" s="28" t="e">
        <f>interpola(#REF!,CURVA!$B$6:$B$20,CURVA!$G$6:$G$20)</f>
        <v>#VALUE!</v>
      </c>
      <c r="C8651" s="29" t="e">
        <f t="shared" si="135"/>
        <v>#VALUE!</v>
      </c>
      <c r="E8651" t="e">
        <f>cubic_spline(CURVA!$B$6:$B$20,CURVA!$G$6:$G$20,#REF!)</f>
        <v>#VALUE!</v>
      </c>
    </row>
    <row r="8652" spans="1:5" x14ac:dyDescent="0.2">
      <c r="A8652" s="28">
        <v>8651</v>
      </c>
      <c r="B8652" s="28" t="e">
        <f>interpola(#REF!,CURVA!$B$6:$B$20,CURVA!$G$6:$G$20)</f>
        <v>#VALUE!</v>
      </c>
      <c r="C8652" s="29" t="e">
        <f t="shared" si="135"/>
        <v>#VALUE!</v>
      </c>
      <c r="E8652" t="e">
        <f>cubic_spline(CURVA!$B$6:$B$20,CURVA!$G$6:$G$20,#REF!)</f>
        <v>#VALUE!</v>
      </c>
    </row>
    <row r="8653" spans="1:5" x14ac:dyDescent="0.2">
      <c r="A8653" s="28">
        <v>8652</v>
      </c>
      <c r="B8653" s="28" t="e">
        <f>interpola(#REF!,CURVA!$B$6:$B$20,CURVA!$G$6:$G$20)</f>
        <v>#VALUE!</v>
      </c>
      <c r="C8653" s="29" t="e">
        <f t="shared" si="135"/>
        <v>#VALUE!</v>
      </c>
      <c r="E8653" t="e">
        <f>cubic_spline(CURVA!$B$6:$B$20,CURVA!$G$6:$G$20,#REF!)</f>
        <v>#VALUE!</v>
      </c>
    </row>
    <row r="8654" spans="1:5" x14ac:dyDescent="0.2">
      <c r="A8654" s="28">
        <v>8653</v>
      </c>
      <c r="B8654" s="28" t="e">
        <f>interpola(#REF!,CURVA!$B$6:$B$20,CURVA!$G$6:$G$20)</f>
        <v>#VALUE!</v>
      </c>
      <c r="C8654" s="29" t="e">
        <f t="shared" si="135"/>
        <v>#VALUE!</v>
      </c>
      <c r="E8654" t="e">
        <f>cubic_spline(CURVA!$B$6:$B$20,CURVA!$G$6:$G$20,#REF!)</f>
        <v>#VALUE!</v>
      </c>
    </row>
    <row r="8655" spans="1:5" x14ac:dyDescent="0.2">
      <c r="A8655" s="28">
        <v>8654</v>
      </c>
      <c r="B8655" s="28" t="e">
        <f>interpola(#REF!,CURVA!$B$6:$B$20,CURVA!$G$6:$G$20)</f>
        <v>#VALUE!</v>
      </c>
      <c r="C8655" s="29" t="e">
        <f t="shared" si="135"/>
        <v>#VALUE!</v>
      </c>
      <c r="E8655" t="e">
        <f>cubic_spline(CURVA!$B$6:$B$20,CURVA!$G$6:$G$20,#REF!)</f>
        <v>#VALUE!</v>
      </c>
    </row>
    <row r="8656" spans="1:5" x14ac:dyDescent="0.2">
      <c r="A8656" s="28">
        <v>8655</v>
      </c>
      <c r="B8656" s="28" t="e">
        <f>interpola(#REF!,CURVA!$B$6:$B$20,CURVA!$G$6:$G$20)</f>
        <v>#VALUE!</v>
      </c>
      <c r="C8656" s="29" t="e">
        <f t="shared" si="135"/>
        <v>#VALUE!</v>
      </c>
      <c r="E8656" t="e">
        <f>cubic_spline(CURVA!$B$6:$B$20,CURVA!$G$6:$G$20,#REF!)</f>
        <v>#VALUE!</v>
      </c>
    </row>
    <row r="8657" spans="1:5" x14ac:dyDescent="0.2">
      <c r="A8657" s="28">
        <v>8656</v>
      </c>
      <c r="B8657" s="28" t="e">
        <f>interpola(#REF!,CURVA!$B$6:$B$20,CURVA!$G$6:$G$20)</f>
        <v>#VALUE!</v>
      </c>
      <c r="C8657" s="29" t="e">
        <f t="shared" si="135"/>
        <v>#VALUE!</v>
      </c>
      <c r="E8657" t="e">
        <f>cubic_spline(CURVA!$B$6:$B$20,CURVA!$G$6:$G$20,#REF!)</f>
        <v>#VALUE!</v>
      </c>
    </row>
    <row r="8658" spans="1:5" x14ac:dyDescent="0.2">
      <c r="A8658" s="28">
        <v>8657</v>
      </c>
      <c r="B8658" s="28" t="e">
        <f>interpola(#REF!,CURVA!$B$6:$B$20,CURVA!$G$6:$G$20)</f>
        <v>#VALUE!</v>
      </c>
      <c r="C8658" s="29" t="e">
        <f t="shared" si="135"/>
        <v>#VALUE!</v>
      </c>
      <c r="E8658" t="e">
        <f>cubic_spline(CURVA!$B$6:$B$20,CURVA!$G$6:$G$20,#REF!)</f>
        <v>#VALUE!</v>
      </c>
    </row>
    <row r="8659" spans="1:5" x14ac:dyDescent="0.2">
      <c r="A8659" s="28">
        <v>8658</v>
      </c>
      <c r="B8659" s="28" t="e">
        <f>interpola(#REF!,CURVA!$B$6:$B$20,CURVA!$G$6:$G$20)</f>
        <v>#VALUE!</v>
      </c>
      <c r="C8659" s="29" t="e">
        <f t="shared" si="135"/>
        <v>#VALUE!</v>
      </c>
      <c r="E8659" t="e">
        <f>cubic_spline(CURVA!$B$6:$B$20,CURVA!$G$6:$G$20,#REF!)</f>
        <v>#VALUE!</v>
      </c>
    </row>
    <row r="8660" spans="1:5" x14ac:dyDescent="0.2">
      <c r="A8660" s="28">
        <v>8659</v>
      </c>
      <c r="B8660" s="28" t="e">
        <f>interpola(#REF!,CURVA!$B$6:$B$20,CURVA!$G$6:$G$20)</f>
        <v>#VALUE!</v>
      </c>
      <c r="C8660" s="29" t="e">
        <f t="shared" si="135"/>
        <v>#VALUE!</v>
      </c>
      <c r="E8660" t="e">
        <f>cubic_spline(CURVA!$B$6:$B$20,CURVA!$G$6:$G$20,#REF!)</f>
        <v>#VALUE!</v>
      </c>
    </row>
    <row r="8661" spans="1:5" x14ac:dyDescent="0.2">
      <c r="A8661" s="28">
        <v>8660</v>
      </c>
      <c r="B8661" s="28" t="e">
        <f>interpola(#REF!,CURVA!$B$6:$B$20,CURVA!$G$6:$G$20)</f>
        <v>#VALUE!</v>
      </c>
      <c r="C8661" s="29" t="e">
        <f t="shared" si="135"/>
        <v>#VALUE!</v>
      </c>
      <c r="E8661" t="e">
        <f>cubic_spline(CURVA!$B$6:$B$20,CURVA!$G$6:$G$20,#REF!)</f>
        <v>#VALUE!</v>
      </c>
    </row>
    <row r="8662" spans="1:5" x14ac:dyDescent="0.2">
      <c r="A8662" s="28">
        <v>8661</v>
      </c>
      <c r="B8662" s="28" t="e">
        <f>interpola(#REF!,CURVA!$B$6:$B$20,CURVA!$G$6:$G$20)</f>
        <v>#VALUE!</v>
      </c>
      <c r="C8662" s="29" t="e">
        <f t="shared" si="135"/>
        <v>#VALUE!</v>
      </c>
      <c r="E8662" t="e">
        <f>cubic_spline(CURVA!$B$6:$B$20,CURVA!$G$6:$G$20,#REF!)</f>
        <v>#VALUE!</v>
      </c>
    </row>
    <row r="8663" spans="1:5" x14ac:dyDescent="0.2">
      <c r="A8663" s="28">
        <v>8662</v>
      </c>
      <c r="B8663" s="28" t="e">
        <f>interpola(#REF!,CURVA!$B$6:$B$20,CURVA!$G$6:$G$20)</f>
        <v>#VALUE!</v>
      </c>
      <c r="C8663" s="29" t="e">
        <f t="shared" si="135"/>
        <v>#VALUE!</v>
      </c>
      <c r="E8663" t="e">
        <f>cubic_spline(CURVA!$B$6:$B$20,CURVA!$G$6:$G$20,#REF!)</f>
        <v>#VALUE!</v>
      </c>
    </row>
    <row r="8664" spans="1:5" x14ac:dyDescent="0.2">
      <c r="A8664" s="28">
        <v>8663</v>
      </c>
      <c r="B8664" s="28" t="e">
        <f>interpola(#REF!,CURVA!$B$6:$B$20,CURVA!$G$6:$G$20)</f>
        <v>#VALUE!</v>
      </c>
      <c r="C8664" s="29" t="e">
        <f t="shared" si="135"/>
        <v>#VALUE!</v>
      </c>
      <c r="E8664" t="e">
        <f>cubic_spline(CURVA!$B$6:$B$20,CURVA!$G$6:$G$20,#REF!)</f>
        <v>#VALUE!</v>
      </c>
    </row>
    <row r="8665" spans="1:5" x14ac:dyDescent="0.2">
      <c r="A8665" s="28">
        <v>8664</v>
      </c>
      <c r="B8665" s="28" t="e">
        <f>interpola(#REF!,CURVA!$B$6:$B$20,CURVA!$G$6:$G$20)</f>
        <v>#VALUE!</v>
      </c>
      <c r="C8665" s="29" t="e">
        <f t="shared" si="135"/>
        <v>#VALUE!</v>
      </c>
      <c r="E8665" t="e">
        <f>cubic_spline(CURVA!$B$6:$B$20,CURVA!$G$6:$G$20,#REF!)</f>
        <v>#VALUE!</v>
      </c>
    </row>
    <row r="8666" spans="1:5" x14ac:dyDescent="0.2">
      <c r="A8666" s="28">
        <v>8665</v>
      </c>
      <c r="B8666" s="28" t="e">
        <f>interpola(#REF!,CURVA!$B$6:$B$20,CURVA!$G$6:$G$20)</f>
        <v>#VALUE!</v>
      </c>
      <c r="C8666" s="29" t="e">
        <f t="shared" si="135"/>
        <v>#VALUE!</v>
      </c>
      <c r="E8666" t="e">
        <f>cubic_spline(CURVA!$B$6:$B$20,CURVA!$G$6:$G$20,#REF!)</f>
        <v>#VALUE!</v>
      </c>
    </row>
    <row r="8667" spans="1:5" x14ac:dyDescent="0.2">
      <c r="A8667" s="28">
        <v>8666</v>
      </c>
      <c r="B8667" s="28" t="e">
        <f>interpola(#REF!,CURVA!$B$6:$B$20,CURVA!$G$6:$G$20)</f>
        <v>#VALUE!</v>
      </c>
      <c r="C8667" s="29" t="e">
        <f t="shared" si="135"/>
        <v>#VALUE!</v>
      </c>
      <c r="E8667" t="e">
        <f>cubic_spline(CURVA!$B$6:$B$20,CURVA!$G$6:$G$20,#REF!)</f>
        <v>#VALUE!</v>
      </c>
    </row>
    <row r="8668" spans="1:5" x14ac:dyDescent="0.2">
      <c r="A8668" s="28">
        <v>8667</v>
      </c>
      <c r="B8668" s="28" t="e">
        <f>interpola(#REF!,CURVA!$B$6:$B$20,CURVA!$G$6:$G$20)</f>
        <v>#VALUE!</v>
      </c>
      <c r="C8668" s="29" t="e">
        <f t="shared" si="135"/>
        <v>#VALUE!</v>
      </c>
      <c r="E8668" t="e">
        <f>cubic_spline(CURVA!$B$6:$B$20,CURVA!$G$6:$G$20,#REF!)</f>
        <v>#VALUE!</v>
      </c>
    </row>
    <row r="8669" spans="1:5" x14ac:dyDescent="0.2">
      <c r="A8669" s="28">
        <v>8668</v>
      </c>
      <c r="B8669" s="28" t="e">
        <f>interpola(#REF!,CURVA!$B$6:$B$20,CURVA!$G$6:$G$20)</f>
        <v>#VALUE!</v>
      </c>
      <c r="C8669" s="29" t="e">
        <f t="shared" si="135"/>
        <v>#VALUE!</v>
      </c>
      <c r="E8669" t="e">
        <f>cubic_spline(CURVA!$B$6:$B$20,CURVA!$G$6:$G$20,#REF!)</f>
        <v>#VALUE!</v>
      </c>
    </row>
    <row r="8670" spans="1:5" x14ac:dyDescent="0.2">
      <c r="A8670" s="28">
        <v>8669</v>
      </c>
      <c r="B8670" s="28" t="e">
        <f>interpola(#REF!,CURVA!$B$6:$B$20,CURVA!$G$6:$G$20)</f>
        <v>#VALUE!</v>
      </c>
      <c r="C8670" s="29" t="e">
        <f t="shared" si="135"/>
        <v>#VALUE!</v>
      </c>
      <c r="E8670" t="e">
        <f>cubic_spline(CURVA!$B$6:$B$20,CURVA!$G$6:$G$20,#REF!)</f>
        <v>#VALUE!</v>
      </c>
    </row>
    <row r="8671" spans="1:5" x14ac:dyDescent="0.2">
      <c r="A8671" s="28">
        <v>8670</v>
      </c>
      <c r="B8671" s="28" t="e">
        <f>interpola(#REF!,CURVA!$B$6:$B$20,CURVA!$G$6:$G$20)</f>
        <v>#VALUE!</v>
      </c>
      <c r="C8671" s="29" t="e">
        <f t="shared" si="135"/>
        <v>#VALUE!</v>
      </c>
      <c r="E8671" t="e">
        <f>cubic_spline(CURVA!$B$6:$B$20,CURVA!$G$6:$G$20,#REF!)</f>
        <v>#VALUE!</v>
      </c>
    </row>
    <row r="8672" spans="1:5" x14ac:dyDescent="0.2">
      <c r="A8672" s="28">
        <v>8671</v>
      </c>
      <c r="B8672" s="28" t="e">
        <f>interpola(#REF!,CURVA!$B$6:$B$20,CURVA!$G$6:$G$20)</f>
        <v>#VALUE!</v>
      </c>
      <c r="C8672" s="29" t="e">
        <f t="shared" si="135"/>
        <v>#VALUE!</v>
      </c>
      <c r="E8672" t="e">
        <f>cubic_spline(CURVA!$B$6:$B$20,CURVA!$G$6:$G$20,#REF!)</f>
        <v>#VALUE!</v>
      </c>
    </row>
    <row r="8673" spans="1:5" x14ac:dyDescent="0.2">
      <c r="A8673" s="28">
        <v>8672</v>
      </c>
      <c r="B8673" s="28" t="e">
        <f>interpola(#REF!,CURVA!$B$6:$B$20,CURVA!$G$6:$G$20)</f>
        <v>#VALUE!</v>
      </c>
      <c r="C8673" s="29" t="e">
        <f t="shared" si="135"/>
        <v>#VALUE!</v>
      </c>
      <c r="E8673" t="e">
        <f>cubic_spline(CURVA!$B$6:$B$20,CURVA!$G$6:$G$20,#REF!)</f>
        <v>#VALUE!</v>
      </c>
    </row>
    <row r="8674" spans="1:5" x14ac:dyDescent="0.2">
      <c r="A8674" s="28">
        <v>8673</v>
      </c>
      <c r="B8674" s="28" t="e">
        <f>interpola(#REF!,CURVA!$B$6:$B$20,CURVA!$G$6:$G$20)</f>
        <v>#VALUE!</v>
      </c>
      <c r="C8674" s="29" t="e">
        <f t="shared" si="135"/>
        <v>#VALUE!</v>
      </c>
      <c r="E8674" t="e">
        <f>cubic_spline(CURVA!$B$6:$B$20,CURVA!$G$6:$G$20,#REF!)</f>
        <v>#VALUE!</v>
      </c>
    </row>
    <row r="8675" spans="1:5" x14ac:dyDescent="0.2">
      <c r="A8675" s="28">
        <v>8674</v>
      </c>
      <c r="B8675" s="28" t="e">
        <f>interpola(#REF!,CURVA!$B$6:$B$20,CURVA!$G$6:$G$20)</f>
        <v>#VALUE!</v>
      </c>
      <c r="C8675" s="29" t="e">
        <f t="shared" si="135"/>
        <v>#VALUE!</v>
      </c>
      <c r="E8675" t="e">
        <f>cubic_spline(CURVA!$B$6:$B$20,CURVA!$G$6:$G$20,#REF!)</f>
        <v>#VALUE!</v>
      </c>
    </row>
    <row r="8676" spans="1:5" x14ac:dyDescent="0.2">
      <c r="A8676" s="28">
        <v>8675</v>
      </c>
      <c r="B8676" s="28" t="e">
        <f>interpola(#REF!,CURVA!$B$6:$B$20,CURVA!$G$6:$G$20)</f>
        <v>#VALUE!</v>
      </c>
      <c r="C8676" s="29" t="e">
        <f t="shared" si="135"/>
        <v>#VALUE!</v>
      </c>
      <c r="E8676" t="e">
        <f>cubic_spline(CURVA!$B$6:$B$20,CURVA!$G$6:$G$20,#REF!)</f>
        <v>#VALUE!</v>
      </c>
    </row>
    <row r="8677" spans="1:5" x14ac:dyDescent="0.2">
      <c r="A8677" s="28">
        <v>8676</v>
      </c>
      <c r="B8677" s="28" t="e">
        <f>interpola(#REF!,CURVA!$B$6:$B$20,CURVA!$G$6:$G$20)</f>
        <v>#VALUE!</v>
      </c>
      <c r="C8677" s="29" t="e">
        <f t="shared" si="135"/>
        <v>#VALUE!</v>
      </c>
      <c r="E8677" t="e">
        <f>cubic_spline(CURVA!$B$6:$B$20,CURVA!$G$6:$G$20,#REF!)</f>
        <v>#VALUE!</v>
      </c>
    </row>
    <row r="8678" spans="1:5" x14ac:dyDescent="0.2">
      <c r="A8678" s="28">
        <v>8677</v>
      </c>
      <c r="B8678" s="28" t="e">
        <f>interpola(#REF!,CURVA!$B$6:$B$20,CURVA!$G$6:$G$20)</f>
        <v>#VALUE!</v>
      </c>
      <c r="C8678" s="29" t="e">
        <f t="shared" si="135"/>
        <v>#VALUE!</v>
      </c>
      <c r="E8678" t="e">
        <f>cubic_spline(CURVA!$B$6:$B$20,CURVA!$G$6:$G$20,#REF!)</f>
        <v>#VALUE!</v>
      </c>
    </row>
    <row r="8679" spans="1:5" x14ac:dyDescent="0.2">
      <c r="A8679" s="28">
        <v>8678</v>
      </c>
      <c r="B8679" s="28" t="e">
        <f>interpola(#REF!,CURVA!$B$6:$B$20,CURVA!$G$6:$G$20)</f>
        <v>#VALUE!</v>
      </c>
      <c r="C8679" s="29" t="e">
        <f t="shared" si="135"/>
        <v>#VALUE!</v>
      </c>
      <c r="E8679" t="e">
        <f>cubic_spline(CURVA!$B$6:$B$20,CURVA!$G$6:$G$20,#REF!)</f>
        <v>#VALUE!</v>
      </c>
    </row>
    <row r="8680" spans="1:5" x14ac:dyDescent="0.2">
      <c r="A8680" s="28">
        <v>8679</v>
      </c>
      <c r="B8680" s="28" t="e">
        <f>interpola(#REF!,CURVA!$B$6:$B$20,CURVA!$G$6:$G$20)</f>
        <v>#VALUE!</v>
      </c>
      <c r="C8680" s="29" t="e">
        <f t="shared" si="135"/>
        <v>#VALUE!</v>
      </c>
      <c r="E8680" t="e">
        <f>cubic_spline(CURVA!$B$6:$B$20,CURVA!$G$6:$G$20,#REF!)</f>
        <v>#VALUE!</v>
      </c>
    </row>
    <row r="8681" spans="1:5" x14ac:dyDescent="0.2">
      <c r="A8681" s="28">
        <v>8680</v>
      </c>
      <c r="B8681" s="28" t="e">
        <f>interpola(#REF!,CURVA!$B$6:$B$20,CURVA!$G$6:$G$20)</f>
        <v>#VALUE!</v>
      </c>
      <c r="C8681" s="29" t="e">
        <f t="shared" si="135"/>
        <v>#VALUE!</v>
      </c>
      <c r="E8681" t="e">
        <f>cubic_spline(CURVA!$B$6:$B$20,CURVA!$G$6:$G$20,#REF!)</f>
        <v>#VALUE!</v>
      </c>
    </row>
    <row r="8682" spans="1:5" x14ac:dyDescent="0.2">
      <c r="A8682" s="28">
        <v>8681</v>
      </c>
      <c r="B8682" s="28" t="e">
        <f>interpola(#REF!,CURVA!$B$6:$B$20,CURVA!$G$6:$G$20)</f>
        <v>#VALUE!</v>
      </c>
      <c r="C8682" s="29" t="e">
        <f t="shared" si="135"/>
        <v>#VALUE!</v>
      </c>
      <c r="E8682" t="e">
        <f>cubic_spline(CURVA!$B$6:$B$20,CURVA!$G$6:$G$20,#REF!)</f>
        <v>#VALUE!</v>
      </c>
    </row>
    <row r="8683" spans="1:5" x14ac:dyDescent="0.2">
      <c r="A8683" s="28">
        <v>8682</v>
      </c>
      <c r="B8683" s="28" t="e">
        <f>interpola(#REF!,CURVA!$B$6:$B$20,CURVA!$G$6:$G$20)</f>
        <v>#VALUE!</v>
      </c>
      <c r="C8683" s="29" t="e">
        <f t="shared" si="135"/>
        <v>#VALUE!</v>
      </c>
      <c r="E8683" t="e">
        <f>cubic_spline(CURVA!$B$6:$B$20,CURVA!$G$6:$G$20,#REF!)</f>
        <v>#VALUE!</v>
      </c>
    </row>
    <row r="8684" spans="1:5" x14ac:dyDescent="0.2">
      <c r="A8684" s="28">
        <v>8683</v>
      </c>
      <c r="B8684" s="28" t="e">
        <f>interpola(#REF!,CURVA!$B$6:$B$20,CURVA!$G$6:$G$20)</f>
        <v>#VALUE!</v>
      </c>
      <c r="C8684" s="29" t="e">
        <f t="shared" si="135"/>
        <v>#VALUE!</v>
      </c>
      <c r="E8684" t="e">
        <f>cubic_spline(CURVA!$B$6:$B$20,CURVA!$G$6:$G$20,#REF!)</f>
        <v>#VALUE!</v>
      </c>
    </row>
    <row r="8685" spans="1:5" x14ac:dyDescent="0.2">
      <c r="A8685" s="28">
        <v>8684</v>
      </c>
      <c r="B8685" s="28" t="e">
        <f>interpola(#REF!,CURVA!$B$6:$B$20,CURVA!$G$6:$G$20)</f>
        <v>#VALUE!</v>
      </c>
      <c r="C8685" s="29" t="e">
        <f t="shared" si="135"/>
        <v>#VALUE!</v>
      </c>
      <c r="E8685" t="e">
        <f>cubic_spline(CURVA!$B$6:$B$20,CURVA!$G$6:$G$20,#REF!)</f>
        <v>#VALUE!</v>
      </c>
    </row>
    <row r="8686" spans="1:5" x14ac:dyDescent="0.2">
      <c r="A8686" s="28">
        <v>8685</v>
      </c>
      <c r="B8686" s="28" t="e">
        <f>interpola(#REF!,CURVA!$B$6:$B$20,CURVA!$G$6:$G$20)</f>
        <v>#VALUE!</v>
      </c>
      <c r="C8686" s="29" t="e">
        <f t="shared" si="135"/>
        <v>#VALUE!</v>
      </c>
      <c r="E8686" t="e">
        <f>cubic_spline(CURVA!$B$6:$B$20,CURVA!$G$6:$G$20,#REF!)</f>
        <v>#VALUE!</v>
      </c>
    </row>
    <row r="8687" spans="1:5" x14ac:dyDescent="0.2">
      <c r="A8687" s="28">
        <v>8686</v>
      </c>
      <c r="B8687" s="28" t="e">
        <f>interpola(#REF!,CURVA!$B$6:$B$20,CURVA!$G$6:$G$20)</f>
        <v>#VALUE!</v>
      </c>
      <c r="C8687" s="29" t="e">
        <f t="shared" si="135"/>
        <v>#VALUE!</v>
      </c>
      <c r="E8687" t="e">
        <f>cubic_spline(CURVA!$B$6:$B$20,CURVA!$G$6:$G$20,#REF!)</f>
        <v>#VALUE!</v>
      </c>
    </row>
    <row r="8688" spans="1:5" x14ac:dyDescent="0.2">
      <c r="A8688" s="28">
        <v>8687</v>
      </c>
      <c r="B8688" s="28" t="e">
        <f>interpola(#REF!,CURVA!$B$6:$B$20,CURVA!$G$6:$G$20)</f>
        <v>#VALUE!</v>
      </c>
      <c r="C8688" s="29" t="e">
        <f t="shared" si="135"/>
        <v>#VALUE!</v>
      </c>
      <c r="E8688" t="e">
        <f>cubic_spline(CURVA!$B$6:$B$20,CURVA!$G$6:$G$20,#REF!)</f>
        <v>#VALUE!</v>
      </c>
    </row>
    <row r="8689" spans="1:5" x14ac:dyDescent="0.2">
      <c r="A8689" s="28">
        <v>8688</v>
      </c>
      <c r="B8689" s="28" t="e">
        <f>interpola(#REF!,CURVA!$B$6:$B$20,CURVA!$G$6:$G$20)</f>
        <v>#VALUE!</v>
      </c>
      <c r="C8689" s="29" t="e">
        <f t="shared" si="135"/>
        <v>#VALUE!</v>
      </c>
      <c r="E8689" t="e">
        <f>cubic_spline(CURVA!$B$6:$B$20,CURVA!$G$6:$G$20,#REF!)</f>
        <v>#VALUE!</v>
      </c>
    </row>
    <row r="8690" spans="1:5" x14ac:dyDescent="0.2">
      <c r="A8690" s="28">
        <v>8689</v>
      </c>
      <c r="B8690" s="28" t="e">
        <f>interpola(#REF!,CURVA!$B$6:$B$20,CURVA!$G$6:$G$20)</f>
        <v>#VALUE!</v>
      </c>
      <c r="C8690" s="29" t="e">
        <f t="shared" si="135"/>
        <v>#VALUE!</v>
      </c>
      <c r="E8690" t="e">
        <f>cubic_spline(CURVA!$B$6:$B$20,CURVA!$G$6:$G$20,#REF!)</f>
        <v>#VALUE!</v>
      </c>
    </row>
    <row r="8691" spans="1:5" x14ac:dyDescent="0.2">
      <c r="A8691" s="28">
        <v>8690</v>
      </c>
      <c r="B8691" s="28" t="e">
        <f>interpola(#REF!,CURVA!$B$6:$B$20,CURVA!$G$6:$G$20)</f>
        <v>#VALUE!</v>
      </c>
      <c r="C8691" s="29" t="e">
        <f t="shared" si="135"/>
        <v>#VALUE!</v>
      </c>
      <c r="E8691" t="e">
        <f>cubic_spline(CURVA!$B$6:$B$20,CURVA!$G$6:$G$20,#REF!)</f>
        <v>#VALUE!</v>
      </c>
    </row>
    <row r="8692" spans="1:5" x14ac:dyDescent="0.2">
      <c r="A8692" s="28">
        <v>8691</v>
      </c>
      <c r="B8692" s="28" t="e">
        <f>interpola(#REF!,CURVA!$B$6:$B$20,CURVA!$G$6:$G$20)</f>
        <v>#VALUE!</v>
      </c>
      <c r="C8692" s="29" t="e">
        <f t="shared" si="135"/>
        <v>#VALUE!</v>
      </c>
      <c r="E8692" t="e">
        <f>cubic_spline(CURVA!$B$6:$B$20,CURVA!$G$6:$G$20,#REF!)</f>
        <v>#VALUE!</v>
      </c>
    </row>
    <row r="8693" spans="1:5" x14ac:dyDescent="0.2">
      <c r="A8693" s="28">
        <v>8692</v>
      </c>
      <c r="B8693" s="28" t="e">
        <f>interpola(#REF!,CURVA!$B$6:$B$20,CURVA!$G$6:$G$20)</f>
        <v>#VALUE!</v>
      </c>
      <c r="C8693" s="29" t="e">
        <f t="shared" si="135"/>
        <v>#VALUE!</v>
      </c>
      <c r="E8693" t="e">
        <f>cubic_spline(CURVA!$B$6:$B$20,CURVA!$G$6:$G$20,#REF!)</f>
        <v>#VALUE!</v>
      </c>
    </row>
    <row r="8694" spans="1:5" x14ac:dyDescent="0.2">
      <c r="A8694" s="28">
        <v>8693</v>
      </c>
      <c r="B8694" s="28" t="e">
        <f>interpola(#REF!,CURVA!$B$6:$B$20,CURVA!$G$6:$G$20)</f>
        <v>#VALUE!</v>
      </c>
      <c r="C8694" s="29" t="e">
        <f t="shared" si="135"/>
        <v>#VALUE!</v>
      </c>
      <c r="E8694" t="e">
        <f>cubic_spline(CURVA!$B$6:$B$20,CURVA!$G$6:$G$20,#REF!)</f>
        <v>#VALUE!</v>
      </c>
    </row>
    <row r="8695" spans="1:5" x14ac:dyDescent="0.2">
      <c r="A8695" s="28">
        <v>8694</v>
      </c>
      <c r="B8695" s="28" t="e">
        <f>interpola(#REF!,CURVA!$B$6:$B$20,CURVA!$G$6:$G$20)</f>
        <v>#VALUE!</v>
      </c>
      <c r="C8695" s="29" t="e">
        <f t="shared" si="135"/>
        <v>#VALUE!</v>
      </c>
      <c r="E8695" t="e">
        <f>cubic_spline(CURVA!$B$6:$B$20,CURVA!$G$6:$G$20,#REF!)</f>
        <v>#VALUE!</v>
      </c>
    </row>
    <row r="8696" spans="1:5" x14ac:dyDescent="0.2">
      <c r="A8696" s="28">
        <v>8695</v>
      </c>
      <c r="B8696" s="28" t="e">
        <f>interpola(#REF!,CURVA!$B$6:$B$20,CURVA!$G$6:$G$20)</f>
        <v>#VALUE!</v>
      </c>
      <c r="C8696" s="29" t="e">
        <f t="shared" si="135"/>
        <v>#VALUE!</v>
      </c>
      <c r="E8696" t="e">
        <f>cubic_spline(CURVA!$B$6:$B$20,CURVA!$G$6:$G$20,#REF!)</f>
        <v>#VALUE!</v>
      </c>
    </row>
    <row r="8697" spans="1:5" x14ac:dyDescent="0.2">
      <c r="A8697" s="28">
        <v>8696</v>
      </c>
      <c r="B8697" s="28" t="e">
        <f>interpola(#REF!,CURVA!$B$6:$B$20,CURVA!$G$6:$G$20)</f>
        <v>#VALUE!</v>
      </c>
      <c r="C8697" s="29" t="e">
        <f t="shared" si="135"/>
        <v>#VALUE!</v>
      </c>
      <c r="E8697" t="e">
        <f>cubic_spline(CURVA!$B$6:$B$20,CURVA!$G$6:$G$20,#REF!)</f>
        <v>#VALUE!</v>
      </c>
    </row>
    <row r="8698" spans="1:5" x14ac:dyDescent="0.2">
      <c r="A8698" s="28">
        <v>8697</v>
      </c>
      <c r="B8698" s="28" t="e">
        <f>interpola(#REF!,CURVA!$B$6:$B$20,CURVA!$G$6:$G$20)</f>
        <v>#VALUE!</v>
      </c>
      <c r="C8698" s="29" t="e">
        <f t="shared" si="135"/>
        <v>#VALUE!</v>
      </c>
      <c r="E8698" t="e">
        <f>cubic_spline(CURVA!$B$6:$B$20,CURVA!$G$6:$G$20,#REF!)</f>
        <v>#VALUE!</v>
      </c>
    </row>
    <row r="8699" spans="1:5" x14ac:dyDescent="0.2">
      <c r="A8699" s="28">
        <v>8698</v>
      </c>
      <c r="B8699" s="28" t="e">
        <f>interpola(#REF!,CURVA!$B$6:$B$20,CURVA!$G$6:$G$20)</f>
        <v>#VALUE!</v>
      </c>
      <c r="C8699" s="29" t="e">
        <f t="shared" si="135"/>
        <v>#VALUE!</v>
      </c>
      <c r="E8699" t="e">
        <f>cubic_spline(CURVA!$B$6:$B$20,CURVA!$G$6:$G$20,#REF!)</f>
        <v>#VALUE!</v>
      </c>
    </row>
    <row r="8700" spans="1:5" x14ac:dyDescent="0.2">
      <c r="A8700" s="28">
        <v>8699</v>
      </c>
      <c r="B8700" s="28" t="e">
        <f>interpola(#REF!,CURVA!$B$6:$B$20,CURVA!$G$6:$G$20)</f>
        <v>#VALUE!</v>
      </c>
      <c r="C8700" s="29" t="e">
        <f t="shared" si="135"/>
        <v>#VALUE!</v>
      </c>
      <c r="E8700" t="e">
        <f>cubic_spline(CURVA!$B$6:$B$20,CURVA!$G$6:$G$20,#REF!)</f>
        <v>#VALUE!</v>
      </c>
    </row>
    <row r="8701" spans="1:5" x14ac:dyDescent="0.2">
      <c r="A8701" s="28">
        <v>8700</v>
      </c>
      <c r="B8701" s="28" t="e">
        <f>interpola(#REF!,CURVA!$B$6:$B$20,CURVA!$G$6:$G$20)</f>
        <v>#VALUE!</v>
      </c>
      <c r="C8701" s="29" t="e">
        <f t="shared" si="135"/>
        <v>#VALUE!</v>
      </c>
      <c r="E8701" t="e">
        <f>cubic_spline(CURVA!$B$6:$B$20,CURVA!$G$6:$G$20,#REF!)</f>
        <v>#VALUE!</v>
      </c>
    </row>
    <row r="8702" spans="1:5" x14ac:dyDescent="0.2">
      <c r="A8702" s="28">
        <v>8701</v>
      </c>
      <c r="B8702" s="28" t="e">
        <f>interpola(#REF!,CURVA!$B$6:$B$20,CURVA!$G$6:$G$20)</f>
        <v>#VALUE!</v>
      </c>
      <c r="C8702" s="29" t="e">
        <f t="shared" si="135"/>
        <v>#VALUE!</v>
      </c>
      <c r="E8702" t="e">
        <f>cubic_spline(CURVA!$B$6:$B$20,CURVA!$G$6:$G$20,#REF!)</f>
        <v>#VALUE!</v>
      </c>
    </row>
    <row r="8703" spans="1:5" x14ac:dyDescent="0.2">
      <c r="A8703" s="28">
        <v>8702</v>
      </c>
      <c r="B8703" s="28" t="e">
        <f>interpola(#REF!,CURVA!$B$6:$B$20,CURVA!$G$6:$G$20)</f>
        <v>#VALUE!</v>
      </c>
      <c r="C8703" s="29" t="e">
        <f t="shared" si="135"/>
        <v>#VALUE!</v>
      </c>
      <c r="E8703" t="e">
        <f>cubic_spline(CURVA!$B$6:$B$20,CURVA!$G$6:$G$20,#REF!)</f>
        <v>#VALUE!</v>
      </c>
    </row>
    <row r="8704" spans="1:5" x14ac:dyDescent="0.2">
      <c r="A8704" s="28">
        <v>8703</v>
      </c>
      <c r="B8704" s="28" t="e">
        <f>interpola(#REF!,CURVA!$B$6:$B$20,CURVA!$G$6:$G$20)</f>
        <v>#VALUE!</v>
      </c>
      <c r="C8704" s="29" t="e">
        <f t="shared" si="135"/>
        <v>#VALUE!</v>
      </c>
      <c r="E8704" t="e">
        <f>cubic_spline(CURVA!$B$6:$B$20,CURVA!$G$6:$G$20,#REF!)</f>
        <v>#VALUE!</v>
      </c>
    </row>
    <row r="8705" spans="1:5" x14ac:dyDescent="0.2">
      <c r="A8705" s="28">
        <v>8704</v>
      </c>
      <c r="B8705" s="28" t="e">
        <f>interpola(#REF!,CURVA!$B$6:$B$20,CURVA!$G$6:$G$20)</f>
        <v>#VALUE!</v>
      </c>
      <c r="C8705" s="29" t="e">
        <f t="shared" si="135"/>
        <v>#VALUE!</v>
      </c>
      <c r="E8705" t="e">
        <f>cubic_spline(CURVA!$B$6:$B$20,CURVA!$G$6:$G$20,#REF!)</f>
        <v>#VALUE!</v>
      </c>
    </row>
    <row r="8706" spans="1:5" x14ac:dyDescent="0.2">
      <c r="A8706" s="28">
        <v>8705</v>
      </c>
      <c r="B8706" s="28" t="e">
        <f>interpola(#REF!,CURVA!$B$6:$B$20,CURVA!$G$6:$G$20)</f>
        <v>#VALUE!</v>
      </c>
      <c r="C8706" s="29" t="e">
        <f t="shared" ref="C8706:C8769" si="136">(EXP(B8706*A8706/360)-1)*360/A8706</f>
        <v>#VALUE!</v>
      </c>
      <c r="E8706" t="e">
        <f>cubic_spline(CURVA!$B$6:$B$20,CURVA!$G$6:$G$20,#REF!)</f>
        <v>#VALUE!</v>
      </c>
    </row>
    <row r="8707" spans="1:5" x14ac:dyDescent="0.2">
      <c r="A8707" s="28">
        <v>8706</v>
      </c>
      <c r="B8707" s="28" t="e">
        <f>interpola(#REF!,CURVA!$B$6:$B$20,CURVA!$G$6:$G$20)</f>
        <v>#VALUE!</v>
      </c>
      <c r="C8707" s="29" t="e">
        <f t="shared" si="136"/>
        <v>#VALUE!</v>
      </c>
      <c r="E8707" t="e">
        <f>cubic_spline(CURVA!$B$6:$B$20,CURVA!$G$6:$G$20,#REF!)</f>
        <v>#VALUE!</v>
      </c>
    </row>
    <row r="8708" spans="1:5" x14ac:dyDescent="0.2">
      <c r="A8708" s="28">
        <v>8707</v>
      </c>
      <c r="B8708" s="28" t="e">
        <f>interpola(#REF!,CURVA!$B$6:$B$20,CURVA!$G$6:$G$20)</f>
        <v>#VALUE!</v>
      </c>
      <c r="C8708" s="29" t="e">
        <f t="shared" si="136"/>
        <v>#VALUE!</v>
      </c>
      <c r="E8708" t="e">
        <f>cubic_spline(CURVA!$B$6:$B$20,CURVA!$G$6:$G$20,#REF!)</f>
        <v>#VALUE!</v>
      </c>
    </row>
    <row r="8709" spans="1:5" x14ac:dyDescent="0.2">
      <c r="A8709" s="28">
        <v>8708</v>
      </c>
      <c r="B8709" s="28" t="e">
        <f>interpola(#REF!,CURVA!$B$6:$B$20,CURVA!$G$6:$G$20)</f>
        <v>#VALUE!</v>
      </c>
      <c r="C8709" s="29" t="e">
        <f t="shared" si="136"/>
        <v>#VALUE!</v>
      </c>
      <c r="E8709" t="e">
        <f>cubic_spline(CURVA!$B$6:$B$20,CURVA!$G$6:$G$20,#REF!)</f>
        <v>#VALUE!</v>
      </c>
    </row>
    <row r="8710" spans="1:5" x14ac:dyDescent="0.2">
      <c r="A8710" s="28">
        <v>8709</v>
      </c>
      <c r="B8710" s="28" t="e">
        <f>interpola(#REF!,CURVA!$B$6:$B$20,CURVA!$G$6:$G$20)</f>
        <v>#VALUE!</v>
      </c>
      <c r="C8710" s="29" t="e">
        <f t="shared" si="136"/>
        <v>#VALUE!</v>
      </c>
      <c r="E8710" t="e">
        <f>cubic_spline(CURVA!$B$6:$B$20,CURVA!$G$6:$G$20,#REF!)</f>
        <v>#VALUE!</v>
      </c>
    </row>
    <row r="8711" spans="1:5" x14ac:dyDescent="0.2">
      <c r="A8711" s="28">
        <v>8710</v>
      </c>
      <c r="B8711" s="28" t="e">
        <f>interpola(#REF!,CURVA!$B$6:$B$20,CURVA!$G$6:$G$20)</f>
        <v>#VALUE!</v>
      </c>
      <c r="C8711" s="29" t="e">
        <f t="shared" si="136"/>
        <v>#VALUE!</v>
      </c>
      <c r="E8711" t="e">
        <f>cubic_spline(CURVA!$B$6:$B$20,CURVA!$G$6:$G$20,#REF!)</f>
        <v>#VALUE!</v>
      </c>
    </row>
    <row r="8712" spans="1:5" x14ac:dyDescent="0.2">
      <c r="A8712" s="28">
        <v>8711</v>
      </c>
      <c r="B8712" s="28" t="e">
        <f>interpola(#REF!,CURVA!$B$6:$B$20,CURVA!$G$6:$G$20)</f>
        <v>#VALUE!</v>
      </c>
      <c r="C8712" s="29" t="e">
        <f t="shared" si="136"/>
        <v>#VALUE!</v>
      </c>
      <c r="E8712" t="e">
        <f>cubic_spline(CURVA!$B$6:$B$20,CURVA!$G$6:$G$20,#REF!)</f>
        <v>#VALUE!</v>
      </c>
    </row>
    <row r="8713" spans="1:5" x14ac:dyDescent="0.2">
      <c r="A8713" s="28">
        <v>8712</v>
      </c>
      <c r="B8713" s="28" t="e">
        <f>interpola(#REF!,CURVA!$B$6:$B$20,CURVA!$G$6:$G$20)</f>
        <v>#VALUE!</v>
      </c>
      <c r="C8713" s="29" t="e">
        <f t="shared" si="136"/>
        <v>#VALUE!</v>
      </c>
      <c r="E8713" t="e">
        <f>cubic_spline(CURVA!$B$6:$B$20,CURVA!$G$6:$G$20,#REF!)</f>
        <v>#VALUE!</v>
      </c>
    </row>
    <row r="8714" spans="1:5" x14ac:dyDescent="0.2">
      <c r="A8714" s="28">
        <v>8713</v>
      </c>
      <c r="B8714" s="28" t="e">
        <f>interpola(#REF!,CURVA!$B$6:$B$20,CURVA!$G$6:$G$20)</f>
        <v>#VALUE!</v>
      </c>
      <c r="C8714" s="29" t="e">
        <f t="shared" si="136"/>
        <v>#VALUE!</v>
      </c>
      <c r="E8714" t="e">
        <f>cubic_spline(CURVA!$B$6:$B$20,CURVA!$G$6:$G$20,#REF!)</f>
        <v>#VALUE!</v>
      </c>
    </row>
    <row r="8715" spans="1:5" x14ac:dyDescent="0.2">
      <c r="A8715" s="28">
        <v>8714</v>
      </c>
      <c r="B8715" s="28" t="e">
        <f>interpola(#REF!,CURVA!$B$6:$B$20,CURVA!$G$6:$G$20)</f>
        <v>#VALUE!</v>
      </c>
      <c r="C8715" s="29" t="e">
        <f t="shared" si="136"/>
        <v>#VALUE!</v>
      </c>
      <c r="E8715" t="e">
        <f>cubic_spline(CURVA!$B$6:$B$20,CURVA!$G$6:$G$20,#REF!)</f>
        <v>#VALUE!</v>
      </c>
    </row>
    <row r="8716" spans="1:5" x14ac:dyDescent="0.2">
      <c r="A8716" s="28">
        <v>8715</v>
      </c>
      <c r="B8716" s="28" t="e">
        <f>interpola(#REF!,CURVA!$B$6:$B$20,CURVA!$G$6:$G$20)</f>
        <v>#VALUE!</v>
      </c>
      <c r="C8716" s="29" t="e">
        <f t="shared" si="136"/>
        <v>#VALUE!</v>
      </c>
      <c r="E8716" t="e">
        <f>cubic_spline(CURVA!$B$6:$B$20,CURVA!$G$6:$G$20,#REF!)</f>
        <v>#VALUE!</v>
      </c>
    </row>
    <row r="8717" spans="1:5" x14ac:dyDescent="0.2">
      <c r="A8717" s="28">
        <v>8716</v>
      </c>
      <c r="B8717" s="28" t="e">
        <f>interpola(#REF!,CURVA!$B$6:$B$20,CURVA!$G$6:$G$20)</f>
        <v>#VALUE!</v>
      </c>
      <c r="C8717" s="29" t="e">
        <f t="shared" si="136"/>
        <v>#VALUE!</v>
      </c>
      <c r="E8717" t="e">
        <f>cubic_spline(CURVA!$B$6:$B$20,CURVA!$G$6:$G$20,#REF!)</f>
        <v>#VALUE!</v>
      </c>
    </row>
    <row r="8718" spans="1:5" x14ac:dyDescent="0.2">
      <c r="A8718" s="28">
        <v>8717</v>
      </c>
      <c r="B8718" s="28" t="e">
        <f>interpola(#REF!,CURVA!$B$6:$B$20,CURVA!$G$6:$G$20)</f>
        <v>#VALUE!</v>
      </c>
      <c r="C8718" s="29" t="e">
        <f t="shared" si="136"/>
        <v>#VALUE!</v>
      </c>
      <c r="E8718" t="e">
        <f>cubic_spline(CURVA!$B$6:$B$20,CURVA!$G$6:$G$20,#REF!)</f>
        <v>#VALUE!</v>
      </c>
    </row>
    <row r="8719" spans="1:5" x14ac:dyDescent="0.2">
      <c r="A8719" s="28">
        <v>8718</v>
      </c>
      <c r="B8719" s="28" t="e">
        <f>interpola(#REF!,CURVA!$B$6:$B$20,CURVA!$G$6:$G$20)</f>
        <v>#VALUE!</v>
      </c>
      <c r="C8719" s="29" t="e">
        <f t="shared" si="136"/>
        <v>#VALUE!</v>
      </c>
      <c r="E8719" t="e">
        <f>cubic_spline(CURVA!$B$6:$B$20,CURVA!$G$6:$G$20,#REF!)</f>
        <v>#VALUE!</v>
      </c>
    </row>
    <row r="8720" spans="1:5" x14ac:dyDescent="0.2">
      <c r="A8720" s="28">
        <v>8719</v>
      </c>
      <c r="B8720" s="28" t="e">
        <f>interpola(#REF!,CURVA!$B$6:$B$20,CURVA!$G$6:$G$20)</f>
        <v>#VALUE!</v>
      </c>
      <c r="C8720" s="29" t="e">
        <f t="shared" si="136"/>
        <v>#VALUE!</v>
      </c>
      <c r="E8720" t="e">
        <f>cubic_spline(CURVA!$B$6:$B$20,CURVA!$G$6:$G$20,#REF!)</f>
        <v>#VALUE!</v>
      </c>
    </row>
    <row r="8721" spans="1:5" x14ac:dyDescent="0.2">
      <c r="A8721" s="28">
        <v>8720</v>
      </c>
      <c r="B8721" s="28" t="e">
        <f>interpola(#REF!,CURVA!$B$6:$B$20,CURVA!$G$6:$G$20)</f>
        <v>#VALUE!</v>
      </c>
      <c r="C8721" s="29" t="e">
        <f t="shared" si="136"/>
        <v>#VALUE!</v>
      </c>
      <c r="E8721" t="e">
        <f>cubic_spline(CURVA!$B$6:$B$20,CURVA!$G$6:$G$20,#REF!)</f>
        <v>#VALUE!</v>
      </c>
    </row>
    <row r="8722" spans="1:5" x14ac:dyDescent="0.2">
      <c r="A8722" s="28">
        <v>8721</v>
      </c>
      <c r="B8722" s="28" t="e">
        <f>interpola(#REF!,CURVA!$B$6:$B$20,CURVA!$G$6:$G$20)</f>
        <v>#VALUE!</v>
      </c>
      <c r="C8722" s="29" t="e">
        <f t="shared" si="136"/>
        <v>#VALUE!</v>
      </c>
      <c r="E8722" t="e">
        <f>cubic_spline(CURVA!$B$6:$B$20,CURVA!$G$6:$G$20,#REF!)</f>
        <v>#VALUE!</v>
      </c>
    </row>
    <row r="8723" spans="1:5" x14ac:dyDescent="0.2">
      <c r="A8723" s="28">
        <v>8722</v>
      </c>
      <c r="B8723" s="28" t="e">
        <f>interpola(#REF!,CURVA!$B$6:$B$20,CURVA!$G$6:$G$20)</f>
        <v>#VALUE!</v>
      </c>
      <c r="C8723" s="29" t="e">
        <f t="shared" si="136"/>
        <v>#VALUE!</v>
      </c>
      <c r="E8723" t="e">
        <f>cubic_spline(CURVA!$B$6:$B$20,CURVA!$G$6:$G$20,#REF!)</f>
        <v>#VALUE!</v>
      </c>
    </row>
    <row r="8724" spans="1:5" x14ac:dyDescent="0.2">
      <c r="A8724" s="28">
        <v>8723</v>
      </c>
      <c r="B8724" s="28" t="e">
        <f>interpola(#REF!,CURVA!$B$6:$B$20,CURVA!$G$6:$G$20)</f>
        <v>#VALUE!</v>
      </c>
      <c r="C8724" s="29" t="e">
        <f t="shared" si="136"/>
        <v>#VALUE!</v>
      </c>
      <c r="E8724" t="e">
        <f>cubic_spline(CURVA!$B$6:$B$20,CURVA!$G$6:$G$20,#REF!)</f>
        <v>#VALUE!</v>
      </c>
    </row>
    <row r="8725" spans="1:5" x14ac:dyDescent="0.2">
      <c r="A8725" s="28">
        <v>8724</v>
      </c>
      <c r="B8725" s="28" t="e">
        <f>interpola(#REF!,CURVA!$B$6:$B$20,CURVA!$G$6:$G$20)</f>
        <v>#VALUE!</v>
      </c>
      <c r="C8725" s="29" t="e">
        <f t="shared" si="136"/>
        <v>#VALUE!</v>
      </c>
      <c r="E8725" t="e">
        <f>cubic_spline(CURVA!$B$6:$B$20,CURVA!$G$6:$G$20,#REF!)</f>
        <v>#VALUE!</v>
      </c>
    </row>
    <row r="8726" spans="1:5" x14ac:dyDescent="0.2">
      <c r="A8726" s="28">
        <v>8725</v>
      </c>
      <c r="B8726" s="28" t="e">
        <f>interpola(#REF!,CURVA!$B$6:$B$20,CURVA!$G$6:$G$20)</f>
        <v>#VALUE!</v>
      </c>
      <c r="C8726" s="29" t="e">
        <f t="shared" si="136"/>
        <v>#VALUE!</v>
      </c>
      <c r="E8726" t="e">
        <f>cubic_spline(CURVA!$B$6:$B$20,CURVA!$G$6:$G$20,#REF!)</f>
        <v>#VALUE!</v>
      </c>
    </row>
    <row r="8727" spans="1:5" x14ac:dyDescent="0.2">
      <c r="A8727" s="28">
        <v>8726</v>
      </c>
      <c r="B8727" s="28" t="e">
        <f>interpola(#REF!,CURVA!$B$6:$B$20,CURVA!$G$6:$G$20)</f>
        <v>#VALUE!</v>
      </c>
      <c r="C8727" s="29" t="e">
        <f t="shared" si="136"/>
        <v>#VALUE!</v>
      </c>
      <c r="E8727" t="e">
        <f>cubic_spline(CURVA!$B$6:$B$20,CURVA!$G$6:$G$20,#REF!)</f>
        <v>#VALUE!</v>
      </c>
    </row>
    <row r="8728" spans="1:5" x14ac:dyDescent="0.2">
      <c r="A8728" s="28">
        <v>8727</v>
      </c>
      <c r="B8728" s="28" t="e">
        <f>interpola(#REF!,CURVA!$B$6:$B$20,CURVA!$G$6:$G$20)</f>
        <v>#VALUE!</v>
      </c>
      <c r="C8728" s="29" t="e">
        <f t="shared" si="136"/>
        <v>#VALUE!</v>
      </c>
      <c r="E8728" t="e">
        <f>cubic_spline(CURVA!$B$6:$B$20,CURVA!$G$6:$G$20,#REF!)</f>
        <v>#VALUE!</v>
      </c>
    </row>
    <row r="8729" spans="1:5" x14ac:dyDescent="0.2">
      <c r="A8729" s="28">
        <v>8728</v>
      </c>
      <c r="B8729" s="28" t="e">
        <f>interpola(#REF!,CURVA!$B$6:$B$20,CURVA!$G$6:$G$20)</f>
        <v>#VALUE!</v>
      </c>
      <c r="C8729" s="29" t="e">
        <f t="shared" si="136"/>
        <v>#VALUE!</v>
      </c>
      <c r="E8729" t="e">
        <f>cubic_spline(CURVA!$B$6:$B$20,CURVA!$G$6:$G$20,#REF!)</f>
        <v>#VALUE!</v>
      </c>
    </row>
    <row r="8730" spans="1:5" x14ac:dyDescent="0.2">
      <c r="A8730" s="28">
        <v>8729</v>
      </c>
      <c r="B8730" s="28" t="e">
        <f>interpola(#REF!,CURVA!$B$6:$B$20,CURVA!$G$6:$G$20)</f>
        <v>#VALUE!</v>
      </c>
      <c r="C8730" s="29" t="e">
        <f t="shared" si="136"/>
        <v>#VALUE!</v>
      </c>
      <c r="E8730" t="e">
        <f>cubic_spline(CURVA!$B$6:$B$20,CURVA!$G$6:$G$20,#REF!)</f>
        <v>#VALUE!</v>
      </c>
    </row>
    <row r="8731" spans="1:5" x14ac:dyDescent="0.2">
      <c r="A8731" s="28">
        <v>8730</v>
      </c>
      <c r="B8731" s="28" t="e">
        <f>interpola(#REF!,CURVA!$B$6:$B$20,CURVA!$G$6:$G$20)</f>
        <v>#VALUE!</v>
      </c>
      <c r="C8731" s="29" t="e">
        <f t="shared" si="136"/>
        <v>#VALUE!</v>
      </c>
      <c r="E8731" t="e">
        <f>cubic_spline(CURVA!$B$6:$B$20,CURVA!$G$6:$G$20,#REF!)</f>
        <v>#VALUE!</v>
      </c>
    </row>
    <row r="8732" spans="1:5" x14ac:dyDescent="0.2">
      <c r="A8732" s="28">
        <v>8731</v>
      </c>
      <c r="B8732" s="28" t="e">
        <f>interpola(#REF!,CURVA!$B$6:$B$20,CURVA!$G$6:$G$20)</f>
        <v>#VALUE!</v>
      </c>
      <c r="C8732" s="29" t="e">
        <f t="shared" si="136"/>
        <v>#VALUE!</v>
      </c>
      <c r="E8732" t="e">
        <f>cubic_spline(CURVA!$B$6:$B$20,CURVA!$G$6:$G$20,#REF!)</f>
        <v>#VALUE!</v>
      </c>
    </row>
    <row r="8733" spans="1:5" x14ac:dyDescent="0.2">
      <c r="A8733" s="28">
        <v>8732</v>
      </c>
      <c r="B8733" s="28" t="e">
        <f>interpola(#REF!,CURVA!$B$6:$B$20,CURVA!$G$6:$G$20)</f>
        <v>#VALUE!</v>
      </c>
      <c r="C8733" s="29" t="e">
        <f t="shared" si="136"/>
        <v>#VALUE!</v>
      </c>
      <c r="E8733" t="e">
        <f>cubic_spline(CURVA!$B$6:$B$20,CURVA!$G$6:$G$20,#REF!)</f>
        <v>#VALUE!</v>
      </c>
    </row>
    <row r="8734" spans="1:5" x14ac:dyDescent="0.2">
      <c r="A8734" s="28">
        <v>8733</v>
      </c>
      <c r="B8734" s="28" t="e">
        <f>interpola(#REF!,CURVA!$B$6:$B$20,CURVA!$G$6:$G$20)</f>
        <v>#VALUE!</v>
      </c>
      <c r="C8734" s="29" t="e">
        <f t="shared" si="136"/>
        <v>#VALUE!</v>
      </c>
      <c r="E8734" t="e">
        <f>cubic_spline(CURVA!$B$6:$B$20,CURVA!$G$6:$G$20,#REF!)</f>
        <v>#VALUE!</v>
      </c>
    </row>
    <row r="8735" spans="1:5" x14ac:dyDescent="0.2">
      <c r="A8735" s="28">
        <v>8734</v>
      </c>
      <c r="B8735" s="28" t="e">
        <f>interpola(#REF!,CURVA!$B$6:$B$20,CURVA!$G$6:$G$20)</f>
        <v>#VALUE!</v>
      </c>
      <c r="C8735" s="29" t="e">
        <f t="shared" si="136"/>
        <v>#VALUE!</v>
      </c>
      <c r="E8735" t="e">
        <f>cubic_spline(CURVA!$B$6:$B$20,CURVA!$G$6:$G$20,#REF!)</f>
        <v>#VALUE!</v>
      </c>
    </row>
    <row r="8736" spans="1:5" x14ac:dyDescent="0.2">
      <c r="A8736" s="28">
        <v>8735</v>
      </c>
      <c r="B8736" s="28" t="e">
        <f>interpola(#REF!,CURVA!$B$6:$B$20,CURVA!$G$6:$G$20)</f>
        <v>#VALUE!</v>
      </c>
      <c r="C8736" s="29" t="e">
        <f t="shared" si="136"/>
        <v>#VALUE!</v>
      </c>
      <c r="E8736" t="e">
        <f>cubic_spline(CURVA!$B$6:$B$20,CURVA!$G$6:$G$20,#REF!)</f>
        <v>#VALUE!</v>
      </c>
    </row>
    <row r="8737" spans="1:5" x14ac:dyDescent="0.2">
      <c r="A8737" s="28">
        <v>8736</v>
      </c>
      <c r="B8737" s="28" t="e">
        <f>interpola(#REF!,CURVA!$B$6:$B$20,CURVA!$G$6:$G$20)</f>
        <v>#VALUE!</v>
      </c>
      <c r="C8737" s="29" t="e">
        <f t="shared" si="136"/>
        <v>#VALUE!</v>
      </c>
      <c r="E8737" t="e">
        <f>cubic_spline(CURVA!$B$6:$B$20,CURVA!$G$6:$G$20,#REF!)</f>
        <v>#VALUE!</v>
      </c>
    </row>
    <row r="8738" spans="1:5" x14ac:dyDescent="0.2">
      <c r="A8738" s="28">
        <v>8737</v>
      </c>
      <c r="B8738" s="28" t="e">
        <f>interpola(#REF!,CURVA!$B$6:$B$20,CURVA!$G$6:$G$20)</f>
        <v>#VALUE!</v>
      </c>
      <c r="C8738" s="29" t="e">
        <f t="shared" si="136"/>
        <v>#VALUE!</v>
      </c>
      <c r="E8738" t="e">
        <f>cubic_spline(CURVA!$B$6:$B$20,CURVA!$G$6:$G$20,#REF!)</f>
        <v>#VALUE!</v>
      </c>
    </row>
    <row r="8739" spans="1:5" x14ac:dyDescent="0.2">
      <c r="A8739" s="28">
        <v>8738</v>
      </c>
      <c r="B8739" s="28" t="e">
        <f>interpola(#REF!,CURVA!$B$6:$B$20,CURVA!$G$6:$G$20)</f>
        <v>#VALUE!</v>
      </c>
      <c r="C8739" s="29" t="e">
        <f t="shared" si="136"/>
        <v>#VALUE!</v>
      </c>
      <c r="E8739" t="e">
        <f>cubic_spline(CURVA!$B$6:$B$20,CURVA!$G$6:$G$20,#REF!)</f>
        <v>#VALUE!</v>
      </c>
    </row>
    <row r="8740" spans="1:5" x14ac:dyDescent="0.2">
      <c r="A8740" s="28">
        <v>8739</v>
      </c>
      <c r="B8740" s="28" t="e">
        <f>interpola(#REF!,CURVA!$B$6:$B$20,CURVA!$G$6:$G$20)</f>
        <v>#VALUE!</v>
      </c>
      <c r="C8740" s="29" t="e">
        <f t="shared" si="136"/>
        <v>#VALUE!</v>
      </c>
      <c r="E8740" t="e">
        <f>cubic_spline(CURVA!$B$6:$B$20,CURVA!$G$6:$G$20,#REF!)</f>
        <v>#VALUE!</v>
      </c>
    </row>
    <row r="8741" spans="1:5" x14ac:dyDescent="0.2">
      <c r="A8741" s="28">
        <v>8740</v>
      </c>
      <c r="B8741" s="28" t="e">
        <f>interpola(#REF!,CURVA!$B$6:$B$20,CURVA!$G$6:$G$20)</f>
        <v>#VALUE!</v>
      </c>
      <c r="C8741" s="29" t="e">
        <f t="shared" si="136"/>
        <v>#VALUE!</v>
      </c>
      <c r="E8741" t="e">
        <f>cubic_spline(CURVA!$B$6:$B$20,CURVA!$G$6:$G$20,#REF!)</f>
        <v>#VALUE!</v>
      </c>
    </row>
    <row r="8742" spans="1:5" x14ac:dyDescent="0.2">
      <c r="A8742" s="28">
        <v>8741</v>
      </c>
      <c r="B8742" s="28" t="e">
        <f>interpola(#REF!,CURVA!$B$6:$B$20,CURVA!$G$6:$G$20)</f>
        <v>#VALUE!</v>
      </c>
      <c r="C8742" s="29" t="e">
        <f t="shared" si="136"/>
        <v>#VALUE!</v>
      </c>
      <c r="E8742" t="e">
        <f>cubic_spline(CURVA!$B$6:$B$20,CURVA!$G$6:$G$20,#REF!)</f>
        <v>#VALUE!</v>
      </c>
    </row>
    <row r="8743" spans="1:5" x14ac:dyDescent="0.2">
      <c r="A8743" s="28">
        <v>8742</v>
      </c>
      <c r="B8743" s="28" t="e">
        <f>interpola(#REF!,CURVA!$B$6:$B$20,CURVA!$G$6:$G$20)</f>
        <v>#VALUE!</v>
      </c>
      <c r="C8743" s="29" t="e">
        <f t="shared" si="136"/>
        <v>#VALUE!</v>
      </c>
      <c r="E8743" t="e">
        <f>cubic_spline(CURVA!$B$6:$B$20,CURVA!$G$6:$G$20,#REF!)</f>
        <v>#VALUE!</v>
      </c>
    </row>
    <row r="8744" spans="1:5" x14ac:dyDescent="0.2">
      <c r="A8744" s="28">
        <v>8743</v>
      </c>
      <c r="B8744" s="28" t="e">
        <f>interpola(#REF!,CURVA!$B$6:$B$20,CURVA!$G$6:$G$20)</f>
        <v>#VALUE!</v>
      </c>
      <c r="C8744" s="29" t="e">
        <f t="shared" si="136"/>
        <v>#VALUE!</v>
      </c>
      <c r="E8744" t="e">
        <f>cubic_spline(CURVA!$B$6:$B$20,CURVA!$G$6:$G$20,#REF!)</f>
        <v>#VALUE!</v>
      </c>
    </row>
    <row r="8745" spans="1:5" x14ac:dyDescent="0.2">
      <c r="A8745" s="28">
        <v>8744</v>
      </c>
      <c r="B8745" s="28" t="e">
        <f>interpola(#REF!,CURVA!$B$6:$B$20,CURVA!$G$6:$G$20)</f>
        <v>#VALUE!</v>
      </c>
      <c r="C8745" s="29" t="e">
        <f t="shared" si="136"/>
        <v>#VALUE!</v>
      </c>
      <c r="E8745" t="e">
        <f>cubic_spline(CURVA!$B$6:$B$20,CURVA!$G$6:$G$20,#REF!)</f>
        <v>#VALUE!</v>
      </c>
    </row>
    <row r="8746" spans="1:5" x14ac:dyDescent="0.2">
      <c r="A8746" s="28">
        <v>8745</v>
      </c>
      <c r="B8746" s="28" t="e">
        <f>interpola(#REF!,CURVA!$B$6:$B$20,CURVA!$G$6:$G$20)</f>
        <v>#VALUE!</v>
      </c>
      <c r="C8746" s="29" t="e">
        <f t="shared" si="136"/>
        <v>#VALUE!</v>
      </c>
      <c r="E8746" t="e">
        <f>cubic_spline(CURVA!$B$6:$B$20,CURVA!$G$6:$G$20,#REF!)</f>
        <v>#VALUE!</v>
      </c>
    </row>
    <row r="8747" spans="1:5" x14ac:dyDescent="0.2">
      <c r="A8747" s="28">
        <v>8746</v>
      </c>
      <c r="B8747" s="28" t="e">
        <f>interpola(#REF!,CURVA!$B$6:$B$20,CURVA!$G$6:$G$20)</f>
        <v>#VALUE!</v>
      </c>
      <c r="C8747" s="29" t="e">
        <f t="shared" si="136"/>
        <v>#VALUE!</v>
      </c>
      <c r="E8747" t="e">
        <f>cubic_spline(CURVA!$B$6:$B$20,CURVA!$G$6:$G$20,#REF!)</f>
        <v>#VALUE!</v>
      </c>
    </row>
    <row r="8748" spans="1:5" x14ac:dyDescent="0.2">
      <c r="A8748" s="28">
        <v>8747</v>
      </c>
      <c r="B8748" s="28" t="e">
        <f>interpola(#REF!,CURVA!$B$6:$B$20,CURVA!$G$6:$G$20)</f>
        <v>#VALUE!</v>
      </c>
      <c r="C8748" s="29" t="e">
        <f t="shared" si="136"/>
        <v>#VALUE!</v>
      </c>
      <c r="E8748" t="e">
        <f>cubic_spline(CURVA!$B$6:$B$20,CURVA!$G$6:$G$20,#REF!)</f>
        <v>#VALUE!</v>
      </c>
    </row>
    <row r="8749" spans="1:5" x14ac:dyDescent="0.2">
      <c r="A8749" s="28">
        <v>8748</v>
      </c>
      <c r="B8749" s="28" t="e">
        <f>interpola(#REF!,CURVA!$B$6:$B$20,CURVA!$G$6:$G$20)</f>
        <v>#VALUE!</v>
      </c>
      <c r="C8749" s="29" t="e">
        <f t="shared" si="136"/>
        <v>#VALUE!</v>
      </c>
      <c r="E8749" t="e">
        <f>cubic_spline(CURVA!$B$6:$B$20,CURVA!$G$6:$G$20,#REF!)</f>
        <v>#VALUE!</v>
      </c>
    </row>
    <row r="8750" spans="1:5" x14ac:dyDescent="0.2">
      <c r="A8750" s="28">
        <v>8749</v>
      </c>
      <c r="B8750" s="28" t="e">
        <f>interpola(#REF!,CURVA!$B$6:$B$20,CURVA!$G$6:$G$20)</f>
        <v>#VALUE!</v>
      </c>
      <c r="C8750" s="29" t="e">
        <f t="shared" si="136"/>
        <v>#VALUE!</v>
      </c>
      <c r="E8750" t="e">
        <f>cubic_spline(CURVA!$B$6:$B$20,CURVA!$G$6:$G$20,#REF!)</f>
        <v>#VALUE!</v>
      </c>
    </row>
    <row r="8751" spans="1:5" x14ac:dyDescent="0.2">
      <c r="A8751" s="28">
        <v>8750</v>
      </c>
      <c r="B8751" s="28" t="e">
        <f>interpola(#REF!,CURVA!$B$6:$B$20,CURVA!$G$6:$G$20)</f>
        <v>#VALUE!</v>
      </c>
      <c r="C8751" s="29" t="e">
        <f t="shared" si="136"/>
        <v>#VALUE!</v>
      </c>
      <c r="E8751" t="e">
        <f>cubic_spline(CURVA!$B$6:$B$20,CURVA!$G$6:$G$20,#REF!)</f>
        <v>#VALUE!</v>
      </c>
    </row>
    <row r="8752" spans="1:5" x14ac:dyDescent="0.2">
      <c r="A8752" s="28">
        <v>8751</v>
      </c>
      <c r="B8752" s="28" t="e">
        <f>interpola(#REF!,CURVA!$B$6:$B$20,CURVA!$G$6:$G$20)</f>
        <v>#VALUE!</v>
      </c>
      <c r="C8752" s="29" t="e">
        <f t="shared" si="136"/>
        <v>#VALUE!</v>
      </c>
      <c r="E8752" t="e">
        <f>cubic_spline(CURVA!$B$6:$B$20,CURVA!$G$6:$G$20,#REF!)</f>
        <v>#VALUE!</v>
      </c>
    </row>
    <row r="8753" spans="1:5" x14ac:dyDescent="0.2">
      <c r="A8753" s="28">
        <v>8752</v>
      </c>
      <c r="B8753" s="28" t="e">
        <f>interpola(#REF!,CURVA!$B$6:$B$20,CURVA!$G$6:$G$20)</f>
        <v>#VALUE!</v>
      </c>
      <c r="C8753" s="29" t="e">
        <f t="shared" si="136"/>
        <v>#VALUE!</v>
      </c>
      <c r="E8753" t="e">
        <f>cubic_spline(CURVA!$B$6:$B$20,CURVA!$G$6:$G$20,#REF!)</f>
        <v>#VALUE!</v>
      </c>
    </row>
    <row r="8754" spans="1:5" x14ac:dyDescent="0.2">
      <c r="A8754" s="28">
        <v>8753</v>
      </c>
      <c r="B8754" s="28" t="e">
        <f>interpola(#REF!,CURVA!$B$6:$B$20,CURVA!$G$6:$G$20)</f>
        <v>#VALUE!</v>
      </c>
      <c r="C8754" s="29" t="e">
        <f t="shared" si="136"/>
        <v>#VALUE!</v>
      </c>
      <c r="E8754" t="e">
        <f>cubic_spline(CURVA!$B$6:$B$20,CURVA!$G$6:$G$20,#REF!)</f>
        <v>#VALUE!</v>
      </c>
    </row>
    <row r="8755" spans="1:5" x14ac:dyDescent="0.2">
      <c r="A8755" s="28">
        <v>8754</v>
      </c>
      <c r="B8755" s="28" t="e">
        <f>interpola(#REF!,CURVA!$B$6:$B$20,CURVA!$G$6:$G$20)</f>
        <v>#VALUE!</v>
      </c>
      <c r="C8755" s="29" t="e">
        <f t="shared" si="136"/>
        <v>#VALUE!</v>
      </c>
      <c r="E8755" t="e">
        <f>cubic_spline(CURVA!$B$6:$B$20,CURVA!$G$6:$G$20,#REF!)</f>
        <v>#VALUE!</v>
      </c>
    </row>
    <row r="8756" spans="1:5" x14ac:dyDescent="0.2">
      <c r="A8756" s="28">
        <v>8755</v>
      </c>
      <c r="B8756" s="28" t="e">
        <f>interpola(#REF!,CURVA!$B$6:$B$20,CURVA!$G$6:$G$20)</f>
        <v>#VALUE!</v>
      </c>
      <c r="C8756" s="29" t="e">
        <f t="shared" si="136"/>
        <v>#VALUE!</v>
      </c>
      <c r="E8756" t="e">
        <f>cubic_spline(CURVA!$B$6:$B$20,CURVA!$G$6:$G$20,#REF!)</f>
        <v>#VALUE!</v>
      </c>
    </row>
    <row r="8757" spans="1:5" x14ac:dyDescent="0.2">
      <c r="A8757" s="28">
        <v>8756</v>
      </c>
      <c r="B8757" s="28" t="e">
        <f>interpola(#REF!,CURVA!$B$6:$B$20,CURVA!$G$6:$G$20)</f>
        <v>#VALUE!</v>
      </c>
      <c r="C8757" s="29" t="e">
        <f t="shared" si="136"/>
        <v>#VALUE!</v>
      </c>
      <c r="E8757" t="e">
        <f>cubic_spline(CURVA!$B$6:$B$20,CURVA!$G$6:$G$20,#REF!)</f>
        <v>#VALUE!</v>
      </c>
    </row>
    <row r="8758" spans="1:5" x14ac:dyDescent="0.2">
      <c r="A8758" s="28">
        <v>8757</v>
      </c>
      <c r="B8758" s="28" t="e">
        <f>interpola(#REF!,CURVA!$B$6:$B$20,CURVA!$G$6:$G$20)</f>
        <v>#VALUE!</v>
      </c>
      <c r="C8758" s="29" t="e">
        <f t="shared" si="136"/>
        <v>#VALUE!</v>
      </c>
      <c r="E8758" t="e">
        <f>cubic_spline(CURVA!$B$6:$B$20,CURVA!$G$6:$G$20,#REF!)</f>
        <v>#VALUE!</v>
      </c>
    </row>
    <row r="8759" spans="1:5" x14ac:dyDescent="0.2">
      <c r="A8759" s="28">
        <v>8758</v>
      </c>
      <c r="B8759" s="28" t="e">
        <f>interpola(#REF!,CURVA!$B$6:$B$20,CURVA!$G$6:$G$20)</f>
        <v>#VALUE!</v>
      </c>
      <c r="C8759" s="29" t="e">
        <f t="shared" si="136"/>
        <v>#VALUE!</v>
      </c>
      <c r="E8759" t="e">
        <f>cubic_spline(CURVA!$B$6:$B$20,CURVA!$G$6:$G$20,#REF!)</f>
        <v>#VALUE!</v>
      </c>
    </row>
    <row r="8760" spans="1:5" x14ac:dyDescent="0.2">
      <c r="A8760" s="28">
        <v>8759</v>
      </c>
      <c r="B8760" s="28" t="e">
        <f>interpola(#REF!,CURVA!$B$6:$B$20,CURVA!$G$6:$G$20)</f>
        <v>#VALUE!</v>
      </c>
      <c r="C8760" s="29" t="e">
        <f t="shared" si="136"/>
        <v>#VALUE!</v>
      </c>
      <c r="E8760" t="e">
        <f>cubic_spline(CURVA!$B$6:$B$20,CURVA!$G$6:$G$20,#REF!)</f>
        <v>#VALUE!</v>
      </c>
    </row>
    <row r="8761" spans="1:5" x14ac:dyDescent="0.2">
      <c r="A8761" s="28">
        <v>8760</v>
      </c>
      <c r="B8761" s="28" t="e">
        <f>interpola(#REF!,CURVA!$B$6:$B$20,CURVA!$G$6:$G$20)</f>
        <v>#VALUE!</v>
      </c>
      <c r="C8761" s="29" t="e">
        <f t="shared" si="136"/>
        <v>#VALUE!</v>
      </c>
      <c r="E8761" t="e">
        <f>cubic_spline(CURVA!$B$6:$B$20,CURVA!$G$6:$G$20,#REF!)</f>
        <v>#VALUE!</v>
      </c>
    </row>
    <row r="8762" spans="1:5" x14ac:dyDescent="0.2">
      <c r="A8762" s="28">
        <v>8761</v>
      </c>
      <c r="B8762" s="28" t="e">
        <f>interpola(#REF!,CURVA!$B$6:$B$20,CURVA!$G$6:$G$20)</f>
        <v>#VALUE!</v>
      </c>
      <c r="C8762" s="29" t="e">
        <f t="shared" si="136"/>
        <v>#VALUE!</v>
      </c>
      <c r="E8762" t="e">
        <f>cubic_spline(CURVA!$B$6:$B$20,CURVA!$G$6:$G$20,#REF!)</f>
        <v>#VALUE!</v>
      </c>
    </row>
    <row r="8763" spans="1:5" x14ac:dyDescent="0.2">
      <c r="A8763" s="28">
        <v>8762</v>
      </c>
      <c r="B8763" s="28" t="e">
        <f>interpola(#REF!,CURVA!$B$6:$B$20,CURVA!$G$6:$G$20)</f>
        <v>#VALUE!</v>
      </c>
      <c r="C8763" s="29" t="e">
        <f t="shared" si="136"/>
        <v>#VALUE!</v>
      </c>
      <c r="E8763" t="e">
        <f>cubic_spline(CURVA!$B$6:$B$20,CURVA!$G$6:$G$20,#REF!)</f>
        <v>#VALUE!</v>
      </c>
    </row>
    <row r="8764" spans="1:5" x14ac:dyDescent="0.2">
      <c r="A8764" s="28">
        <v>8763</v>
      </c>
      <c r="B8764" s="28" t="e">
        <f>interpola(#REF!,CURVA!$B$6:$B$20,CURVA!$G$6:$G$20)</f>
        <v>#VALUE!</v>
      </c>
      <c r="C8764" s="29" t="e">
        <f t="shared" si="136"/>
        <v>#VALUE!</v>
      </c>
      <c r="E8764" t="e">
        <f>cubic_spline(CURVA!$B$6:$B$20,CURVA!$G$6:$G$20,#REF!)</f>
        <v>#VALUE!</v>
      </c>
    </row>
    <row r="8765" spans="1:5" x14ac:dyDescent="0.2">
      <c r="A8765" s="28">
        <v>8764</v>
      </c>
      <c r="B8765" s="28" t="e">
        <f>interpola(#REF!,CURVA!$B$6:$B$20,CURVA!$G$6:$G$20)</f>
        <v>#VALUE!</v>
      </c>
      <c r="C8765" s="29" t="e">
        <f t="shared" si="136"/>
        <v>#VALUE!</v>
      </c>
      <c r="E8765" t="e">
        <f>cubic_spline(CURVA!$B$6:$B$20,CURVA!$G$6:$G$20,#REF!)</f>
        <v>#VALUE!</v>
      </c>
    </row>
    <row r="8766" spans="1:5" x14ac:dyDescent="0.2">
      <c r="A8766" s="28">
        <v>8765</v>
      </c>
      <c r="B8766" s="28" t="e">
        <f>interpola(#REF!,CURVA!$B$6:$B$20,CURVA!$G$6:$G$20)</f>
        <v>#VALUE!</v>
      </c>
      <c r="C8766" s="29" t="e">
        <f t="shared" si="136"/>
        <v>#VALUE!</v>
      </c>
      <c r="E8766" t="e">
        <f>cubic_spline(CURVA!$B$6:$B$20,CURVA!$G$6:$G$20,#REF!)</f>
        <v>#VALUE!</v>
      </c>
    </row>
    <row r="8767" spans="1:5" x14ac:dyDescent="0.2">
      <c r="A8767" s="28">
        <v>8766</v>
      </c>
      <c r="B8767" s="28" t="e">
        <f>interpola(#REF!,CURVA!$B$6:$B$20,CURVA!$G$6:$G$20)</f>
        <v>#VALUE!</v>
      </c>
      <c r="C8767" s="29" t="e">
        <f t="shared" si="136"/>
        <v>#VALUE!</v>
      </c>
      <c r="E8767" t="e">
        <f>cubic_spline(CURVA!$B$6:$B$20,CURVA!$G$6:$G$20,#REF!)</f>
        <v>#VALUE!</v>
      </c>
    </row>
    <row r="8768" spans="1:5" x14ac:dyDescent="0.2">
      <c r="A8768" s="28">
        <v>8767</v>
      </c>
      <c r="B8768" s="28" t="e">
        <f>interpola(#REF!,CURVA!$B$6:$B$20,CURVA!$G$6:$G$20)</f>
        <v>#VALUE!</v>
      </c>
      <c r="C8768" s="29" t="e">
        <f t="shared" si="136"/>
        <v>#VALUE!</v>
      </c>
      <c r="E8768" t="e">
        <f>cubic_spline(CURVA!$B$6:$B$20,CURVA!$G$6:$G$20,#REF!)</f>
        <v>#VALUE!</v>
      </c>
    </row>
    <row r="8769" spans="1:5" x14ac:dyDescent="0.2">
      <c r="A8769" s="28">
        <v>8768</v>
      </c>
      <c r="B8769" s="28" t="e">
        <f>interpola(#REF!,CURVA!$B$6:$B$20,CURVA!$G$6:$G$20)</f>
        <v>#VALUE!</v>
      </c>
      <c r="C8769" s="29" t="e">
        <f t="shared" si="136"/>
        <v>#VALUE!</v>
      </c>
      <c r="E8769" t="e">
        <f>cubic_spline(CURVA!$B$6:$B$20,CURVA!$G$6:$G$20,#REF!)</f>
        <v>#VALUE!</v>
      </c>
    </row>
    <row r="8770" spans="1:5" x14ac:dyDescent="0.2">
      <c r="A8770" s="28">
        <v>8769</v>
      </c>
      <c r="B8770" s="28" t="e">
        <f>interpola(#REF!,CURVA!$B$6:$B$20,CURVA!$G$6:$G$20)</f>
        <v>#VALUE!</v>
      </c>
      <c r="C8770" s="29" t="e">
        <f t="shared" ref="C8770:C8833" si="137">(EXP(B8770*A8770/360)-1)*360/A8770</f>
        <v>#VALUE!</v>
      </c>
      <c r="E8770" t="e">
        <f>cubic_spline(CURVA!$B$6:$B$20,CURVA!$G$6:$G$20,#REF!)</f>
        <v>#VALUE!</v>
      </c>
    </row>
    <row r="8771" spans="1:5" x14ac:dyDescent="0.2">
      <c r="A8771" s="28">
        <v>8770</v>
      </c>
      <c r="B8771" s="28" t="e">
        <f>interpola(#REF!,CURVA!$B$6:$B$20,CURVA!$G$6:$G$20)</f>
        <v>#VALUE!</v>
      </c>
      <c r="C8771" s="29" t="e">
        <f t="shared" si="137"/>
        <v>#VALUE!</v>
      </c>
      <c r="E8771" t="e">
        <f>cubic_spline(CURVA!$B$6:$B$20,CURVA!$G$6:$G$20,#REF!)</f>
        <v>#VALUE!</v>
      </c>
    </row>
    <row r="8772" spans="1:5" x14ac:dyDescent="0.2">
      <c r="A8772" s="28">
        <v>8771</v>
      </c>
      <c r="B8772" s="28" t="e">
        <f>interpola(#REF!,CURVA!$B$6:$B$20,CURVA!$G$6:$G$20)</f>
        <v>#VALUE!</v>
      </c>
      <c r="C8772" s="29" t="e">
        <f t="shared" si="137"/>
        <v>#VALUE!</v>
      </c>
      <c r="E8772" t="e">
        <f>cubic_spline(CURVA!$B$6:$B$20,CURVA!$G$6:$G$20,#REF!)</f>
        <v>#VALUE!</v>
      </c>
    </row>
    <row r="8773" spans="1:5" x14ac:dyDescent="0.2">
      <c r="A8773" s="28">
        <v>8772</v>
      </c>
      <c r="B8773" s="28" t="e">
        <f>interpola(#REF!,CURVA!$B$6:$B$20,CURVA!$G$6:$G$20)</f>
        <v>#VALUE!</v>
      </c>
      <c r="C8773" s="29" t="e">
        <f t="shared" si="137"/>
        <v>#VALUE!</v>
      </c>
      <c r="E8773" t="e">
        <f>cubic_spline(CURVA!$B$6:$B$20,CURVA!$G$6:$G$20,#REF!)</f>
        <v>#VALUE!</v>
      </c>
    </row>
    <row r="8774" spans="1:5" x14ac:dyDescent="0.2">
      <c r="A8774" s="28">
        <v>8773</v>
      </c>
      <c r="B8774" s="28" t="e">
        <f>interpola(#REF!,CURVA!$B$6:$B$20,CURVA!$G$6:$G$20)</f>
        <v>#VALUE!</v>
      </c>
      <c r="C8774" s="29" t="e">
        <f t="shared" si="137"/>
        <v>#VALUE!</v>
      </c>
      <c r="E8774" t="e">
        <f>cubic_spline(CURVA!$B$6:$B$20,CURVA!$G$6:$G$20,#REF!)</f>
        <v>#VALUE!</v>
      </c>
    </row>
    <row r="8775" spans="1:5" x14ac:dyDescent="0.2">
      <c r="A8775" s="28">
        <v>8774</v>
      </c>
      <c r="B8775" s="28" t="e">
        <f>interpola(#REF!,CURVA!$B$6:$B$20,CURVA!$G$6:$G$20)</f>
        <v>#VALUE!</v>
      </c>
      <c r="C8775" s="29" t="e">
        <f t="shared" si="137"/>
        <v>#VALUE!</v>
      </c>
      <c r="E8775" t="e">
        <f>cubic_spline(CURVA!$B$6:$B$20,CURVA!$G$6:$G$20,#REF!)</f>
        <v>#VALUE!</v>
      </c>
    </row>
    <row r="8776" spans="1:5" x14ac:dyDescent="0.2">
      <c r="A8776" s="28">
        <v>8775</v>
      </c>
      <c r="B8776" s="28" t="e">
        <f>interpola(#REF!,CURVA!$B$6:$B$20,CURVA!$G$6:$G$20)</f>
        <v>#VALUE!</v>
      </c>
      <c r="C8776" s="29" t="e">
        <f t="shared" si="137"/>
        <v>#VALUE!</v>
      </c>
      <c r="E8776" t="e">
        <f>cubic_spline(CURVA!$B$6:$B$20,CURVA!$G$6:$G$20,#REF!)</f>
        <v>#VALUE!</v>
      </c>
    </row>
    <row r="8777" spans="1:5" x14ac:dyDescent="0.2">
      <c r="A8777" s="28">
        <v>8776</v>
      </c>
      <c r="B8777" s="28" t="e">
        <f>interpola(#REF!,CURVA!$B$6:$B$20,CURVA!$G$6:$G$20)</f>
        <v>#VALUE!</v>
      </c>
      <c r="C8777" s="29" t="e">
        <f t="shared" si="137"/>
        <v>#VALUE!</v>
      </c>
      <c r="E8777" t="e">
        <f>cubic_spline(CURVA!$B$6:$B$20,CURVA!$G$6:$G$20,#REF!)</f>
        <v>#VALUE!</v>
      </c>
    </row>
    <row r="8778" spans="1:5" x14ac:dyDescent="0.2">
      <c r="A8778" s="28">
        <v>8777</v>
      </c>
      <c r="B8778" s="28" t="e">
        <f>interpola(#REF!,CURVA!$B$6:$B$20,CURVA!$G$6:$G$20)</f>
        <v>#VALUE!</v>
      </c>
      <c r="C8778" s="29" t="e">
        <f t="shared" si="137"/>
        <v>#VALUE!</v>
      </c>
      <c r="E8778" t="e">
        <f>cubic_spline(CURVA!$B$6:$B$20,CURVA!$G$6:$G$20,#REF!)</f>
        <v>#VALUE!</v>
      </c>
    </row>
    <row r="8779" spans="1:5" x14ac:dyDescent="0.2">
      <c r="A8779" s="28">
        <v>8778</v>
      </c>
      <c r="B8779" s="28" t="e">
        <f>interpola(#REF!,CURVA!$B$6:$B$20,CURVA!$G$6:$G$20)</f>
        <v>#VALUE!</v>
      </c>
      <c r="C8779" s="29" t="e">
        <f t="shared" si="137"/>
        <v>#VALUE!</v>
      </c>
      <c r="E8779" t="e">
        <f>cubic_spline(CURVA!$B$6:$B$20,CURVA!$G$6:$G$20,#REF!)</f>
        <v>#VALUE!</v>
      </c>
    </row>
    <row r="8780" spans="1:5" x14ac:dyDescent="0.2">
      <c r="A8780" s="28">
        <v>8779</v>
      </c>
      <c r="B8780" s="28" t="e">
        <f>interpola(#REF!,CURVA!$B$6:$B$20,CURVA!$G$6:$G$20)</f>
        <v>#VALUE!</v>
      </c>
      <c r="C8780" s="29" t="e">
        <f t="shared" si="137"/>
        <v>#VALUE!</v>
      </c>
      <c r="E8780" t="e">
        <f>cubic_spline(CURVA!$B$6:$B$20,CURVA!$G$6:$G$20,#REF!)</f>
        <v>#VALUE!</v>
      </c>
    </row>
    <row r="8781" spans="1:5" x14ac:dyDescent="0.2">
      <c r="A8781" s="28">
        <v>8780</v>
      </c>
      <c r="B8781" s="28" t="e">
        <f>interpola(#REF!,CURVA!$B$6:$B$20,CURVA!$G$6:$G$20)</f>
        <v>#VALUE!</v>
      </c>
      <c r="C8781" s="29" t="e">
        <f t="shared" si="137"/>
        <v>#VALUE!</v>
      </c>
      <c r="E8781" t="e">
        <f>cubic_spline(CURVA!$B$6:$B$20,CURVA!$G$6:$G$20,#REF!)</f>
        <v>#VALUE!</v>
      </c>
    </row>
    <row r="8782" spans="1:5" x14ac:dyDescent="0.2">
      <c r="A8782" s="28">
        <v>8781</v>
      </c>
      <c r="B8782" s="28" t="e">
        <f>interpola(#REF!,CURVA!$B$6:$B$20,CURVA!$G$6:$G$20)</f>
        <v>#VALUE!</v>
      </c>
      <c r="C8782" s="29" t="e">
        <f t="shared" si="137"/>
        <v>#VALUE!</v>
      </c>
      <c r="E8782" t="e">
        <f>cubic_spline(CURVA!$B$6:$B$20,CURVA!$G$6:$G$20,#REF!)</f>
        <v>#VALUE!</v>
      </c>
    </row>
    <row r="8783" spans="1:5" x14ac:dyDescent="0.2">
      <c r="A8783" s="28">
        <v>8782</v>
      </c>
      <c r="B8783" s="28" t="e">
        <f>interpola(#REF!,CURVA!$B$6:$B$20,CURVA!$G$6:$G$20)</f>
        <v>#VALUE!</v>
      </c>
      <c r="C8783" s="29" t="e">
        <f t="shared" si="137"/>
        <v>#VALUE!</v>
      </c>
      <c r="E8783" t="e">
        <f>cubic_spline(CURVA!$B$6:$B$20,CURVA!$G$6:$G$20,#REF!)</f>
        <v>#VALUE!</v>
      </c>
    </row>
    <row r="8784" spans="1:5" x14ac:dyDescent="0.2">
      <c r="A8784" s="28">
        <v>8783</v>
      </c>
      <c r="B8784" s="28" t="e">
        <f>interpola(#REF!,CURVA!$B$6:$B$20,CURVA!$G$6:$G$20)</f>
        <v>#VALUE!</v>
      </c>
      <c r="C8784" s="29" t="e">
        <f t="shared" si="137"/>
        <v>#VALUE!</v>
      </c>
      <c r="E8784" t="e">
        <f>cubic_spline(CURVA!$B$6:$B$20,CURVA!$G$6:$G$20,#REF!)</f>
        <v>#VALUE!</v>
      </c>
    </row>
    <row r="8785" spans="1:5" x14ac:dyDescent="0.2">
      <c r="A8785" s="28">
        <v>8784</v>
      </c>
      <c r="B8785" s="28" t="e">
        <f>interpola(#REF!,CURVA!$B$6:$B$20,CURVA!$G$6:$G$20)</f>
        <v>#VALUE!</v>
      </c>
      <c r="C8785" s="29" t="e">
        <f t="shared" si="137"/>
        <v>#VALUE!</v>
      </c>
      <c r="E8785" t="e">
        <f>cubic_spline(CURVA!$B$6:$B$20,CURVA!$G$6:$G$20,#REF!)</f>
        <v>#VALUE!</v>
      </c>
    </row>
    <row r="8786" spans="1:5" x14ac:dyDescent="0.2">
      <c r="A8786" s="28">
        <v>8785</v>
      </c>
      <c r="B8786" s="28" t="e">
        <f>interpola(#REF!,CURVA!$B$6:$B$20,CURVA!$G$6:$G$20)</f>
        <v>#VALUE!</v>
      </c>
      <c r="C8786" s="29" t="e">
        <f t="shared" si="137"/>
        <v>#VALUE!</v>
      </c>
      <c r="E8786" t="e">
        <f>cubic_spline(CURVA!$B$6:$B$20,CURVA!$G$6:$G$20,#REF!)</f>
        <v>#VALUE!</v>
      </c>
    </row>
    <row r="8787" spans="1:5" x14ac:dyDescent="0.2">
      <c r="A8787" s="28">
        <v>8786</v>
      </c>
      <c r="B8787" s="28" t="e">
        <f>interpola(#REF!,CURVA!$B$6:$B$20,CURVA!$G$6:$G$20)</f>
        <v>#VALUE!</v>
      </c>
      <c r="C8787" s="29" t="e">
        <f t="shared" si="137"/>
        <v>#VALUE!</v>
      </c>
      <c r="E8787" t="e">
        <f>cubic_spline(CURVA!$B$6:$B$20,CURVA!$G$6:$G$20,#REF!)</f>
        <v>#VALUE!</v>
      </c>
    </row>
    <row r="8788" spans="1:5" x14ac:dyDescent="0.2">
      <c r="A8788" s="28">
        <v>8787</v>
      </c>
      <c r="B8788" s="28" t="e">
        <f>interpola(#REF!,CURVA!$B$6:$B$20,CURVA!$G$6:$G$20)</f>
        <v>#VALUE!</v>
      </c>
      <c r="C8788" s="29" t="e">
        <f t="shared" si="137"/>
        <v>#VALUE!</v>
      </c>
      <c r="E8788" t="e">
        <f>cubic_spline(CURVA!$B$6:$B$20,CURVA!$G$6:$G$20,#REF!)</f>
        <v>#VALUE!</v>
      </c>
    </row>
    <row r="8789" spans="1:5" x14ac:dyDescent="0.2">
      <c r="A8789" s="28">
        <v>8788</v>
      </c>
      <c r="B8789" s="28" t="e">
        <f>interpola(#REF!,CURVA!$B$6:$B$20,CURVA!$G$6:$G$20)</f>
        <v>#VALUE!</v>
      </c>
      <c r="C8789" s="29" t="e">
        <f t="shared" si="137"/>
        <v>#VALUE!</v>
      </c>
      <c r="E8789" t="e">
        <f>cubic_spline(CURVA!$B$6:$B$20,CURVA!$G$6:$G$20,#REF!)</f>
        <v>#VALUE!</v>
      </c>
    </row>
    <row r="8790" spans="1:5" x14ac:dyDescent="0.2">
      <c r="A8790" s="28">
        <v>8789</v>
      </c>
      <c r="B8790" s="28" t="e">
        <f>interpola(#REF!,CURVA!$B$6:$B$20,CURVA!$G$6:$G$20)</f>
        <v>#VALUE!</v>
      </c>
      <c r="C8790" s="29" t="e">
        <f t="shared" si="137"/>
        <v>#VALUE!</v>
      </c>
      <c r="E8790" t="e">
        <f>cubic_spline(CURVA!$B$6:$B$20,CURVA!$G$6:$G$20,#REF!)</f>
        <v>#VALUE!</v>
      </c>
    </row>
    <row r="8791" spans="1:5" x14ac:dyDescent="0.2">
      <c r="A8791" s="28">
        <v>8790</v>
      </c>
      <c r="B8791" s="28" t="e">
        <f>interpola(#REF!,CURVA!$B$6:$B$20,CURVA!$G$6:$G$20)</f>
        <v>#VALUE!</v>
      </c>
      <c r="C8791" s="29" t="e">
        <f t="shared" si="137"/>
        <v>#VALUE!</v>
      </c>
      <c r="E8791" t="e">
        <f>cubic_spline(CURVA!$B$6:$B$20,CURVA!$G$6:$G$20,#REF!)</f>
        <v>#VALUE!</v>
      </c>
    </row>
    <row r="8792" spans="1:5" x14ac:dyDescent="0.2">
      <c r="A8792" s="28">
        <v>8791</v>
      </c>
      <c r="B8792" s="28" t="e">
        <f>interpola(#REF!,CURVA!$B$6:$B$20,CURVA!$G$6:$G$20)</f>
        <v>#VALUE!</v>
      </c>
      <c r="C8792" s="29" t="e">
        <f t="shared" si="137"/>
        <v>#VALUE!</v>
      </c>
      <c r="E8792" t="e">
        <f>cubic_spline(CURVA!$B$6:$B$20,CURVA!$G$6:$G$20,#REF!)</f>
        <v>#VALUE!</v>
      </c>
    </row>
    <row r="8793" spans="1:5" x14ac:dyDescent="0.2">
      <c r="A8793" s="28">
        <v>8792</v>
      </c>
      <c r="B8793" s="28" t="e">
        <f>interpola(#REF!,CURVA!$B$6:$B$20,CURVA!$G$6:$G$20)</f>
        <v>#VALUE!</v>
      </c>
      <c r="C8793" s="29" t="e">
        <f t="shared" si="137"/>
        <v>#VALUE!</v>
      </c>
      <c r="E8793" t="e">
        <f>cubic_spline(CURVA!$B$6:$B$20,CURVA!$G$6:$G$20,#REF!)</f>
        <v>#VALUE!</v>
      </c>
    </row>
    <row r="8794" spans="1:5" x14ac:dyDescent="0.2">
      <c r="A8794" s="28">
        <v>8793</v>
      </c>
      <c r="B8794" s="28" t="e">
        <f>interpola(#REF!,CURVA!$B$6:$B$20,CURVA!$G$6:$G$20)</f>
        <v>#VALUE!</v>
      </c>
      <c r="C8794" s="29" t="e">
        <f t="shared" si="137"/>
        <v>#VALUE!</v>
      </c>
      <c r="E8794" t="e">
        <f>cubic_spline(CURVA!$B$6:$B$20,CURVA!$G$6:$G$20,#REF!)</f>
        <v>#VALUE!</v>
      </c>
    </row>
    <row r="8795" spans="1:5" x14ac:dyDescent="0.2">
      <c r="A8795" s="28">
        <v>8794</v>
      </c>
      <c r="B8795" s="28" t="e">
        <f>interpola(#REF!,CURVA!$B$6:$B$20,CURVA!$G$6:$G$20)</f>
        <v>#VALUE!</v>
      </c>
      <c r="C8795" s="29" t="e">
        <f t="shared" si="137"/>
        <v>#VALUE!</v>
      </c>
      <c r="E8795" t="e">
        <f>cubic_spline(CURVA!$B$6:$B$20,CURVA!$G$6:$G$20,#REF!)</f>
        <v>#VALUE!</v>
      </c>
    </row>
    <row r="8796" spans="1:5" x14ac:dyDescent="0.2">
      <c r="A8796" s="28">
        <v>8795</v>
      </c>
      <c r="B8796" s="28" t="e">
        <f>interpola(#REF!,CURVA!$B$6:$B$20,CURVA!$G$6:$G$20)</f>
        <v>#VALUE!</v>
      </c>
      <c r="C8796" s="29" t="e">
        <f t="shared" si="137"/>
        <v>#VALUE!</v>
      </c>
      <c r="E8796" t="e">
        <f>cubic_spline(CURVA!$B$6:$B$20,CURVA!$G$6:$G$20,#REF!)</f>
        <v>#VALUE!</v>
      </c>
    </row>
    <row r="8797" spans="1:5" x14ac:dyDescent="0.2">
      <c r="A8797" s="28">
        <v>8796</v>
      </c>
      <c r="B8797" s="28" t="e">
        <f>interpola(#REF!,CURVA!$B$6:$B$20,CURVA!$G$6:$G$20)</f>
        <v>#VALUE!</v>
      </c>
      <c r="C8797" s="29" t="e">
        <f t="shared" si="137"/>
        <v>#VALUE!</v>
      </c>
      <c r="E8797" t="e">
        <f>cubic_spline(CURVA!$B$6:$B$20,CURVA!$G$6:$G$20,#REF!)</f>
        <v>#VALUE!</v>
      </c>
    </row>
    <row r="8798" spans="1:5" x14ac:dyDescent="0.2">
      <c r="A8798" s="28">
        <v>8797</v>
      </c>
      <c r="B8798" s="28" t="e">
        <f>interpola(#REF!,CURVA!$B$6:$B$20,CURVA!$G$6:$G$20)</f>
        <v>#VALUE!</v>
      </c>
      <c r="C8798" s="29" t="e">
        <f t="shared" si="137"/>
        <v>#VALUE!</v>
      </c>
      <c r="E8798" t="e">
        <f>cubic_spline(CURVA!$B$6:$B$20,CURVA!$G$6:$G$20,#REF!)</f>
        <v>#VALUE!</v>
      </c>
    </row>
    <row r="8799" spans="1:5" x14ac:dyDescent="0.2">
      <c r="A8799" s="28">
        <v>8798</v>
      </c>
      <c r="B8799" s="28" t="e">
        <f>interpola(#REF!,CURVA!$B$6:$B$20,CURVA!$G$6:$G$20)</f>
        <v>#VALUE!</v>
      </c>
      <c r="C8799" s="29" t="e">
        <f t="shared" si="137"/>
        <v>#VALUE!</v>
      </c>
      <c r="E8799" t="e">
        <f>cubic_spline(CURVA!$B$6:$B$20,CURVA!$G$6:$G$20,#REF!)</f>
        <v>#VALUE!</v>
      </c>
    </row>
    <row r="8800" spans="1:5" x14ac:dyDescent="0.2">
      <c r="A8800" s="28">
        <v>8799</v>
      </c>
      <c r="B8800" s="28" t="e">
        <f>interpola(#REF!,CURVA!$B$6:$B$20,CURVA!$G$6:$G$20)</f>
        <v>#VALUE!</v>
      </c>
      <c r="C8800" s="29" t="e">
        <f t="shared" si="137"/>
        <v>#VALUE!</v>
      </c>
      <c r="E8800" t="e">
        <f>cubic_spline(CURVA!$B$6:$B$20,CURVA!$G$6:$G$20,#REF!)</f>
        <v>#VALUE!</v>
      </c>
    </row>
    <row r="8801" spans="1:5" x14ac:dyDescent="0.2">
      <c r="A8801" s="28">
        <v>8800</v>
      </c>
      <c r="B8801" s="28" t="e">
        <f>interpola(#REF!,CURVA!$B$6:$B$20,CURVA!$G$6:$G$20)</f>
        <v>#VALUE!</v>
      </c>
      <c r="C8801" s="29" t="e">
        <f t="shared" si="137"/>
        <v>#VALUE!</v>
      </c>
      <c r="E8801" t="e">
        <f>cubic_spline(CURVA!$B$6:$B$20,CURVA!$G$6:$G$20,#REF!)</f>
        <v>#VALUE!</v>
      </c>
    </row>
    <row r="8802" spans="1:5" x14ac:dyDescent="0.2">
      <c r="A8802" s="28">
        <v>8801</v>
      </c>
      <c r="B8802" s="28" t="e">
        <f>interpola(#REF!,CURVA!$B$6:$B$20,CURVA!$G$6:$G$20)</f>
        <v>#VALUE!</v>
      </c>
      <c r="C8802" s="29" t="e">
        <f t="shared" si="137"/>
        <v>#VALUE!</v>
      </c>
      <c r="E8802" t="e">
        <f>cubic_spline(CURVA!$B$6:$B$20,CURVA!$G$6:$G$20,#REF!)</f>
        <v>#VALUE!</v>
      </c>
    </row>
    <row r="8803" spans="1:5" x14ac:dyDescent="0.2">
      <c r="A8803" s="28">
        <v>8802</v>
      </c>
      <c r="B8803" s="28" t="e">
        <f>interpola(#REF!,CURVA!$B$6:$B$20,CURVA!$G$6:$G$20)</f>
        <v>#VALUE!</v>
      </c>
      <c r="C8803" s="29" t="e">
        <f t="shared" si="137"/>
        <v>#VALUE!</v>
      </c>
      <c r="E8803" t="e">
        <f>cubic_spline(CURVA!$B$6:$B$20,CURVA!$G$6:$G$20,#REF!)</f>
        <v>#VALUE!</v>
      </c>
    </row>
    <row r="8804" spans="1:5" x14ac:dyDescent="0.2">
      <c r="A8804" s="28">
        <v>8803</v>
      </c>
      <c r="B8804" s="28" t="e">
        <f>interpola(#REF!,CURVA!$B$6:$B$20,CURVA!$G$6:$G$20)</f>
        <v>#VALUE!</v>
      </c>
      <c r="C8804" s="29" t="e">
        <f t="shared" si="137"/>
        <v>#VALUE!</v>
      </c>
      <c r="E8804" t="e">
        <f>cubic_spline(CURVA!$B$6:$B$20,CURVA!$G$6:$G$20,#REF!)</f>
        <v>#VALUE!</v>
      </c>
    </row>
    <row r="8805" spans="1:5" x14ac:dyDescent="0.2">
      <c r="A8805" s="28">
        <v>8804</v>
      </c>
      <c r="B8805" s="28" t="e">
        <f>interpola(#REF!,CURVA!$B$6:$B$20,CURVA!$G$6:$G$20)</f>
        <v>#VALUE!</v>
      </c>
      <c r="C8805" s="29" t="e">
        <f t="shared" si="137"/>
        <v>#VALUE!</v>
      </c>
      <c r="E8805" t="e">
        <f>cubic_spline(CURVA!$B$6:$B$20,CURVA!$G$6:$G$20,#REF!)</f>
        <v>#VALUE!</v>
      </c>
    </row>
    <row r="8806" spans="1:5" x14ac:dyDescent="0.2">
      <c r="A8806" s="28">
        <v>8805</v>
      </c>
      <c r="B8806" s="28" t="e">
        <f>interpola(#REF!,CURVA!$B$6:$B$20,CURVA!$G$6:$G$20)</f>
        <v>#VALUE!</v>
      </c>
      <c r="C8806" s="29" t="e">
        <f t="shared" si="137"/>
        <v>#VALUE!</v>
      </c>
      <c r="E8806" t="e">
        <f>cubic_spline(CURVA!$B$6:$B$20,CURVA!$G$6:$G$20,#REF!)</f>
        <v>#VALUE!</v>
      </c>
    </row>
    <row r="8807" spans="1:5" x14ac:dyDescent="0.2">
      <c r="A8807" s="28">
        <v>8806</v>
      </c>
      <c r="B8807" s="28" t="e">
        <f>interpola(#REF!,CURVA!$B$6:$B$20,CURVA!$G$6:$G$20)</f>
        <v>#VALUE!</v>
      </c>
      <c r="C8807" s="29" t="e">
        <f t="shared" si="137"/>
        <v>#VALUE!</v>
      </c>
      <c r="E8807" t="e">
        <f>cubic_spline(CURVA!$B$6:$B$20,CURVA!$G$6:$G$20,#REF!)</f>
        <v>#VALUE!</v>
      </c>
    </row>
    <row r="8808" spans="1:5" x14ac:dyDescent="0.2">
      <c r="A8808" s="28">
        <v>8807</v>
      </c>
      <c r="B8808" s="28" t="e">
        <f>interpola(#REF!,CURVA!$B$6:$B$20,CURVA!$G$6:$G$20)</f>
        <v>#VALUE!</v>
      </c>
      <c r="C8808" s="29" t="e">
        <f t="shared" si="137"/>
        <v>#VALUE!</v>
      </c>
      <c r="E8808" t="e">
        <f>cubic_spline(CURVA!$B$6:$B$20,CURVA!$G$6:$G$20,#REF!)</f>
        <v>#VALUE!</v>
      </c>
    </row>
    <row r="8809" spans="1:5" x14ac:dyDescent="0.2">
      <c r="A8809" s="28">
        <v>8808</v>
      </c>
      <c r="B8809" s="28" t="e">
        <f>interpola(#REF!,CURVA!$B$6:$B$20,CURVA!$G$6:$G$20)</f>
        <v>#VALUE!</v>
      </c>
      <c r="C8809" s="29" t="e">
        <f t="shared" si="137"/>
        <v>#VALUE!</v>
      </c>
      <c r="E8809" t="e">
        <f>cubic_spline(CURVA!$B$6:$B$20,CURVA!$G$6:$G$20,#REF!)</f>
        <v>#VALUE!</v>
      </c>
    </row>
    <row r="8810" spans="1:5" x14ac:dyDescent="0.2">
      <c r="A8810" s="28">
        <v>8809</v>
      </c>
      <c r="B8810" s="28" t="e">
        <f>interpola(#REF!,CURVA!$B$6:$B$20,CURVA!$G$6:$G$20)</f>
        <v>#VALUE!</v>
      </c>
      <c r="C8810" s="29" t="e">
        <f t="shared" si="137"/>
        <v>#VALUE!</v>
      </c>
      <c r="E8810" t="e">
        <f>cubic_spline(CURVA!$B$6:$B$20,CURVA!$G$6:$G$20,#REF!)</f>
        <v>#VALUE!</v>
      </c>
    </row>
    <row r="8811" spans="1:5" x14ac:dyDescent="0.2">
      <c r="A8811" s="28">
        <v>8810</v>
      </c>
      <c r="B8811" s="28" t="e">
        <f>interpola(#REF!,CURVA!$B$6:$B$20,CURVA!$G$6:$G$20)</f>
        <v>#VALUE!</v>
      </c>
      <c r="C8811" s="29" t="e">
        <f t="shared" si="137"/>
        <v>#VALUE!</v>
      </c>
      <c r="E8811" t="e">
        <f>cubic_spline(CURVA!$B$6:$B$20,CURVA!$G$6:$G$20,#REF!)</f>
        <v>#VALUE!</v>
      </c>
    </row>
    <row r="8812" spans="1:5" x14ac:dyDescent="0.2">
      <c r="A8812" s="28">
        <v>8811</v>
      </c>
      <c r="B8812" s="28" t="e">
        <f>interpola(#REF!,CURVA!$B$6:$B$20,CURVA!$G$6:$G$20)</f>
        <v>#VALUE!</v>
      </c>
      <c r="C8812" s="29" t="e">
        <f t="shared" si="137"/>
        <v>#VALUE!</v>
      </c>
      <c r="E8812" t="e">
        <f>cubic_spline(CURVA!$B$6:$B$20,CURVA!$G$6:$G$20,#REF!)</f>
        <v>#VALUE!</v>
      </c>
    </row>
    <row r="8813" spans="1:5" x14ac:dyDescent="0.2">
      <c r="A8813" s="28">
        <v>8812</v>
      </c>
      <c r="B8813" s="28" t="e">
        <f>interpola(#REF!,CURVA!$B$6:$B$20,CURVA!$G$6:$G$20)</f>
        <v>#VALUE!</v>
      </c>
      <c r="C8813" s="29" t="e">
        <f t="shared" si="137"/>
        <v>#VALUE!</v>
      </c>
      <c r="E8813" t="e">
        <f>cubic_spline(CURVA!$B$6:$B$20,CURVA!$G$6:$G$20,#REF!)</f>
        <v>#VALUE!</v>
      </c>
    </row>
    <row r="8814" spans="1:5" x14ac:dyDescent="0.2">
      <c r="A8814" s="28">
        <v>8813</v>
      </c>
      <c r="B8814" s="28" t="e">
        <f>interpola(#REF!,CURVA!$B$6:$B$20,CURVA!$G$6:$G$20)</f>
        <v>#VALUE!</v>
      </c>
      <c r="C8814" s="29" t="e">
        <f t="shared" si="137"/>
        <v>#VALUE!</v>
      </c>
      <c r="E8814" t="e">
        <f>cubic_spline(CURVA!$B$6:$B$20,CURVA!$G$6:$G$20,#REF!)</f>
        <v>#VALUE!</v>
      </c>
    </row>
    <row r="8815" spans="1:5" x14ac:dyDescent="0.2">
      <c r="A8815" s="28">
        <v>8814</v>
      </c>
      <c r="B8815" s="28" t="e">
        <f>interpola(#REF!,CURVA!$B$6:$B$20,CURVA!$G$6:$G$20)</f>
        <v>#VALUE!</v>
      </c>
      <c r="C8815" s="29" t="e">
        <f t="shared" si="137"/>
        <v>#VALUE!</v>
      </c>
      <c r="E8815" t="e">
        <f>cubic_spline(CURVA!$B$6:$B$20,CURVA!$G$6:$G$20,#REF!)</f>
        <v>#VALUE!</v>
      </c>
    </row>
    <row r="8816" spans="1:5" x14ac:dyDescent="0.2">
      <c r="A8816" s="28">
        <v>8815</v>
      </c>
      <c r="B8816" s="28" t="e">
        <f>interpola(#REF!,CURVA!$B$6:$B$20,CURVA!$G$6:$G$20)</f>
        <v>#VALUE!</v>
      </c>
      <c r="C8816" s="29" t="e">
        <f t="shared" si="137"/>
        <v>#VALUE!</v>
      </c>
      <c r="E8816" t="e">
        <f>cubic_spline(CURVA!$B$6:$B$20,CURVA!$G$6:$G$20,#REF!)</f>
        <v>#VALUE!</v>
      </c>
    </row>
    <row r="8817" spans="1:5" x14ac:dyDescent="0.2">
      <c r="A8817" s="28">
        <v>8816</v>
      </c>
      <c r="B8817" s="28" t="e">
        <f>interpola(#REF!,CURVA!$B$6:$B$20,CURVA!$G$6:$G$20)</f>
        <v>#VALUE!</v>
      </c>
      <c r="C8817" s="29" t="e">
        <f t="shared" si="137"/>
        <v>#VALUE!</v>
      </c>
      <c r="E8817" t="e">
        <f>cubic_spline(CURVA!$B$6:$B$20,CURVA!$G$6:$G$20,#REF!)</f>
        <v>#VALUE!</v>
      </c>
    </row>
    <row r="8818" spans="1:5" x14ac:dyDescent="0.2">
      <c r="A8818" s="28">
        <v>8817</v>
      </c>
      <c r="B8818" s="28" t="e">
        <f>interpola(#REF!,CURVA!$B$6:$B$20,CURVA!$G$6:$G$20)</f>
        <v>#VALUE!</v>
      </c>
      <c r="C8818" s="29" t="e">
        <f t="shared" si="137"/>
        <v>#VALUE!</v>
      </c>
      <c r="E8818" t="e">
        <f>cubic_spline(CURVA!$B$6:$B$20,CURVA!$G$6:$G$20,#REF!)</f>
        <v>#VALUE!</v>
      </c>
    </row>
    <row r="8819" spans="1:5" x14ac:dyDescent="0.2">
      <c r="A8819" s="28">
        <v>8818</v>
      </c>
      <c r="B8819" s="28" t="e">
        <f>interpola(#REF!,CURVA!$B$6:$B$20,CURVA!$G$6:$G$20)</f>
        <v>#VALUE!</v>
      </c>
      <c r="C8819" s="29" t="e">
        <f t="shared" si="137"/>
        <v>#VALUE!</v>
      </c>
      <c r="E8819" t="e">
        <f>cubic_spline(CURVA!$B$6:$B$20,CURVA!$G$6:$G$20,#REF!)</f>
        <v>#VALUE!</v>
      </c>
    </row>
    <row r="8820" spans="1:5" x14ac:dyDescent="0.2">
      <c r="A8820" s="28">
        <v>8819</v>
      </c>
      <c r="B8820" s="28" t="e">
        <f>interpola(#REF!,CURVA!$B$6:$B$20,CURVA!$G$6:$G$20)</f>
        <v>#VALUE!</v>
      </c>
      <c r="C8820" s="29" t="e">
        <f t="shared" si="137"/>
        <v>#VALUE!</v>
      </c>
      <c r="E8820" t="e">
        <f>cubic_spline(CURVA!$B$6:$B$20,CURVA!$G$6:$G$20,#REF!)</f>
        <v>#VALUE!</v>
      </c>
    </row>
    <row r="8821" spans="1:5" x14ac:dyDescent="0.2">
      <c r="A8821" s="28">
        <v>8820</v>
      </c>
      <c r="B8821" s="28" t="e">
        <f>interpola(#REF!,CURVA!$B$6:$B$20,CURVA!$G$6:$G$20)</f>
        <v>#VALUE!</v>
      </c>
      <c r="C8821" s="29" t="e">
        <f t="shared" si="137"/>
        <v>#VALUE!</v>
      </c>
      <c r="E8821" t="e">
        <f>cubic_spline(CURVA!$B$6:$B$20,CURVA!$G$6:$G$20,#REF!)</f>
        <v>#VALUE!</v>
      </c>
    </row>
    <row r="8822" spans="1:5" x14ac:dyDescent="0.2">
      <c r="A8822" s="28">
        <v>8821</v>
      </c>
      <c r="B8822" s="28" t="e">
        <f>interpola(#REF!,CURVA!$B$6:$B$20,CURVA!$G$6:$G$20)</f>
        <v>#VALUE!</v>
      </c>
      <c r="C8822" s="29" t="e">
        <f t="shared" si="137"/>
        <v>#VALUE!</v>
      </c>
      <c r="E8822" t="e">
        <f>cubic_spline(CURVA!$B$6:$B$20,CURVA!$G$6:$G$20,#REF!)</f>
        <v>#VALUE!</v>
      </c>
    </row>
    <row r="8823" spans="1:5" x14ac:dyDescent="0.2">
      <c r="A8823" s="28">
        <v>8822</v>
      </c>
      <c r="B8823" s="28" t="e">
        <f>interpola(#REF!,CURVA!$B$6:$B$20,CURVA!$G$6:$G$20)</f>
        <v>#VALUE!</v>
      </c>
      <c r="C8823" s="29" t="e">
        <f t="shared" si="137"/>
        <v>#VALUE!</v>
      </c>
      <c r="E8823" t="e">
        <f>cubic_spline(CURVA!$B$6:$B$20,CURVA!$G$6:$G$20,#REF!)</f>
        <v>#VALUE!</v>
      </c>
    </row>
    <row r="8824" spans="1:5" x14ac:dyDescent="0.2">
      <c r="A8824" s="28">
        <v>8823</v>
      </c>
      <c r="B8824" s="28" t="e">
        <f>interpola(#REF!,CURVA!$B$6:$B$20,CURVA!$G$6:$G$20)</f>
        <v>#VALUE!</v>
      </c>
      <c r="C8824" s="29" t="e">
        <f t="shared" si="137"/>
        <v>#VALUE!</v>
      </c>
      <c r="E8824" t="e">
        <f>cubic_spline(CURVA!$B$6:$B$20,CURVA!$G$6:$G$20,#REF!)</f>
        <v>#VALUE!</v>
      </c>
    </row>
    <row r="8825" spans="1:5" x14ac:dyDescent="0.2">
      <c r="A8825" s="28">
        <v>8824</v>
      </c>
      <c r="B8825" s="28" t="e">
        <f>interpola(#REF!,CURVA!$B$6:$B$20,CURVA!$G$6:$G$20)</f>
        <v>#VALUE!</v>
      </c>
      <c r="C8825" s="29" t="e">
        <f t="shared" si="137"/>
        <v>#VALUE!</v>
      </c>
      <c r="E8825" t="e">
        <f>cubic_spline(CURVA!$B$6:$B$20,CURVA!$G$6:$G$20,#REF!)</f>
        <v>#VALUE!</v>
      </c>
    </row>
    <row r="8826" spans="1:5" x14ac:dyDescent="0.2">
      <c r="A8826" s="28">
        <v>8825</v>
      </c>
      <c r="B8826" s="28" t="e">
        <f>interpola(#REF!,CURVA!$B$6:$B$20,CURVA!$G$6:$G$20)</f>
        <v>#VALUE!</v>
      </c>
      <c r="C8826" s="29" t="e">
        <f t="shared" si="137"/>
        <v>#VALUE!</v>
      </c>
      <c r="E8826" t="e">
        <f>cubic_spline(CURVA!$B$6:$B$20,CURVA!$G$6:$G$20,#REF!)</f>
        <v>#VALUE!</v>
      </c>
    </row>
    <row r="8827" spans="1:5" x14ac:dyDescent="0.2">
      <c r="A8827" s="28">
        <v>8826</v>
      </c>
      <c r="B8827" s="28" t="e">
        <f>interpola(#REF!,CURVA!$B$6:$B$20,CURVA!$G$6:$G$20)</f>
        <v>#VALUE!</v>
      </c>
      <c r="C8827" s="29" t="e">
        <f t="shared" si="137"/>
        <v>#VALUE!</v>
      </c>
      <c r="E8827" t="e">
        <f>cubic_spline(CURVA!$B$6:$B$20,CURVA!$G$6:$G$20,#REF!)</f>
        <v>#VALUE!</v>
      </c>
    </row>
    <row r="8828" spans="1:5" x14ac:dyDescent="0.2">
      <c r="A8828" s="28">
        <v>8827</v>
      </c>
      <c r="B8828" s="28" t="e">
        <f>interpola(#REF!,CURVA!$B$6:$B$20,CURVA!$G$6:$G$20)</f>
        <v>#VALUE!</v>
      </c>
      <c r="C8828" s="29" t="e">
        <f t="shared" si="137"/>
        <v>#VALUE!</v>
      </c>
      <c r="E8828" t="e">
        <f>cubic_spline(CURVA!$B$6:$B$20,CURVA!$G$6:$G$20,#REF!)</f>
        <v>#VALUE!</v>
      </c>
    </row>
    <row r="8829" spans="1:5" x14ac:dyDescent="0.2">
      <c r="A8829" s="28">
        <v>8828</v>
      </c>
      <c r="B8829" s="28" t="e">
        <f>interpola(#REF!,CURVA!$B$6:$B$20,CURVA!$G$6:$G$20)</f>
        <v>#VALUE!</v>
      </c>
      <c r="C8829" s="29" t="e">
        <f t="shared" si="137"/>
        <v>#VALUE!</v>
      </c>
      <c r="E8829" t="e">
        <f>cubic_spline(CURVA!$B$6:$B$20,CURVA!$G$6:$G$20,#REF!)</f>
        <v>#VALUE!</v>
      </c>
    </row>
    <row r="8830" spans="1:5" x14ac:dyDescent="0.2">
      <c r="A8830" s="28">
        <v>8829</v>
      </c>
      <c r="B8830" s="28" t="e">
        <f>interpola(#REF!,CURVA!$B$6:$B$20,CURVA!$G$6:$G$20)</f>
        <v>#VALUE!</v>
      </c>
      <c r="C8830" s="29" t="e">
        <f t="shared" si="137"/>
        <v>#VALUE!</v>
      </c>
      <c r="E8830" t="e">
        <f>cubic_spline(CURVA!$B$6:$B$20,CURVA!$G$6:$G$20,#REF!)</f>
        <v>#VALUE!</v>
      </c>
    </row>
    <row r="8831" spans="1:5" x14ac:dyDescent="0.2">
      <c r="A8831" s="28">
        <v>8830</v>
      </c>
      <c r="B8831" s="28" t="e">
        <f>interpola(#REF!,CURVA!$B$6:$B$20,CURVA!$G$6:$G$20)</f>
        <v>#VALUE!</v>
      </c>
      <c r="C8831" s="29" t="e">
        <f t="shared" si="137"/>
        <v>#VALUE!</v>
      </c>
      <c r="E8831" t="e">
        <f>cubic_spline(CURVA!$B$6:$B$20,CURVA!$G$6:$G$20,#REF!)</f>
        <v>#VALUE!</v>
      </c>
    </row>
    <row r="8832" spans="1:5" x14ac:dyDescent="0.2">
      <c r="A8832" s="28">
        <v>8831</v>
      </c>
      <c r="B8832" s="28" t="e">
        <f>interpola(#REF!,CURVA!$B$6:$B$20,CURVA!$G$6:$G$20)</f>
        <v>#VALUE!</v>
      </c>
      <c r="C8832" s="29" t="e">
        <f t="shared" si="137"/>
        <v>#VALUE!</v>
      </c>
      <c r="E8832" t="e">
        <f>cubic_spline(CURVA!$B$6:$B$20,CURVA!$G$6:$G$20,#REF!)</f>
        <v>#VALUE!</v>
      </c>
    </row>
    <row r="8833" spans="1:5" x14ac:dyDescent="0.2">
      <c r="A8833" s="28">
        <v>8832</v>
      </c>
      <c r="B8833" s="28" t="e">
        <f>interpola(#REF!,CURVA!$B$6:$B$20,CURVA!$G$6:$G$20)</f>
        <v>#VALUE!</v>
      </c>
      <c r="C8833" s="29" t="e">
        <f t="shared" si="137"/>
        <v>#VALUE!</v>
      </c>
      <c r="E8833" t="e">
        <f>cubic_spline(CURVA!$B$6:$B$20,CURVA!$G$6:$G$20,#REF!)</f>
        <v>#VALUE!</v>
      </c>
    </row>
    <row r="8834" spans="1:5" x14ac:dyDescent="0.2">
      <c r="A8834" s="28">
        <v>8833</v>
      </c>
      <c r="B8834" s="28" t="e">
        <f>interpola(#REF!,CURVA!$B$6:$B$20,CURVA!$G$6:$G$20)</f>
        <v>#VALUE!</v>
      </c>
      <c r="C8834" s="29" t="e">
        <f t="shared" ref="C8834:C8897" si="138">(EXP(B8834*A8834/360)-1)*360/A8834</f>
        <v>#VALUE!</v>
      </c>
      <c r="E8834" t="e">
        <f>cubic_spline(CURVA!$B$6:$B$20,CURVA!$G$6:$G$20,#REF!)</f>
        <v>#VALUE!</v>
      </c>
    </row>
    <row r="8835" spans="1:5" x14ac:dyDescent="0.2">
      <c r="A8835" s="28">
        <v>8834</v>
      </c>
      <c r="B8835" s="28" t="e">
        <f>interpola(#REF!,CURVA!$B$6:$B$20,CURVA!$G$6:$G$20)</f>
        <v>#VALUE!</v>
      </c>
      <c r="C8835" s="29" t="e">
        <f t="shared" si="138"/>
        <v>#VALUE!</v>
      </c>
      <c r="E8835" t="e">
        <f>cubic_spline(CURVA!$B$6:$B$20,CURVA!$G$6:$G$20,#REF!)</f>
        <v>#VALUE!</v>
      </c>
    </row>
    <row r="8836" spans="1:5" x14ac:dyDescent="0.2">
      <c r="A8836" s="28">
        <v>8835</v>
      </c>
      <c r="B8836" s="28" t="e">
        <f>interpola(#REF!,CURVA!$B$6:$B$20,CURVA!$G$6:$G$20)</f>
        <v>#VALUE!</v>
      </c>
      <c r="C8836" s="29" t="e">
        <f t="shared" si="138"/>
        <v>#VALUE!</v>
      </c>
      <c r="E8836" t="e">
        <f>cubic_spline(CURVA!$B$6:$B$20,CURVA!$G$6:$G$20,#REF!)</f>
        <v>#VALUE!</v>
      </c>
    </row>
    <row r="8837" spans="1:5" x14ac:dyDescent="0.2">
      <c r="A8837" s="28">
        <v>8836</v>
      </c>
      <c r="B8837" s="28" t="e">
        <f>interpola(#REF!,CURVA!$B$6:$B$20,CURVA!$G$6:$G$20)</f>
        <v>#VALUE!</v>
      </c>
      <c r="C8837" s="29" t="e">
        <f t="shared" si="138"/>
        <v>#VALUE!</v>
      </c>
      <c r="E8837" t="e">
        <f>cubic_spline(CURVA!$B$6:$B$20,CURVA!$G$6:$G$20,#REF!)</f>
        <v>#VALUE!</v>
      </c>
    </row>
    <row r="8838" spans="1:5" x14ac:dyDescent="0.2">
      <c r="A8838" s="28">
        <v>8837</v>
      </c>
      <c r="B8838" s="28" t="e">
        <f>interpola(#REF!,CURVA!$B$6:$B$20,CURVA!$G$6:$G$20)</f>
        <v>#VALUE!</v>
      </c>
      <c r="C8838" s="29" t="e">
        <f t="shared" si="138"/>
        <v>#VALUE!</v>
      </c>
      <c r="E8838" t="e">
        <f>cubic_spline(CURVA!$B$6:$B$20,CURVA!$G$6:$G$20,#REF!)</f>
        <v>#VALUE!</v>
      </c>
    </row>
    <row r="8839" spans="1:5" x14ac:dyDescent="0.2">
      <c r="A8839" s="28">
        <v>8838</v>
      </c>
      <c r="B8839" s="28" t="e">
        <f>interpola(#REF!,CURVA!$B$6:$B$20,CURVA!$G$6:$G$20)</f>
        <v>#VALUE!</v>
      </c>
      <c r="C8839" s="29" t="e">
        <f t="shared" si="138"/>
        <v>#VALUE!</v>
      </c>
      <c r="E8839" t="e">
        <f>cubic_spline(CURVA!$B$6:$B$20,CURVA!$G$6:$G$20,#REF!)</f>
        <v>#VALUE!</v>
      </c>
    </row>
    <row r="8840" spans="1:5" x14ac:dyDescent="0.2">
      <c r="A8840" s="28">
        <v>8839</v>
      </c>
      <c r="B8840" s="28" t="e">
        <f>interpola(#REF!,CURVA!$B$6:$B$20,CURVA!$G$6:$G$20)</f>
        <v>#VALUE!</v>
      </c>
      <c r="C8840" s="29" t="e">
        <f t="shared" si="138"/>
        <v>#VALUE!</v>
      </c>
      <c r="E8840" t="e">
        <f>cubic_spline(CURVA!$B$6:$B$20,CURVA!$G$6:$G$20,#REF!)</f>
        <v>#VALUE!</v>
      </c>
    </row>
    <row r="8841" spans="1:5" x14ac:dyDescent="0.2">
      <c r="A8841" s="28">
        <v>8840</v>
      </c>
      <c r="B8841" s="28" t="e">
        <f>interpola(#REF!,CURVA!$B$6:$B$20,CURVA!$G$6:$G$20)</f>
        <v>#VALUE!</v>
      </c>
      <c r="C8841" s="29" t="e">
        <f t="shared" si="138"/>
        <v>#VALUE!</v>
      </c>
      <c r="E8841" t="e">
        <f>cubic_spline(CURVA!$B$6:$B$20,CURVA!$G$6:$G$20,#REF!)</f>
        <v>#VALUE!</v>
      </c>
    </row>
    <row r="8842" spans="1:5" x14ac:dyDescent="0.2">
      <c r="A8842" s="28">
        <v>8841</v>
      </c>
      <c r="B8842" s="28" t="e">
        <f>interpola(#REF!,CURVA!$B$6:$B$20,CURVA!$G$6:$G$20)</f>
        <v>#VALUE!</v>
      </c>
      <c r="C8842" s="29" t="e">
        <f t="shared" si="138"/>
        <v>#VALUE!</v>
      </c>
      <c r="E8842" t="e">
        <f>cubic_spline(CURVA!$B$6:$B$20,CURVA!$G$6:$G$20,#REF!)</f>
        <v>#VALUE!</v>
      </c>
    </row>
    <row r="8843" spans="1:5" x14ac:dyDescent="0.2">
      <c r="A8843" s="28">
        <v>8842</v>
      </c>
      <c r="B8843" s="28" t="e">
        <f>interpola(#REF!,CURVA!$B$6:$B$20,CURVA!$G$6:$G$20)</f>
        <v>#VALUE!</v>
      </c>
      <c r="C8843" s="29" t="e">
        <f t="shared" si="138"/>
        <v>#VALUE!</v>
      </c>
      <c r="E8843" t="e">
        <f>cubic_spline(CURVA!$B$6:$B$20,CURVA!$G$6:$G$20,#REF!)</f>
        <v>#VALUE!</v>
      </c>
    </row>
    <row r="8844" spans="1:5" x14ac:dyDescent="0.2">
      <c r="A8844" s="28">
        <v>8843</v>
      </c>
      <c r="B8844" s="28" t="e">
        <f>interpola(#REF!,CURVA!$B$6:$B$20,CURVA!$G$6:$G$20)</f>
        <v>#VALUE!</v>
      </c>
      <c r="C8844" s="29" t="e">
        <f t="shared" si="138"/>
        <v>#VALUE!</v>
      </c>
      <c r="E8844" t="e">
        <f>cubic_spline(CURVA!$B$6:$B$20,CURVA!$G$6:$G$20,#REF!)</f>
        <v>#VALUE!</v>
      </c>
    </row>
    <row r="8845" spans="1:5" x14ac:dyDescent="0.2">
      <c r="A8845" s="28">
        <v>8844</v>
      </c>
      <c r="B8845" s="28" t="e">
        <f>interpola(#REF!,CURVA!$B$6:$B$20,CURVA!$G$6:$G$20)</f>
        <v>#VALUE!</v>
      </c>
      <c r="C8845" s="29" t="e">
        <f t="shared" si="138"/>
        <v>#VALUE!</v>
      </c>
      <c r="E8845" t="e">
        <f>cubic_spline(CURVA!$B$6:$B$20,CURVA!$G$6:$G$20,#REF!)</f>
        <v>#VALUE!</v>
      </c>
    </row>
    <row r="8846" spans="1:5" x14ac:dyDescent="0.2">
      <c r="A8846" s="28">
        <v>8845</v>
      </c>
      <c r="B8846" s="28" t="e">
        <f>interpola(#REF!,CURVA!$B$6:$B$20,CURVA!$G$6:$G$20)</f>
        <v>#VALUE!</v>
      </c>
      <c r="C8846" s="29" t="e">
        <f t="shared" si="138"/>
        <v>#VALUE!</v>
      </c>
      <c r="E8846" t="e">
        <f>cubic_spline(CURVA!$B$6:$B$20,CURVA!$G$6:$G$20,#REF!)</f>
        <v>#VALUE!</v>
      </c>
    </row>
    <row r="8847" spans="1:5" x14ac:dyDescent="0.2">
      <c r="A8847" s="28">
        <v>8846</v>
      </c>
      <c r="B8847" s="28" t="e">
        <f>interpola(#REF!,CURVA!$B$6:$B$20,CURVA!$G$6:$G$20)</f>
        <v>#VALUE!</v>
      </c>
      <c r="C8847" s="29" t="e">
        <f t="shared" si="138"/>
        <v>#VALUE!</v>
      </c>
      <c r="E8847" t="e">
        <f>cubic_spline(CURVA!$B$6:$B$20,CURVA!$G$6:$G$20,#REF!)</f>
        <v>#VALUE!</v>
      </c>
    </row>
    <row r="8848" spans="1:5" x14ac:dyDescent="0.2">
      <c r="A8848" s="28">
        <v>8847</v>
      </c>
      <c r="B8848" s="28" t="e">
        <f>interpola(#REF!,CURVA!$B$6:$B$20,CURVA!$G$6:$G$20)</f>
        <v>#VALUE!</v>
      </c>
      <c r="C8848" s="29" t="e">
        <f t="shared" si="138"/>
        <v>#VALUE!</v>
      </c>
      <c r="E8848" t="e">
        <f>cubic_spline(CURVA!$B$6:$B$20,CURVA!$G$6:$G$20,#REF!)</f>
        <v>#VALUE!</v>
      </c>
    </row>
    <row r="8849" spans="1:5" x14ac:dyDescent="0.2">
      <c r="A8849" s="28">
        <v>8848</v>
      </c>
      <c r="B8849" s="28" t="e">
        <f>interpola(#REF!,CURVA!$B$6:$B$20,CURVA!$G$6:$G$20)</f>
        <v>#VALUE!</v>
      </c>
      <c r="C8849" s="29" t="e">
        <f t="shared" si="138"/>
        <v>#VALUE!</v>
      </c>
      <c r="E8849" t="e">
        <f>cubic_spline(CURVA!$B$6:$B$20,CURVA!$G$6:$G$20,#REF!)</f>
        <v>#VALUE!</v>
      </c>
    </row>
    <row r="8850" spans="1:5" x14ac:dyDescent="0.2">
      <c r="A8850" s="28">
        <v>8849</v>
      </c>
      <c r="B8850" s="28" t="e">
        <f>interpola(#REF!,CURVA!$B$6:$B$20,CURVA!$G$6:$G$20)</f>
        <v>#VALUE!</v>
      </c>
      <c r="C8850" s="29" t="e">
        <f t="shared" si="138"/>
        <v>#VALUE!</v>
      </c>
      <c r="E8850" t="e">
        <f>cubic_spline(CURVA!$B$6:$B$20,CURVA!$G$6:$G$20,#REF!)</f>
        <v>#VALUE!</v>
      </c>
    </row>
    <row r="8851" spans="1:5" x14ac:dyDescent="0.2">
      <c r="A8851" s="28">
        <v>8850</v>
      </c>
      <c r="B8851" s="28" t="e">
        <f>interpola(#REF!,CURVA!$B$6:$B$20,CURVA!$G$6:$G$20)</f>
        <v>#VALUE!</v>
      </c>
      <c r="C8851" s="29" t="e">
        <f t="shared" si="138"/>
        <v>#VALUE!</v>
      </c>
      <c r="E8851" t="e">
        <f>cubic_spline(CURVA!$B$6:$B$20,CURVA!$G$6:$G$20,#REF!)</f>
        <v>#VALUE!</v>
      </c>
    </row>
    <row r="8852" spans="1:5" x14ac:dyDescent="0.2">
      <c r="A8852" s="28">
        <v>8851</v>
      </c>
      <c r="B8852" s="28" t="e">
        <f>interpola(#REF!,CURVA!$B$6:$B$20,CURVA!$G$6:$G$20)</f>
        <v>#VALUE!</v>
      </c>
      <c r="C8852" s="29" t="e">
        <f t="shared" si="138"/>
        <v>#VALUE!</v>
      </c>
      <c r="E8852" t="e">
        <f>cubic_spline(CURVA!$B$6:$B$20,CURVA!$G$6:$G$20,#REF!)</f>
        <v>#VALUE!</v>
      </c>
    </row>
    <row r="8853" spans="1:5" x14ac:dyDescent="0.2">
      <c r="A8853" s="28">
        <v>8852</v>
      </c>
      <c r="B8853" s="28" t="e">
        <f>interpola(#REF!,CURVA!$B$6:$B$20,CURVA!$G$6:$G$20)</f>
        <v>#VALUE!</v>
      </c>
      <c r="C8853" s="29" t="e">
        <f t="shared" si="138"/>
        <v>#VALUE!</v>
      </c>
      <c r="E8853" t="e">
        <f>cubic_spline(CURVA!$B$6:$B$20,CURVA!$G$6:$G$20,#REF!)</f>
        <v>#VALUE!</v>
      </c>
    </row>
    <row r="8854" spans="1:5" x14ac:dyDescent="0.2">
      <c r="A8854" s="28">
        <v>8853</v>
      </c>
      <c r="B8854" s="28" t="e">
        <f>interpola(#REF!,CURVA!$B$6:$B$20,CURVA!$G$6:$G$20)</f>
        <v>#VALUE!</v>
      </c>
      <c r="C8854" s="29" t="e">
        <f t="shared" si="138"/>
        <v>#VALUE!</v>
      </c>
      <c r="E8854" t="e">
        <f>cubic_spline(CURVA!$B$6:$B$20,CURVA!$G$6:$G$20,#REF!)</f>
        <v>#VALUE!</v>
      </c>
    </row>
    <row r="8855" spans="1:5" x14ac:dyDescent="0.2">
      <c r="A8855" s="28">
        <v>8854</v>
      </c>
      <c r="B8855" s="28" t="e">
        <f>interpola(#REF!,CURVA!$B$6:$B$20,CURVA!$G$6:$G$20)</f>
        <v>#VALUE!</v>
      </c>
      <c r="C8855" s="29" t="e">
        <f t="shared" si="138"/>
        <v>#VALUE!</v>
      </c>
      <c r="E8855" t="e">
        <f>cubic_spline(CURVA!$B$6:$B$20,CURVA!$G$6:$G$20,#REF!)</f>
        <v>#VALUE!</v>
      </c>
    </row>
    <row r="8856" spans="1:5" x14ac:dyDescent="0.2">
      <c r="A8856" s="28">
        <v>8855</v>
      </c>
      <c r="B8856" s="28" t="e">
        <f>interpola(#REF!,CURVA!$B$6:$B$20,CURVA!$G$6:$G$20)</f>
        <v>#VALUE!</v>
      </c>
      <c r="C8856" s="29" t="e">
        <f t="shared" si="138"/>
        <v>#VALUE!</v>
      </c>
      <c r="E8856" t="e">
        <f>cubic_spline(CURVA!$B$6:$B$20,CURVA!$G$6:$G$20,#REF!)</f>
        <v>#VALUE!</v>
      </c>
    </row>
    <row r="8857" spans="1:5" x14ac:dyDescent="0.2">
      <c r="A8857" s="28">
        <v>8856</v>
      </c>
      <c r="B8857" s="28" t="e">
        <f>interpola(#REF!,CURVA!$B$6:$B$20,CURVA!$G$6:$G$20)</f>
        <v>#VALUE!</v>
      </c>
      <c r="C8857" s="29" t="e">
        <f t="shared" si="138"/>
        <v>#VALUE!</v>
      </c>
      <c r="E8857" t="e">
        <f>cubic_spline(CURVA!$B$6:$B$20,CURVA!$G$6:$G$20,#REF!)</f>
        <v>#VALUE!</v>
      </c>
    </row>
    <row r="8858" spans="1:5" x14ac:dyDescent="0.2">
      <c r="A8858" s="28">
        <v>8857</v>
      </c>
      <c r="B8858" s="28" t="e">
        <f>interpola(#REF!,CURVA!$B$6:$B$20,CURVA!$G$6:$G$20)</f>
        <v>#VALUE!</v>
      </c>
      <c r="C8858" s="29" t="e">
        <f t="shared" si="138"/>
        <v>#VALUE!</v>
      </c>
      <c r="E8858" t="e">
        <f>cubic_spline(CURVA!$B$6:$B$20,CURVA!$G$6:$G$20,#REF!)</f>
        <v>#VALUE!</v>
      </c>
    </row>
    <row r="8859" spans="1:5" x14ac:dyDescent="0.2">
      <c r="A8859" s="28">
        <v>8858</v>
      </c>
      <c r="B8859" s="28" t="e">
        <f>interpola(#REF!,CURVA!$B$6:$B$20,CURVA!$G$6:$G$20)</f>
        <v>#VALUE!</v>
      </c>
      <c r="C8859" s="29" t="e">
        <f t="shared" si="138"/>
        <v>#VALUE!</v>
      </c>
      <c r="E8859" t="e">
        <f>cubic_spline(CURVA!$B$6:$B$20,CURVA!$G$6:$G$20,#REF!)</f>
        <v>#VALUE!</v>
      </c>
    </row>
    <row r="8860" spans="1:5" x14ac:dyDescent="0.2">
      <c r="A8860" s="28">
        <v>8859</v>
      </c>
      <c r="B8860" s="28" t="e">
        <f>interpola(#REF!,CURVA!$B$6:$B$20,CURVA!$G$6:$G$20)</f>
        <v>#VALUE!</v>
      </c>
      <c r="C8860" s="29" t="e">
        <f t="shared" si="138"/>
        <v>#VALUE!</v>
      </c>
      <c r="E8860" t="e">
        <f>cubic_spline(CURVA!$B$6:$B$20,CURVA!$G$6:$G$20,#REF!)</f>
        <v>#VALUE!</v>
      </c>
    </row>
    <row r="8861" spans="1:5" x14ac:dyDescent="0.2">
      <c r="A8861" s="28">
        <v>8860</v>
      </c>
      <c r="B8861" s="28" t="e">
        <f>interpola(#REF!,CURVA!$B$6:$B$20,CURVA!$G$6:$G$20)</f>
        <v>#VALUE!</v>
      </c>
      <c r="C8861" s="29" t="e">
        <f t="shared" si="138"/>
        <v>#VALUE!</v>
      </c>
      <c r="E8861" t="e">
        <f>cubic_spline(CURVA!$B$6:$B$20,CURVA!$G$6:$G$20,#REF!)</f>
        <v>#VALUE!</v>
      </c>
    </row>
    <row r="8862" spans="1:5" x14ac:dyDescent="0.2">
      <c r="A8862" s="28">
        <v>8861</v>
      </c>
      <c r="B8862" s="28" t="e">
        <f>interpola(#REF!,CURVA!$B$6:$B$20,CURVA!$G$6:$G$20)</f>
        <v>#VALUE!</v>
      </c>
      <c r="C8862" s="29" t="e">
        <f t="shared" si="138"/>
        <v>#VALUE!</v>
      </c>
      <c r="E8862" t="e">
        <f>cubic_spline(CURVA!$B$6:$B$20,CURVA!$G$6:$G$20,#REF!)</f>
        <v>#VALUE!</v>
      </c>
    </row>
    <row r="8863" spans="1:5" x14ac:dyDescent="0.2">
      <c r="A8863" s="28">
        <v>8862</v>
      </c>
      <c r="B8863" s="28" t="e">
        <f>interpola(#REF!,CURVA!$B$6:$B$20,CURVA!$G$6:$G$20)</f>
        <v>#VALUE!</v>
      </c>
      <c r="C8863" s="29" t="e">
        <f t="shared" si="138"/>
        <v>#VALUE!</v>
      </c>
      <c r="E8863" t="e">
        <f>cubic_spline(CURVA!$B$6:$B$20,CURVA!$G$6:$G$20,#REF!)</f>
        <v>#VALUE!</v>
      </c>
    </row>
    <row r="8864" spans="1:5" x14ac:dyDescent="0.2">
      <c r="A8864" s="28">
        <v>8863</v>
      </c>
      <c r="B8864" s="28" t="e">
        <f>interpola(#REF!,CURVA!$B$6:$B$20,CURVA!$G$6:$G$20)</f>
        <v>#VALUE!</v>
      </c>
      <c r="C8864" s="29" t="e">
        <f t="shared" si="138"/>
        <v>#VALUE!</v>
      </c>
      <c r="E8864" t="e">
        <f>cubic_spline(CURVA!$B$6:$B$20,CURVA!$G$6:$G$20,#REF!)</f>
        <v>#VALUE!</v>
      </c>
    </row>
    <row r="8865" spans="1:5" x14ac:dyDescent="0.2">
      <c r="A8865" s="28">
        <v>8864</v>
      </c>
      <c r="B8865" s="28" t="e">
        <f>interpola(#REF!,CURVA!$B$6:$B$20,CURVA!$G$6:$G$20)</f>
        <v>#VALUE!</v>
      </c>
      <c r="C8865" s="29" t="e">
        <f t="shared" si="138"/>
        <v>#VALUE!</v>
      </c>
      <c r="E8865" t="e">
        <f>cubic_spline(CURVA!$B$6:$B$20,CURVA!$G$6:$G$20,#REF!)</f>
        <v>#VALUE!</v>
      </c>
    </row>
    <row r="8866" spans="1:5" x14ac:dyDescent="0.2">
      <c r="A8866" s="28">
        <v>8865</v>
      </c>
      <c r="B8866" s="28" t="e">
        <f>interpola(#REF!,CURVA!$B$6:$B$20,CURVA!$G$6:$G$20)</f>
        <v>#VALUE!</v>
      </c>
      <c r="C8866" s="29" t="e">
        <f t="shared" si="138"/>
        <v>#VALUE!</v>
      </c>
      <c r="E8866" t="e">
        <f>cubic_spline(CURVA!$B$6:$B$20,CURVA!$G$6:$G$20,#REF!)</f>
        <v>#VALUE!</v>
      </c>
    </row>
    <row r="8867" spans="1:5" x14ac:dyDescent="0.2">
      <c r="A8867" s="28">
        <v>8866</v>
      </c>
      <c r="B8867" s="28" t="e">
        <f>interpola(#REF!,CURVA!$B$6:$B$20,CURVA!$G$6:$G$20)</f>
        <v>#VALUE!</v>
      </c>
      <c r="C8867" s="29" t="e">
        <f t="shared" si="138"/>
        <v>#VALUE!</v>
      </c>
      <c r="E8867" t="e">
        <f>cubic_spline(CURVA!$B$6:$B$20,CURVA!$G$6:$G$20,#REF!)</f>
        <v>#VALUE!</v>
      </c>
    </row>
    <row r="8868" spans="1:5" x14ac:dyDescent="0.2">
      <c r="A8868" s="28">
        <v>8867</v>
      </c>
      <c r="B8868" s="28" t="e">
        <f>interpola(#REF!,CURVA!$B$6:$B$20,CURVA!$G$6:$G$20)</f>
        <v>#VALUE!</v>
      </c>
      <c r="C8868" s="29" t="e">
        <f t="shared" si="138"/>
        <v>#VALUE!</v>
      </c>
      <c r="E8868" t="e">
        <f>cubic_spline(CURVA!$B$6:$B$20,CURVA!$G$6:$G$20,#REF!)</f>
        <v>#VALUE!</v>
      </c>
    </row>
    <row r="8869" spans="1:5" x14ac:dyDescent="0.2">
      <c r="A8869" s="28">
        <v>8868</v>
      </c>
      <c r="B8869" s="28" t="e">
        <f>interpola(#REF!,CURVA!$B$6:$B$20,CURVA!$G$6:$G$20)</f>
        <v>#VALUE!</v>
      </c>
      <c r="C8869" s="29" t="e">
        <f t="shared" si="138"/>
        <v>#VALUE!</v>
      </c>
      <c r="E8869" t="e">
        <f>cubic_spline(CURVA!$B$6:$B$20,CURVA!$G$6:$G$20,#REF!)</f>
        <v>#VALUE!</v>
      </c>
    </row>
    <row r="8870" spans="1:5" x14ac:dyDescent="0.2">
      <c r="A8870" s="28">
        <v>8869</v>
      </c>
      <c r="B8870" s="28" t="e">
        <f>interpola(#REF!,CURVA!$B$6:$B$20,CURVA!$G$6:$G$20)</f>
        <v>#VALUE!</v>
      </c>
      <c r="C8870" s="29" t="e">
        <f t="shared" si="138"/>
        <v>#VALUE!</v>
      </c>
      <c r="E8870" t="e">
        <f>cubic_spline(CURVA!$B$6:$B$20,CURVA!$G$6:$G$20,#REF!)</f>
        <v>#VALUE!</v>
      </c>
    </row>
    <row r="8871" spans="1:5" x14ac:dyDescent="0.2">
      <c r="A8871" s="28">
        <v>8870</v>
      </c>
      <c r="B8871" s="28" t="e">
        <f>interpola(#REF!,CURVA!$B$6:$B$20,CURVA!$G$6:$G$20)</f>
        <v>#VALUE!</v>
      </c>
      <c r="C8871" s="29" t="e">
        <f t="shared" si="138"/>
        <v>#VALUE!</v>
      </c>
      <c r="E8871" t="e">
        <f>cubic_spline(CURVA!$B$6:$B$20,CURVA!$G$6:$G$20,#REF!)</f>
        <v>#VALUE!</v>
      </c>
    </row>
    <row r="8872" spans="1:5" x14ac:dyDescent="0.2">
      <c r="A8872" s="28">
        <v>8871</v>
      </c>
      <c r="B8872" s="28" t="e">
        <f>interpola(#REF!,CURVA!$B$6:$B$20,CURVA!$G$6:$G$20)</f>
        <v>#VALUE!</v>
      </c>
      <c r="C8872" s="29" t="e">
        <f t="shared" si="138"/>
        <v>#VALUE!</v>
      </c>
      <c r="E8872" t="e">
        <f>cubic_spline(CURVA!$B$6:$B$20,CURVA!$G$6:$G$20,#REF!)</f>
        <v>#VALUE!</v>
      </c>
    </row>
    <row r="8873" spans="1:5" x14ac:dyDescent="0.2">
      <c r="A8873" s="28">
        <v>8872</v>
      </c>
      <c r="B8873" s="28" t="e">
        <f>interpola(#REF!,CURVA!$B$6:$B$20,CURVA!$G$6:$G$20)</f>
        <v>#VALUE!</v>
      </c>
      <c r="C8873" s="29" t="e">
        <f t="shared" si="138"/>
        <v>#VALUE!</v>
      </c>
      <c r="E8873" t="e">
        <f>cubic_spline(CURVA!$B$6:$B$20,CURVA!$G$6:$G$20,#REF!)</f>
        <v>#VALUE!</v>
      </c>
    </row>
    <row r="8874" spans="1:5" x14ac:dyDescent="0.2">
      <c r="A8874" s="28">
        <v>8873</v>
      </c>
      <c r="B8874" s="28" t="e">
        <f>interpola(#REF!,CURVA!$B$6:$B$20,CURVA!$G$6:$G$20)</f>
        <v>#VALUE!</v>
      </c>
      <c r="C8874" s="29" t="e">
        <f t="shared" si="138"/>
        <v>#VALUE!</v>
      </c>
      <c r="E8874" t="e">
        <f>cubic_spline(CURVA!$B$6:$B$20,CURVA!$G$6:$G$20,#REF!)</f>
        <v>#VALUE!</v>
      </c>
    </row>
    <row r="8875" spans="1:5" x14ac:dyDescent="0.2">
      <c r="A8875" s="28">
        <v>8874</v>
      </c>
      <c r="B8875" s="28" t="e">
        <f>interpola(#REF!,CURVA!$B$6:$B$20,CURVA!$G$6:$G$20)</f>
        <v>#VALUE!</v>
      </c>
      <c r="C8875" s="29" t="e">
        <f t="shared" si="138"/>
        <v>#VALUE!</v>
      </c>
      <c r="E8875" t="e">
        <f>cubic_spline(CURVA!$B$6:$B$20,CURVA!$G$6:$G$20,#REF!)</f>
        <v>#VALUE!</v>
      </c>
    </row>
    <row r="8876" spans="1:5" x14ac:dyDescent="0.2">
      <c r="A8876" s="28">
        <v>8875</v>
      </c>
      <c r="B8876" s="28" t="e">
        <f>interpola(#REF!,CURVA!$B$6:$B$20,CURVA!$G$6:$G$20)</f>
        <v>#VALUE!</v>
      </c>
      <c r="C8876" s="29" t="e">
        <f t="shared" si="138"/>
        <v>#VALUE!</v>
      </c>
      <c r="E8876" t="e">
        <f>cubic_spline(CURVA!$B$6:$B$20,CURVA!$G$6:$G$20,#REF!)</f>
        <v>#VALUE!</v>
      </c>
    </row>
    <row r="8877" spans="1:5" x14ac:dyDescent="0.2">
      <c r="A8877" s="28">
        <v>8876</v>
      </c>
      <c r="B8877" s="28" t="e">
        <f>interpola(#REF!,CURVA!$B$6:$B$20,CURVA!$G$6:$G$20)</f>
        <v>#VALUE!</v>
      </c>
      <c r="C8877" s="29" t="e">
        <f t="shared" si="138"/>
        <v>#VALUE!</v>
      </c>
      <c r="E8877" t="e">
        <f>cubic_spline(CURVA!$B$6:$B$20,CURVA!$G$6:$G$20,#REF!)</f>
        <v>#VALUE!</v>
      </c>
    </row>
    <row r="8878" spans="1:5" x14ac:dyDescent="0.2">
      <c r="A8878" s="28">
        <v>8877</v>
      </c>
      <c r="B8878" s="28" t="e">
        <f>interpola(#REF!,CURVA!$B$6:$B$20,CURVA!$G$6:$G$20)</f>
        <v>#VALUE!</v>
      </c>
      <c r="C8878" s="29" t="e">
        <f t="shared" si="138"/>
        <v>#VALUE!</v>
      </c>
      <c r="E8878" t="e">
        <f>cubic_spline(CURVA!$B$6:$B$20,CURVA!$G$6:$G$20,#REF!)</f>
        <v>#VALUE!</v>
      </c>
    </row>
    <row r="8879" spans="1:5" x14ac:dyDescent="0.2">
      <c r="A8879" s="28">
        <v>8878</v>
      </c>
      <c r="B8879" s="28" t="e">
        <f>interpola(#REF!,CURVA!$B$6:$B$20,CURVA!$G$6:$G$20)</f>
        <v>#VALUE!</v>
      </c>
      <c r="C8879" s="29" t="e">
        <f t="shared" si="138"/>
        <v>#VALUE!</v>
      </c>
      <c r="E8879" t="e">
        <f>cubic_spline(CURVA!$B$6:$B$20,CURVA!$G$6:$G$20,#REF!)</f>
        <v>#VALUE!</v>
      </c>
    </row>
    <row r="8880" spans="1:5" x14ac:dyDescent="0.2">
      <c r="A8880" s="28">
        <v>8879</v>
      </c>
      <c r="B8880" s="28" t="e">
        <f>interpola(#REF!,CURVA!$B$6:$B$20,CURVA!$G$6:$G$20)</f>
        <v>#VALUE!</v>
      </c>
      <c r="C8880" s="29" t="e">
        <f t="shared" si="138"/>
        <v>#VALUE!</v>
      </c>
      <c r="E8880" t="e">
        <f>cubic_spline(CURVA!$B$6:$B$20,CURVA!$G$6:$G$20,#REF!)</f>
        <v>#VALUE!</v>
      </c>
    </row>
    <row r="8881" spans="1:5" x14ac:dyDescent="0.2">
      <c r="A8881" s="28">
        <v>8880</v>
      </c>
      <c r="B8881" s="28" t="e">
        <f>interpola(#REF!,CURVA!$B$6:$B$20,CURVA!$G$6:$G$20)</f>
        <v>#VALUE!</v>
      </c>
      <c r="C8881" s="29" t="e">
        <f t="shared" si="138"/>
        <v>#VALUE!</v>
      </c>
      <c r="E8881" t="e">
        <f>cubic_spline(CURVA!$B$6:$B$20,CURVA!$G$6:$G$20,#REF!)</f>
        <v>#VALUE!</v>
      </c>
    </row>
    <row r="8882" spans="1:5" x14ac:dyDescent="0.2">
      <c r="A8882" s="28">
        <v>8881</v>
      </c>
      <c r="B8882" s="28" t="e">
        <f>interpola(#REF!,CURVA!$B$6:$B$20,CURVA!$G$6:$G$20)</f>
        <v>#VALUE!</v>
      </c>
      <c r="C8882" s="29" t="e">
        <f t="shared" si="138"/>
        <v>#VALUE!</v>
      </c>
      <c r="E8882" t="e">
        <f>cubic_spline(CURVA!$B$6:$B$20,CURVA!$G$6:$G$20,#REF!)</f>
        <v>#VALUE!</v>
      </c>
    </row>
    <row r="8883" spans="1:5" x14ac:dyDescent="0.2">
      <c r="A8883" s="28">
        <v>8882</v>
      </c>
      <c r="B8883" s="28" t="e">
        <f>interpola(#REF!,CURVA!$B$6:$B$20,CURVA!$G$6:$G$20)</f>
        <v>#VALUE!</v>
      </c>
      <c r="C8883" s="29" t="e">
        <f t="shared" si="138"/>
        <v>#VALUE!</v>
      </c>
      <c r="E8883" t="e">
        <f>cubic_spline(CURVA!$B$6:$B$20,CURVA!$G$6:$G$20,#REF!)</f>
        <v>#VALUE!</v>
      </c>
    </row>
    <row r="8884" spans="1:5" x14ac:dyDescent="0.2">
      <c r="A8884" s="28">
        <v>8883</v>
      </c>
      <c r="B8884" s="28" t="e">
        <f>interpola(#REF!,CURVA!$B$6:$B$20,CURVA!$G$6:$G$20)</f>
        <v>#VALUE!</v>
      </c>
      <c r="C8884" s="29" t="e">
        <f t="shared" si="138"/>
        <v>#VALUE!</v>
      </c>
      <c r="E8884" t="e">
        <f>cubic_spline(CURVA!$B$6:$B$20,CURVA!$G$6:$G$20,#REF!)</f>
        <v>#VALUE!</v>
      </c>
    </row>
    <row r="8885" spans="1:5" x14ac:dyDescent="0.2">
      <c r="A8885" s="28">
        <v>8884</v>
      </c>
      <c r="B8885" s="28" t="e">
        <f>interpola(#REF!,CURVA!$B$6:$B$20,CURVA!$G$6:$G$20)</f>
        <v>#VALUE!</v>
      </c>
      <c r="C8885" s="29" t="e">
        <f t="shared" si="138"/>
        <v>#VALUE!</v>
      </c>
      <c r="E8885" t="e">
        <f>cubic_spline(CURVA!$B$6:$B$20,CURVA!$G$6:$G$20,#REF!)</f>
        <v>#VALUE!</v>
      </c>
    </row>
    <row r="8886" spans="1:5" x14ac:dyDescent="0.2">
      <c r="A8886" s="28">
        <v>8885</v>
      </c>
      <c r="B8886" s="28" t="e">
        <f>interpola(#REF!,CURVA!$B$6:$B$20,CURVA!$G$6:$G$20)</f>
        <v>#VALUE!</v>
      </c>
      <c r="C8886" s="29" t="e">
        <f t="shared" si="138"/>
        <v>#VALUE!</v>
      </c>
      <c r="E8886" t="e">
        <f>cubic_spline(CURVA!$B$6:$B$20,CURVA!$G$6:$G$20,#REF!)</f>
        <v>#VALUE!</v>
      </c>
    </row>
    <row r="8887" spans="1:5" x14ac:dyDescent="0.2">
      <c r="A8887" s="28">
        <v>8886</v>
      </c>
      <c r="B8887" s="28" t="e">
        <f>interpola(#REF!,CURVA!$B$6:$B$20,CURVA!$G$6:$G$20)</f>
        <v>#VALUE!</v>
      </c>
      <c r="C8887" s="29" t="e">
        <f t="shared" si="138"/>
        <v>#VALUE!</v>
      </c>
      <c r="E8887" t="e">
        <f>cubic_spline(CURVA!$B$6:$B$20,CURVA!$G$6:$G$20,#REF!)</f>
        <v>#VALUE!</v>
      </c>
    </row>
    <row r="8888" spans="1:5" x14ac:dyDescent="0.2">
      <c r="A8888" s="28">
        <v>8887</v>
      </c>
      <c r="B8888" s="28" t="e">
        <f>interpola(#REF!,CURVA!$B$6:$B$20,CURVA!$G$6:$G$20)</f>
        <v>#VALUE!</v>
      </c>
      <c r="C8888" s="29" t="e">
        <f t="shared" si="138"/>
        <v>#VALUE!</v>
      </c>
      <c r="E8888" t="e">
        <f>cubic_spline(CURVA!$B$6:$B$20,CURVA!$G$6:$G$20,#REF!)</f>
        <v>#VALUE!</v>
      </c>
    </row>
    <row r="8889" spans="1:5" x14ac:dyDescent="0.2">
      <c r="A8889" s="28">
        <v>8888</v>
      </c>
      <c r="B8889" s="28" t="e">
        <f>interpola(#REF!,CURVA!$B$6:$B$20,CURVA!$G$6:$G$20)</f>
        <v>#VALUE!</v>
      </c>
      <c r="C8889" s="29" t="e">
        <f t="shared" si="138"/>
        <v>#VALUE!</v>
      </c>
      <c r="E8889" t="e">
        <f>cubic_spline(CURVA!$B$6:$B$20,CURVA!$G$6:$G$20,#REF!)</f>
        <v>#VALUE!</v>
      </c>
    </row>
    <row r="8890" spans="1:5" x14ac:dyDescent="0.2">
      <c r="A8890" s="28">
        <v>8889</v>
      </c>
      <c r="B8890" s="28" t="e">
        <f>interpola(#REF!,CURVA!$B$6:$B$20,CURVA!$G$6:$G$20)</f>
        <v>#VALUE!</v>
      </c>
      <c r="C8890" s="29" t="e">
        <f t="shared" si="138"/>
        <v>#VALUE!</v>
      </c>
      <c r="E8890" t="e">
        <f>cubic_spline(CURVA!$B$6:$B$20,CURVA!$G$6:$G$20,#REF!)</f>
        <v>#VALUE!</v>
      </c>
    </row>
    <row r="8891" spans="1:5" x14ac:dyDescent="0.2">
      <c r="A8891" s="28">
        <v>8890</v>
      </c>
      <c r="B8891" s="28" t="e">
        <f>interpola(#REF!,CURVA!$B$6:$B$20,CURVA!$G$6:$G$20)</f>
        <v>#VALUE!</v>
      </c>
      <c r="C8891" s="29" t="e">
        <f t="shared" si="138"/>
        <v>#VALUE!</v>
      </c>
      <c r="E8891" t="e">
        <f>cubic_spline(CURVA!$B$6:$B$20,CURVA!$G$6:$G$20,#REF!)</f>
        <v>#VALUE!</v>
      </c>
    </row>
    <row r="8892" spans="1:5" x14ac:dyDescent="0.2">
      <c r="A8892" s="28">
        <v>8891</v>
      </c>
      <c r="B8892" s="28" t="e">
        <f>interpola(#REF!,CURVA!$B$6:$B$20,CURVA!$G$6:$G$20)</f>
        <v>#VALUE!</v>
      </c>
      <c r="C8892" s="29" t="e">
        <f t="shared" si="138"/>
        <v>#VALUE!</v>
      </c>
      <c r="E8892" t="e">
        <f>cubic_spline(CURVA!$B$6:$B$20,CURVA!$G$6:$G$20,#REF!)</f>
        <v>#VALUE!</v>
      </c>
    </row>
    <row r="8893" spans="1:5" x14ac:dyDescent="0.2">
      <c r="A8893" s="28">
        <v>8892</v>
      </c>
      <c r="B8893" s="28" t="e">
        <f>interpola(#REF!,CURVA!$B$6:$B$20,CURVA!$G$6:$G$20)</f>
        <v>#VALUE!</v>
      </c>
      <c r="C8893" s="29" t="e">
        <f t="shared" si="138"/>
        <v>#VALUE!</v>
      </c>
      <c r="E8893" t="e">
        <f>cubic_spline(CURVA!$B$6:$B$20,CURVA!$G$6:$G$20,#REF!)</f>
        <v>#VALUE!</v>
      </c>
    </row>
    <row r="8894" spans="1:5" x14ac:dyDescent="0.2">
      <c r="A8894" s="28">
        <v>8893</v>
      </c>
      <c r="B8894" s="28" t="e">
        <f>interpola(#REF!,CURVA!$B$6:$B$20,CURVA!$G$6:$G$20)</f>
        <v>#VALUE!</v>
      </c>
      <c r="C8894" s="29" t="e">
        <f t="shared" si="138"/>
        <v>#VALUE!</v>
      </c>
      <c r="E8894" t="e">
        <f>cubic_spline(CURVA!$B$6:$B$20,CURVA!$G$6:$G$20,#REF!)</f>
        <v>#VALUE!</v>
      </c>
    </row>
    <row r="8895" spans="1:5" x14ac:dyDescent="0.2">
      <c r="A8895" s="28">
        <v>8894</v>
      </c>
      <c r="B8895" s="28" t="e">
        <f>interpola(#REF!,CURVA!$B$6:$B$20,CURVA!$G$6:$G$20)</f>
        <v>#VALUE!</v>
      </c>
      <c r="C8895" s="29" t="e">
        <f t="shared" si="138"/>
        <v>#VALUE!</v>
      </c>
      <c r="E8895" t="e">
        <f>cubic_spline(CURVA!$B$6:$B$20,CURVA!$G$6:$G$20,#REF!)</f>
        <v>#VALUE!</v>
      </c>
    </row>
    <row r="8896" spans="1:5" x14ac:dyDescent="0.2">
      <c r="A8896" s="28">
        <v>8895</v>
      </c>
      <c r="B8896" s="28" t="e">
        <f>interpola(#REF!,CURVA!$B$6:$B$20,CURVA!$G$6:$G$20)</f>
        <v>#VALUE!</v>
      </c>
      <c r="C8896" s="29" t="e">
        <f t="shared" si="138"/>
        <v>#VALUE!</v>
      </c>
      <c r="E8896" t="e">
        <f>cubic_spline(CURVA!$B$6:$B$20,CURVA!$G$6:$G$20,#REF!)</f>
        <v>#VALUE!</v>
      </c>
    </row>
    <row r="8897" spans="1:5" x14ac:dyDescent="0.2">
      <c r="A8897" s="28">
        <v>8896</v>
      </c>
      <c r="B8897" s="28" t="e">
        <f>interpola(#REF!,CURVA!$B$6:$B$20,CURVA!$G$6:$G$20)</f>
        <v>#VALUE!</v>
      </c>
      <c r="C8897" s="29" t="e">
        <f t="shared" si="138"/>
        <v>#VALUE!</v>
      </c>
      <c r="E8897" t="e">
        <f>cubic_spline(CURVA!$B$6:$B$20,CURVA!$G$6:$G$20,#REF!)</f>
        <v>#VALUE!</v>
      </c>
    </row>
    <row r="8898" spans="1:5" x14ac:dyDescent="0.2">
      <c r="A8898" s="28">
        <v>8897</v>
      </c>
      <c r="B8898" s="28" t="e">
        <f>interpola(#REF!,CURVA!$B$6:$B$20,CURVA!$G$6:$G$20)</f>
        <v>#VALUE!</v>
      </c>
      <c r="C8898" s="29" t="e">
        <f t="shared" ref="C8898:C8961" si="139">(EXP(B8898*A8898/360)-1)*360/A8898</f>
        <v>#VALUE!</v>
      </c>
      <c r="E8898" t="e">
        <f>cubic_spline(CURVA!$B$6:$B$20,CURVA!$G$6:$G$20,#REF!)</f>
        <v>#VALUE!</v>
      </c>
    </row>
    <row r="8899" spans="1:5" x14ac:dyDescent="0.2">
      <c r="A8899" s="28">
        <v>8898</v>
      </c>
      <c r="B8899" s="28" t="e">
        <f>interpola(#REF!,CURVA!$B$6:$B$20,CURVA!$G$6:$G$20)</f>
        <v>#VALUE!</v>
      </c>
      <c r="C8899" s="29" t="e">
        <f t="shared" si="139"/>
        <v>#VALUE!</v>
      </c>
      <c r="E8899" t="e">
        <f>cubic_spline(CURVA!$B$6:$B$20,CURVA!$G$6:$G$20,#REF!)</f>
        <v>#VALUE!</v>
      </c>
    </row>
    <row r="8900" spans="1:5" x14ac:dyDescent="0.2">
      <c r="A8900" s="28">
        <v>8899</v>
      </c>
      <c r="B8900" s="28" t="e">
        <f>interpola(#REF!,CURVA!$B$6:$B$20,CURVA!$G$6:$G$20)</f>
        <v>#VALUE!</v>
      </c>
      <c r="C8900" s="29" t="e">
        <f t="shared" si="139"/>
        <v>#VALUE!</v>
      </c>
      <c r="E8900" t="e">
        <f>cubic_spline(CURVA!$B$6:$B$20,CURVA!$G$6:$G$20,#REF!)</f>
        <v>#VALUE!</v>
      </c>
    </row>
    <row r="8901" spans="1:5" x14ac:dyDescent="0.2">
      <c r="A8901" s="28">
        <v>8900</v>
      </c>
      <c r="B8901" s="28" t="e">
        <f>interpola(#REF!,CURVA!$B$6:$B$20,CURVA!$G$6:$G$20)</f>
        <v>#VALUE!</v>
      </c>
      <c r="C8901" s="29" t="e">
        <f t="shared" si="139"/>
        <v>#VALUE!</v>
      </c>
      <c r="E8901" t="e">
        <f>cubic_spline(CURVA!$B$6:$B$20,CURVA!$G$6:$G$20,#REF!)</f>
        <v>#VALUE!</v>
      </c>
    </row>
    <row r="8902" spans="1:5" x14ac:dyDescent="0.2">
      <c r="A8902" s="28">
        <v>8901</v>
      </c>
      <c r="B8902" s="28" t="e">
        <f>interpola(#REF!,CURVA!$B$6:$B$20,CURVA!$G$6:$G$20)</f>
        <v>#VALUE!</v>
      </c>
      <c r="C8902" s="29" t="e">
        <f t="shared" si="139"/>
        <v>#VALUE!</v>
      </c>
      <c r="E8902" t="e">
        <f>cubic_spline(CURVA!$B$6:$B$20,CURVA!$G$6:$G$20,#REF!)</f>
        <v>#VALUE!</v>
      </c>
    </row>
    <row r="8903" spans="1:5" x14ac:dyDescent="0.2">
      <c r="A8903" s="28">
        <v>8902</v>
      </c>
      <c r="B8903" s="28" t="e">
        <f>interpola(#REF!,CURVA!$B$6:$B$20,CURVA!$G$6:$G$20)</f>
        <v>#VALUE!</v>
      </c>
      <c r="C8903" s="29" t="e">
        <f t="shared" si="139"/>
        <v>#VALUE!</v>
      </c>
      <c r="E8903" t="e">
        <f>cubic_spline(CURVA!$B$6:$B$20,CURVA!$G$6:$G$20,#REF!)</f>
        <v>#VALUE!</v>
      </c>
    </row>
    <row r="8904" spans="1:5" x14ac:dyDescent="0.2">
      <c r="A8904" s="28">
        <v>8903</v>
      </c>
      <c r="B8904" s="28" t="e">
        <f>interpola(#REF!,CURVA!$B$6:$B$20,CURVA!$G$6:$G$20)</f>
        <v>#VALUE!</v>
      </c>
      <c r="C8904" s="29" t="e">
        <f t="shared" si="139"/>
        <v>#VALUE!</v>
      </c>
      <c r="E8904" t="e">
        <f>cubic_spline(CURVA!$B$6:$B$20,CURVA!$G$6:$G$20,#REF!)</f>
        <v>#VALUE!</v>
      </c>
    </row>
    <row r="8905" spans="1:5" x14ac:dyDescent="0.2">
      <c r="A8905" s="28">
        <v>8904</v>
      </c>
      <c r="B8905" s="28" t="e">
        <f>interpola(#REF!,CURVA!$B$6:$B$20,CURVA!$G$6:$G$20)</f>
        <v>#VALUE!</v>
      </c>
      <c r="C8905" s="29" t="e">
        <f t="shared" si="139"/>
        <v>#VALUE!</v>
      </c>
      <c r="E8905" t="e">
        <f>cubic_spline(CURVA!$B$6:$B$20,CURVA!$G$6:$G$20,#REF!)</f>
        <v>#VALUE!</v>
      </c>
    </row>
    <row r="8906" spans="1:5" x14ac:dyDescent="0.2">
      <c r="A8906" s="28">
        <v>8905</v>
      </c>
      <c r="B8906" s="28" t="e">
        <f>interpola(#REF!,CURVA!$B$6:$B$20,CURVA!$G$6:$G$20)</f>
        <v>#VALUE!</v>
      </c>
      <c r="C8906" s="29" t="e">
        <f t="shared" si="139"/>
        <v>#VALUE!</v>
      </c>
      <c r="E8906" t="e">
        <f>cubic_spline(CURVA!$B$6:$B$20,CURVA!$G$6:$G$20,#REF!)</f>
        <v>#VALUE!</v>
      </c>
    </row>
    <row r="8907" spans="1:5" x14ac:dyDescent="0.2">
      <c r="A8907" s="28">
        <v>8906</v>
      </c>
      <c r="B8907" s="28" t="e">
        <f>interpola(#REF!,CURVA!$B$6:$B$20,CURVA!$G$6:$G$20)</f>
        <v>#VALUE!</v>
      </c>
      <c r="C8907" s="29" t="e">
        <f t="shared" si="139"/>
        <v>#VALUE!</v>
      </c>
      <c r="E8907" t="e">
        <f>cubic_spline(CURVA!$B$6:$B$20,CURVA!$G$6:$G$20,#REF!)</f>
        <v>#VALUE!</v>
      </c>
    </row>
    <row r="8908" spans="1:5" x14ac:dyDescent="0.2">
      <c r="A8908" s="28">
        <v>8907</v>
      </c>
      <c r="B8908" s="28" t="e">
        <f>interpola(#REF!,CURVA!$B$6:$B$20,CURVA!$G$6:$G$20)</f>
        <v>#VALUE!</v>
      </c>
      <c r="C8908" s="29" t="e">
        <f t="shared" si="139"/>
        <v>#VALUE!</v>
      </c>
      <c r="E8908" t="e">
        <f>cubic_spline(CURVA!$B$6:$B$20,CURVA!$G$6:$G$20,#REF!)</f>
        <v>#VALUE!</v>
      </c>
    </row>
    <row r="8909" spans="1:5" x14ac:dyDescent="0.2">
      <c r="A8909" s="28">
        <v>8908</v>
      </c>
      <c r="B8909" s="28" t="e">
        <f>interpola(#REF!,CURVA!$B$6:$B$20,CURVA!$G$6:$G$20)</f>
        <v>#VALUE!</v>
      </c>
      <c r="C8909" s="29" t="e">
        <f t="shared" si="139"/>
        <v>#VALUE!</v>
      </c>
      <c r="E8909" t="e">
        <f>cubic_spline(CURVA!$B$6:$B$20,CURVA!$G$6:$G$20,#REF!)</f>
        <v>#VALUE!</v>
      </c>
    </row>
    <row r="8910" spans="1:5" x14ac:dyDescent="0.2">
      <c r="A8910" s="28">
        <v>8909</v>
      </c>
      <c r="B8910" s="28" t="e">
        <f>interpola(#REF!,CURVA!$B$6:$B$20,CURVA!$G$6:$G$20)</f>
        <v>#VALUE!</v>
      </c>
      <c r="C8910" s="29" t="e">
        <f t="shared" si="139"/>
        <v>#VALUE!</v>
      </c>
      <c r="E8910" t="e">
        <f>cubic_spline(CURVA!$B$6:$B$20,CURVA!$G$6:$G$20,#REF!)</f>
        <v>#VALUE!</v>
      </c>
    </row>
    <row r="8911" spans="1:5" x14ac:dyDescent="0.2">
      <c r="A8911" s="28">
        <v>8910</v>
      </c>
      <c r="B8911" s="28" t="e">
        <f>interpola(#REF!,CURVA!$B$6:$B$20,CURVA!$G$6:$G$20)</f>
        <v>#VALUE!</v>
      </c>
      <c r="C8911" s="29" t="e">
        <f t="shared" si="139"/>
        <v>#VALUE!</v>
      </c>
      <c r="E8911" t="e">
        <f>cubic_spline(CURVA!$B$6:$B$20,CURVA!$G$6:$G$20,#REF!)</f>
        <v>#VALUE!</v>
      </c>
    </row>
    <row r="8912" spans="1:5" x14ac:dyDescent="0.2">
      <c r="A8912" s="28">
        <v>8911</v>
      </c>
      <c r="B8912" s="28" t="e">
        <f>interpola(#REF!,CURVA!$B$6:$B$20,CURVA!$G$6:$G$20)</f>
        <v>#VALUE!</v>
      </c>
      <c r="C8912" s="29" t="e">
        <f t="shared" si="139"/>
        <v>#VALUE!</v>
      </c>
      <c r="E8912" t="e">
        <f>cubic_spline(CURVA!$B$6:$B$20,CURVA!$G$6:$G$20,#REF!)</f>
        <v>#VALUE!</v>
      </c>
    </row>
    <row r="8913" spans="1:5" x14ac:dyDescent="0.2">
      <c r="A8913" s="28">
        <v>8912</v>
      </c>
      <c r="B8913" s="28" t="e">
        <f>interpola(#REF!,CURVA!$B$6:$B$20,CURVA!$G$6:$G$20)</f>
        <v>#VALUE!</v>
      </c>
      <c r="C8913" s="29" t="e">
        <f t="shared" si="139"/>
        <v>#VALUE!</v>
      </c>
      <c r="E8913" t="e">
        <f>cubic_spline(CURVA!$B$6:$B$20,CURVA!$G$6:$G$20,#REF!)</f>
        <v>#VALUE!</v>
      </c>
    </row>
    <row r="8914" spans="1:5" x14ac:dyDescent="0.2">
      <c r="A8914" s="28">
        <v>8913</v>
      </c>
      <c r="B8914" s="28" t="e">
        <f>interpola(#REF!,CURVA!$B$6:$B$20,CURVA!$G$6:$G$20)</f>
        <v>#VALUE!</v>
      </c>
      <c r="C8914" s="29" t="e">
        <f t="shared" si="139"/>
        <v>#VALUE!</v>
      </c>
      <c r="E8914" t="e">
        <f>cubic_spline(CURVA!$B$6:$B$20,CURVA!$G$6:$G$20,#REF!)</f>
        <v>#VALUE!</v>
      </c>
    </row>
    <row r="8915" spans="1:5" x14ac:dyDescent="0.2">
      <c r="A8915" s="28">
        <v>8914</v>
      </c>
      <c r="B8915" s="28" t="e">
        <f>interpola(#REF!,CURVA!$B$6:$B$20,CURVA!$G$6:$G$20)</f>
        <v>#VALUE!</v>
      </c>
      <c r="C8915" s="29" t="e">
        <f t="shared" si="139"/>
        <v>#VALUE!</v>
      </c>
      <c r="E8915" t="e">
        <f>cubic_spline(CURVA!$B$6:$B$20,CURVA!$G$6:$G$20,#REF!)</f>
        <v>#VALUE!</v>
      </c>
    </row>
    <row r="8916" spans="1:5" x14ac:dyDescent="0.2">
      <c r="A8916" s="28">
        <v>8915</v>
      </c>
      <c r="B8916" s="28" t="e">
        <f>interpola(#REF!,CURVA!$B$6:$B$20,CURVA!$G$6:$G$20)</f>
        <v>#VALUE!</v>
      </c>
      <c r="C8916" s="29" t="e">
        <f t="shared" si="139"/>
        <v>#VALUE!</v>
      </c>
      <c r="E8916" t="e">
        <f>cubic_spline(CURVA!$B$6:$B$20,CURVA!$G$6:$G$20,#REF!)</f>
        <v>#VALUE!</v>
      </c>
    </row>
    <row r="8917" spans="1:5" x14ac:dyDescent="0.2">
      <c r="A8917" s="28">
        <v>8916</v>
      </c>
      <c r="B8917" s="28" t="e">
        <f>interpola(#REF!,CURVA!$B$6:$B$20,CURVA!$G$6:$G$20)</f>
        <v>#VALUE!</v>
      </c>
      <c r="C8917" s="29" t="e">
        <f t="shared" si="139"/>
        <v>#VALUE!</v>
      </c>
      <c r="E8917" t="e">
        <f>cubic_spline(CURVA!$B$6:$B$20,CURVA!$G$6:$G$20,#REF!)</f>
        <v>#VALUE!</v>
      </c>
    </row>
    <row r="8918" spans="1:5" x14ac:dyDescent="0.2">
      <c r="A8918" s="28">
        <v>8917</v>
      </c>
      <c r="B8918" s="28" t="e">
        <f>interpola(#REF!,CURVA!$B$6:$B$20,CURVA!$G$6:$G$20)</f>
        <v>#VALUE!</v>
      </c>
      <c r="C8918" s="29" t="e">
        <f t="shared" si="139"/>
        <v>#VALUE!</v>
      </c>
      <c r="E8918" t="e">
        <f>cubic_spline(CURVA!$B$6:$B$20,CURVA!$G$6:$G$20,#REF!)</f>
        <v>#VALUE!</v>
      </c>
    </row>
    <row r="8919" spans="1:5" x14ac:dyDescent="0.2">
      <c r="A8919" s="28">
        <v>8918</v>
      </c>
      <c r="B8919" s="28" t="e">
        <f>interpola(#REF!,CURVA!$B$6:$B$20,CURVA!$G$6:$G$20)</f>
        <v>#VALUE!</v>
      </c>
      <c r="C8919" s="29" t="e">
        <f t="shared" si="139"/>
        <v>#VALUE!</v>
      </c>
      <c r="E8919" t="e">
        <f>cubic_spline(CURVA!$B$6:$B$20,CURVA!$G$6:$G$20,#REF!)</f>
        <v>#VALUE!</v>
      </c>
    </row>
    <row r="8920" spans="1:5" x14ac:dyDescent="0.2">
      <c r="A8920" s="28">
        <v>8919</v>
      </c>
      <c r="B8920" s="28" t="e">
        <f>interpola(#REF!,CURVA!$B$6:$B$20,CURVA!$G$6:$G$20)</f>
        <v>#VALUE!</v>
      </c>
      <c r="C8920" s="29" t="e">
        <f t="shared" si="139"/>
        <v>#VALUE!</v>
      </c>
      <c r="E8920" t="e">
        <f>cubic_spline(CURVA!$B$6:$B$20,CURVA!$G$6:$G$20,#REF!)</f>
        <v>#VALUE!</v>
      </c>
    </row>
    <row r="8921" spans="1:5" x14ac:dyDescent="0.2">
      <c r="A8921" s="28">
        <v>8920</v>
      </c>
      <c r="B8921" s="28" t="e">
        <f>interpola(#REF!,CURVA!$B$6:$B$20,CURVA!$G$6:$G$20)</f>
        <v>#VALUE!</v>
      </c>
      <c r="C8921" s="29" t="e">
        <f t="shared" si="139"/>
        <v>#VALUE!</v>
      </c>
      <c r="E8921" t="e">
        <f>cubic_spline(CURVA!$B$6:$B$20,CURVA!$G$6:$G$20,#REF!)</f>
        <v>#VALUE!</v>
      </c>
    </row>
    <row r="8922" spans="1:5" x14ac:dyDescent="0.2">
      <c r="A8922" s="28">
        <v>8921</v>
      </c>
      <c r="B8922" s="28" t="e">
        <f>interpola(#REF!,CURVA!$B$6:$B$20,CURVA!$G$6:$G$20)</f>
        <v>#VALUE!</v>
      </c>
      <c r="C8922" s="29" t="e">
        <f t="shared" si="139"/>
        <v>#VALUE!</v>
      </c>
      <c r="E8922" t="e">
        <f>cubic_spline(CURVA!$B$6:$B$20,CURVA!$G$6:$G$20,#REF!)</f>
        <v>#VALUE!</v>
      </c>
    </row>
    <row r="8923" spans="1:5" x14ac:dyDescent="0.2">
      <c r="A8923" s="28">
        <v>8922</v>
      </c>
      <c r="B8923" s="28" t="e">
        <f>interpola(#REF!,CURVA!$B$6:$B$20,CURVA!$G$6:$G$20)</f>
        <v>#VALUE!</v>
      </c>
      <c r="C8923" s="29" t="e">
        <f t="shared" si="139"/>
        <v>#VALUE!</v>
      </c>
      <c r="E8923" t="e">
        <f>cubic_spline(CURVA!$B$6:$B$20,CURVA!$G$6:$G$20,#REF!)</f>
        <v>#VALUE!</v>
      </c>
    </row>
    <row r="8924" spans="1:5" x14ac:dyDescent="0.2">
      <c r="A8924" s="28">
        <v>8923</v>
      </c>
      <c r="B8924" s="28" t="e">
        <f>interpola(#REF!,CURVA!$B$6:$B$20,CURVA!$G$6:$G$20)</f>
        <v>#VALUE!</v>
      </c>
      <c r="C8924" s="29" t="e">
        <f t="shared" si="139"/>
        <v>#VALUE!</v>
      </c>
      <c r="E8924" t="e">
        <f>cubic_spline(CURVA!$B$6:$B$20,CURVA!$G$6:$G$20,#REF!)</f>
        <v>#VALUE!</v>
      </c>
    </row>
    <row r="8925" spans="1:5" x14ac:dyDescent="0.2">
      <c r="A8925" s="28">
        <v>8924</v>
      </c>
      <c r="B8925" s="28" t="e">
        <f>interpola(#REF!,CURVA!$B$6:$B$20,CURVA!$G$6:$G$20)</f>
        <v>#VALUE!</v>
      </c>
      <c r="C8925" s="29" t="e">
        <f t="shared" si="139"/>
        <v>#VALUE!</v>
      </c>
      <c r="E8925" t="e">
        <f>cubic_spline(CURVA!$B$6:$B$20,CURVA!$G$6:$G$20,#REF!)</f>
        <v>#VALUE!</v>
      </c>
    </row>
    <row r="8926" spans="1:5" x14ac:dyDescent="0.2">
      <c r="A8926" s="28">
        <v>8925</v>
      </c>
      <c r="B8926" s="28" t="e">
        <f>interpola(#REF!,CURVA!$B$6:$B$20,CURVA!$G$6:$G$20)</f>
        <v>#VALUE!</v>
      </c>
      <c r="C8926" s="29" t="e">
        <f t="shared" si="139"/>
        <v>#VALUE!</v>
      </c>
      <c r="E8926" t="e">
        <f>cubic_spline(CURVA!$B$6:$B$20,CURVA!$G$6:$G$20,#REF!)</f>
        <v>#VALUE!</v>
      </c>
    </row>
    <row r="8927" spans="1:5" x14ac:dyDescent="0.2">
      <c r="A8927" s="28">
        <v>8926</v>
      </c>
      <c r="B8927" s="28" t="e">
        <f>interpola(#REF!,CURVA!$B$6:$B$20,CURVA!$G$6:$G$20)</f>
        <v>#VALUE!</v>
      </c>
      <c r="C8927" s="29" t="e">
        <f t="shared" si="139"/>
        <v>#VALUE!</v>
      </c>
      <c r="E8927" t="e">
        <f>cubic_spline(CURVA!$B$6:$B$20,CURVA!$G$6:$G$20,#REF!)</f>
        <v>#VALUE!</v>
      </c>
    </row>
    <row r="8928" spans="1:5" x14ac:dyDescent="0.2">
      <c r="A8928" s="28">
        <v>8927</v>
      </c>
      <c r="B8928" s="28" t="e">
        <f>interpola(#REF!,CURVA!$B$6:$B$20,CURVA!$G$6:$G$20)</f>
        <v>#VALUE!</v>
      </c>
      <c r="C8928" s="29" t="e">
        <f t="shared" si="139"/>
        <v>#VALUE!</v>
      </c>
      <c r="E8928" t="e">
        <f>cubic_spline(CURVA!$B$6:$B$20,CURVA!$G$6:$G$20,#REF!)</f>
        <v>#VALUE!</v>
      </c>
    </row>
    <row r="8929" spans="1:5" x14ac:dyDescent="0.2">
      <c r="A8929" s="28">
        <v>8928</v>
      </c>
      <c r="B8929" s="28" t="e">
        <f>interpola(#REF!,CURVA!$B$6:$B$20,CURVA!$G$6:$G$20)</f>
        <v>#VALUE!</v>
      </c>
      <c r="C8929" s="29" t="e">
        <f t="shared" si="139"/>
        <v>#VALUE!</v>
      </c>
      <c r="E8929" t="e">
        <f>cubic_spline(CURVA!$B$6:$B$20,CURVA!$G$6:$G$20,#REF!)</f>
        <v>#VALUE!</v>
      </c>
    </row>
    <row r="8930" spans="1:5" x14ac:dyDescent="0.2">
      <c r="A8930" s="28">
        <v>8929</v>
      </c>
      <c r="B8930" s="28" t="e">
        <f>interpola(#REF!,CURVA!$B$6:$B$20,CURVA!$G$6:$G$20)</f>
        <v>#VALUE!</v>
      </c>
      <c r="C8930" s="29" t="e">
        <f t="shared" si="139"/>
        <v>#VALUE!</v>
      </c>
      <c r="E8930" t="e">
        <f>cubic_spline(CURVA!$B$6:$B$20,CURVA!$G$6:$G$20,#REF!)</f>
        <v>#VALUE!</v>
      </c>
    </row>
    <row r="8931" spans="1:5" x14ac:dyDescent="0.2">
      <c r="A8931" s="28">
        <v>8930</v>
      </c>
      <c r="B8931" s="28" t="e">
        <f>interpola(#REF!,CURVA!$B$6:$B$20,CURVA!$G$6:$G$20)</f>
        <v>#VALUE!</v>
      </c>
      <c r="C8931" s="29" t="e">
        <f t="shared" si="139"/>
        <v>#VALUE!</v>
      </c>
      <c r="E8931" t="e">
        <f>cubic_spline(CURVA!$B$6:$B$20,CURVA!$G$6:$G$20,#REF!)</f>
        <v>#VALUE!</v>
      </c>
    </row>
    <row r="8932" spans="1:5" x14ac:dyDescent="0.2">
      <c r="A8932" s="28">
        <v>8931</v>
      </c>
      <c r="B8932" s="28" t="e">
        <f>interpola(#REF!,CURVA!$B$6:$B$20,CURVA!$G$6:$G$20)</f>
        <v>#VALUE!</v>
      </c>
      <c r="C8932" s="29" t="e">
        <f t="shared" si="139"/>
        <v>#VALUE!</v>
      </c>
      <c r="E8932" t="e">
        <f>cubic_spline(CURVA!$B$6:$B$20,CURVA!$G$6:$G$20,#REF!)</f>
        <v>#VALUE!</v>
      </c>
    </row>
    <row r="8933" spans="1:5" x14ac:dyDescent="0.2">
      <c r="A8933" s="28">
        <v>8932</v>
      </c>
      <c r="B8933" s="28" t="e">
        <f>interpola(#REF!,CURVA!$B$6:$B$20,CURVA!$G$6:$G$20)</f>
        <v>#VALUE!</v>
      </c>
      <c r="C8933" s="29" t="e">
        <f t="shared" si="139"/>
        <v>#VALUE!</v>
      </c>
      <c r="E8933" t="e">
        <f>cubic_spline(CURVA!$B$6:$B$20,CURVA!$G$6:$G$20,#REF!)</f>
        <v>#VALUE!</v>
      </c>
    </row>
    <row r="8934" spans="1:5" x14ac:dyDescent="0.2">
      <c r="A8934" s="28">
        <v>8933</v>
      </c>
      <c r="B8934" s="28" t="e">
        <f>interpola(#REF!,CURVA!$B$6:$B$20,CURVA!$G$6:$G$20)</f>
        <v>#VALUE!</v>
      </c>
      <c r="C8934" s="29" t="e">
        <f t="shared" si="139"/>
        <v>#VALUE!</v>
      </c>
      <c r="E8934" t="e">
        <f>cubic_spline(CURVA!$B$6:$B$20,CURVA!$G$6:$G$20,#REF!)</f>
        <v>#VALUE!</v>
      </c>
    </row>
    <row r="8935" spans="1:5" x14ac:dyDescent="0.2">
      <c r="A8935" s="28">
        <v>8934</v>
      </c>
      <c r="B8935" s="28" t="e">
        <f>interpola(#REF!,CURVA!$B$6:$B$20,CURVA!$G$6:$G$20)</f>
        <v>#VALUE!</v>
      </c>
      <c r="C8935" s="29" t="e">
        <f t="shared" si="139"/>
        <v>#VALUE!</v>
      </c>
      <c r="E8935" t="e">
        <f>cubic_spline(CURVA!$B$6:$B$20,CURVA!$G$6:$G$20,#REF!)</f>
        <v>#VALUE!</v>
      </c>
    </row>
    <row r="8936" spans="1:5" x14ac:dyDescent="0.2">
      <c r="A8936" s="28">
        <v>8935</v>
      </c>
      <c r="B8936" s="28" t="e">
        <f>interpola(#REF!,CURVA!$B$6:$B$20,CURVA!$G$6:$G$20)</f>
        <v>#VALUE!</v>
      </c>
      <c r="C8936" s="29" t="e">
        <f t="shared" si="139"/>
        <v>#VALUE!</v>
      </c>
      <c r="E8936" t="e">
        <f>cubic_spline(CURVA!$B$6:$B$20,CURVA!$G$6:$G$20,#REF!)</f>
        <v>#VALUE!</v>
      </c>
    </row>
    <row r="8937" spans="1:5" x14ac:dyDescent="0.2">
      <c r="A8937" s="28">
        <v>8936</v>
      </c>
      <c r="B8937" s="28" t="e">
        <f>interpola(#REF!,CURVA!$B$6:$B$20,CURVA!$G$6:$G$20)</f>
        <v>#VALUE!</v>
      </c>
      <c r="C8937" s="29" t="e">
        <f t="shared" si="139"/>
        <v>#VALUE!</v>
      </c>
      <c r="E8937" t="e">
        <f>cubic_spline(CURVA!$B$6:$B$20,CURVA!$G$6:$G$20,#REF!)</f>
        <v>#VALUE!</v>
      </c>
    </row>
    <row r="8938" spans="1:5" x14ac:dyDescent="0.2">
      <c r="A8938" s="28">
        <v>8937</v>
      </c>
      <c r="B8938" s="28" t="e">
        <f>interpola(#REF!,CURVA!$B$6:$B$20,CURVA!$G$6:$G$20)</f>
        <v>#VALUE!</v>
      </c>
      <c r="C8938" s="29" t="e">
        <f t="shared" si="139"/>
        <v>#VALUE!</v>
      </c>
      <c r="E8938" t="e">
        <f>cubic_spline(CURVA!$B$6:$B$20,CURVA!$G$6:$G$20,#REF!)</f>
        <v>#VALUE!</v>
      </c>
    </row>
    <row r="8939" spans="1:5" x14ac:dyDescent="0.2">
      <c r="A8939" s="28">
        <v>8938</v>
      </c>
      <c r="B8939" s="28" t="e">
        <f>interpola(#REF!,CURVA!$B$6:$B$20,CURVA!$G$6:$G$20)</f>
        <v>#VALUE!</v>
      </c>
      <c r="C8939" s="29" t="e">
        <f t="shared" si="139"/>
        <v>#VALUE!</v>
      </c>
      <c r="E8939" t="e">
        <f>cubic_spline(CURVA!$B$6:$B$20,CURVA!$G$6:$G$20,#REF!)</f>
        <v>#VALUE!</v>
      </c>
    </row>
    <row r="8940" spans="1:5" x14ac:dyDescent="0.2">
      <c r="A8940" s="28">
        <v>8939</v>
      </c>
      <c r="B8940" s="28" t="e">
        <f>interpola(#REF!,CURVA!$B$6:$B$20,CURVA!$G$6:$G$20)</f>
        <v>#VALUE!</v>
      </c>
      <c r="C8940" s="29" t="e">
        <f t="shared" si="139"/>
        <v>#VALUE!</v>
      </c>
      <c r="E8940" t="e">
        <f>cubic_spline(CURVA!$B$6:$B$20,CURVA!$G$6:$G$20,#REF!)</f>
        <v>#VALUE!</v>
      </c>
    </row>
    <row r="8941" spans="1:5" x14ac:dyDescent="0.2">
      <c r="A8941" s="28">
        <v>8940</v>
      </c>
      <c r="B8941" s="28" t="e">
        <f>interpola(#REF!,CURVA!$B$6:$B$20,CURVA!$G$6:$G$20)</f>
        <v>#VALUE!</v>
      </c>
      <c r="C8941" s="29" t="e">
        <f t="shared" si="139"/>
        <v>#VALUE!</v>
      </c>
      <c r="E8941" t="e">
        <f>cubic_spline(CURVA!$B$6:$B$20,CURVA!$G$6:$G$20,#REF!)</f>
        <v>#VALUE!</v>
      </c>
    </row>
    <row r="8942" spans="1:5" x14ac:dyDescent="0.2">
      <c r="A8942" s="28">
        <v>8941</v>
      </c>
      <c r="B8942" s="28" t="e">
        <f>interpola(#REF!,CURVA!$B$6:$B$20,CURVA!$G$6:$G$20)</f>
        <v>#VALUE!</v>
      </c>
      <c r="C8942" s="29" t="e">
        <f t="shared" si="139"/>
        <v>#VALUE!</v>
      </c>
      <c r="E8942" t="e">
        <f>cubic_spline(CURVA!$B$6:$B$20,CURVA!$G$6:$G$20,#REF!)</f>
        <v>#VALUE!</v>
      </c>
    </row>
    <row r="8943" spans="1:5" x14ac:dyDescent="0.2">
      <c r="A8943" s="28">
        <v>8942</v>
      </c>
      <c r="B8943" s="28" t="e">
        <f>interpola(#REF!,CURVA!$B$6:$B$20,CURVA!$G$6:$G$20)</f>
        <v>#VALUE!</v>
      </c>
      <c r="C8943" s="29" t="e">
        <f t="shared" si="139"/>
        <v>#VALUE!</v>
      </c>
      <c r="E8943" t="e">
        <f>cubic_spline(CURVA!$B$6:$B$20,CURVA!$G$6:$G$20,#REF!)</f>
        <v>#VALUE!</v>
      </c>
    </row>
    <row r="8944" spans="1:5" x14ac:dyDescent="0.2">
      <c r="A8944" s="28">
        <v>8943</v>
      </c>
      <c r="B8944" s="28" t="e">
        <f>interpola(#REF!,CURVA!$B$6:$B$20,CURVA!$G$6:$G$20)</f>
        <v>#VALUE!</v>
      </c>
      <c r="C8944" s="29" t="e">
        <f t="shared" si="139"/>
        <v>#VALUE!</v>
      </c>
      <c r="E8944" t="e">
        <f>cubic_spline(CURVA!$B$6:$B$20,CURVA!$G$6:$G$20,#REF!)</f>
        <v>#VALUE!</v>
      </c>
    </row>
    <row r="8945" spans="1:5" x14ac:dyDescent="0.2">
      <c r="A8945" s="28">
        <v>8944</v>
      </c>
      <c r="B8945" s="28" t="e">
        <f>interpola(#REF!,CURVA!$B$6:$B$20,CURVA!$G$6:$G$20)</f>
        <v>#VALUE!</v>
      </c>
      <c r="C8945" s="29" t="e">
        <f t="shared" si="139"/>
        <v>#VALUE!</v>
      </c>
      <c r="E8945" t="e">
        <f>cubic_spline(CURVA!$B$6:$B$20,CURVA!$G$6:$G$20,#REF!)</f>
        <v>#VALUE!</v>
      </c>
    </row>
    <row r="8946" spans="1:5" x14ac:dyDescent="0.2">
      <c r="A8946" s="28">
        <v>8945</v>
      </c>
      <c r="B8946" s="28" t="e">
        <f>interpola(#REF!,CURVA!$B$6:$B$20,CURVA!$G$6:$G$20)</f>
        <v>#VALUE!</v>
      </c>
      <c r="C8946" s="29" t="e">
        <f t="shared" si="139"/>
        <v>#VALUE!</v>
      </c>
      <c r="E8946" t="e">
        <f>cubic_spline(CURVA!$B$6:$B$20,CURVA!$G$6:$G$20,#REF!)</f>
        <v>#VALUE!</v>
      </c>
    </row>
    <row r="8947" spans="1:5" x14ac:dyDescent="0.2">
      <c r="A8947" s="28">
        <v>8946</v>
      </c>
      <c r="B8947" s="28" t="e">
        <f>interpola(#REF!,CURVA!$B$6:$B$20,CURVA!$G$6:$G$20)</f>
        <v>#VALUE!</v>
      </c>
      <c r="C8947" s="29" t="e">
        <f t="shared" si="139"/>
        <v>#VALUE!</v>
      </c>
      <c r="E8947" t="e">
        <f>cubic_spline(CURVA!$B$6:$B$20,CURVA!$G$6:$G$20,#REF!)</f>
        <v>#VALUE!</v>
      </c>
    </row>
    <row r="8948" spans="1:5" x14ac:dyDescent="0.2">
      <c r="A8948" s="28">
        <v>8947</v>
      </c>
      <c r="B8948" s="28" t="e">
        <f>interpola(#REF!,CURVA!$B$6:$B$20,CURVA!$G$6:$G$20)</f>
        <v>#VALUE!</v>
      </c>
      <c r="C8948" s="29" t="e">
        <f t="shared" si="139"/>
        <v>#VALUE!</v>
      </c>
      <c r="E8948" t="e">
        <f>cubic_spline(CURVA!$B$6:$B$20,CURVA!$G$6:$G$20,#REF!)</f>
        <v>#VALUE!</v>
      </c>
    </row>
    <row r="8949" spans="1:5" x14ac:dyDescent="0.2">
      <c r="A8949" s="28">
        <v>8948</v>
      </c>
      <c r="B8949" s="28" t="e">
        <f>interpola(#REF!,CURVA!$B$6:$B$20,CURVA!$G$6:$G$20)</f>
        <v>#VALUE!</v>
      </c>
      <c r="C8949" s="29" t="e">
        <f t="shared" si="139"/>
        <v>#VALUE!</v>
      </c>
      <c r="E8949" t="e">
        <f>cubic_spline(CURVA!$B$6:$B$20,CURVA!$G$6:$G$20,#REF!)</f>
        <v>#VALUE!</v>
      </c>
    </row>
    <row r="8950" spans="1:5" x14ac:dyDescent="0.2">
      <c r="A8950" s="28">
        <v>8949</v>
      </c>
      <c r="B8950" s="28" t="e">
        <f>interpola(#REF!,CURVA!$B$6:$B$20,CURVA!$G$6:$G$20)</f>
        <v>#VALUE!</v>
      </c>
      <c r="C8950" s="29" t="e">
        <f t="shared" si="139"/>
        <v>#VALUE!</v>
      </c>
      <c r="E8950" t="e">
        <f>cubic_spline(CURVA!$B$6:$B$20,CURVA!$G$6:$G$20,#REF!)</f>
        <v>#VALUE!</v>
      </c>
    </row>
    <row r="8951" spans="1:5" x14ac:dyDescent="0.2">
      <c r="A8951" s="28">
        <v>8950</v>
      </c>
      <c r="B8951" s="28" t="e">
        <f>interpola(#REF!,CURVA!$B$6:$B$20,CURVA!$G$6:$G$20)</f>
        <v>#VALUE!</v>
      </c>
      <c r="C8951" s="29" t="e">
        <f t="shared" si="139"/>
        <v>#VALUE!</v>
      </c>
      <c r="E8951" t="e">
        <f>cubic_spline(CURVA!$B$6:$B$20,CURVA!$G$6:$G$20,#REF!)</f>
        <v>#VALUE!</v>
      </c>
    </row>
    <row r="8952" spans="1:5" x14ac:dyDescent="0.2">
      <c r="A8952" s="28">
        <v>8951</v>
      </c>
      <c r="B8952" s="28" t="e">
        <f>interpola(#REF!,CURVA!$B$6:$B$20,CURVA!$G$6:$G$20)</f>
        <v>#VALUE!</v>
      </c>
      <c r="C8952" s="29" t="e">
        <f t="shared" si="139"/>
        <v>#VALUE!</v>
      </c>
      <c r="E8952" t="e">
        <f>cubic_spline(CURVA!$B$6:$B$20,CURVA!$G$6:$G$20,#REF!)</f>
        <v>#VALUE!</v>
      </c>
    </row>
    <row r="8953" spans="1:5" x14ac:dyDescent="0.2">
      <c r="A8953" s="28">
        <v>8952</v>
      </c>
      <c r="B8953" s="28" t="e">
        <f>interpola(#REF!,CURVA!$B$6:$B$20,CURVA!$G$6:$G$20)</f>
        <v>#VALUE!</v>
      </c>
      <c r="C8953" s="29" t="e">
        <f t="shared" si="139"/>
        <v>#VALUE!</v>
      </c>
      <c r="E8953" t="e">
        <f>cubic_spline(CURVA!$B$6:$B$20,CURVA!$G$6:$G$20,#REF!)</f>
        <v>#VALUE!</v>
      </c>
    </row>
    <row r="8954" spans="1:5" x14ac:dyDescent="0.2">
      <c r="A8954" s="28">
        <v>8953</v>
      </c>
      <c r="B8954" s="28" t="e">
        <f>interpola(#REF!,CURVA!$B$6:$B$20,CURVA!$G$6:$G$20)</f>
        <v>#VALUE!</v>
      </c>
      <c r="C8954" s="29" t="e">
        <f t="shared" si="139"/>
        <v>#VALUE!</v>
      </c>
      <c r="E8954" t="e">
        <f>cubic_spline(CURVA!$B$6:$B$20,CURVA!$G$6:$G$20,#REF!)</f>
        <v>#VALUE!</v>
      </c>
    </row>
    <row r="8955" spans="1:5" x14ac:dyDescent="0.2">
      <c r="A8955" s="28">
        <v>8954</v>
      </c>
      <c r="B8955" s="28" t="e">
        <f>interpola(#REF!,CURVA!$B$6:$B$20,CURVA!$G$6:$G$20)</f>
        <v>#VALUE!</v>
      </c>
      <c r="C8955" s="29" t="e">
        <f t="shared" si="139"/>
        <v>#VALUE!</v>
      </c>
      <c r="E8955" t="e">
        <f>cubic_spline(CURVA!$B$6:$B$20,CURVA!$G$6:$G$20,#REF!)</f>
        <v>#VALUE!</v>
      </c>
    </row>
    <row r="8956" spans="1:5" x14ac:dyDescent="0.2">
      <c r="A8956" s="28">
        <v>8955</v>
      </c>
      <c r="B8956" s="28" t="e">
        <f>interpola(#REF!,CURVA!$B$6:$B$20,CURVA!$G$6:$G$20)</f>
        <v>#VALUE!</v>
      </c>
      <c r="C8956" s="29" t="e">
        <f t="shared" si="139"/>
        <v>#VALUE!</v>
      </c>
      <c r="E8956" t="e">
        <f>cubic_spline(CURVA!$B$6:$B$20,CURVA!$G$6:$G$20,#REF!)</f>
        <v>#VALUE!</v>
      </c>
    </row>
    <row r="8957" spans="1:5" x14ac:dyDescent="0.2">
      <c r="A8957" s="28">
        <v>8956</v>
      </c>
      <c r="B8957" s="28" t="e">
        <f>interpola(#REF!,CURVA!$B$6:$B$20,CURVA!$G$6:$G$20)</f>
        <v>#VALUE!</v>
      </c>
      <c r="C8957" s="29" t="e">
        <f t="shared" si="139"/>
        <v>#VALUE!</v>
      </c>
      <c r="E8957" t="e">
        <f>cubic_spline(CURVA!$B$6:$B$20,CURVA!$G$6:$G$20,#REF!)</f>
        <v>#VALUE!</v>
      </c>
    </row>
    <row r="8958" spans="1:5" x14ac:dyDescent="0.2">
      <c r="A8958" s="28">
        <v>8957</v>
      </c>
      <c r="B8958" s="28" t="e">
        <f>interpola(#REF!,CURVA!$B$6:$B$20,CURVA!$G$6:$G$20)</f>
        <v>#VALUE!</v>
      </c>
      <c r="C8958" s="29" t="e">
        <f t="shared" si="139"/>
        <v>#VALUE!</v>
      </c>
      <c r="E8958" t="e">
        <f>cubic_spline(CURVA!$B$6:$B$20,CURVA!$G$6:$G$20,#REF!)</f>
        <v>#VALUE!</v>
      </c>
    </row>
    <row r="8959" spans="1:5" x14ac:dyDescent="0.2">
      <c r="A8959" s="28">
        <v>8958</v>
      </c>
      <c r="B8959" s="28" t="e">
        <f>interpola(#REF!,CURVA!$B$6:$B$20,CURVA!$G$6:$G$20)</f>
        <v>#VALUE!</v>
      </c>
      <c r="C8959" s="29" t="e">
        <f t="shared" si="139"/>
        <v>#VALUE!</v>
      </c>
      <c r="E8959" t="e">
        <f>cubic_spline(CURVA!$B$6:$B$20,CURVA!$G$6:$G$20,#REF!)</f>
        <v>#VALUE!</v>
      </c>
    </row>
    <row r="8960" spans="1:5" x14ac:dyDescent="0.2">
      <c r="A8960" s="28">
        <v>8959</v>
      </c>
      <c r="B8960" s="28" t="e">
        <f>interpola(#REF!,CURVA!$B$6:$B$20,CURVA!$G$6:$G$20)</f>
        <v>#VALUE!</v>
      </c>
      <c r="C8960" s="29" t="e">
        <f t="shared" si="139"/>
        <v>#VALUE!</v>
      </c>
      <c r="E8960" t="e">
        <f>cubic_spline(CURVA!$B$6:$B$20,CURVA!$G$6:$G$20,#REF!)</f>
        <v>#VALUE!</v>
      </c>
    </row>
    <row r="8961" spans="1:5" x14ac:dyDescent="0.2">
      <c r="A8961" s="28">
        <v>8960</v>
      </c>
      <c r="B8961" s="28" t="e">
        <f>interpola(#REF!,CURVA!$B$6:$B$20,CURVA!$G$6:$G$20)</f>
        <v>#VALUE!</v>
      </c>
      <c r="C8961" s="29" t="e">
        <f t="shared" si="139"/>
        <v>#VALUE!</v>
      </c>
      <c r="E8961" t="e">
        <f>cubic_spline(CURVA!$B$6:$B$20,CURVA!$G$6:$G$20,#REF!)</f>
        <v>#VALUE!</v>
      </c>
    </row>
    <row r="8962" spans="1:5" x14ac:dyDescent="0.2">
      <c r="A8962" s="28">
        <v>8961</v>
      </c>
      <c r="B8962" s="28" t="e">
        <f>interpola(#REF!,CURVA!$B$6:$B$20,CURVA!$G$6:$G$20)</f>
        <v>#VALUE!</v>
      </c>
      <c r="C8962" s="29" t="e">
        <f t="shared" ref="C8962:C9025" si="140">(EXP(B8962*A8962/360)-1)*360/A8962</f>
        <v>#VALUE!</v>
      </c>
      <c r="E8962" t="e">
        <f>cubic_spline(CURVA!$B$6:$B$20,CURVA!$G$6:$G$20,#REF!)</f>
        <v>#VALUE!</v>
      </c>
    </row>
    <row r="8963" spans="1:5" x14ac:dyDescent="0.2">
      <c r="A8963" s="28">
        <v>8962</v>
      </c>
      <c r="B8963" s="28" t="e">
        <f>interpola(#REF!,CURVA!$B$6:$B$20,CURVA!$G$6:$G$20)</f>
        <v>#VALUE!</v>
      </c>
      <c r="C8963" s="29" t="e">
        <f t="shared" si="140"/>
        <v>#VALUE!</v>
      </c>
      <c r="E8963" t="e">
        <f>cubic_spline(CURVA!$B$6:$B$20,CURVA!$G$6:$G$20,#REF!)</f>
        <v>#VALUE!</v>
      </c>
    </row>
    <row r="8964" spans="1:5" x14ac:dyDescent="0.2">
      <c r="A8964" s="28">
        <v>8963</v>
      </c>
      <c r="B8964" s="28" t="e">
        <f>interpola(#REF!,CURVA!$B$6:$B$20,CURVA!$G$6:$G$20)</f>
        <v>#VALUE!</v>
      </c>
      <c r="C8964" s="29" t="e">
        <f t="shared" si="140"/>
        <v>#VALUE!</v>
      </c>
      <c r="E8964" t="e">
        <f>cubic_spline(CURVA!$B$6:$B$20,CURVA!$G$6:$G$20,#REF!)</f>
        <v>#VALUE!</v>
      </c>
    </row>
    <row r="8965" spans="1:5" x14ac:dyDescent="0.2">
      <c r="A8965" s="28">
        <v>8964</v>
      </c>
      <c r="B8965" s="28" t="e">
        <f>interpola(#REF!,CURVA!$B$6:$B$20,CURVA!$G$6:$G$20)</f>
        <v>#VALUE!</v>
      </c>
      <c r="C8965" s="29" t="e">
        <f t="shared" si="140"/>
        <v>#VALUE!</v>
      </c>
      <c r="E8965" t="e">
        <f>cubic_spline(CURVA!$B$6:$B$20,CURVA!$G$6:$G$20,#REF!)</f>
        <v>#VALUE!</v>
      </c>
    </row>
    <row r="8966" spans="1:5" x14ac:dyDescent="0.2">
      <c r="A8966" s="28">
        <v>8965</v>
      </c>
      <c r="B8966" s="28" t="e">
        <f>interpola(#REF!,CURVA!$B$6:$B$20,CURVA!$G$6:$G$20)</f>
        <v>#VALUE!</v>
      </c>
      <c r="C8966" s="29" t="e">
        <f t="shared" si="140"/>
        <v>#VALUE!</v>
      </c>
      <c r="E8966" t="e">
        <f>cubic_spline(CURVA!$B$6:$B$20,CURVA!$G$6:$G$20,#REF!)</f>
        <v>#VALUE!</v>
      </c>
    </row>
    <row r="8967" spans="1:5" x14ac:dyDescent="0.2">
      <c r="A8967" s="28">
        <v>8966</v>
      </c>
      <c r="B8967" s="28" t="e">
        <f>interpola(#REF!,CURVA!$B$6:$B$20,CURVA!$G$6:$G$20)</f>
        <v>#VALUE!</v>
      </c>
      <c r="C8967" s="29" t="e">
        <f t="shared" si="140"/>
        <v>#VALUE!</v>
      </c>
      <c r="E8967" t="e">
        <f>cubic_spline(CURVA!$B$6:$B$20,CURVA!$G$6:$G$20,#REF!)</f>
        <v>#VALUE!</v>
      </c>
    </row>
    <row r="8968" spans="1:5" x14ac:dyDescent="0.2">
      <c r="A8968" s="28">
        <v>8967</v>
      </c>
      <c r="B8968" s="28" t="e">
        <f>interpola(#REF!,CURVA!$B$6:$B$20,CURVA!$G$6:$G$20)</f>
        <v>#VALUE!</v>
      </c>
      <c r="C8968" s="29" t="e">
        <f t="shared" si="140"/>
        <v>#VALUE!</v>
      </c>
      <c r="E8968" t="e">
        <f>cubic_spline(CURVA!$B$6:$B$20,CURVA!$G$6:$G$20,#REF!)</f>
        <v>#VALUE!</v>
      </c>
    </row>
    <row r="8969" spans="1:5" x14ac:dyDescent="0.2">
      <c r="A8969" s="28">
        <v>8968</v>
      </c>
      <c r="B8969" s="28" t="e">
        <f>interpola(#REF!,CURVA!$B$6:$B$20,CURVA!$G$6:$G$20)</f>
        <v>#VALUE!</v>
      </c>
      <c r="C8969" s="29" t="e">
        <f t="shared" si="140"/>
        <v>#VALUE!</v>
      </c>
      <c r="E8969" t="e">
        <f>cubic_spline(CURVA!$B$6:$B$20,CURVA!$G$6:$G$20,#REF!)</f>
        <v>#VALUE!</v>
      </c>
    </row>
    <row r="8970" spans="1:5" x14ac:dyDescent="0.2">
      <c r="A8970" s="28">
        <v>8969</v>
      </c>
      <c r="B8970" s="28" t="e">
        <f>interpola(#REF!,CURVA!$B$6:$B$20,CURVA!$G$6:$G$20)</f>
        <v>#VALUE!</v>
      </c>
      <c r="C8970" s="29" t="e">
        <f t="shared" si="140"/>
        <v>#VALUE!</v>
      </c>
      <c r="E8970" t="e">
        <f>cubic_spline(CURVA!$B$6:$B$20,CURVA!$G$6:$G$20,#REF!)</f>
        <v>#VALUE!</v>
      </c>
    </row>
    <row r="8971" spans="1:5" x14ac:dyDescent="0.2">
      <c r="A8971" s="28">
        <v>8970</v>
      </c>
      <c r="B8971" s="28" t="e">
        <f>interpola(#REF!,CURVA!$B$6:$B$20,CURVA!$G$6:$G$20)</f>
        <v>#VALUE!</v>
      </c>
      <c r="C8971" s="29" t="e">
        <f t="shared" si="140"/>
        <v>#VALUE!</v>
      </c>
      <c r="E8971" t="e">
        <f>cubic_spline(CURVA!$B$6:$B$20,CURVA!$G$6:$G$20,#REF!)</f>
        <v>#VALUE!</v>
      </c>
    </row>
    <row r="8972" spans="1:5" x14ac:dyDescent="0.2">
      <c r="A8972" s="28">
        <v>8971</v>
      </c>
      <c r="B8972" s="28" t="e">
        <f>interpola(#REF!,CURVA!$B$6:$B$20,CURVA!$G$6:$G$20)</f>
        <v>#VALUE!</v>
      </c>
      <c r="C8972" s="29" t="e">
        <f t="shared" si="140"/>
        <v>#VALUE!</v>
      </c>
      <c r="E8972" t="e">
        <f>cubic_spline(CURVA!$B$6:$B$20,CURVA!$G$6:$G$20,#REF!)</f>
        <v>#VALUE!</v>
      </c>
    </row>
    <row r="8973" spans="1:5" x14ac:dyDescent="0.2">
      <c r="A8973" s="28">
        <v>8972</v>
      </c>
      <c r="B8973" s="28" t="e">
        <f>interpola(#REF!,CURVA!$B$6:$B$20,CURVA!$G$6:$G$20)</f>
        <v>#VALUE!</v>
      </c>
      <c r="C8973" s="29" t="e">
        <f t="shared" si="140"/>
        <v>#VALUE!</v>
      </c>
      <c r="E8973" t="e">
        <f>cubic_spline(CURVA!$B$6:$B$20,CURVA!$G$6:$G$20,#REF!)</f>
        <v>#VALUE!</v>
      </c>
    </row>
    <row r="8974" spans="1:5" x14ac:dyDescent="0.2">
      <c r="A8974" s="28">
        <v>8973</v>
      </c>
      <c r="B8974" s="28" t="e">
        <f>interpola(#REF!,CURVA!$B$6:$B$20,CURVA!$G$6:$G$20)</f>
        <v>#VALUE!</v>
      </c>
      <c r="C8974" s="29" t="e">
        <f t="shared" si="140"/>
        <v>#VALUE!</v>
      </c>
      <c r="E8974" t="e">
        <f>cubic_spline(CURVA!$B$6:$B$20,CURVA!$G$6:$G$20,#REF!)</f>
        <v>#VALUE!</v>
      </c>
    </row>
    <row r="8975" spans="1:5" x14ac:dyDescent="0.2">
      <c r="A8975" s="28">
        <v>8974</v>
      </c>
      <c r="B8975" s="28" t="e">
        <f>interpola(#REF!,CURVA!$B$6:$B$20,CURVA!$G$6:$G$20)</f>
        <v>#VALUE!</v>
      </c>
      <c r="C8975" s="29" t="e">
        <f t="shared" si="140"/>
        <v>#VALUE!</v>
      </c>
      <c r="E8975" t="e">
        <f>cubic_spline(CURVA!$B$6:$B$20,CURVA!$G$6:$G$20,#REF!)</f>
        <v>#VALUE!</v>
      </c>
    </row>
    <row r="8976" spans="1:5" x14ac:dyDescent="0.2">
      <c r="A8976" s="28">
        <v>8975</v>
      </c>
      <c r="B8976" s="28" t="e">
        <f>interpola(#REF!,CURVA!$B$6:$B$20,CURVA!$G$6:$G$20)</f>
        <v>#VALUE!</v>
      </c>
      <c r="C8976" s="29" t="e">
        <f t="shared" si="140"/>
        <v>#VALUE!</v>
      </c>
      <c r="E8976" t="e">
        <f>cubic_spline(CURVA!$B$6:$B$20,CURVA!$G$6:$G$20,#REF!)</f>
        <v>#VALUE!</v>
      </c>
    </row>
    <row r="8977" spans="1:5" x14ac:dyDescent="0.2">
      <c r="A8977" s="28">
        <v>8976</v>
      </c>
      <c r="B8977" s="28" t="e">
        <f>interpola(#REF!,CURVA!$B$6:$B$20,CURVA!$G$6:$G$20)</f>
        <v>#VALUE!</v>
      </c>
      <c r="C8977" s="29" t="e">
        <f t="shared" si="140"/>
        <v>#VALUE!</v>
      </c>
      <c r="E8977" t="e">
        <f>cubic_spline(CURVA!$B$6:$B$20,CURVA!$G$6:$G$20,#REF!)</f>
        <v>#VALUE!</v>
      </c>
    </row>
    <row r="8978" spans="1:5" x14ac:dyDescent="0.2">
      <c r="A8978" s="28">
        <v>8977</v>
      </c>
      <c r="B8978" s="28" t="e">
        <f>interpola(#REF!,CURVA!$B$6:$B$20,CURVA!$G$6:$G$20)</f>
        <v>#VALUE!</v>
      </c>
      <c r="C8978" s="29" t="e">
        <f t="shared" si="140"/>
        <v>#VALUE!</v>
      </c>
      <c r="E8978" t="e">
        <f>cubic_spline(CURVA!$B$6:$B$20,CURVA!$G$6:$G$20,#REF!)</f>
        <v>#VALUE!</v>
      </c>
    </row>
    <row r="8979" spans="1:5" x14ac:dyDescent="0.2">
      <c r="A8979" s="28">
        <v>8978</v>
      </c>
      <c r="B8979" s="28" t="e">
        <f>interpola(#REF!,CURVA!$B$6:$B$20,CURVA!$G$6:$G$20)</f>
        <v>#VALUE!</v>
      </c>
      <c r="C8979" s="29" t="e">
        <f t="shared" si="140"/>
        <v>#VALUE!</v>
      </c>
      <c r="E8979" t="e">
        <f>cubic_spline(CURVA!$B$6:$B$20,CURVA!$G$6:$G$20,#REF!)</f>
        <v>#VALUE!</v>
      </c>
    </row>
    <row r="8980" spans="1:5" x14ac:dyDescent="0.2">
      <c r="A8980" s="28">
        <v>8979</v>
      </c>
      <c r="B8980" s="28" t="e">
        <f>interpola(#REF!,CURVA!$B$6:$B$20,CURVA!$G$6:$G$20)</f>
        <v>#VALUE!</v>
      </c>
      <c r="C8980" s="29" t="e">
        <f t="shared" si="140"/>
        <v>#VALUE!</v>
      </c>
      <c r="E8980" t="e">
        <f>cubic_spline(CURVA!$B$6:$B$20,CURVA!$G$6:$G$20,#REF!)</f>
        <v>#VALUE!</v>
      </c>
    </row>
    <row r="8981" spans="1:5" x14ac:dyDescent="0.2">
      <c r="A8981" s="28">
        <v>8980</v>
      </c>
      <c r="B8981" s="28" t="e">
        <f>interpola(#REF!,CURVA!$B$6:$B$20,CURVA!$G$6:$G$20)</f>
        <v>#VALUE!</v>
      </c>
      <c r="C8981" s="29" t="e">
        <f t="shared" si="140"/>
        <v>#VALUE!</v>
      </c>
      <c r="E8981" t="e">
        <f>cubic_spline(CURVA!$B$6:$B$20,CURVA!$G$6:$G$20,#REF!)</f>
        <v>#VALUE!</v>
      </c>
    </row>
    <row r="8982" spans="1:5" x14ac:dyDescent="0.2">
      <c r="A8982" s="28">
        <v>8981</v>
      </c>
      <c r="B8982" s="28" t="e">
        <f>interpola(#REF!,CURVA!$B$6:$B$20,CURVA!$G$6:$G$20)</f>
        <v>#VALUE!</v>
      </c>
      <c r="C8982" s="29" t="e">
        <f t="shared" si="140"/>
        <v>#VALUE!</v>
      </c>
      <c r="E8982" t="e">
        <f>cubic_spline(CURVA!$B$6:$B$20,CURVA!$G$6:$G$20,#REF!)</f>
        <v>#VALUE!</v>
      </c>
    </row>
    <row r="8983" spans="1:5" x14ac:dyDescent="0.2">
      <c r="A8983" s="28">
        <v>8982</v>
      </c>
      <c r="B8983" s="28" t="e">
        <f>interpola(#REF!,CURVA!$B$6:$B$20,CURVA!$G$6:$G$20)</f>
        <v>#VALUE!</v>
      </c>
      <c r="C8983" s="29" t="e">
        <f t="shared" si="140"/>
        <v>#VALUE!</v>
      </c>
      <c r="E8983" t="e">
        <f>cubic_spline(CURVA!$B$6:$B$20,CURVA!$G$6:$G$20,#REF!)</f>
        <v>#VALUE!</v>
      </c>
    </row>
    <row r="8984" spans="1:5" x14ac:dyDescent="0.2">
      <c r="A8984" s="28">
        <v>8983</v>
      </c>
      <c r="B8984" s="28" t="e">
        <f>interpola(#REF!,CURVA!$B$6:$B$20,CURVA!$G$6:$G$20)</f>
        <v>#VALUE!</v>
      </c>
      <c r="C8984" s="29" t="e">
        <f t="shared" si="140"/>
        <v>#VALUE!</v>
      </c>
      <c r="E8984" t="e">
        <f>cubic_spline(CURVA!$B$6:$B$20,CURVA!$G$6:$G$20,#REF!)</f>
        <v>#VALUE!</v>
      </c>
    </row>
    <row r="8985" spans="1:5" x14ac:dyDescent="0.2">
      <c r="A8985" s="28">
        <v>8984</v>
      </c>
      <c r="B8985" s="28" t="e">
        <f>interpola(#REF!,CURVA!$B$6:$B$20,CURVA!$G$6:$G$20)</f>
        <v>#VALUE!</v>
      </c>
      <c r="C8985" s="29" t="e">
        <f t="shared" si="140"/>
        <v>#VALUE!</v>
      </c>
      <c r="E8985" t="e">
        <f>cubic_spline(CURVA!$B$6:$B$20,CURVA!$G$6:$G$20,#REF!)</f>
        <v>#VALUE!</v>
      </c>
    </row>
    <row r="8986" spans="1:5" x14ac:dyDescent="0.2">
      <c r="A8986" s="28">
        <v>8985</v>
      </c>
      <c r="B8986" s="28" t="e">
        <f>interpola(#REF!,CURVA!$B$6:$B$20,CURVA!$G$6:$G$20)</f>
        <v>#VALUE!</v>
      </c>
      <c r="C8986" s="29" t="e">
        <f t="shared" si="140"/>
        <v>#VALUE!</v>
      </c>
      <c r="E8986" t="e">
        <f>cubic_spline(CURVA!$B$6:$B$20,CURVA!$G$6:$G$20,#REF!)</f>
        <v>#VALUE!</v>
      </c>
    </row>
    <row r="8987" spans="1:5" x14ac:dyDescent="0.2">
      <c r="A8987" s="28">
        <v>8986</v>
      </c>
      <c r="B8987" s="28" t="e">
        <f>interpola(#REF!,CURVA!$B$6:$B$20,CURVA!$G$6:$G$20)</f>
        <v>#VALUE!</v>
      </c>
      <c r="C8987" s="29" t="e">
        <f t="shared" si="140"/>
        <v>#VALUE!</v>
      </c>
      <c r="E8987" t="e">
        <f>cubic_spline(CURVA!$B$6:$B$20,CURVA!$G$6:$G$20,#REF!)</f>
        <v>#VALUE!</v>
      </c>
    </row>
    <row r="8988" spans="1:5" x14ac:dyDescent="0.2">
      <c r="A8988" s="28">
        <v>8987</v>
      </c>
      <c r="B8988" s="28" t="e">
        <f>interpola(#REF!,CURVA!$B$6:$B$20,CURVA!$G$6:$G$20)</f>
        <v>#VALUE!</v>
      </c>
      <c r="C8988" s="29" t="e">
        <f t="shared" si="140"/>
        <v>#VALUE!</v>
      </c>
      <c r="E8988" t="e">
        <f>cubic_spline(CURVA!$B$6:$B$20,CURVA!$G$6:$G$20,#REF!)</f>
        <v>#VALUE!</v>
      </c>
    </row>
    <row r="8989" spans="1:5" x14ac:dyDescent="0.2">
      <c r="A8989" s="28">
        <v>8988</v>
      </c>
      <c r="B8989" s="28" t="e">
        <f>interpola(#REF!,CURVA!$B$6:$B$20,CURVA!$G$6:$G$20)</f>
        <v>#VALUE!</v>
      </c>
      <c r="C8989" s="29" t="e">
        <f t="shared" si="140"/>
        <v>#VALUE!</v>
      </c>
      <c r="E8989" t="e">
        <f>cubic_spline(CURVA!$B$6:$B$20,CURVA!$G$6:$G$20,#REF!)</f>
        <v>#VALUE!</v>
      </c>
    </row>
    <row r="8990" spans="1:5" x14ac:dyDescent="0.2">
      <c r="A8990" s="28">
        <v>8989</v>
      </c>
      <c r="B8990" s="28" t="e">
        <f>interpola(#REF!,CURVA!$B$6:$B$20,CURVA!$G$6:$G$20)</f>
        <v>#VALUE!</v>
      </c>
      <c r="C8990" s="29" t="e">
        <f t="shared" si="140"/>
        <v>#VALUE!</v>
      </c>
      <c r="E8990" t="e">
        <f>cubic_spline(CURVA!$B$6:$B$20,CURVA!$G$6:$G$20,#REF!)</f>
        <v>#VALUE!</v>
      </c>
    </row>
    <row r="8991" spans="1:5" x14ac:dyDescent="0.2">
      <c r="A8991" s="28">
        <v>8990</v>
      </c>
      <c r="B8991" s="28" t="e">
        <f>interpola(#REF!,CURVA!$B$6:$B$20,CURVA!$G$6:$G$20)</f>
        <v>#VALUE!</v>
      </c>
      <c r="C8991" s="29" t="e">
        <f t="shared" si="140"/>
        <v>#VALUE!</v>
      </c>
      <c r="E8991" t="e">
        <f>cubic_spline(CURVA!$B$6:$B$20,CURVA!$G$6:$G$20,#REF!)</f>
        <v>#VALUE!</v>
      </c>
    </row>
    <row r="8992" spans="1:5" x14ac:dyDescent="0.2">
      <c r="A8992" s="28">
        <v>8991</v>
      </c>
      <c r="B8992" s="28" t="e">
        <f>interpola(#REF!,CURVA!$B$6:$B$20,CURVA!$G$6:$G$20)</f>
        <v>#VALUE!</v>
      </c>
      <c r="C8992" s="29" t="e">
        <f t="shared" si="140"/>
        <v>#VALUE!</v>
      </c>
      <c r="E8992" t="e">
        <f>cubic_spline(CURVA!$B$6:$B$20,CURVA!$G$6:$G$20,#REF!)</f>
        <v>#VALUE!</v>
      </c>
    </row>
    <row r="8993" spans="1:5" x14ac:dyDescent="0.2">
      <c r="A8993" s="28">
        <v>8992</v>
      </c>
      <c r="B8993" s="28" t="e">
        <f>interpola(#REF!,CURVA!$B$6:$B$20,CURVA!$G$6:$G$20)</f>
        <v>#VALUE!</v>
      </c>
      <c r="C8993" s="29" t="e">
        <f t="shared" si="140"/>
        <v>#VALUE!</v>
      </c>
      <c r="E8993" t="e">
        <f>cubic_spline(CURVA!$B$6:$B$20,CURVA!$G$6:$G$20,#REF!)</f>
        <v>#VALUE!</v>
      </c>
    </row>
    <row r="8994" spans="1:5" x14ac:dyDescent="0.2">
      <c r="A8994" s="28">
        <v>8993</v>
      </c>
      <c r="B8994" s="28" t="e">
        <f>interpola(#REF!,CURVA!$B$6:$B$20,CURVA!$G$6:$G$20)</f>
        <v>#VALUE!</v>
      </c>
      <c r="C8994" s="29" t="e">
        <f t="shared" si="140"/>
        <v>#VALUE!</v>
      </c>
      <c r="E8994" t="e">
        <f>cubic_spline(CURVA!$B$6:$B$20,CURVA!$G$6:$G$20,#REF!)</f>
        <v>#VALUE!</v>
      </c>
    </row>
    <row r="8995" spans="1:5" x14ac:dyDescent="0.2">
      <c r="A8995" s="28">
        <v>8994</v>
      </c>
      <c r="B8995" s="28" t="e">
        <f>interpola(#REF!,CURVA!$B$6:$B$20,CURVA!$G$6:$G$20)</f>
        <v>#VALUE!</v>
      </c>
      <c r="C8995" s="29" t="e">
        <f t="shared" si="140"/>
        <v>#VALUE!</v>
      </c>
      <c r="E8995" t="e">
        <f>cubic_spline(CURVA!$B$6:$B$20,CURVA!$G$6:$G$20,#REF!)</f>
        <v>#VALUE!</v>
      </c>
    </row>
    <row r="8996" spans="1:5" x14ac:dyDescent="0.2">
      <c r="A8996" s="28">
        <v>8995</v>
      </c>
      <c r="B8996" s="28" t="e">
        <f>interpola(#REF!,CURVA!$B$6:$B$20,CURVA!$G$6:$G$20)</f>
        <v>#VALUE!</v>
      </c>
      <c r="C8996" s="29" t="e">
        <f t="shared" si="140"/>
        <v>#VALUE!</v>
      </c>
      <c r="E8996" t="e">
        <f>cubic_spline(CURVA!$B$6:$B$20,CURVA!$G$6:$G$20,#REF!)</f>
        <v>#VALUE!</v>
      </c>
    </row>
    <row r="8997" spans="1:5" x14ac:dyDescent="0.2">
      <c r="A8997" s="28">
        <v>8996</v>
      </c>
      <c r="B8997" s="28" t="e">
        <f>interpola(#REF!,CURVA!$B$6:$B$20,CURVA!$G$6:$G$20)</f>
        <v>#VALUE!</v>
      </c>
      <c r="C8997" s="29" t="e">
        <f t="shared" si="140"/>
        <v>#VALUE!</v>
      </c>
      <c r="E8997" t="e">
        <f>cubic_spline(CURVA!$B$6:$B$20,CURVA!$G$6:$G$20,#REF!)</f>
        <v>#VALUE!</v>
      </c>
    </row>
    <row r="8998" spans="1:5" x14ac:dyDescent="0.2">
      <c r="A8998" s="28">
        <v>8997</v>
      </c>
      <c r="B8998" s="28" t="e">
        <f>interpola(#REF!,CURVA!$B$6:$B$20,CURVA!$G$6:$G$20)</f>
        <v>#VALUE!</v>
      </c>
      <c r="C8998" s="29" t="e">
        <f t="shared" si="140"/>
        <v>#VALUE!</v>
      </c>
      <c r="E8998" t="e">
        <f>cubic_spline(CURVA!$B$6:$B$20,CURVA!$G$6:$G$20,#REF!)</f>
        <v>#VALUE!</v>
      </c>
    </row>
    <row r="8999" spans="1:5" x14ac:dyDescent="0.2">
      <c r="A8999" s="28">
        <v>8998</v>
      </c>
      <c r="B8999" s="28" t="e">
        <f>interpola(#REF!,CURVA!$B$6:$B$20,CURVA!$G$6:$G$20)</f>
        <v>#VALUE!</v>
      </c>
      <c r="C8999" s="29" t="e">
        <f t="shared" si="140"/>
        <v>#VALUE!</v>
      </c>
      <c r="E8999" t="e">
        <f>cubic_spline(CURVA!$B$6:$B$20,CURVA!$G$6:$G$20,#REF!)</f>
        <v>#VALUE!</v>
      </c>
    </row>
    <row r="9000" spans="1:5" x14ac:dyDescent="0.2">
      <c r="A9000" s="28">
        <v>8999</v>
      </c>
      <c r="B9000" s="28" t="e">
        <f>interpola(#REF!,CURVA!$B$6:$B$20,CURVA!$G$6:$G$20)</f>
        <v>#VALUE!</v>
      </c>
      <c r="C9000" s="29" t="e">
        <f t="shared" si="140"/>
        <v>#VALUE!</v>
      </c>
      <c r="E9000" t="e">
        <f>cubic_spline(CURVA!$B$6:$B$20,CURVA!$G$6:$G$20,#REF!)</f>
        <v>#VALUE!</v>
      </c>
    </row>
    <row r="9001" spans="1:5" x14ac:dyDescent="0.2">
      <c r="A9001" s="28">
        <v>9000</v>
      </c>
      <c r="B9001" s="28" t="e">
        <f>interpola(#REF!,CURVA!$B$6:$B$20,CURVA!$G$6:$G$20)</f>
        <v>#VALUE!</v>
      </c>
      <c r="C9001" s="29" t="e">
        <f t="shared" si="140"/>
        <v>#VALUE!</v>
      </c>
      <c r="E9001" t="e">
        <f>cubic_spline(CURVA!$B$6:$B$20,CURVA!$G$6:$G$20,#REF!)</f>
        <v>#VALUE!</v>
      </c>
    </row>
    <row r="9002" spans="1:5" x14ac:dyDescent="0.2">
      <c r="A9002" s="28">
        <v>9001</v>
      </c>
      <c r="B9002" s="28" t="e">
        <f>interpola(#REF!,CURVA!$B$6:$B$20,CURVA!$G$6:$G$20)</f>
        <v>#VALUE!</v>
      </c>
      <c r="C9002" s="29" t="e">
        <f t="shared" si="140"/>
        <v>#VALUE!</v>
      </c>
      <c r="E9002" t="e">
        <f>cubic_spline(CURVA!$B$6:$B$20,CURVA!$G$6:$G$20,#REF!)</f>
        <v>#VALUE!</v>
      </c>
    </row>
    <row r="9003" spans="1:5" x14ac:dyDescent="0.2">
      <c r="A9003" s="28">
        <v>9002</v>
      </c>
      <c r="B9003" s="28" t="e">
        <f>interpola(#REF!,CURVA!$B$6:$B$20,CURVA!$G$6:$G$20)</f>
        <v>#VALUE!</v>
      </c>
      <c r="C9003" s="29" t="e">
        <f t="shared" si="140"/>
        <v>#VALUE!</v>
      </c>
      <c r="E9003" t="e">
        <f>cubic_spline(CURVA!$B$6:$B$20,CURVA!$G$6:$G$20,#REF!)</f>
        <v>#VALUE!</v>
      </c>
    </row>
    <row r="9004" spans="1:5" x14ac:dyDescent="0.2">
      <c r="A9004" s="28">
        <v>9003</v>
      </c>
      <c r="B9004" s="28" t="e">
        <f>interpola(#REF!,CURVA!$B$6:$B$20,CURVA!$G$6:$G$20)</f>
        <v>#VALUE!</v>
      </c>
      <c r="C9004" s="29" t="e">
        <f t="shared" si="140"/>
        <v>#VALUE!</v>
      </c>
      <c r="E9004" t="e">
        <f>cubic_spline(CURVA!$B$6:$B$20,CURVA!$G$6:$G$20,#REF!)</f>
        <v>#VALUE!</v>
      </c>
    </row>
    <row r="9005" spans="1:5" x14ac:dyDescent="0.2">
      <c r="A9005" s="28">
        <v>9004</v>
      </c>
      <c r="B9005" s="28" t="e">
        <f>interpola(#REF!,CURVA!$B$6:$B$20,CURVA!$G$6:$G$20)</f>
        <v>#VALUE!</v>
      </c>
      <c r="C9005" s="29" t="e">
        <f t="shared" si="140"/>
        <v>#VALUE!</v>
      </c>
      <c r="E9005" t="e">
        <f>cubic_spline(CURVA!$B$6:$B$20,CURVA!$G$6:$G$20,#REF!)</f>
        <v>#VALUE!</v>
      </c>
    </row>
    <row r="9006" spans="1:5" x14ac:dyDescent="0.2">
      <c r="A9006" s="28">
        <v>9005</v>
      </c>
      <c r="B9006" s="28" t="e">
        <f>interpola(#REF!,CURVA!$B$6:$B$20,CURVA!$G$6:$G$20)</f>
        <v>#VALUE!</v>
      </c>
      <c r="C9006" s="29" t="e">
        <f t="shared" si="140"/>
        <v>#VALUE!</v>
      </c>
      <c r="E9006" t="e">
        <f>cubic_spline(CURVA!$B$6:$B$20,CURVA!$G$6:$G$20,#REF!)</f>
        <v>#VALUE!</v>
      </c>
    </row>
    <row r="9007" spans="1:5" x14ac:dyDescent="0.2">
      <c r="A9007" s="28">
        <v>9006</v>
      </c>
      <c r="B9007" s="28" t="e">
        <f>interpola(#REF!,CURVA!$B$6:$B$20,CURVA!$G$6:$G$20)</f>
        <v>#VALUE!</v>
      </c>
      <c r="C9007" s="29" t="e">
        <f t="shared" si="140"/>
        <v>#VALUE!</v>
      </c>
      <c r="E9007" t="e">
        <f>cubic_spline(CURVA!$B$6:$B$20,CURVA!$G$6:$G$20,#REF!)</f>
        <v>#VALUE!</v>
      </c>
    </row>
    <row r="9008" spans="1:5" x14ac:dyDescent="0.2">
      <c r="A9008" s="28">
        <v>9007</v>
      </c>
      <c r="B9008" s="28" t="e">
        <f>interpola(#REF!,CURVA!$B$6:$B$20,CURVA!$G$6:$G$20)</f>
        <v>#VALUE!</v>
      </c>
      <c r="C9008" s="29" t="e">
        <f t="shared" si="140"/>
        <v>#VALUE!</v>
      </c>
      <c r="E9008" t="e">
        <f>cubic_spline(CURVA!$B$6:$B$20,CURVA!$G$6:$G$20,#REF!)</f>
        <v>#VALUE!</v>
      </c>
    </row>
    <row r="9009" spans="1:5" x14ac:dyDescent="0.2">
      <c r="A9009" s="28">
        <v>9008</v>
      </c>
      <c r="B9009" s="28" t="e">
        <f>interpola(#REF!,CURVA!$B$6:$B$20,CURVA!$G$6:$G$20)</f>
        <v>#VALUE!</v>
      </c>
      <c r="C9009" s="29" t="e">
        <f t="shared" si="140"/>
        <v>#VALUE!</v>
      </c>
      <c r="E9009" t="e">
        <f>cubic_spline(CURVA!$B$6:$B$20,CURVA!$G$6:$G$20,#REF!)</f>
        <v>#VALUE!</v>
      </c>
    </row>
    <row r="9010" spans="1:5" x14ac:dyDescent="0.2">
      <c r="A9010" s="28">
        <v>9009</v>
      </c>
      <c r="B9010" s="28" t="e">
        <f>interpola(#REF!,CURVA!$B$6:$B$20,CURVA!$G$6:$G$20)</f>
        <v>#VALUE!</v>
      </c>
      <c r="C9010" s="29" t="e">
        <f t="shared" si="140"/>
        <v>#VALUE!</v>
      </c>
      <c r="E9010" t="e">
        <f>cubic_spline(CURVA!$B$6:$B$20,CURVA!$G$6:$G$20,#REF!)</f>
        <v>#VALUE!</v>
      </c>
    </row>
    <row r="9011" spans="1:5" x14ac:dyDescent="0.2">
      <c r="A9011" s="28">
        <v>9010</v>
      </c>
      <c r="B9011" s="28" t="e">
        <f>interpola(#REF!,CURVA!$B$6:$B$20,CURVA!$G$6:$G$20)</f>
        <v>#VALUE!</v>
      </c>
      <c r="C9011" s="29" t="e">
        <f t="shared" si="140"/>
        <v>#VALUE!</v>
      </c>
      <c r="E9011" t="e">
        <f>cubic_spline(CURVA!$B$6:$B$20,CURVA!$G$6:$G$20,#REF!)</f>
        <v>#VALUE!</v>
      </c>
    </row>
    <row r="9012" spans="1:5" x14ac:dyDescent="0.2">
      <c r="A9012" s="28">
        <v>9011</v>
      </c>
      <c r="B9012" s="28" t="e">
        <f>interpola(#REF!,CURVA!$B$6:$B$20,CURVA!$G$6:$G$20)</f>
        <v>#VALUE!</v>
      </c>
      <c r="C9012" s="29" t="e">
        <f t="shared" si="140"/>
        <v>#VALUE!</v>
      </c>
      <c r="E9012" t="e">
        <f>cubic_spline(CURVA!$B$6:$B$20,CURVA!$G$6:$G$20,#REF!)</f>
        <v>#VALUE!</v>
      </c>
    </row>
    <row r="9013" spans="1:5" x14ac:dyDescent="0.2">
      <c r="A9013" s="28">
        <v>9012</v>
      </c>
      <c r="B9013" s="28" t="e">
        <f>interpola(#REF!,CURVA!$B$6:$B$20,CURVA!$G$6:$G$20)</f>
        <v>#VALUE!</v>
      </c>
      <c r="C9013" s="29" t="e">
        <f t="shared" si="140"/>
        <v>#VALUE!</v>
      </c>
      <c r="E9013" t="e">
        <f>cubic_spline(CURVA!$B$6:$B$20,CURVA!$G$6:$G$20,#REF!)</f>
        <v>#VALUE!</v>
      </c>
    </row>
    <row r="9014" spans="1:5" x14ac:dyDescent="0.2">
      <c r="A9014" s="28">
        <v>9013</v>
      </c>
      <c r="B9014" s="28" t="e">
        <f>interpola(#REF!,CURVA!$B$6:$B$20,CURVA!$G$6:$G$20)</f>
        <v>#VALUE!</v>
      </c>
      <c r="C9014" s="29" t="e">
        <f t="shared" si="140"/>
        <v>#VALUE!</v>
      </c>
      <c r="E9014" t="e">
        <f>cubic_spline(CURVA!$B$6:$B$20,CURVA!$G$6:$G$20,#REF!)</f>
        <v>#VALUE!</v>
      </c>
    </row>
    <row r="9015" spans="1:5" x14ac:dyDescent="0.2">
      <c r="A9015" s="28">
        <v>9014</v>
      </c>
      <c r="B9015" s="28" t="e">
        <f>interpola(#REF!,CURVA!$B$6:$B$20,CURVA!$G$6:$G$20)</f>
        <v>#VALUE!</v>
      </c>
      <c r="C9015" s="29" t="e">
        <f t="shared" si="140"/>
        <v>#VALUE!</v>
      </c>
      <c r="E9015" t="e">
        <f>cubic_spline(CURVA!$B$6:$B$20,CURVA!$G$6:$G$20,#REF!)</f>
        <v>#VALUE!</v>
      </c>
    </row>
    <row r="9016" spans="1:5" x14ac:dyDescent="0.2">
      <c r="A9016" s="28">
        <v>9015</v>
      </c>
      <c r="B9016" s="28" t="e">
        <f>interpola(#REF!,CURVA!$B$6:$B$20,CURVA!$G$6:$G$20)</f>
        <v>#VALUE!</v>
      </c>
      <c r="C9016" s="29" t="e">
        <f t="shared" si="140"/>
        <v>#VALUE!</v>
      </c>
      <c r="E9016" t="e">
        <f>cubic_spline(CURVA!$B$6:$B$20,CURVA!$G$6:$G$20,#REF!)</f>
        <v>#VALUE!</v>
      </c>
    </row>
    <row r="9017" spans="1:5" x14ac:dyDescent="0.2">
      <c r="A9017" s="28">
        <v>9016</v>
      </c>
      <c r="B9017" s="28" t="e">
        <f>interpola(#REF!,CURVA!$B$6:$B$20,CURVA!$G$6:$G$20)</f>
        <v>#VALUE!</v>
      </c>
      <c r="C9017" s="29" t="e">
        <f t="shared" si="140"/>
        <v>#VALUE!</v>
      </c>
      <c r="E9017" t="e">
        <f>cubic_spline(CURVA!$B$6:$B$20,CURVA!$G$6:$G$20,#REF!)</f>
        <v>#VALUE!</v>
      </c>
    </row>
    <row r="9018" spans="1:5" x14ac:dyDescent="0.2">
      <c r="A9018" s="28">
        <v>9017</v>
      </c>
      <c r="B9018" s="28" t="e">
        <f>interpola(#REF!,CURVA!$B$6:$B$20,CURVA!$G$6:$G$20)</f>
        <v>#VALUE!</v>
      </c>
      <c r="C9018" s="29" t="e">
        <f t="shared" si="140"/>
        <v>#VALUE!</v>
      </c>
      <c r="E9018" t="e">
        <f>cubic_spline(CURVA!$B$6:$B$20,CURVA!$G$6:$G$20,#REF!)</f>
        <v>#VALUE!</v>
      </c>
    </row>
    <row r="9019" spans="1:5" x14ac:dyDescent="0.2">
      <c r="A9019" s="28">
        <v>9018</v>
      </c>
      <c r="B9019" s="28" t="e">
        <f>interpola(#REF!,CURVA!$B$6:$B$20,CURVA!$G$6:$G$20)</f>
        <v>#VALUE!</v>
      </c>
      <c r="C9019" s="29" t="e">
        <f t="shared" si="140"/>
        <v>#VALUE!</v>
      </c>
      <c r="E9019" t="e">
        <f>cubic_spline(CURVA!$B$6:$B$20,CURVA!$G$6:$G$20,#REF!)</f>
        <v>#VALUE!</v>
      </c>
    </row>
    <row r="9020" spans="1:5" x14ac:dyDescent="0.2">
      <c r="A9020" s="28">
        <v>9019</v>
      </c>
      <c r="B9020" s="28" t="e">
        <f>interpola(#REF!,CURVA!$B$6:$B$20,CURVA!$G$6:$G$20)</f>
        <v>#VALUE!</v>
      </c>
      <c r="C9020" s="29" t="e">
        <f t="shared" si="140"/>
        <v>#VALUE!</v>
      </c>
      <c r="E9020" t="e">
        <f>cubic_spline(CURVA!$B$6:$B$20,CURVA!$G$6:$G$20,#REF!)</f>
        <v>#VALUE!</v>
      </c>
    </row>
    <row r="9021" spans="1:5" x14ac:dyDescent="0.2">
      <c r="A9021" s="28">
        <v>9020</v>
      </c>
      <c r="B9021" s="28" t="e">
        <f>interpola(#REF!,CURVA!$B$6:$B$20,CURVA!$G$6:$G$20)</f>
        <v>#VALUE!</v>
      </c>
      <c r="C9021" s="29" t="e">
        <f t="shared" si="140"/>
        <v>#VALUE!</v>
      </c>
      <c r="E9021" t="e">
        <f>cubic_spline(CURVA!$B$6:$B$20,CURVA!$G$6:$G$20,#REF!)</f>
        <v>#VALUE!</v>
      </c>
    </row>
    <row r="9022" spans="1:5" x14ac:dyDescent="0.2">
      <c r="A9022" s="28">
        <v>9021</v>
      </c>
      <c r="B9022" s="28" t="e">
        <f>interpola(#REF!,CURVA!$B$6:$B$20,CURVA!$G$6:$G$20)</f>
        <v>#VALUE!</v>
      </c>
      <c r="C9022" s="29" t="e">
        <f t="shared" si="140"/>
        <v>#VALUE!</v>
      </c>
      <c r="E9022" t="e">
        <f>cubic_spline(CURVA!$B$6:$B$20,CURVA!$G$6:$G$20,#REF!)</f>
        <v>#VALUE!</v>
      </c>
    </row>
    <row r="9023" spans="1:5" x14ac:dyDescent="0.2">
      <c r="A9023" s="28">
        <v>9022</v>
      </c>
      <c r="B9023" s="28" t="e">
        <f>interpola(#REF!,CURVA!$B$6:$B$20,CURVA!$G$6:$G$20)</f>
        <v>#VALUE!</v>
      </c>
      <c r="C9023" s="29" t="e">
        <f t="shared" si="140"/>
        <v>#VALUE!</v>
      </c>
      <c r="E9023" t="e">
        <f>cubic_spline(CURVA!$B$6:$B$20,CURVA!$G$6:$G$20,#REF!)</f>
        <v>#VALUE!</v>
      </c>
    </row>
    <row r="9024" spans="1:5" x14ac:dyDescent="0.2">
      <c r="A9024" s="28">
        <v>9023</v>
      </c>
      <c r="B9024" s="28" t="e">
        <f>interpola(#REF!,CURVA!$B$6:$B$20,CURVA!$G$6:$G$20)</f>
        <v>#VALUE!</v>
      </c>
      <c r="C9024" s="29" t="e">
        <f t="shared" si="140"/>
        <v>#VALUE!</v>
      </c>
      <c r="E9024" t="e">
        <f>cubic_spline(CURVA!$B$6:$B$20,CURVA!$G$6:$G$20,#REF!)</f>
        <v>#VALUE!</v>
      </c>
    </row>
    <row r="9025" spans="1:5" x14ac:dyDescent="0.2">
      <c r="A9025" s="28">
        <v>9024</v>
      </c>
      <c r="B9025" s="28" t="e">
        <f>interpola(#REF!,CURVA!$B$6:$B$20,CURVA!$G$6:$G$20)</f>
        <v>#VALUE!</v>
      </c>
      <c r="C9025" s="29" t="e">
        <f t="shared" si="140"/>
        <v>#VALUE!</v>
      </c>
      <c r="E9025" t="e">
        <f>cubic_spline(CURVA!$B$6:$B$20,CURVA!$G$6:$G$20,#REF!)</f>
        <v>#VALUE!</v>
      </c>
    </row>
    <row r="9026" spans="1:5" x14ac:dyDescent="0.2">
      <c r="A9026" s="28">
        <v>9025</v>
      </c>
      <c r="B9026" s="28" t="e">
        <f>interpola(#REF!,CURVA!$B$6:$B$20,CURVA!$G$6:$G$20)</f>
        <v>#VALUE!</v>
      </c>
      <c r="C9026" s="29" t="e">
        <f t="shared" ref="C9026:C9089" si="141">(EXP(B9026*A9026/360)-1)*360/A9026</f>
        <v>#VALUE!</v>
      </c>
      <c r="E9026" t="e">
        <f>cubic_spline(CURVA!$B$6:$B$20,CURVA!$G$6:$G$20,#REF!)</f>
        <v>#VALUE!</v>
      </c>
    </row>
    <row r="9027" spans="1:5" x14ac:dyDescent="0.2">
      <c r="A9027" s="28">
        <v>9026</v>
      </c>
      <c r="B9027" s="28" t="e">
        <f>interpola(#REF!,CURVA!$B$6:$B$20,CURVA!$G$6:$G$20)</f>
        <v>#VALUE!</v>
      </c>
      <c r="C9027" s="29" t="e">
        <f t="shared" si="141"/>
        <v>#VALUE!</v>
      </c>
      <c r="E9027" t="e">
        <f>cubic_spline(CURVA!$B$6:$B$20,CURVA!$G$6:$G$20,#REF!)</f>
        <v>#VALUE!</v>
      </c>
    </row>
    <row r="9028" spans="1:5" x14ac:dyDescent="0.2">
      <c r="A9028" s="28">
        <v>9027</v>
      </c>
      <c r="B9028" s="28" t="e">
        <f>interpola(#REF!,CURVA!$B$6:$B$20,CURVA!$G$6:$G$20)</f>
        <v>#VALUE!</v>
      </c>
      <c r="C9028" s="29" t="e">
        <f t="shared" si="141"/>
        <v>#VALUE!</v>
      </c>
      <c r="E9028" t="e">
        <f>cubic_spline(CURVA!$B$6:$B$20,CURVA!$G$6:$G$20,#REF!)</f>
        <v>#VALUE!</v>
      </c>
    </row>
    <row r="9029" spans="1:5" x14ac:dyDescent="0.2">
      <c r="A9029" s="28">
        <v>9028</v>
      </c>
      <c r="B9029" s="28" t="e">
        <f>interpola(#REF!,CURVA!$B$6:$B$20,CURVA!$G$6:$G$20)</f>
        <v>#VALUE!</v>
      </c>
      <c r="C9029" s="29" t="e">
        <f t="shared" si="141"/>
        <v>#VALUE!</v>
      </c>
      <c r="E9029" t="e">
        <f>cubic_spline(CURVA!$B$6:$B$20,CURVA!$G$6:$G$20,#REF!)</f>
        <v>#VALUE!</v>
      </c>
    </row>
    <row r="9030" spans="1:5" x14ac:dyDescent="0.2">
      <c r="A9030" s="28">
        <v>9029</v>
      </c>
      <c r="B9030" s="28" t="e">
        <f>interpola(#REF!,CURVA!$B$6:$B$20,CURVA!$G$6:$G$20)</f>
        <v>#VALUE!</v>
      </c>
      <c r="C9030" s="29" t="e">
        <f t="shared" si="141"/>
        <v>#VALUE!</v>
      </c>
      <c r="E9030" t="e">
        <f>cubic_spline(CURVA!$B$6:$B$20,CURVA!$G$6:$G$20,#REF!)</f>
        <v>#VALUE!</v>
      </c>
    </row>
    <row r="9031" spans="1:5" x14ac:dyDescent="0.2">
      <c r="A9031" s="28">
        <v>9030</v>
      </c>
      <c r="B9031" s="28" t="e">
        <f>interpola(#REF!,CURVA!$B$6:$B$20,CURVA!$G$6:$G$20)</f>
        <v>#VALUE!</v>
      </c>
      <c r="C9031" s="29" t="e">
        <f t="shared" si="141"/>
        <v>#VALUE!</v>
      </c>
      <c r="E9031" t="e">
        <f>cubic_spline(CURVA!$B$6:$B$20,CURVA!$G$6:$G$20,#REF!)</f>
        <v>#VALUE!</v>
      </c>
    </row>
    <row r="9032" spans="1:5" x14ac:dyDescent="0.2">
      <c r="A9032" s="28">
        <v>9031</v>
      </c>
      <c r="B9032" s="28" t="e">
        <f>interpola(#REF!,CURVA!$B$6:$B$20,CURVA!$G$6:$G$20)</f>
        <v>#VALUE!</v>
      </c>
      <c r="C9032" s="29" t="e">
        <f t="shared" si="141"/>
        <v>#VALUE!</v>
      </c>
      <c r="E9032" t="e">
        <f>cubic_spline(CURVA!$B$6:$B$20,CURVA!$G$6:$G$20,#REF!)</f>
        <v>#VALUE!</v>
      </c>
    </row>
    <row r="9033" spans="1:5" x14ac:dyDescent="0.2">
      <c r="A9033" s="28">
        <v>9032</v>
      </c>
      <c r="B9033" s="28" t="e">
        <f>interpola(#REF!,CURVA!$B$6:$B$20,CURVA!$G$6:$G$20)</f>
        <v>#VALUE!</v>
      </c>
      <c r="C9033" s="29" t="e">
        <f t="shared" si="141"/>
        <v>#VALUE!</v>
      </c>
      <c r="E9033" t="e">
        <f>cubic_spline(CURVA!$B$6:$B$20,CURVA!$G$6:$G$20,#REF!)</f>
        <v>#VALUE!</v>
      </c>
    </row>
    <row r="9034" spans="1:5" x14ac:dyDescent="0.2">
      <c r="A9034" s="28">
        <v>9033</v>
      </c>
      <c r="B9034" s="28" t="e">
        <f>interpola(#REF!,CURVA!$B$6:$B$20,CURVA!$G$6:$G$20)</f>
        <v>#VALUE!</v>
      </c>
      <c r="C9034" s="29" t="e">
        <f t="shared" si="141"/>
        <v>#VALUE!</v>
      </c>
      <c r="E9034" t="e">
        <f>cubic_spline(CURVA!$B$6:$B$20,CURVA!$G$6:$G$20,#REF!)</f>
        <v>#VALUE!</v>
      </c>
    </row>
    <row r="9035" spans="1:5" x14ac:dyDescent="0.2">
      <c r="A9035" s="28">
        <v>9034</v>
      </c>
      <c r="B9035" s="28" t="e">
        <f>interpola(#REF!,CURVA!$B$6:$B$20,CURVA!$G$6:$G$20)</f>
        <v>#VALUE!</v>
      </c>
      <c r="C9035" s="29" t="e">
        <f t="shared" si="141"/>
        <v>#VALUE!</v>
      </c>
      <c r="E9035" t="e">
        <f>cubic_spline(CURVA!$B$6:$B$20,CURVA!$G$6:$G$20,#REF!)</f>
        <v>#VALUE!</v>
      </c>
    </row>
    <row r="9036" spans="1:5" x14ac:dyDescent="0.2">
      <c r="A9036" s="28">
        <v>9035</v>
      </c>
      <c r="B9036" s="28" t="e">
        <f>interpola(#REF!,CURVA!$B$6:$B$20,CURVA!$G$6:$G$20)</f>
        <v>#VALUE!</v>
      </c>
      <c r="C9036" s="29" t="e">
        <f t="shared" si="141"/>
        <v>#VALUE!</v>
      </c>
      <c r="E9036" t="e">
        <f>cubic_spline(CURVA!$B$6:$B$20,CURVA!$G$6:$G$20,#REF!)</f>
        <v>#VALUE!</v>
      </c>
    </row>
    <row r="9037" spans="1:5" x14ac:dyDescent="0.2">
      <c r="A9037" s="28">
        <v>9036</v>
      </c>
      <c r="B9037" s="28" t="e">
        <f>interpola(#REF!,CURVA!$B$6:$B$20,CURVA!$G$6:$G$20)</f>
        <v>#VALUE!</v>
      </c>
      <c r="C9037" s="29" t="e">
        <f t="shared" si="141"/>
        <v>#VALUE!</v>
      </c>
      <c r="E9037" t="e">
        <f>cubic_spline(CURVA!$B$6:$B$20,CURVA!$G$6:$G$20,#REF!)</f>
        <v>#VALUE!</v>
      </c>
    </row>
    <row r="9038" spans="1:5" x14ac:dyDescent="0.2">
      <c r="A9038" s="28">
        <v>9037</v>
      </c>
      <c r="B9038" s="28" t="e">
        <f>interpola(#REF!,CURVA!$B$6:$B$20,CURVA!$G$6:$G$20)</f>
        <v>#VALUE!</v>
      </c>
      <c r="C9038" s="29" t="e">
        <f t="shared" si="141"/>
        <v>#VALUE!</v>
      </c>
      <c r="E9038" t="e">
        <f>cubic_spline(CURVA!$B$6:$B$20,CURVA!$G$6:$G$20,#REF!)</f>
        <v>#VALUE!</v>
      </c>
    </row>
    <row r="9039" spans="1:5" x14ac:dyDescent="0.2">
      <c r="A9039" s="28">
        <v>9038</v>
      </c>
      <c r="B9039" s="28" t="e">
        <f>interpola(#REF!,CURVA!$B$6:$B$20,CURVA!$G$6:$G$20)</f>
        <v>#VALUE!</v>
      </c>
      <c r="C9039" s="29" t="e">
        <f t="shared" si="141"/>
        <v>#VALUE!</v>
      </c>
      <c r="E9039" t="e">
        <f>cubic_spline(CURVA!$B$6:$B$20,CURVA!$G$6:$G$20,#REF!)</f>
        <v>#VALUE!</v>
      </c>
    </row>
    <row r="9040" spans="1:5" x14ac:dyDescent="0.2">
      <c r="A9040" s="28">
        <v>9039</v>
      </c>
      <c r="B9040" s="28" t="e">
        <f>interpola(#REF!,CURVA!$B$6:$B$20,CURVA!$G$6:$G$20)</f>
        <v>#VALUE!</v>
      </c>
      <c r="C9040" s="29" t="e">
        <f t="shared" si="141"/>
        <v>#VALUE!</v>
      </c>
      <c r="E9040" t="e">
        <f>cubic_spline(CURVA!$B$6:$B$20,CURVA!$G$6:$G$20,#REF!)</f>
        <v>#VALUE!</v>
      </c>
    </row>
    <row r="9041" spans="1:5" x14ac:dyDescent="0.2">
      <c r="A9041" s="28">
        <v>9040</v>
      </c>
      <c r="B9041" s="28" t="e">
        <f>interpola(#REF!,CURVA!$B$6:$B$20,CURVA!$G$6:$G$20)</f>
        <v>#VALUE!</v>
      </c>
      <c r="C9041" s="29" t="e">
        <f t="shared" si="141"/>
        <v>#VALUE!</v>
      </c>
      <c r="E9041" t="e">
        <f>cubic_spline(CURVA!$B$6:$B$20,CURVA!$G$6:$G$20,#REF!)</f>
        <v>#VALUE!</v>
      </c>
    </row>
    <row r="9042" spans="1:5" x14ac:dyDescent="0.2">
      <c r="A9042" s="28">
        <v>9041</v>
      </c>
      <c r="B9042" s="28" t="e">
        <f>interpola(#REF!,CURVA!$B$6:$B$20,CURVA!$G$6:$G$20)</f>
        <v>#VALUE!</v>
      </c>
      <c r="C9042" s="29" t="e">
        <f t="shared" si="141"/>
        <v>#VALUE!</v>
      </c>
      <c r="E9042" t="e">
        <f>cubic_spline(CURVA!$B$6:$B$20,CURVA!$G$6:$G$20,#REF!)</f>
        <v>#VALUE!</v>
      </c>
    </row>
    <row r="9043" spans="1:5" x14ac:dyDescent="0.2">
      <c r="A9043" s="28">
        <v>9042</v>
      </c>
      <c r="B9043" s="28" t="e">
        <f>interpola(#REF!,CURVA!$B$6:$B$20,CURVA!$G$6:$G$20)</f>
        <v>#VALUE!</v>
      </c>
      <c r="C9043" s="29" t="e">
        <f t="shared" si="141"/>
        <v>#VALUE!</v>
      </c>
      <c r="E9043" t="e">
        <f>cubic_spline(CURVA!$B$6:$B$20,CURVA!$G$6:$G$20,#REF!)</f>
        <v>#VALUE!</v>
      </c>
    </row>
    <row r="9044" spans="1:5" x14ac:dyDescent="0.2">
      <c r="A9044" s="28">
        <v>9043</v>
      </c>
      <c r="B9044" s="28" t="e">
        <f>interpola(#REF!,CURVA!$B$6:$B$20,CURVA!$G$6:$G$20)</f>
        <v>#VALUE!</v>
      </c>
      <c r="C9044" s="29" t="e">
        <f t="shared" si="141"/>
        <v>#VALUE!</v>
      </c>
      <c r="E9044" t="e">
        <f>cubic_spline(CURVA!$B$6:$B$20,CURVA!$G$6:$G$20,#REF!)</f>
        <v>#VALUE!</v>
      </c>
    </row>
    <row r="9045" spans="1:5" x14ac:dyDescent="0.2">
      <c r="A9045" s="28">
        <v>9044</v>
      </c>
      <c r="B9045" s="28" t="e">
        <f>interpola(#REF!,CURVA!$B$6:$B$20,CURVA!$G$6:$G$20)</f>
        <v>#VALUE!</v>
      </c>
      <c r="C9045" s="29" t="e">
        <f t="shared" si="141"/>
        <v>#VALUE!</v>
      </c>
      <c r="E9045" t="e">
        <f>cubic_spline(CURVA!$B$6:$B$20,CURVA!$G$6:$G$20,#REF!)</f>
        <v>#VALUE!</v>
      </c>
    </row>
    <row r="9046" spans="1:5" x14ac:dyDescent="0.2">
      <c r="A9046" s="28">
        <v>9045</v>
      </c>
      <c r="B9046" s="28" t="e">
        <f>interpola(#REF!,CURVA!$B$6:$B$20,CURVA!$G$6:$G$20)</f>
        <v>#VALUE!</v>
      </c>
      <c r="C9046" s="29" t="e">
        <f t="shared" si="141"/>
        <v>#VALUE!</v>
      </c>
      <c r="E9046" t="e">
        <f>cubic_spline(CURVA!$B$6:$B$20,CURVA!$G$6:$G$20,#REF!)</f>
        <v>#VALUE!</v>
      </c>
    </row>
    <row r="9047" spans="1:5" x14ac:dyDescent="0.2">
      <c r="A9047" s="28">
        <v>9046</v>
      </c>
      <c r="B9047" s="28" t="e">
        <f>interpola(#REF!,CURVA!$B$6:$B$20,CURVA!$G$6:$G$20)</f>
        <v>#VALUE!</v>
      </c>
      <c r="C9047" s="29" t="e">
        <f t="shared" si="141"/>
        <v>#VALUE!</v>
      </c>
      <c r="E9047" t="e">
        <f>cubic_spline(CURVA!$B$6:$B$20,CURVA!$G$6:$G$20,#REF!)</f>
        <v>#VALUE!</v>
      </c>
    </row>
    <row r="9048" spans="1:5" x14ac:dyDescent="0.2">
      <c r="A9048" s="28">
        <v>9047</v>
      </c>
      <c r="B9048" s="28" t="e">
        <f>interpola(#REF!,CURVA!$B$6:$B$20,CURVA!$G$6:$G$20)</f>
        <v>#VALUE!</v>
      </c>
      <c r="C9048" s="29" t="e">
        <f t="shared" si="141"/>
        <v>#VALUE!</v>
      </c>
      <c r="E9048" t="e">
        <f>cubic_spline(CURVA!$B$6:$B$20,CURVA!$G$6:$G$20,#REF!)</f>
        <v>#VALUE!</v>
      </c>
    </row>
    <row r="9049" spans="1:5" x14ac:dyDescent="0.2">
      <c r="A9049" s="28">
        <v>9048</v>
      </c>
      <c r="B9049" s="28" t="e">
        <f>interpola(#REF!,CURVA!$B$6:$B$20,CURVA!$G$6:$G$20)</f>
        <v>#VALUE!</v>
      </c>
      <c r="C9049" s="29" t="e">
        <f t="shared" si="141"/>
        <v>#VALUE!</v>
      </c>
      <c r="E9049" t="e">
        <f>cubic_spline(CURVA!$B$6:$B$20,CURVA!$G$6:$G$20,#REF!)</f>
        <v>#VALUE!</v>
      </c>
    </row>
    <row r="9050" spans="1:5" x14ac:dyDescent="0.2">
      <c r="A9050" s="28">
        <v>9049</v>
      </c>
      <c r="B9050" s="28" t="e">
        <f>interpola(#REF!,CURVA!$B$6:$B$20,CURVA!$G$6:$G$20)</f>
        <v>#VALUE!</v>
      </c>
      <c r="C9050" s="29" t="e">
        <f t="shared" si="141"/>
        <v>#VALUE!</v>
      </c>
      <c r="E9050" t="e">
        <f>cubic_spline(CURVA!$B$6:$B$20,CURVA!$G$6:$G$20,#REF!)</f>
        <v>#VALUE!</v>
      </c>
    </row>
    <row r="9051" spans="1:5" x14ac:dyDescent="0.2">
      <c r="A9051" s="28">
        <v>9050</v>
      </c>
      <c r="B9051" s="28" t="e">
        <f>interpola(#REF!,CURVA!$B$6:$B$20,CURVA!$G$6:$G$20)</f>
        <v>#VALUE!</v>
      </c>
      <c r="C9051" s="29" t="e">
        <f t="shared" si="141"/>
        <v>#VALUE!</v>
      </c>
      <c r="E9051" t="e">
        <f>cubic_spline(CURVA!$B$6:$B$20,CURVA!$G$6:$G$20,#REF!)</f>
        <v>#VALUE!</v>
      </c>
    </row>
    <row r="9052" spans="1:5" x14ac:dyDescent="0.2">
      <c r="A9052" s="28">
        <v>9051</v>
      </c>
      <c r="B9052" s="28" t="e">
        <f>interpola(#REF!,CURVA!$B$6:$B$20,CURVA!$G$6:$G$20)</f>
        <v>#VALUE!</v>
      </c>
      <c r="C9052" s="29" t="e">
        <f t="shared" si="141"/>
        <v>#VALUE!</v>
      </c>
      <c r="E9052" t="e">
        <f>cubic_spline(CURVA!$B$6:$B$20,CURVA!$G$6:$G$20,#REF!)</f>
        <v>#VALUE!</v>
      </c>
    </row>
    <row r="9053" spans="1:5" x14ac:dyDescent="0.2">
      <c r="A9053" s="28">
        <v>9052</v>
      </c>
      <c r="B9053" s="28" t="e">
        <f>interpola(#REF!,CURVA!$B$6:$B$20,CURVA!$G$6:$G$20)</f>
        <v>#VALUE!</v>
      </c>
      <c r="C9053" s="29" t="e">
        <f t="shared" si="141"/>
        <v>#VALUE!</v>
      </c>
      <c r="E9053" t="e">
        <f>cubic_spline(CURVA!$B$6:$B$20,CURVA!$G$6:$G$20,#REF!)</f>
        <v>#VALUE!</v>
      </c>
    </row>
    <row r="9054" spans="1:5" x14ac:dyDescent="0.2">
      <c r="A9054" s="28">
        <v>9053</v>
      </c>
      <c r="B9054" s="28" t="e">
        <f>interpola(#REF!,CURVA!$B$6:$B$20,CURVA!$G$6:$G$20)</f>
        <v>#VALUE!</v>
      </c>
      <c r="C9054" s="29" t="e">
        <f t="shared" si="141"/>
        <v>#VALUE!</v>
      </c>
      <c r="E9054" t="e">
        <f>cubic_spline(CURVA!$B$6:$B$20,CURVA!$G$6:$G$20,#REF!)</f>
        <v>#VALUE!</v>
      </c>
    </row>
    <row r="9055" spans="1:5" x14ac:dyDescent="0.2">
      <c r="A9055" s="28">
        <v>9054</v>
      </c>
      <c r="B9055" s="28" t="e">
        <f>interpola(#REF!,CURVA!$B$6:$B$20,CURVA!$G$6:$G$20)</f>
        <v>#VALUE!</v>
      </c>
      <c r="C9055" s="29" t="e">
        <f t="shared" si="141"/>
        <v>#VALUE!</v>
      </c>
      <c r="E9055" t="e">
        <f>cubic_spline(CURVA!$B$6:$B$20,CURVA!$G$6:$G$20,#REF!)</f>
        <v>#VALUE!</v>
      </c>
    </row>
    <row r="9056" spans="1:5" x14ac:dyDescent="0.2">
      <c r="A9056" s="28">
        <v>9055</v>
      </c>
      <c r="B9056" s="28" t="e">
        <f>interpola(#REF!,CURVA!$B$6:$B$20,CURVA!$G$6:$G$20)</f>
        <v>#VALUE!</v>
      </c>
      <c r="C9056" s="29" t="e">
        <f t="shared" si="141"/>
        <v>#VALUE!</v>
      </c>
      <c r="E9056" t="e">
        <f>cubic_spline(CURVA!$B$6:$B$20,CURVA!$G$6:$G$20,#REF!)</f>
        <v>#VALUE!</v>
      </c>
    </row>
    <row r="9057" spans="1:5" x14ac:dyDescent="0.2">
      <c r="A9057" s="28">
        <v>9056</v>
      </c>
      <c r="B9057" s="28" t="e">
        <f>interpola(#REF!,CURVA!$B$6:$B$20,CURVA!$G$6:$G$20)</f>
        <v>#VALUE!</v>
      </c>
      <c r="C9057" s="29" t="e">
        <f t="shared" si="141"/>
        <v>#VALUE!</v>
      </c>
      <c r="E9057" t="e">
        <f>cubic_spline(CURVA!$B$6:$B$20,CURVA!$G$6:$G$20,#REF!)</f>
        <v>#VALUE!</v>
      </c>
    </row>
    <row r="9058" spans="1:5" x14ac:dyDescent="0.2">
      <c r="A9058" s="28">
        <v>9057</v>
      </c>
      <c r="B9058" s="28" t="e">
        <f>interpola(#REF!,CURVA!$B$6:$B$20,CURVA!$G$6:$G$20)</f>
        <v>#VALUE!</v>
      </c>
      <c r="C9058" s="29" t="e">
        <f t="shared" si="141"/>
        <v>#VALUE!</v>
      </c>
      <c r="E9058" t="e">
        <f>cubic_spline(CURVA!$B$6:$B$20,CURVA!$G$6:$G$20,#REF!)</f>
        <v>#VALUE!</v>
      </c>
    </row>
    <row r="9059" spans="1:5" x14ac:dyDescent="0.2">
      <c r="A9059" s="28">
        <v>9058</v>
      </c>
      <c r="B9059" s="28" t="e">
        <f>interpola(#REF!,CURVA!$B$6:$B$20,CURVA!$G$6:$G$20)</f>
        <v>#VALUE!</v>
      </c>
      <c r="C9059" s="29" t="e">
        <f t="shared" si="141"/>
        <v>#VALUE!</v>
      </c>
      <c r="E9059" t="e">
        <f>cubic_spline(CURVA!$B$6:$B$20,CURVA!$G$6:$G$20,#REF!)</f>
        <v>#VALUE!</v>
      </c>
    </row>
    <row r="9060" spans="1:5" x14ac:dyDescent="0.2">
      <c r="A9060" s="28">
        <v>9059</v>
      </c>
      <c r="B9060" s="28" t="e">
        <f>interpola(#REF!,CURVA!$B$6:$B$20,CURVA!$G$6:$G$20)</f>
        <v>#VALUE!</v>
      </c>
      <c r="C9060" s="29" t="e">
        <f t="shared" si="141"/>
        <v>#VALUE!</v>
      </c>
      <c r="E9060" t="e">
        <f>cubic_spline(CURVA!$B$6:$B$20,CURVA!$G$6:$G$20,#REF!)</f>
        <v>#VALUE!</v>
      </c>
    </row>
    <row r="9061" spans="1:5" x14ac:dyDescent="0.2">
      <c r="A9061" s="28">
        <v>9060</v>
      </c>
      <c r="B9061" s="28" t="e">
        <f>interpola(#REF!,CURVA!$B$6:$B$20,CURVA!$G$6:$G$20)</f>
        <v>#VALUE!</v>
      </c>
      <c r="C9061" s="29" t="e">
        <f t="shared" si="141"/>
        <v>#VALUE!</v>
      </c>
      <c r="E9061" t="e">
        <f>cubic_spline(CURVA!$B$6:$B$20,CURVA!$G$6:$G$20,#REF!)</f>
        <v>#VALUE!</v>
      </c>
    </row>
    <row r="9062" spans="1:5" x14ac:dyDescent="0.2">
      <c r="A9062" s="28">
        <v>9061</v>
      </c>
      <c r="B9062" s="28" t="e">
        <f>interpola(#REF!,CURVA!$B$6:$B$20,CURVA!$G$6:$G$20)</f>
        <v>#VALUE!</v>
      </c>
      <c r="C9062" s="29" t="e">
        <f t="shared" si="141"/>
        <v>#VALUE!</v>
      </c>
      <c r="E9062" t="e">
        <f>cubic_spline(CURVA!$B$6:$B$20,CURVA!$G$6:$G$20,#REF!)</f>
        <v>#VALUE!</v>
      </c>
    </row>
    <row r="9063" spans="1:5" x14ac:dyDescent="0.2">
      <c r="A9063" s="28">
        <v>9062</v>
      </c>
      <c r="B9063" s="28" t="e">
        <f>interpola(#REF!,CURVA!$B$6:$B$20,CURVA!$G$6:$G$20)</f>
        <v>#VALUE!</v>
      </c>
      <c r="C9063" s="29" t="e">
        <f t="shared" si="141"/>
        <v>#VALUE!</v>
      </c>
      <c r="E9063" t="e">
        <f>cubic_spline(CURVA!$B$6:$B$20,CURVA!$G$6:$G$20,#REF!)</f>
        <v>#VALUE!</v>
      </c>
    </row>
    <row r="9064" spans="1:5" x14ac:dyDescent="0.2">
      <c r="A9064" s="28">
        <v>9063</v>
      </c>
      <c r="B9064" s="28" t="e">
        <f>interpola(#REF!,CURVA!$B$6:$B$20,CURVA!$G$6:$G$20)</f>
        <v>#VALUE!</v>
      </c>
      <c r="C9064" s="29" t="e">
        <f t="shared" si="141"/>
        <v>#VALUE!</v>
      </c>
      <c r="E9064" t="e">
        <f>cubic_spline(CURVA!$B$6:$B$20,CURVA!$G$6:$G$20,#REF!)</f>
        <v>#VALUE!</v>
      </c>
    </row>
    <row r="9065" spans="1:5" x14ac:dyDescent="0.2">
      <c r="A9065" s="28">
        <v>9064</v>
      </c>
      <c r="B9065" s="28" t="e">
        <f>interpola(#REF!,CURVA!$B$6:$B$20,CURVA!$G$6:$G$20)</f>
        <v>#VALUE!</v>
      </c>
      <c r="C9065" s="29" t="e">
        <f t="shared" si="141"/>
        <v>#VALUE!</v>
      </c>
      <c r="E9065" t="e">
        <f>cubic_spline(CURVA!$B$6:$B$20,CURVA!$G$6:$G$20,#REF!)</f>
        <v>#VALUE!</v>
      </c>
    </row>
    <row r="9066" spans="1:5" x14ac:dyDescent="0.2">
      <c r="A9066" s="28">
        <v>9065</v>
      </c>
      <c r="B9066" s="28" t="e">
        <f>interpola(#REF!,CURVA!$B$6:$B$20,CURVA!$G$6:$G$20)</f>
        <v>#VALUE!</v>
      </c>
      <c r="C9066" s="29" t="e">
        <f t="shared" si="141"/>
        <v>#VALUE!</v>
      </c>
      <c r="E9066" t="e">
        <f>cubic_spline(CURVA!$B$6:$B$20,CURVA!$G$6:$G$20,#REF!)</f>
        <v>#VALUE!</v>
      </c>
    </row>
    <row r="9067" spans="1:5" x14ac:dyDescent="0.2">
      <c r="A9067" s="28">
        <v>9066</v>
      </c>
      <c r="B9067" s="28" t="e">
        <f>interpola(#REF!,CURVA!$B$6:$B$20,CURVA!$G$6:$G$20)</f>
        <v>#VALUE!</v>
      </c>
      <c r="C9067" s="29" t="e">
        <f t="shared" si="141"/>
        <v>#VALUE!</v>
      </c>
      <c r="E9067" t="e">
        <f>cubic_spline(CURVA!$B$6:$B$20,CURVA!$G$6:$G$20,#REF!)</f>
        <v>#VALUE!</v>
      </c>
    </row>
    <row r="9068" spans="1:5" x14ac:dyDescent="0.2">
      <c r="A9068" s="28">
        <v>9067</v>
      </c>
      <c r="B9068" s="28" t="e">
        <f>interpola(#REF!,CURVA!$B$6:$B$20,CURVA!$G$6:$G$20)</f>
        <v>#VALUE!</v>
      </c>
      <c r="C9068" s="29" t="e">
        <f t="shared" si="141"/>
        <v>#VALUE!</v>
      </c>
      <c r="E9068" t="e">
        <f>cubic_spline(CURVA!$B$6:$B$20,CURVA!$G$6:$G$20,#REF!)</f>
        <v>#VALUE!</v>
      </c>
    </row>
    <row r="9069" spans="1:5" x14ac:dyDescent="0.2">
      <c r="A9069" s="28">
        <v>9068</v>
      </c>
      <c r="B9069" s="28" t="e">
        <f>interpola(#REF!,CURVA!$B$6:$B$20,CURVA!$G$6:$G$20)</f>
        <v>#VALUE!</v>
      </c>
      <c r="C9069" s="29" t="e">
        <f t="shared" si="141"/>
        <v>#VALUE!</v>
      </c>
      <c r="E9069" t="e">
        <f>cubic_spline(CURVA!$B$6:$B$20,CURVA!$G$6:$G$20,#REF!)</f>
        <v>#VALUE!</v>
      </c>
    </row>
    <row r="9070" spans="1:5" x14ac:dyDescent="0.2">
      <c r="A9070" s="28">
        <v>9069</v>
      </c>
      <c r="B9070" s="28" t="e">
        <f>interpola(#REF!,CURVA!$B$6:$B$20,CURVA!$G$6:$G$20)</f>
        <v>#VALUE!</v>
      </c>
      <c r="C9070" s="29" t="e">
        <f t="shared" si="141"/>
        <v>#VALUE!</v>
      </c>
      <c r="E9070" t="e">
        <f>cubic_spline(CURVA!$B$6:$B$20,CURVA!$G$6:$G$20,#REF!)</f>
        <v>#VALUE!</v>
      </c>
    </row>
    <row r="9071" spans="1:5" x14ac:dyDescent="0.2">
      <c r="A9071" s="28">
        <v>9070</v>
      </c>
      <c r="B9071" s="28" t="e">
        <f>interpola(#REF!,CURVA!$B$6:$B$20,CURVA!$G$6:$G$20)</f>
        <v>#VALUE!</v>
      </c>
      <c r="C9071" s="29" t="e">
        <f t="shared" si="141"/>
        <v>#VALUE!</v>
      </c>
      <c r="E9071" t="e">
        <f>cubic_spline(CURVA!$B$6:$B$20,CURVA!$G$6:$G$20,#REF!)</f>
        <v>#VALUE!</v>
      </c>
    </row>
    <row r="9072" spans="1:5" x14ac:dyDescent="0.2">
      <c r="A9072" s="28">
        <v>9071</v>
      </c>
      <c r="B9072" s="28" t="e">
        <f>interpola(#REF!,CURVA!$B$6:$B$20,CURVA!$G$6:$G$20)</f>
        <v>#VALUE!</v>
      </c>
      <c r="C9072" s="29" t="e">
        <f t="shared" si="141"/>
        <v>#VALUE!</v>
      </c>
      <c r="E9072" t="e">
        <f>cubic_spline(CURVA!$B$6:$B$20,CURVA!$G$6:$G$20,#REF!)</f>
        <v>#VALUE!</v>
      </c>
    </row>
    <row r="9073" spans="1:5" x14ac:dyDescent="0.2">
      <c r="A9073" s="28">
        <v>9072</v>
      </c>
      <c r="B9073" s="28" t="e">
        <f>interpola(#REF!,CURVA!$B$6:$B$20,CURVA!$G$6:$G$20)</f>
        <v>#VALUE!</v>
      </c>
      <c r="C9073" s="29" t="e">
        <f t="shared" si="141"/>
        <v>#VALUE!</v>
      </c>
      <c r="E9073" t="e">
        <f>cubic_spline(CURVA!$B$6:$B$20,CURVA!$G$6:$G$20,#REF!)</f>
        <v>#VALUE!</v>
      </c>
    </row>
    <row r="9074" spans="1:5" x14ac:dyDescent="0.2">
      <c r="A9074" s="28">
        <v>9073</v>
      </c>
      <c r="B9074" s="28" t="e">
        <f>interpola(#REF!,CURVA!$B$6:$B$20,CURVA!$G$6:$G$20)</f>
        <v>#VALUE!</v>
      </c>
      <c r="C9074" s="29" t="e">
        <f t="shared" si="141"/>
        <v>#VALUE!</v>
      </c>
      <c r="E9074" t="e">
        <f>cubic_spline(CURVA!$B$6:$B$20,CURVA!$G$6:$G$20,#REF!)</f>
        <v>#VALUE!</v>
      </c>
    </row>
    <row r="9075" spans="1:5" x14ac:dyDescent="0.2">
      <c r="A9075" s="28">
        <v>9074</v>
      </c>
      <c r="B9075" s="28" t="e">
        <f>interpola(#REF!,CURVA!$B$6:$B$20,CURVA!$G$6:$G$20)</f>
        <v>#VALUE!</v>
      </c>
      <c r="C9075" s="29" t="e">
        <f t="shared" si="141"/>
        <v>#VALUE!</v>
      </c>
      <c r="E9075" t="e">
        <f>cubic_spline(CURVA!$B$6:$B$20,CURVA!$G$6:$G$20,#REF!)</f>
        <v>#VALUE!</v>
      </c>
    </row>
    <row r="9076" spans="1:5" x14ac:dyDescent="0.2">
      <c r="A9076" s="28">
        <v>9075</v>
      </c>
      <c r="B9076" s="28" t="e">
        <f>interpola(#REF!,CURVA!$B$6:$B$20,CURVA!$G$6:$G$20)</f>
        <v>#VALUE!</v>
      </c>
      <c r="C9076" s="29" t="e">
        <f t="shared" si="141"/>
        <v>#VALUE!</v>
      </c>
      <c r="E9076" t="e">
        <f>cubic_spline(CURVA!$B$6:$B$20,CURVA!$G$6:$G$20,#REF!)</f>
        <v>#VALUE!</v>
      </c>
    </row>
    <row r="9077" spans="1:5" x14ac:dyDescent="0.2">
      <c r="A9077" s="28">
        <v>9076</v>
      </c>
      <c r="B9077" s="28" t="e">
        <f>interpola(#REF!,CURVA!$B$6:$B$20,CURVA!$G$6:$G$20)</f>
        <v>#VALUE!</v>
      </c>
      <c r="C9077" s="29" t="e">
        <f t="shared" si="141"/>
        <v>#VALUE!</v>
      </c>
      <c r="E9077" t="e">
        <f>cubic_spline(CURVA!$B$6:$B$20,CURVA!$G$6:$G$20,#REF!)</f>
        <v>#VALUE!</v>
      </c>
    </row>
    <row r="9078" spans="1:5" x14ac:dyDescent="0.2">
      <c r="A9078" s="28">
        <v>9077</v>
      </c>
      <c r="B9078" s="28" t="e">
        <f>interpola(#REF!,CURVA!$B$6:$B$20,CURVA!$G$6:$G$20)</f>
        <v>#VALUE!</v>
      </c>
      <c r="C9078" s="29" t="e">
        <f t="shared" si="141"/>
        <v>#VALUE!</v>
      </c>
      <c r="E9078" t="e">
        <f>cubic_spline(CURVA!$B$6:$B$20,CURVA!$G$6:$G$20,#REF!)</f>
        <v>#VALUE!</v>
      </c>
    </row>
    <row r="9079" spans="1:5" x14ac:dyDescent="0.2">
      <c r="A9079" s="28">
        <v>9078</v>
      </c>
      <c r="B9079" s="28" t="e">
        <f>interpola(#REF!,CURVA!$B$6:$B$20,CURVA!$G$6:$G$20)</f>
        <v>#VALUE!</v>
      </c>
      <c r="C9079" s="29" t="e">
        <f t="shared" si="141"/>
        <v>#VALUE!</v>
      </c>
      <c r="E9079" t="e">
        <f>cubic_spline(CURVA!$B$6:$B$20,CURVA!$G$6:$G$20,#REF!)</f>
        <v>#VALUE!</v>
      </c>
    </row>
    <row r="9080" spans="1:5" x14ac:dyDescent="0.2">
      <c r="A9080" s="28">
        <v>9079</v>
      </c>
      <c r="B9080" s="28" t="e">
        <f>interpola(#REF!,CURVA!$B$6:$B$20,CURVA!$G$6:$G$20)</f>
        <v>#VALUE!</v>
      </c>
      <c r="C9080" s="29" t="e">
        <f t="shared" si="141"/>
        <v>#VALUE!</v>
      </c>
      <c r="E9080" t="e">
        <f>cubic_spline(CURVA!$B$6:$B$20,CURVA!$G$6:$G$20,#REF!)</f>
        <v>#VALUE!</v>
      </c>
    </row>
    <row r="9081" spans="1:5" x14ac:dyDescent="0.2">
      <c r="A9081" s="28">
        <v>9080</v>
      </c>
      <c r="B9081" s="28" t="e">
        <f>interpola(#REF!,CURVA!$B$6:$B$20,CURVA!$G$6:$G$20)</f>
        <v>#VALUE!</v>
      </c>
      <c r="C9081" s="29" t="e">
        <f t="shared" si="141"/>
        <v>#VALUE!</v>
      </c>
      <c r="E9081" t="e">
        <f>cubic_spline(CURVA!$B$6:$B$20,CURVA!$G$6:$G$20,#REF!)</f>
        <v>#VALUE!</v>
      </c>
    </row>
    <row r="9082" spans="1:5" x14ac:dyDescent="0.2">
      <c r="A9082" s="28">
        <v>9081</v>
      </c>
      <c r="B9082" s="28" t="e">
        <f>interpola(#REF!,CURVA!$B$6:$B$20,CURVA!$G$6:$G$20)</f>
        <v>#VALUE!</v>
      </c>
      <c r="C9082" s="29" t="e">
        <f t="shared" si="141"/>
        <v>#VALUE!</v>
      </c>
      <c r="E9082" t="e">
        <f>cubic_spline(CURVA!$B$6:$B$20,CURVA!$G$6:$G$20,#REF!)</f>
        <v>#VALUE!</v>
      </c>
    </row>
    <row r="9083" spans="1:5" x14ac:dyDescent="0.2">
      <c r="A9083" s="28">
        <v>9082</v>
      </c>
      <c r="B9083" s="28" t="e">
        <f>interpola(#REF!,CURVA!$B$6:$B$20,CURVA!$G$6:$G$20)</f>
        <v>#VALUE!</v>
      </c>
      <c r="C9083" s="29" t="e">
        <f t="shared" si="141"/>
        <v>#VALUE!</v>
      </c>
      <c r="E9083" t="e">
        <f>cubic_spline(CURVA!$B$6:$B$20,CURVA!$G$6:$G$20,#REF!)</f>
        <v>#VALUE!</v>
      </c>
    </row>
    <row r="9084" spans="1:5" x14ac:dyDescent="0.2">
      <c r="A9084" s="28">
        <v>9083</v>
      </c>
      <c r="B9084" s="28" t="e">
        <f>interpola(#REF!,CURVA!$B$6:$B$20,CURVA!$G$6:$G$20)</f>
        <v>#VALUE!</v>
      </c>
      <c r="C9084" s="29" t="e">
        <f t="shared" si="141"/>
        <v>#VALUE!</v>
      </c>
      <c r="E9084" t="e">
        <f>cubic_spline(CURVA!$B$6:$B$20,CURVA!$G$6:$G$20,#REF!)</f>
        <v>#VALUE!</v>
      </c>
    </row>
    <row r="9085" spans="1:5" x14ac:dyDescent="0.2">
      <c r="A9085" s="28">
        <v>9084</v>
      </c>
      <c r="B9085" s="28" t="e">
        <f>interpola(#REF!,CURVA!$B$6:$B$20,CURVA!$G$6:$G$20)</f>
        <v>#VALUE!</v>
      </c>
      <c r="C9085" s="29" t="e">
        <f t="shared" si="141"/>
        <v>#VALUE!</v>
      </c>
      <c r="E9085" t="e">
        <f>cubic_spline(CURVA!$B$6:$B$20,CURVA!$G$6:$G$20,#REF!)</f>
        <v>#VALUE!</v>
      </c>
    </row>
    <row r="9086" spans="1:5" x14ac:dyDescent="0.2">
      <c r="A9086" s="28">
        <v>9085</v>
      </c>
      <c r="B9086" s="28" t="e">
        <f>interpola(#REF!,CURVA!$B$6:$B$20,CURVA!$G$6:$G$20)</f>
        <v>#VALUE!</v>
      </c>
      <c r="C9086" s="29" t="e">
        <f t="shared" si="141"/>
        <v>#VALUE!</v>
      </c>
      <c r="E9086" t="e">
        <f>cubic_spline(CURVA!$B$6:$B$20,CURVA!$G$6:$G$20,#REF!)</f>
        <v>#VALUE!</v>
      </c>
    </row>
    <row r="9087" spans="1:5" x14ac:dyDescent="0.2">
      <c r="A9087" s="28">
        <v>9086</v>
      </c>
      <c r="B9087" s="28" t="e">
        <f>interpola(#REF!,CURVA!$B$6:$B$20,CURVA!$G$6:$G$20)</f>
        <v>#VALUE!</v>
      </c>
      <c r="C9087" s="29" t="e">
        <f t="shared" si="141"/>
        <v>#VALUE!</v>
      </c>
      <c r="E9087" t="e">
        <f>cubic_spline(CURVA!$B$6:$B$20,CURVA!$G$6:$G$20,#REF!)</f>
        <v>#VALUE!</v>
      </c>
    </row>
    <row r="9088" spans="1:5" x14ac:dyDescent="0.2">
      <c r="A9088" s="28">
        <v>9087</v>
      </c>
      <c r="B9088" s="28" t="e">
        <f>interpola(#REF!,CURVA!$B$6:$B$20,CURVA!$G$6:$G$20)</f>
        <v>#VALUE!</v>
      </c>
      <c r="C9088" s="29" t="e">
        <f t="shared" si="141"/>
        <v>#VALUE!</v>
      </c>
      <c r="E9088" t="e">
        <f>cubic_spline(CURVA!$B$6:$B$20,CURVA!$G$6:$G$20,#REF!)</f>
        <v>#VALUE!</v>
      </c>
    </row>
    <row r="9089" spans="1:5" x14ac:dyDescent="0.2">
      <c r="A9089" s="28">
        <v>9088</v>
      </c>
      <c r="B9089" s="28" t="e">
        <f>interpola(#REF!,CURVA!$B$6:$B$20,CURVA!$G$6:$G$20)</f>
        <v>#VALUE!</v>
      </c>
      <c r="C9089" s="29" t="e">
        <f t="shared" si="141"/>
        <v>#VALUE!</v>
      </c>
      <c r="E9089" t="e">
        <f>cubic_spline(CURVA!$B$6:$B$20,CURVA!$G$6:$G$20,#REF!)</f>
        <v>#VALUE!</v>
      </c>
    </row>
    <row r="9090" spans="1:5" x14ac:dyDescent="0.2">
      <c r="A9090" s="28">
        <v>9089</v>
      </c>
      <c r="B9090" s="28" t="e">
        <f>interpola(#REF!,CURVA!$B$6:$B$20,CURVA!$G$6:$G$20)</f>
        <v>#VALUE!</v>
      </c>
      <c r="C9090" s="29" t="e">
        <f t="shared" ref="C9090:C9153" si="142">(EXP(B9090*A9090/360)-1)*360/A9090</f>
        <v>#VALUE!</v>
      </c>
      <c r="E9090" t="e">
        <f>cubic_spline(CURVA!$B$6:$B$20,CURVA!$G$6:$G$20,#REF!)</f>
        <v>#VALUE!</v>
      </c>
    </row>
    <row r="9091" spans="1:5" x14ac:dyDescent="0.2">
      <c r="A9091" s="28">
        <v>9090</v>
      </c>
      <c r="B9091" s="28" t="e">
        <f>interpola(#REF!,CURVA!$B$6:$B$20,CURVA!$G$6:$G$20)</f>
        <v>#VALUE!</v>
      </c>
      <c r="C9091" s="29" t="e">
        <f t="shared" si="142"/>
        <v>#VALUE!</v>
      </c>
      <c r="E9091" t="e">
        <f>cubic_spline(CURVA!$B$6:$B$20,CURVA!$G$6:$G$20,#REF!)</f>
        <v>#VALUE!</v>
      </c>
    </row>
    <row r="9092" spans="1:5" x14ac:dyDescent="0.2">
      <c r="A9092" s="28">
        <v>9091</v>
      </c>
      <c r="B9092" s="28" t="e">
        <f>interpola(#REF!,CURVA!$B$6:$B$20,CURVA!$G$6:$G$20)</f>
        <v>#VALUE!</v>
      </c>
      <c r="C9092" s="29" t="e">
        <f t="shared" si="142"/>
        <v>#VALUE!</v>
      </c>
      <c r="E9092" t="e">
        <f>cubic_spline(CURVA!$B$6:$B$20,CURVA!$G$6:$G$20,#REF!)</f>
        <v>#VALUE!</v>
      </c>
    </row>
    <row r="9093" spans="1:5" x14ac:dyDescent="0.2">
      <c r="A9093" s="28">
        <v>9092</v>
      </c>
      <c r="B9093" s="28" t="e">
        <f>interpola(#REF!,CURVA!$B$6:$B$20,CURVA!$G$6:$G$20)</f>
        <v>#VALUE!</v>
      </c>
      <c r="C9093" s="29" t="e">
        <f t="shared" si="142"/>
        <v>#VALUE!</v>
      </c>
      <c r="E9093" t="e">
        <f>cubic_spline(CURVA!$B$6:$B$20,CURVA!$G$6:$G$20,#REF!)</f>
        <v>#VALUE!</v>
      </c>
    </row>
    <row r="9094" spans="1:5" x14ac:dyDescent="0.2">
      <c r="A9094" s="28">
        <v>9093</v>
      </c>
      <c r="B9094" s="28" t="e">
        <f>interpola(#REF!,CURVA!$B$6:$B$20,CURVA!$G$6:$G$20)</f>
        <v>#VALUE!</v>
      </c>
      <c r="C9094" s="29" t="e">
        <f t="shared" si="142"/>
        <v>#VALUE!</v>
      </c>
      <c r="E9094" t="e">
        <f>cubic_spline(CURVA!$B$6:$B$20,CURVA!$G$6:$G$20,#REF!)</f>
        <v>#VALUE!</v>
      </c>
    </row>
    <row r="9095" spans="1:5" x14ac:dyDescent="0.2">
      <c r="A9095" s="28">
        <v>9094</v>
      </c>
      <c r="B9095" s="28" t="e">
        <f>interpola(#REF!,CURVA!$B$6:$B$20,CURVA!$G$6:$G$20)</f>
        <v>#VALUE!</v>
      </c>
      <c r="C9095" s="29" t="e">
        <f t="shared" si="142"/>
        <v>#VALUE!</v>
      </c>
      <c r="E9095" t="e">
        <f>cubic_spline(CURVA!$B$6:$B$20,CURVA!$G$6:$G$20,#REF!)</f>
        <v>#VALUE!</v>
      </c>
    </row>
    <row r="9096" spans="1:5" x14ac:dyDescent="0.2">
      <c r="A9096" s="28">
        <v>9095</v>
      </c>
      <c r="B9096" s="28" t="e">
        <f>interpola(#REF!,CURVA!$B$6:$B$20,CURVA!$G$6:$G$20)</f>
        <v>#VALUE!</v>
      </c>
      <c r="C9096" s="29" t="e">
        <f t="shared" si="142"/>
        <v>#VALUE!</v>
      </c>
      <c r="E9096" t="e">
        <f>cubic_spline(CURVA!$B$6:$B$20,CURVA!$G$6:$G$20,#REF!)</f>
        <v>#VALUE!</v>
      </c>
    </row>
    <row r="9097" spans="1:5" x14ac:dyDescent="0.2">
      <c r="A9097" s="28">
        <v>9096</v>
      </c>
      <c r="B9097" s="28" t="e">
        <f>interpola(#REF!,CURVA!$B$6:$B$20,CURVA!$G$6:$G$20)</f>
        <v>#VALUE!</v>
      </c>
      <c r="C9097" s="29" t="e">
        <f t="shared" si="142"/>
        <v>#VALUE!</v>
      </c>
      <c r="E9097" t="e">
        <f>cubic_spline(CURVA!$B$6:$B$20,CURVA!$G$6:$G$20,#REF!)</f>
        <v>#VALUE!</v>
      </c>
    </row>
    <row r="9098" spans="1:5" x14ac:dyDescent="0.2">
      <c r="A9098" s="28">
        <v>9097</v>
      </c>
      <c r="B9098" s="28" t="e">
        <f>interpola(#REF!,CURVA!$B$6:$B$20,CURVA!$G$6:$G$20)</f>
        <v>#VALUE!</v>
      </c>
      <c r="C9098" s="29" t="e">
        <f t="shared" si="142"/>
        <v>#VALUE!</v>
      </c>
      <c r="E9098" t="e">
        <f>cubic_spline(CURVA!$B$6:$B$20,CURVA!$G$6:$G$20,#REF!)</f>
        <v>#VALUE!</v>
      </c>
    </row>
    <row r="9099" spans="1:5" x14ac:dyDescent="0.2">
      <c r="A9099" s="28">
        <v>9098</v>
      </c>
      <c r="B9099" s="28" t="e">
        <f>interpola(#REF!,CURVA!$B$6:$B$20,CURVA!$G$6:$G$20)</f>
        <v>#VALUE!</v>
      </c>
      <c r="C9099" s="29" t="e">
        <f t="shared" si="142"/>
        <v>#VALUE!</v>
      </c>
      <c r="E9099" t="e">
        <f>cubic_spline(CURVA!$B$6:$B$20,CURVA!$G$6:$G$20,#REF!)</f>
        <v>#VALUE!</v>
      </c>
    </row>
    <row r="9100" spans="1:5" x14ac:dyDescent="0.2">
      <c r="A9100" s="28">
        <v>9099</v>
      </c>
      <c r="B9100" s="28" t="e">
        <f>interpola(#REF!,CURVA!$B$6:$B$20,CURVA!$G$6:$G$20)</f>
        <v>#VALUE!</v>
      </c>
      <c r="C9100" s="29" t="e">
        <f t="shared" si="142"/>
        <v>#VALUE!</v>
      </c>
      <c r="E9100" t="e">
        <f>cubic_spline(CURVA!$B$6:$B$20,CURVA!$G$6:$G$20,#REF!)</f>
        <v>#VALUE!</v>
      </c>
    </row>
    <row r="9101" spans="1:5" x14ac:dyDescent="0.2">
      <c r="A9101" s="28">
        <v>9100</v>
      </c>
      <c r="B9101" s="28" t="e">
        <f>interpola(#REF!,CURVA!$B$6:$B$20,CURVA!$G$6:$G$20)</f>
        <v>#VALUE!</v>
      </c>
      <c r="C9101" s="29" t="e">
        <f t="shared" si="142"/>
        <v>#VALUE!</v>
      </c>
      <c r="E9101" t="e">
        <f>cubic_spline(CURVA!$B$6:$B$20,CURVA!$G$6:$G$20,#REF!)</f>
        <v>#VALUE!</v>
      </c>
    </row>
    <row r="9102" spans="1:5" x14ac:dyDescent="0.2">
      <c r="A9102" s="28">
        <v>9101</v>
      </c>
      <c r="B9102" s="28" t="e">
        <f>interpola(#REF!,CURVA!$B$6:$B$20,CURVA!$G$6:$G$20)</f>
        <v>#VALUE!</v>
      </c>
      <c r="C9102" s="29" t="e">
        <f t="shared" si="142"/>
        <v>#VALUE!</v>
      </c>
      <c r="E9102" t="e">
        <f>cubic_spline(CURVA!$B$6:$B$20,CURVA!$G$6:$G$20,#REF!)</f>
        <v>#VALUE!</v>
      </c>
    </row>
    <row r="9103" spans="1:5" x14ac:dyDescent="0.2">
      <c r="A9103" s="28">
        <v>9102</v>
      </c>
      <c r="B9103" s="28" t="e">
        <f>interpola(#REF!,CURVA!$B$6:$B$20,CURVA!$G$6:$G$20)</f>
        <v>#VALUE!</v>
      </c>
      <c r="C9103" s="29" t="e">
        <f t="shared" si="142"/>
        <v>#VALUE!</v>
      </c>
      <c r="E9103" t="e">
        <f>cubic_spline(CURVA!$B$6:$B$20,CURVA!$G$6:$G$20,#REF!)</f>
        <v>#VALUE!</v>
      </c>
    </row>
    <row r="9104" spans="1:5" x14ac:dyDescent="0.2">
      <c r="A9104" s="28">
        <v>9103</v>
      </c>
      <c r="B9104" s="28" t="e">
        <f>interpola(#REF!,CURVA!$B$6:$B$20,CURVA!$G$6:$G$20)</f>
        <v>#VALUE!</v>
      </c>
      <c r="C9104" s="29" t="e">
        <f t="shared" si="142"/>
        <v>#VALUE!</v>
      </c>
      <c r="E9104" t="e">
        <f>cubic_spline(CURVA!$B$6:$B$20,CURVA!$G$6:$G$20,#REF!)</f>
        <v>#VALUE!</v>
      </c>
    </row>
    <row r="9105" spans="1:5" x14ac:dyDescent="0.2">
      <c r="A9105" s="28">
        <v>9104</v>
      </c>
      <c r="B9105" s="28" t="e">
        <f>interpola(#REF!,CURVA!$B$6:$B$20,CURVA!$G$6:$G$20)</f>
        <v>#VALUE!</v>
      </c>
      <c r="C9105" s="29" t="e">
        <f t="shared" si="142"/>
        <v>#VALUE!</v>
      </c>
      <c r="E9105" t="e">
        <f>cubic_spline(CURVA!$B$6:$B$20,CURVA!$G$6:$G$20,#REF!)</f>
        <v>#VALUE!</v>
      </c>
    </row>
    <row r="9106" spans="1:5" x14ac:dyDescent="0.2">
      <c r="A9106" s="28">
        <v>9105</v>
      </c>
      <c r="B9106" s="28" t="e">
        <f>interpola(#REF!,CURVA!$B$6:$B$20,CURVA!$G$6:$G$20)</f>
        <v>#VALUE!</v>
      </c>
      <c r="C9106" s="29" t="e">
        <f t="shared" si="142"/>
        <v>#VALUE!</v>
      </c>
      <c r="E9106" t="e">
        <f>cubic_spline(CURVA!$B$6:$B$20,CURVA!$G$6:$G$20,#REF!)</f>
        <v>#VALUE!</v>
      </c>
    </row>
    <row r="9107" spans="1:5" x14ac:dyDescent="0.2">
      <c r="A9107" s="28">
        <v>9106</v>
      </c>
      <c r="B9107" s="28" t="e">
        <f>interpola(#REF!,CURVA!$B$6:$B$20,CURVA!$G$6:$G$20)</f>
        <v>#VALUE!</v>
      </c>
      <c r="C9107" s="29" t="e">
        <f t="shared" si="142"/>
        <v>#VALUE!</v>
      </c>
      <c r="E9107" t="e">
        <f>cubic_spline(CURVA!$B$6:$B$20,CURVA!$G$6:$G$20,#REF!)</f>
        <v>#VALUE!</v>
      </c>
    </row>
    <row r="9108" spans="1:5" x14ac:dyDescent="0.2">
      <c r="A9108" s="28">
        <v>9107</v>
      </c>
      <c r="B9108" s="28" t="e">
        <f>interpola(#REF!,CURVA!$B$6:$B$20,CURVA!$G$6:$G$20)</f>
        <v>#VALUE!</v>
      </c>
      <c r="C9108" s="29" t="e">
        <f t="shared" si="142"/>
        <v>#VALUE!</v>
      </c>
      <c r="E9108" t="e">
        <f>cubic_spline(CURVA!$B$6:$B$20,CURVA!$G$6:$G$20,#REF!)</f>
        <v>#VALUE!</v>
      </c>
    </row>
    <row r="9109" spans="1:5" x14ac:dyDescent="0.2">
      <c r="A9109" s="28">
        <v>9108</v>
      </c>
      <c r="B9109" s="28" t="e">
        <f>interpola(#REF!,CURVA!$B$6:$B$20,CURVA!$G$6:$G$20)</f>
        <v>#VALUE!</v>
      </c>
      <c r="C9109" s="29" t="e">
        <f t="shared" si="142"/>
        <v>#VALUE!</v>
      </c>
      <c r="E9109" t="e">
        <f>cubic_spline(CURVA!$B$6:$B$20,CURVA!$G$6:$G$20,#REF!)</f>
        <v>#VALUE!</v>
      </c>
    </row>
    <row r="9110" spans="1:5" x14ac:dyDescent="0.2">
      <c r="A9110" s="28">
        <v>9109</v>
      </c>
      <c r="B9110" s="28" t="e">
        <f>interpola(#REF!,CURVA!$B$6:$B$20,CURVA!$G$6:$G$20)</f>
        <v>#VALUE!</v>
      </c>
      <c r="C9110" s="29" t="e">
        <f t="shared" si="142"/>
        <v>#VALUE!</v>
      </c>
      <c r="E9110" t="e">
        <f>cubic_spline(CURVA!$B$6:$B$20,CURVA!$G$6:$G$20,#REF!)</f>
        <v>#VALUE!</v>
      </c>
    </row>
    <row r="9111" spans="1:5" x14ac:dyDescent="0.2">
      <c r="A9111" s="28">
        <v>9110</v>
      </c>
      <c r="B9111" s="28" t="e">
        <f>interpola(#REF!,CURVA!$B$6:$B$20,CURVA!$G$6:$G$20)</f>
        <v>#VALUE!</v>
      </c>
      <c r="C9111" s="29" t="e">
        <f t="shared" si="142"/>
        <v>#VALUE!</v>
      </c>
      <c r="E9111" t="e">
        <f>cubic_spline(CURVA!$B$6:$B$20,CURVA!$G$6:$G$20,#REF!)</f>
        <v>#VALUE!</v>
      </c>
    </row>
    <row r="9112" spans="1:5" x14ac:dyDescent="0.2">
      <c r="A9112" s="28">
        <v>9111</v>
      </c>
      <c r="B9112" s="28" t="e">
        <f>interpola(#REF!,CURVA!$B$6:$B$20,CURVA!$G$6:$G$20)</f>
        <v>#VALUE!</v>
      </c>
      <c r="C9112" s="29" t="e">
        <f t="shared" si="142"/>
        <v>#VALUE!</v>
      </c>
      <c r="E9112" t="e">
        <f>cubic_spline(CURVA!$B$6:$B$20,CURVA!$G$6:$G$20,#REF!)</f>
        <v>#VALUE!</v>
      </c>
    </row>
    <row r="9113" spans="1:5" x14ac:dyDescent="0.2">
      <c r="A9113" s="28">
        <v>9112</v>
      </c>
      <c r="B9113" s="28" t="e">
        <f>interpola(#REF!,CURVA!$B$6:$B$20,CURVA!$G$6:$G$20)</f>
        <v>#VALUE!</v>
      </c>
      <c r="C9113" s="29" t="e">
        <f t="shared" si="142"/>
        <v>#VALUE!</v>
      </c>
      <c r="E9113" t="e">
        <f>cubic_spline(CURVA!$B$6:$B$20,CURVA!$G$6:$G$20,#REF!)</f>
        <v>#VALUE!</v>
      </c>
    </row>
    <row r="9114" spans="1:5" x14ac:dyDescent="0.2">
      <c r="A9114" s="28">
        <v>9113</v>
      </c>
      <c r="B9114" s="28" t="e">
        <f>interpola(#REF!,CURVA!$B$6:$B$20,CURVA!$G$6:$G$20)</f>
        <v>#VALUE!</v>
      </c>
      <c r="C9114" s="29" t="e">
        <f t="shared" si="142"/>
        <v>#VALUE!</v>
      </c>
      <c r="E9114" t="e">
        <f>cubic_spline(CURVA!$B$6:$B$20,CURVA!$G$6:$G$20,#REF!)</f>
        <v>#VALUE!</v>
      </c>
    </row>
    <row r="9115" spans="1:5" x14ac:dyDescent="0.2">
      <c r="A9115" s="28">
        <v>9114</v>
      </c>
      <c r="B9115" s="28" t="e">
        <f>interpola(#REF!,CURVA!$B$6:$B$20,CURVA!$G$6:$G$20)</f>
        <v>#VALUE!</v>
      </c>
      <c r="C9115" s="29" t="e">
        <f t="shared" si="142"/>
        <v>#VALUE!</v>
      </c>
      <c r="E9115" t="e">
        <f>cubic_spline(CURVA!$B$6:$B$20,CURVA!$G$6:$G$20,#REF!)</f>
        <v>#VALUE!</v>
      </c>
    </row>
    <row r="9116" spans="1:5" x14ac:dyDescent="0.2">
      <c r="A9116" s="28">
        <v>9115</v>
      </c>
      <c r="B9116" s="28" t="e">
        <f>interpola(#REF!,CURVA!$B$6:$B$20,CURVA!$G$6:$G$20)</f>
        <v>#VALUE!</v>
      </c>
      <c r="C9116" s="29" t="e">
        <f t="shared" si="142"/>
        <v>#VALUE!</v>
      </c>
      <c r="E9116" t="e">
        <f>cubic_spline(CURVA!$B$6:$B$20,CURVA!$G$6:$G$20,#REF!)</f>
        <v>#VALUE!</v>
      </c>
    </row>
    <row r="9117" spans="1:5" x14ac:dyDescent="0.2">
      <c r="A9117" s="28">
        <v>9116</v>
      </c>
      <c r="B9117" s="28" t="e">
        <f>interpola(#REF!,CURVA!$B$6:$B$20,CURVA!$G$6:$G$20)</f>
        <v>#VALUE!</v>
      </c>
      <c r="C9117" s="29" t="e">
        <f t="shared" si="142"/>
        <v>#VALUE!</v>
      </c>
      <c r="E9117" t="e">
        <f>cubic_spline(CURVA!$B$6:$B$20,CURVA!$G$6:$G$20,#REF!)</f>
        <v>#VALUE!</v>
      </c>
    </row>
    <row r="9118" spans="1:5" x14ac:dyDescent="0.2">
      <c r="A9118" s="28">
        <v>9117</v>
      </c>
      <c r="B9118" s="28" t="e">
        <f>interpola(#REF!,CURVA!$B$6:$B$20,CURVA!$G$6:$G$20)</f>
        <v>#VALUE!</v>
      </c>
      <c r="C9118" s="29" t="e">
        <f t="shared" si="142"/>
        <v>#VALUE!</v>
      </c>
      <c r="E9118" t="e">
        <f>cubic_spline(CURVA!$B$6:$B$20,CURVA!$G$6:$G$20,#REF!)</f>
        <v>#VALUE!</v>
      </c>
    </row>
    <row r="9119" spans="1:5" x14ac:dyDescent="0.2">
      <c r="A9119" s="28">
        <v>9118</v>
      </c>
      <c r="B9119" s="28" t="e">
        <f>interpola(#REF!,CURVA!$B$6:$B$20,CURVA!$G$6:$G$20)</f>
        <v>#VALUE!</v>
      </c>
      <c r="C9119" s="29" t="e">
        <f t="shared" si="142"/>
        <v>#VALUE!</v>
      </c>
      <c r="E9119" t="e">
        <f>cubic_spline(CURVA!$B$6:$B$20,CURVA!$G$6:$G$20,#REF!)</f>
        <v>#VALUE!</v>
      </c>
    </row>
    <row r="9120" spans="1:5" x14ac:dyDescent="0.2">
      <c r="A9120" s="28">
        <v>9119</v>
      </c>
      <c r="B9120" s="28" t="e">
        <f>interpola(#REF!,CURVA!$B$6:$B$20,CURVA!$G$6:$G$20)</f>
        <v>#VALUE!</v>
      </c>
      <c r="C9120" s="29" t="e">
        <f t="shared" si="142"/>
        <v>#VALUE!</v>
      </c>
      <c r="E9120" t="e">
        <f>cubic_spline(CURVA!$B$6:$B$20,CURVA!$G$6:$G$20,#REF!)</f>
        <v>#VALUE!</v>
      </c>
    </row>
    <row r="9121" spans="1:5" x14ac:dyDescent="0.2">
      <c r="A9121" s="28">
        <v>9120</v>
      </c>
      <c r="B9121" s="28" t="e">
        <f>interpola(#REF!,CURVA!$B$6:$B$20,CURVA!$G$6:$G$20)</f>
        <v>#VALUE!</v>
      </c>
      <c r="C9121" s="29" t="e">
        <f t="shared" si="142"/>
        <v>#VALUE!</v>
      </c>
      <c r="E9121" t="e">
        <f>cubic_spline(CURVA!$B$6:$B$20,CURVA!$G$6:$G$20,#REF!)</f>
        <v>#VALUE!</v>
      </c>
    </row>
    <row r="9122" spans="1:5" x14ac:dyDescent="0.2">
      <c r="A9122" s="28">
        <v>9121</v>
      </c>
      <c r="B9122" s="28" t="e">
        <f>interpola(#REF!,CURVA!$B$6:$B$20,CURVA!$G$6:$G$20)</f>
        <v>#VALUE!</v>
      </c>
      <c r="C9122" s="29" t="e">
        <f t="shared" si="142"/>
        <v>#VALUE!</v>
      </c>
      <c r="E9122" t="e">
        <f>cubic_spline(CURVA!$B$6:$B$20,CURVA!$G$6:$G$20,#REF!)</f>
        <v>#VALUE!</v>
      </c>
    </row>
    <row r="9123" spans="1:5" x14ac:dyDescent="0.2">
      <c r="A9123" s="28">
        <v>9122</v>
      </c>
      <c r="B9123" s="28" t="e">
        <f>interpola(#REF!,CURVA!$B$6:$B$20,CURVA!$G$6:$G$20)</f>
        <v>#VALUE!</v>
      </c>
      <c r="C9123" s="29" t="e">
        <f t="shared" si="142"/>
        <v>#VALUE!</v>
      </c>
      <c r="E9123" t="e">
        <f>cubic_spline(CURVA!$B$6:$B$20,CURVA!$G$6:$G$20,#REF!)</f>
        <v>#VALUE!</v>
      </c>
    </row>
    <row r="9124" spans="1:5" x14ac:dyDescent="0.2">
      <c r="A9124" s="28">
        <v>9123</v>
      </c>
      <c r="B9124" s="28" t="e">
        <f>interpola(#REF!,CURVA!$B$6:$B$20,CURVA!$G$6:$G$20)</f>
        <v>#VALUE!</v>
      </c>
      <c r="C9124" s="29" t="e">
        <f t="shared" si="142"/>
        <v>#VALUE!</v>
      </c>
      <c r="E9124" t="e">
        <f>cubic_spline(CURVA!$B$6:$B$20,CURVA!$G$6:$G$20,#REF!)</f>
        <v>#VALUE!</v>
      </c>
    </row>
    <row r="9125" spans="1:5" x14ac:dyDescent="0.2">
      <c r="A9125" s="28">
        <v>9124</v>
      </c>
      <c r="B9125" s="28" t="e">
        <f>interpola(#REF!,CURVA!$B$6:$B$20,CURVA!$G$6:$G$20)</f>
        <v>#VALUE!</v>
      </c>
      <c r="C9125" s="29" t="e">
        <f t="shared" si="142"/>
        <v>#VALUE!</v>
      </c>
      <c r="E9125" t="e">
        <f>cubic_spline(CURVA!$B$6:$B$20,CURVA!$G$6:$G$20,#REF!)</f>
        <v>#VALUE!</v>
      </c>
    </row>
    <row r="9126" spans="1:5" x14ac:dyDescent="0.2">
      <c r="A9126" s="28">
        <v>9125</v>
      </c>
      <c r="B9126" s="28" t="e">
        <f>interpola(#REF!,CURVA!$B$6:$B$20,CURVA!$G$6:$G$20)</f>
        <v>#VALUE!</v>
      </c>
      <c r="C9126" s="29" t="e">
        <f t="shared" si="142"/>
        <v>#VALUE!</v>
      </c>
      <c r="E9126" t="e">
        <f>cubic_spline(CURVA!$B$6:$B$20,CURVA!$G$6:$G$20,#REF!)</f>
        <v>#VALUE!</v>
      </c>
    </row>
    <row r="9127" spans="1:5" x14ac:dyDescent="0.2">
      <c r="A9127" s="28">
        <v>9126</v>
      </c>
      <c r="B9127" s="28" t="e">
        <f>interpola(#REF!,CURVA!$B$6:$B$20,CURVA!$G$6:$G$20)</f>
        <v>#VALUE!</v>
      </c>
      <c r="C9127" s="29" t="e">
        <f t="shared" si="142"/>
        <v>#VALUE!</v>
      </c>
      <c r="E9127" t="e">
        <f>cubic_spline(CURVA!$B$6:$B$20,CURVA!$G$6:$G$20,#REF!)</f>
        <v>#VALUE!</v>
      </c>
    </row>
    <row r="9128" spans="1:5" x14ac:dyDescent="0.2">
      <c r="A9128" s="28">
        <v>9127</v>
      </c>
      <c r="B9128" s="28" t="e">
        <f>interpola(#REF!,CURVA!$B$6:$B$20,CURVA!$G$6:$G$20)</f>
        <v>#VALUE!</v>
      </c>
      <c r="C9128" s="29" t="e">
        <f t="shared" si="142"/>
        <v>#VALUE!</v>
      </c>
      <c r="E9128" t="e">
        <f>cubic_spline(CURVA!$B$6:$B$20,CURVA!$G$6:$G$20,#REF!)</f>
        <v>#VALUE!</v>
      </c>
    </row>
    <row r="9129" spans="1:5" x14ac:dyDescent="0.2">
      <c r="A9129" s="28">
        <v>9128</v>
      </c>
      <c r="B9129" s="28" t="e">
        <f>interpola(#REF!,CURVA!$B$6:$B$20,CURVA!$G$6:$G$20)</f>
        <v>#VALUE!</v>
      </c>
      <c r="C9129" s="29" t="e">
        <f t="shared" si="142"/>
        <v>#VALUE!</v>
      </c>
      <c r="E9129" t="e">
        <f>cubic_spline(CURVA!$B$6:$B$20,CURVA!$G$6:$G$20,#REF!)</f>
        <v>#VALUE!</v>
      </c>
    </row>
    <row r="9130" spans="1:5" x14ac:dyDescent="0.2">
      <c r="A9130" s="28">
        <v>9129</v>
      </c>
      <c r="B9130" s="28" t="e">
        <f>interpola(#REF!,CURVA!$B$6:$B$20,CURVA!$G$6:$G$20)</f>
        <v>#VALUE!</v>
      </c>
      <c r="C9130" s="29" t="e">
        <f t="shared" si="142"/>
        <v>#VALUE!</v>
      </c>
      <c r="E9130" t="e">
        <f>cubic_spline(CURVA!$B$6:$B$20,CURVA!$G$6:$G$20,#REF!)</f>
        <v>#VALUE!</v>
      </c>
    </row>
    <row r="9131" spans="1:5" x14ac:dyDescent="0.2">
      <c r="A9131" s="28">
        <v>9130</v>
      </c>
      <c r="B9131" s="28" t="e">
        <f>interpola(#REF!,CURVA!$B$6:$B$20,CURVA!$G$6:$G$20)</f>
        <v>#VALUE!</v>
      </c>
      <c r="C9131" s="29" t="e">
        <f t="shared" si="142"/>
        <v>#VALUE!</v>
      </c>
      <c r="E9131" t="e">
        <f>cubic_spline(CURVA!$B$6:$B$20,CURVA!$G$6:$G$20,#REF!)</f>
        <v>#VALUE!</v>
      </c>
    </row>
    <row r="9132" spans="1:5" x14ac:dyDescent="0.2">
      <c r="A9132" s="28">
        <v>9131</v>
      </c>
      <c r="B9132" s="28" t="e">
        <f>interpola(#REF!,CURVA!$B$6:$B$20,CURVA!$G$6:$G$20)</f>
        <v>#VALUE!</v>
      </c>
      <c r="C9132" s="29" t="e">
        <f t="shared" si="142"/>
        <v>#VALUE!</v>
      </c>
      <c r="E9132" t="e">
        <f>cubic_spline(CURVA!$B$6:$B$20,CURVA!$G$6:$G$20,#REF!)</f>
        <v>#VALUE!</v>
      </c>
    </row>
    <row r="9133" spans="1:5" x14ac:dyDescent="0.2">
      <c r="A9133" s="28">
        <v>9132</v>
      </c>
      <c r="B9133" s="28" t="e">
        <f>interpola(#REF!,CURVA!$B$6:$B$20,CURVA!$G$6:$G$20)</f>
        <v>#VALUE!</v>
      </c>
      <c r="C9133" s="29" t="e">
        <f t="shared" si="142"/>
        <v>#VALUE!</v>
      </c>
      <c r="E9133" t="e">
        <f>cubic_spline(CURVA!$B$6:$B$20,CURVA!$G$6:$G$20,#REF!)</f>
        <v>#VALUE!</v>
      </c>
    </row>
    <row r="9134" spans="1:5" x14ac:dyDescent="0.2">
      <c r="A9134" s="28">
        <v>9133</v>
      </c>
      <c r="B9134" s="28" t="e">
        <f>interpola(#REF!,CURVA!$B$6:$B$20,CURVA!$G$6:$G$20)</f>
        <v>#VALUE!</v>
      </c>
      <c r="C9134" s="29" t="e">
        <f t="shared" si="142"/>
        <v>#VALUE!</v>
      </c>
      <c r="E9134" t="e">
        <f>cubic_spline(CURVA!$B$6:$B$20,CURVA!$G$6:$G$20,#REF!)</f>
        <v>#VALUE!</v>
      </c>
    </row>
    <row r="9135" spans="1:5" x14ac:dyDescent="0.2">
      <c r="A9135" s="28">
        <v>9134</v>
      </c>
      <c r="B9135" s="28" t="e">
        <f>interpola(#REF!,CURVA!$B$6:$B$20,CURVA!$G$6:$G$20)</f>
        <v>#VALUE!</v>
      </c>
      <c r="C9135" s="29" t="e">
        <f t="shared" si="142"/>
        <v>#VALUE!</v>
      </c>
      <c r="E9135" t="e">
        <f>cubic_spline(CURVA!$B$6:$B$20,CURVA!$G$6:$G$20,#REF!)</f>
        <v>#VALUE!</v>
      </c>
    </row>
    <row r="9136" spans="1:5" x14ac:dyDescent="0.2">
      <c r="A9136" s="28">
        <v>9135</v>
      </c>
      <c r="B9136" s="28" t="e">
        <f>interpola(#REF!,CURVA!$B$6:$B$20,CURVA!$G$6:$G$20)</f>
        <v>#VALUE!</v>
      </c>
      <c r="C9136" s="29" t="e">
        <f t="shared" si="142"/>
        <v>#VALUE!</v>
      </c>
      <c r="E9136" t="e">
        <f>cubic_spline(CURVA!$B$6:$B$20,CURVA!$G$6:$G$20,#REF!)</f>
        <v>#VALUE!</v>
      </c>
    </row>
    <row r="9137" spans="1:5" x14ac:dyDescent="0.2">
      <c r="A9137" s="28">
        <v>9136</v>
      </c>
      <c r="B9137" s="28" t="e">
        <f>interpola(#REF!,CURVA!$B$6:$B$20,CURVA!$G$6:$G$20)</f>
        <v>#VALUE!</v>
      </c>
      <c r="C9137" s="29" t="e">
        <f t="shared" si="142"/>
        <v>#VALUE!</v>
      </c>
      <c r="E9137" t="e">
        <f>cubic_spline(CURVA!$B$6:$B$20,CURVA!$G$6:$G$20,#REF!)</f>
        <v>#VALUE!</v>
      </c>
    </row>
    <row r="9138" spans="1:5" x14ac:dyDescent="0.2">
      <c r="A9138" s="28">
        <v>9137</v>
      </c>
      <c r="B9138" s="28" t="e">
        <f>interpola(#REF!,CURVA!$B$6:$B$20,CURVA!$G$6:$G$20)</f>
        <v>#VALUE!</v>
      </c>
      <c r="C9138" s="29" t="e">
        <f t="shared" si="142"/>
        <v>#VALUE!</v>
      </c>
      <c r="E9138" t="e">
        <f>cubic_spline(CURVA!$B$6:$B$20,CURVA!$G$6:$G$20,#REF!)</f>
        <v>#VALUE!</v>
      </c>
    </row>
    <row r="9139" spans="1:5" x14ac:dyDescent="0.2">
      <c r="A9139" s="28">
        <v>9138</v>
      </c>
      <c r="B9139" s="28" t="e">
        <f>interpola(#REF!,CURVA!$B$6:$B$20,CURVA!$G$6:$G$20)</f>
        <v>#VALUE!</v>
      </c>
      <c r="C9139" s="29" t="e">
        <f t="shared" si="142"/>
        <v>#VALUE!</v>
      </c>
      <c r="E9139" t="e">
        <f>cubic_spline(CURVA!$B$6:$B$20,CURVA!$G$6:$G$20,#REF!)</f>
        <v>#VALUE!</v>
      </c>
    </row>
    <row r="9140" spans="1:5" x14ac:dyDescent="0.2">
      <c r="A9140" s="28">
        <v>9139</v>
      </c>
      <c r="B9140" s="28" t="e">
        <f>interpola(#REF!,CURVA!$B$6:$B$20,CURVA!$G$6:$G$20)</f>
        <v>#VALUE!</v>
      </c>
      <c r="C9140" s="29" t="e">
        <f t="shared" si="142"/>
        <v>#VALUE!</v>
      </c>
      <c r="E9140" t="e">
        <f>cubic_spline(CURVA!$B$6:$B$20,CURVA!$G$6:$G$20,#REF!)</f>
        <v>#VALUE!</v>
      </c>
    </row>
    <row r="9141" spans="1:5" x14ac:dyDescent="0.2">
      <c r="A9141" s="28">
        <v>9140</v>
      </c>
      <c r="B9141" s="28" t="e">
        <f>interpola(#REF!,CURVA!$B$6:$B$20,CURVA!$G$6:$G$20)</f>
        <v>#VALUE!</v>
      </c>
      <c r="C9141" s="29" t="e">
        <f t="shared" si="142"/>
        <v>#VALUE!</v>
      </c>
      <c r="E9141" t="e">
        <f>cubic_spline(CURVA!$B$6:$B$20,CURVA!$G$6:$G$20,#REF!)</f>
        <v>#VALUE!</v>
      </c>
    </row>
    <row r="9142" spans="1:5" x14ac:dyDescent="0.2">
      <c r="A9142" s="28">
        <v>9141</v>
      </c>
      <c r="B9142" s="28" t="e">
        <f>interpola(#REF!,CURVA!$B$6:$B$20,CURVA!$G$6:$G$20)</f>
        <v>#VALUE!</v>
      </c>
      <c r="C9142" s="29" t="e">
        <f t="shared" si="142"/>
        <v>#VALUE!</v>
      </c>
      <c r="E9142" t="e">
        <f>cubic_spline(CURVA!$B$6:$B$20,CURVA!$G$6:$G$20,#REF!)</f>
        <v>#VALUE!</v>
      </c>
    </row>
    <row r="9143" spans="1:5" x14ac:dyDescent="0.2">
      <c r="A9143" s="28">
        <v>9142</v>
      </c>
      <c r="B9143" s="28" t="e">
        <f>interpola(#REF!,CURVA!$B$6:$B$20,CURVA!$G$6:$G$20)</f>
        <v>#VALUE!</v>
      </c>
      <c r="C9143" s="29" t="e">
        <f t="shared" si="142"/>
        <v>#VALUE!</v>
      </c>
      <c r="E9143" t="e">
        <f>cubic_spline(CURVA!$B$6:$B$20,CURVA!$G$6:$G$20,#REF!)</f>
        <v>#VALUE!</v>
      </c>
    </row>
    <row r="9144" spans="1:5" x14ac:dyDescent="0.2">
      <c r="A9144" s="28">
        <v>9143</v>
      </c>
      <c r="B9144" s="28" t="e">
        <f>interpola(#REF!,CURVA!$B$6:$B$20,CURVA!$G$6:$G$20)</f>
        <v>#VALUE!</v>
      </c>
      <c r="C9144" s="29" t="e">
        <f t="shared" si="142"/>
        <v>#VALUE!</v>
      </c>
      <c r="E9144" t="e">
        <f>cubic_spline(CURVA!$B$6:$B$20,CURVA!$G$6:$G$20,#REF!)</f>
        <v>#VALUE!</v>
      </c>
    </row>
    <row r="9145" spans="1:5" x14ac:dyDescent="0.2">
      <c r="A9145" s="28">
        <v>9144</v>
      </c>
      <c r="B9145" s="28" t="e">
        <f>interpola(#REF!,CURVA!$B$6:$B$20,CURVA!$G$6:$G$20)</f>
        <v>#VALUE!</v>
      </c>
      <c r="C9145" s="29" t="e">
        <f t="shared" si="142"/>
        <v>#VALUE!</v>
      </c>
      <c r="E9145" t="e">
        <f>cubic_spline(CURVA!$B$6:$B$20,CURVA!$G$6:$G$20,#REF!)</f>
        <v>#VALUE!</v>
      </c>
    </row>
    <row r="9146" spans="1:5" x14ac:dyDescent="0.2">
      <c r="A9146" s="28">
        <v>9145</v>
      </c>
      <c r="B9146" s="28" t="e">
        <f>interpola(#REF!,CURVA!$B$6:$B$20,CURVA!$G$6:$G$20)</f>
        <v>#VALUE!</v>
      </c>
      <c r="C9146" s="29" t="e">
        <f t="shared" si="142"/>
        <v>#VALUE!</v>
      </c>
      <c r="E9146" t="e">
        <f>cubic_spline(CURVA!$B$6:$B$20,CURVA!$G$6:$G$20,#REF!)</f>
        <v>#VALUE!</v>
      </c>
    </row>
    <row r="9147" spans="1:5" x14ac:dyDescent="0.2">
      <c r="A9147" s="28">
        <v>9146</v>
      </c>
      <c r="B9147" s="28" t="e">
        <f>interpola(#REF!,CURVA!$B$6:$B$20,CURVA!$G$6:$G$20)</f>
        <v>#VALUE!</v>
      </c>
      <c r="C9147" s="29" t="e">
        <f t="shared" si="142"/>
        <v>#VALUE!</v>
      </c>
      <c r="E9147" t="e">
        <f>cubic_spline(CURVA!$B$6:$B$20,CURVA!$G$6:$G$20,#REF!)</f>
        <v>#VALUE!</v>
      </c>
    </row>
    <row r="9148" spans="1:5" x14ac:dyDescent="0.2">
      <c r="A9148" s="28">
        <v>9147</v>
      </c>
      <c r="B9148" s="28" t="e">
        <f>interpola(#REF!,CURVA!$B$6:$B$20,CURVA!$G$6:$G$20)</f>
        <v>#VALUE!</v>
      </c>
      <c r="C9148" s="29" t="e">
        <f t="shared" si="142"/>
        <v>#VALUE!</v>
      </c>
      <c r="E9148" t="e">
        <f>cubic_spline(CURVA!$B$6:$B$20,CURVA!$G$6:$G$20,#REF!)</f>
        <v>#VALUE!</v>
      </c>
    </row>
    <row r="9149" spans="1:5" x14ac:dyDescent="0.2">
      <c r="A9149" s="28">
        <v>9148</v>
      </c>
      <c r="B9149" s="28" t="e">
        <f>interpola(#REF!,CURVA!$B$6:$B$20,CURVA!$G$6:$G$20)</f>
        <v>#VALUE!</v>
      </c>
      <c r="C9149" s="29" t="e">
        <f t="shared" si="142"/>
        <v>#VALUE!</v>
      </c>
      <c r="E9149" t="e">
        <f>cubic_spline(CURVA!$B$6:$B$20,CURVA!$G$6:$G$20,#REF!)</f>
        <v>#VALUE!</v>
      </c>
    </row>
    <row r="9150" spans="1:5" x14ac:dyDescent="0.2">
      <c r="A9150" s="28">
        <v>9149</v>
      </c>
      <c r="B9150" s="28" t="e">
        <f>interpola(#REF!,CURVA!$B$6:$B$20,CURVA!$G$6:$G$20)</f>
        <v>#VALUE!</v>
      </c>
      <c r="C9150" s="29" t="e">
        <f t="shared" si="142"/>
        <v>#VALUE!</v>
      </c>
      <c r="E9150" t="e">
        <f>cubic_spline(CURVA!$B$6:$B$20,CURVA!$G$6:$G$20,#REF!)</f>
        <v>#VALUE!</v>
      </c>
    </row>
    <row r="9151" spans="1:5" x14ac:dyDescent="0.2">
      <c r="A9151" s="28">
        <v>9150</v>
      </c>
      <c r="B9151" s="28" t="e">
        <f>interpola(#REF!,CURVA!$B$6:$B$20,CURVA!$G$6:$G$20)</f>
        <v>#VALUE!</v>
      </c>
      <c r="C9151" s="29" t="e">
        <f t="shared" si="142"/>
        <v>#VALUE!</v>
      </c>
      <c r="E9151" t="e">
        <f>cubic_spline(CURVA!$B$6:$B$20,CURVA!$G$6:$G$20,#REF!)</f>
        <v>#VALUE!</v>
      </c>
    </row>
    <row r="9152" spans="1:5" x14ac:dyDescent="0.2">
      <c r="A9152" s="28">
        <v>9151</v>
      </c>
      <c r="B9152" s="28" t="e">
        <f>interpola(#REF!,CURVA!$B$6:$B$20,CURVA!$G$6:$G$20)</f>
        <v>#VALUE!</v>
      </c>
      <c r="C9152" s="29" t="e">
        <f t="shared" si="142"/>
        <v>#VALUE!</v>
      </c>
      <c r="E9152" t="e">
        <f>cubic_spline(CURVA!$B$6:$B$20,CURVA!$G$6:$G$20,#REF!)</f>
        <v>#VALUE!</v>
      </c>
    </row>
    <row r="9153" spans="1:5" x14ac:dyDescent="0.2">
      <c r="A9153" s="28">
        <v>9152</v>
      </c>
      <c r="B9153" s="28" t="e">
        <f>interpola(#REF!,CURVA!$B$6:$B$20,CURVA!$G$6:$G$20)</f>
        <v>#VALUE!</v>
      </c>
      <c r="C9153" s="29" t="e">
        <f t="shared" si="142"/>
        <v>#VALUE!</v>
      </c>
      <c r="E9153" t="e">
        <f>cubic_spline(CURVA!$B$6:$B$20,CURVA!$G$6:$G$20,#REF!)</f>
        <v>#VALUE!</v>
      </c>
    </row>
    <row r="9154" spans="1:5" x14ac:dyDescent="0.2">
      <c r="A9154" s="28">
        <v>9153</v>
      </c>
      <c r="B9154" s="28" t="e">
        <f>interpola(#REF!,CURVA!$B$6:$B$20,CURVA!$G$6:$G$20)</f>
        <v>#VALUE!</v>
      </c>
      <c r="C9154" s="29" t="e">
        <f t="shared" ref="C9154:C9217" si="143">(EXP(B9154*A9154/360)-1)*360/A9154</f>
        <v>#VALUE!</v>
      </c>
      <c r="E9154" t="e">
        <f>cubic_spline(CURVA!$B$6:$B$20,CURVA!$G$6:$G$20,#REF!)</f>
        <v>#VALUE!</v>
      </c>
    </row>
    <row r="9155" spans="1:5" x14ac:dyDescent="0.2">
      <c r="A9155" s="28">
        <v>9154</v>
      </c>
      <c r="B9155" s="28" t="e">
        <f>interpola(#REF!,CURVA!$B$6:$B$20,CURVA!$G$6:$G$20)</f>
        <v>#VALUE!</v>
      </c>
      <c r="C9155" s="29" t="e">
        <f t="shared" si="143"/>
        <v>#VALUE!</v>
      </c>
      <c r="E9155" t="e">
        <f>cubic_spline(CURVA!$B$6:$B$20,CURVA!$G$6:$G$20,#REF!)</f>
        <v>#VALUE!</v>
      </c>
    </row>
    <row r="9156" spans="1:5" x14ac:dyDescent="0.2">
      <c r="A9156" s="28">
        <v>9155</v>
      </c>
      <c r="B9156" s="28" t="e">
        <f>interpola(#REF!,CURVA!$B$6:$B$20,CURVA!$G$6:$G$20)</f>
        <v>#VALUE!</v>
      </c>
      <c r="C9156" s="29" t="e">
        <f t="shared" si="143"/>
        <v>#VALUE!</v>
      </c>
      <c r="E9156" t="e">
        <f>cubic_spline(CURVA!$B$6:$B$20,CURVA!$G$6:$G$20,#REF!)</f>
        <v>#VALUE!</v>
      </c>
    </row>
    <row r="9157" spans="1:5" x14ac:dyDescent="0.2">
      <c r="A9157" s="28">
        <v>9156</v>
      </c>
      <c r="B9157" s="28" t="e">
        <f>interpola(#REF!,CURVA!$B$6:$B$20,CURVA!$G$6:$G$20)</f>
        <v>#VALUE!</v>
      </c>
      <c r="C9157" s="29" t="e">
        <f t="shared" si="143"/>
        <v>#VALUE!</v>
      </c>
      <c r="E9157" t="e">
        <f>cubic_spline(CURVA!$B$6:$B$20,CURVA!$G$6:$G$20,#REF!)</f>
        <v>#VALUE!</v>
      </c>
    </row>
    <row r="9158" spans="1:5" x14ac:dyDescent="0.2">
      <c r="A9158" s="28">
        <v>9157</v>
      </c>
      <c r="B9158" s="28" t="e">
        <f>interpola(#REF!,CURVA!$B$6:$B$20,CURVA!$G$6:$G$20)</f>
        <v>#VALUE!</v>
      </c>
      <c r="C9158" s="29" t="e">
        <f t="shared" si="143"/>
        <v>#VALUE!</v>
      </c>
      <c r="E9158" t="e">
        <f>cubic_spline(CURVA!$B$6:$B$20,CURVA!$G$6:$G$20,#REF!)</f>
        <v>#VALUE!</v>
      </c>
    </row>
    <row r="9159" spans="1:5" x14ac:dyDescent="0.2">
      <c r="A9159" s="28">
        <v>9158</v>
      </c>
      <c r="B9159" s="28" t="e">
        <f>interpola(#REF!,CURVA!$B$6:$B$20,CURVA!$G$6:$G$20)</f>
        <v>#VALUE!</v>
      </c>
      <c r="C9159" s="29" t="e">
        <f t="shared" si="143"/>
        <v>#VALUE!</v>
      </c>
      <c r="E9159" t="e">
        <f>cubic_spline(CURVA!$B$6:$B$20,CURVA!$G$6:$G$20,#REF!)</f>
        <v>#VALUE!</v>
      </c>
    </row>
    <row r="9160" spans="1:5" x14ac:dyDescent="0.2">
      <c r="A9160" s="28">
        <v>9159</v>
      </c>
      <c r="B9160" s="28" t="e">
        <f>interpola(#REF!,CURVA!$B$6:$B$20,CURVA!$G$6:$G$20)</f>
        <v>#VALUE!</v>
      </c>
      <c r="C9160" s="29" t="e">
        <f t="shared" si="143"/>
        <v>#VALUE!</v>
      </c>
      <c r="E9160" t="e">
        <f>cubic_spline(CURVA!$B$6:$B$20,CURVA!$G$6:$G$20,#REF!)</f>
        <v>#VALUE!</v>
      </c>
    </row>
    <row r="9161" spans="1:5" x14ac:dyDescent="0.2">
      <c r="A9161" s="28">
        <v>9160</v>
      </c>
      <c r="B9161" s="28" t="e">
        <f>interpola(#REF!,CURVA!$B$6:$B$20,CURVA!$G$6:$G$20)</f>
        <v>#VALUE!</v>
      </c>
      <c r="C9161" s="29" t="e">
        <f t="shared" si="143"/>
        <v>#VALUE!</v>
      </c>
      <c r="E9161" t="e">
        <f>cubic_spline(CURVA!$B$6:$B$20,CURVA!$G$6:$G$20,#REF!)</f>
        <v>#VALUE!</v>
      </c>
    </row>
    <row r="9162" spans="1:5" x14ac:dyDescent="0.2">
      <c r="A9162" s="28">
        <v>9161</v>
      </c>
      <c r="B9162" s="28" t="e">
        <f>interpola(#REF!,CURVA!$B$6:$B$20,CURVA!$G$6:$G$20)</f>
        <v>#VALUE!</v>
      </c>
      <c r="C9162" s="29" t="e">
        <f t="shared" si="143"/>
        <v>#VALUE!</v>
      </c>
      <c r="E9162" t="e">
        <f>cubic_spline(CURVA!$B$6:$B$20,CURVA!$G$6:$G$20,#REF!)</f>
        <v>#VALUE!</v>
      </c>
    </row>
    <row r="9163" spans="1:5" x14ac:dyDescent="0.2">
      <c r="A9163" s="28">
        <v>9162</v>
      </c>
      <c r="B9163" s="28" t="e">
        <f>interpola(#REF!,CURVA!$B$6:$B$20,CURVA!$G$6:$G$20)</f>
        <v>#VALUE!</v>
      </c>
      <c r="C9163" s="29" t="e">
        <f t="shared" si="143"/>
        <v>#VALUE!</v>
      </c>
      <c r="E9163" t="e">
        <f>cubic_spline(CURVA!$B$6:$B$20,CURVA!$G$6:$G$20,#REF!)</f>
        <v>#VALUE!</v>
      </c>
    </row>
    <row r="9164" spans="1:5" x14ac:dyDescent="0.2">
      <c r="A9164" s="28">
        <v>9163</v>
      </c>
      <c r="B9164" s="28" t="e">
        <f>interpola(#REF!,CURVA!$B$6:$B$20,CURVA!$G$6:$G$20)</f>
        <v>#VALUE!</v>
      </c>
      <c r="C9164" s="29" t="e">
        <f t="shared" si="143"/>
        <v>#VALUE!</v>
      </c>
      <c r="E9164" t="e">
        <f>cubic_spline(CURVA!$B$6:$B$20,CURVA!$G$6:$G$20,#REF!)</f>
        <v>#VALUE!</v>
      </c>
    </row>
    <row r="9165" spans="1:5" x14ac:dyDescent="0.2">
      <c r="A9165" s="28">
        <v>9164</v>
      </c>
      <c r="B9165" s="28" t="e">
        <f>interpola(#REF!,CURVA!$B$6:$B$20,CURVA!$G$6:$G$20)</f>
        <v>#VALUE!</v>
      </c>
      <c r="C9165" s="29" t="e">
        <f t="shared" si="143"/>
        <v>#VALUE!</v>
      </c>
      <c r="E9165" t="e">
        <f>cubic_spline(CURVA!$B$6:$B$20,CURVA!$G$6:$G$20,#REF!)</f>
        <v>#VALUE!</v>
      </c>
    </row>
    <row r="9166" spans="1:5" x14ac:dyDescent="0.2">
      <c r="A9166" s="28">
        <v>9165</v>
      </c>
      <c r="B9166" s="28" t="e">
        <f>interpola(#REF!,CURVA!$B$6:$B$20,CURVA!$G$6:$G$20)</f>
        <v>#VALUE!</v>
      </c>
      <c r="C9166" s="29" t="e">
        <f t="shared" si="143"/>
        <v>#VALUE!</v>
      </c>
      <c r="E9166" t="e">
        <f>cubic_spline(CURVA!$B$6:$B$20,CURVA!$G$6:$G$20,#REF!)</f>
        <v>#VALUE!</v>
      </c>
    </row>
    <row r="9167" spans="1:5" x14ac:dyDescent="0.2">
      <c r="A9167" s="28">
        <v>9166</v>
      </c>
      <c r="B9167" s="28" t="e">
        <f>interpola(#REF!,CURVA!$B$6:$B$20,CURVA!$G$6:$G$20)</f>
        <v>#VALUE!</v>
      </c>
      <c r="C9167" s="29" t="e">
        <f t="shared" si="143"/>
        <v>#VALUE!</v>
      </c>
      <c r="E9167" t="e">
        <f>cubic_spline(CURVA!$B$6:$B$20,CURVA!$G$6:$G$20,#REF!)</f>
        <v>#VALUE!</v>
      </c>
    </row>
    <row r="9168" spans="1:5" x14ac:dyDescent="0.2">
      <c r="A9168" s="28">
        <v>9167</v>
      </c>
      <c r="B9168" s="28" t="e">
        <f>interpola(#REF!,CURVA!$B$6:$B$20,CURVA!$G$6:$G$20)</f>
        <v>#VALUE!</v>
      </c>
      <c r="C9168" s="29" t="e">
        <f t="shared" si="143"/>
        <v>#VALUE!</v>
      </c>
      <c r="E9168" t="e">
        <f>cubic_spline(CURVA!$B$6:$B$20,CURVA!$G$6:$G$20,#REF!)</f>
        <v>#VALUE!</v>
      </c>
    </row>
    <row r="9169" spans="1:5" x14ac:dyDescent="0.2">
      <c r="A9169" s="28">
        <v>9168</v>
      </c>
      <c r="B9169" s="28" t="e">
        <f>interpola(#REF!,CURVA!$B$6:$B$20,CURVA!$G$6:$G$20)</f>
        <v>#VALUE!</v>
      </c>
      <c r="C9169" s="29" t="e">
        <f t="shared" si="143"/>
        <v>#VALUE!</v>
      </c>
      <c r="E9169" t="e">
        <f>cubic_spline(CURVA!$B$6:$B$20,CURVA!$G$6:$G$20,#REF!)</f>
        <v>#VALUE!</v>
      </c>
    </row>
    <row r="9170" spans="1:5" x14ac:dyDescent="0.2">
      <c r="A9170" s="28">
        <v>9169</v>
      </c>
      <c r="B9170" s="28" t="e">
        <f>interpola(#REF!,CURVA!$B$6:$B$20,CURVA!$G$6:$G$20)</f>
        <v>#VALUE!</v>
      </c>
      <c r="C9170" s="29" t="e">
        <f t="shared" si="143"/>
        <v>#VALUE!</v>
      </c>
      <c r="E9170" t="e">
        <f>cubic_spline(CURVA!$B$6:$B$20,CURVA!$G$6:$G$20,#REF!)</f>
        <v>#VALUE!</v>
      </c>
    </row>
    <row r="9171" spans="1:5" x14ac:dyDescent="0.2">
      <c r="A9171" s="28">
        <v>9170</v>
      </c>
      <c r="B9171" s="28" t="e">
        <f>interpola(#REF!,CURVA!$B$6:$B$20,CURVA!$G$6:$G$20)</f>
        <v>#VALUE!</v>
      </c>
      <c r="C9171" s="29" t="e">
        <f t="shared" si="143"/>
        <v>#VALUE!</v>
      </c>
      <c r="E9171" t="e">
        <f>cubic_spline(CURVA!$B$6:$B$20,CURVA!$G$6:$G$20,#REF!)</f>
        <v>#VALUE!</v>
      </c>
    </row>
    <row r="9172" spans="1:5" x14ac:dyDescent="0.2">
      <c r="A9172" s="28">
        <v>9171</v>
      </c>
      <c r="B9172" s="28" t="e">
        <f>interpola(#REF!,CURVA!$B$6:$B$20,CURVA!$G$6:$G$20)</f>
        <v>#VALUE!</v>
      </c>
      <c r="C9172" s="29" t="e">
        <f t="shared" si="143"/>
        <v>#VALUE!</v>
      </c>
      <c r="E9172" t="e">
        <f>cubic_spline(CURVA!$B$6:$B$20,CURVA!$G$6:$G$20,#REF!)</f>
        <v>#VALUE!</v>
      </c>
    </row>
    <row r="9173" spans="1:5" x14ac:dyDescent="0.2">
      <c r="A9173" s="28">
        <v>9172</v>
      </c>
      <c r="B9173" s="28" t="e">
        <f>interpola(#REF!,CURVA!$B$6:$B$20,CURVA!$G$6:$G$20)</f>
        <v>#VALUE!</v>
      </c>
      <c r="C9173" s="29" t="e">
        <f t="shared" si="143"/>
        <v>#VALUE!</v>
      </c>
      <c r="E9173" t="e">
        <f>cubic_spline(CURVA!$B$6:$B$20,CURVA!$G$6:$G$20,#REF!)</f>
        <v>#VALUE!</v>
      </c>
    </row>
    <row r="9174" spans="1:5" x14ac:dyDescent="0.2">
      <c r="A9174" s="28">
        <v>9173</v>
      </c>
      <c r="B9174" s="28" t="e">
        <f>interpola(#REF!,CURVA!$B$6:$B$20,CURVA!$G$6:$G$20)</f>
        <v>#VALUE!</v>
      </c>
      <c r="C9174" s="29" t="e">
        <f t="shared" si="143"/>
        <v>#VALUE!</v>
      </c>
      <c r="E9174" t="e">
        <f>cubic_spline(CURVA!$B$6:$B$20,CURVA!$G$6:$G$20,#REF!)</f>
        <v>#VALUE!</v>
      </c>
    </row>
    <row r="9175" spans="1:5" x14ac:dyDescent="0.2">
      <c r="A9175" s="28">
        <v>9174</v>
      </c>
      <c r="B9175" s="28" t="e">
        <f>interpola(#REF!,CURVA!$B$6:$B$20,CURVA!$G$6:$G$20)</f>
        <v>#VALUE!</v>
      </c>
      <c r="C9175" s="29" t="e">
        <f t="shared" si="143"/>
        <v>#VALUE!</v>
      </c>
      <c r="E9175" t="e">
        <f>cubic_spline(CURVA!$B$6:$B$20,CURVA!$G$6:$G$20,#REF!)</f>
        <v>#VALUE!</v>
      </c>
    </row>
    <row r="9176" spans="1:5" x14ac:dyDescent="0.2">
      <c r="A9176" s="28">
        <v>9175</v>
      </c>
      <c r="B9176" s="28" t="e">
        <f>interpola(#REF!,CURVA!$B$6:$B$20,CURVA!$G$6:$G$20)</f>
        <v>#VALUE!</v>
      </c>
      <c r="C9176" s="29" t="e">
        <f t="shared" si="143"/>
        <v>#VALUE!</v>
      </c>
      <c r="E9176" t="e">
        <f>cubic_spline(CURVA!$B$6:$B$20,CURVA!$G$6:$G$20,#REF!)</f>
        <v>#VALUE!</v>
      </c>
    </row>
    <row r="9177" spans="1:5" x14ac:dyDescent="0.2">
      <c r="A9177" s="28">
        <v>9176</v>
      </c>
      <c r="B9177" s="28" t="e">
        <f>interpola(#REF!,CURVA!$B$6:$B$20,CURVA!$G$6:$G$20)</f>
        <v>#VALUE!</v>
      </c>
      <c r="C9177" s="29" t="e">
        <f t="shared" si="143"/>
        <v>#VALUE!</v>
      </c>
      <c r="E9177" t="e">
        <f>cubic_spline(CURVA!$B$6:$B$20,CURVA!$G$6:$G$20,#REF!)</f>
        <v>#VALUE!</v>
      </c>
    </row>
    <row r="9178" spans="1:5" x14ac:dyDescent="0.2">
      <c r="A9178" s="28">
        <v>9177</v>
      </c>
      <c r="B9178" s="28" t="e">
        <f>interpola(#REF!,CURVA!$B$6:$B$20,CURVA!$G$6:$G$20)</f>
        <v>#VALUE!</v>
      </c>
      <c r="C9178" s="29" t="e">
        <f t="shared" si="143"/>
        <v>#VALUE!</v>
      </c>
      <c r="E9178" t="e">
        <f>cubic_spline(CURVA!$B$6:$B$20,CURVA!$G$6:$G$20,#REF!)</f>
        <v>#VALUE!</v>
      </c>
    </row>
    <row r="9179" spans="1:5" x14ac:dyDescent="0.2">
      <c r="A9179" s="28">
        <v>9178</v>
      </c>
      <c r="B9179" s="28" t="e">
        <f>interpola(#REF!,CURVA!$B$6:$B$20,CURVA!$G$6:$G$20)</f>
        <v>#VALUE!</v>
      </c>
      <c r="C9179" s="29" t="e">
        <f t="shared" si="143"/>
        <v>#VALUE!</v>
      </c>
      <c r="E9179" t="e">
        <f>cubic_spline(CURVA!$B$6:$B$20,CURVA!$G$6:$G$20,#REF!)</f>
        <v>#VALUE!</v>
      </c>
    </row>
    <row r="9180" spans="1:5" x14ac:dyDescent="0.2">
      <c r="A9180" s="28">
        <v>9179</v>
      </c>
      <c r="B9180" s="28" t="e">
        <f>interpola(#REF!,CURVA!$B$6:$B$20,CURVA!$G$6:$G$20)</f>
        <v>#VALUE!</v>
      </c>
      <c r="C9180" s="29" t="e">
        <f t="shared" si="143"/>
        <v>#VALUE!</v>
      </c>
      <c r="E9180" t="e">
        <f>cubic_spline(CURVA!$B$6:$B$20,CURVA!$G$6:$G$20,#REF!)</f>
        <v>#VALUE!</v>
      </c>
    </row>
    <row r="9181" spans="1:5" x14ac:dyDescent="0.2">
      <c r="A9181" s="28">
        <v>9180</v>
      </c>
      <c r="B9181" s="28" t="e">
        <f>interpola(#REF!,CURVA!$B$6:$B$20,CURVA!$G$6:$G$20)</f>
        <v>#VALUE!</v>
      </c>
      <c r="C9181" s="29" t="e">
        <f t="shared" si="143"/>
        <v>#VALUE!</v>
      </c>
      <c r="E9181" t="e">
        <f>cubic_spline(CURVA!$B$6:$B$20,CURVA!$G$6:$G$20,#REF!)</f>
        <v>#VALUE!</v>
      </c>
    </row>
    <row r="9182" spans="1:5" x14ac:dyDescent="0.2">
      <c r="A9182" s="28">
        <v>9181</v>
      </c>
      <c r="B9182" s="28" t="e">
        <f>interpola(#REF!,CURVA!$B$6:$B$20,CURVA!$G$6:$G$20)</f>
        <v>#VALUE!</v>
      </c>
      <c r="C9182" s="29" t="e">
        <f t="shared" si="143"/>
        <v>#VALUE!</v>
      </c>
      <c r="E9182" t="e">
        <f>cubic_spline(CURVA!$B$6:$B$20,CURVA!$G$6:$G$20,#REF!)</f>
        <v>#VALUE!</v>
      </c>
    </row>
    <row r="9183" spans="1:5" x14ac:dyDescent="0.2">
      <c r="A9183" s="28">
        <v>9182</v>
      </c>
      <c r="B9183" s="28" t="e">
        <f>interpola(#REF!,CURVA!$B$6:$B$20,CURVA!$G$6:$G$20)</f>
        <v>#VALUE!</v>
      </c>
      <c r="C9183" s="29" t="e">
        <f t="shared" si="143"/>
        <v>#VALUE!</v>
      </c>
      <c r="E9183" t="e">
        <f>cubic_spline(CURVA!$B$6:$B$20,CURVA!$G$6:$G$20,#REF!)</f>
        <v>#VALUE!</v>
      </c>
    </row>
    <row r="9184" spans="1:5" x14ac:dyDescent="0.2">
      <c r="A9184" s="28">
        <v>9183</v>
      </c>
      <c r="B9184" s="28" t="e">
        <f>interpola(#REF!,CURVA!$B$6:$B$20,CURVA!$G$6:$G$20)</f>
        <v>#VALUE!</v>
      </c>
      <c r="C9184" s="29" t="e">
        <f t="shared" si="143"/>
        <v>#VALUE!</v>
      </c>
      <c r="E9184" t="e">
        <f>cubic_spline(CURVA!$B$6:$B$20,CURVA!$G$6:$G$20,#REF!)</f>
        <v>#VALUE!</v>
      </c>
    </row>
    <row r="9185" spans="1:5" x14ac:dyDescent="0.2">
      <c r="A9185" s="28">
        <v>9184</v>
      </c>
      <c r="B9185" s="28" t="e">
        <f>interpola(#REF!,CURVA!$B$6:$B$20,CURVA!$G$6:$G$20)</f>
        <v>#VALUE!</v>
      </c>
      <c r="C9185" s="29" t="e">
        <f t="shared" si="143"/>
        <v>#VALUE!</v>
      </c>
      <c r="E9185" t="e">
        <f>cubic_spline(CURVA!$B$6:$B$20,CURVA!$G$6:$G$20,#REF!)</f>
        <v>#VALUE!</v>
      </c>
    </row>
    <row r="9186" spans="1:5" x14ac:dyDescent="0.2">
      <c r="A9186" s="28">
        <v>9185</v>
      </c>
      <c r="B9186" s="28" t="e">
        <f>interpola(#REF!,CURVA!$B$6:$B$20,CURVA!$G$6:$G$20)</f>
        <v>#VALUE!</v>
      </c>
      <c r="C9186" s="29" t="e">
        <f t="shared" si="143"/>
        <v>#VALUE!</v>
      </c>
      <c r="E9186" t="e">
        <f>cubic_spline(CURVA!$B$6:$B$20,CURVA!$G$6:$G$20,#REF!)</f>
        <v>#VALUE!</v>
      </c>
    </row>
    <row r="9187" spans="1:5" x14ac:dyDescent="0.2">
      <c r="A9187" s="28">
        <v>9186</v>
      </c>
      <c r="B9187" s="28" t="e">
        <f>interpola(#REF!,CURVA!$B$6:$B$20,CURVA!$G$6:$G$20)</f>
        <v>#VALUE!</v>
      </c>
      <c r="C9187" s="29" t="e">
        <f t="shared" si="143"/>
        <v>#VALUE!</v>
      </c>
      <c r="E9187" t="e">
        <f>cubic_spline(CURVA!$B$6:$B$20,CURVA!$G$6:$G$20,#REF!)</f>
        <v>#VALUE!</v>
      </c>
    </row>
    <row r="9188" spans="1:5" x14ac:dyDescent="0.2">
      <c r="A9188" s="28">
        <v>9187</v>
      </c>
      <c r="B9188" s="28" t="e">
        <f>interpola(#REF!,CURVA!$B$6:$B$20,CURVA!$G$6:$G$20)</f>
        <v>#VALUE!</v>
      </c>
      <c r="C9188" s="29" t="e">
        <f t="shared" si="143"/>
        <v>#VALUE!</v>
      </c>
      <c r="E9188" t="e">
        <f>cubic_spline(CURVA!$B$6:$B$20,CURVA!$G$6:$G$20,#REF!)</f>
        <v>#VALUE!</v>
      </c>
    </row>
    <row r="9189" spans="1:5" x14ac:dyDescent="0.2">
      <c r="A9189" s="28">
        <v>9188</v>
      </c>
      <c r="B9189" s="28" t="e">
        <f>interpola(#REF!,CURVA!$B$6:$B$20,CURVA!$G$6:$G$20)</f>
        <v>#VALUE!</v>
      </c>
      <c r="C9189" s="29" t="e">
        <f t="shared" si="143"/>
        <v>#VALUE!</v>
      </c>
      <c r="E9189" t="e">
        <f>cubic_spline(CURVA!$B$6:$B$20,CURVA!$G$6:$G$20,#REF!)</f>
        <v>#VALUE!</v>
      </c>
    </row>
    <row r="9190" spans="1:5" x14ac:dyDescent="0.2">
      <c r="A9190" s="28">
        <v>9189</v>
      </c>
      <c r="B9190" s="28" t="e">
        <f>interpola(#REF!,CURVA!$B$6:$B$20,CURVA!$G$6:$G$20)</f>
        <v>#VALUE!</v>
      </c>
      <c r="C9190" s="29" t="e">
        <f t="shared" si="143"/>
        <v>#VALUE!</v>
      </c>
      <c r="E9190" t="e">
        <f>cubic_spline(CURVA!$B$6:$B$20,CURVA!$G$6:$G$20,#REF!)</f>
        <v>#VALUE!</v>
      </c>
    </row>
    <row r="9191" spans="1:5" x14ac:dyDescent="0.2">
      <c r="A9191" s="28">
        <v>9190</v>
      </c>
      <c r="B9191" s="28" t="e">
        <f>interpola(#REF!,CURVA!$B$6:$B$20,CURVA!$G$6:$G$20)</f>
        <v>#VALUE!</v>
      </c>
      <c r="C9191" s="29" t="e">
        <f t="shared" si="143"/>
        <v>#VALUE!</v>
      </c>
      <c r="E9191" t="e">
        <f>cubic_spline(CURVA!$B$6:$B$20,CURVA!$G$6:$G$20,#REF!)</f>
        <v>#VALUE!</v>
      </c>
    </row>
    <row r="9192" spans="1:5" x14ac:dyDescent="0.2">
      <c r="A9192" s="28">
        <v>9191</v>
      </c>
      <c r="B9192" s="28" t="e">
        <f>interpola(#REF!,CURVA!$B$6:$B$20,CURVA!$G$6:$G$20)</f>
        <v>#VALUE!</v>
      </c>
      <c r="C9192" s="29" t="e">
        <f t="shared" si="143"/>
        <v>#VALUE!</v>
      </c>
      <c r="E9192" t="e">
        <f>cubic_spline(CURVA!$B$6:$B$20,CURVA!$G$6:$G$20,#REF!)</f>
        <v>#VALUE!</v>
      </c>
    </row>
    <row r="9193" spans="1:5" x14ac:dyDescent="0.2">
      <c r="A9193" s="28">
        <v>9192</v>
      </c>
      <c r="B9193" s="28" t="e">
        <f>interpola(#REF!,CURVA!$B$6:$B$20,CURVA!$G$6:$G$20)</f>
        <v>#VALUE!</v>
      </c>
      <c r="C9193" s="29" t="e">
        <f t="shared" si="143"/>
        <v>#VALUE!</v>
      </c>
      <c r="E9193" t="e">
        <f>cubic_spline(CURVA!$B$6:$B$20,CURVA!$G$6:$G$20,#REF!)</f>
        <v>#VALUE!</v>
      </c>
    </row>
    <row r="9194" spans="1:5" x14ac:dyDescent="0.2">
      <c r="A9194" s="28">
        <v>9193</v>
      </c>
      <c r="B9194" s="28" t="e">
        <f>interpola(#REF!,CURVA!$B$6:$B$20,CURVA!$G$6:$G$20)</f>
        <v>#VALUE!</v>
      </c>
      <c r="C9194" s="29" t="e">
        <f t="shared" si="143"/>
        <v>#VALUE!</v>
      </c>
      <c r="E9194" t="e">
        <f>cubic_spline(CURVA!$B$6:$B$20,CURVA!$G$6:$G$20,#REF!)</f>
        <v>#VALUE!</v>
      </c>
    </row>
    <row r="9195" spans="1:5" x14ac:dyDescent="0.2">
      <c r="A9195" s="28">
        <v>9194</v>
      </c>
      <c r="B9195" s="28" t="e">
        <f>interpola(#REF!,CURVA!$B$6:$B$20,CURVA!$G$6:$G$20)</f>
        <v>#VALUE!</v>
      </c>
      <c r="C9195" s="29" t="e">
        <f t="shared" si="143"/>
        <v>#VALUE!</v>
      </c>
      <c r="E9195" t="e">
        <f>cubic_spline(CURVA!$B$6:$B$20,CURVA!$G$6:$G$20,#REF!)</f>
        <v>#VALUE!</v>
      </c>
    </row>
    <row r="9196" spans="1:5" x14ac:dyDescent="0.2">
      <c r="A9196" s="28">
        <v>9195</v>
      </c>
      <c r="B9196" s="28" t="e">
        <f>interpola(#REF!,CURVA!$B$6:$B$20,CURVA!$G$6:$G$20)</f>
        <v>#VALUE!</v>
      </c>
      <c r="C9196" s="29" t="e">
        <f t="shared" si="143"/>
        <v>#VALUE!</v>
      </c>
      <c r="E9196" t="e">
        <f>cubic_spline(CURVA!$B$6:$B$20,CURVA!$G$6:$G$20,#REF!)</f>
        <v>#VALUE!</v>
      </c>
    </row>
    <row r="9197" spans="1:5" x14ac:dyDescent="0.2">
      <c r="A9197" s="28">
        <v>9196</v>
      </c>
      <c r="B9197" s="28" t="e">
        <f>interpola(#REF!,CURVA!$B$6:$B$20,CURVA!$G$6:$G$20)</f>
        <v>#VALUE!</v>
      </c>
      <c r="C9197" s="29" t="e">
        <f t="shared" si="143"/>
        <v>#VALUE!</v>
      </c>
      <c r="E9197" t="e">
        <f>cubic_spline(CURVA!$B$6:$B$20,CURVA!$G$6:$G$20,#REF!)</f>
        <v>#VALUE!</v>
      </c>
    </row>
    <row r="9198" spans="1:5" x14ac:dyDescent="0.2">
      <c r="A9198" s="28">
        <v>9197</v>
      </c>
      <c r="B9198" s="28" t="e">
        <f>interpola(#REF!,CURVA!$B$6:$B$20,CURVA!$G$6:$G$20)</f>
        <v>#VALUE!</v>
      </c>
      <c r="C9198" s="29" t="e">
        <f t="shared" si="143"/>
        <v>#VALUE!</v>
      </c>
      <c r="E9198" t="e">
        <f>cubic_spline(CURVA!$B$6:$B$20,CURVA!$G$6:$G$20,#REF!)</f>
        <v>#VALUE!</v>
      </c>
    </row>
    <row r="9199" spans="1:5" x14ac:dyDescent="0.2">
      <c r="A9199" s="28">
        <v>9198</v>
      </c>
      <c r="B9199" s="28" t="e">
        <f>interpola(#REF!,CURVA!$B$6:$B$20,CURVA!$G$6:$G$20)</f>
        <v>#VALUE!</v>
      </c>
      <c r="C9199" s="29" t="e">
        <f t="shared" si="143"/>
        <v>#VALUE!</v>
      </c>
      <c r="E9199" t="e">
        <f>cubic_spline(CURVA!$B$6:$B$20,CURVA!$G$6:$G$20,#REF!)</f>
        <v>#VALUE!</v>
      </c>
    </row>
    <row r="9200" spans="1:5" x14ac:dyDescent="0.2">
      <c r="A9200" s="28">
        <v>9199</v>
      </c>
      <c r="B9200" s="28" t="e">
        <f>interpola(#REF!,CURVA!$B$6:$B$20,CURVA!$G$6:$G$20)</f>
        <v>#VALUE!</v>
      </c>
      <c r="C9200" s="29" t="e">
        <f t="shared" si="143"/>
        <v>#VALUE!</v>
      </c>
      <c r="E9200" t="e">
        <f>cubic_spline(CURVA!$B$6:$B$20,CURVA!$G$6:$G$20,#REF!)</f>
        <v>#VALUE!</v>
      </c>
    </row>
    <row r="9201" spans="1:5" x14ac:dyDescent="0.2">
      <c r="A9201" s="28">
        <v>9200</v>
      </c>
      <c r="B9201" s="28" t="e">
        <f>interpola(#REF!,CURVA!$B$6:$B$20,CURVA!$G$6:$G$20)</f>
        <v>#VALUE!</v>
      </c>
      <c r="C9201" s="29" t="e">
        <f t="shared" si="143"/>
        <v>#VALUE!</v>
      </c>
      <c r="E9201" t="e">
        <f>cubic_spline(CURVA!$B$6:$B$20,CURVA!$G$6:$G$20,#REF!)</f>
        <v>#VALUE!</v>
      </c>
    </row>
    <row r="9202" spans="1:5" x14ac:dyDescent="0.2">
      <c r="A9202" s="28">
        <v>9201</v>
      </c>
      <c r="B9202" s="28" t="e">
        <f>interpola(#REF!,CURVA!$B$6:$B$20,CURVA!$G$6:$G$20)</f>
        <v>#VALUE!</v>
      </c>
      <c r="C9202" s="29" t="e">
        <f t="shared" si="143"/>
        <v>#VALUE!</v>
      </c>
      <c r="E9202" t="e">
        <f>cubic_spline(CURVA!$B$6:$B$20,CURVA!$G$6:$G$20,#REF!)</f>
        <v>#VALUE!</v>
      </c>
    </row>
    <row r="9203" spans="1:5" x14ac:dyDescent="0.2">
      <c r="A9203" s="28">
        <v>9202</v>
      </c>
      <c r="B9203" s="28" t="e">
        <f>interpola(#REF!,CURVA!$B$6:$B$20,CURVA!$G$6:$G$20)</f>
        <v>#VALUE!</v>
      </c>
      <c r="C9203" s="29" t="e">
        <f t="shared" si="143"/>
        <v>#VALUE!</v>
      </c>
      <c r="E9203" t="e">
        <f>cubic_spline(CURVA!$B$6:$B$20,CURVA!$G$6:$G$20,#REF!)</f>
        <v>#VALUE!</v>
      </c>
    </row>
    <row r="9204" spans="1:5" x14ac:dyDescent="0.2">
      <c r="A9204" s="28">
        <v>9203</v>
      </c>
      <c r="B9204" s="28" t="e">
        <f>interpola(#REF!,CURVA!$B$6:$B$20,CURVA!$G$6:$G$20)</f>
        <v>#VALUE!</v>
      </c>
      <c r="C9204" s="29" t="e">
        <f t="shared" si="143"/>
        <v>#VALUE!</v>
      </c>
      <c r="E9204" t="e">
        <f>cubic_spline(CURVA!$B$6:$B$20,CURVA!$G$6:$G$20,#REF!)</f>
        <v>#VALUE!</v>
      </c>
    </row>
    <row r="9205" spans="1:5" x14ac:dyDescent="0.2">
      <c r="A9205" s="28">
        <v>9204</v>
      </c>
      <c r="B9205" s="28" t="e">
        <f>interpola(#REF!,CURVA!$B$6:$B$20,CURVA!$G$6:$G$20)</f>
        <v>#VALUE!</v>
      </c>
      <c r="C9205" s="29" t="e">
        <f t="shared" si="143"/>
        <v>#VALUE!</v>
      </c>
      <c r="E9205" t="e">
        <f>cubic_spline(CURVA!$B$6:$B$20,CURVA!$G$6:$G$20,#REF!)</f>
        <v>#VALUE!</v>
      </c>
    </row>
    <row r="9206" spans="1:5" x14ac:dyDescent="0.2">
      <c r="A9206" s="28">
        <v>9205</v>
      </c>
      <c r="B9206" s="28" t="e">
        <f>interpola(#REF!,CURVA!$B$6:$B$20,CURVA!$G$6:$G$20)</f>
        <v>#VALUE!</v>
      </c>
      <c r="C9206" s="29" t="e">
        <f t="shared" si="143"/>
        <v>#VALUE!</v>
      </c>
      <c r="E9206" t="e">
        <f>cubic_spline(CURVA!$B$6:$B$20,CURVA!$G$6:$G$20,#REF!)</f>
        <v>#VALUE!</v>
      </c>
    </row>
    <row r="9207" spans="1:5" x14ac:dyDescent="0.2">
      <c r="A9207" s="28">
        <v>9206</v>
      </c>
      <c r="B9207" s="28" t="e">
        <f>interpola(#REF!,CURVA!$B$6:$B$20,CURVA!$G$6:$G$20)</f>
        <v>#VALUE!</v>
      </c>
      <c r="C9207" s="29" t="e">
        <f t="shared" si="143"/>
        <v>#VALUE!</v>
      </c>
      <c r="E9207" t="e">
        <f>cubic_spline(CURVA!$B$6:$B$20,CURVA!$G$6:$G$20,#REF!)</f>
        <v>#VALUE!</v>
      </c>
    </row>
    <row r="9208" spans="1:5" x14ac:dyDescent="0.2">
      <c r="A9208" s="28">
        <v>9207</v>
      </c>
      <c r="B9208" s="28" t="e">
        <f>interpola(#REF!,CURVA!$B$6:$B$20,CURVA!$G$6:$G$20)</f>
        <v>#VALUE!</v>
      </c>
      <c r="C9208" s="29" t="e">
        <f t="shared" si="143"/>
        <v>#VALUE!</v>
      </c>
      <c r="E9208" t="e">
        <f>cubic_spline(CURVA!$B$6:$B$20,CURVA!$G$6:$G$20,#REF!)</f>
        <v>#VALUE!</v>
      </c>
    </row>
    <row r="9209" spans="1:5" x14ac:dyDescent="0.2">
      <c r="A9209" s="28">
        <v>9208</v>
      </c>
      <c r="B9209" s="28" t="e">
        <f>interpola(#REF!,CURVA!$B$6:$B$20,CURVA!$G$6:$G$20)</f>
        <v>#VALUE!</v>
      </c>
      <c r="C9209" s="29" t="e">
        <f t="shared" si="143"/>
        <v>#VALUE!</v>
      </c>
      <c r="E9209" t="e">
        <f>cubic_spline(CURVA!$B$6:$B$20,CURVA!$G$6:$G$20,#REF!)</f>
        <v>#VALUE!</v>
      </c>
    </row>
    <row r="9210" spans="1:5" x14ac:dyDescent="0.2">
      <c r="A9210" s="28">
        <v>9209</v>
      </c>
      <c r="B9210" s="28" t="e">
        <f>interpola(#REF!,CURVA!$B$6:$B$20,CURVA!$G$6:$G$20)</f>
        <v>#VALUE!</v>
      </c>
      <c r="C9210" s="29" t="e">
        <f t="shared" si="143"/>
        <v>#VALUE!</v>
      </c>
      <c r="E9210" t="e">
        <f>cubic_spline(CURVA!$B$6:$B$20,CURVA!$G$6:$G$20,#REF!)</f>
        <v>#VALUE!</v>
      </c>
    </row>
    <row r="9211" spans="1:5" x14ac:dyDescent="0.2">
      <c r="A9211" s="28">
        <v>9210</v>
      </c>
      <c r="B9211" s="28" t="e">
        <f>interpola(#REF!,CURVA!$B$6:$B$20,CURVA!$G$6:$G$20)</f>
        <v>#VALUE!</v>
      </c>
      <c r="C9211" s="29" t="e">
        <f t="shared" si="143"/>
        <v>#VALUE!</v>
      </c>
      <c r="E9211" t="e">
        <f>cubic_spline(CURVA!$B$6:$B$20,CURVA!$G$6:$G$20,#REF!)</f>
        <v>#VALUE!</v>
      </c>
    </row>
    <row r="9212" spans="1:5" x14ac:dyDescent="0.2">
      <c r="A9212" s="28">
        <v>9211</v>
      </c>
      <c r="B9212" s="28" t="e">
        <f>interpola(#REF!,CURVA!$B$6:$B$20,CURVA!$G$6:$G$20)</f>
        <v>#VALUE!</v>
      </c>
      <c r="C9212" s="29" t="e">
        <f t="shared" si="143"/>
        <v>#VALUE!</v>
      </c>
      <c r="E9212" t="e">
        <f>cubic_spline(CURVA!$B$6:$B$20,CURVA!$G$6:$G$20,#REF!)</f>
        <v>#VALUE!</v>
      </c>
    </row>
    <row r="9213" spans="1:5" x14ac:dyDescent="0.2">
      <c r="A9213" s="28">
        <v>9212</v>
      </c>
      <c r="B9213" s="28" t="e">
        <f>interpola(#REF!,CURVA!$B$6:$B$20,CURVA!$G$6:$G$20)</f>
        <v>#VALUE!</v>
      </c>
      <c r="C9213" s="29" t="e">
        <f t="shared" si="143"/>
        <v>#VALUE!</v>
      </c>
      <c r="E9213" t="e">
        <f>cubic_spline(CURVA!$B$6:$B$20,CURVA!$G$6:$G$20,#REF!)</f>
        <v>#VALUE!</v>
      </c>
    </row>
    <row r="9214" spans="1:5" x14ac:dyDescent="0.2">
      <c r="A9214" s="28">
        <v>9213</v>
      </c>
      <c r="B9214" s="28" t="e">
        <f>interpola(#REF!,CURVA!$B$6:$B$20,CURVA!$G$6:$G$20)</f>
        <v>#VALUE!</v>
      </c>
      <c r="C9214" s="29" t="e">
        <f t="shared" si="143"/>
        <v>#VALUE!</v>
      </c>
      <c r="E9214" t="e">
        <f>cubic_spline(CURVA!$B$6:$B$20,CURVA!$G$6:$G$20,#REF!)</f>
        <v>#VALUE!</v>
      </c>
    </row>
    <row r="9215" spans="1:5" x14ac:dyDescent="0.2">
      <c r="A9215" s="28">
        <v>9214</v>
      </c>
      <c r="B9215" s="28" t="e">
        <f>interpola(#REF!,CURVA!$B$6:$B$20,CURVA!$G$6:$G$20)</f>
        <v>#VALUE!</v>
      </c>
      <c r="C9215" s="29" t="e">
        <f t="shared" si="143"/>
        <v>#VALUE!</v>
      </c>
      <c r="E9215" t="e">
        <f>cubic_spline(CURVA!$B$6:$B$20,CURVA!$G$6:$G$20,#REF!)</f>
        <v>#VALUE!</v>
      </c>
    </row>
    <row r="9216" spans="1:5" x14ac:dyDescent="0.2">
      <c r="A9216" s="28">
        <v>9215</v>
      </c>
      <c r="B9216" s="28" t="e">
        <f>interpola(#REF!,CURVA!$B$6:$B$20,CURVA!$G$6:$G$20)</f>
        <v>#VALUE!</v>
      </c>
      <c r="C9216" s="29" t="e">
        <f t="shared" si="143"/>
        <v>#VALUE!</v>
      </c>
      <c r="E9216" t="e">
        <f>cubic_spline(CURVA!$B$6:$B$20,CURVA!$G$6:$G$20,#REF!)</f>
        <v>#VALUE!</v>
      </c>
    </row>
    <row r="9217" spans="1:5" x14ac:dyDescent="0.2">
      <c r="A9217" s="28">
        <v>9216</v>
      </c>
      <c r="B9217" s="28" t="e">
        <f>interpola(#REF!,CURVA!$B$6:$B$20,CURVA!$G$6:$G$20)</f>
        <v>#VALUE!</v>
      </c>
      <c r="C9217" s="29" t="e">
        <f t="shared" si="143"/>
        <v>#VALUE!</v>
      </c>
      <c r="E9217" t="e">
        <f>cubic_spline(CURVA!$B$6:$B$20,CURVA!$G$6:$G$20,#REF!)</f>
        <v>#VALUE!</v>
      </c>
    </row>
    <row r="9218" spans="1:5" x14ac:dyDescent="0.2">
      <c r="A9218" s="28">
        <v>9217</v>
      </c>
      <c r="B9218" s="28" t="e">
        <f>interpola(#REF!,CURVA!$B$6:$B$20,CURVA!$G$6:$G$20)</f>
        <v>#VALUE!</v>
      </c>
      <c r="C9218" s="29" t="e">
        <f t="shared" ref="C9218:C9281" si="144">(EXP(B9218*A9218/360)-1)*360/A9218</f>
        <v>#VALUE!</v>
      </c>
      <c r="E9218" t="e">
        <f>cubic_spline(CURVA!$B$6:$B$20,CURVA!$G$6:$G$20,#REF!)</f>
        <v>#VALUE!</v>
      </c>
    </row>
    <row r="9219" spans="1:5" x14ac:dyDescent="0.2">
      <c r="A9219" s="28">
        <v>9218</v>
      </c>
      <c r="B9219" s="28" t="e">
        <f>interpola(#REF!,CURVA!$B$6:$B$20,CURVA!$G$6:$G$20)</f>
        <v>#VALUE!</v>
      </c>
      <c r="C9219" s="29" t="e">
        <f t="shared" si="144"/>
        <v>#VALUE!</v>
      </c>
      <c r="E9219" t="e">
        <f>cubic_spline(CURVA!$B$6:$B$20,CURVA!$G$6:$G$20,#REF!)</f>
        <v>#VALUE!</v>
      </c>
    </row>
    <row r="9220" spans="1:5" x14ac:dyDescent="0.2">
      <c r="A9220" s="28">
        <v>9219</v>
      </c>
      <c r="B9220" s="28" t="e">
        <f>interpola(#REF!,CURVA!$B$6:$B$20,CURVA!$G$6:$G$20)</f>
        <v>#VALUE!</v>
      </c>
      <c r="C9220" s="29" t="e">
        <f t="shared" si="144"/>
        <v>#VALUE!</v>
      </c>
      <c r="E9220" t="e">
        <f>cubic_spline(CURVA!$B$6:$B$20,CURVA!$G$6:$G$20,#REF!)</f>
        <v>#VALUE!</v>
      </c>
    </row>
    <row r="9221" spans="1:5" x14ac:dyDescent="0.2">
      <c r="A9221" s="28">
        <v>9220</v>
      </c>
      <c r="B9221" s="28" t="e">
        <f>interpola(#REF!,CURVA!$B$6:$B$20,CURVA!$G$6:$G$20)</f>
        <v>#VALUE!</v>
      </c>
      <c r="C9221" s="29" t="e">
        <f t="shared" si="144"/>
        <v>#VALUE!</v>
      </c>
      <c r="E9221" t="e">
        <f>cubic_spline(CURVA!$B$6:$B$20,CURVA!$G$6:$G$20,#REF!)</f>
        <v>#VALUE!</v>
      </c>
    </row>
    <row r="9222" spans="1:5" x14ac:dyDescent="0.2">
      <c r="A9222" s="28">
        <v>9221</v>
      </c>
      <c r="B9222" s="28" t="e">
        <f>interpola(#REF!,CURVA!$B$6:$B$20,CURVA!$G$6:$G$20)</f>
        <v>#VALUE!</v>
      </c>
      <c r="C9222" s="29" t="e">
        <f t="shared" si="144"/>
        <v>#VALUE!</v>
      </c>
      <c r="E9222" t="e">
        <f>cubic_spline(CURVA!$B$6:$B$20,CURVA!$G$6:$G$20,#REF!)</f>
        <v>#VALUE!</v>
      </c>
    </row>
    <row r="9223" spans="1:5" x14ac:dyDescent="0.2">
      <c r="A9223" s="28">
        <v>9222</v>
      </c>
      <c r="B9223" s="28" t="e">
        <f>interpola(#REF!,CURVA!$B$6:$B$20,CURVA!$G$6:$G$20)</f>
        <v>#VALUE!</v>
      </c>
      <c r="C9223" s="29" t="e">
        <f t="shared" si="144"/>
        <v>#VALUE!</v>
      </c>
      <c r="E9223" t="e">
        <f>cubic_spline(CURVA!$B$6:$B$20,CURVA!$G$6:$G$20,#REF!)</f>
        <v>#VALUE!</v>
      </c>
    </row>
    <row r="9224" spans="1:5" x14ac:dyDescent="0.2">
      <c r="A9224" s="28">
        <v>9223</v>
      </c>
      <c r="B9224" s="28" t="e">
        <f>interpola(#REF!,CURVA!$B$6:$B$20,CURVA!$G$6:$G$20)</f>
        <v>#VALUE!</v>
      </c>
      <c r="C9224" s="29" t="e">
        <f t="shared" si="144"/>
        <v>#VALUE!</v>
      </c>
      <c r="E9224" t="e">
        <f>cubic_spline(CURVA!$B$6:$B$20,CURVA!$G$6:$G$20,#REF!)</f>
        <v>#VALUE!</v>
      </c>
    </row>
    <row r="9225" spans="1:5" x14ac:dyDescent="0.2">
      <c r="A9225" s="28">
        <v>9224</v>
      </c>
      <c r="B9225" s="28" t="e">
        <f>interpola(#REF!,CURVA!$B$6:$B$20,CURVA!$G$6:$G$20)</f>
        <v>#VALUE!</v>
      </c>
      <c r="C9225" s="29" t="e">
        <f t="shared" si="144"/>
        <v>#VALUE!</v>
      </c>
      <c r="E9225" t="e">
        <f>cubic_spline(CURVA!$B$6:$B$20,CURVA!$G$6:$G$20,#REF!)</f>
        <v>#VALUE!</v>
      </c>
    </row>
    <row r="9226" spans="1:5" x14ac:dyDescent="0.2">
      <c r="A9226" s="28">
        <v>9225</v>
      </c>
      <c r="B9226" s="28" t="e">
        <f>interpola(#REF!,CURVA!$B$6:$B$20,CURVA!$G$6:$G$20)</f>
        <v>#VALUE!</v>
      </c>
      <c r="C9226" s="29" t="e">
        <f t="shared" si="144"/>
        <v>#VALUE!</v>
      </c>
      <c r="E9226" t="e">
        <f>cubic_spline(CURVA!$B$6:$B$20,CURVA!$G$6:$G$20,#REF!)</f>
        <v>#VALUE!</v>
      </c>
    </row>
    <row r="9227" spans="1:5" x14ac:dyDescent="0.2">
      <c r="A9227" s="28">
        <v>9226</v>
      </c>
      <c r="B9227" s="28" t="e">
        <f>interpola(#REF!,CURVA!$B$6:$B$20,CURVA!$G$6:$G$20)</f>
        <v>#VALUE!</v>
      </c>
      <c r="C9227" s="29" t="e">
        <f t="shared" si="144"/>
        <v>#VALUE!</v>
      </c>
      <c r="E9227" t="e">
        <f>cubic_spline(CURVA!$B$6:$B$20,CURVA!$G$6:$G$20,#REF!)</f>
        <v>#VALUE!</v>
      </c>
    </row>
    <row r="9228" spans="1:5" x14ac:dyDescent="0.2">
      <c r="A9228" s="28">
        <v>9227</v>
      </c>
      <c r="B9228" s="28" t="e">
        <f>interpola(#REF!,CURVA!$B$6:$B$20,CURVA!$G$6:$G$20)</f>
        <v>#VALUE!</v>
      </c>
      <c r="C9228" s="29" t="e">
        <f t="shared" si="144"/>
        <v>#VALUE!</v>
      </c>
      <c r="E9228" t="e">
        <f>cubic_spline(CURVA!$B$6:$B$20,CURVA!$G$6:$G$20,#REF!)</f>
        <v>#VALUE!</v>
      </c>
    </row>
    <row r="9229" spans="1:5" x14ac:dyDescent="0.2">
      <c r="A9229" s="28">
        <v>9228</v>
      </c>
      <c r="B9229" s="28" t="e">
        <f>interpola(#REF!,CURVA!$B$6:$B$20,CURVA!$G$6:$G$20)</f>
        <v>#VALUE!</v>
      </c>
      <c r="C9229" s="29" t="e">
        <f t="shared" si="144"/>
        <v>#VALUE!</v>
      </c>
      <c r="E9229" t="e">
        <f>cubic_spline(CURVA!$B$6:$B$20,CURVA!$G$6:$G$20,#REF!)</f>
        <v>#VALUE!</v>
      </c>
    </row>
    <row r="9230" spans="1:5" x14ac:dyDescent="0.2">
      <c r="A9230" s="28">
        <v>9229</v>
      </c>
      <c r="B9230" s="28" t="e">
        <f>interpola(#REF!,CURVA!$B$6:$B$20,CURVA!$G$6:$G$20)</f>
        <v>#VALUE!</v>
      </c>
      <c r="C9230" s="29" t="e">
        <f t="shared" si="144"/>
        <v>#VALUE!</v>
      </c>
      <c r="E9230" t="e">
        <f>cubic_spline(CURVA!$B$6:$B$20,CURVA!$G$6:$G$20,#REF!)</f>
        <v>#VALUE!</v>
      </c>
    </row>
    <row r="9231" spans="1:5" x14ac:dyDescent="0.2">
      <c r="A9231" s="28">
        <v>9230</v>
      </c>
      <c r="B9231" s="28" t="e">
        <f>interpola(#REF!,CURVA!$B$6:$B$20,CURVA!$G$6:$G$20)</f>
        <v>#VALUE!</v>
      </c>
      <c r="C9231" s="29" t="e">
        <f t="shared" si="144"/>
        <v>#VALUE!</v>
      </c>
      <c r="E9231" t="e">
        <f>cubic_spline(CURVA!$B$6:$B$20,CURVA!$G$6:$G$20,#REF!)</f>
        <v>#VALUE!</v>
      </c>
    </row>
    <row r="9232" spans="1:5" x14ac:dyDescent="0.2">
      <c r="A9232" s="28">
        <v>9231</v>
      </c>
      <c r="B9232" s="28" t="e">
        <f>interpola(#REF!,CURVA!$B$6:$B$20,CURVA!$G$6:$G$20)</f>
        <v>#VALUE!</v>
      </c>
      <c r="C9232" s="29" t="e">
        <f t="shared" si="144"/>
        <v>#VALUE!</v>
      </c>
      <c r="E9232" t="e">
        <f>cubic_spline(CURVA!$B$6:$B$20,CURVA!$G$6:$G$20,#REF!)</f>
        <v>#VALUE!</v>
      </c>
    </row>
    <row r="9233" spans="1:5" x14ac:dyDescent="0.2">
      <c r="A9233" s="28">
        <v>9232</v>
      </c>
      <c r="B9233" s="28" t="e">
        <f>interpola(#REF!,CURVA!$B$6:$B$20,CURVA!$G$6:$G$20)</f>
        <v>#VALUE!</v>
      </c>
      <c r="C9233" s="29" t="e">
        <f t="shared" si="144"/>
        <v>#VALUE!</v>
      </c>
      <c r="E9233" t="e">
        <f>cubic_spline(CURVA!$B$6:$B$20,CURVA!$G$6:$G$20,#REF!)</f>
        <v>#VALUE!</v>
      </c>
    </row>
    <row r="9234" spans="1:5" x14ac:dyDescent="0.2">
      <c r="A9234" s="28">
        <v>9233</v>
      </c>
      <c r="B9234" s="28" t="e">
        <f>interpola(#REF!,CURVA!$B$6:$B$20,CURVA!$G$6:$G$20)</f>
        <v>#VALUE!</v>
      </c>
      <c r="C9234" s="29" t="e">
        <f t="shared" si="144"/>
        <v>#VALUE!</v>
      </c>
      <c r="E9234" t="e">
        <f>cubic_spline(CURVA!$B$6:$B$20,CURVA!$G$6:$G$20,#REF!)</f>
        <v>#VALUE!</v>
      </c>
    </row>
    <row r="9235" spans="1:5" x14ac:dyDescent="0.2">
      <c r="A9235" s="28">
        <v>9234</v>
      </c>
      <c r="B9235" s="28" t="e">
        <f>interpola(#REF!,CURVA!$B$6:$B$20,CURVA!$G$6:$G$20)</f>
        <v>#VALUE!</v>
      </c>
      <c r="C9235" s="29" t="e">
        <f t="shared" si="144"/>
        <v>#VALUE!</v>
      </c>
      <c r="E9235" t="e">
        <f>cubic_spline(CURVA!$B$6:$B$20,CURVA!$G$6:$G$20,#REF!)</f>
        <v>#VALUE!</v>
      </c>
    </row>
    <row r="9236" spans="1:5" x14ac:dyDescent="0.2">
      <c r="A9236" s="28">
        <v>9235</v>
      </c>
      <c r="B9236" s="28" t="e">
        <f>interpola(#REF!,CURVA!$B$6:$B$20,CURVA!$G$6:$G$20)</f>
        <v>#VALUE!</v>
      </c>
      <c r="C9236" s="29" t="e">
        <f t="shared" si="144"/>
        <v>#VALUE!</v>
      </c>
      <c r="E9236" t="e">
        <f>cubic_spline(CURVA!$B$6:$B$20,CURVA!$G$6:$G$20,#REF!)</f>
        <v>#VALUE!</v>
      </c>
    </row>
    <row r="9237" spans="1:5" x14ac:dyDescent="0.2">
      <c r="A9237" s="28">
        <v>9236</v>
      </c>
      <c r="B9237" s="28" t="e">
        <f>interpola(#REF!,CURVA!$B$6:$B$20,CURVA!$G$6:$G$20)</f>
        <v>#VALUE!</v>
      </c>
      <c r="C9237" s="29" t="e">
        <f t="shared" si="144"/>
        <v>#VALUE!</v>
      </c>
      <c r="E9237" t="e">
        <f>cubic_spline(CURVA!$B$6:$B$20,CURVA!$G$6:$G$20,#REF!)</f>
        <v>#VALUE!</v>
      </c>
    </row>
    <row r="9238" spans="1:5" x14ac:dyDescent="0.2">
      <c r="A9238" s="28">
        <v>9237</v>
      </c>
      <c r="B9238" s="28" t="e">
        <f>interpola(#REF!,CURVA!$B$6:$B$20,CURVA!$G$6:$G$20)</f>
        <v>#VALUE!</v>
      </c>
      <c r="C9238" s="29" t="e">
        <f t="shared" si="144"/>
        <v>#VALUE!</v>
      </c>
      <c r="E9238" t="e">
        <f>cubic_spline(CURVA!$B$6:$B$20,CURVA!$G$6:$G$20,#REF!)</f>
        <v>#VALUE!</v>
      </c>
    </row>
    <row r="9239" spans="1:5" x14ac:dyDescent="0.2">
      <c r="A9239" s="28">
        <v>9238</v>
      </c>
      <c r="B9239" s="28" t="e">
        <f>interpola(#REF!,CURVA!$B$6:$B$20,CURVA!$G$6:$G$20)</f>
        <v>#VALUE!</v>
      </c>
      <c r="C9239" s="29" t="e">
        <f t="shared" si="144"/>
        <v>#VALUE!</v>
      </c>
      <c r="E9239" t="e">
        <f>cubic_spline(CURVA!$B$6:$B$20,CURVA!$G$6:$G$20,#REF!)</f>
        <v>#VALUE!</v>
      </c>
    </row>
    <row r="9240" spans="1:5" x14ac:dyDescent="0.2">
      <c r="A9240" s="28">
        <v>9239</v>
      </c>
      <c r="B9240" s="28" t="e">
        <f>interpola(#REF!,CURVA!$B$6:$B$20,CURVA!$G$6:$G$20)</f>
        <v>#VALUE!</v>
      </c>
      <c r="C9240" s="29" t="e">
        <f t="shared" si="144"/>
        <v>#VALUE!</v>
      </c>
      <c r="E9240" t="e">
        <f>cubic_spline(CURVA!$B$6:$B$20,CURVA!$G$6:$G$20,#REF!)</f>
        <v>#VALUE!</v>
      </c>
    </row>
    <row r="9241" spans="1:5" x14ac:dyDescent="0.2">
      <c r="A9241" s="28">
        <v>9240</v>
      </c>
      <c r="B9241" s="28" t="e">
        <f>interpola(#REF!,CURVA!$B$6:$B$20,CURVA!$G$6:$G$20)</f>
        <v>#VALUE!</v>
      </c>
      <c r="C9241" s="29" t="e">
        <f t="shared" si="144"/>
        <v>#VALUE!</v>
      </c>
      <c r="E9241" t="e">
        <f>cubic_spline(CURVA!$B$6:$B$20,CURVA!$G$6:$G$20,#REF!)</f>
        <v>#VALUE!</v>
      </c>
    </row>
    <row r="9242" spans="1:5" x14ac:dyDescent="0.2">
      <c r="A9242" s="28">
        <v>9241</v>
      </c>
      <c r="B9242" s="28" t="e">
        <f>interpola(#REF!,CURVA!$B$6:$B$20,CURVA!$G$6:$G$20)</f>
        <v>#VALUE!</v>
      </c>
      <c r="C9242" s="29" t="e">
        <f t="shared" si="144"/>
        <v>#VALUE!</v>
      </c>
      <c r="E9242" t="e">
        <f>cubic_spline(CURVA!$B$6:$B$20,CURVA!$G$6:$G$20,#REF!)</f>
        <v>#VALUE!</v>
      </c>
    </row>
    <row r="9243" spans="1:5" x14ac:dyDescent="0.2">
      <c r="A9243" s="28">
        <v>9242</v>
      </c>
      <c r="B9243" s="28" t="e">
        <f>interpola(#REF!,CURVA!$B$6:$B$20,CURVA!$G$6:$G$20)</f>
        <v>#VALUE!</v>
      </c>
      <c r="C9243" s="29" t="e">
        <f t="shared" si="144"/>
        <v>#VALUE!</v>
      </c>
      <c r="E9243" t="e">
        <f>cubic_spline(CURVA!$B$6:$B$20,CURVA!$G$6:$G$20,#REF!)</f>
        <v>#VALUE!</v>
      </c>
    </row>
    <row r="9244" spans="1:5" x14ac:dyDescent="0.2">
      <c r="A9244" s="28">
        <v>9243</v>
      </c>
      <c r="B9244" s="28" t="e">
        <f>interpola(#REF!,CURVA!$B$6:$B$20,CURVA!$G$6:$G$20)</f>
        <v>#VALUE!</v>
      </c>
      <c r="C9244" s="29" t="e">
        <f t="shared" si="144"/>
        <v>#VALUE!</v>
      </c>
      <c r="E9244" t="e">
        <f>cubic_spline(CURVA!$B$6:$B$20,CURVA!$G$6:$G$20,#REF!)</f>
        <v>#VALUE!</v>
      </c>
    </row>
    <row r="9245" spans="1:5" x14ac:dyDescent="0.2">
      <c r="A9245" s="28">
        <v>9244</v>
      </c>
      <c r="B9245" s="28" t="e">
        <f>interpola(#REF!,CURVA!$B$6:$B$20,CURVA!$G$6:$G$20)</f>
        <v>#VALUE!</v>
      </c>
      <c r="C9245" s="29" t="e">
        <f t="shared" si="144"/>
        <v>#VALUE!</v>
      </c>
      <c r="E9245" t="e">
        <f>cubic_spline(CURVA!$B$6:$B$20,CURVA!$G$6:$G$20,#REF!)</f>
        <v>#VALUE!</v>
      </c>
    </row>
    <row r="9246" spans="1:5" x14ac:dyDescent="0.2">
      <c r="A9246" s="28">
        <v>9245</v>
      </c>
      <c r="B9246" s="28" t="e">
        <f>interpola(#REF!,CURVA!$B$6:$B$20,CURVA!$G$6:$G$20)</f>
        <v>#VALUE!</v>
      </c>
      <c r="C9246" s="29" t="e">
        <f t="shared" si="144"/>
        <v>#VALUE!</v>
      </c>
      <c r="E9246" t="e">
        <f>cubic_spline(CURVA!$B$6:$B$20,CURVA!$G$6:$G$20,#REF!)</f>
        <v>#VALUE!</v>
      </c>
    </row>
    <row r="9247" spans="1:5" x14ac:dyDescent="0.2">
      <c r="A9247" s="28">
        <v>9246</v>
      </c>
      <c r="B9247" s="28" t="e">
        <f>interpola(#REF!,CURVA!$B$6:$B$20,CURVA!$G$6:$G$20)</f>
        <v>#VALUE!</v>
      </c>
      <c r="C9247" s="29" t="e">
        <f t="shared" si="144"/>
        <v>#VALUE!</v>
      </c>
      <c r="E9247" t="e">
        <f>cubic_spline(CURVA!$B$6:$B$20,CURVA!$G$6:$G$20,#REF!)</f>
        <v>#VALUE!</v>
      </c>
    </row>
    <row r="9248" spans="1:5" x14ac:dyDescent="0.2">
      <c r="A9248" s="28">
        <v>9247</v>
      </c>
      <c r="B9248" s="28" t="e">
        <f>interpola(#REF!,CURVA!$B$6:$B$20,CURVA!$G$6:$G$20)</f>
        <v>#VALUE!</v>
      </c>
      <c r="C9248" s="29" t="e">
        <f t="shared" si="144"/>
        <v>#VALUE!</v>
      </c>
      <c r="E9248" t="e">
        <f>cubic_spline(CURVA!$B$6:$B$20,CURVA!$G$6:$G$20,#REF!)</f>
        <v>#VALUE!</v>
      </c>
    </row>
    <row r="9249" spans="1:5" x14ac:dyDescent="0.2">
      <c r="A9249" s="28">
        <v>9248</v>
      </c>
      <c r="B9249" s="28" t="e">
        <f>interpola(#REF!,CURVA!$B$6:$B$20,CURVA!$G$6:$G$20)</f>
        <v>#VALUE!</v>
      </c>
      <c r="C9249" s="29" t="e">
        <f t="shared" si="144"/>
        <v>#VALUE!</v>
      </c>
      <c r="E9249" t="e">
        <f>cubic_spline(CURVA!$B$6:$B$20,CURVA!$G$6:$G$20,#REF!)</f>
        <v>#VALUE!</v>
      </c>
    </row>
    <row r="9250" spans="1:5" x14ac:dyDescent="0.2">
      <c r="A9250" s="28">
        <v>9249</v>
      </c>
      <c r="B9250" s="28" t="e">
        <f>interpola(#REF!,CURVA!$B$6:$B$20,CURVA!$G$6:$G$20)</f>
        <v>#VALUE!</v>
      </c>
      <c r="C9250" s="29" t="e">
        <f t="shared" si="144"/>
        <v>#VALUE!</v>
      </c>
      <c r="E9250" t="e">
        <f>cubic_spline(CURVA!$B$6:$B$20,CURVA!$G$6:$G$20,#REF!)</f>
        <v>#VALUE!</v>
      </c>
    </row>
    <row r="9251" spans="1:5" x14ac:dyDescent="0.2">
      <c r="A9251" s="28">
        <v>9250</v>
      </c>
      <c r="B9251" s="28" t="e">
        <f>interpola(#REF!,CURVA!$B$6:$B$20,CURVA!$G$6:$G$20)</f>
        <v>#VALUE!</v>
      </c>
      <c r="C9251" s="29" t="e">
        <f t="shared" si="144"/>
        <v>#VALUE!</v>
      </c>
      <c r="E9251" t="e">
        <f>cubic_spline(CURVA!$B$6:$B$20,CURVA!$G$6:$G$20,#REF!)</f>
        <v>#VALUE!</v>
      </c>
    </row>
    <row r="9252" spans="1:5" x14ac:dyDescent="0.2">
      <c r="A9252" s="28">
        <v>9251</v>
      </c>
      <c r="B9252" s="28" t="e">
        <f>interpola(#REF!,CURVA!$B$6:$B$20,CURVA!$G$6:$G$20)</f>
        <v>#VALUE!</v>
      </c>
      <c r="C9252" s="29" t="e">
        <f t="shared" si="144"/>
        <v>#VALUE!</v>
      </c>
      <c r="E9252" t="e">
        <f>cubic_spline(CURVA!$B$6:$B$20,CURVA!$G$6:$G$20,#REF!)</f>
        <v>#VALUE!</v>
      </c>
    </row>
    <row r="9253" spans="1:5" x14ac:dyDescent="0.2">
      <c r="A9253" s="28">
        <v>9252</v>
      </c>
      <c r="B9253" s="28" t="e">
        <f>interpola(#REF!,CURVA!$B$6:$B$20,CURVA!$G$6:$G$20)</f>
        <v>#VALUE!</v>
      </c>
      <c r="C9253" s="29" t="e">
        <f t="shared" si="144"/>
        <v>#VALUE!</v>
      </c>
      <c r="E9253" t="e">
        <f>cubic_spline(CURVA!$B$6:$B$20,CURVA!$G$6:$G$20,#REF!)</f>
        <v>#VALUE!</v>
      </c>
    </row>
    <row r="9254" spans="1:5" x14ac:dyDescent="0.2">
      <c r="A9254" s="28">
        <v>9253</v>
      </c>
      <c r="B9254" s="28" t="e">
        <f>interpola(#REF!,CURVA!$B$6:$B$20,CURVA!$G$6:$G$20)</f>
        <v>#VALUE!</v>
      </c>
      <c r="C9254" s="29" t="e">
        <f t="shared" si="144"/>
        <v>#VALUE!</v>
      </c>
      <c r="E9254" t="e">
        <f>cubic_spline(CURVA!$B$6:$B$20,CURVA!$G$6:$G$20,#REF!)</f>
        <v>#VALUE!</v>
      </c>
    </row>
    <row r="9255" spans="1:5" x14ac:dyDescent="0.2">
      <c r="A9255" s="28">
        <v>9254</v>
      </c>
      <c r="B9255" s="28" t="e">
        <f>interpola(#REF!,CURVA!$B$6:$B$20,CURVA!$G$6:$G$20)</f>
        <v>#VALUE!</v>
      </c>
      <c r="C9255" s="29" t="e">
        <f t="shared" si="144"/>
        <v>#VALUE!</v>
      </c>
      <c r="E9255" t="e">
        <f>cubic_spline(CURVA!$B$6:$B$20,CURVA!$G$6:$G$20,#REF!)</f>
        <v>#VALUE!</v>
      </c>
    </row>
    <row r="9256" spans="1:5" x14ac:dyDescent="0.2">
      <c r="A9256" s="28">
        <v>9255</v>
      </c>
      <c r="B9256" s="28" t="e">
        <f>interpola(#REF!,CURVA!$B$6:$B$20,CURVA!$G$6:$G$20)</f>
        <v>#VALUE!</v>
      </c>
      <c r="C9256" s="29" t="e">
        <f t="shared" si="144"/>
        <v>#VALUE!</v>
      </c>
      <c r="E9256" t="e">
        <f>cubic_spline(CURVA!$B$6:$B$20,CURVA!$G$6:$G$20,#REF!)</f>
        <v>#VALUE!</v>
      </c>
    </row>
    <row r="9257" spans="1:5" x14ac:dyDescent="0.2">
      <c r="A9257" s="28">
        <v>9256</v>
      </c>
      <c r="B9257" s="28" t="e">
        <f>interpola(#REF!,CURVA!$B$6:$B$20,CURVA!$G$6:$G$20)</f>
        <v>#VALUE!</v>
      </c>
      <c r="C9257" s="29" t="e">
        <f t="shared" si="144"/>
        <v>#VALUE!</v>
      </c>
      <c r="E9257" t="e">
        <f>cubic_spline(CURVA!$B$6:$B$20,CURVA!$G$6:$G$20,#REF!)</f>
        <v>#VALUE!</v>
      </c>
    </row>
    <row r="9258" spans="1:5" x14ac:dyDescent="0.2">
      <c r="A9258" s="28">
        <v>9257</v>
      </c>
      <c r="B9258" s="28" t="e">
        <f>interpola(#REF!,CURVA!$B$6:$B$20,CURVA!$G$6:$G$20)</f>
        <v>#VALUE!</v>
      </c>
      <c r="C9258" s="29" t="e">
        <f t="shared" si="144"/>
        <v>#VALUE!</v>
      </c>
      <c r="E9258" t="e">
        <f>cubic_spline(CURVA!$B$6:$B$20,CURVA!$G$6:$G$20,#REF!)</f>
        <v>#VALUE!</v>
      </c>
    </row>
    <row r="9259" spans="1:5" x14ac:dyDescent="0.2">
      <c r="A9259" s="28">
        <v>9258</v>
      </c>
      <c r="B9259" s="28" t="e">
        <f>interpola(#REF!,CURVA!$B$6:$B$20,CURVA!$G$6:$G$20)</f>
        <v>#VALUE!</v>
      </c>
      <c r="C9259" s="29" t="e">
        <f t="shared" si="144"/>
        <v>#VALUE!</v>
      </c>
      <c r="E9259" t="e">
        <f>cubic_spline(CURVA!$B$6:$B$20,CURVA!$G$6:$G$20,#REF!)</f>
        <v>#VALUE!</v>
      </c>
    </row>
    <row r="9260" spans="1:5" x14ac:dyDescent="0.2">
      <c r="A9260" s="28">
        <v>9259</v>
      </c>
      <c r="B9260" s="28" t="e">
        <f>interpola(#REF!,CURVA!$B$6:$B$20,CURVA!$G$6:$G$20)</f>
        <v>#VALUE!</v>
      </c>
      <c r="C9260" s="29" t="e">
        <f t="shared" si="144"/>
        <v>#VALUE!</v>
      </c>
      <c r="E9260" t="e">
        <f>cubic_spline(CURVA!$B$6:$B$20,CURVA!$G$6:$G$20,#REF!)</f>
        <v>#VALUE!</v>
      </c>
    </row>
    <row r="9261" spans="1:5" x14ac:dyDescent="0.2">
      <c r="A9261" s="28">
        <v>9260</v>
      </c>
      <c r="B9261" s="28" t="e">
        <f>interpola(#REF!,CURVA!$B$6:$B$20,CURVA!$G$6:$G$20)</f>
        <v>#VALUE!</v>
      </c>
      <c r="C9261" s="29" t="e">
        <f t="shared" si="144"/>
        <v>#VALUE!</v>
      </c>
      <c r="E9261" t="e">
        <f>cubic_spline(CURVA!$B$6:$B$20,CURVA!$G$6:$G$20,#REF!)</f>
        <v>#VALUE!</v>
      </c>
    </row>
    <row r="9262" spans="1:5" x14ac:dyDescent="0.2">
      <c r="A9262" s="28">
        <v>9261</v>
      </c>
      <c r="B9262" s="28" t="e">
        <f>interpola(#REF!,CURVA!$B$6:$B$20,CURVA!$G$6:$G$20)</f>
        <v>#VALUE!</v>
      </c>
      <c r="C9262" s="29" t="e">
        <f t="shared" si="144"/>
        <v>#VALUE!</v>
      </c>
      <c r="E9262" t="e">
        <f>cubic_spline(CURVA!$B$6:$B$20,CURVA!$G$6:$G$20,#REF!)</f>
        <v>#VALUE!</v>
      </c>
    </row>
    <row r="9263" spans="1:5" x14ac:dyDescent="0.2">
      <c r="A9263" s="28">
        <v>9262</v>
      </c>
      <c r="B9263" s="28" t="e">
        <f>interpola(#REF!,CURVA!$B$6:$B$20,CURVA!$G$6:$G$20)</f>
        <v>#VALUE!</v>
      </c>
      <c r="C9263" s="29" t="e">
        <f t="shared" si="144"/>
        <v>#VALUE!</v>
      </c>
      <c r="E9263" t="e">
        <f>cubic_spline(CURVA!$B$6:$B$20,CURVA!$G$6:$G$20,#REF!)</f>
        <v>#VALUE!</v>
      </c>
    </row>
    <row r="9264" spans="1:5" x14ac:dyDescent="0.2">
      <c r="A9264" s="28">
        <v>9263</v>
      </c>
      <c r="B9264" s="28" t="e">
        <f>interpola(#REF!,CURVA!$B$6:$B$20,CURVA!$G$6:$G$20)</f>
        <v>#VALUE!</v>
      </c>
      <c r="C9264" s="29" t="e">
        <f t="shared" si="144"/>
        <v>#VALUE!</v>
      </c>
      <c r="E9264" t="e">
        <f>cubic_spline(CURVA!$B$6:$B$20,CURVA!$G$6:$G$20,#REF!)</f>
        <v>#VALUE!</v>
      </c>
    </row>
    <row r="9265" spans="1:5" x14ac:dyDescent="0.2">
      <c r="A9265" s="28">
        <v>9264</v>
      </c>
      <c r="B9265" s="28" t="e">
        <f>interpola(#REF!,CURVA!$B$6:$B$20,CURVA!$G$6:$G$20)</f>
        <v>#VALUE!</v>
      </c>
      <c r="C9265" s="29" t="e">
        <f t="shared" si="144"/>
        <v>#VALUE!</v>
      </c>
      <c r="E9265" t="e">
        <f>cubic_spline(CURVA!$B$6:$B$20,CURVA!$G$6:$G$20,#REF!)</f>
        <v>#VALUE!</v>
      </c>
    </row>
    <row r="9266" spans="1:5" x14ac:dyDescent="0.2">
      <c r="A9266" s="28">
        <v>9265</v>
      </c>
      <c r="B9266" s="28" t="e">
        <f>interpola(#REF!,CURVA!$B$6:$B$20,CURVA!$G$6:$G$20)</f>
        <v>#VALUE!</v>
      </c>
      <c r="C9266" s="29" t="e">
        <f t="shared" si="144"/>
        <v>#VALUE!</v>
      </c>
      <c r="E9266" t="e">
        <f>cubic_spline(CURVA!$B$6:$B$20,CURVA!$G$6:$G$20,#REF!)</f>
        <v>#VALUE!</v>
      </c>
    </row>
    <row r="9267" spans="1:5" x14ac:dyDescent="0.2">
      <c r="A9267" s="28">
        <v>9266</v>
      </c>
      <c r="B9267" s="28" t="e">
        <f>interpola(#REF!,CURVA!$B$6:$B$20,CURVA!$G$6:$G$20)</f>
        <v>#VALUE!</v>
      </c>
      <c r="C9267" s="29" t="e">
        <f t="shared" si="144"/>
        <v>#VALUE!</v>
      </c>
      <c r="E9267" t="e">
        <f>cubic_spline(CURVA!$B$6:$B$20,CURVA!$G$6:$G$20,#REF!)</f>
        <v>#VALUE!</v>
      </c>
    </row>
    <row r="9268" spans="1:5" x14ac:dyDescent="0.2">
      <c r="A9268" s="28">
        <v>9267</v>
      </c>
      <c r="B9268" s="28" t="e">
        <f>interpola(#REF!,CURVA!$B$6:$B$20,CURVA!$G$6:$G$20)</f>
        <v>#VALUE!</v>
      </c>
      <c r="C9268" s="29" t="e">
        <f t="shared" si="144"/>
        <v>#VALUE!</v>
      </c>
      <c r="E9268" t="e">
        <f>cubic_spline(CURVA!$B$6:$B$20,CURVA!$G$6:$G$20,#REF!)</f>
        <v>#VALUE!</v>
      </c>
    </row>
    <row r="9269" spans="1:5" x14ac:dyDescent="0.2">
      <c r="A9269" s="28">
        <v>9268</v>
      </c>
      <c r="B9269" s="28" t="e">
        <f>interpola(#REF!,CURVA!$B$6:$B$20,CURVA!$G$6:$G$20)</f>
        <v>#VALUE!</v>
      </c>
      <c r="C9269" s="29" t="e">
        <f t="shared" si="144"/>
        <v>#VALUE!</v>
      </c>
      <c r="E9269" t="e">
        <f>cubic_spline(CURVA!$B$6:$B$20,CURVA!$G$6:$G$20,#REF!)</f>
        <v>#VALUE!</v>
      </c>
    </row>
    <row r="9270" spans="1:5" x14ac:dyDescent="0.2">
      <c r="A9270" s="28">
        <v>9269</v>
      </c>
      <c r="B9270" s="28" t="e">
        <f>interpola(#REF!,CURVA!$B$6:$B$20,CURVA!$G$6:$G$20)</f>
        <v>#VALUE!</v>
      </c>
      <c r="C9270" s="29" t="e">
        <f t="shared" si="144"/>
        <v>#VALUE!</v>
      </c>
      <c r="E9270" t="e">
        <f>cubic_spline(CURVA!$B$6:$B$20,CURVA!$G$6:$G$20,#REF!)</f>
        <v>#VALUE!</v>
      </c>
    </row>
    <row r="9271" spans="1:5" x14ac:dyDescent="0.2">
      <c r="A9271" s="28">
        <v>9270</v>
      </c>
      <c r="B9271" s="28" t="e">
        <f>interpola(#REF!,CURVA!$B$6:$B$20,CURVA!$G$6:$G$20)</f>
        <v>#VALUE!</v>
      </c>
      <c r="C9271" s="29" t="e">
        <f t="shared" si="144"/>
        <v>#VALUE!</v>
      </c>
      <c r="E9271" t="e">
        <f>cubic_spline(CURVA!$B$6:$B$20,CURVA!$G$6:$G$20,#REF!)</f>
        <v>#VALUE!</v>
      </c>
    </row>
    <row r="9272" spans="1:5" x14ac:dyDescent="0.2">
      <c r="A9272" s="28">
        <v>9271</v>
      </c>
      <c r="B9272" s="28" t="e">
        <f>interpola(#REF!,CURVA!$B$6:$B$20,CURVA!$G$6:$G$20)</f>
        <v>#VALUE!</v>
      </c>
      <c r="C9272" s="29" t="e">
        <f t="shared" si="144"/>
        <v>#VALUE!</v>
      </c>
      <c r="E9272" t="e">
        <f>cubic_spline(CURVA!$B$6:$B$20,CURVA!$G$6:$G$20,#REF!)</f>
        <v>#VALUE!</v>
      </c>
    </row>
    <row r="9273" spans="1:5" x14ac:dyDescent="0.2">
      <c r="A9273" s="28">
        <v>9272</v>
      </c>
      <c r="B9273" s="28" t="e">
        <f>interpola(#REF!,CURVA!$B$6:$B$20,CURVA!$G$6:$G$20)</f>
        <v>#VALUE!</v>
      </c>
      <c r="C9273" s="29" t="e">
        <f t="shared" si="144"/>
        <v>#VALUE!</v>
      </c>
      <c r="E9273" t="e">
        <f>cubic_spline(CURVA!$B$6:$B$20,CURVA!$G$6:$G$20,#REF!)</f>
        <v>#VALUE!</v>
      </c>
    </row>
    <row r="9274" spans="1:5" x14ac:dyDescent="0.2">
      <c r="A9274" s="28">
        <v>9273</v>
      </c>
      <c r="B9274" s="28" t="e">
        <f>interpola(#REF!,CURVA!$B$6:$B$20,CURVA!$G$6:$G$20)</f>
        <v>#VALUE!</v>
      </c>
      <c r="C9274" s="29" t="e">
        <f t="shared" si="144"/>
        <v>#VALUE!</v>
      </c>
      <c r="E9274" t="e">
        <f>cubic_spline(CURVA!$B$6:$B$20,CURVA!$G$6:$G$20,#REF!)</f>
        <v>#VALUE!</v>
      </c>
    </row>
    <row r="9275" spans="1:5" x14ac:dyDescent="0.2">
      <c r="A9275" s="28">
        <v>9274</v>
      </c>
      <c r="B9275" s="28" t="e">
        <f>interpola(#REF!,CURVA!$B$6:$B$20,CURVA!$G$6:$G$20)</f>
        <v>#VALUE!</v>
      </c>
      <c r="C9275" s="29" t="e">
        <f t="shared" si="144"/>
        <v>#VALUE!</v>
      </c>
      <c r="E9275" t="e">
        <f>cubic_spline(CURVA!$B$6:$B$20,CURVA!$G$6:$G$20,#REF!)</f>
        <v>#VALUE!</v>
      </c>
    </row>
    <row r="9276" spans="1:5" x14ac:dyDescent="0.2">
      <c r="A9276" s="28">
        <v>9275</v>
      </c>
      <c r="B9276" s="28" t="e">
        <f>interpola(#REF!,CURVA!$B$6:$B$20,CURVA!$G$6:$G$20)</f>
        <v>#VALUE!</v>
      </c>
      <c r="C9276" s="29" t="e">
        <f t="shared" si="144"/>
        <v>#VALUE!</v>
      </c>
      <c r="E9276" t="e">
        <f>cubic_spline(CURVA!$B$6:$B$20,CURVA!$G$6:$G$20,#REF!)</f>
        <v>#VALUE!</v>
      </c>
    </row>
    <row r="9277" spans="1:5" x14ac:dyDescent="0.2">
      <c r="A9277" s="28">
        <v>9276</v>
      </c>
      <c r="B9277" s="28" t="e">
        <f>interpola(#REF!,CURVA!$B$6:$B$20,CURVA!$G$6:$G$20)</f>
        <v>#VALUE!</v>
      </c>
      <c r="C9277" s="29" t="e">
        <f t="shared" si="144"/>
        <v>#VALUE!</v>
      </c>
      <c r="E9277" t="e">
        <f>cubic_spline(CURVA!$B$6:$B$20,CURVA!$G$6:$G$20,#REF!)</f>
        <v>#VALUE!</v>
      </c>
    </row>
    <row r="9278" spans="1:5" x14ac:dyDescent="0.2">
      <c r="A9278" s="28">
        <v>9277</v>
      </c>
      <c r="B9278" s="28" t="e">
        <f>interpola(#REF!,CURVA!$B$6:$B$20,CURVA!$G$6:$G$20)</f>
        <v>#VALUE!</v>
      </c>
      <c r="C9278" s="29" t="e">
        <f t="shared" si="144"/>
        <v>#VALUE!</v>
      </c>
      <c r="E9278" t="e">
        <f>cubic_spline(CURVA!$B$6:$B$20,CURVA!$G$6:$G$20,#REF!)</f>
        <v>#VALUE!</v>
      </c>
    </row>
    <row r="9279" spans="1:5" x14ac:dyDescent="0.2">
      <c r="A9279" s="28">
        <v>9278</v>
      </c>
      <c r="B9279" s="28" t="e">
        <f>interpola(#REF!,CURVA!$B$6:$B$20,CURVA!$G$6:$G$20)</f>
        <v>#VALUE!</v>
      </c>
      <c r="C9279" s="29" t="e">
        <f t="shared" si="144"/>
        <v>#VALUE!</v>
      </c>
      <c r="E9279" t="e">
        <f>cubic_spline(CURVA!$B$6:$B$20,CURVA!$G$6:$G$20,#REF!)</f>
        <v>#VALUE!</v>
      </c>
    </row>
    <row r="9280" spans="1:5" x14ac:dyDescent="0.2">
      <c r="A9280" s="28">
        <v>9279</v>
      </c>
      <c r="B9280" s="28" t="e">
        <f>interpola(#REF!,CURVA!$B$6:$B$20,CURVA!$G$6:$G$20)</f>
        <v>#VALUE!</v>
      </c>
      <c r="C9280" s="29" t="e">
        <f t="shared" si="144"/>
        <v>#VALUE!</v>
      </c>
      <c r="E9280" t="e">
        <f>cubic_spline(CURVA!$B$6:$B$20,CURVA!$G$6:$G$20,#REF!)</f>
        <v>#VALUE!</v>
      </c>
    </row>
    <row r="9281" spans="1:5" x14ac:dyDescent="0.2">
      <c r="A9281" s="28">
        <v>9280</v>
      </c>
      <c r="B9281" s="28" t="e">
        <f>interpola(#REF!,CURVA!$B$6:$B$20,CURVA!$G$6:$G$20)</f>
        <v>#VALUE!</v>
      </c>
      <c r="C9281" s="29" t="e">
        <f t="shared" si="144"/>
        <v>#VALUE!</v>
      </c>
      <c r="E9281" t="e">
        <f>cubic_spline(CURVA!$B$6:$B$20,CURVA!$G$6:$G$20,#REF!)</f>
        <v>#VALUE!</v>
      </c>
    </row>
    <row r="9282" spans="1:5" x14ac:dyDescent="0.2">
      <c r="A9282" s="28">
        <v>9281</v>
      </c>
      <c r="B9282" s="28" t="e">
        <f>interpola(#REF!,CURVA!$B$6:$B$20,CURVA!$G$6:$G$20)</f>
        <v>#VALUE!</v>
      </c>
      <c r="C9282" s="29" t="e">
        <f t="shared" ref="C9282:C9345" si="145">(EXP(B9282*A9282/360)-1)*360/A9282</f>
        <v>#VALUE!</v>
      </c>
      <c r="E9282" t="e">
        <f>cubic_spline(CURVA!$B$6:$B$20,CURVA!$G$6:$G$20,#REF!)</f>
        <v>#VALUE!</v>
      </c>
    </row>
    <row r="9283" spans="1:5" x14ac:dyDescent="0.2">
      <c r="A9283" s="28">
        <v>9282</v>
      </c>
      <c r="B9283" s="28" t="e">
        <f>interpola(#REF!,CURVA!$B$6:$B$20,CURVA!$G$6:$G$20)</f>
        <v>#VALUE!</v>
      </c>
      <c r="C9283" s="29" t="e">
        <f t="shared" si="145"/>
        <v>#VALUE!</v>
      </c>
      <c r="E9283" t="e">
        <f>cubic_spline(CURVA!$B$6:$B$20,CURVA!$G$6:$G$20,#REF!)</f>
        <v>#VALUE!</v>
      </c>
    </row>
    <row r="9284" spans="1:5" x14ac:dyDescent="0.2">
      <c r="A9284" s="28">
        <v>9283</v>
      </c>
      <c r="B9284" s="28" t="e">
        <f>interpola(#REF!,CURVA!$B$6:$B$20,CURVA!$G$6:$G$20)</f>
        <v>#VALUE!</v>
      </c>
      <c r="C9284" s="29" t="e">
        <f t="shared" si="145"/>
        <v>#VALUE!</v>
      </c>
      <c r="E9284" t="e">
        <f>cubic_spline(CURVA!$B$6:$B$20,CURVA!$G$6:$G$20,#REF!)</f>
        <v>#VALUE!</v>
      </c>
    </row>
    <row r="9285" spans="1:5" x14ac:dyDescent="0.2">
      <c r="A9285" s="28">
        <v>9284</v>
      </c>
      <c r="B9285" s="28" t="e">
        <f>interpola(#REF!,CURVA!$B$6:$B$20,CURVA!$G$6:$G$20)</f>
        <v>#VALUE!</v>
      </c>
      <c r="C9285" s="29" t="e">
        <f t="shared" si="145"/>
        <v>#VALUE!</v>
      </c>
      <c r="E9285" t="e">
        <f>cubic_spline(CURVA!$B$6:$B$20,CURVA!$G$6:$G$20,#REF!)</f>
        <v>#VALUE!</v>
      </c>
    </row>
    <row r="9286" spans="1:5" x14ac:dyDescent="0.2">
      <c r="A9286" s="28">
        <v>9285</v>
      </c>
      <c r="B9286" s="28" t="e">
        <f>interpola(#REF!,CURVA!$B$6:$B$20,CURVA!$G$6:$G$20)</f>
        <v>#VALUE!</v>
      </c>
      <c r="C9286" s="29" t="e">
        <f t="shared" si="145"/>
        <v>#VALUE!</v>
      </c>
      <c r="E9286" t="e">
        <f>cubic_spline(CURVA!$B$6:$B$20,CURVA!$G$6:$G$20,#REF!)</f>
        <v>#VALUE!</v>
      </c>
    </row>
    <row r="9287" spans="1:5" x14ac:dyDescent="0.2">
      <c r="A9287" s="28">
        <v>9286</v>
      </c>
      <c r="B9287" s="28" t="e">
        <f>interpola(#REF!,CURVA!$B$6:$B$20,CURVA!$G$6:$G$20)</f>
        <v>#VALUE!</v>
      </c>
      <c r="C9287" s="29" t="e">
        <f t="shared" si="145"/>
        <v>#VALUE!</v>
      </c>
      <c r="E9287" t="e">
        <f>cubic_spline(CURVA!$B$6:$B$20,CURVA!$G$6:$G$20,#REF!)</f>
        <v>#VALUE!</v>
      </c>
    </row>
    <row r="9288" spans="1:5" x14ac:dyDescent="0.2">
      <c r="A9288" s="28">
        <v>9287</v>
      </c>
      <c r="B9288" s="28" t="e">
        <f>interpola(#REF!,CURVA!$B$6:$B$20,CURVA!$G$6:$G$20)</f>
        <v>#VALUE!</v>
      </c>
      <c r="C9288" s="29" t="e">
        <f t="shared" si="145"/>
        <v>#VALUE!</v>
      </c>
      <c r="E9288" t="e">
        <f>cubic_spline(CURVA!$B$6:$B$20,CURVA!$G$6:$G$20,#REF!)</f>
        <v>#VALUE!</v>
      </c>
    </row>
    <row r="9289" spans="1:5" x14ac:dyDescent="0.2">
      <c r="A9289" s="28">
        <v>9288</v>
      </c>
      <c r="B9289" s="28" t="e">
        <f>interpola(#REF!,CURVA!$B$6:$B$20,CURVA!$G$6:$G$20)</f>
        <v>#VALUE!</v>
      </c>
      <c r="C9289" s="29" t="e">
        <f t="shared" si="145"/>
        <v>#VALUE!</v>
      </c>
      <c r="E9289" t="e">
        <f>cubic_spline(CURVA!$B$6:$B$20,CURVA!$G$6:$G$20,#REF!)</f>
        <v>#VALUE!</v>
      </c>
    </row>
    <row r="9290" spans="1:5" x14ac:dyDescent="0.2">
      <c r="A9290" s="28">
        <v>9289</v>
      </c>
      <c r="B9290" s="28" t="e">
        <f>interpola(#REF!,CURVA!$B$6:$B$20,CURVA!$G$6:$G$20)</f>
        <v>#VALUE!</v>
      </c>
      <c r="C9290" s="29" t="e">
        <f t="shared" si="145"/>
        <v>#VALUE!</v>
      </c>
      <c r="E9290" t="e">
        <f>cubic_spline(CURVA!$B$6:$B$20,CURVA!$G$6:$G$20,#REF!)</f>
        <v>#VALUE!</v>
      </c>
    </row>
    <row r="9291" spans="1:5" x14ac:dyDescent="0.2">
      <c r="A9291" s="28">
        <v>9290</v>
      </c>
      <c r="B9291" s="28" t="e">
        <f>interpola(#REF!,CURVA!$B$6:$B$20,CURVA!$G$6:$G$20)</f>
        <v>#VALUE!</v>
      </c>
      <c r="C9291" s="29" t="e">
        <f t="shared" si="145"/>
        <v>#VALUE!</v>
      </c>
      <c r="E9291" t="e">
        <f>cubic_spline(CURVA!$B$6:$B$20,CURVA!$G$6:$G$20,#REF!)</f>
        <v>#VALUE!</v>
      </c>
    </row>
    <row r="9292" spans="1:5" x14ac:dyDescent="0.2">
      <c r="A9292" s="28">
        <v>9291</v>
      </c>
      <c r="B9292" s="28" t="e">
        <f>interpola(#REF!,CURVA!$B$6:$B$20,CURVA!$G$6:$G$20)</f>
        <v>#VALUE!</v>
      </c>
      <c r="C9292" s="29" t="e">
        <f t="shared" si="145"/>
        <v>#VALUE!</v>
      </c>
      <c r="E9292" t="e">
        <f>cubic_spline(CURVA!$B$6:$B$20,CURVA!$G$6:$G$20,#REF!)</f>
        <v>#VALUE!</v>
      </c>
    </row>
    <row r="9293" spans="1:5" x14ac:dyDescent="0.2">
      <c r="A9293" s="28">
        <v>9292</v>
      </c>
      <c r="B9293" s="28" t="e">
        <f>interpola(#REF!,CURVA!$B$6:$B$20,CURVA!$G$6:$G$20)</f>
        <v>#VALUE!</v>
      </c>
      <c r="C9293" s="29" t="e">
        <f t="shared" si="145"/>
        <v>#VALUE!</v>
      </c>
      <c r="E9293" t="e">
        <f>cubic_spline(CURVA!$B$6:$B$20,CURVA!$G$6:$G$20,#REF!)</f>
        <v>#VALUE!</v>
      </c>
    </row>
    <row r="9294" spans="1:5" x14ac:dyDescent="0.2">
      <c r="A9294" s="28">
        <v>9293</v>
      </c>
      <c r="B9294" s="28" t="e">
        <f>interpola(#REF!,CURVA!$B$6:$B$20,CURVA!$G$6:$G$20)</f>
        <v>#VALUE!</v>
      </c>
      <c r="C9294" s="29" t="e">
        <f t="shared" si="145"/>
        <v>#VALUE!</v>
      </c>
      <c r="E9294" t="e">
        <f>cubic_spline(CURVA!$B$6:$B$20,CURVA!$G$6:$G$20,#REF!)</f>
        <v>#VALUE!</v>
      </c>
    </row>
    <row r="9295" spans="1:5" x14ac:dyDescent="0.2">
      <c r="A9295" s="28">
        <v>9294</v>
      </c>
      <c r="B9295" s="28" t="e">
        <f>interpola(#REF!,CURVA!$B$6:$B$20,CURVA!$G$6:$G$20)</f>
        <v>#VALUE!</v>
      </c>
      <c r="C9295" s="29" t="e">
        <f t="shared" si="145"/>
        <v>#VALUE!</v>
      </c>
      <c r="E9295" t="e">
        <f>cubic_spline(CURVA!$B$6:$B$20,CURVA!$G$6:$G$20,#REF!)</f>
        <v>#VALUE!</v>
      </c>
    </row>
    <row r="9296" spans="1:5" x14ac:dyDescent="0.2">
      <c r="A9296" s="28">
        <v>9295</v>
      </c>
      <c r="B9296" s="28" t="e">
        <f>interpola(#REF!,CURVA!$B$6:$B$20,CURVA!$G$6:$G$20)</f>
        <v>#VALUE!</v>
      </c>
      <c r="C9296" s="29" t="e">
        <f t="shared" si="145"/>
        <v>#VALUE!</v>
      </c>
      <c r="E9296" t="e">
        <f>cubic_spline(CURVA!$B$6:$B$20,CURVA!$G$6:$G$20,#REF!)</f>
        <v>#VALUE!</v>
      </c>
    </row>
    <row r="9297" spans="1:5" x14ac:dyDescent="0.2">
      <c r="A9297" s="28">
        <v>9296</v>
      </c>
      <c r="B9297" s="28" t="e">
        <f>interpola(#REF!,CURVA!$B$6:$B$20,CURVA!$G$6:$G$20)</f>
        <v>#VALUE!</v>
      </c>
      <c r="C9297" s="29" t="e">
        <f t="shared" si="145"/>
        <v>#VALUE!</v>
      </c>
      <c r="E9297" t="e">
        <f>cubic_spline(CURVA!$B$6:$B$20,CURVA!$G$6:$G$20,#REF!)</f>
        <v>#VALUE!</v>
      </c>
    </row>
    <row r="9298" spans="1:5" x14ac:dyDescent="0.2">
      <c r="A9298" s="28">
        <v>9297</v>
      </c>
      <c r="B9298" s="28" t="e">
        <f>interpola(#REF!,CURVA!$B$6:$B$20,CURVA!$G$6:$G$20)</f>
        <v>#VALUE!</v>
      </c>
      <c r="C9298" s="29" t="e">
        <f t="shared" si="145"/>
        <v>#VALUE!</v>
      </c>
      <c r="E9298" t="e">
        <f>cubic_spline(CURVA!$B$6:$B$20,CURVA!$G$6:$G$20,#REF!)</f>
        <v>#VALUE!</v>
      </c>
    </row>
    <row r="9299" spans="1:5" x14ac:dyDescent="0.2">
      <c r="A9299" s="28">
        <v>9298</v>
      </c>
      <c r="B9299" s="28" t="e">
        <f>interpola(#REF!,CURVA!$B$6:$B$20,CURVA!$G$6:$G$20)</f>
        <v>#VALUE!</v>
      </c>
      <c r="C9299" s="29" t="e">
        <f t="shared" si="145"/>
        <v>#VALUE!</v>
      </c>
      <c r="E9299" t="e">
        <f>cubic_spline(CURVA!$B$6:$B$20,CURVA!$G$6:$G$20,#REF!)</f>
        <v>#VALUE!</v>
      </c>
    </row>
    <row r="9300" spans="1:5" x14ac:dyDescent="0.2">
      <c r="A9300" s="28">
        <v>9299</v>
      </c>
      <c r="B9300" s="28" t="e">
        <f>interpola(#REF!,CURVA!$B$6:$B$20,CURVA!$G$6:$G$20)</f>
        <v>#VALUE!</v>
      </c>
      <c r="C9300" s="29" t="e">
        <f t="shared" si="145"/>
        <v>#VALUE!</v>
      </c>
      <c r="E9300" t="e">
        <f>cubic_spline(CURVA!$B$6:$B$20,CURVA!$G$6:$G$20,#REF!)</f>
        <v>#VALUE!</v>
      </c>
    </row>
    <row r="9301" spans="1:5" x14ac:dyDescent="0.2">
      <c r="A9301" s="28">
        <v>9300</v>
      </c>
      <c r="B9301" s="28" t="e">
        <f>interpola(#REF!,CURVA!$B$6:$B$20,CURVA!$G$6:$G$20)</f>
        <v>#VALUE!</v>
      </c>
      <c r="C9301" s="29" t="e">
        <f t="shared" si="145"/>
        <v>#VALUE!</v>
      </c>
      <c r="E9301" t="e">
        <f>cubic_spline(CURVA!$B$6:$B$20,CURVA!$G$6:$G$20,#REF!)</f>
        <v>#VALUE!</v>
      </c>
    </row>
    <row r="9302" spans="1:5" x14ac:dyDescent="0.2">
      <c r="A9302" s="28">
        <v>9301</v>
      </c>
      <c r="B9302" s="28" t="e">
        <f>interpola(#REF!,CURVA!$B$6:$B$20,CURVA!$G$6:$G$20)</f>
        <v>#VALUE!</v>
      </c>
      <c r="C9302" s="29" t="e">
        <f t="shared" si="145"/>
        <v>#VALUE!</v>
      </c>
      <c r="E9302" t="e">
        <f>cubic_spline(CURVA!$B$6:$B$20,CURVA!$G$6:$G$20,#REF!)</f>
        <v>#VALUE!</v>
      </c>
    </row>
    <row r="9303" spans="1:5" x14ac:dyDescent="0.2">
      <c r="A9303" s="28">
        <v>9302</v>
      </c>
      <c r="B9303" s="28" t="e">
        <f>interpola(#REF!,CURVA!$B$6:$B$20,CURVA!$G$6:$G$20)</f>
        <v>#VALUE!</v>
      </c>
      <c r="C9303" s="29" t="e">
        <f t="shared" si="145"/>
        <v>#VALUE!</v>
      </c>
      <c r="E9303" t="e">
        <f>cubic_spline(CURVA!$B$6:$B$20,CURVA!$G$6:$G$20,#REF!)</f>
        <v>#VALUE!</v>
      </c>
    </row>
    <row r="9304" spans="1:5" x14ac:dyDescent="0.2">
      <c r="A9304" s="28">
        <v>9303</v>
      </c>
      <c r="B9304" s="28" t="e">
        <f>interpola(#REF!,CURVA!$B$6:$B$20,CURVA!$G$6:$G$20)</f>
        <v>#VALUE!</v>
      </c>
      <c r="C9304" s="29" t="e">
        <f t="shared" si="145"/>
        <v>#VALUE!</v>
      </c>
      <c r="E9304" t="e">
        <f>cubic_spline(CURVA!$B$6:$B$20,CURVA!$G$6:$G$20,#REF!)</f>
        <v>#VALUE!</v>
      </c>
    </row>
    <row r="9305" spans="1:5" x14ac:dyDescent="0.2">
      <c r="A9305" s="28">
        <v>9304</v>
      </c>
      <c r="B9305" s="28" t="e">
        <f>interpola(#REF!,CURVA!$B$6:$B$20,CURVA!$G$6:$G$20)</f>
        <v>#VALUE!</v>
      </c>
      <c r="C9305" s="29" t="e">
        <f t="shared" si="145"/>
        <v>#VALUE!</v>
      </c>
      <c r="E9305" t="e">
        <f>cubic_spline(CURVA!$B$6:$B$20,CURVA!$G$6:$G$20,#REF!)</f>
        <v>#VALUE!</v>
      </c>
    </row>
    <row r="9306" spans="1:5" x14ac:dyDescent="0.2">
      <c r="A9306" s="28">
        <v>9305</v>
      </c>
      <c r="B9306" s="28" t="e">
        <f>interpola(#REF!,CURVA!$B$6:$B$20,CURVA!$G$6:$G$20)</f>
        <v>#VALUE!</v>
      </c>
      <c r="C9306" s="29" t="e">
        <f t="shared" si="145"/>
        <v>#VALUE!</v>
      </c>
      <c r="E9306" t="e">
        <f>cubic_spline(CURVA!$B$6:$B$20,CURVA!$G$6:$G$20,#REF!)</f>
        <v>#VALUE!</v>
      </c>
    </row>
    <row r="9307" spans="1:5" x14ac:dyDescent="0.2">
      <c r="A9307" s="28">
        <v>9306</v>
      </c>
      <c r="B9307" s="28" t="e">
        <f>interpola(#REF!,CURVA!$B$6:$B$20,CURVA!$G$6:$G$20)</f>
        <v>#VALUE!</v>
      </c>
      <c r="C9307" s="29" t="e">
        <f t="shared" si="145"/>
        <v>#VALUE!</v>
      </c>
      <c r="E9307" t="e">
        <f>cubic_spline(CURVA!$B$6:$B$20,CURVA!$G$6:$G$20,#REF!)</f>
        <v>#VALUE!</v>
      </c>
    </row>
    <row r="9308" spans="1:5" x14ac:dyDescent="0.2">
      <c r="A9308" s="28">
        <v>9307</v>
      </c>
      <c r="B9308" s="28" t="e">
        <f>interpola(#REF!,CURVA!$B$6:$B$20,CURVA!$G$6:$G$20)</f>
        <v>#VALUE!</v>
      </c>
      <c r="C9308" s="29" t="e">
        <f t="shared" si="145"/>
        <v>#VALUE!</v>
      </c>
      <c r="E9308" t="e">
        <f>cubic_spline(CURVA!$B$6:$B$20,CURVA!$G$6:$G$20,#REF!)</f>
        <v>#VALUE!</v>
      </c>
    </row>
    <row r="9309" spans="1:5" x14ac:dyDescent="0.2">
      <c r="A9309" s="28">
        <v>9308</v>
      </c>
      <c r="B9309" s="28" t="e">
        <f>interpola(#REF!,CURVA!$B$6:$B$20,CURVA!$G$6:$G$20)</f>
        <v>#VALUE!</v>
      </c>
      <c r="C9309" s="29" t="e">
        <f t="shared" si="145"/>
        <v>#VALUE!</v>
      </c>
      <c r="E9309" t="e">
        <f>cubic_spline(CURVA!$B$6:$B$20,CURVA!$G$6:$G$20,#REF!)</f>
        <v>#VALUE!</v>
      </c>
    </row>
    <row r="9310" spans="1:5" x14ac:dyDescent="0.2">
      <c r="A9310" s="28">
        <v>9309</v>
      </c>
      <c r="B9310" s="28" t="e">
        <f>interpola(#REF!,CURVA!$B$6:$B$20,CURVA!$G$6:$G$20)</f>
        <v>#VALUE!</v>
      </c>
      <c r="C9310" s="29" t="e">
        <f t="shared" si="145"/>
        <v>#VALUE!</v>
      </c>
      <c r="E9310" t="e">
        <f>cubic_spline(CURVA!$B$6:$B$20,CURVA!$G$6:$G$20,#REF!)</f>
        <v>#VALUE!</v>
      </c>
    </row>
    <row r="9311" spans="1:5" x14ac:dyDescent="0.2">
      <c r="A9311" s="28">
        <v>9310</v>
      </c>
      <c r="B9311" s="28" t="e">
        <f>interpola(#REF!,CURVA!$B$6:$B$20,CURVA!$G$6:$G$20)</f>
        <v>#VALUE!</v>
      </c>
      <c r="C9311" s="29" t="e">
        <f t="shared" si="145"/>
        <v>#VALUE!</v>
      </c>
      <c r="E9311" t="e">
        <f>cubic_spline(CURVA!$B$6:$B$20,CURVA!$G$6:$G$20,#REF!)</f>
        <v>#VALUE!</v>
      </c>
    </row>
    <row r="9312" spans="1:5" x14ac:dyDescent="0.2">
      <c r="A9312" s="28">
        <v>9311</v>
      </c>
      <c r="B9312" s="28" t="e">
        <f>interpola(#REF!,CURVA!$B$6:$B$20,CURVA!$G$6:$G$20)</f>
        <v>#VALUE!</v>
      </c>
      <c r="C9312" s="29" t="e">
        <f t="shared" si="145"/>
        <v>#VALUE!</v>
      </c>
      <c r="E9312" t="e">
        <f>cubic_spline(CURVA!$B$6:$B$20,CURVA!$G$6:$G$20,#REF!)</f>
        <v>#VALUE!</v>
      </c>
    </row>
    <row r="9313" spans="1:5" x14ac:dyDescent="0.2">
      <c r="A9313" s="28">
        <v>9312</v>
      </c>
      <c r="B9313" s="28" t="e">
        <f>interpola(#REF!,CURVA!$B$6:$B$20,CURVA!$G$6:$G$20)</f>
        <v>#VALUE!</v>
      </c>
      <c r="C9313" s="29" t="e">
        <f t="shared" si="145"/>
        <v>#VALUE!</v>
      </c>
      <c r="E9313" t="e">
        <f>cubic_spline(CURVA!$B$6:$B$20,CURVA!$G$6:$G$20,#REF!)</f>
        <v>#VALUE!</v>
      </c>
    </row>
    <row r="9314" spans="1:5" x14ac:dyDescent="0.2">
      <c r="A9314" s="28">
        <v>9313</v>
      </c>
      <c r="B9314" s="28" t="e">
        <f>interpola(#REF!,CURVA!$B$6:$B$20,CURVA!$G$6:$G$20)</f>
        <v>#VALUE!</v>
      </c>
      <c r="C9314" s="29" t="e">
        <f t="shared" si="145"/>
        <v>#VALUE!</v>
      </c>
      <c r="E9314" t="e">
        <f>cubic_spline(CURVA!$B$6:$B$20,CURVA!$G$6:$G$20,#REF!)</f>
        <v>#VALUE!</v>
      </c>
    </row>
    <row r="9315" spans="1:5" x14ac:dyDescent="0.2">
      <c r="A9315" s="28">
        <v>9314</v>
      </c>
      <c r="B9315" s="28" t="e">
        <f>interpola(#REF!,CURVA!$B$6:$B$20,CURVA!$G$6:$G$20)</f>
        <v>#VALUE!</v>
      </c>
      <c r="C9315" s="29" t="e">
        <f t="shared" si="145"/>
        <v>#VALUE!</v>
      </c>
      <c r="E9315" t="e">
        <f>cubic_spline(CURVA!$B$6:$B$20,CURVA!$G$6:$G$20,#REF!)</f>
        <v>#VALUE!</v>
      </c>
    </row>
    <row r="9316" spans="1:5" x14ac:dyDescent="0.2">
      <c r="A9316" s="28">
        <v>9315</v>
      </c>
      <c r="B9316" s="28" t="e">
        <f>interpola(#REF!,CURVA!$B$6:$B$20,CURVA!$G$6:$G$20)</f>
        <v>#VALUE!</v>
      </c>
      <c r="C9316" s="29" t="e">
        <f t="shared" si="145"/>
        <v>#VALUE!</v>
      </c>
      <c r="E9316" t="e">
        <f>cubic_spline(CURVA!$B$6:$B$20,CURVA!$G$6:$G$20,#REF!)</f>
        <v>#VALUE!</v>
      </c>
    </row>
    <row r="9317" spans="1:5" x14ac:dyDescent="0.2">
      <c r="A9317" s="28">
        <v>9316</v>
      </c>
      <c r="B9317" s="28" t="e">
        <f>interpola(#REF!,CURVA!$B$6:$B$20,CURVA!$G$6:$G$20)</f>
        <v>#VALUE!</v>
      </c>
      <c r="C9317" s="29" t="e">
        <f t="shared" si="145"/>
        <v>#VALUE!</v>
      </c>
      <c r="E9317" t="e">
        <f>cubic_spline(CURVA!$B$6:$B$20,CURVA!$G$6:$G$20,#REF!)</f>
        <v>#VALUE!</v>
      </c>
    </row>
    <row r="9318" spans="1:5" x14ac:dyDescent="0.2">
      <c r="A9318" s="28">
        <v>9317</v>
      </c>
      <c r="B9318" s="28" t="e">
        <f>interpola(#REF!,CURVA!$B$6:$B$20,CURVA!$G$6:$G$20)</f>
        <v>#VALUE!</v>
      </c>
      <c r="C9318" s="29" t="e">
        <f t="shared" si="145"/>
        <v>#VALUE!</v>
      </c>
      <c r="E9318" t="e">
        <f>cubic_spline(CURVA!$B$6:$B$20,CURVA!$G$6:$G$20,#REF!)</f>
        <v>#VALUE!</v>
      </c>
    </row>
    <row r="9319" spans="1:5" x14ac:dyDescent="0.2">
      <c r="A9319" s="28">
        <v>9318</v>
      </c>
      <c r="B9319" s="28" t="e">
        <f>interpola(#REF!,CURVA!$B$6:$B$20,CURVA!$G$6:$G$20)</f>
        <v>#VALUE!</v>
      </c>
      <c r="C9319" s="29" t="e">
        <f t="shared" si="145"/>
        <v>#VALUE!</v>
      </c>
      <c r="E9319" t="e">
        <f>cubic_spline(CURVA!$B$6:$B$20,CURVA!$G$6:$G$20,#REF!)</f>
        <v>#VALUE!</v>
      </c>
    </row>
    <row r="9320" spans="1:5" x14ac:dyDescent="0.2">
      <c r="A9320" s="28">
        <v>9319</v>
      </c>
      <c r="B9320" s="28" t="e">
        <f>interpola(#REF!,CURVA!$B$6:$B$20,CURVA!$G$6:$G$20)</f>
        <v>#VALUE!</v>
      </c>
      <c r="C9320" s="29" t="e">
        <f t="shared" si="145"/>
        <v>#VALUE!</v>
      </c>
      <c r="E9320" t="e">
        <f>cubic_spline(CURVA!$B$6:$B$20,CURVA!$G$6:$G$20,#REF!)</f>
        <v>#VALUE!</v>
      </c>
    </row>
    <row r="9321" spans="1:5" x14ac:dyDescent="0.2">
      <c r="A9321" s="28">
        <v>9320</v>
      </c>
      <c r="B9321" s="28" t="e">
        <f>interpola(#REF!,CURVA!$B$6:$B$20,CURVA!$G$6:$G$20)</f>
        <v>#VALUE!</v>
      </c>
      <c r="C9321" s="29" t="e">
        <f t="shared" si="145"/>
        <v>#VALUE!</v>
      </c>
      <c r="E9321" t="e">
        <f>cubic_spline(CURVA!$B$6:$B$20,CURVA!$G$6:$G$20,#REF!)</f>
        <v>#VALUE!</v>
      </c>
    </row>
    <row r="9322" spans="1:5" x14ac:dyDescent="0.2">
      <c r="A9322" s="28">
        <v>9321</v>
      </c>
      <c r="B9322" s="28" t="e">
        <f>interpola(#REF!,CURVA!$B$6:$B$20,CURVA!$G$6:$G$20)</f>
        <v>#VALUE!</v>
      </c>
      <c r="C9322" s="29" t="e">
        <f t="shared" si="145"/>
        <v>#VALUE!</v>
      </c>
      <c r="E9322" t="e">
        <f>cubic_spline(CURVA!$B$6:$B$20,CURVA!$G$6:$G$20,#REF!)</f>
        <v>#VALUE!</v>
      </c>
    </row>
    <row r="9323" spans="1:5" x14ac:dyDescent="0.2">
      <c r="A9323" s="28">
        <v>9322</v>
      </c>
      <c r="B9323" s="28" t="e">
        <f>interpola(#REF!,CURVA!$B$6:$B$20,CURVA!$G$6:$G$20)</f>
        <v>#VALUE!</v>
      </c>
      <c r="C9323" s="29" t="e">
        <f t="shared" si="145"/>
        <v>#VALUE!</v>
      </c>
      <c r="E9323" t="e">
        <f>cubic_spline(CURVA!$B$6:$B$20,CURVA!$G$6:$G$20,#REF!)</f>
        <v>#VALUE!</v>
      </c>
    </row>
    <row r="9324" spans="1:5" x14ac:dyDescent="0.2">
      <c r="A9324" s="28">
        <v>9323</v>
      </c>
      <c r="B9324" s="28" t="e">
        <f>interpola(#REF!,CURVA!$B$6:$B$20,CURVA!$G$6:$G$20)</f>
        <v>#VALUE!</v>
      </c>
      <c r="C9324" s="29" t="e">
        <f t="shared" si="145"/>
        <v>#VALUE!</v>
      </c>
      <c r="E9324" t="e">
        <f>cubic_spline(CURVA!$B$6:$B$20,CURVA!$G$6:$G$20,#REF!)</f>
        <v>#VALUE!</v>
      </c>
    </row>
    <row r="9325" spans="1:5" x14ac:dyDescent="0.2">
      <c r="A9325" s="28">
        <v>9324</v>
      </c>
      <c r="B9325" s="28" t="e">
        <f>interpola(#REF!,CURVA!$B$6:$B$20,CURVA!$G$6:$G$20)</f>
        <v>#VALUE!</v>
      </c>
      <c r="C9325" s="29" t="e">
        <f t="shared" si="145"/>
        <v>#VALUE!</v>
      </c>
      <c r="E9325" t="e">
        <f>cubic_spline(CURVA!$B$6:$B$20,CURVA!$G$6:$G$20,#REF!)</f>
        <v>#VALUE!</v>
      </c>
    </row>
    <row r="9326" spans="1:5" x14ac:dyDescent="0.2">
      <c r="A9326" s="28">
        <v>9325</v>
      </c>
      <c r="B9326" s="28" t="e">
        <f>interpola(#REF!,CURVA!$B$6:$B$20,CURVA!$G$6:$G$20)</f>
        <v>#VALUE!</v>
      </c>
      <c r="C9326" s="29" t="e">
        <f t="shared" si="145"/>
        <v>#VALUE!</v>
      </c>
      <c r="E9326" t="e">
        <f>cubic_spline(CURVA!$B$6:$B$20,CURVA!$G$6:$G$20,#REF!)</f>
        <v>#VALUE!</v>
      </c>
    </row>
    <row r="9327" spans="1:5" x14ac:dyDescent="0.2">
      <c r="A9327" s="28">
        <v>9326</v>
      </c>
      <c r="B9327" s="28" t="e">
        <f>interpola(#REF!,CURVA!$B$6:$B$20,CURVA!$G$6:$G$20)</f>
        <v>#VALUE!</v>
      </c>
      <c r="C9327" s="29" t="e">
        <f t="shared" si="145"/>
        <v>#VALUE!</v>
      </c>
      <c r="E9327" t="e">
        <f>cubic_spline(CURVA!$B$6:$B$20,CURVA!$G$6:$G$20,#REF!)</f>
        <v>#VALUE!</v>
      </c>
    </row>
    <row r="9328" spans="1:5" x14ac:dyDescent="0.2">
      <c r="A9328" s="28">
        <v>9327</v>
      </c>
      <c r="B9328" s="28" t="e">
        <f>interpola(#REF!,CURVA!$B$6:$B$20,CURVA!$G$6:$G$20)</f>
        <v>#VALUE!</v>
      </c>
      <c r="C9328" s="29" t="e">
        <f t="shared" si="145"/>
        <v>#VALUE!</v>
      </c>
      <c r="E9328" t="e">
        <f>cubic_spline(CURVA!$B$6:$B$20,CURVA!$G$6:$G$20,#REF!)</f>
        <v>#VALUE!</v>
      </c>
    </row>
    <row r="9329" spans="1:5" x14ac:dyDescent="0.2">
      <c r="A9329" s="28">
        <v>9328</v>
      </c>
      <c r="B9329" s="28" t="e">
        <f>interpola(#REF!,CURVA!$B$6:$B$20,CURVA!$G$6:$G$20)</f>
        <v>#VALUE!</v>
      </c>
      <c r="C9329" s="29" t="e">
        <f t="shared" si="145"/>
        <v>#VALUE!</v>
      </c>
      <c r="E9329" t="e">
        <f>cubic_spline(CURVA!$B$6:$B$20,CURVA!$G$6:$G$20,#REF!)</f>
        <v>#VALUE!</v>
      </c>
    </row>
    <row r="9330" spans="1:5" x14ac:dyDescent="0.2">
      <c r="A9330" s="28">
        <v>9329</v>
      </c>
      <c r="B9330" s="28" t="e">
        <f>interpola(#REF!,CURVA!$B$6:$B$20,CURVA!$G$6:$G$20)</f>
        <v>#VALUE!</v>
      </c>
      <c r="C9330" s="29" t="e">
        <f t="shared" si="145"/>
        <v>#VALUE!</v>
      </c>
      <c r="E9330" t="e">
        <f>cubic_spline(CURVA!$B$6:$B$20,CURVA!$G$6:$G$20,#REF!)</f>
        <v>#VALUE!</v>
      </c>
    </row>
    <row r="9331" spans="1:5" x14ac:dyDescent="0.2">
      <c r="A9331" s="28">
        <v>9330</v>
      </c>
      <c r="B9331" s="28" t="e">
        <f>interpola(#REF!,CURVA!$B$6:$B$20,CURVA!$G$6:$G$20)</f>
        <v>#VALUE!</v>
      </c>
      <c r="C9331" s="29" t="e">
        <f t="shared" si="145"/>
        <v>#VALUE!</v>
      </c>
      <c r="E9331" t="e">
        <f>cubic_spline(CURVA!$B$6:$B$20,CURVA!$G$6:$G$20,#REF!)</f>
        <v>#VALUE!</v>
      </c>
    </row>
    <row r="9332" spans="1:5" x14ac:dyDescent="0.2">
      <c r="A9332" s="28">
        <v>9331</v>
      </c>
      <c r="B9332" s="28" t="e">
        <f>interpola(#REF!,CURVA!$B$6:$B$20,CURVA!$G$6:$G$20)</f>
        <v>#VALUE!</v>
      </c>
      <c r="C9332" s="29" t="e">
        <f t="shared" si="145"/>
        <v>#VALUE!</v>
      </c>
      <c r="E9332" t="e">
        <f>cubic_spline(CURVA!$B$6:$B$20,CURVA!$G$6:$G$20,#REF!)</f>
        <v>#VALUE!</v>
      </c>
    </row>
    <row r="9333" spans="1:5" x14ac:dyDescent="0.2">
      <c r="A9333" s="28">
        <v>9332</v>
      </c>
      <c r="B9333" s="28" t="e">
        <f>interpola(#REF!,CURVA!$B$6:$B$20,CURVA!$G$6:$G$20)</f>
        <v>#VALUE!</v>
      </c>
      <c r="C9333" s="29" t="e">
        <f t="shared" si="145"/>
        <v>#VALUE!</v>
      </c>
      <c r="E9333" t="e">
        <f>cubic_spline(CURVA!$B$6:$B$20,CURVA!$G$6:$G$20,#REF!)</f>
        <v>#VALUE!</v>
      </c>
    </row>
    <row r="9334" spans="1:5" x14ac:dyDescent="0.2">
      <c r="A9334" s="28">
        <v>9333</v>
      </c>
      <c r="B9334" s="28" t="e">
        <f>interpola(#REF!,CURVA!$B$6:$B$20,CURVA!$G$6:$G$20)</f>
        <v>#VALUE!</v>
      </c>
      <c r="C9334" s="29" t="e">
        <f t="shared" si="145"/>
        <v>#VALUE!</v>
      </c>
      <c r="E9334" t="e">
        <f>cubic_spline(CURVA!$B$6:$B$20,CURVA!$G$6:$G$20,#REF!)</f>
        <v>#VALUE!</v>
      </c>
    </row>
    <row r="9335" spans="1:5" x14ac:dyDescent="0.2">
      <c r="A9335" s="28">
        <v>9334</v>
      </c>
      <c r="B9335" s="28" t="e">
        <f>interpola(#REF!,CURVA!$B$6:$B$20,CURVA!$G$6:$G$20)</f>
        <v>#VALUE!</v>
      </c>
      <c r="C9335" s="29" t="e">
        <f t="shared" si="145"/>
        <v>#VALUE!</v>
      </c>
      <c r="E9335" t="e">
        <f>cubic_spline(CURVA!$B$6:$B$20,CURVA!$G$6:$G$20,#REF!)</f>
        <v>#VALUE!</v>
      </c>
    </row>
    <row r="9336" spans="1:5" x14ac:dyDescent="0.2">
      <c r="A9336" s="28">
        <v>9335</v>
      </c>
      <c r="B9336" s="28" t="e">
        <f>interpola(#REF!,CURVA!$B$6:$B$20,CURVA!$G$6:$G$20)</f>
        <v>#VALUE!</v>
      </c>
      <c r="C9336" s="29" t="e">
        <f t="shared" si="145"/>
        <v>#VALUE!</v>
      </c>
      <c r="E9336" t="e">
        <f>cubic_spline(CURVA!$B$6:$B$20,CURVA!$G$6:$G$20,#REF!)</f>
        <v>#VALUE!</v>
      </c>
    </row>
    <row r="9337" spans="1:5" x14ac:dyDescent="0.2">
      <c r="A9337" s="28">
        <v>9336</v>
      </c>
      <c r="B9337" s="28" t="e">
        <f>interpola(#REF!,CURVA!$B$6:$B$20,CURVA!$G$6:$G$20)</f>
        <v>#VALUE!</v>
      </c>
      <c r="C9337" s="29" t="e">
        <f t="shared" si="145"/>
        <v>#VALUE!</v>
      </c>
      <c r="E9337" t="e">
        <f>cubic_spline(CURVA!$B$6:$B$20,CURVA!$G$6:$G$20,#REF!)</f>
        <v>#VALUE!</v>
      </c>
    </row>
    <row r="9338" spans="1:5" x14ac:dyDescent="0.2">
      <c r="A9338" s="28">
        <v>9337</v>
      </c>
      <c r="B9338" s="28" t="e">
        <f>interpola(#REF!,CURVA!$B$6:$B$20,CURVA!$G$6:$G$20)</f>
        <v>#VALUE!</v>
      </c>
      <c r="C9338" s="29" t="e">
        <f t="shared" si="145"/>
        <v>#VALUE!</v>
      </c>
      <c r="E9338" t="e">
        <f>cubic_spline(CURVA!$B$6:$B$20,CURVA!$G$6:$G$20,#REF!)</f>
        <v>#VALUE!</v>
      </c>
    </row>
    <row r="9339" spans="1:5" x14ac:dyDescent="0.2">
      <c r="A9339" s="28">
        <v>9338</v>
      </c>
      <c r="B9339" s="28" t="e">
        <f>interpola(#REF!,CURVA!$B$6:$B$20,CURVA!$G$6:$G$20)</f>
        <v>#VALUE!</v>
      </c>
      <c r="C9339" s="29" t="e">
        <f t="shared" si="145"/>
        <v>#VALUE!</v>
      </c>
      <c r="E9339" t="e">
        <f>cubic_spline(CURVA!$B$6:$B$20,CURVA!$G$6:$G$20,#REF!)</f>
        <v>#VALUE!</v>
      </c>
    </row>
    <row r="9340" spans="1:5" x14ac:dyDescent="0.2">
      <c r="A9340" s="28">
        <v>9339</v>
      </c>
      <c r="B9340" s="28" t="e">
        <f>interpola(#REF!,CURVA!$B$6:$B$20,CURVA!$G$6:$G$20)</f>
        <v>#VALUE!</v>
      </c>
      <c r="C9340" s="29" t="e">
        <f t="shared" si="145"/>
        <v>#VALUE!</v>
      </c>
      <c r="E9340" t="e">
        <f>cubic_spline(CURVA!$B$6:$B$20,CURVA!$G$6:$G$20,#REF!)</f>
        <v>#VALUE!</v>
      </c>
    </row>
    <row r="9341" spans="1:5" x14ac:dyDescent="0.2">
      <c r="A9341" s="28">
        <v>9340</v>
      </c>
      <c r="B9341" s="28" t="e">
        <f>interpola(#REF!,CURVA!$B$6:$B$20,CURVA!$G$6:$G$20)</f>
        <v>#VALUE!</v>
      </c>
      <c r="C9341" s="29" t="e">
        <f t="shared" si="145"/>
        <v>#VALUE!</v>
      </c>
      <c r="E9341" t="e">
        <f>cubic_spline(CURVA!$B$6:$B$20,CURVA!$G$6:$G$20,#REF!)</f>
        <v>#VALUE!</v>
      </c>
    </row>
    <row r="9342" spans="1:5" x14ac:dyDescent="0.2">
      <c r="A9342" s="28">
        <v>9341</v>
      </c>
      <c r="B9342" s="28" t="e">
        <f>interpola(#REF!,CURVA!$B$6:$B$20,CURVA!$G$6:$G$20)</f>
        <v>#VALUE!</v>
      </c>
      <c r="C9342" s="29" t="e">
        <f t="shared" si="145"/>
        <v>#VALUE!</v>
      </c>
      <c r="E9342" t="e">
        <f>cubic_spline(CURVA!$B$6:$B$20,CURVA!$G$6:$G$20,#REF!)</f>
        <v>#VALUE!</v>
      </c>
    </row>
    <row r="9343" spans="1:5" x14ac:dyDescent="0.2">
      <c r="A9343" s="28">
        <v>9342</v>
      </c>
      <c r="B9343" s="28" t="e">
        <f>interpola(#REF!,CURVA!$B$6:$B$20,CURVA!$G$6:$G$20)</f>
        <v>#VALUE!</v>
      </c>
      <c r="C9343" s="29" t="e">
        <f t="shared" si="145"/>
        <v>#VALUE!</v>
      </c>
      <c r="E9343" t="e">
        <f>cubic_spline(CURVA!$B$6:$B$20,CURVA!$G$6:$G$20,#REF!)</f>
        <v>#VALUE!</v>
      </c>
    </row>
    <row r="9344" spans="1:5" x14ac:dyDescent="0.2">
      <c r="A9344" s="28">
        <v>9343</v>
      </c>
      <c r="B9344" s="28" t="e">
        <f>interpola(#REF!,CURVA!$B$6:$B$20,CURVA!$G$6:$G$20)</f>
        <v>#VALUE!</v>
      </c>
      <c r="C9344" s="29" t="e">
        <f t="shared" si="145"/>
        <v>#VALUE!</v>
      </c>
      <c r="E9344" t="e">
        <f>cubic_spline(CURVA!$B$6:$B$20,CURVA!$G$6:$G$20,#REF!)</f>
        <v>#VALUE!</v>
      </c>
    </row>
    <row r="9345" spans="1:5" x14ac:dyDescent="0.2">
      <c r="A9345" s="28">
        <v>9344</v>
      </c>
      <c r="B9345" s="28" t="e">
        <f>interpola(#REF!,CURVA!$B$6:$B$20,CURVA!$G$6:$G$20)</f>
        <v>#VALUE!</v>
      </c>
      <c r="C9345" s="29" t="e">
        <f t="shared" si="145"/>
        <v>#VALUE!</v>
      </c>
      <c r="E9345" t="e">
        <f>cubic_spline(CURVA!$B$6:$B$20,CURVA!$G$6:$G$20,#REF!)</f>
        <v>#VALUE!</v>
      </c>
    </row>
    <row r="9346" spans="1:5" x14ac:dyDescent="0.2">
      <c r="A9346" s="28">
        <v>9345</v>
      </c>
      <c r="B9346" s="28" t="e">
        <f>interpola(#REF!,CURVA!$B$6:$B$20,CURVA!$G$6:$G$20)</f>
        <v>#VALUE!</v>
      </c>
      <c r="C9346" s="29" t="e">
        <f t="shared" ref="C9346:C9409" si="146">(EXP(B9346*A9346/360)-1)*360/A9346</f>
        <v>#VALUE!</v>
      </c>
      <c r="E9346" t="e">
        <f>cubic_spline(CURVA!$B$6:$B$20,CURVA!$G$6:$G$20,#REF!)</f>
        <v>#VALUE!</v>
      </c>
    </row>
    <row r="9347" spans="1:5" x14ac:dyDescent="0.2">
      <c r="A9347" s="28">
        <v>9346</v>
      </c>
      <c r="B9347" s="28" t="e">
        <f>interpola(#REF!,CURVA!$B$6:$B$20,CURVA!$G$6:$G$20)</f>
        <v>#VALUE!</v>
      </c>
      <c r="C9347" s="29" t="e">
        <f t="shared" si="146"/>
        <v>#VALUE!</v>
      </c>
      <c r="E9347" t="e">
        <f>cubic_spline(CURVA!$B$6:$B$20,CURVA!$G$6:$G$20,#REF!)</f>
        <v>#VALUE!</v>
      </c>
    </row>
    <row r="9348" spans="1:5" x14ac:dyDescent="0.2">
      <c r="A9348" s="28">
        <v>9347</v>
      </c>
      <c r="B9348" s="28" t="e">
        <f>interpola(#REF!,CURVA!$B$6:$B$20,CURVA!$G$6:$G$20)</f>
        <v>#VALUE!</v>
      </c>
      <c r="C9348" s="29" t="e">
        <f t="shared" si="146"/>
        <v>#VALUE!</v>
      </c>
      <c r="E9348" t="e">
        <f>cubic_spline(CURVA!$B$6:$B$20,CURVA!$G$6:$G$20,#REF!)</f>
        <v>#VALUE!</v>
      </c>
    </row>
    <row r="9349" spans="1:5" x14ac:dyDescent="0.2">
      <c r="A9349" s="28">
        <v>9348</v>
      </c>
      <c r="B9349" s="28" t="e">
        <f>interpola(#REF!,CURVA!$B$6:$B$20,CURVA!$G$6:$G$20)</f>
        <v>#VALUE!</v>
      </c>
      <c r="C9349" s="29" t="e">
        <f t="shared" si="146"/>
        <v>#VALUE!</v>
      </c>
      <c r="E9349" t="e">
        <f>cubic_spline(CURVA!$B$6:$B$20,CURVA!$G$6:$G$20,#REF!)</f>
        <v>#VALUE!</v>
      </c>
    </row>
    <row r="9350" spans="1:5" x14ac:dyDescent="0.2">
      <c r="A9350" s="28">
        <v>9349</v>
      </c>
      <c r="B9350" s="28" t="e">
        <f>interpola(#REF!,CURVA!$B$6:$B$20,CURVA!$G$6:$G$20)</f>
        <v>#VALUE!</v>
      </c>
      <c r="C9350" s="29" t="e">
        <f t="shared" si="146"/>
        <v>#VALUE!</v>
      </c>
      <c r="E9350" t="e">
        <f>cubic_spline(CURVA!$B$6:$B$20,CURVA!$G$6:$G$20,#REF!)</f>
        <v>#VALUE!</v>
      </c>
    </row>
    <row r="9351" spans="1:5" x14ac:dyDescent="0.2">
      <c r="A9351" s="28">
        <v>9350</v>
      </c>
      <c r="B9351" s="28" t="e">
        <f>interpola(#REF!,CURVA!$B$6:$B$20,CURVA!$G$6:$G$20)</f>
        <v>#VALUE!</v>
      </c>
      <c r="C9351" s="29" t="e">
        <f t="shared" si="146"/>
        <v>#VALUE!</v>
      </c>
      <c r="E9351" t="e">
        <f>cubic_spline(CURVA!$B$6:$B$20,CURVA!$G$6:$G$20,#REF!)</f>
        <v>#VALUE!</v>
      </c>
    </row>
    <row r="9352" spans="1:5" x14ac:dyDescent="0.2">
      <c r="A9352" s="28">
        <v>9351</v>
      </c>
      <c r="B9352" s="28" t="e">
        <f>interpola(#REF!,CURVA!$B$6:$B$20,CURVA!$G$6:$G$20)</f>
        <v>#VALUE!</v>
      </c>
      <c r="C9352" s="29" t="e">
        <f t="shared" si="146"/>
        <v>#VALUE!</v>
      </c>
      <c r="E9352" t="e">
        <f>cubic_spline(CURVA!$B$6:$B$20,CURVA!$G$6:$G$20,#REF!)</f>
        <v>#VALUE!</v>
      </c>
    </row>
    <row r="9353" spans="1:5" x14ac:dyDescent="0.2">
      <c r="A9353" s="28">
        <v>9352</v>
      </c>
      <c r="B9353" s="28" t="e">
        <f>interpola(#REF!,CURVA!$B$6:$B$20,CURVA!$G$6:$G$20)</f>
        <v>#VALUE!</v>
      </c>
      <c r="C9353" s="29" t="e">
        <f t="shared" si="146"/>
        <v>#VALUE!</v>
      </c>
      <c r="E9353" t="e">
        <f>cubic_spline(CURVA!$B$6:$B$20,CURVA!$G$6:$G$20,#REF!)</f>
        <v>#VALUE!</v>
      </c>
    </row>
    <row r="9354" spans="1:5" x14ac:dyDescent="0.2">
      <c r="A9354" s="28">
        <v>9353</v>
      </c>
      <c r="B9354" s="28" t="e">
        <f>interpola(#REF!,CURVA!$B$6:$B$20,CURVA!$G$6:$G$20)</f>
        <v>#VALUE!</v>
      </c>
      <c r="C9354" s="29" t="e">
        <f t="shared" si="146"/>
        <v>#VALUE!</v>
      </c>
      <c r="E9354" t="e">
        <f>cubic_spline(CURVA!$B$6:$B$20,CURVA!$G$6:$G$20,#REF!)</f>
        <v>#VALUE!</v>
      </c>
    </row>
    <row r="9355" spans="1:5" x14ac:dyDescent="0.2">
      <c r="A9355" s="28">
        <v>9354</v>
      </c>
      <c r="B9355" s="28" t="e">
        <f>interpola(#REF!,CURVA!$B$6:$B$20,CURVA!$G$6:$G$20)</f>
        <v>#VALUE!</v>
      </c>
      <c r="C9355" s="29" t="e">
        <f t="shared" si="146"/>
        <v>#VALUE!</v>
      </c>
      <c r="E9355" t="e">
        <f>cubic_spline(CURVA!$B$6:$B$20,CURVA!$G$6:$G$20,#REF!)</f>
        <v>#VALUE!</v>
      </c>
    </row>
    <row r="9356" spans="1:5" x14ac:dyDescent="0.2">
      <c r="A9356" s="28">
        <v>9355</v>
      </c>
      <c r="B9356" s="28" t="e">
        <f>interpola(#REF!,CURVA!$B$6:$B$20,CURVA!$G$6:$G$20)</f>
        <v>#VALUE!</v>
      </c>
      <c r="C9356" s="29" t="e">
        <f t="shared" si="146"/>
        <v>#VALUE!</v>
      </c>
      <c r="E9356" t="e">
        <f>cubic_spline(CURVA!$B$6:$B$20,CURVA!$G$6:$G$20,#REF!)</f>
        <v>#VALUE!</v>
      </c>
    </row>
    <row r="9357" spans="1:5" x14ac:dyDescent="0.2">
      <c r="A9357" s="28">
        <v>9356</v>
      </c>
      <c r="B9357" s="28" t="e">
        <f>interpola(#REF!,CURVA!$B$6:$B$20,CURVA!$G$6:$G$20)</f>
        <v>#VALUE!</v>
      </c>
      <c r="C9357" s="29" t="e">
        <f t="shared" si="146"/>
        <v>#VALUE!</v>
      </c>
      <c r="E9357" t="e">
        <f>cubic_spline(CURVA!$B$6:$B$20,CURVA!$G$6:$G$20,#REF!)</f>
        <v>#VALUE!</v>
      </c>
    </row>
    <row r="9358" spans="1:5" x14ac:dyDescent="0.2">
      <c r="A9358" s="28">
        <v>9357</v>
      </c>
      <c r="B9358" s="28" t="e">
        <f>interpola(#REF!,CURVA!$B$6:$B$20,CURVA!$G$6:$G$20)</f>
        <v>#VALUE!</v>
      </c>
      <c r="C9358" s="29" t="e">
        <f t="shared" si="146"/>
        <v>#VALUE!</v>
      </c>
      <c r="E9358" t="e">
        <f>cubic_spline(CURVA!$B$6:$B$20,CURVA!$G$6:$G$20,#REF!)</f>
        <v>#VALUE!</v>
      </c>
    </row>
    <row r="9359" spans="1:5" x14ac:dyDescent="0.2">
      <c r="A9359" s="28">
        <v>9358</v>
      </c>
      <c r="B9359" s="28" t="e">
        <f>interpola(#REF!,CURVA!$B$6:$B$20,CURVA!$G$6:$G$20)</f>
        <v>#VALUE!</v>
      </c>
      <c r="C9359" s="29" t="e">
        <f t="shared" si="146"/>
        <v>#VALUE!</v>
      </c>
      <c r="E9359" t="e">
        <f>cubic_spline(CURVA!$B$6:$B$20,CURVA!$G$6:$G$20,#REF!)</f>
        <v>#VALUE!</v>
      </c>
    </row>
    <row r="9360" spans="1:5" x14ac:dyDescent="0.2">
      <c r="A9360" s="28">
        <v>9359</v>
      </c>
      <c r="B9360" s="28" t="e">
        <f>interpola(#REF!,CURVA!$B$6:$B$20,CURVA!$G$6:$G$20)</f>
        <v>#VALUE!</v>
      </c>
      <c r="C9360" s="29" t="e">
        <f t="shared" si="146"/>
        <v>#VALUE!</v>
      </c>
      <c r="E9360" t="e">
        <f>cubic_spline(CURVA!$B$6:$B$20,CURVA!$G$6:$G$20,#REF!)</f>
        <v>#VALUE!</v>
      </c>
    </row>
    <row r="9361" spans="1:5" x14ac:dyDescent="0.2">
      <c r="A9361" s="28">
        <v>9360</v>
      </c>
      <c r="B9361" s="28" t="e">
        <f>interpola(#REF!,CURVA!$B$6:$B$20,CURVA!$G$6:$G$20)</f>
        <v>#VALUE!</v>
      </c>
      <c r="C9361" s="29" t="e">
        <f t="shared" si="146"/>
        <v>#VALUE!</v>
      </c>
      <c r="E9361" t="e">
        <f>cubic_spline(CURVA!$B$6:$B$20,CURVA!$G$6:$G$20,#REF!)</f>
        <v>#VALUE!</v>
      </c>
    </row>
    <row r="9362" spans="1:5" x14ac:dyDescent="0.2">
      <c r="A9362" s="28">
        <v>9361</v>
      </c>
      <c r="B9362" s="28" t="e">
        <f>interpola(#REF!,CURVA!$B$6:$B$20,CURVA!$G$6:$G$20)</f>
        <v>#VALUE!</v>
      </c>
      <c r="C9362" s="29" t="e">
        <f t="shared" si="146"/>
        <v>#VALUE!</v>
      </c>
      <c r="E9362" t="e">
        <f>cubic_spline(CURVA!$B$6:$B$20,CURVA!$G$6:$G$20,#REF!)</f>
        <v>#VALUE!</v>
      </c>
    </row>
    <row r="9363" spans="1:5" x14ac:dyDescent="0.2">
      <c r="A9363" s="28">
        <v>9362</v>
      </c>
      <c r="B9363" s="28" t="e">
        <f>interpola(#REF!,CURVA!$B$6:$B$20,CURVA!$G$6:$G$20)</f>
        <v>#VALUE!</v>
      </c>
      <c r="C9363" s="29" t="e">
        <f t="shared" si="146"/>
        <v>#VALUE!</v>
      </c>
      <c r="E9363" t="e">
        <f>cubic_spline(CURVA!$B$6:$B$20,CURVA!$G$6:$G$20,#REF!)</f>
        <v>#VALUE!</v>
      </c>
    </row>
    <row r="9364" spans="1:5" x14ac:dyDescent="0.2">
      <c r="A9364" s="28">
        <v>9363</v>
      </c>
      <c r="B9364" s="28" t="e">
        <f>interpola(#REF!,CURVA!$B$6:$B$20,CURVA!$G$6:$G$20)</f>
        <v>#VALUE!</v>
      </c>
      <c r="C9364" s="29" t="e">
        <f t="shared" si="146"/>
        <v>#VALUE!</v>
      </c>
      <c r="E9364" t="e">
        <f>cubic_spline(CURVA!$B$6:$B$20,CURVA!$G$6:$G$20,#REF!)</f>
        <v>#VALUE!</v>
      </c>
    </row>
    <row r="9365" spans="1:5" x14ac:dyDescent="0.2">
      <c r="A9365" s="28">
        <v>9364</v>
      </c>
      <c r="B9365" s="28" t="e">
        <f>interpola(#REF!,CURVA!$B$6:$B$20,CURVA!$G$6:$G$20)</f>
        <v>#VALUE!</v>
      </c>
      <c r="C9365" s="29" t="e">
        <f t="shared" si="146"/>
        <v>#VALUE!</v>
      </c>
      <c r="E9365" t="e">
        <f>cubic_spline(CURVA!$B$6:$B$20,CURVA!$G$6:$G$20,#REF!)</f>
        <v>#VALUE!</v>
      </c>
    </row>
    <row r="9366" spans="1:5" x14ac:dyDescent="0.2">
      <c r="A9366" s="28">
        <v>9365</v>
      </c>
      <c r="B9366" s="28" t="e">
        <f>interpola(#REF!,CURVA!$B$6:$B$20,CURVA!$G$6:$G$20)</f>
        <v>#VALUE!</v>
      </c>
      <c r="C9366" s="29" t="e">
        <f t="shared" si="146"/>
        <v>#VALUE!</v>
      </c>
      <c r="E9366" t="e">
        <f>cubic_spline(CURVA!$B$6:$B$20,CURVA!$G$6:$G$20,#REF!)</f>
        <v>#VALUE!</v>
      </c>
    </row>
    <row r="9367" spans="1:5" x14ac:dyDescent="0.2">
      <c r="A9367" s="28">
        <v>9366</v>
      </c>
      <c r="B9367" s="28" t="e">
        <f>interpola(#REF!,CURVA!$B$6:$B$20,CURVA!$G$6:$G$20)</f>
        <v>#VALUE!</v>
      </c>
      <c r="C9367" s="29" t="e">
        <f t="shared" si="146"/>
        <v>#VALUE!</v>
      </c>
      <c r="E9367" t="e">
        <f>cubic_spline(CURVA!$B$6:$B$20,CURVA!$G$6:$G$20,#REF!)</f>
        <v>#VALUE!</v>
      </c>
    </row>
    <row r="9368" spans="1:5" x14ac:dyDescent="0.2">
      <c r="A9368" s="28">
        <v>9367</v>
      </c>
      <c r="B9368" s="28" t="e">
        <f>interpola(#REF!,CURVA!$B$6:$B$20,CURVA!$G$6:$G$20)</f>
        <v>#VALUE!</v>
      </c>
      <c r="C9368" s="29" t="e">
        <f t="shared" si="146"/>
        <v>#VALUE!</v>
      </c>
      <c r="E9368" t="e">
        <f>cubic_spline(CURVA!$B$6:$B$20,CURVA!$G$6:$G$20,#REF!)</f>
        <v>#VALUE!</v>
      </c>
    </row>
    <row r="9369" spans="1:5" x14ac:dyDescent="0.2">
      <c r="A9369" s="28">
        <v>9368</v>
      </c>
      <c r="B9369" s="28" t="e">
        <f>interpola(#REF!,CURVA!$B$6:$B$20,CURVA!$G$6:$G$20)</f>
        <v>#VALUE!</v>
      </c>
      <c r="C9369" s="29" t="e">
        <f t="shared" si="146"/>
        <v>#VALUE!</v>
      </c>
      <c r="E9369" t="e">
        <f>cubic_spline(CURVA!$B$6:$B$20,CURVA!$G$6:$G$20,#REF!)</f>
        <v>#VALUE!</v>
      </c>
    </row>
    <row r="9370" spans="1:5" x14ac:dyDescent="0.2">
      <c r="A9370" s="28">
        <v>9369</v>
      </c>
      <c r="B9370" s="28" t="e">
        <f>interpola(#REF!,CURVA!$B$6:$B$20,CURVA!$G$6:$G$20)</f>
        <v>#VALUE!</v>
      </c>
      <c r="C9370" s="29" t="e">
        <f t="shared" si="146"/>
        <v>#VALUE!</v>
      </c>
      <c r="E9370" t="e">
        <f>cubic_spline(CURVA!$B$6:$B$20,CURVA!$G$6:$G$20,#REF!)</f>
        <v>#VALUE!</v>
      </c>
    </row>
    <row r="9371" spans="1:5" x14ac:dyDescent="0.2">
      <c r="A9371" s="28">
        <v>9370</v>
      </c>
      <c r="B9371" s="28" t="e">
        <f>interpola(#REF!,CURVA!$B$6:$B$20,CURVA!$G$6:$G$20)</f>
        <v>#VALUE!</v>
      </c>
      <c r="C9371" s="29" t="e">
        <f t="shared" si="146"/>
        <v>#VALUE!</v>
      </c>
      <c r="E9371" t="e">
        <f>cubic_spline(CURVA!$B$6:$B$20,CURVA!$G$6:$G$20,#REF!)</f>
        <v>#VALUE!</v>
      </c>
    </row>
    <row r="9372" spans="1:5" x14ac:dyDescent="0.2">
      <c r="A9372" s="28">
        <v>9371</v>
      </c>
      <c r="B9372" s="28" t="e">
        <f>interpola(#REF!,CURVA!$B$6:$B$20,CURVA!$G$6:$G$20)</f>
        <v>#VALUE!</v>
      </c>
      <c r="C9372" s="29" t="e">
        <f t="shared" si="146"/>
        <v>#VALUE!</v>
      </c>
      <c r="E9372" t="e">
        <f>cubic_spline(CURVA!$B$6:$B$20,CURVA!$G$6:$G$20,#REF!)</f>
        <v>#VALUE!</v>
      </c>
    </row>
    <row r="9373" spans="1:5" x14ac:dyDescent="0.2">
      <c r="A9373" s="28">
        <v>9372</v>
      </c>
      <c r="B9373" s="28" t="e">
        <f>interpola(#REF!,CURVA!$B$6:$B$20,CURVA!$G$6:$G$20)</f>
        <v>#VALUE!</v>
      </c>
      <c r="C9373" s="29" t="e">
        <f t="shared" si="146"/>
        <v>#VALUE!</v>
      </c>
      <c r="E9373" t="e">
        <f>cubic_spline(CURVA!$B$6:$B$20,CURVA!$G$6:$G$20,#REF!)</f>
        <v>#VALUE!</v>
      </c>
    </row>
    <row r="9374" spans="1:5" x14ac:dyDescent="0.2">
      <c r="A9374" s="28">
        <v>9373</v>
      </c>
      <c r="B9374" s="28" t="e">
        <f>interpola(#REF!,CURVA!$B$6:$B$20,CURVA!$G$6:$G$20)</f>
        <v>#VALUE!</v>
      </c>
      <c r="C9374" s="29" t="e">
        <f t="shared" si="146"/>
        <v>#VALUE!</v>
      </c>
      <c r="E9374" t="e">
        <f>cubic_spline(CURVA!$B$6:$B$20,CURVA!$G$6:$G$20,#REF!)</f>
        <v>#VALUE!</v>
      </c>
    </row>
    <row r="9375" spans="1:5" x14ac:dyDescent="0.2">
      <c r="A9375" s="28">
        <v>9374</v>
      </c>
      <c r="B9375" s="28" t="e">
        <f>interpola(#REF!,CURVA!$B$6:$B$20,CURVA!$G$6:$G$20)</f>
        <v>#VALUE!</v>
      </c>
      <c r="C9375" s="29" t="e">
        <f t="shared" si="146"/>
        <v>#VALUE!</v>
      </c>
      <c r="E9375" t="e">
        <f>cubic_spline(CURVA!$B$6:$B$20,CURVA!$G$6:$G$20,#REF!)</f>
        <v>#VALUE!</v>
      </c>
    </row>
    <row r="9376" spans="1:5" x14ac:dyDescent="0.2">
      <c r="A9376" s="28">
        <v>9375</v>
      </c>
      <c r="B9376" s="28" t="e">
        <f>interpola(#REF!,CURVA!$B$6:$B$20,CURVA!$G$6:$G$20)</f>
        <v>#VALUE!</v>
      </c>
      <c r="C9376" s="29" t="e">
        <f t="shared" si="146"/>
        <v>#VALUE!</v>
      </c>
      <c r="E9376" t="e">
        <f>cubic_spline(CURVA!$B$6:$B$20,CURVA!$G$6:$G$20,#REF!)</f>
        <v>#VALUE!</v>
      </c>
    </row>
    <row r="9377" spans="1:5" x14ac:dyDescent="0.2">
      <c r="A9377" s="28">
        <v>9376</v>
      </c>
      <c r="B9377" s="28" t="e">
        <f>interpola(#REF!,CURVA!$B$6:$B$20,CURVA!$G$6:$G$20)</f>
        <v>#VALUE!</v>
      </c>
      <c r="C9377" s="29" t="e">
        <f t="shared" si="146"/>
        <v>#VALUE!</v>
      </c>
      <c r="E9377" t="e">
        <f>cubic_spline(CURVA!$B$6:$B$20,CURVA!$G$6:$G$20,#REF!)</f>
        <v>#VALUE!</v>
      </c>
    </row>
    <row r="9378" spans="1:5" x14ac:dyDescent="0.2">
      <c r="A9378" s="28">
        <v>9377</v>
      </c>
      <c r="B9378" s="28" t="e">
        <f>interpola(#REF!,CURVA!$B$6:$B$20,CURVA!$G$6:$G$20)</f>
        <v>#VALUE!</v>
      </c>
      <c r="C9378" s="29" t="e">
        <f t="shared" si="146"/>
        <v>#VALUE!</v>
      </c>
      <c r="E9378" t="e">
        <f>cubic_spline(CURVA!$B$6:$B$20,CURVA!$G$6:$G$20,#REF!)</f>
        <v>#VALUE!</v>
      </c>
    </row>
    <row r="9379" spans="1:5" x14ac:dyDescent="0.2">
      <c r="A9379" s="28">
        <v>9378</v>
      </c>
      <c r="B9379" s="28" t="e">
        <f>interpola(#REF!,CURVA!$B$6:$B$20,CURVA!$G$6:$G$20)</f>
        <v>#VALUE!</v>
      </c>
      <c r="C9379" s="29" t="e">
        <f t="shared" si="146"/>
        <v>#VALUE!</v>
      </c>
      <c r="E9379" t="e">
        <f>cubic_spline(CURVA!$B$6:$B$20,CURVA!$G$6:$G$20,#REF!)</f>
        <v>#VALUE!</v>
      </c>
    </row>
    <row r="9380" spans="1:5" x14ac:dyDescent="0.2">
      <c r="A9380" s="28">
        <v>9379</v>
      </c>
      <c r="B9380" s="28" t="e">
        <f>interpola(#REF!,CURVA!$B$6:$B$20,CURVA!$G$6:$G$20)</f>
        <v>#VALUE!</v>
      </c>
      <c r="C9380" s="29" t="e">
        <f t="shared" si="146"/>
        <v>#VALUE!</v>
      </c>
      <c r="E9380" t="e">
        <f>cubic_spline(CURVA!$B$6:$B$20,CURVA!$G$6:$G$20,#REF!)</f>
        <v>#VALUE!</v>
      </c>
    </row>
    <row r="9381" spans="1:5" x14ac:dyDescent="0.2">
      <c r="A9381" s="28">
        <v>9380</v>
      </c>
      <c r="B9381" s="28" t="e">
        <f>interpola(#REF!,CURVA!$B$6:$B$20,CURVA!$G$6:$G$20)</f>
        <v>#VALUE!</v>
      </c>
      <c r="C9381" s="29" t="e">
        <f t="shared" si="146"/>
        <v>#VALUE!</v>
      </c>
      <c r="E9381" t="e">
        <f>cubic_spline(CURVA!$B$6:$B$20,CURVA!$G$6:$G$20,#REF!)</f>
        <v>#VALUE!</v>
      </c>
    </row>
    <row r="9382" spans="1:5" x14ac:dyDescent="0.2">
      <c r="A9382" s="28">
        <v>9381</v>
      </c>
      <c r="B9382" s="28" t="e">
        <f>interpola(#REF!,CURVA!$B$6:$B$20,CURVA!$G$6:$G$20)</f>
        <v>#VALUE!</v>
      </c>
      <c r="C9382" s="29" t="e">
        <f t="shared" si="146"/>
        <v>#VALUE!</v>
      </c>
      <c r="E9382" t="e">
        <f>cubic_spline(CURVA!$B$6:$B$20,CURVA!$G$6:$G$20,#REF!)</f>
        <v>#VALUE!</v>
      </c>
    </row>
    <row r="9383" spans="1:5" x14ac:dyDescent="0.2">
      <c r="A9383" s="28">
        <v>9382</v>
      </c>
      <c r="B9383" s="28" t="e">
        <f>interpola(#REF!,CURVA!$B$6:$B$20,CURVA!$G$6:$G$20)</f>
        <v>#VALUE!</v>
      </c>
      <c r="C9383" s="29" t="e">
        <f t="shared" si="146"/>
        <v>#VALUE!</v>
      </c>
      <c r="E9383" t="e">
        <f>cubic_spline(CURVA!$B$6:$B$20,CURVA!$G$6:$G$20,#REF!)</f>
        <v>#VALUE!</v>
      </c>
    </row>
    <row r="9384" spans="1:5" x14ac:dyDescent="0.2">
      <c r="A9384" s="28">
        <v>9383</v>
      </c>
      <c r="B9384" s="28" t="e">
        <f>interpola(#REF!,CURVA!$B$6:$B$20,CURVA!$G$6:$G$20)</f>
        <v>#VALUE!</v>
      </c>
      <c r="C9384" s="29" t="e">
        <f t="shared" si="146"/>
        <v>#VALUE!</v>
      </c>
      <c r="E9384" t="e">
        <f>cubic_spline(CURVA!$B$6:$B$20,CURVA!$G$6:$G$20,#REF!)</f>
        <v>#VALUE!</v>
      </c>
    </row>
    <row r="9385" spans="1:5" x14ac:dyDescent="0.2">
      <c r="A9385" s="28">
        <v>9384</v>
      </c>
      <c r="B9385" s="28" t="e">
        <f>interpola(#REF!,CURVA!$B$6:$B$20,CURVA!$G$6:$G$20)</f>
        <v>#VALUE!</v>
      </c>
      <c r="C9385" s="29" t="e">
        <f t="shared" si="146"/>
        <v>#VALUE!</v>
      </c>
      <c r="E9385" t="e">
        <f>cubic_spline(CURVA!$B$6:$B$20,CURVA!$G$6:$G$20,#REF!)</f>
        <v>#VALUE!</v>
      </c>
    </row>
    <row r="9386" spans="1:5" x14ac:dyDescent="0.2">
      <c r="A9386" s="28">
        <v>9385</v>
      </c>
      <c r="B9386" s="28" t="e">
        <f>interpola(#REF!,CURVA!$B$6:$B$20,CURVA!$G$6:$G$20)</f>
        <v>#VALUE!</v>
      </c>
      <c r="C9386" s="29" t="e">
        <f t="shared" si="146"/>
        <v>#VALUE!</v>
      </c>
      <c r="E9386" t="e">
        <f>cubic_spline(CURVA!$B$6:$B$20,CURVA!$G$6:$G$20,#REF!)</f>
        <v>#VALUE!</v>
      </c>
    </row>
    <row r="9387" spans="1:5" x14ac:dyDescent="0.2">
      <c r="A9387" s="28">
        <v>9386</v>
      </c>
      <c r="B9387" s="28" t="e">
        <f>interpola(#REF!,CURVA!$B$6:$B$20,CURVA!$G$6:$G$20)</f>
        <v>#VALUE!</v>
      </c>
      <c r="C9387" s="29" t="e">
        <f t="shared" si="146"/>
        <v>#VALUE!</v>
      </c>
      <c r="E9387" t="e">
        <f>cubic_spline(CURVA!$B$6:$B$20,CURVA!$G$6:$G$20,#REF!)</f>
        <v>#VALUE!</v>
      </c>
    </row>
    <row r="9388" spans="1:5" x14ac:dyDescent="0.2">
      <c r="A9388" s="28">
        <v>9387</v>
      </c>
      <c r="B9388" s="28" t="e">
        <f>interpola(#REF!,CURVA!$B$6:$B$20,CURVA!$G$6:$G$20)</f>
        <v>#VALUE!</v>
      </c>
      <c r="C9388" s="29" t="e">
        <f t="shared" si="146"/>
        <v>#VALUE!</v>
      </c>
      <c r="E9388" t="e">
        <f>cubic_spline(CURVA!$B$6:$B$20,CURVA!$G$6:$G$20,#REF!)</f>
        <v>#VALUE!</v>
      </c>
    </row>
    <row r="9389" spans="1:5" x14ac:dyDescent="0.2">
      <c r="A9389" s="28">
        <v>9388</v>
      </c>
      <c r="B9389" s="28" t="e">
        <f>interpola(#REF!,CURVA!$B$6:$B$20,CURVA!$G$6:$G$20)</f>
        <v>#VALUE!</v>
      </c>
      <c r="C9389" s="29" t="e">
        <f t="shared" si="146"/>
        <v>#VALUE!</v>
      </c>
      <c r="E9389" t="e">
        <f>cubic_spline(CURVA!$B$6:$B$20,CURVA!$G$6:$G$20,#REF!)</f>
        <v>#VALUE!</v>
      </c>
    </row>
    <row r="9390" spans="1:5" x14ac:dyDescent="0.2">
      <c r="A9390" s="28">
        <v>9389</v>
      </c>
      <c r="B9390" s="28" t="e">
        <f>interpola(#REF!,CURVA!$B$6:$B$20,CURVA!$G$6:$G$20)</f>
        <v>#VALUE!</v>
      </c>
      <c r="C9390" s="29" t="e">
        <f t="shared" si="146"/>
        <v>#VALUE!</v>
      </c>
      <c r="E9390" t="e">
        <f>cubic_spline(CURVA!$B$6:$B$20,CURVA!$G$6:$G$20,#REF!)</f>
        <v>#VALUE!</v>
      </c>
    </row>
    <row r="9391" spans="1:5" x14ac:dyDescent="0.2">
      <c r="A9391" s="28">
        <v>9390</v>
      </c>
      <c r="B9391" s="28" t="e">
        <f>interpola(#REF!,CURVA!$B$6:$B$20,CURVA!$G$6:$G$20)</f>
        <v>#VALUE!</v>
      </c>
      <c r="C9391" s="29" t="e">
        <f t="shared" si="146"/>
        <v>#VALUE!</v>
      </c>
      <c r="E9391" t="e">
        <f>cubic_spline(CURVA!$B$6:$B$20,CURVA!$G$6:$G$20,#REF!)</f>
        <v>#VALUE!</v>
      </c>
    </row>
    <row r="9392" spans="1:5" x14ac:dyDescent="0.2">
      <c r="A9392" s="28">
        <v>9391</v>
      </c>
      <c r="B9392" s="28" t="e">
        <f>interpola(#REF!,CURVA!$B$6:$B$20,CURVA!$G$6:$G$20)</f>
        <v>#VALUE!</v>
      </c>
      <c r="C9392" s="29" t="e">
        <f t="shared" si="146"/>
        <v>#VALUE!</v>
      </c>
      <c r="E9392" t="e">
        <f>cubic_spline(CURVA!$B$6:$B$20,CURVA!$G$6:$G$20,#REF!)</f>
        <v>#VALUE!</v>
      </c>
    </row>
    <row r="9393" spans="1:5" x14ac:dyDescent="0.2">
      <c r="A9393" s="28">
        <v>9392</v>
      </c>
      <c r="B9393" s="28" t="e">
        <f>interpola(#REF!,CURVA!$B$6:$B$20,CURVA!$G$6:$G$20)</f>
        <v>#VALUE!</v>
      </c>
      <c r="C9393" s="29" t="e">
        <f t="shared" si="146"/>
        <v>#VALUE!</v>
      </c>
      <c r="E9393" t="e">
        <f>cubic_spline(CURVA!$B$6:$B$20,CURVA!$G$6:$G$20,#REF!)</f>
        <v>#VALUE!</v>
      </c>
    </row>
    <row r="9394" spans="1:5" x14ac:dyDescent="0.2">
      <c r="A9394" s="28">
        <v>9393</v>
      </c>
      <c r="B9394" s="28" t="e">
        <f>interpola(#REF!,CURVA!$B$6:$B$20,CURVA!$G$6:$G$20)</f>
        <v>#VALUE!</v>
      </c>
      <c r="C9394" s="29" t="e">
        <f t="shared" si="146"/>
        <v>#VALUE!</v>
      </c>
      <c r="E9394" t="e">
        <f>cubic_spline(CURVA!$B$6:$B$20,CURVA!$G$6:$G$20,#REF!)</f>
        <v>#VALUE!</v>
      </c>
    </row>
    <row r="9395" spans="1:5" x14ac:dyDescent="0.2">
      <c r="A9395" s="28">
        <v>9394</v>
      </c>
      <c r="B9395" s="28" t="e">
        <f>interpola(#REF!,CURVA!$B$6:$B$20,CURVA!$G$6:$G$20)</f>
        <v>#VALUE!</v>
      </c>
      <c r="C9395" s="29" t="e">
        <f t="shared" si="146"/>
        <v>#VALUE!</v>
      </c>
      <c r="E9395" t="e">
        <f>cubic_spline(CURVA!$B$6:$B$20,CURVA!$G$6:$G$20,#REF!)</f>
        <v>#VALUE!</v>
      </c>
    </row>
    <row r="9396" spans="1:5" x14ac:dyDescent="0.2">
      <c r="A9396" s="28">
        <v>9395</v>
      </c>
      <c r="B9396" s="28" t="e">
        <f>interpola(#REF!,CURVA!$B$6:$B$20,CURVA!$G$6:$G$20)</f>
        <v>#VALUE!</v>
      </c>
      <c r="C9396" s="29" t="e">
        <f t="shared" si="146"/>
        <v>#VALUE!</v>
      </c>
      <c r="E9396" t="e">
        <f>cubic_spline(CURVA!$B$6:$B$20,CURVA!$G$6:$G$20,#REF!)</f>
        <v>#VALUE!</v>
      </c>
    </row>
    <row r="9397" spans="1:5" x14ac:dyDescent="0.2">
      <c r="A9397" s="28">
        <v>9396</v>
      </c>
      <c r="B9397" s="28" t="e">
        <f>interpola(#REF!,CURVA!$B$6:$B$20,CURVA!$G$6:$G$20)</f>
        <v>#VALUE!</v>
      </c>
      <c r="C9397" s="29" t="e">
        <f t="shared" si="146"/>
        <v>#VALUE!</v>
      </c>
      <c r="E9397" t="e">
        <f>cubic_spline(CURVA!$B$6:$B$20,CURVA!$G$6:$G$20,#REF!)</f>
        <v>#VALUE!</v>
      </c>
    </row>
    <row r="9398" spans="1:5" x14ac:dyDescent="0.2">
      <c r="A9398" s="28">
        <v>9397</v>
      </c>
      <c r="B9398" s="28" t="e">
        <f>interpola(#REF!,CURVA!$B$6:$B$20,CURVA!$G$6:$G$20)</f>
        <v>#VALUE!</v>
      </c>
      <c r="C9398" s="29" t="e">
        <f t="shared" si="146"/>
        <v>#VALUE!</v>
      </c>
      <c r="E9398" t="e">
        <f>cubic_spline(CURVA!$B$6:$B$20,CURVA!$G$6:$G$20,#REF!)</f>
        <v>#VALUE!</v>
      </c>
    </row>
    <row r="9399" spans="1:5" x14ac:dyDescent="0.2">
      <c r="A9399" s="28">
        <v>9398</v>
      </c>
      <c r="B9399" s="28" t="e">
        <f>interpola(#REF!,CURVA!$B$6:$B$20,CURVA!$G$6:$G$20)</f>
        <v>#VALUE!</v>
      </c>
      <c r="C9399" s="29" t="e">
        <f t="shared" si="146"/>
        <v>#VALUE!</v>
      </c>
      <c r="E9399" t="e">
        <f>cubic_spline(CURVA!$B$6:$B$20,CURVA!$G$6:$G$20,#REF!)</f>
        <v>#VALUE!</v>
      </c>
    </row>
    <row r="9400" spans="1:5" x14ac:dyDescent="0.2">
      <c r="A9400" s="28">
        <v>9399</v>
      </c>
      <c r="B9400" s="28" t="e">
        <f>interpola(#REF!,CURVA!$B$6:$B$20,CURVA!$G$6:$G$20)</f>
        <v>#VALUE!</v>
      </c>
      <c r="C9400" s="29" t="e">
        <f t="shared" si="146"/>
        <v>#VALUE!</v>
      </c>
      <c r="E9400" t="e">
        <f>cubic_spline(CURVA!$B$6:$B$20,CURVA!$G$6:$G$20,#REF!)</f>
        <v>#VALUE!</v>
      </c>
    </row>
    <row r="9401" spans="1:5" x14ac:dyDescent="0.2">
      <c r="A9401" s="28">
        <v>9400</v>
      </c>
      <c r="B9401" s="28" t="e">
        <f>interpola(#REF!,CURVA!$B$6:$B$20,CURVA!$G$6:$G$20)</f>
        <v>#VALUE!</v>
      </c>
      <c r="C9401" s="29" t="e">
        <f t="shared" si="146"/>
        <v>#VALUE!</v>
      </c>
      <c r="E9401" t="e">
        <f>cubic_spline(CURVA!$B$6:$B$20,CURVA!$G$6:$G$20,#REF!)</f>
        <v>#VALUE!</v>
      </c>
    </row>
    <row r="9402" spans="1:5" x14ac:dyDescent="0.2">
      <c r="A9402" s="28">
        <v>9401</v>
      </c>
      <c r="B9402" s="28" t="e">
        <f>interpola(#REF!,CURVA!$B$6:$B$20,CURVA!$G$6:$G$20)</f>
        <v>#VALUE!</v>
      </c>
      <c r="C9402" s="29" t="e">
        <f t="shared" si="146"/>
        <v>#VALUE!</v>
      </c>
      <c r="E9402" t="e">
        <f>cubic_spline(CURVA!$B$6:$B$20,CURVA!$G$6:$G$20,#REF!)</f>
        <v>#VALUE!</v>
      </c>
    </row>
    <row r="9403" spans="1:5" x14ac:dyDescent="0.2">
      <c r="A9403" s="28">
        <v>9402</v>
      </c>
      <c r="B9403" s="28" t="e">
        <f>interpola(#REF!,CURVA!$B$6:$B$20,CURVA!$G$6:$G$20)</f>
        <v>#VALUE!</v>
      </c>
      <c r="C9403" s="29" t="e">
        <f t="shared" si="146"/>
        <v>#VALUE!</v>
      </c>
      <c r="E9403" t="e">
        <f>cubic_spline(CURVA!$B$6:$B$20,CURVA!$G$6:$G$20,#REF!)</f>
        <v>#VALUE!</v>
      </c>
    </row>
    <row r="9404" spans="1:5" x14ac:dyDescent="0.2">
      <c r="A9404" s="28">
        <v>9403</v>
      </c>
      <c r="B9404" s="28" t="e">
        <f>interpola(#REF!,CURVA!$B$6:$B$20,CURVA!$G$6:$G$20)</f>
        <v>#VALUE!</v>
      </c>
      <c r="C9404" s="29" t="e">
        <f t="shared" si="146"/>
        <v>#VALUE!</v>
      </c>
      <c r="E9404" t="e">
        <f>cubic_spline(CURVA!$B$6:$B$20,CURVA!$G$6:$G$20,#REF!)</f>
        <v>#VALUE!</v>
      </c>
    </row>
    <row r="9405" spans="1:5" x14ac:dyDescent="0.2">
      <c r="A9405" s="28">
        <v>9404</v>
      </c>
      <c r="B9405" s="28" t="e">
        <f>interpola(#REF!,CURVA!$B$6:$B$20,CURVA!$G$6:$G$20)</f>
        <v>#VALUE!</v>
      </c>
      <c r="C9405" s="29" t="e">
        <f t="shared" si="146"/>
        <v>#VALUE!</v>
      </c>
      <c r="E9405" t="e">
        <f>cubic_spline(CURVA!$B$6:$B$20,CURVA!$G$6:$G$20,#REF!)</f>
        <v>#VALUE!</v>
      </c>
    </row>
    <row r="9406" spans="1:5" x14ac:dyDescent="0.2">
      <c r="A9406" s="28">
        <v>9405</v>
      </c>
      <c r="B9406" s="28" t="e">
        <f>interpola(#REF!,CURVA!$B$6:$B$20,CURVA!$G$6:$G$20)</f>
        <v>#VALUE!</v>
      </c>
      <c r="C9406" s="29" t="e">
        <f t="shared" si="146"/>
        <v>#VALUE!</v>
      </c>
      <c r="E9406" t="e">
        <f>cubic_spline(CURVA!$B$6:$B$20,CURVA!$G$6:$G$20,#REF!)</f>
        <v>#VALUE!</v>
      </c>
    </row>
    <row r="9407" spans="1:5" x14ac:dyDescent="0.2">
      <c r="A9407" s="28">
        <v>9406</v>
      </c>
      <c r="B9407" s="28" t="e">
        <f>interpola(#REF!,CURVA!$B$6:$B$20,CURVA!$G$6:$G$20)</f>
        <v>#VALUE!</v>
      </c>
      <c r="C9407" s="29" t="e">
        <f t="shared" si="146"/>
        <v>#VALUE!</v>
      </c>
      <c r="E9407" t="e">
        <f>cubic_spline(CURVA!$B$6:$B$20,CURVA!$G$6:$G$20,#REF!)</f>
        <v>#VALUE!</v>
      </c>
    </row>
    <row r="9408" spans="1:5" x14ac:dyDescent="0.2">
      <c r="A9408" s="28">
        <v>9407</v>
      </c>
      <c r="B9408" s="28" t="e">
        <f>interpola(#REF!,CURVA!$B$6:$B$20,CURVA!$G$6:$G$20)</f>
        <v>#VALUE!</v>
      </c>
      <c r="C9408" s="29" t="e">
        <f t="shared" si="146"/>
        <v>#VALUE!</v>
      </c>
      <c r="E9408" t="e">
        <f>cubic_spline(CURVA!$B$6:$B$20,CURVA!$G$6:$G$20,#REF!)</f>
        <v>#VALUE!</v>
      </c>
    </row>
    <row r="9409" spans="1:5" x14ac:dyDescent="0.2">
      <c r="A9409" s="28">
        <v>9408</v>
      </c>
      <c r="B9409" s="28" t="e">
        <f>interpola(#REF!,CURVA!$B$6:$B$20,CURVA!$G$6:$G$20)</f>
        <v>#VALUE!</v>
      </c>
      <c r="C9409" s="29" t="e">
        <f t="shared" si="146"/>
        <v>#VALUE!</v>
      </c>
      <c r="E9409" t="e">
        <f>cubic_spline(CURVA!$B$6:$B$20,CURVA!$G$6:$G$20,#REF!)</f>
        <v>#VALUE!</v>
      </c>
    </row>
    <row r="9410" spans="1:5" x14ac:dyDescent="0.2">
      <c r="A9410" s="28">
        <v>9409</v>
      </c>
      <c r="B9410" s="28" t="e">
        <f>interpola(#REF!,CURVA!$B$6:$B$20,CURVA!$G$6:$G$20)</f>
        <v>#VALUE!</v>
      </c>
      <c r="C9410" s="29" t="e">
        <f t="shared" ref="C9410:C9473" si="147">(EXP(B9410*A9410/360)-1)*360/A9410</f>
        <v>#VALUE!</v>
      </c>
      <c r="E9410" t="e">
        <f>cubic_spline(CURVA!$B$6:$B$20,CURVA!$G$6:$G$20,#REF!)</f>
        <v>#VALUE!</v>
      </c>
    </row>
    <row r="9411" spans="1:5" x14ac:dyDescent="0.2">
      <c r="A9411" s="28">
        <v>9410</v>
      </c>
      <c r="B9411" s="28" t="e">
        <f>interpola(#REF!,CURVA!$B$6:$B$20,CURVA!$G$6:$G$20)</f>
        <v>#VALUE!</v>
      </c>
      <c r="C9411" s="29" t="e">
        <f t="shared" si="147"/>
        <v>#VALUE!</v>
      </c>
      <c r="E9411" t="e">
        <f>cubic_spline(CURVA!$B$6:$B$20,CURVA!$G$6:$G$20,#REF!)</f>
        <v>#VALUE!</v>
      </c>
    </row>
    <row r="9412" spans="1:5" x14ac:dyDescent="0.2">
      <c r="A9412" s="28">
        <v>9411</v>
      </c>
      <c r="B9412" s="28" t="e">
        <f>interpola(#REF!,CURVA!$B$6:$B$20,CURVA!$G$6:$G$20)</f>
        <v>#VALUE!</v>
      </c>
      <c r="C9412" s="29" t="e">
        <f t="shared" si="147"/>
        <v>#VALUE!</v>
      </c>
      <c r="E9412" t="e">
        <f>cubic_spline(CURVA!$B$6:$B$20,CURVA!$G$6:$G$20,#REF!)</f>
        <v>#VALUE!</v>
      </c>
    </row>
    <row r="9413" spans="1:5" x14ac:dyDescent="0.2">
      <c r="A9413" s="28">
        <v>9412</v>
      </c>
      <c r="B9413" s="28" t="e">
        <f>interpola(#REF!,CURVA!$B$6:$B$20,CURVA!$G$6:$G$20)</f>
        <v>#VALUE!</v>
      </c>
      <c r="C9413" s="29" t="e">
        <f t="shared" si="147"/>
        <v>#VALUE!</v>
      </c>
      <c r="E9413" t="e">
        <f>cubic_spline(CURVA!$B$6:$B$20,CURVA!$G$6:$G$20,#REF!)</f>
        <v>#VALUE!</v>
      </c>
    </row>
    <row r="9414" spans="1:5" x14ac:dyDescent="0.2">
      <c r="A9414" s="28">
        <v>9413</v>
      </c>
      <c r="B9414" s="28" t="e">
        <f>interpola(#REF!,CURVA!$B$6:$B$20,CURVA!$G$6:$G$20)</f>
        <v>#VALUE!</v>
      </c>
      <c r="C9414" s="29" t="e">
        <f t="shared" si="147"/>
        <v>#VALUE!</v>
      </c>
      <c r="E9414" t="e">
        <f>cubic_spline(CURVA!$B$6:$B$20,CURVA!$G$6:$G$20,#REF!)</f>
        <v>#VALUE!</v>
      </c>
    </row>
    <row r="9415" spans="1:5" x14ac:dyDescent="0.2">
      <c r="A9415" s="28">
        <v>9414</v>
      </c>
      <c r="B9415" s="28" t="e">
        <f>interpola(#REF!,CURVA!$B$6:$B$20,CURVA!$G$6:$G$20)</f>
        <v>#VALUE!</v>
      </c>
      <c r="C9415" s="29" t="e">
        <f t="shared" si="147"/>
        <v>#VALUE!</v>
      </c>
      <c r="E9415" t="e">
        <f>cubic_spline(CURVA!$B$6:$B$20,CURVA!$G$6:$G$20,#REF!)</f>
        <v>#VALUE!</v>
      </c>
    </row>
    <row r="9416" spans="1:5" x14ac:dyDescent="0.2">
      <c r="A9416" s="28">
        <v>9415</v>
      </c>
      <c r="B9416" s="28" t="e">
        <f>interpola(#REF!,CURVA!$B$6:$B$20,CURVA!$G$6:$G$20)</f>
        <v>#VALUE!</v>
      </c>
      <c r="C9416" s="29" t="e">
        <f t="shared" si="147"/>
        <v>#VALUE!</v>
      </c>
      <c r="E9416" t="e">
        <f>cubic_spline(CURVA!$B$6:$B$20,CURVA!$G$6:$G$20,#REF!)</f>
        <v>#VALUE!</v>
      </c>
    </row>
    <row r="9417" spans="1:5" x14ac:dyDescent="0.2">
      <c r="A9417" s="28">
        <v>9416</v>
      </c>
      <c r="B9417" s="28" t="e">
        <f>interpola(#REF!,CURVA!$B$6:$B$20,CURVA!$G$6:$G$20)</f>
        <v>#VALUE!</v>
      </c>
      <c r="C9417" s="29" t="e">
        <f t="shared" si="147"/>
        <v>#VALUE!</v>
      </c>
      <c r="E9417" t="e">
        <f>cubic_spline(CURVA!$B$6:$B$20,CURVA!$G$6:$G$20,#REF!)</f>
        <v>#VALUE!</v>
      </c>
    </row>
    <row r="9418" spans="1:5" x14ac:dyDescent="0.2">
      <c r="A9418" s="28">
        <v>9417</v>
      </c>
      <c r="B9418" s="28" t="e">
        <f>interpola(#REF!,CURVA!$B$6:$B$20,CURVA!$G$6:$G$20)</f>
        <v>#VALUE!</v>
      </c>
      <c r="C9418" s="29" t="e">
        <f t="shared" si="147"/>
        <v>#VALUE!</v>
      </c>
      <c r="E9418" t="e">
        <f>cubic_spline(CURVA!$B$6:$B$20,CURVA!$G$6:$G$20,#REF!)</f>
        <v>#VALUE!</v>
      </c>
    </row>
    <row r="9419" spans="1:5" x14ac:dyDescent="0.2">
      <c r="A9419" s="28">
        <v>9418</v>
      </c>
      <c r="B9419" s="28" t="e">
        <f>interpola(#REF!,CURVA!$B$6:$B$20,CURVA!$G$6:$G$20)</f>
        <v>#VALUE!</v>
      </c>
      <c r="C9419" s="29" t="e">
        <f t="shared" si="147"/>
        <v>#VALUE!</v>
      </c>
      <c r="E9419" t="e">
        <f>cubic_spline(CURVA!$B$6:$B$20,CURVA!$G$6:$G$20,#REF!)</f>
        <v>#VALUE!</v>
      </c>
    </row>
    <row r="9420" spans="1:5" x14ac:dyDescent="0.2">
      <c r="A9420" s="28">
        <v>9419</v>
      </c>
      <c r="B9420" s="28" t="e">
        <f>interpola(#REF!,CURVA!$B$6:$B$20,CURVA!$G$6:$G$20)</f>
        <v>#VALUE!</v>
      </c>
      <c r="C9420" s="29" t="e">
        <f t="shared" si="147"/>
        <v>#VALUE!</v>
      </c>
      <c r="E9420" t="e">
        <f>cubic_spline(CURVA!$B$6:$B$20,CURVA!$G$6:$G$20,#REF!)</f>
        <v>#VALUE!</v>
      </c>
    </row>
    <row r="9421" spans="1:5" x14ac:dyDescent="0.2">
      <c r="A9421" s="28">
        <v>9420</v>
      </c>
      <c r="B9421" s="28" t="e">
        <f>interpola(#REF!,CURVA!$B$6:$B$20,CURVA!$G$6:$G$20)</f>
        <v>#VALUE!</v>
      </c>
      <c r="C9421" s="29" t="e">
        <f t="shared" si="147"/>
        <v>#VALUE!</v>
      </c>
      <c r="E9421" t="e">
        <f>cubic_spline(CURVA!$B$6:$B$20,CURVA!$G$6:$G$20,#REF!)</f>
        <v>#VALUE!</v>
      </c>
    </row>
    <row r="9422" spans="1:5" x14ac:dyDescent="0.2">
      <c r="A9422" s="28">
        <v>9421</v>
      </c>
      <c r="B9422" s="28" t="e">
        <f>interpola(#REF!,CURVA!$B$6:$B$20,CURVA!$G$6:$G$20)</f>
        <v>#VALUE!</v>
      </c>
      <c r="C9422" s="29" t="e">
        <f t="shared" si="147"/>
        <v>#VALUE!</v>
      </c>
      <c r="E9422" t="e">
        <f>cubic_spline(CURVA!$B$6:$B$20,CURVA!$G$6:$G$20,#REF!)</f>
        <v>#VALUE!</v>
      </c>
    </row>
    <row r="9423" spans="1:5" x14ac:dyDescent="0.2">
      <c r="A9423" s="28">
        <v>9422</v>
      </c>
      <c r="B9423" s="28" t="e">
        <f>interpola(#REF!,CURVA!$B$6:$B$20,CURVA!$G$6:$G$20)</f>
        <v>#VALUE!</v>
      </c>
      <c r="C9423" s="29" t="e">
        <f t="shared" si="147"/>
        <v>#VALUE!</v>
      </c>
      <c r="E9423" t="e">
        <f>cubic_spline(CURVA!$B$6:$B$20,CURVA!$G$6:$G$20,#REF!)</f>
        <v>#VALUE!</v>
      </c>
    </row>
    <row r="9424" spans="1:5" x14ac:dyDescent="0.2">
      <c r="A9424" s="28">
        <v>9423</v>
      </c>
      <c r="B9424" s="28" t="e">
        <f>interpola(#REF!,CURVA!$B$6:$B$20,CURVA!$G$6:$G$20)</f>
        <v>#VALUE!</v>
      </c>
      <c r="C9424" s="29" t="e">
        <f t="shared" si="147"/>
        <v>#VALUE!</v>
      </c>
      <c r="E9424" t="e">
        <f>cubic_spline(CURVA!$B$6:$B$20,CURVA!$G$6:$G$20,#REF!)</f>
        <v>#VALUE!</v>
      </c>
    </row>
    <row r="9425" spans="1:5" x14ac:dyDescent="0.2">
      <c r="A9425" s="28">
        <v>9424</v>
      </c>
      <c r="B9425" s="28" t="e">
        <f>interpola(#REF!,CURVA!$B$6:$B$20,CURVA!$G$6:$G$20)</f>
        <v>#VALUE!</v>
      </c>
      <c r="C9425" s="29" t="e">
        <f t="shared" si="147"/>
        <v>#VALUE!</v>
      </c>
      <c r="E9425" t="e">
        <f>cubic_spline(CURVA!$B$6:$B$20,CURVA!$G$6:$G$20,#REF!)</f>
        <v>#VALUE!</v>
      </c>
    </row>
    <row r="9426" spans="1:5" x14ac:dyDescent="0.2">
      <c r="A9426" s="28">
        <v>9425</v>
      </c>
      <c r="B9426" s="28" t="e">
        <f>interpola(#REF!,CURVA!$B$6:$B$20,CURVA!$G$6:$G$20)</f>
        <v>#VALUE!</v>
      </c>
      <c r="C9426" s="29" t="e">
        <f t="shared" si="147"/>
        <v>#VALUE!</v>
      </c>
      <c r="E9426" t="e">
        <f>cubic_spline(CURVA!$B$6:$B$20,CURVA!$G$6:$G$20,#REF!)</f>
        <v>#VALUE!</v>
      </c>
    </row>
    <row r="9427" spans="1:5" x14ac:dyDescent="0.2">
      <c r="A9427" s="28">
        <v>9426</v>
      </c>
      <c r="B9427" s="28" t="e">
        <f>interpola(#REF!,CURVA!$B$6:$B$20,CURVA!$G$6:$G$20)</f>
        <v>#VALUE!</v>
      </c>
      <c r="C9427" s="29" t="e">
        <f t="shared" si="147"/>
        <v>#VALUE!</v>
      </c>
      <c r="E9427" t="e">
        <f>cubic_spline(CURVA!$B$6:$B$20,CURVA!$G$6:$G$20,#REF!)</f>
        <v>#VALUE!</v>
      </c>
    </row>
    <row r="9428" spans="1:5" x14ac:dyDescent="0.2">
      <c r="A9428" s="28">
        <v>9427</v>
      </c>
      <c r="B9428" s="28" t="e">
        <f>interpola(#REF!,CURVA!$B$6:$B$20,CURVA!$G$6:$G$20)</f>
        <v>#VALUE!</v>
      </c>
      <c r="C9428" s="29" t="e">
        <f t="shared" si="147"/>
        <v>#VALUE!</v>
      </c>
      <c r="E9428" t="e">
        <f>cubic_spline(CURVA!$B$6:$B$20,CURVA!$G$6:$G$20,#REF!)</f>
        <v>#VALUE!</v>
      </c>
    </row>
    <row r="9429" spans="1:5" x14ac:dyDescent="0.2">
      <c r="A9429" s="28">
        <v>9428</v>
      </c>
      <c r="B9429" s="28" t="e">
        <f>interpola(#REF!,CURVA!$B$6:$B$20,CURVA!$G$6:$G$20)</f>
        <v>#VALUE!</v>
      </c>
      <c r="C9429" s="29" t="e">
        <f t="shared" si="147"/>
        <v>#VALUE!</v>
      </c>
      <c r="E9429" t="e">
        <f>cubic_spline(CURVA!$B$6:$B$20,CURVA!$G$6:$G$20,#REF!)</f>
        <v>#VALUE!</v>
      </c>
    </row>
    <row r="9430" spans="1:5" x14ac:dyDescent="0.2">
      <c r="A9430" s="28">
        <v>9429</v>
      </c>
      <c r="B9430" s="28" t="e">
        <f>interpola(#REF!,CURVA!$B$6:$B$20,CURVA!$G$6:$G$20)</f>
        <v>#VALUE!</v>
      </c>
      <c r="C9430" s="29" t="e">
        <f t="shared" si="147"/>
        <v>#VALUE!</v>
      </c>
      <c r="E9430" t="e">
        <f>cubic_spline(CURVA!$B$6:$B$20,CURVA!$G$6:$G$20,#REF!)</f>
        <v>#VALUE!</v>
      </c>
    </row>
    <row r="9431" spans="1:5" x14ac:dyDescent="0.2">
      <c r="A9431" s="28">
        <v>9430</v>
      </c>
      <c r="B9431" s="28" t="e">
        <f>interpola(#REF!,CURVA!$B$6:$B$20,CURVA!$G$6:$G$20)</f>
        <v>#VALUE!</v>
      </c>
      <c r="C9431" s="29" t="e">
        <f t="shared" si="147"/>
        <v>#VALUE!</v>
      </c>
      <c r="E9431" t="e">
        <f>cubic_spline(CURVA!$B$6:$B$20,CURVA!$G$6:$G$20,#REF!)</f>
        <v>#VALUE!</v>
      </c>
    </row>
    <row r="9432" spans="1:5" x14ac:dyDescent="0.2">
      <c r="A9432" s="28">
        <v>9431</v>
      </c>
      <c r="B9432" s="28" t="e">
        <f>interpola(#REF!,CURVA!$B$6:$B$20,CURVA!$G$6:$G$20)</f>
        <v>#VALUE!</v>
      </c>
      <c r="C9432" s="29" t="e">
        <f t="shared" si="147"/>
        <v>#VALUE!</v>
      </c>
      <c r="E9432" t="e">
        <f>cubic_spline(CURVA!$B$6:$B$20,CURVA!$G$6:$G$20,#REF!)</f>
        <v>#VALUE!</v>
      </c>
    </row>
    <row r="9433" spans="1:5" x14ac:dyDescent="0.2">
      <c r="A9433" s="28">
        <v>9432</v>
      </c>
      <c r="B9433" s="28" t="e">
        <f>interpola(#REF!,CURVA!$B$6:$B$20,CURVA!$G$6:$G$20)</f>
        <v>#VALUE!</v>
      </c>
      <c r="C9433" s="29" t="e">
        <f t="shared" si="147"/>
        <v>#VALUE!</v>
      </c>
      <c r="E9433" t="e">
        <f>cubic_spline(CURVA!$B$6:$B$20,CURVA!$G$6:$G$20,#REF!)</f>
        <v>#VALUE!</v>
      </c>
    </row>
    <row r="9434" spans="1:5" x14ac:dyDescent="0.2">
      <c r="A9434" s="28">
        <v>9433</v>
      </c>
      <c r="B9434" s="28" t="e">
        <f>interpola(#REF!,CURVA!$B$6:$B$20,CURVA!$G$6:$G$20)</f>
        <v>#VALUE!</v>
      </c>
      <c r="C9434" s="29" t="e">
        <f t="shared" si="147"/>
        <v>#VALUE!</v>
      </c>
      <c r="E9434" t="e">
        <f>cubic_spline(CURVA!$B$6:$B$20,CURVA!$G$6:$G$20,#REF!)</f>
        <v>#VALUE!</v>
      </c>
    </row>
    <row r="9435" spans="1:5" x14ac:dyDescent="0.2">
      <c r="A9435" s="28">
        <v>9434</v>
      </c>
      <c r="B9435" s="28" t="e">
        <f>interpola(#REF!,CURVA!$B$6:$B$20,CURVA!$G$6:$G$20)</f>
        <v>#VALUE!</v>
      </c>
      <c r="C9435" s="29" t="e">
        <f t="shared" si="147"/>
        <v>#VALUE!</v>
      </c>
      <c r="E9435" t="e">
        <f>cubic_spline(CURVA!$B$6:$B$20,CURVA!$G$6:$G$20,#REF!)</f>
        <v>#VALUE!</v>
      </c>
    </row>
    <row r="9436" spans="1:5" x14ac:dyDescent="0.2">
      <c r="A9436" s="28">
        <v>9435</v>
      </c>
      <c r="B9436" s="28" t="e">
        <f>interpola(#REF!,CURVA!$B$6:$B$20,CURVA!$G$6:$G$20)</f>
        <v>#VALUE!</v>
      </c>
      <c r="C9436" s="29" t="e">
        <f t="shared" si="147"/>
        <v>#VALUE!</v>
      </c>
      <c r="E9436" t="e">
        <f>cubic_spline(CURVA!$B$6:$B$20,CURVA!$G$6:$G$20,#REF!)</f>
        <v>#VALUE!</v>
      </c>
    </row>
    <row r="9437" spans="1:5" x14ac:dyDescent="0.2">
      <c r="A9437" s="28">
        <v>9436</v>
      </c>
      <c r="B9437" s="28" t="e">
        <f>interpola(#REF!,CURVA!$B$6:$B$20,CURVA!$G$6:$G$20)</f>
        <v>#VALUE!</v>
      </c>
      <c r="C9437" s="29" t="e">
        <f t="shared" si="147"/>
        <v>#VALUE!</v>
      </c>
      <c r="E9437" t="e">
        <f>cubic_spline(CURVA!$B$6:$B$20,CURVA!$G$6:$G$20,#REF!)</f>
        <v>#VALUE!</v>
      </c>
    </row>
    <row r="9438" spans="1:5" x14ac:dyDescent="0.2">
      <c r="A9438" s="28">
        <v>9437</v>
      </c>
      <c r="B9438" s="28" t="e">
        <f>interpola(#REF!,CURVA!$B$6:$B$20,CURVA!$G$6:$G$20)</f>
        <v>#VALUE!</v>
      </c>
      <c r="C9438" s="29" t="e">
        <f t="shared" si="147"/>
        <v>#VALUE!</v>
      </c>
      <c r="E9438" t="e">
        <f>cubic_spline(CURVA!$B$6:$B$20,CURVA!$G$6:$G$20,#REF!)</f>
        <v>#VALUE!</v>
      </c>
    </row>
    <row r="9439" spans="1:5" x14ac:dyDescent="0.2">
      <c r="A9439" s="28">
        <v>9438</v>
      </c>
      <c r="B9439" s="28" t="e">
        <f>interpola(#REF!,CURVA!$B$6:$B$20,CURVA!$G$6:$G$20)</f>
        <v>#VALUE!</v>
      </c>
      <c r="C9439" s="29" t="e">
        <f t="shared" si="147"/>
        <v>#VALUE!</v>
      </c>
      <c r="E9439" t="e">
        <f>cubic_spline(CURVA!$B$6:$B$20,CURVA!$G$6:$G$20,#REF!)</f>
        <v>#VALUE!</v>
      </c>
    </row>
    <row r="9440" spans="1:5" x14ac:dyDescent="0.2">
      <c r="A9440" s="28">
        <v>9439</v>
      </c>
      <c r="B9440" s="28" t="e">
        <f>interpola(#REF!,CURVA!$B$6:$B$20,CURVA!$G$6:$G$20)</f>
        <v>#VALUE!</v>
      </c>
      <c r="C9440" s="29" t="e">
        <f t="shared" si="147"/>
        <v>#VALUE!</v>
      </c>
      <c r="E9440" t="e">
        <f>cubic_spline(CURVA!$B$6:$B$20,CURVA!$G$6:$G$20,#REF!)</f>
        <v>#VALUE!</v>
      </c>
    </row>
    <row r="9441" spans="1:5" x14ac:dyDescent="0.2">
      <c r="A9441" s="28">
        <v>9440</v>
      </c>
      <c r="B9441" s="28" t="e">
        <f>interpola(#REF!,CURVA!$B$6:$B$20,CURVA!$G$6:$G$20)</f>
        <v>#VALUE!</v>
      </c>
      <c r="C9441" s="29" t="e">
        <f t="shared" si="147"/>
        <v>#VALUE!</v>
      </c>
      <c r="E9441" t="e">
        <f>cubic_spline(CURVA!$B$6:$B$20,CURVA!$G$6:$G$20,#REF!)</f>
        <v>#VALUE!</v>
      </c>
    </row>
    <row r="9442" spans="1:5" x14ac:dyDescent="0.2">
      <c r="A9442" s="28">
        <v>9441</v>
      </c>
      <c r="B9442" s="28" t="e">
        <f>interpola(#REF!,CURVA!$B$6:$B$20,CURVA!$G$6:$G$20)</f>
        <v>#VALUE!</v>
      </c>
      <c r="C9442" s="29" t="e">
        <f t="shared" si="147"/>
        <v>#VALUE!</v>
      </c>
      <c r="E9442" t="e">
        <f>cubic_spline(CURVA!$B$6:$B$20,CURVA!$G$6:$G$20,#REF!)</f>
        <v>#VALUE!</v>
      </c>
    </row>
    <row r="9443" spans="1:5" x14ac:dyDescent="0.2">
      <c r="A9443" s="28">
        <v>9442</v>
      </c>
      <c r="B9443" s="28" t="e">
        <f>interpola(#REF!,CURVA!$B$6:$B$20,CURVA!$G$6:$G$20)</f>
        <v>#VALUE!</v>
      </c>
      <c r="C9443" s="29" t="e">
        <f t="shared" si="147"/>
        <v>#VALUE!</v>
      </c>
      <c r="E9443" t="e">
        <f>cubic_spline(CURVA!$B$6:$B$20,CURVA!$G$6:$G$20,#REF!)</f>
        <v>#VALUE!</v>
      </c>
    </row>
    <row r="9444" spans="1:5" x14ac:dyDescent="0.2">
      <c r="A9444" s="28">
        <v>9443</v>
      </c>
      <c r="B9444" s="28" t="e">
        <f>interpola(#REF!,CURVA!$B$6:$B$20,CURVA!$G$6:$G$20)</f>
        <v>#VALUE!</v>
      </c>
      <c r="C9444" s="29" t="e">
        <f t="shared" si="147"/>
        <v>#VALUE!</v>
      </c>
      <c r="E9444" t="e">
        <f>cubic_spline(CURVA!$B$6:$B$20,CURVA!$G$6:$G$20,#REF!)</f>
        <v>#VALUE!</v>
      </c>
    </row>
    <row r="9445" spans="1:5" x14ac:dyDescent="0.2">
      <c r="A9445" s="28">
        <v>9444</v>
      </c>
      <c r="B9445" s="28" t="e">
        <f>interpola(#REF!,CURVA!$B$6:$B$20,CURVA!$G$6:$G$20)</f>
        <v>#VALUE!</v>
      </c>
      <c r="C9445" s="29" t="e">
        <f t="shared" si="147"/>
        <v>#VALUE!</v>
      </c>
      <c r="E9445" t="e">
        <f>cubic_spline(CURVA!$B$6:$B$20,CURVA!$G$6:$G$20,#REF!)</f>
        <v>#VALUE!</v>
      </c>
    </row>
    <row r="9446" spans="1:5" x14ac:dyDescent="0.2">
      <c r="A9446" s="28">
        <v>9445</v>
      </c>
      <c r="B9446" s="28" t="e">
        <f>interpola(#REF!,CURVA!$B$6:$B$20,CURVA!$G$6:$G$20)</f>
        <v>#VALUE!</v>
      </c>
      <c r="C9446" s="29" t="e">
        <f t="shared" si="147"/>
        <v>#VALUE!</v>
      </c>
      <c r="E9446" t="e">
        <f>cubic_spline(CURVA!$B$6:$B$20,CURVA!$G$6:$G$20,#REF!)</f>
        <v>#VALUE!</v>
      </c>
    </row>
    <row r="9447" spans="1:5" x14ac:dyDescent="0.2">
      <c r="A9447" s="28">
        <v>9446</v>
      </c>
      <c r="B9447" s="28" t="e">
        <f>interpola(#REF!,CURVA!$B$6:$B$20,CURVA!$G$6:$G$20)</f>
        <v>#VALUE!</v>
      </c>
      <c r="C9447" s="29" t="e">
        <f t="shared" si="147"/>
        <v>#VALUE!</v>
      </c>
      <c r="E9447" t="e">
        <f>cubic_spline(CURVA!$B$6:$B$20,CURVA!$G$6:$G$20,#REF!)</f>
        <v>#VALUE!</v>
      </c>
    </row>
    <row r="9448" spans="1:5" x14ac:dyDescent="0.2">
      <c r="A9448" s="28">
        <v>9447</v>
      </c>
      <c r="B9448" s="28" t="e">
        <f>interpola(#REF!,CURVA!$B$6:$B$20,CURVA!$G$6:$G$20)</f>
        <v>#VALUE!</v>
      </c>
      <c r="C9448" s="29" t="e">
        <f t="shared" si="147"/>
        <v>#VALUE!</v>
      </c>
      <c r="E9448" t="e">
        <f>cubic_spline(CURVA!$B$6:$B$20,CURVA!$G$6:$G$20,#REF!)</f>
        <v>#VALUE!</v>
      </c>
    </row>
    <row r="9449" spans="1:5" x14ac:dyDescent="0.2">
      <c r="A9449" s="28">
        <v>9448</v>
      </c>
      <c r="B9449" s="28" t="e">
        <f>interpola(#REF!,CURVA!$B$6:$B$20,CURVA!$G$6:$G$20)</f>
        <v>#VALUE!</v>
      </c>
      <c r="C9449" s="29" t="e">
        <f t="shared" si="147"/>
        <v>#VALUE!</v>
      </c>
      <c r="E9449" t="e">
        <f>cubic_spline(CURVA!$B$6:$B$20,CURVA!$G$6:$G$20,#REF!)</f>
        <v>#VALUE!</v>
      </c>
    </row>
    <row r="9450" spans="1:5" x14ac:dyDescent="0.2">
      <c r="A9450" s="28">
        <v>9449</v>
      </c>
      <c r="B9450" s="28" t="e">
        <f>interpola(#REF!,CURVA!$B$6:$B$20,CURVA!$G$6:$G$20)</f>
        <v>#VALUE!</v>
      </c>
      <c r="C9450" s="29" t="e">
        <f t="shared" si="147"/>
        <v>#VALUE!</v>
      </c>
      <c r="E9450" t="e">
        <f>cubic_spline(CURVA!$B$6:$B$20,CURVA!$G$6:$G$20,#REF!)</f>
        <v>#VALUE!</v>
      </c>
    </row>
    <row r="9451" spans="1:5" x14ac:dyDescent="0.2">
      <c r="A9451" s="28">
        <v>9450</v>
      </c>
      <c r="B9451" s="28" t="e">
        <f>interpola(#REF!,CURVA!$B$6:$B$20,CURVA!$G$6:$G$20)</f>
        <v>#VALUE!</v>
      </c>
      <c r="C9451" s="29" t="e">
        <f t="shared" si="147"/>
        <v>#VALUE!</v>
      </c>
      <c r="E9451" t="e">
        <f>cubic_spline(CURVA!$B$6:$B$20,CURVA!$G$6:$G$20,#REF!)</f>
        <v>#VALUE!</v>
      </c>
    </row>
    <row r="9452" spans="1:5" x14ac:dyDescent="0.2">
      <c r="A9452" s="28">
        <v>9451</v>
      </c>
      <c r="B9452" s="28" t="e">
        <f>interpola(#REF!,CURVA!$B$6:$B$20,CURVA!$G$6:$G$20)</f>
        <v>#VALUE!</v>
      </c>
      <c r="C9452" s="29" t="e">
        <f t="shared" si="147"/>
        <v>#VALUE!</v>
      </c>
      <c r="E9452" t="e">
        <f>cubic_spline(CURVA!$B$6:$B$20,CURVA!$G$6:$G$20,#REF!)</f>
        <v>#VALUE!</v>
      </c>
    </row>
    <row r="9453" spans="1:5" x14ac:dyDescent="0.2">
      <c r="A9453" s="28">
        <v>9452</v>
      </c>
      <c r="B9453" s="28" t="e">
        <f>interpola(#REF!,CURVA!$B$6:$B$20,CURVA!$G$6:$G$20)</f>
        <v>#VALUE!</v>
      </c>
      <c r="C9453" s="29" t="e">
        <f t="shared" si="147"/>
        <v>#VALUE!</v>
      </c>
      <c r="E9453" t="e">
        <f>cubic_spline(CURVA!$B$6:$B$20,CURVA!$G$6:$G$20,#REF!)</f>
        <v>#VALUE!</v>
      </c>
    </row>
    <row r="9454" spans="1:5" x14ac:dyDescent="0.2">
      <c r="A9454" s="28">
        <v>9453</v>
      </c>
      <c r="B9454" s="28" t="e">
        <f>interpola(#REF!,CURVA!$B$6:$B$20,CURVA!$G$6:$G$20)</f>
        <v>#VALUE!</v>
      </c>
      <c r="C9454" s="29" t="e">
        <f t="shared" si="147"/>
        <v>#VALUE!</v>
      </c>
      <c r="E9454" t="e">
        <f>cubic_spline(CURVA!$B$6:$B$20,CURVA!$G$6:$G$20,#REF!)</f>
        <v>#VALUE!</v>
      </c>
    </row>
    <row r="9455" spans="1:5" x14ac:dyDescent="0.2">
      <c r="A9455" s="28">
        <v>9454</v>
      </c>
      <c r="B9455" s="28" t="e">
        <f>interpola(#REF!,CURVA!$B$6:$B$20,CURVA!$G$6:$G$20)</f>
        <v>#VALUE!</v>
      </c>
      <c r="C9455" s="29" t="e">
        <f t="shared" si="147"/>
        <v>#VALUE!</v>
      </c>
      <c r="E9455" t="e">
        <f>cubic_spline(CURVA!$B$6:$B$20,CURVA!$G$6:$G$20,#REF!)</f>
        <v>#VALUE!</v>
      </c>
    </row>
    <row r="9456" spans="1:5" x14ac:dyDescent="0.2">
      <c r="A9456" s="28">
        <v>9455</v>
      </c>
      <c r="B9456" s="28" t="e">
        <f>interpola(#REF!,CURVA!$B$6:$B$20,CURVA!$G$6:$G$20)</f>
        <v>#VALUE!</v>
      </c>
      <c r="C9456" s="29" t="e">
        <f t="shared" si="147"/>
        <v>#VALUE!</v>
      </c>
      <c r="E9456" t="e">
        <f>cubic_spline(CURVA!$B$6:$B$20,CURVA!$G$6:$G$20,#REF!)</f>
        <v>#VALUE!</v>
      </c>
    </row>
    <row r="9457" spans="1:5" x14ac:dyDescent="0.2">
      <c r="A9457" s="28">
        <v>9456</v>
      </c>
      <c r="B9457" s="28" t="e">
        <f>interpola(#REF!,CURVA!$B$6:$B$20,CURVA!$G$6:$G$20)</f>
        <v>#VALUE!</v>
      </c>
      <c r="C9457" s="29" t="e">
        <f t="shared" si="147"/>
        <v>#VALUE!</v>
      </c>
      <c r="E9457" t="e">
        <f>cubic_spline(CURVA!$B$6:$B$20,CURVA!$G$6:$G$20,#REF!)</f>
        <v>#VALUE!</v>
      </c>
    </row>
    <row r="9458" spans="1:5" x14ac:dyDescent="0.2">
      <c r="A9458" s="28">
        <v>9457</v>
      </c>
      <c r="B9458" s="28" t="e">
        <f>interpola(#REF!,CURVA!$B$6:$B$20,CURVA!$G$6:$G$20)</f>
        <v>#VALUE!</v>
      </c>
      <c r="C9458" s="29" t="e">
        <f t="shared" si="147"/>
        <v>#VALUE!</v>
      </c>
      <c r="E9458" t="e">
        <f>cubic_spline(CURVA!$B$6:$B$20,CURVA!$G$6:$G$20,#REF!)</f>
        <v>#VALUE!</v>
      </c>
    </row>
    <row r="9459" spans="1:5" x14ac:dyDescent="0.2">
      <c r="A9459" s="28">
        <v>9458</v>
      </c>
      <c r="B9459" s="28" t="e">
        <f>interpola(#REF!,CURVA!$B$6:$B$20,CURVA!$G$6:$G$20)</f>
        <v>#VALUE!</v>
      </c>
      <c r="C9459" s="29" t="e">
        <f t="shared" si="147"/>
        <v>#VALUE!</v>
      </c>
      <c r="E9459" t="e">
        <f>cubic_spline(CURVA!$B$6:$B$20,CURVA!$G$6:$G$20,#REF!)</f>
        <v>#VALUE!</v>
      </c>
    </row>
    <row r="9460" spans="1:5" x14ac:dyDescent="0.2">
      <c r="A9460" s="28">
        <v>9459</v>
      </c>
      <c r="B9460" s="28" t="e">
        <f>interpola(#REF!,CURVA!$B$6:$B$20,CURVA!$G$6:$G$20)</f>
        <v>#VALUE!</v>
      </c>
      <c r="C9460" s="29" t="e">
        <f t="shared" si="147"/>
        <v>#VALUE!</v>
      </c>
      <c r="E9460" t="e">
        <f>cubic_spline(CURVA!$B$6:$B$20,CURVA!$G$6:$G$20,#REF!)</f>
        <v>#VALUE!</v>
      </c>
    </row>
    <row r="9461" spans="1:5" x14ac:dyDescent="0.2">
      <c r="A9461" s="28">
        <v>9460</v>
      </c>
      <c r="B9461" s="28" t="e">
        <f>interpola(#REF!,CURVA!$B$6:$B$20,CURVA!$G$6:$G$20)</f>
        <v>#VALUE!</v>
      </c>
      <c r="C9461" s="29" t="e">
        <f t="shared" si="147"/>
        <v>#VALUE!</v>
      </c>
      <c r="E9461" t="e">
        <f>cubic_spline(CURVA!$B$6:$B$20,CURVA!$G$6:$G$20,#REF!)</f>
        <v>#VALUE!</v>
      </c>
    </row>
    <row r="9462" spans="1:5" x14ac:dyDescent="0.2">
      <c r="A9462" s="28">
        <v>9461</v>
      </c>
      <c r="B9462" s="28" t="e">
        <f>interpola(#REF!,CURVA!$B$6:$B$20,CURVA!$G$6:$G$20)</f>
        <v>#VALUE!</v>
      </c>
      <c r="C9462" s="29" t="e">
        <f t="shared" si="147"/>
        <v>#VALUE!</v>
      </c>
      <c r="E9462" t="e">
        <f>cubic_spline(CURVA!$B$6:$B$20,CURVA!$G$6:$G$20,#REF!)</f>
        <v>#VALUE!</v>
      </c>
    </row>
    <row r="9463" spans="1:5" x14ac:dyDescent="0.2">
      <c r="A9463" s="28">
        <v>9462</v>
      </c>
      <c r="B9463" s="28" t="e">
        <f>interpola(#REF!,CURVA!$B$6:$B$20,CURVA!$G$6:$G$20)</f>
        <v>#VALUE!</v>
      </c>
      <c r="C9463" s="29" t="e">
        <f t="shared" si="147"/>
        <v>#VALUE!</v>
      </c>
      <c r="E9463" t="e">
        <f>cubic_spline(CURVA!$B$6:$B$20,CURVA!$G$6:$G$20,#REF!)</f>
        <v>#VALUE!</v>
      </c>
    </row>
    <row r="9464" spans="1:5" x14ac:dyDescent="0.2">
      <c r="A9464" s="28">
        <v>9463</v>
      </c>
      <c r="B9464" s="28" t="e">
        <f>interpola(#REF!,CURVA!$B$6:$B$20,CURVA!$G$6:$G$20)</f>
        <v>#VALUE!</v>
      </c>
      <c r="C9464" s="29" t="e">
        <f t="shared" si="147"/>
        <v>#VALUE!</v>
      </c>
      <c r="E9464" t="e">
        <f>cubic_spline(CURVA!$B$6:$B$20,CURVA!$G$6:$G$20,#REF!)</f>
        <v>#VALUE!</v>
      </c>
    </row>
    <row r="9465" spans="1:5" x14ac:dyDescent="0.2">
      <c r="A9465" s="28">
        <v>9464</v>
      </c>
      <c r="B9465" s="28" t="e">
        <f>interpola(#REF!,CURVA!$B$6:$B$20,CURVA!$G$6:$G$20)</f>
        <v>#VALUE!</v>
      </c>
      <c r="C9465" s="29" t="e">
        <f t="shared" si="147"/>
        <v>#VALUE!</v>
      </c>
      <c r="E9465" t="e">
        <f>cubic_spline(CURVA!$B$6:$B$20,CURVA!$G$6:$G$20,#REF!)</f>
        <v>#VALUE!</v>
      </c>
    </row>
    <row r="9466" spans="1:5" x14ac:dyDescent="0.2">
      <c r="A9466" s="28">
        <v>9465</v>
      </c>
      <c r="B9466" s="28" t="e">
        <f>interpola(#REF!,CURVA!$B$6:$B$20,CURVA!$G$6:$G$20)</f>
        <v>#VALUE!</v>
      </c>
      <c r="C9466" s="29" t="e">
        <f t="shared" si="147"/>
        <v>#VALUE!</v>
      </c>
      <c r="E9466" t="e">
        <f>cubic_spline(CURVA!$B$6:$B$20,CURVA!$G$6:$G$20,#REF!)</f>
        <v>#VALUE!</v>
      </c>
    </row>
    <row r="9467" spans="1:5" x14ac:dyDescent="0.2">
      <c r="A9467" s="28">
        <v>9466</v>
      </c>
      <c r="B9467" s="28" t="e">
        <f>interpola(#REF!,CURVA!$B$6:$B$20,CURVA!$G$6:$G$20)</f>
        <v>#VALUE!</v>
      </c>
      <c r="C9467" s="29" t="e">
        <f t="shared" si="147"/>
        <v>#VALUE!</v>
      </c>
      <c r="E9467" t="e">
        <f>cubic_spline(CURVA!$B$6:$B$20,CURVA!$G$6:$G$20,#REF!)</f>
        <v>#VALUE!</v>
      </c>
    </row>
    <row r="9468" spans="1:5" x14ac:dyDescent="0.2">
      <c r="A9468" s="28">
        <v>9467</v>
      </c>
      <c r="B9468" s="28" t="e">
        <f>interpola(#REF!,CURVA!$B$6:$B$20,CURVA!$G$6:$G$20)</f>
        <v>#VALUE!</v>
      </c>
      <c r="C9468" s="29" t="e">
        <f t="shared" si="147"/>
        <v>#VALUE!</v>
      </c>
      <c r="E9468" t="e">
        <f>cubic_spline(CURVA!$B$6:$B$20,CURVA!$G$6:$G$20,#REF!)</f>
        <v>#VALUE!</v>
      </c>
    </row>
    <row r="9469" spans="1:5" x14ac:dyDescent="0.2">
      <c r="A9469" s="28">
        <v>9468</v>
      </c>
      <c r="B9469" s="28" t="e">
        <f>interpola(#REF!,CURVA!$B$6:$B$20,CURVA!$G$6:$G$20)</f>
        <v>#VALUE!</v>
      </c>
      <c r="C9469" s="29" t="e">
        <f t="shared" si="147"/>
        <v>#VALUE!</v>
      </c>
      <c r="E9469" t="e">
        <f>cubic_spline(CURVA!$B$6:$B$20,CURVA!$G$6:$G$20,#REF!)</f>
        <v>#VALUE!</v>
      </c>
    </row>
    <row r="9470" spans="1:5" x14ac:dyDescent="0.2">
      <c r="A9470" s="28">
        <v>9469</v>
      </c>
      <c r="B9470" s="28" t="e">
        <f>interpola(#REF!,CURVA!$B$6:$B$20,CURVA!$G$6:$G$20)</f>
        <v>#VALUE!</v>
      </c>
      <c r="C9470" s="29" t="e">
        <f t="shared" si="147"/>
        <v>#VALUE!</v>
      </c>
      <c r="E9470" t="e">
        <f>cubic_spline(CURVA!$B$6:$B$20,CURVA!$G$6:$G$20,#REF!)</f>
        <v>#VALUE!</v>
      </c>
    </row>
    <row r="9471" spans="1:5" x14ac:dyDescent="0.2">
      <c r="A9471" s="28">
        <v>9470</v>
      </c>
      <c r="B9471" s="28" t="e">
        <f>interpola(#REF!,CURVA!$B$6:$B$20,CURVA!$G$6:$G$20)</f>
        <v>#VALUE!</v>
      </c>
      <c r="C9471" s="29" t="e">
        <f t="shared" si="147"/>
        <v>#VALUE!</v>
      </c>
      <c r="E9471" t="e">
        <f>cubic_spline(CURVA!$B$6:$B$20,CURVA!$G$6:$G$20,#REF!)</f>
        <v>#VALUE!</v>
      </c>
    </row>
    <row r="9472" spans="1:5" x14ac:dyDescent="0.2">
      <c r="A9472" s="28">
        <v>9471</v>
      </c>
      <c r="B9472" s="28" t="e">
        <f>interpola(#REF!,CURVA!$B$6:$B$20,CURVA!$G$6:$G$20)</f>
        <v>#VALUE!</v>
      </c>
      <c r="C9472" s="29" t="e">
        <f t="shared" si="147"/>
        <v>#VALUE!</v>
      </c>
      <c r="E9472" t="e">
        <f>cubic_spline(CURVA!$B$6:$B$20,CURVA!$G$6:$G$20,#REF!)</f>
        <v>#VALUE!</v>
      </c>
    </row>
    <row r="9473" spans="1:5" x14ac:dyDescent="0.2">
      <c r="A9473" s="28">
        <v>9472</v>
      </c>
      <c r="B9473" s="28" t="e">
        <f>interpola(#REF!,CURVA!$B$6:$B$20,CURVA!$G$6:$G$20)</f>
        <v>#VALUE!</v>
      </c>
      <c r="C9473" s="29" t="e">
        <f t="shared" si="147"/>
        <v>#VALUE!</v>
      </c>
      <c r="E9473" t="e">
        <f>cubic_spline(CURVA!$B$6:$B$20,CURVA!$G$6:$G$20,#REF!)</f>
        <v>#VALUE!</v>
      </c>
    </row>
    <row r="9474" spans="1:5" x14ac:dyDescent="0.2">
      <c r="A9474" s="28">
        <v>9473</v>
      </c>
      <c r="B9474" s="28" t="e">
        <f>interpola(#REF!,CURVA!$B$6:$B$20,CURVA!$G$6:$G$20)</f>
        <v>#VALUE!</v>
      </c>
      <c r="C9474" s="29" t="e">
        <f t="shared" ref="C9474:C9537" si="148">(EXP(B9474*A9474/360)-1)*360/A9474</f>
        <v>#VALUE!</v>
      </c>
      <c r="E9474" t="e">
        <f>cubic_spline(CURVA!$B$6:$B$20,CURVA!$G$6:$G$20,#REF!)</f>
        <v>#VALUE!</v>
      </c>
    </row>
    <row r="9475" spans="1:5" x14ac:dyDescent="0.2">
      <c r="A9475" s="28">
        <v>9474</v>
      </c>
      <c r="B9475" s="28" t="e">
        <f>interpola(#REF!,CURVA!$B$6:$B$20,CURVA!$G$6:$G$20)</f>
        <v>#VALUE!</v>
      </c>
      <c r="C9475" s="29" t="e">
        <f t="shared" si="148"/>
        <v>#VALUE!</v>
      </c>
      <c r="E9475" t="e">
        <f>cubic_spline(CURVA!$B$6:$B$20,CURVA!$G$6:$G$20,#REF!)</f>
        <v>#VALUE!</v>
      </c>
    </row>
    <row r="9476" spans="1:5" x14ac:dyDescent="0.2">
      <c r="A9476" s="28">
        <v>9475</v>
      </c>
      <c r="B9476" s="28" t="e">
        <f>interpola(#REF!,CURVA!$B$6:$B$20,CURVA!$G$6:$G$20)</f>
        <v>#VALUE!</v>
      </c>
      <c r="C9476" s="29" t="e">
        <f t="shared" si="148"/>
        <v>#VALUE!</v>
      </c>
      <c r="E9476" t="e">
        <f>cubic_spline(CURVA!$B$6:$B$20,CURVA!$G$6:$G$20,#REF!)</f>
        <v>#VALUE!</v>
      </c>
    </row>
    <row r="9477" spans="1:5" x14ac:dyDescent="0.2">
      <c r="A9477" s="28">
        <v>9476</v>
      </c>
      <c r="B9477" s="28" t="e">
        <f>interpola(#REF!,CURVA!$B$6:$B$20,CURVA!$G$6:$G$20)</f>
        <v>#VALUE!</v>
      </c>
      <c r="C9477" s="29" t="e">
        <f t="shared" si="148"/>
        <v>#VALUE!</v>
      </c>
      <c r="E9477" t="e">
        <f>cubic_spline(CURVA!$B$6:$B$20,CURVA!$G$6:$G$20,#REF!)</f>
        <v>#VALUE!</v>
      </c>
    </row>
    <row r="9478" spans="1:5" x14ac:dyDescent="0.2">
      <c r="A9478" s="28">
        <v>9477</v>
      </c>
      <c r="B9478" s="28" t="e">
        <f>interpola(#REF!,CURVA!$B$6:$B$20,CURVA!$G$6:$G$20)</f>
        <v>#VALUE!</v>
      </c>
      <c r="C9478" s="29" t="e">
        <f t="shared" si="148"/>
        <v>#VALUE!</v>
      </c>
      <c r="E9478" t="e">
        <f>cubic_spline(CURVA!$B$6:$B$20,CURVA!$G$6:$G$20,#REF!)</f>
        <v>#VALUE!</v>
      </c>
    </row>
    <row r="9479" spans="1:5" x14ac:dyDescent="0.2">
      <c r="A9479" s="28">
        <v>9478</v>
      </c>
      <c r="B9479" s="28" t="e">
        <f>interpola(#REF!,CURVA!$B$6:$B$20,CURVA!$G$6:$G$20)</f>
        <v>#VALUE!</v>
      </c>
      <c r="C9479" s="29" t="e">
        <f t="shared" si="148"/>
        <v>#VALUE!</v>
      </c>
      <c r="E9479" t="e">
        <f>cubic_spline(CURVA!$B$6:$B$20,CURVA!$G$6:$G$20,#REF!)</f>
        <v>#VALUE!</v>
      </c>
    </row>
    <row r="9480" spans="1:5" x14ac:dyDescent="0.2">
      <c r="A9480" s="28">
        <v>9479</v>
      </c>
      <c r="B9480" s="28" t="e">
        <f>interpola(#REF!,CURVA!$B$6:$B$20,CURVA!$G$6:$G$20)</f>
        <v>#VALUE!</v>
      </c>
      <c r="C9480" s="29" t="e">
        <f t="shared" si="148"/>
        <v>#VALUE!</v>
      </c>
      <c r="E9480" t="e">
        <f>cubic_spline(CURVA!$B$6:$B$20,CURVA!$G$6:$G$20,#REF!)</f>
        <v>#VALUE!</v>
      </c>
    </row>
    <row r="9481" spans="1:5" x14ac:dyDescent="0.2">
      <c r="A9481" s="28">
        <v>9480</v>
      </c>
      <c r="B9481" s="28" t="e">
        <f>interpola(#REF!,CURVA!$B$6:$B$20,CURVA!$G$6:$G$20)</f>
        <v>#VALUE!</v>
      </c>
      <c r="C9481" s="29" t="e">
        <f t="shared" si="148"/>
        <v>#VALUE!</v>
      </c>
      <c r="E9481" t="e">
        <f>cubic_spline(CURVA!$B$6:$B$20,CURVA!$G$6:$G$20,#REF!)</f>
        <v>#VALUE!</v>
      </c>
    </row>
    <row r="9482" spans="1:5" x14ac:dyDescent="0.2">
      <c r="A9482" s="28">
        <v>9481</v>
      </c>
      <c r="B9482" s="28" t="e">
        <f>interpola(#REF!,CURVA!$B$6:$B$20,CURVA!$G$6:$G$20)</f>
        <v>#VALUE!</v>
      </c>
      <c r="C9482" s="29" t="e">
        <f t="shared" si="148"/>
        <v>#VALUE!</v>
      </c>
      <c r="E9482" t="e">
        <f>cubic_spline(CURVA!$B$6:$B$20,CURVA!$G$6:$G$20,#REF!)</f>
        <v>#VALUE!</v>
      </c>
    </row>
    <row r="9483" spans="1:5" x14ac:dyDescent="0.2">
      <c r="A9483" s="28">
        <v>9482</v>
      </c>
      <c r="B9483" s="28" t="e">
        <f>interpola(#REF!,CURVA!$B$6:$B$20,CURVA!$G$6:$G$20)</f>
        <v>#VALUE!</v>
      </c>
      <c r="C9483" s="29" t="e">
        <f t="shared" si="148"/>
        <v>#VALUE!</v>
      </c>
      <c r="E9483" t="e">
        <f>cubic_spline(CURVA!$B$6:$B$20,CURVA!$G$6:$G$20,#REF!)</f>
        <v>#VALUE!</v>
      </c>
    </row>
    <row r="9484" spans="1:5" x14ac:dyDescent="0.2">
      <c r="A9484" s="28">
        <v>9483</v>
      </c>
      <c r="B9484" s="28" t="e">
        <f>interpola(#REF!,CURVA!$B$6:$B$20,CURVA!$G$6:$G$20)</f>
        <v>#VALUE!</v>
      </c>
      <c r="C9484" s="29" t="e">
        <f t="shared" si="148"/>
        <v>#VALUE!</v>
      </c>
      <c r="E9484" t="e">
        <f>cubic_spline(CURVA!$B$6:$B$20,CURVA!$G$6:$G$20,#REF!)</f>
        <v>#VALUE!</v>
      </c>
    </row>
    <row r="9485" spans="1:5" x14ac:dyDescent="0.2">
      <c r="A9485" s="28">
        <v>9484</v>
      </c>
      <c r="B9485" s="28" t="e">
        <f>interpola(#REF!,CURVA!$B$6:$B$20,CURVA!$G$6:$G$20)</f>
        <v>#VALUE!</v>
      </c>
      <c r="C9485" s="29" t="e">
        <f t="shared" si="148"/>
        <v>#VALUE!</v>
      </c>
      <c r="E9485" t="e">
        <f>cubic_spline(CURVA!$B$6:$B$20,CURVA!$G$6:$G$20,#REF!)</f>
        <v>#VALUE!</v>
      </c>
    </row>
    <row r="9486" spans="1:5" x14ac:dyDescent="0.2">
      <c r="A9486" s="28">
        <v>9485</v>
      </c>
      <c r="B9486" s="28" t="e">
        <f>interpola(#REF!,CURVA!$B$6:$B$20,CURVA!$G$6:$G$20)</f>
        <v>#VALUE!</v>
      </c>
      <c r="C9486" s="29" t="e">
        <f t="shared" si="148"/>
        <v>#VALUE!</v>
      </c>
      <c r="E9486" t="e">
        <f>cubic_spline(CURVA!$B$6:$B$20,CURVA!$G$6:$G$20,#REF!)</f>
        <v>#VALUE!</v>
      </c>
    </row>
    <row r="9487" spans="1:5" x14ac:dyDescent="0.2">
      <c r="A9487" s="28">
        <v>9486</v>
      </c>
      <c r="B9487" s="28" t="e">
        <f>interpola(#REF!,CURVA!$B$6:$B$20,CURVA!$G$6:$G$20)</f>
        <v>#VALUE!</v>
      </c>
      <c r="C9487" s="29" t="e">
        <f t="shared" si="148"/>
        <v>#VALUE!</v>
      </c>
      <c r="E9487" t="e">
        <f>cubic_spline(CURVA!$B$6:$B$20,CURVA!$G$6:$G$20,#REF!)</f>
        <v>#VALUE!</v>
      </c>
    </row>
    <row r="9488" spans="1:5" x14ac:dyDescent="0.2">
      <c r="A9488" s="28">
        <v>9487</v>
      </c>
      <c r="B9488" s="28" t="e">
        <f>interpola(#REF!,CURVA!$B$6:$B$20,CURVA!$G$6:$G$20)</f>
        <v>#VALUE!</v>
      </c>
      <c r="C9488" s="29" t="e">
        <f t="shared" si="148"/>
        <v>#VALUE!</v>
      </c>
      <c r="E9488" t="e">
        <f>cubic_spline(CURVA!$B$6:$B$20,CURVA!$G$6:$G$20,#REF!)</f>
        <v>#VALUE!</v>
      </c>
    </row>
    <row r="9489" spans="1:5" x14ac:dyDescent="0.2">
      <c r="A9489" s="28">
        <v>9488</v>
      </c>
      <c r="B9489" s="28" t="e">
        <f>interpola(#REF!,CURVA!$B$6:$B$20,CURVA!$G$6:$G$20)</f>
        <v>#VALUE!</v>
      </c>
      <c r="C9489" s="29" t="e">
        <f t="shared" si="148"/>
        <v>#VALUE!</v>
      </c>
      <c r="E9489" t="e">
        <f>cubic_spline(CURVA!$B$6:$B$20,CURVA!$G$6:$G$20,#REF!)</f>
        <v>#VALUE!</v>
      </c>
    </row>
    <row r="9490" spans="1:5" x14ac:dyDescent="0.2">
      <c r="A9490" s="28">
        <v>9489</v>
      </c>
      <c r="B9490" s="28" t="e">
        <f>interpola(#REF!,CURVA!$B$6:$B$20,CURVA!$G$6:$G$20)</f>
        <v>#VALUE!</v>
      </c>
      <c r="C9490" s="29" t="e">
        <f t="shared" si="148"/>
        <v>#VALUE!</v>
      </c>
      <c r="E9490" t="e">
        <f>cubic_spline(CURVA!$B$6:$B$20,CURVA!$G$6:$G$20,#REF!)</f>
        <v>#VALUE!</v>
      </c>
    </row>
    <row r="9491" spans="1:5" x14ac:dyDescent="0.2">
      <c r="A9491" s="28">
        <v>9490</v>
      </c>
      <c r="B9491" s="28" t="e">
        <f>interpola(#REF!,CURVA!$B$6:$B$20,CURVA!$G$6:$G$20)</f>
        <v>#VALUE!</v>
      </c>
      <c r="C9491" s="29" t="e">
        <f t="shared" si="148"/>
        <v>#VALUE!</v>
      </c>
      <c r="E9491" t="e">
        <f>cubic_spline(CURVA!$B$6:$B$20,CURVA!$G$6:$G$20,#REF!)</f>
        <v>#VALUE!</v>
      </c>
    </row>
    <row r="9492" spans="1:5" x14ac:dyDescent="0.2">
      <c r="A9492" s="28">
        <v>9491</v>
      </c>
      <c r="B9492" s="28" t="e">
        <f>interpola(#REF!,CURVA!$B$6:$B$20,CURVA!$G$6:$G$20)</f>
        <v>#VALUE!</v>
      </c>
      <c r="C9492" s="29" t="e">
        <f t="shared" si="148"/>
        <v>#VALUE!</v>
      </c>
      <c r="E9492" t="e">
        <f>cubic_spline(CURVA!$B$6:$B$20,CURVA!$G$6:$G$20,#REF!)</f>
        <v>#VALUE!</v>
      </c>
    </row>
    <row r="9493" spans="1:5" x14ac:dyDescent="0.2">
      <c r="A9493" s="28">
        <v>9492</v>
      </c>
      <c r="B9493" s="28" t="e">
        <f>interpola(#REF!,CURVA!$B$6:$B$20,CURVA!$G$6:$G$20)</f>
        <v>#VALUE!</v>
      </c>
      <c r="C9493" s="29" t="e">
        <f t="shared" si="148"/>
        <v>#VALUE!</v>
      </c>
      <c r="E9493" t="e">
        <f>cubic_spline(CURVA!$B$6:$B$20,CURVA!$G$6:$G$20,#REF!)</f>
        <v>#VALUE!</v>
      </c>
    </row>
    <row r="9494" spans="1:5" x14ac:dyDescent="0.2">
      <c r="A9494" s="28">
        <v>9493</v>
      </c>
      <c r="B9494" s="28" t="e">
        <f>interpola(#REF!,CURVA!$B$6:$B$20,CURVA!$G$6:$G$20)</f>
        <v>#VALUE!</v>
      </c>
      <c r="C9494" s="29" t="e">
        <f t="shared" si="148"/>
        <v>#VALUE!</v>
      </c>
      <c r="E9494" t="e">
        <f>cubic_spline(CURVA!$B$6:$B$20,CURVA!$G$6:$G$20,#REF!)</f>
        <v>#VALUE!</v>
      </c>
    </row>
    <row r="9495" spans="1:5" x14ac:dyDescent="0.2">
      <c r="A9495" s="28">
        <v>9494</v>
      </c>
      <c r="B9495" s="28" t="e">
        <f>interpola(#REF!,CURVA!$B$6:$B$20,CURVA!$G$6:$G$20)</f>
        <v>#VALUE!</v>
      </c>
      <c r="C9495" s="29" t="e">
        <f t="shared" si="148"/>
        <v>#VALUE!</v>
      </c>
      <c r="E9495" t="e">
        <f>cubic_spline(CURVA!$B$6:$B$20,CURVA!$G$6:$G$20,#REF!)</f>
        <v>#VALUE!</v>
      </c>
    </row>
    <row r="9496" spans="1:5" x14ac:dyDescent="0.2">
      <c r="A9496" s="28">
        <v>9495</v>
      </c>
      <c r="B9496" s="28" t="e">
        <f>interpola(#REF!,CURVA!$B$6:$B$20,CURVA!$G$6:$G$20)</f>
        <v>#VALUE!</v>
      </c>
      <c r="C9496" s="29" t="e">
        <f t="shared" si="148"/>
        <v>#VALUE!</v>
      </c>
      <c r="E9496" t="e">
        <f>cubic_spline(CURVA!$B$6:$B$20,CURVA!$G$6:$G$20,#REF!)</f>
        <v>#VALUE!</v>
      </c>
    </row>
    <row r="9497" spans="1:5" x14ac:dyDescent="0.2">
      <c r="A9497" s="28">
        <v>9496</v>
      </c>
      <c r="B9497" s="28" t="e">
        <f>interpola(#REF!,CURVA!$B$6:$B$20,CURVA!$G$6:$G$20)</f>
        <v>#VALUE!</v>
      </c>
      <c r="C9497" s="29" t="e">
        <f t="shared" si="148"/>
        <v>#VALUE!</v>
      </c>
      <c r="E9497" t="e">
        <f>cubic_spline(CURVA!$B$6:$B$20,CURVA!$G$6:$G$20,#REF!)</f>
        <v>#VALUE!</v>
      </c>
    </row>
    <row r="9498" spans="1:5" x14ac:dyDescent="0.2">
      <c r="A9498" s="28">
        <v>9497</v>
      </c>
      <c r="B9498" s="28" t="e">
        <f>interpola(#REF!,CURVA!$B$6:$B$20,CURVA!$G$6:$G$20)</f>
        <v>#VALUE!</v>
      </c>
      <c r="C9498" s="29" t="e">
        <f t="shared" si="148"/>
        <v>#VALUE!</v>
      </c>
      <c r="E9498" t="e">
        <f>cubic_spline(CURVA!$B$6:$B$20,CURVA!$G$6:$G$20,#REF!)</f>
        <v>#VALUE!</v>
      </c>
    </row>
    <row r="9499" spans="1:5" x14ac:dyDescent="0.2">
      <c r="A9499" s="28">
        <v>9498</v>
      </c>
      <c r="B9499" s="28" t="e">
        <f>interpola(#REF!,CURVA!$B$6:$B$20,CURVA!$G$6:$G$20)</f>
        <v>#VALUE!</v>
      </c>
      <c r="C9499" s="29" t="e">
        <f t="shared" si="148"/>
        <v>#VALUE!</v>
      </c>
      <c r="E9499" t="e">
        <f>cubic_spline(CURVA!$B$6:$B$20,CURVA!$G$6:$G$20,#REF!)</f>
        <v>#VALUE!</v>
      </c>
    </row>
    <row r="9500" spans="1:5" x14ac:dyDescent="0.2">
      <c r="A9500" s="28">
        <v>9499</v>
      </c>
      <c r="B9500" s="28" t="e">
        <f>interpola(#REF!,CURVA!$B$6:$B$20,CURVA!$G$6:$G$20)</f>
        <v>#VALUE!</v>
      </c>
      <c r="C9500" s="29" t="e">
        <f t="shared" si="148"/>
        <v>#VALUE!</v>
      </c>
      <c r="E9500" t="e">
        <f>cubic_spline(CURVA!$B$6:$B$20,CURVA!$G$6:$G$20,#REF!)</f>
        <v>#VALUE!</v>
      </c>
    </row>
    <row r="9501" spans="1:5" x14ac:dyDescent="0.2">
      <c r="A9501" s="28">
        <v>9500</v>
      </c>
      <c r="B9501" s="28" t="e">
        <f>interpola(#REF!,CURVA!$B$6:$B$20,CURVA!$G$6:$G$20)</f>
        <v>#VALUE!</v>
      </c>
      <c r="C9501" s="29" t="e">
        <f t="shared" si="148"/>
        <v>#VALUE!</v>
      </c>
      <c r="E9501" t="e">
        <f>cubic_spline(CURVA!$B$6:$B$20,CURVA!$G$6:$G$20,#REF!)</f>
        <v>#VALUE!</v>
      </c>
    </row>
    <row r="9502" spans="1:5" x14ac:dyDescent="0.2">
      <c r="A9502" s="28">
        <v>9501</v>
      </c>
      <c r="B9502" s="28" t="e">
        <f>interpola(#REF!,CURVA!$B$6:$B$20,CURVA!$G$6:$G$20)</f>
        <v>#VALUE!</v>
      </c>
      <c r="C9502" s="29" t="e">
        <f t="shared" si="148"/>
        <v>#VALUE!</v>
      </c>
      <c r="E9502" t="e">
        <f>cubic_spline(CURVA!$B$6:$B$20,CURVA!$G$6:$G$20,#REF!)</f>
        <v>#VALUE!</v>
      </c>
    </row>
    <row r="9503" spans="1:5" x14ac:dyDescent="0.2">
      <c r="A9503" s="28">
        <v>9502</v>
      </c>
      <c r="B9503" s="28" t="e">
        <f>interpola(#REF!,CURVA!$B$6:$B$20,CURVA!$G$6:$G$20)</f>
        <v>#VALUE!</v>
      </c>
      <c r="C9503" s="29" t="e">
        <f t="shared" si="148"/>
        <v>#VALUE!</v>
      </c>
      <c r="E9503" t="e">
        <f>cubic_spline(CURVA!$B$6:$B$20,CURVA!$G$6:$G$20,#REF!)</f>
        <v>#VALUE!</v>
      </c>
    </row>
    <row r="9504" spans="1:5" x14ac:dyDescent="0.2">
      <c r="A9504" s="28">
        <v>9503</v>
      </c>
      <c r="B9504" s="28" t="e">
        <f>interpola(#REF!,CURVA!$B$6:$B$20,CURVA!$G$6:$G$20)</f>
        <v>#VALUE!</v>
      </c>
      <c r="C9504" s="29" t="e">
        <f t="shared" si="148"/>
        <v>#VALUE!</v>
      </c>
      <c r="E9504" t="e">
        <f>cubic_spline(CURVA!$B$6:$B$20,CURVA!$G$6:$G$20,#REF!)</f>
        <v>#VALUE!</v>
      </c>
    </row>
    <row r="9505" spans="1:5" x14ac:dyDescent="0.2">
      <c r="A9505" s="28">
        <v>9504</v>
      </c>
      <c r="B9505" s="28" t="e">
        <f>interpola(#REF!,CURVA!$B$6:$B$20,CURVA!$G$6:$G$20)</f>
        <v>#VALUE!</v>
      </c>
      <c r="C9505" s="29" t="e">
        <f t="shared" si="148"/>
        <v>#VALUE!</v>
      </c>
      <c r="E9505" t="e">
        <f>cubic_spline(CURVA!$B$6:$B$20,CURVA!$G$6:$G$20,#REF!)</f>
        <v>#VALUE!</v>
      </c>
    </row>
    <row r="9506" spans="1:5" x14ac:dyDescent="0.2">
      <c r="A9506" s="28">
        <v>9505</v>
      </c>
      <c r="B9506" s="28" t="e">
        <f>interpola(#REF!,CURVA!$B$6:$B$20,CURVA!$G$6:$G$20)</f>
        <v>#VALUE!</v>
      </c>
      <c r="C9506" s="29" t="e">
        <f t="shared" si="148"/>
        <v>#VALUE!</v>
      </c>
      <c r="E9506" t="e">
        <f>cubic_spline(CURVA!$B$6:$B$20,CURVA!$G$6:$G$20,#REF!)</f>
        <v>#VALUE!</v>
      </c>
    </row>
    <row r="9507" spans="1:5" x14ac:dyDescent="0.2">
      <c r="A9507" s="28">
        <v>9506</v>
      </c>
      <c r="B9507" s="28" t="e">
        <f>interpola(#REF!,CURVA!$B$6:$B$20,CURVA!$G$6:$G$20)</f>
        <v>#VALUE!</v>
      </c>
      <c r="C9507" s="29" t="e">
        <f t="shared" si="148"/>
        <v>#VALUE!</v>
      </c>
      <c r="E9507" t="e">
        <f>cubic_spline(CURVA!$B$6:$B$20,CURVA!$G$6:$G$20,#REF!)</f>
        <v>#VALUE!</v>
      </c>
    </row>
    <row r="9508" spans="1:5" x14ac:dyDescent="0.2">
      <c r="A9508" s="28">
        <v>9507</v>
      </c>
      <c r="B9508" s="28" t="e">
        <f>interpola(#REF!,CURVA!$B$6:$B$20,CURVA!$G$6:$G$20)</f>
        <v>#VALUE!</v>
      </c>
      <c r="C9508" s="29" t="e">
        <f t="shared" si="148"/>
        <v>#VALUE!</v>
      </c>
      <c r="E9508" t="e">
        <f>cubic_spline(CURVA!$B$6:$B$20,CURVA!$G$6:$G$20,#REF!)</f>
        <v>#VALUE!</v>
      </c>
    </row>
    <row r="9509" spans="1:5" x14ac:dyDescent="0.2">
      <c r="A9509" s="28">
        <v>9508</v>
      </c>
      <c r="B9509" s="28" t="e">
        <f>interpola(#REF!,CURVA!$B$6:$B$20,CURVA!$G$6:$G$20)</f>
        <v>#VALUE!</v>
      </c>
      <c r="C9509" s="29" t="e">
        <f t="shared" si="148"/>
        <v>#VALUE!</v>
      </c>
      <c r="E9509" t="e">
        <f>cubic_spline(CURVA!$B$6:$B$20,CURVA!$G$6:$G$20,#REF!)</f>
        <v>#VALUE!</v>
      </c>
    </row>
    <row r="9510" spans="1:5" x14ac:dyDescent="0.2">
      <c r="A9510" s="28">
        <v>9509</v>
      </c>
      <c r="B9510" s="28" t="e">
        <f>interpola(#REF!,CURVA!$B$6:$B$20,CURVA!$G$6:$G$20)</f>
        <v>#VALUE!</v>
      </c>
      <c r="C9510" s="29" t="e">
        <f t="shared" si="148"/>
        <v>#VALUE!</v>
      </c>
      <c r="E9510" t="e">
        <f>cubic_spline(CURVA!$B$6:$B$20,CURVA!$G$6:$G$20,#REF!)</f>
        <v>#VALUE!</v>
      </c>
    </row>
    <row r="9511" spans="1:5" x14ac:dyDescent="0.2">
      <c r="A9511" s="28">
        <v>9510</v>
      </c>
      <c r="B9511" s="28" t="e">
        <f>interpola(#REF!,CURVA!$B$6:$B$20,CURVA!$G$6:$G$20)</f>
        <v>#VALUE!</v>
      </c>
      <c r="C9511" s="29" t="e">
        <f t="shared" si="148"/>
        <v>#VALUE!</v>
      </c>
      <c r="E9511" t="e">
        <f>cubic_spline(CURVA!$B$6:$B$20,CURVA!$G$6:$G$20,#REF!)</f>
        <v>#VALUE!</v>
      </c>
    </row>
    <row r="9512" spans="1:5" x14ac:dyDescent="0.2">
      <c r="A9512" s="28">
        <v>9511</v>
      </c>
      <c r="B9512" s="28" t="e">
        <f>interpola(#REF!,CURVA!$B$6:$B$20,CURVA!$G$6:$G$20)</f>
        <v>#VALUE!</v>
      </c>
      <c r="C9512" s="29" t="e">
        <f t="shared" si="148"/>
        <v>#VALUE!</v>
      </c>
      <c r="E9512" t="e">
        <f>cubic_spline(CURVA!$B$6:$B$20,CURVA!$G$6:$G$20,#REF!)</f>
        <v>#VALUE!</v>
      </c>
    </row>
    <row r="9513" spans="1:5" x14ac:dyDescent="0.2">
      <c r="A9513" s="28">
        <v>9512</v>
      </c>
      <c r="B9513" s="28" t="e">
        <f>interpola(#REF!,CURVA!$B$6:$B$20,CURVA!$G$6:$G$20)</f>
        <v>#VALUE!</v>
      </c>
      <c r="C9513" s="29" t="e">
        <f t="shared" si="148"/>
        <v>#VALUE!</v>
      </c>
      <c r="E9513" t="e">
        <f>cubic_spline(CURVA!$B$6:$B$20,CURVA!$G$6:$G$20,#REF!)</f>
        <v>#VALUE!</v>
      </c>
    </row>
    <row r="9514" spans="1:5" x14ac:dyDescent="0.2">
      <c r="A9514" s="28">
        <v>9513</v>
      </c>
      <c r="B9514" s="28" t="e">
        <f>interpola(#REF!,CURVA!$B$6:$B$20,CURVA!$G$6:$G$20)</f>
        <v>#VALUE!</v>
      </c>
      <c r="C9514" s="29" t="e">
        <f t="shared" si="148"/>
        <v>#VALUE!</v>
      </c>
      <c r="E9514" t="e">
        <f>cubic_spline(CURVA!$B$6:$B$20,CURVA!$G$6:$G$20,#REF!)</f>
        <v>#VALUE!</v>
      </c>
    </row>
    <row r="9515" spans="1:5" x14ac:dyDescent="0.2">
      <c r="A9515" s="28">
        <v>9514</v>
      </c>
      <c r="B9515" s="28" t="e">
        <f>interpola(#REF!,CURVA!$B$6:$B$20,CURVA!$G$6:$G$20)</f>
        <v>#VALUE!</v>
      </c>
      <c r="C9515" s="29" t="e">
        <f t="shared" si="148"/>
        <v>#VALUE!</v>
      </c>
      <c r="E9515" t="e">
        <f>cubic_spline(CURVA!$B$6:$B$20,CURVA!$G$6:$G$20,#REF!)</f>
        <v>#VALUE!</v>
      </c>
    </row>
    <row r="9516" spans="1:5" x14ac:dyDescent="0.2">
      <c r="A9516" s="28">
        <v>9515</v>
      </c>
      <c r="B9516" s="28" t="e">
        <f>interpola(#REF!,CURVA!$B$6:$B$20,CURVA!$G$6:$G$20)</f>
        <v>#VALUE!</v>
      </c>
      <c r="C9516" s="29" t="e">
        <f t="shared" si="148"/>
        <v>#VALUE!</v>
      </c>
      <c r="E9516" t="e">
        <f>cubic_spline(CURVA!$B$6:$B$20,CURVA!$G$6:$G$20,#REF!)</f>
        <v>#VALUE!</v>
      </c>
    </row>
    <row r="9517" spans="1:5" x14ac:dyDescent="0.2">
      <c r="A9517" s="28">
        <v>9516</v>
      </c>
      <c r="B9517" s="28" t="e">
        <f>interpola(#REF!,CURVA!$B$6:$B$20,CURVA!$G$6:$G$20)</f>
        <v>#VALUE!</v>
      </c>
      <c r="C9517" s="29" t="e">
        <f t="shared" si="148"/>
        <v>#VALUE!</v>
      </c>
      <c r="E9517" t="e">
        <f>cubic_spline(CURVA!$B$6:$B$20,CURVA!$G$6:$G$20,#REF!)</f>
        <v>#VALUE!</v>
      </c>
    </row>
    <row r="9518" spans="1:5" x14ac:dyDescent="0.2">
      <c r="A9518" s="28">
        <v>9517</v>
      </c>
      <c r="B9518" s="28" t="e">
        <f>interpola(#REF!,CURVA!$B$6:$B$20,CURVA!$G$6:$G$20)</f>
        <v>#VALUE!</v>
      </c>
      <c r="C9518" s="29" t="e">
        <f t="shared" si="148"/>
        <v>#VALUE!</v>
      </c>
      <c r="E9518" t="e">
        <f>cubic_spline(CURVA!$B$6:$B$20,CURVA!$G$6:$G$20,#REF!)</f>
        <v>#VALUE!</v>
      </c>
    </row>
    <row r="9519" spans="1:5" x14ac:dyDescent="0.2">
      <c r="A9519" s="28">
        <v>9518</v>
      </c>
      <c r="B9519" s="28" t="e">
        <f>interpola(#REF!,CURVA!$B$6:$B$20,CURVA!$G$6:$G$20)</f>
        <v>#VALUE!</v>
      </c>
      <c r="C9519" s="29" t="e">
        <f t="shared" si="148"/>
        <v>#VALUE!</v>
      </c>
      <c r="E9519" t="e">
        <f>cubic_spline(CURVA!$B$6:$B$20,CURVA!$G$6:$G$20,#REF!)</f>
        <v>#VALUE!</v>
      </c>
    </row>
    <row r="9520" spans="1:5" x14ac:dyDescent="0.2">
      <c r="A9520" s="28">
        <v>9519</v>
      </c>
      <c r="B9520" s="28" t="e">
        <f>interpola(#REF!,CURVA!$B$6:$B$20,CURVA!$G$6:$G$20)</f>
        <v>#VALUE!</v>
      </c>
      <c r="C9520" s="29" t="e">
        <f t="shared" si="148"/>
        <v>#VALUE!</v>
      </c>
      <c r="E9520" t="e">
        <f>cubic_spline(CURVA!$B$6:$B$20,CURVA!$G$6:$G$20,#REF!)</f>
        <v>#VALUE!</v>
      </c>
    </row>
    <row r="9521" spans="1:5" x14ac:dyDescent="0.2">
      <c r="A9521" s="28">
        <v>9520</v>
      </c>
      <c r="B9521" s="28" t="e">
        <f>interpola(#REF!,CURVA!$B$6:$B$20,CURVA!$G$6:$G$20)</f>
        <v>#VALUE!</v>
      </c>
      <c r="C9521" s="29" t="e">
        <f t="shared" si="148"/>
        <v>#VALUE!</v>
      </c>
      <c r="E9521" t="e">
        <f>cubic_spline(CURVA!$B$6:$B$20,CURVA!$G$6:$G$20,#REF!)</f>
        <v>#VALUE!</v>
      </c>
    </row>
    <row r="9522" spans="1:5" x14ac:dyDescent="0.2">
      <c r="A9522" s="28">
        <v>9521</v>
      </c>
      <c r="B9522" s="28" t="e">
        <f>interpola(#REF!,CURVA!$B$6:$B$20,CURVA!$G$6:$G$20)</f>
        <v>#VALUE!</v>
      </c>
      <c r="C9522" s="29" t="e">
        <f t="shared" si="148"/>
        <v>#VALUE!</v>
      </c>
      <c r="E9522" t="e">
        <f>cubic_spline(CURVA!$B$6:$B$20,CURVA!$G$6:$G$20,#REF!)</f>
        <v>#VALUE!</v>
      </c>
    </row>
    <row r="9523" spans="1:5" x14ac:dyDescent="0.2">
      <c r="A9523" s="28">
        <v>9522</v>
      </c>
      <c r="B9523" s="28" t="e">
        <f>interpola(#REF!,CURVA!$B$6:$B$20,CURVA!$G$6:$G$20)</f>
        <v>#VALUE!</v>
      </c>
      <c r="C9523" s="29" t="e">
        <f t="shared" si="148"/>
        <v>#VALUE!</v>
      </c>
      <c r="E9523" t="e">
        <f>cubic_spline(CURVA!$B$6:$B$20,CURVA!$G$6:$G$20,#REF!)</f>
        <v>#VALUE!</v>
      </c>
    </row>
    <row r="9524" spans="1:5" x14ac:dyDescent="0.2">
      <c r="A9524" s="28">
        <v>9523</v>
      </c>
      <c r="B9524" s="28" t="e">
        <f>interpola(#REF!,CURVA!$B$6:$B$20,CURVA!$G$6:$G$20)</f>
        <v>#VALUE!</v>
      </c>
      <c r="C9524" s="29" t="e">
        <f t="shared" si="148"/>
        <v>#VALUE!</v>
      </c>
      <c r="E9524" t="e">
        <f>cubic_spline(CURVA!$B$6:$B$20,CURVA!$G$6:$G$20,#REF!)</f>
        <v>#VALUE!</v>
      </c>
    </row>
    <row r="9525" spans="1:5" x14ac:dyDescent="0.2">
      <c r="A9525" s="28">
        <v>9524</v>
      </c>
      <c r="B9525" s="28" t="e">
        <f>interpola(#REF!,CURVA!$B$6:$B$20,CURVA!$G$6:$G$20)</f>
        <v>#VALUE!</v>
      </c>
      <c r="C9525" s="29" t="e">
        <f t="shared" si="148"/>
        <v>#VALUE!</v>
      </c>
      <c r="E9525" t="e">
        <f>cubic_spline(CURVA!$B$6:$B$20,CURVA!$G$6:$G$20,#REF!)</f>
        <v>#VALUE!</v>
      </c>
    </row>
    <row r="9526" spans="1:5" x14ac:dyDescent="0.2">
      <c r="A9526" s="28">
        <v>9525</v>
      </c>
      <c r="B9526" s="28" t="e">
        <f>interpola(#REF!,CURVA!$B$6:$B$20,CURVA!$G$6:$G$20)</f>
        <v>#VALUE!</v>
      </c>
      <c r="C9526" s="29" t="e">
        <f t="shared" si="148"/>
        <v>#VALUE!</v>
      </c>
      <c r="E9526" t="e">
        <f>cubic_spline(CURVA!$B$6:$B$20,CURVA!$G$6:$G$20,#REF!)</f>
        <v>#VALUE!</v>
      </c>
    </row>
    <row r="9527" spans="1:5" x14ac:dyDescent="0.2">
      <c r="A9527" s="28">
        <v>9526</v>
      </c>
      <c r="B9527" s="28" t="e">
        <f>interpola(#REF!,CURVA!$B$6:$B$20,CURVA!$G$6:$G$20)</f>
        <v>#VALUE!</v>
      </c>
      <c r="C9527" s="29" t="e">
        <f t="shared" si="148"/>
        <v>#VALUE!</v>
      </c>
      <c r="E9527" t="e">
        <f>cubic_spline(CURVA!$B$6:$B$20,CURVA!$G$6:$G$20,#REF!)</f>
        <v>#VALUE!</v>
      </c>
    </row>
    <row r="9528" spans="1:5" x14ac:dyDescent="0.2">
      <c r="A9528" s="28">
        <v>9527</v>
      </c>
      <c r="B9528" s="28" t="e">
        <f>interpola(#REF!,CURVA!$B$6:$B$20,CURVA!$G$6:$G$20)</f>
        <v>#VALUE!</v>
      </c>
      <c r="C9528" s="29" t="e">
        <f t="shared" si="148"/>
        <v>#VALUE!</v>
      </c>
      <c r="E9528" t="e">
        <f>cubic_spline(CURVA!$B$6:$B$20,CURVA!$G$6:$G$20,#REF!)</f>
        <v>#VALUE!</v>
      </c>
    </row>
    <row r="9529" spans="1:5" x14ac:dyDescent="0.2">
      <c r="A9529" s="28">
        <v>9528</v>
      </c>
      <c r="B9529" s="28" t="e">
        <f>interpola(#REF!,CURVA!$B$6:$B$20,CURVA!$G$6:$G$20)</f>
        <v>#VALUE!</v>
      </c>
      <c r="C9529" s="29" t="e">
        <f t="shared" si="148"/>
        <v>#VALUE!</v>
      </c>
      <c r="E9529" t="e">
        <f>cubic_spline(CURVA!$B$6:$B$20,CURVA!$G$6:$G$20,#REF!)</f>
        <v>#VALUE!</v>
      </c>
    </row>
    <row r="9530" spans="1:5" x14ac:dyDescent="0.2">
      <c r="A9530" s="28">
        <v>9529</v>
      </c>
      <c r="B9530" s="28" t="e">
        <f>interpola(#REF!,CURVA!$B$6:$B$20,CURVA!$G$6:$G$20)</f>
        <v>#VALUE!</v>
      </c>
      <c r="C9530" s="29" t="e">
        <f t="shared" si="148"/>
        <v>#VALUE!</v>
      </c>
      <c r="E9530" t="e">
        <f>cubic_spline(CURVA!$B$6:$B$20,CURVA!$G$6:$G$20,#REF!)</f>
        <v>#VALUE!</v>
      </c>
    </row>
    <row r="9531" spans="1:5" x14ac:dyDescent="0.2">
      <c r="A9531" s="28">
        <v>9530</v>
      </c>
      <c r="B9531" s="28" t="e">
        <f>interpola(#REF!,CURVA!$B$6:$B$20,CURVA!$G$6:$G$20)</f>
        <v>#VALUE!</v>
      </c>
      <c r="C9531" s="29" t="e">
        <f t="shared" si="148"/>
        <v>#VALUE!</v>
      </c>
      <c r="E9531" t="e">
        <f>cubic_spline(CURVA!$B$6:$B$20,CURVA!$G$6:$G$20,#REF!)</f>
        <v>#VALUE!</v>
      </c>
    </row>
    <row r="9532" spans="1:5" x14ac:dyDescent="0.2">
      <c r="A9532" s="28">
        <v>9531</v>
      </c>
      <c r="B9532" s="28" t="e">
        <f>interpola(#REF!,CURVA!$B$6:$B$20,CURVA!$G$6:$G$20)</f>
        <v>#VALUE!</v>
      </c>
      <c r="C9532" s="29" t="e">
        <f t="shared" si="148"/>
        <v>#VALUE!</v>
      </c>
      <c r="E9532" t="e">
        <f>cubic_spline(CURVA!$B$6:$B$20,CURVA!$G$6:$G$20,#REF!)</f>
        <v>#VALUE!</v>
      </c>
    </row>
    <row r="9533" spans="1:5" x14ac:dyDescent="0.2">
      <c r="A9533" s="28">
        <v>9532</v>
      </c>
      <c r="B9533" s="28" t="e">
        <f>interpola(#REF!,CURVA!$B$6:$B$20,CURVA!$G$6:$G$20)</f>
        <v>#VALUE!</v>
      </c>
      <c r="C9533" s="29" t="e">
        <f t="shared" si="148"/>
        <v>#VALUE!</v>
      </c>
      <c r="E9533" t="e">
        <f>cubic_spline(CURVA!$B$6:$B$20,CURVA!$G$6:$G$20,#REF!)</f>
        <v>#VALUE!</v>
      </c>
    </row>
    <row r="9534" spans="1:5" x14ac:dyDescent="0.2">
      <c r="A9534" s="28">
        <v>9533</v>
      </c>
      <c r="B9534" s="28" t="e">
        <f>interpola(#REF!,CURVA!$B$6:$B$20,CURVA!$G$6:$G$20)</f>
        <v>#VALUE!</v>
      </c>
      <c r="C9534" s="29" t="e">
        <f t="shared" si="148"/>
        <v>#VALUE!</v>
      </c>
      <c r="E9534" t="e">
        <f>cubic_spline(CURVA!$B$6:$B$20,CURVA!$G$6:$G$20,#REF!)</f>
        <v>#VALUE!</v>
      </c>
    </row>
    <row r="9535" spans="1:5" x14ac:dyDescent="0.2">
      <c r="A9535" s="28">
        <v>9534</v>
      </c>
      <c r="B9535" s="28" t="e">
        <f>interpola(#REF!,CURVA!$B$6:$B$20,CURVA!$G$6:$G$20)</f>
        <v>#VALUE!</v>
      </c>
      <c r="C9535" s="29" t="e">
        <f t="shared" si="148"/>
        <v>#VALUE!</v>
      </c>
      <c r="E9535" t="e">
        <f>cubic_spline(CURVA!$B$6:$B$20,CURVA!$G$6:$G$20,#REF!)</f>
        <v>#VALUE!</v>
      </c>
    </row>
    <row r="9536" spans="1:5" x14ac:dyDescent="0.2">
      <c r="A9536" s="28">
        <v>9535</v>
      </c>
      <c r="B9536" s="28" t="e">
        <f>interpola(#REF!,CURVA!$B$6:$B$20,CURVA!$G$6:$G$20)</f>
        <v>#VALUE!</v>
      </c>
      <c r="C9536" s="29" t="e">
        <f t="shared" si="148"/>
        <v>#VALUE!</v>
      </c>
      <c r="E9536" t="e">
        <f>cubic_spline(CURVA!$B$6:$B$20,CURVA!$G$6:$G$20,#REF!)</f>
        <v>#VALUE!</v>
      </c>
    </row>
    <row r="9537" spans="1:5" x14ac:dyDescent="0.2">
      <c r="A9537" s="28">
        <v>9536</v>
      </c>
      <c r="B9537" s="28" t="e">
        <f>interpola(#REF!,CURVA!$B$6:$B$20,CURVA!$G$6:$G$20)</f>
        <v>#VALUE!</v>
      </c>
      <c r="C9537" s="29" t="e">
        <f t="shared" si="148"/>
        <v>#VALUE!</v>
      </c>
      <c r="E9537" t="e">
        <f>cubic_spline(CURVA!$B$6:$B$20,CURVA!$G$6:$G$20,#REF!)</f>
        <v>#VALUE!</v>
      </c>
    </row>
    <row r="9538" spans="1:5" x14ac:dyDescent="0.2">
      <c r="A9538" s="28">
        <v>9537</v>
      </c>
      <c r="B9538" s="28" t="e">
        <f>interpola(#REF!,CURVA!$B$6:$B$20,CURVA!$G$6:$G$20)</f>
        <v>#VALUE!</v>
      </c>
      <c r="C9538" s="29" t="e">
        <f t="shared" ref="C9538:C9601" si="149">(EXP(B9538*A9538/360)-1)*360/A9538</f>
        <v>#VALUE!</v>
      </c>
      <c r="E9538" t="e">
        <f>cubic_spline(CURVA!$B$6:$B$20,CURVA!$G$6:$G$20,#REF!)</f>
        <v>#VALUE!</v>
      </c>
    </row>
    <row r="9539" spans="1:5" x14ac:dyDescent="0.2">
      <c r="A9539" s="28">
        <v>9538</v>
      </c>
      <c r="B9539" s="28" t="e">
        <f>interpola(#REF!,CURVA!$B$6:$B$20,CURVA!$G$6:$G$20)</f>
        <v>#VALUE!</v>
      </c>
      <c r="C9539" s="29" t="e">
        <f t="shared" si="149"/>
        <v>#VALUE!</v>
      </c>
      <c r="E9539" t="e">
        <f>cubic_spline(CURVA!$B$6:$B$20,CURVA!$G$6:$G$20,#REF!)</f>
        <v>#VALUE!</v>
      </c>
    </row>
    <row r="9540" spans="1:5" x14ac:dyDescent="0.2">
      <c r="A9540" s="28">
        <v>9539</v>
      </c>
      <c r="B9540" s="28" t="e">
        <f>interpola(#REF!,CURVA!$B$6:$B$20,CURVA!$G$6:$G$20)</f>
        <v>#VALUE!</v>
      </c>
      <c r="C9540" s="29" t="e">
        <f t="shared" si="149"/>
        <v>#VALUE!</v>
      </c>
      <c r="E9540" t="e">
        <f>cubic_spline(CURVA!$B$6:$B$20,CURVA!$G$6:$G$20,#REF!)</f>
        <v>#VALUE!</v>
      </c>
    </row>
    <row r="9541" spans="1:5" x14ac:dyDescent="0.2">
      <c r="A9541" s="28">
        <v>9540</v>
      </c>
      <c r="B9541" s="28" t="e">
        <f>interpola(#REF!,CURVA!$B$6:$B$20,CURVA!$G$6:$G$20)</f>
        <v>#VALUE!</v>
      </c>
      <c r="C9541" s="29" t="e">
        <f t="shared" si="149"/>
        <v>#VALUE!</v>
      </c>
      <c r="E9541" t="e">
        <f>cubic_spline(CURVA!$B$6:$B$20,CURVA!$G$6:$G$20,#REF!)</f>
        <v>#VALUE!</v>
      </c>
    </row>
    <row r="9542" spans="1:5" x14ac:dyDescent="0.2">
      <c r="A9542" s="28">
        <v>9541</v>
      </c>
      <c r="B9542" s="28" t="e">
        <f>interpola(#REF!,CURVA!$B$6:$B$20,CURVA!$G$6:$G$20)</f>
        <v>#VALUE!</v>
      </c>
      <c r="C9542" s="29" t="e">
        <f t="shared" si="149"/>
        <v>#VALUE!</v>
      </c>
      <c r="E9542" t="e">
        <f>cubic_spline(CURVA!$B$6:$B$20,CURVA!$G$6:$G$20,#REF!)</f>
        <v>#VALUE!</v>
      </c>
    </row>
    <row r="9543" spans="1:5" x14ac:dyDescent="0.2">
      <c r="A9543" s="28">
        <v>9542</v>
      </c>
      <c r="B9543" s="28" t="e">
        <f>interpola(#REF!,CURVA!$B$6:$B$20,CURVA!$G$6:$G$20)</f>
        <v>#VALUE!</v>
      </c>
      <c r="C9543" s="29" t="e">
        <f t="shared" si="149"/>
        <v>#VALUE!</v>
      </c>
      <c r="E9543" t="e">
        <f>cubic_spline(CURVA!$B$6:$B$20,CURVA!$G$6:$G$20,#REF!)</f>
        <v>#VALUE!</v>
      </c>
    </row>
    <row r="9544" spans="1:5" x14ac:dyDescent="0.2">
      <c r="A9544" s="28">
        <v>9543</v>
      </c>
      <c r="B9544" s="28" t="e">
        <f>interpola(#REF!,CURVA!$B$6:$B$20,CURVA!$G$6:$G$20)</f>
        <v>#VALUE!</v>
      </c>
      <c r="C9544" s="29" t="e">
        <f t="shared" si="149"/>
        <v>#VALUE!</v>
      </c>
      <c r="E9544" t="e">
        <f>cubic_spline(CURVA!$B$6:$B$20,CURVA!$G$6:$G$20,#REF!)</f>
        <v>#VALUE!</v>
      </c>
    </row>
    <row r="9545" spans="1:5" x14ac:dyDescent="0.2">
      <c r="A9545" s="28">
        <v>9544</v>
      </c>
      <c r="B9545" s="28" t="e">
        <f>interpola(#REF!,CURVA!$B$6:$B$20,CURVA!$G$6:$G$20)</f>
        <v>#VALUE!</v>
      </c>
      <c r="C9545" s="29" t="e">
        <f t="shared" si="149"/>
        <v>#VALUE!</v>
      </c>
      <c r="E9545" t="e">
        <f>cubic_spline(CURVA!$B$6:$B$20,CURVA!$G$6:$G$20,#REF!)</f>
        <v>#VALUE!</v>
      </c>
    </row>
    <row r="9546" spans="1:5" x14ac:dyDescent="0.2">
      <c r="A9546" s="28">
        <v>9545</v>
      </c>
      <c r="B9546" s="28" t="e">
        <f>interpola(#REF!,CURVA!$B$6:$B$20,CURVA!$G$6:$G$20)</f>
        <v>#VALUE!</v>
      </c>
      <c r="C9546" s="29" t="e">
        <f t="shared" si="149"/>
        <v>#VALUE!</v>
      </c>
      <c r="E9546" t="e">
        <f>cubic_spline(CURVA!$B$6:$B$20,CURVA!$G$6:$G$20,#REF!)</f>
        <v>#VALUE!</v>
      </c>
    </row>
    <row r="9547" spans="1:5" x14ac:dyDescent="0.2">
      <c r="A9547" s="28">
        <v>9546</v>
      </c>
      <c r="B9547" s="28" t="e">
        <f>interpola(#REF!,CURVA!$B$6:$B$20,CURVA!$G$6:$G$20)</f>
        <v>#VALUE!</v>
      </c>
      <c r="C9547" s="29" t="e">
        <f t="shared" si="149"/>
        <v>#VALUE!</v>
      </c>
      <c r="E9547" t="e">
        <f>cubic_spline(CURVA!$B$6:$B$20,CURVA!$G$6:$G$20,#REF!)</f>
        <v>#VALUE!</v>
      </c>
    </row>
    <row r="9548" spans="1:5" x14ac:dyDescent="0.2">
      <c r="A9548" s="28">
        <v>9547</v>
      </c>
      <c r="B9548" s="28" t="e">
        <f>interpola(#REF!,CURVA!$B$6:$B$20,CURVA!$G$6:$G$20)</f>
        <v>#VALUE!</v>
      </c>
      <c r="C9548" s="29" t="e">
        <f t="shared" si="149"/>
        <v>#VALUE!</v>
      </c>
      <c r="E9548" t="e">
        <f>cubic_spline(CURVA!$B$6:$B$20,CURVA!$G$6:$G$20,#REF!)</f>
        <v>#VALUE!</v>
      </c>
    </row>
    <row r="9549" spans="1:5" x14ac:dyDescent="0.2">
      <c r="A9549" s="28">
        <v>9548</v>
      </c>
      <c r="B9549" s="28" t="e">
        <f>interpola(#REF!,CURVA!$B$6:$B$20,CURVA!$G$6:$G$20)</f>
        <v>#VALUE!</v>
      </c>
      <c r="C9549" s="29" t="e">
        <f t="shared" si="149"/>
        <v>#VALUE!</v>
      </c>
      <c r="E9549" t="e">
        <f>cubic_spline(CURVA!$B$6:$B$20,CURVA!$G$6:$G$20,#REF!)</f>
        <v>#VALUE!</v>
      </c>
    </row>
    <row r="9550" spans="1:5" x14ac:dyDescent="0.2">
      <c r="A9550" s="28">
        <v>9549</v>
      </c>
      <c r="B9550" s="28" t="e">
        <f>interpola(#REF!,CURVA!$B$6:$B$20,CURVA!$G$6:$G$20)</f>
        <v>#VALUE!</v>
      </c>
      <c r="C9550" s="29" t="e">
        <f t="shared" si="149"/>
        <v>#VALUE!</v>
      </c>
      <c r="E9550" t="e">
        <f>cubic_spline(CURVA!$B$6:$B$20,CURVA!$G$6:$G$20,#REF!)</f>
        <v>#VALUE!</v>
      </c>
    </row>
    <row r="9551" spans="1:5" x14ac:dyDescent="0.2">
      <c r="A9551" s="28">
        <v>9550</v>
      </c>
      <c r="B9551" s="28" t="e">
        <f>interpola(#REF!,CURVA!$B$6:$B$20,CURVA!$G$6:$G$20)</f>
        <v>#VALUE!</v>
      </c>
      <c r="C9551" s="29" t="e">
        <f t="shared" si="149"/>
        <v>#VALUE!</v>
      </c>
      <c r="E9551" t="e">
        <f>cubic_spline(CURVA!$B$6:$B$20,CURVA!$G$6:$G$20,#REF!)</f>
        <v>#VALUE!</v>
      </c>
    </row>
    <row r="9552" spans="1:5" x14ac:dyDescent="0.2">
      <c r="A9552" s="28">
        <v>9551</v>
      </c>
      <c r="B9552" s="28" t="e">
        <f>interpola(#REF!,CURVA!$B$6:$B$20,CURVA!$G$6:$G$20)</f>
        <v>#VALUE!</v>
      </c>
      <c r="C9552" s="29" t="e">
        <f t="shared" si="149"/>
        <v>#VALUE!</v>
      </c>
      <c r="E9552" t="e">
        <f>cubic_spline(CURVA!$B$6:$B$20,CURVA!$G$6:$G$20,#REF!)</f>
        <v>#VALUE!</v>
      </c>
    </row>
    <row r="9553" spans="1:5" x14ac:dyDescent="0.2">
      <c r="A9553" s="28">
        <v>9552</v>
      </c>
      <c r="B9553" s="28" t="e">
        <f>interpola(#REF!,CURVA!$B$6:$B$20,CURVA!$G$6:$G$20)</f>
        <v>#VALUE!</v>
      </c>
      <c r="C9553" s="29" t="e">
        <f t="shared" si="149"/>
        <v>#VALUE!</v>
      </c>
      <c r="E9553" t="e">
        <f>cubic_spline(CURVA!$B$6:$B$20,CURVA!$G$6:$G$20,#REF!)</f>
        <v>#VALUE!</v>
      </c>
    </row>
    <row r="9554" spans="1:5" x14ac:dyDescent="0.2">
      <c r="A9554" s="28">
        <v>9553</v>
      </c>
      <c r="B9554" s="28" t="e">
        <f>interpola(#REF!,CURVA!$B$6:$B$20,CURVA!$G$6:$G$20)</f>
        <v>#VALUE!</v>
      </c>
      <c r="C9554" s="29" t="e">
        <f t="shared" si="149"/>
        <v>#VALUE!</v>
      </c>
      <c r="E9554" t="e">
        <f>cubic_spline(CURVA!$B$6:$B$20,CURVA!$G$6:$G$20,#REF!)</f>
        <v>#VALUE!</v>
      </c>
    </row>
    <row r="9555" spans="1:5" x14ac:dyDescent="0.2">
      <c r="A9555" s="28">
        <v>9554</v>
      </c>
      <c r="B9555" s="28" t="e">
        <f>interpola(#REF!,CURVA!$B$6:$B$20,CURVA!$G$6:$G$20)</f>
        <v>#VALUE!</v>
      </c>
      <c r="C9555" s="29" t="e">
        <f t="shared" si="149"/>
        <v>#VALUE!</v>
      </c>
      <c r="E9555" t="e">
        <f>cubic_spline(CURVA!$B$6:$B$20,CURVA!$G$6:$G$20,#REF!)</f>
        <v>#VALUE!</v>
      </c>
    </row>
    <row r="9556" spans="1:5" x14ac:dyDescent="0.2">
      <c r="A9556" s="28">
        <v>9555</v>
      </c>
      <c r="B9556" s="28" t="e">
        <f>interpola(#REF!,CURVA!$B$6:$B$20,CURVA!$G$6:$G$20)</f>
        <v>#VALUE!</v>
      </c>
      <c r="C9556" s="29" t="e">
        <f t="shared" si="149"/>
        <v>#VALUE!</v>
      </c>
      <c r="E9556" t="e">
        <f>cubic_spline(CURVA!$B$6:$B$20,CURVA!$G$6:$G$20,#REF!)</f>
        <v>#VALUE!</v>
      </c>
    </row>
    <row r="9557" spans="1:5" x14ac:dyDescent="0.2">
      <c r="A9557" s="28">
        <v>9556</v>
      </c>
      <c r="B9557" s="28" t="e">
        <f>interpola(#REF!,CURVA!$B$6:$B$20,CURVA!$G$6:$G$20)</f>
        <v>#VALUE!</v>
      </c>
      <c r="C9557" s="29" t="e">
        <f t="shared" si="149"/>
        <v>#VALUE!</v>
      </c>
      <c r="E9557" t="e">
        <f>cubic_spline(CURVA!$B$6:$B$20,CURVA!$G$6:$G$20,#REF!)</f>
        <v>#VALUE!</v>
      </c>
    </row>
    <row r="9558" spans="1:5" x14ac:dyDescent="0.2">
      <c r="A9558" s="28">
        <v>9557</v>
      </c>
      <c r="B9558" s="28" t="e">
        <f>interpola(#REF!,CURVA!$B$6:$B$20,CURVA!$G$6:$G$20)</f>
        <v>#VALUE!</v>
      </c>
      <c r="C9558" s="29" t="e">
        <f t="shared" si="149"/>
        <v>#VALUE!</v>
      </c>
      <c r="E9558" t="e">
        <f>cubic_spline(CURVA!$B$6:$B$20,CURVA!$G$6:$G$20,#REF!)</f>
        <v>#VALUE!</v>
      </c>
    </row>
    <row r="9559" spans="1:5" x14ac:dyDescent="0.2">
      <c r="A9559" s="28">
        <v>9558</v>
      </c>
      <c r="B9559" s="28" t="e">
        <f>interpola(#REF!,CURVA!$B$6:$B$20,CURVA!$G$6:$G$20)</f>
        <v>#VALUE!</v>
      </c>
      <c r="C9559" s="29" t="e">
        <f t="shared" si="149"/>
        <v>#VALUE!</v>
      </c>
      <c r="E9559" t="e">
        <f>cubic_spline(CURVA!$B$6:$B$20,CURVA!$G$6:$G$20,#REF!)</f>
        <v>#VALUE!</v>
      </c>
    </row>
    <row r="9560" spans="1:5" x14ac:dyDescent="0.2">
      <c r="A9560" s="28">
        <v>9559</v>
      </c>
      <c r="B9560" s="28" t="e">
        <f>interpola(#REF!,CURVA!$B$6:$B$20,CURVA!$G$6:$G$20)</f>
        <v>#VALUE!</v>
      </c>
      <c r="C9560" s="29" t="e">
        <f t="shared" si="149"/>
        <v>#VALUE!</v>
      </c>
      <c r="E9560" t="e">
        <f>cubic_spline(CURVA!$B$6:$B$20,CURVA!$G$6:$G$20,#REF!)</f>
        <v>#VALUE!</v>
      </c>
    </row>
    <row r="9561" spans="1:5" x14ac:dyDescent="0.2">
      <c r="A9561" s="28">
        <v>9560</v>
      </c>
      <c r="B9561" s="28" t="e">
        <f>interpola(#REF!,CURVA!$B$6:$B$20,CURVA!$G$6:$G$20)</f>
        <v>#VALUE!</v>
      </c>
      <c r="C9561" s="29" t="e">
        <f t="shared" si="149"/>
        <v>#VALUE!</v>
      </c>
      <c r="E9561" t="e">
        <f>cubic_spline(CURVA!$B$6:$B$20,CURVA!$G$6:$G$20,#REF!)</f>
        <v>#VALUE!</v>
      </c>
    </row>
    <row r="9562" spans="1:5" x14ac:dyDescent="0.2">
      <c r="A9562" s="28">
        <v>9561</v>
      </c>
      <c r="B9562" s="28" t="e">
        <f>interpola(#REF!,CURVA!$B$6:$B$20,CURVA!$G$6:$G$20)</f>
        <v>#VALUE!</v>
      </c>
      <c r="C9562" s="29" t="e">
        <f t="shared" si="149"/>
        <v>#VALUE!</v>
      </c>
      <c r="E9562" t="e">
        <f>cubic_spline(CURVA!$B$6:$B$20,CURVA!$G$6:$G$20,#REF!)</f>
        <v>#VALUE!</v>
      </c>
    </row>
    <row r="9563" spans="1:5" x14ac:dyDescent="0.2">
      <c r="A9563" s="28">
        <v>9562</v>
      </c>
      <c r="B9563" s="28" t="e">
        <f>interpola(#REF!,CURVA!$B$6:$B$20,CURVA!$G$6:$G$20)</f>
        <v>#VALUE!</v>
      </c>
      <c r="C9563" s="29" t="e">
        <f t="shared" si="149"/>
        <v>#VALUE!</v>
      </c>
      <c r="E9563" t="e">
        <f>cubic_spline(CURVA!$B$6:$B$20,CURVA!$G$6:$G$20,#REF!)</f>
        <v>#VALUE!</v>
      </c>
    </row>
    <row r="9564" spans="1:5" x14ac:dyDescent="0.2">
      <c r="A9564" s="28">
        <v>9563</v>
      </c>
      <c r="B9564" s="28" t="e">
        <f>interpola(#REF!,CURVA!$B$6:$B$20,CURVA!$G$6:$G$20)</f>
        <v>#VALUE!</v>
      </c>
      <c r="C9564" s="29" t="e">
        <f t="shared" si="149"/>
        <v>#VALUE!</v>
      </c>
      <c r="E9564" t="e">
        <f>cubic_spline(CURVA!$B$6:$B$20,CURVA!$G$6:$G$20,#REF!)</f>
        <v>#VALUE!</v>
      </c>
    </row>
    <row r="9565" spans="1:5" x14ac:dyDescent="0.2">
      <c r="A9565" s="28">
        <v>9564</v>
      </c>
      <c r="B9565" s="28" t="e">
        <f>interpola(#REF!,CURVA!$B$6:$B$20,CURVA!$G$6:$G$20)</f>
        <v>#VALUE!</v>
      </c>
      <c r="C9565" s="29" t="e">
        <f t="shared" si="149"/>
        <v>#VALUE!</v>
      </c>
      <c r="E9565" t="e">
        <f>cubic_spline(CURVA!$B$6:$B$20,CURVA!$G$6:$G$20,#REF!)</f>
        <v>#VALUE!</v>
      </c>
    </row>
    <row r="9566" spans="1:5" x14ac:dyDescent="0.2">
      <c r="A9566" s="28">
        <v>9565</v>
      </c>
      <c r="B9566" s="28" t="e">
        <f>interpola(#REF!,CURVA!$B$6:$B$20,CURVA!$G$6:$G$20)</f>
        <v>#VALUE!</v>
      </c>
      <c r="C9566" s="29" t="e">
        <f t="shared" si="149"/>
        <v>#VALUE!</v>
      </c>
      <c r="E9566" t="e">
        <f>cubic_spline(CURVA!$B$6:$B$20,CURVA!$G$6:$G$20,#REF!)</f>
        <v>#VALUE!</v>
      </c>
    </row>
    <row r="9567" spans="1:5" x14ac:dyDescent="0.2">
      <c r="A9567" s="28">
        <v>9566</v>
      </c>
      <c r="B9567" s="28" t="e">
        <f>interpola(#REF!,CURVA!$B$6:$B$20,CURVA!$G$6:$G$20)</f>
        <v>#VALUE!</v>
      </c>
      <c r="C9567" s="29" t="e">
        <f t="shared" si="149"/>
        <v>#VALUE!</v>
      </c>
      <c r="E9567" t="e">
        <f>cubic_spline(CURVA!$B$6:$B$20,CURVA!$G$6:$G$20,#REF!)</f>
        <v>#VALUE!</v>
      </c>
    </row>
    <row r="9568" spans="1:5" x14ac:dyDescent="0.2">
      <c r="A9568" s="28">
        <v>9567</v>
      </c>
      <c r="B9568" s="28" t="e">
        <f>interpola(#REF!,CURVA!$B$6:$B$20,CURVA!$G$6:$G$20)</f>
        <v>#VALUE!</v>
      </c>
      <c r="C9568" s="29" t="e">
        <f t="shared" si="149"/>
        <v>#VALUE!</v>
      </c>
      <c r="E9568" t="e">
        <f>cubic_spline(CURVA!$B$6:$B$20,CURVA!$G$6:$G$20,#REF!)</f>
        <v>#VALUE!</v>
      </c>
    </row>
    <row r="9569" spans="1:5" x14ac:dyDescent="0.2">
      <c r="A9569" s="28">
        <v>9568</v>
      </c>
      <c r="B9569" s="28" t="e">
        <f>interpola(#REF!,CURVA!$B$6:$B$20,CURVA!$G$6:$G$20)</f>
        <v>#VALUE!</v>
      </c>
      <c r="C9569" s="29" t="e">
        <f t="shared" si="149"/>
        <v>#VALUE!</v>
      </c>
      <c r="E9569" t="e">
        <f>cubic_spline(CURVA!$B$6:$B$20,CURVA!$G$6:$G$20,#REF!)</f>
        <v>#VALUE!</v>
      </c>
    </row>
    <row r="9570" spans="1:5" x14ac:dyDescent="0.2">
      <c r="A9570" s="28">
        <v>9569</v>
      </c>
      <c r="B9570" s="28" t="e">
        <f>interpola(#REF!,CURVA!$B$6:$B$20,CURVA!$G$6:$G$20)</f>
        <v>#VALUE!</v>
      </c>
      <c r="C9570" s="29" t="e">
        <f t="shared" si="149"/>
        <v>#VALUE!</v>
      </c>
      <c r="E9570" t="e">
        <f>cubic_spline(CURVA!$B$6:$B$20,CURVA!$G$6:$G$20,#REF!)</f>
        <v>#VALUE!</v>
      </c>
    </row>
    <row r="9571" spans="1:5" x14ac:dyDescent="0.2">
      <c r="A9571" s="28">
        <v>9570</v>
      </c>
      <c r="B9571" s="28" t="e">
        <f>interpola(#REF!,CURVA!$B$6:$B$20,CURVA!$G$6:$G$20)</f>
        <v>#VALUE!</v>
      </c>
      <c r="C9571" s="29" t="e">
        <f t="shared" si="149"/>
        <v>#VALUE!</v>
      </c>
      <c r="E9571" t="e">
        <f>cubic_spline(CURVA!$B$6:$B$20,CURVA!$G$6:$G$20,#REF!)</f>
        <v>#VALUE!</v>
      </c>
    </row>
    <row r="9572" spans="1:5" x14ac:dyDescent="0.2">
      <c r="A9572" s="28">
        <v>9571</v>
      </c>
      <c r="B9572" s="28" t="e">
        <f>interpola(#REF!,CURVA!$B$6:$B$20,CURVA!$G$6:$G$20)</f>
        <v>#VALUE!</v>
      </c>
      <c r="C9572" s="29" t="e">
        <f t="shared" si="149"/>
        <v>#VALUE!</v>
      </c>
      <c r="E9572" t="e">
        <f>cubic_spline(CURVA!$B$6:$B$20,CURVA!$G$6:$G$20,#REF!)</f>
        <v>#VALUE!</v>
      </c>
    </row>
    <row r="9573" spans="1:5" x14ac:dyDescent="0.2">
      <c r="A9573" s="28">
        <v>9572</v>
      </c>
      <c r="B9573" s="28" t="e">
        <f>interpola(#REF!,CURVA!$B$6:$B$20,CURVA!$G$6:$G$20)</f>
        <v>#VALUE!</v>
      </c>
      <c r="C9573" s="29" t="e">
        <f t="shared" si="149"/>
        <v>#VALUE!</v>
      </c>
      <c r="E9573" t="e">
        <f>cubic_spline(CURVA!$B$6:$B$20,CURVA!$G$6:$G$20,#REF!)</f>
        <v>#VALUE!</v>
      </c>
    </row>
    <row r="9574" spans="1:5" x14ac:dyDescent="0.2">
      <c r="A9574" s="28">
        <v>9573</v>
      </c>
      <c r="B9574" s="28" t="e">
        <f>interpola(#REF!,CURVA!$B$6:$B$20,CURVA!$G$6:$G$20)</f>
        <v>#VALUE!</v>
      </c>
      <c r="C9574" s="29" t="e">
        <f t="shared" si="149"/>
        <v>#VALUE!</v>
      </c>
      <c r="E9574" t="e">
        <f>cubic_spline(CURVA!$B$6:$B$20,CURVA!$G$6:$G$20,#REF!)</f>
        <v>#VALUE!</v>
      </c>
    </row>
    <row r="9575" spans="1:5" x14ac:dyDescent="0.2">
      <c r="A9575" s="28">
        <v>9574</v>
      </c>
      <c r="B9575" s="28" t="e">
        <f>interpola(#REF!,CURVA!$B$6:$B$20,CURVA!$G$6:$G$20)</f>
        <v>#VALUE!</v>
      </c>
      <c r="C9575" s="29" t="e">
        <f t="shared" si="149"/>
        <v>#VALUE!</v>
      </c>
      <c r="E9575" t="e">
        <f>cubic_spline(CURVA!$B$6:$B$20,CURVA!$G$6:$G$20,#REF!)</f>
        <v>#VALUE!</v>
      </c>
    </row>
    <row r="9576" spans="1:5" x14ac:dyDescent="0.2">
      <c r="A9576" s="28">
        <v>9575</v>
      </c>
      <c r="B9576" s="28" t="e">
        <f>interpola(#REF!,CURVA!$B$6:$B$20,CURVA!$G$6:$G$20)</f>
        <v>#VALUE!</v>
      </c>
      <c r="C9576" s="29" t="e">
        <f t="shared" si="149"/>
        <v>#VALUE!</v>
      </c>
      <c r="E9576" t="e">
        <f>cubic_spline(CURVA!$B$6:$B$20,CURVA!$G$6:$G$20,#REF!)</f>
        <v>#VALUE!</v>
      </c>
    </row>
    <row r="9577" spans="1:5" x14ac:dyDescent="0.2">
      <c r="A9577" s="28">
        <v>9576</v>
      </c>
      <c r="B9577" s="28" t="e">
        <f>interpola(#REF!,CURVA!$B$6:$B$20,CURVA!$G$6:$G$20)</f>
        <v>#VALUE!</v>
      </c>
      <c r="C9577" s="29" t="e">
        <f t="shared" si="149"/>
        <v>#VALUE!</v>
      </c>
      <c r="E9577" t="e">
        <f>cubic_spline(CURVA!$B$6:$B$20,CURVA!$G$6:$G$20,#REF!)</f>
        <v>#VALUE!</v>
      </c>
    </row>
    <row r="9578" spans="1:5" x14ac:dyDescent="0.2">
      <c r="A9578" s="28">
        <v>9577</v>
      </c>
      <c r="B9578" s="28" t="e">
        <f>interpola(#REF!,CURVA!$B$6:$B$20,CURVA!$G$6:$G$20)</f>
        <v>#VALUE!</v>
      </c>
      <c r="C9578" s="29" t="e">
        <f t="shared" si="149"/>
        <v>#VALUE!</v>
      </c>
      <c r="E9578" t="e">
        <f>cubic_spline(CURVA!$B$6:$B$20,CURVA!$G$6:$G$20,#REF!)</f>
        <v>#VALUE!</v>
      </c>
    </row>
    <row r="9579" spans="1:5" x14ac:dyDescent="0.2">
      <c r="A9579" s="28">
        <v>9578</v>
      </c>
      <c r="B9579" s="28" t="e">
        <f>interpola(#REF!,CURVA!$B$6:$B$20,CURVA!$G$6:$G$20)</f>
        <v>#VALUE!</v>
      </c>
      <c r="C9579" s="29" t="e">
        <f t="shared" si="149"/>
        <v>#VALUE!</v>
      </c>
      <c r="E9579" t="e">
        <f>cubic_spline(CURVA!$B$6:$B$20,CURVA!$G$6:$G$20,#REF!)</f>
        <v>#VALUE!</v>
      </c>
    </row>
    <row r="9580" spans="1:5" x14ac:dyDescent="0.2">
      <c r="A9580" s="28">
        <v>9579</v>
      </c>
      <c r="B9580" s="28" t="e">
        <f>interpola(#REF!,CURVA!$B$6:$B$20,CURVA!$G$6:$G$20)</f>
        <v>#VALUE!</v>
      </c>
      <c r="C9580" s="29" t="e">
        <f t="shared" si="149"/>
        <v>#VALUE!</v>
      </c>
      <c r="E9580" t="e">
        <f>cubic_spline(CURVA!$B$6:$B$20,CURVA!$G$6:$G$20,#REF!)</f>
        <v>#VALUE!</v>
      </c>
    </row>
    <row r="9581" spans="1:5" x14ac:dyDescent="0.2">
      <c r="A9581" s="28">
        <v>9580</v>
      </c>
      <c r="B9581" s="28" t="e">
        <f>interpola(#REF!,CURVA!$B$6:$B$20,CURVA!$G$6:$G$20)</f>
        <v>#VALUE!</v>
      </c>
      <c r="C9581" s="29" t="e">
        <f t="shared" si="149"/>
        <v>#VALUE!</v>
      </c>
      <c r="E9581" t="e">
        <f>cubic_spline(CURVA!$B$6:$B$20,CURVA!$G$6:$G$20,#REF!)</f>
        <v>#VALUE!</v>
      </c>
    </row>
    <row r="9582" spans="1:5" x14ac:dyDescent="0.2">
      <c r="A9582" s="28">
        <v>9581</v>
      </c>
      <c r="B9582" s="28" t="e">
        <f>interpola(#REF!,CURVA!$B$6:$B$20,CURVA!$G$6:$G$20)</f>
        <v>#VALUE!</v>
      </c>
      <c r="C9582" s="29" t="e">
        <f t="shared" si="149"/>
        <v>#VALUE!</v>
      </c>
      <c r="E9582" t="e">
        <f>cubic_spline(CURVA!$B$6:$B$20,CURVA!$G$6:$G$20,#REF!)</f>
        <v>#VALUE!</v>
      </c>
    </row>
    <row r="9583" spans="1:5" x14ac:dyDescent="0.2">
      <c r="A9583" s="28">
        <v>9582</v>
      </c>
      <c r="B9583" s="28" t="e">
        <f>interpola(#REF!,CURVA!$B$6:$B$20,CURVA!$G$6:$G$20)</f>
        <v>#VALUE!</v>
      </c>
      <c r="C9583" s="29" t="e">
        <f t="shared" si="149"/>
        <v>#VALUE!</v>
      </c>
      <c r="E9583" t="e">
        <f>cubic_spline(CURVA!$B$6:$B$20,CURVA!$G$6:$G$20,#REF!)</f>
        <v>#VALUE!</v>
      </c>
    </row>
    <row r="9584" spans="1:5" x14ac:dyDescent="0.2">
      <c r="A9584" s="28">
        <v>9583</v>
      </c>
      <c r="B9584" s="28" t="e">
        <f>interpola(#REF!,CURVA!$B$6:$B$20,CURVA!$G$6:$G$20)</f>
        <v>#VALUE!</v>
      </c>
      <c r="C9584" s="29" t="e">
        <f t="shared" si="149"/>
        <v>#VALUE!</v>
      </c>
      <c r="E9584" t="e">
        <f>cubic_spline(CURVA!$B$6:$B$20,CURVA!$G$6:$G$20,#REF!)</f>
        <v>#VALUE!</v>
      </c>
    </row>
    <row r="9585" spans="1:5" x14ac:dyDescent="0.2">
      <c r="A9585" s="28">
        <v>9584</v>
      </c>
      <c r="B9585" s="28" t="e">
        <f>interpola(#REF!,CURVA!$B$6:$B$20,CURVA!$G$6:$G$20)</f>
        <v>#VALUE!</v>
      </c>
      <c r="C9585" s="29" t="e">
        <f t="shared" si="149"/>
        <v>#VALUE!</v>
      </c>
      <c r="E9585" t="e">
        <f>cubic_spline(CURVA!$B$6:$B$20,CURVA!$G$6:$G$20,#REF!)</f>
        <v>#VALUE!</v>
      </c>
    </row>
    <row r="9586" spans="1:5" x14ac:dyDescent="0.2">
      <c r="A9586" s="28">
        <v>9585</v>
      </c>
      <c r="B9586" s="28" t="e">
        <f>interpola(#REF!,CURVA!$B$6:$B$20,CURVA!$G$6:$G$20)</f>
        <v>#VALUE!</v>
      </c>
      <c r="C9586" s="29" t="e">
        <f t="shared" si="149"/>
        <v>#VALUE!</v>
      </c>
      <c r="E9586" t="e">
        <f>cubic_spline(CURVA!$B$6:$B$20,CURVA!$G$6:$G$20,#REF!)</f>
        <v>#VALUE!</v>
      </c>
    </row>
    <row r="9587" spans="1:5" x14ac:dyDescent="0.2">
      <c r="A9587" s="28">
        <v>9586</v>
      </c>
      <c r="B9587" s="28" t="e">
        <f>interpola(#REF!,CURVA!$B$6:$B$20,CURVA!$G$6:$G$20)</f>
        <v>#VALUE!</v>
      </c>
      <c r="C9587" s="29" t="e">
        <f t="shared" si="149"/>
        <v>#VALUE!</v>
      </c>
      <c r="E9587" t="e">
        <f>cubic_spline(CURVA!$B$6:$B$20,CURVA!$G$6:$G$20,#REF!)</f>
        <v>#VALUE!</v>
      </c>
    </row>
    <row r="9588" spans="1:5" x14ac:dyDescent="0.2">
      <c r="A9588" s="28">
        <v>9587</v>
      </c>
      <c r="B9588" s="28" t="e">
        <f>interpola(#REF!,CURVA!$B$6:$B$20,CURVA!$G$6:$G$20)</f>
        <v>#VALUE!</v>
      </c>
      <c r="C9588" s="29" t="e">
        <f t="shared" si="149"/>
        <v>#VALUE!</v>
      </c>
      <c r="E9588" t="e">
        <f>cubic_spline(CURVA!$B$6:$B$20,CURVA!$G$6:$G$20,#REF!)</f>
        <v>#VALUE!</v>
      </c>
    </row>
    <row r="9589" spans="1:5" x14ac:dyDescent="0.2">
      <c r="A9589" s="28">
        <v>9588</v>
      </c>
      <c r="B9589" s="28" t="e">
        <f>interpola(#REF!,CURVA!$B$6:$B$20,CURVA!$G$6:$G$20)</f>
        <v>#VALUE!</v>
      </c>
      <c r="C9589" s="29" t="e">
        <f t="shared" si="149"/>
        <v>#VALUE!</v>
      </c>
      <c r="E9589" t="e">
        <f>cubic_spline(CURVA!$B$6:$B$20,CURVA!$G$6:$G$20,#REF!)</f>
        <v>#VALUE!</v>
      </c>
    </row>
    <row r="9590" spans="1:5" x14ac:dyDescent="0.2">
      <c r="A9590" s="28">
        <v>9589</v>
      </c>
      <c r="B9590" s="28" t="e">
        <f>interpola(#REF!,CURVA!$B$6:$B$20,CURVA!$G$6:$G$20)</f>
        <v>#VALUE!</v>
      </c>
      <c r="C9590" s="29" t="e">
        <f t="shared" si="149"/>
        <v>#VALUE!</v>
      </c>
      <c r="E9590" t="e">
        <f>cubic_spline(CURVA!$B$6:$B$20,CURVA!$G$6:$G$20,#REF!)</f>
        <v>#VALUE!</v>
      </c>
    </row>
    <row r="9591" spans="1:5" x14ac:dyDescent="0.2">
      <c r="A9591" s="28">
        <v>9590</v>
      </c>
      <c r="B9591" s="28" t="e">
        <f>interpola(#REF!,CURVA!$B$6:$B$20,CURVA!$G$6:$G$20)</f>
        <v>#VALUE!</v>
      </c>
      <c r="C9591" s="29" t="e">
        <f t="shared" si="149"/>
        <v>#VALUE!</v>
      </c>
      <c r="E9591" t="e">
        <f>cubic_spline(CURVA!$B$6:$B$20,CURVA!$G$6:$G$20,#REF!)</f>
        <v>#VALUE!</v>
      </c>
    </row>
    <row r="9592" spans="1:5" x14ac:dyDescent="0.2">
      <c r="A9592" s="28">
        <v>9591</v>
      </c>
      <c r="B9592" s="28" t="e">
        <f>interpola(#REF!,CURVA!$B$6:$B$20,CURVA!$G$6:$G$20)</f>
        <v>#VALUE!</v>
      </c>
      <c r="C9592" s="29" t="e">
        <f t="shared" si="149"/>
        <v>#VALUE!</v>
      </c>
      <c r="E9592" t="e">
        <f>cubic_spline(CURVA!$B$6:$B$20,CURVA!$G$6:$G$20,#REF!)</f>
        <v>#VALUE!</v>
      </c>
    </row>
    <row r="9593" spans="1:5" x14ac:dyDescent="0.2">
      <c r="A9593" s="28">
        <v>9592</v>
      </c>
      <c r="B9593" s="28" t="e">
        <f>interpola(#REF!,CURVA!$B$6:$B$20,CURVA!$G$6:$G$20)</f>
        <v>#VALUE!</v>
      </c>
      <c r="C9593" s="29" t="e">
        <f t="shared" si="149"/>
        <v>#VALUE!</v>
      </c>
      <c r="E9593" t="e">
        <f>cubic_spline(CURVA!$B$6:$B$20,CURVA!$G$6:$G$20,#REF!)</f>
        <v>#VALUE!</v>
      </c>
    </row>
    <row r="9594" spans="1:5" x14ac:dyDescent="0.2">
      <c r="A9594" s="28">
        <v>9593</v>
      </c>
      <c r="B9594" s="28" t="e">
        <f>interpola(#REF!,CURVA!$B$6:$B$20,CURVA!$G$6:$G$20)</f>
        <v>#VALUE!</v>
      </c>
      <c r="C9594" s="29" t="e">
        <f t="shared" si="149"/>
        <v>#VALUE!</v>
      </c>
      <c r="E9594" t="e">
        <f>cubic_spline(CURVA!$B$6:$B$20,CURVA!$G$6:$G$20,#REF!)</f>
        <v>#VALUE!</v>
      </c>
    </row>
    <row r="9595" spans="1:5" x14ac:dyDescent="0.2">
      <c r="A9595" s="28">
        <v>9594</v>
      </c>
      <c r="B9595" s="28" t="e">
        <f>interpola(#REF!,CURVA!$B$6:$B$20,CURVA!$G$6:$G$20)</f>
        <v>#VALUE!</v>
      </c>
      <c r="C9595" s="29" t="e">
        <f t="shared" si="149"/>
        <v>#VALUE!</v>
      </c>
      <c r="E9595" t="e">
        <f>cubic_spline(CURVA!$B$6:$B$20,CURVA!$G$6:$G$20,#REF!)</f>
        <v>#VALUE!</v>
      </c>
    </row>
    <row r="9596" spans="1:5" x14ac:dyDescent="0.2">
      <c r="A9596" s="28">
        <v>9595</v>
      </c>
      <c r="B9596" s="28" t="e">
        <f>interpola(#REF!,CURVA!$B$6:$B$20,CURVA!$G$6:$G$20)</f>
        <v>#VALUE!</v>
      </c>
      <c r="C9596" s="29" t="e">
        <f t="shared" si="149"/>
        <v>#VALUE!</v>
      </c>
      <c r="E9596" t="e">
        <f>cubic_spline(CURVA!$B$6:$B$20,CURVA!$G$6:$G$20,#REF!)</f>
        <v>#VALUE!</v>
      </c>
    </row>
    <row r="9597" spans="1:5" x14ac:dyDescent="0.2">
      <c r="A9597" s="28">
        <v>9596</v>
      </c>
      <c r="B9597" s="28" t="e">
        <f>interpola(#REF!,CURVA!$B$6:$B$20,CURVA!$G$6:$G$20)</f>
        <v>#VALUE!</v>
      </c>
      <c r="C9597" s="29" t="e">
        <f t="shared" si="149"/>
        <v>#VALUE!</v>
      </c>
      <c r="E9597" t="e">
        <f>cubic_spline(CURVA!$B$6:$B$20,CURVA!$G$6:$G$20,#REF!)</f>
        <v>#VALUE!</v>
      </c>
    </row>
    <row r="9598" spans="1:5" x14ac:dyDescent="0.2">
      <c r="A9598" s="28">
        <v>9597</v>
      </c>
      <c r="B9598" s="28" t="e">
        <f>interpola(#REF!,CURVA!$B$6:$B$20,CURVA!$G$6:$G$20)</f>
        <v>#VALUE!</v>
      </c>
      <c r="C9598" s="29" t="e">
        <f t="shared" si="149"/>
        <v>#VALUE!</v>
      </c>
      <c r="E9598" t="e">
        <f>cubic_spline(CURVA!$B$6:$B$20,CURVA!$G$6:$G$20,#REF!)</f>
        <v>#VALUE!</v>
      </c>
    </row>
    <row r="9599" spans="1:5" x14ac:dyDescent="0.2">
      <c r="A9599" s="28">
        <v>9598</v>
      </c>
      <c r="B9599" s="28" t="e">
        <f>interpola(#REF!,CURVA!$B$6:$B$20,CURVA!$G$6:$G$20)</f>
        <v>#VALUE!</v>
      </c>
      <c r="C9599" s="29" t="e">
        <f t="shared" si="149"/>
        <v>#VALUE!</v>
      </c>
      <c r="E9599" t="e">
        <f>cubic_spline(CURVA!$B$6:$B$20,CURVA!$G$6:$G$20,#REF!)</f>
        <v>#VALUE!</v>
      </c>
    </row>
    <row r="9600" spans="1:5" x14ac:dyDescent="0.2">
      <c r="A9600" s="28">
        <v>9599</v>
      </c>
      <c r="B9600" s="28" t="e">
        <f>interpola(#REF!,CURVA!$B$6:$B$20,CURVA!$G$6:$G$20)</f>
        <v>#VALUE!</v>
      </c>
      <c r="C9600" s="29" t="e">
        <f t="shared" si="149"/>
        <v>#VALUE!</v>
      </c>
      <c r="E9600" t="e">
        <f>cubic_spline(CURVA!$B$6:$B$20,CURVA!$G$6:$G$20,#REF!)</f>
        <v>#VALUE!</v>
      </c>
    </row>
    <row r="9601" spans="1:5" x14ac:dyDescent="0.2">
      <c r="A9601" s="28">
        <v>9600</v>
      </c>
      <c r="B9601" s="28" t="e">
        <f>interpola(#REF!,CURVA!$B$6:$B$20,CURVA!$G$6:$G$20)</f>
        <v>#VALUE!</v>
      </c>
      <c r="C9601" s="29" t="e">
        <f t="shared" si="149"/>
        <v>#VALUE!</v>
      </c>
      <c r="E9601" t="e">
        <f>cubic_spline(CURVA!$B$6:$B$20,CURVA!$G$6:$G$20,#REF!)</f>
        <v>#VALUE!</v>
      </c>
    </row>
    <row r="9602" spans="1:5" x14ac:dyDescent="0.2">
      <c r="A9602" s="28">
        <v>9601</v>
      </c>
      <c r="B9602" s="28" t="e">
        <f>interpola(#REF!,CURVA!$B$6:$B$20,CURVA!$G$6:$G$20)</f>
        <v>#VALUE!</v>
      </c>
      <c r="C9602" s="29" t="e">
        <f t="shared" ref="C9602:C9665" si="150">(EXP(B9602*A9602/360)-1)*360/A9602</f>
        <v>#VALUE!</v>
      </c>
      <c r="E9602" t="e">
        <f>cubic_spline(CURVA!$B$6:$B$20,CURVA!$G$6:$G$20,#REF!)</f>
        <v>#VALUE!</v>
      </c>
    </row>
    <row r="9603" spans="1:5" x14ac:dyDescent="0.2">
      <c r="A9603" s="28">
        <v>9602</v>
      </c>
      <c r="B9603" s="28" t="e">
        <f>interpola(#REF!,CURVA!$B$6:$B$20,CURVA!$G$6:$G$20)</f>
        <v>#VALUE!</v>
      </c>
      <c r="C9603" s="29" t="e">
        <f t="shared" si="150"/>
        <v>#VALUE!</v>
      </c>
      <c r="E9603" t="e">
        <f>cubic_spline(CURVA!$B$6:$B$20,CURVA!$G$6:$G$20,#REF!)</f>
        <v>#VALUE!</v>
      </c>
    </row>
    <row r="9604" spans="1:5" x14ac:dyDescent="0.2">
      <c r="A9604" s="28">
        <v>9603</v>
      </c>
      <c r="B9604" s="28" t="e">
        <f>interpola(#REF!,CURVA!$B$6:$B$20,CURVA!$G$6:$G$20)</f>
        <v>#VALUE!</v>
      </c>
      <c r="C9604" s="29" t="e">
        <f t="shared" si="150"/>
        <v>#VALUE!</v>
      </c>
      <c r="E9604" t="e">
        <f>cubic_spline(CURVA!$B$6:$B$20,CURVA!$G$6:$G$20,#REF!)</f>
        <v>#VALUE!</v>
      </c>
    </row>
    <row r="9605" spans="1:5" x14ac:dyDescent="0.2">
      <c r="A9605" s="28">
        <v>9604</v>
      </c>
      <c r="B9605" s="28" t="e">
        <f>interpola(#REF!,CURVA!$B$6:$B$20,CURVA!$G$6:$G$20)</f>
        <v>#VALUE!</v>
      </c>
      <c r="C9605" s="29" t="e">
        <f t="shared" si="150"/>
        <v>#VALUE!</v>
      </c>
      <c r="E9605" t="e">
        <f>cubic_spline(CURVA!$B$6:$B$20,CURVA!$G$6:$G$20,#REF!)</f>
        <v>#VALUE!</v>
      </c>
    </row>
    <row r="9606" spans="1:5" x14ac:dyDescent="0.2">
      <c r="A9606" s="28">
        <v>9605</v>
      </c>
      <c r="B9606" s="28" t="e">
        <f>interpola(#REF!,CURVA!$B$6:$B$20,CURVA!$G$6:$G$20)</f>
        <v>#VALUE!</v>
      </c>
      <c r="C9606" s="29" t="e">
        <f t="shared" si="150"/>
        <v>#VALUE!</v>
      </c>
      <c r="E9606" t="e">
        <f>cubic_spline(CURVA!$B$6:$B$20,CURVA!$G$6:$G$20,#REF!)</f>
        <v>#VALUE!</v>
      </c>
    </row>
    <row r="9607" spans="1:5" x14ac:dyDescent="0.2">
      <c r="A9607" s="28">
        <v>9606</v>
      </c>
      <c r="B9607" s="28" t="e">
        <f>interpola(#REF!,CURVA!$B$6:$B$20,CURVA!$G$6:$G$20)</f>
        <v>#VALUE!</v>
      </c>
      <c r="C9607" s="29" t="e">
        <f t="shared" si="150"/>
        <v>#VALUE!</v>
      </c>
      <c r="E9607" t="e">
        <f>cubic_spline(CURVA!$B$6:$B$20,CURVA!$G$6:$G$20,#REF!)</f>
        <v>#VALUE!</v>
      </c>
    </row>
    <row r="9608" spans="1:5" x14ac:dyDescent="0.2">
      <c r="A9608" s="28">
        <v>9607</v>
      </c>
      <c r="B9608" s="28" t="e">
        <f>interpola(#REF!,CURVA!$B$6:$B$20,CURVA!$G$6:$G$20)</f>
        <v>#VALUE!</v>
      </c>
      <c r="C9608" s="29" t="e">
        <f t="shared" si="150"/>
        <v>#VALUE!</v>
      </c>
      <c r="E9608" t="e">
        <f>cubic_spline(CURVA!$B$6:$B$20,CURVA!$G$6:$G$20,#REF!)</f>
        <v>#VALUE!</v>
      </c>
    </row>
    <row r="9609" spans="1:5" x14ac:dyDescent="0.2">
      <c r="A9609" s="28">
        <v>9608</v>
      </c>
      <c r="B9609" s="28" t="e">
        <f>interpola(#REF!,CURVA!$B$6:$B$20,CURVA!$G$6:$G$20)</f>
        <v>#VALUE!</v>
      </c>
      <c r="C9609" s="29" t="e">
        <f t="shared" si="150"/>
        <v>#VALUE!</v>
      </c>
      <c r="E9609" t="e">
        <f>cubic_spline(CURVA!$B$6:$B$20,CURVA!$G$6:$G$20,#REF!)</f>
        <v>#VALUE!</v>
      </c>
    </row>
    <row r="9610" spans="1:5" x14ac:dyDescent="0.2">
      <c r="A9610" s="28">
        <v>9609</v>
      </c>
      <c r="B9610" s="28" t="e">
        <f>interpola(#REF!,CURVA!$B$6:$B$20,CURVA!$G$6:$G$20)</f>
        <v>#VALUE!</v>
      </c>
      <c r="C9610" s="29" t="e">
        <f t="shared" si="150"/>
        <v>#VALUE!</v>
      </c>
      <c r="E9610" t="e">
        <f>cubic_spline(CURVA!$B$6:$B$20,CURVA!$G$6:$G$20,#REF!)</f>
        <v>#VALUE!</v>
      </c>
    </row>
    <row r="9611" spans="1:5" x14ac:dyDescent="0.2">
      <c r="A9611" s="28">
        <v>9610</v>
      </c>
      <c r="B9611" s="28" t="e">
        <f>interpola(#REF!,CURVA!$B$6:$B$20,CURVA!$G$6:$G$20)</f>
        <v>#VALUE!</v>
      </c>
      <c r="C9611" s="29" t="e">
        <f t="shared" si="150"/>
        <v>#VALUE!</v>
      </c>
      <c r="E9611" t="e">
        <f>cubic_spline(CURVA!$B$6:$B$20,CURVA!$G$6:$G$20,#REF!)</f>
        <v>#VALUE!</v>
      </c>
    </row>
    <row r="9612" spans="1:5" x14ac:dyDescent="0.2">
      <c r="A9612" s="28">
        <v>9611</v>
      </c>
      <c r="B9612" s="28" t="e">
        <f>interpola(#REF!,CURVA!$B$6:$B$20,CURVA!$G$6:$G$20)</f>
        <v>#VALUE!</v>
      </c>
      <c r="C9612" s="29" t="e">
        <f t="shared" si="150"/>
        <v>#VALUE!</v>
      </c>
      <c r="E9612" t="e">
        <f>cubic_spline(CURVA!$B$6:$B$20,CURVA!$G$6:$G$20,#REF!)</f>
        <v>#VALUE!</v>
      </c>
    </row>
    <row r="9613" spans="1:5" x14ac:dyDescent="0.2">
      <c r="A9613" s="28">
        <v>9612</v>
      </c>
      <c r="B9613" s="28" t="e">
        <f>interpola(#REF!,CURVA!$B$6:$B$20,CURVA!$G$6:$G$20)</f>
        <v>#VALUE!</v>
      </c>
      <c r="C9613" s="29" t="e">
        <f t="shared" si="150"/>
        <v>#VALUE!</v>
      </c>
      <c r="E9613" t="e">
        <f>cubic_spline(CURVA!$B$6:$B$20,CURVA!$G$6:$G$20,#REF!)</f>
        <v>#VALUE!</v>
      </c>
    </row>
    <row r="9614" spans="1:5" x14ac:dyDescent="0.2">
      <c r="A9614" s="28">
        <v>9613</v>
      </c>
      <c r="B9614" s="28" t="e">
        <f>interpola(#REF!,CURVA!$B$6:$B$20,CURVA!$G$6:$G$20)</f>
        <v>#VALUE!</v>
      </c>
      <c r="C9614" s="29" t="e">
        <f t="shared" si="150"/>
        <v>#VALUE!</v>
      </c>
      <c r="E9614" t="e">
        <f>cubic_spline(CURVA!$B$6:$B$20,CURVA!$G$6:$G$20,#REF!)</f>
        <v>#VALUE!</v>
      </c>
    </row>
    <row r="9615" spans="1:5" x14ac:dyDescent="0.2">
      <c r="A9615" s="28">
        <v>9614</v>
      </c>
      <c r="B9615" s="28" t="e">
        <f>interpola(#REF!,CURVA!$B$6:$B$20,CURVA!$G$6:$G$20)</f>
        <v>#VALUE!</v>
      </c>
      <c r="C9615" s="29" t="e">
        <f t="shared" si="150"/>
        <v>#VALUE!</v>
      </c>
      <c r="E9615" t="e">
        <f>cubic_spline(CURVA!$B$6:$B$20,CURVA!$G$6:$G$20,#REF!)</f>
        <v>#VALUE!</v>
      </c>
    </row>
    <row r="9616" spans="1:5" x14ac:dyDescent="0.2">
      <c r="A9616" s="28">
        <v>9615</v>
      </c>
      <c r="B9616" s="28" t="e">
        <f>interpola(#REF!,CURVA!$B$6:$B$20,CURVA!$G$6:$G$20)</f>
        <v>#VALUE!</v>
      </c>
      <c r="C9616" s="29" t="e">
        <f t="shared" si="150"/>
        <v>#VALUE!</v>
      </c>
      <c r="E9616" t="e">
        <f>cubic_spline(CURVA!$B$6:$B$20,CURVA!$G$6:$G$20,#REF!)</f>
        <v>#VALUE!</v>
      </c>
    </row>
    <row r="9617" spans="1:5" x14ac:dyDescent="0.2">
      <c r="A9617" s="28">
        <v>9616</v>
      </c>
      <c r="B9617" s="28" t="e">
        <f>interpola(#REF!,CURVA!$B$6:$B$20,CURVA!$G$6:$G$20)</f>
        <v>#VALUE!</v>
      </c>
      <c r="C9617" s="29" t="e">
        <f t="shared" si="150"/>
        <v>#VALUE!</v>
      </c>
      <c r="E9617" t="e">
        <f>cubic_spline(CURVA!$B$6:$B$20,CURVA!$G$6:$G$20,#REF!)</f>
        <v>#VALUE!</v>
      </c>
    </row>
    <row r="9618" spans="1:5" x14ac:dyDescent="0.2">
      <c r="A9618" s="28">
        <v>9617</v>
      </c>
      <c r="B9618" s="28" t="e">
        <f>interpola(#REF!,CURVA!$B$6:$B$20,CURVA!$G$6:$G$20)</f>
        <v>#VALUE!</v>
      </c>
      <c r="C9618" s="29" t="e">
        <f t="shared" si="150"/>
        <v>#VALUE!</v>
      </c>
      <c r="E9618" t="e">
        <f>cubic_spline(CURVA!$B$6:$B$20,CURVA!$G$6:$G$20,#REF!)</f>
        <v>#VALUE!</v>
      </c>
    </row>
    <row r="9619" spans="1:5" x14ac:dyDescent="0.2">
      <c r="A9619" s="28">
        <v>9618</v>
      </c>
      <c r="B9619" s="28" t="e">
        <f>interpola(#REF!,CURVA!$B$6:$B$20,CURVA!$G$6:$G$20)</f>
        <v>#VALUE!</v>
      </c>
      <c r="C9619" s="29" t="e">
        <f t="shared" si="150"/>
        <v>#VALUE!</v>
      </c>
      <c r="E9619" t="e">
        <f>cubic_spline(CURVA!$B$6:$B$20,CURVA!$G$6:$G$20,#REF!)</f>
        <v>#VALUE!</v>
      </c>
    </row>
    <row r="9620" spans="1:5" x14ac:dyDescent="0.2">
      <c r="A9620" s="28">
        <v>9619</v>
      </c>
      <c r="B9620" s="28" t="e">
        <f>interpola(#REF!,CURVA!$B$6:$B$20,CURVA!$G$6:$G$20)</f>
        <v>#VALUE!</v>
      </c>
      <c r="C9620" s="29" t="e">
        <f t="shared" si="150"/>
        <v>#VALUE!</v>
      </c>
      <c r="E9620" t="e">
        <f>cubic_spline(CURVA!$B$6:$B$20,CURVA!$G$6:$G$20,#REF!)</f>
        <v>#VALUE!</v>
      </c>
    </row>
    <row r="9621" spans="1:5" x14ac:dyDescent="0.2">
      <c r="A9621" s="28">
        <v>9620</v>
      </c>
      <c r="B9621" s="28" t="e">
        <f>interpola(#REF!,CURVA!$B$6:$B$20,CURVA!$G$6:$G$20)</f>
        <v>#VALUE!</v>
      </c>
      <c r="C9621" s="29" t="e">
        <f t="shared" si="150"/>
        <v>#VALUE!</v>
      </c>
      <c r="E9621" t="e">
        <f>cubic_spline(CURVA!$B$6:$B$20,CURVA!$G$6:$G$20,#REF!)</f>
        <v>#VALUE!</v>
      </c>
    </row>
    <row r="9622" spans="1:5" x14ac:dyDescent="0.2">
      <c r="A9622" s="28">
        <v>9621</v>
      </c>
      <c r="B9622" s="28" t="e">
        <f>interpola(#REF!,CURVA!$B$6:$B$20,CURVA!$G$6:$G$20)</f>
        <v>#VALUE!</v>
      </c>
      <c r="C9622" s="29" t="e">
        <f t="shared" si="150"/>
        <v>#VALUE!</v>
      </c>
      <c r="E9622" t="e">
        <f>cubic_spline(CURVA!$B$6:$B$20,CURVA!$G$6:$G$20,#REF!)</f>
        <v>#VALUE!</v>
      </c>
    </row>
    <row r="9623" spans="1:5" x14ac:dyDescent="0.2">
      <c r="A9623" s="28">
        <v>9622</v>
      </c>
      <c r="B9623" s="28" t="e">
        <f>interpola(#REF!,CURVA!$B$6:$B$20,CURVA!$G$6:$G$20)</f>
        <v>#VALUE!</v>
      </c>
      <c r="C9623" s="29" t="e">
        <f t="shared" si="150"/>
        <v>#VALUE!</v>
      </c>
      <c r="E9623" t="e">
        <f>cubic_spline(CURVA!$B$6:$B$20,CURVA!$G$6:$G$20,#REF!)</f>
        <v>#VALUE!</v>
      </c>
    </row>
    <row r="9624" spans="1:5" x14ac:dyDescent="0.2">
      <c r="A9624" s="28">
        <v>9623</v>
      </c>
      <c r="B9624" s="28" t="e">
        <f>interpola(#REF!,CURVA!$B$6:$B$20,CURVA!$G$6:$G$20)</f>
        <v>#VALUE!</v>
      </c>
      <c r="C9624" s="29" t="e">
        <f t="shared" si="150"/>
        <v>#VALUE!</v>
      </c>
      <c r="E9624" t="e">
        <f>cubic_spline(CURVA!$B$6:$B$20,CURVA!$G$6:$G$20,#REF!)</f>
        <v>#VALUE!</v>
      </c>
    </row>
    <row r="9625" spans="1:5" x14ac:dyDescent="0.2">
      <c r="A9625" s="28">
        <v>9624</v>
      </c>
      <c r="B9625" s="28" t="e">
        <f>interpola(#REF!,CURVA!$B$6:$B$20,CURVA!$G$6:$G$20)</f>
        <v>#VALUE!</v>
      </c>
      <c r="C9625" s="29" t="e">
        <f t="shared" si="150"/>
        <v>#VALUE!</v>
      </c>
      <c r="E9625" t="e">
        <f>cubic_spline(CURVA!$B$6:$B$20,CURVA!$G$6:$G$20,#REF!)</f>
        <v>#VALUE!</v>
      </c>
    </row>
    <row r="9626" spans="1:5" x14ac:dyDescent="0.2">
      <c r="A9626" s="28">
        <v>9625</v>
      </c>
      <c r="B9626" s="28" t="e">
        <f>interpola(#REF!,CURVA!$B$6:$B$20,CURVA!$G$6:$G$20)</f>
        <v>#VALUE!</v>
      </c>
      <c r="C9626" s="29" t="e">
        <f t="shared" si="150"/>
        <v>#VALUE!</v>
      </c>
      <c r="E9626" t="e">
        <f>cubic_spline(CURVA!$B$6:$B$20,CURVA!$G$6:$G$20,#REF!)</f>
        <v>#VALUE!</v>
      </c>
    </row>
    <row r="9627" spans="1:5" x14ac:dyDescent="0.2">
      <c r="A9627" s="28">
        <v>9626</v>
      </c>
      <c r="B9627" s="28" t="e">
        <f>interpola(#REF!,CURVA!$B$6:$B$20,CURVA!$G$6:$G$20)</f>
        <v>#VALUE!</v>
      </c>
      <c r="C9627" s="29" t="e">
        <f t="shared" si="150"/>
        <v>#VALUE!</v>
      </c>
      <c r="E9627" t="e">
        <f>cubic_spline(CURVA!$B$6:$B$20,CURVA!$G$6:$G$20,#REF!)</f>
        <v>#VALUE!</v>
      </c>
    </row>
    <row r="9628" spans="1:5" x14ac:dyDescent="0.2">
      <c r="A9628" s="28">
        <v>9627</v>
      </c>
      <c r="B9628" s="28" t="e">
        <f>interpola(#REF!,CURVA!$B$6:$B$20,CURVA!$G$6:$G$20)</f>
        <v>#VALUE!</v>
      </c>
      <c r="C9628" s="29" t="e">
        <f t="shared" si="150"/>
        <v>#VALUE!</v>
      </c>
      <c r="E9628" t="e">
        <f>cubic_spline(CURVA!$B$6:$B$20,CURVA!$G$6:$G$20,#REF!)</f>
        <v>#VALUE!</v>
      </c>
    </row>
    <row r="9629" spans="1:5" x14ac:dyDescent="0.2">
      <c r="A9629" s="28">
        <v>9628</v>
      </c>
      <c r="B9629" s="28" t="e">
        <f>interpola(#REF!,CURVA!$B$6:$B$20,CURVA!$G$6:$G$20)</f>
        <v>#VALUE!</v>
      </c>
      <c r="C9629" s="29" t="e">
        <f t="shared" si="150"/>
        <v>#VALUE!</v>
      </c>
      <c r="E9629" t="e">
        <f>cubic_spline(CURVA!$B$6:$B$20,CURVA!$G$6:$G$20,#REF!)</f>
        <v>#VALUE!</v>
      </c>
    </row>
    <row r="9630" spans="1:5" x14ac:dyDescent="0.2">
      <c r="A9630" s="28">
        <v>9629</v>
      </c>
      <c r="B9630" s="28" t="e">
        <f>interpola(#REF!,CURVA!$B$6:$B$20,CURVA!$G$6:$G$20)</f>
        <v>#VALUE!</v>
      </c>
      <c r="C9630" s="29" t="e">
        <f t="shared" si="150"/>
        <v>#VALUE!</v>
      </c>
      <c r="E9630" t="e">
        <f>cubic_spline(CURVA!$B$6:$B$20,CURVA!$G$6:$G$20,#REF!)</f>
        <v>#VALUE!</v>
      </c>
    </row>
    <row r="9631" spans="1:5" x14ac:dyDescent="0.2">
      <c r="A9631" s="28">
        <v>9630</v>
      </c>
      <c r="B9631" s="28" t="e">
        <f>interpola(#REF!,CURVA!$B$6:$B$20,CURVA!$G$6:$G$20)</f>
        <v>#VALUE!</v>
      </c>
      <c r="C9631" s="29" t="e">
        <f t="shared" si="150"/>
        <v>#VALUE!</v>
      </c>
      <c r="E9631" t="e">
        <f>cubic_spline(CURVA!$B$6:$B$20,CURVA!$G$6:$G$20,#REF!)</f>
        <v>#VALUE!</v>
      </c>
    </row>
    <row r="9632" spans="1:5" x14ac:dyDescent="0.2">
      <c r="A9632" s="28">
        <v>9631</v>
      </c>
      <c r="B9632" s="28" t="e">
        <f>interpola(#REF!,CURVA!$B$6:$B$20,CURVA!$G$6:$G$20)</f>
        <v>#VALUE!</v>
      </c>
      <c r="C9632" s="29" t="e">
        <f t="shared" si="150"/>
        <v>#VALUE!</v>
      </c>
      <c r="E9632" t="e">
        <f>cubic_spline(CURVA!$B$6:$B$20,CURVA!$G$6:$G$20,#REF!)</f>
        <v>#VALUE!</v>
      </c>
    </row>
    <row r="9633" spans="1:5" x14ac:dyDescent="0.2">
      <c r="A9633" s="28">
        <v>9632</v>
      </c>
      <c r="B9633" s="28" t="e">
        <f>interpola(#REF!,CURVA!$B$6:$B$20,CURVA!$G$6:$G$20)</f>
        <v>#VALUE!</v>
      </c>
      <c r="C9633" s="29" t="e">
        <f t="shared" si="150"/>
        <v>#VALUE!</v>
      </c>
      <c r="E9633" t="e">
        <f>cubic_spline(CURVA!$B$6:$B$20,CURVA!$G$6:$G$20,#REF!)</f>
        <v>#VALUE!</v>
      </c>
    </row>
    <row r="9634" spans="1:5" x14ac:dyDescent="0.2">
      <c r="A9634" s="28">
        <v>9633</v>
      </c>
      <c r="B9634" s="28" t="e">
        <f>interpola(#REF!,CURVA!$B$6:$B$20,CURVA!$G$6:$G$20)</f>
        <v>#VALUE!</v>
      </c>
      <c r="C9634" s="29" t="e">
        <f t="shared" si="150"/>
        <v>#VALUE!</v>
      </c>
      <c r="E9634" t="e">
        <f>cubic_spline(CURVA!$B$6:$B$20,CURVA!$G$6:$G$20,#REF!)</f>
        <v>#VALUE!</v>
      </c>
    </row>
    <row r="9635" spans="1:5" x14ac:dyDescent="0.2">
      <c r="A9635" s="28">
        <v>9634</v>
      </c>
      <c r="B9635" s="28" t="e">
        <f>interpola(#REF!,CURVA!$B$6:$B$20,CURVA!$G$6:$G$20)</f>
        <v>#VALUE!</v>
      </c>
      <c r="C9635" s="29" t="e">
        <f t="shared" si="150"/>
        <v>#VALUE!</v>
      </c>
      <c r="E9635" t="e">
        <f>cubic_spline(CURVA!$B$6:$B$20,CURVA!$G$6:$G$20,#REF!)</f>
        <v>#VALUE!</v>
      </c>
    </row>
    <row r="9636" spans="1:5" x14ac:dyDescent="0.2">
      <c r="A9636" s="28">
        <v>9635</v>
      </c>
      <c r="B9636" s="28" t="e">
        <f>interpola(#REF!,CURVA!$B$6:$B$20,CURVA!$G$6:$G$20)</f>
        <v>#VALUE!</v>
      </c>
      <c r="C9636" s="29" t="e">
        <f t="shared" si="150"/>
        <v>#VALUE!</v>
      </c>
      <c r="E9636" t="e">
        <f>cubic_spline(CURVA!$B$6:$B$20,CURVA!$G$6:$G$20,#REF!)</f>
        <v>#VALUE!</v>
      </c>
    </row>
    <row r="9637" spans="1:5" x14ac:dyDescent="0.2">
      <c r="A9637" s="28">
        <v>9636</v>
      </c>
      <c r="B9637" s="28" t="e">
        <f>interpola(#REF!,CURVA!$B$6:$B$20,CURVA!$G$6:$G$20)</f>
        <v>#VALUE!</v>
      </c>
      <c r="C9637" s="29" t="e">
        <f t="shared" si="150"/>
        <v>#VALUE!</v>
      </c>
      <c r="E9637" t="e">
        <f>cubic_spline(CURVA!$B$6:$B$20,CURVA!$G$6:$G$20,#REF!)</f>
        <v>#VALUE!</v>
      </c>
    </row>
    <row r="9638" spans="1:5" x14ac:dyDescent="0.2">
      <c r="A9638" s="28">
        <v>9637</v>
      </c>
      <c r="B9638" s="28" t="e">
        <f>interpola(#REF!,CURVA!$B$6:$B$20,CURVA!$G$6:$G$20)</f>
        <v>#VALUE!</v>
      </c>
      <c r="C9638" s="29" t="e">
        <f t="shared" si="150"/>
        <v>#VALUE!</v>
      </c>
      <c r="E9638" t="e">
        <f>cubic_spline(CURVA!$B$6:$B$20,CURVA!$G$6:$G$20,#REF!)</f>
        <v>#VALUE!</v>
      </c>
    </row>
    <row r="9639" spans="1:5" x14ac:dyDescent="0.2">
      <c r="A9639" s="28">
        <v>9638</v>
      </c>
      <c r="B9639" s="28" t="e">
        <f>interpola(#REF!,CURVA!$B$6:$B$20,CURVA!$G$6:$G$20)</f>
        <v>#VALUE!</v>
      </c>
      <c r="C9639" s="29" t="e">
        <f t="shared" si="150"/>
        <v>#VALUE!</v>
      </c>
      <c r="E9639" t="e">
        <f>cubic_spline(CURVA!$B$6:$B$20,CURVA!$G$6:$G$20,#REF!)</f>
        <v>#VALUE!</v>
      </c>
    </row>
    <row r="9640" spans="1:5" x14ac:dyDescent="0.2">
      <c r="A9640" s="28">
        <v>9639</v>
      </c>
      <c r="B9640" s="28" t="e">
        <f>interpola(#REF!,CURVA!$B$6:$B$20,CURVA!$G$6:$G$20)</f>
        <v>#VALUE!</v>
      </c>
      <c r="C9640" s="29" t="e">
        <f t="shared" si="150"/>
        <v>#VALUE!</v>
      </c>
      <c r="E9640" t="e">
        <f>cubic_spline(CURVA!$B$6:$B$20,CURVA!$G$6:$G$20,#REF!)</f>
        <v>#VALUE!</v>
      </c>
    </row>
    <row r="9641" spans="1:5" x14ac:dyDescent="0.2">
      <c r="A9641" s="28">
        <v>9640</v>
      </c>
      <c r="B9641" s="28" t="e">
        <f>interpola(#REF!,CURVA!$B$6:$B$20,CURVA!$G$6:$G$20)</f>
        <v>#VALUE!</v>
      </c>
      <c r="C9641" s="29" t="e">
        <f t="shared" si="150"/>
        <v>#VALUE!</v>
      </c>
      <c r="E9641" t="e">
        <f>cubic_spline(CURVA!$B$6:$B$20,CURVA!$G$6:$G$20,#REF!)</f>
        <v>#VALUE!</v>
      </c>
    </row>
    <row r="9642" spans="1:5" x14ac:dyDescent="0.2">
      <c r="A9642" s="28">
        <v>9641</v>
      </c>
      <c r="B9642" s="28" t="e">
        <f>interpola(#REF!,CURVA!$B$6:$B$20,CURVA!$G$6:$G$20)</f>
        <v>#VALUE!</v>
      </c>
      <c r="C9642" s="29" t="e">
        <f t="shared" si="150"/>
        <v>#VALUE!</v>
      </c>
      <c r="E9642" t="e">
        <f>cubic_spline(CURVA!$B$6:$B$20,CURVA!$G$6:$G$20,#REF!)</f>
        <v>#VALUE!</v>
      </c>
    </row>
    <row r="9643" spans="1:5" x14ac:dyDescent="0.2">
      <c r="A9643" s="28">
        <v>9642</v>
      </c>
      <c r="B9643" s="28" t="e">
        <f>interpola(#REF!,CURVA!$B$6:$B$20,CURVA!$G$6:$G$20)</f>
        <v>#VALUE!</v>
      </c>
      <c r="C9643" s="29" t="e">
        <f t="shared" si="150"/>
        <v>#VALUE!</v>
      </c>
      <c r="E9643" t="e">
        <f>cubic_spline(CURVA!$B$6:$B$20,CURVA!$G$6:$G$20,#REF!)</f>
        <v>#VALUE!</v>
      </c>
    </row>
    <row r="9644" spans="1:5" x14ac:dyDescent="0.2">
      <c r="A9644" s="28">
        <v>9643</v>
      </c>
      <c r="B9644" s="28" t="e">
        <f>interpola(#REF!,CURVA!$B$6:$B$20,CURVA!$G$6:$G$20)</f>
        <v>#VALUE!</v>
      </c>
      <c r="C9644" s="29" t="e">
        <f t="shared" si="150"/>
        <v>#VALUE!</v>
      </c>
      <c r="E9644" t="e">
        <f>cubic_spline(CURVA!$B$6:$B$20,CURVA!$G$6:$G$20,#REF!)</f>
        <v>#VALUE!</v>
      </c>
    </row>
    <row r="9645" spans="1:5" x14ac:dyDescent="0.2">
      <c r="A9645" s="28">
        <v>9644</v>
      </c>
      <c r="B9645" s="28" t="e">
        <f>interpola(#REF!,CURVA!$B$6:$B$20,CURVA!$G$6:$G$20)</f>
        <v>#VALUE!</v>
      </c>
      <c r="C9645" s="29" t="e">
        <f t="shared" si="150"/>
        <v>#VALUE!</v>
      </c>
      <c r="E9645" t="e">
        <f>cubic_spline(CURVA!$B$6:$B$20,CURVA!$G$6:$G$20,#REF!)</f>
        <v>#VALUE!</v>
      </c>
    </row>
    <row r="9646" spans="1:5" x14ac:dyDescent="0.2">
      <c r="A9646" s="28">
        <v>9645</v>
      </c>
      <c r="B9646" s="28" t="e">
        <f>interpola(#REF!,CURVA!$B$6:$B$20,CURVA!$G$6:$G$20)</f>
        <v>#VALUE!</v>
      </c>
      <c r="C9646" s="29" t="e">
        <f t="shared" si="150"/>
        <v>#VALUE!</v>
      </c>
      <c r="E9646" t="e">
        <f>cubic_spline(CURVA!$B$6:$B$20,CURVA!$G$6:$G$20,#REF!)</f>
        <v>#VALUE!</v>
      </c>
    </row>
    <row r="9647" spans="1:5" x14ac:dyDescent="0.2">
      <c r="A9647" s="28">
        <v>9646</v>
      </c>
      <c r="B9647" s="28" t="e">
        <f>interpola(#REF!,CURVA!$B$6:$B$20,CURVA!$G$6:$G$20)</f>
        <v>#VALUE!</v>
      </c>
      <c r="C9647" s="29" t="e">
        <f t="shared" si="150"/>
        <v>#VALUE!</v>
      </c>
      <c r="E9647" t="e">
        <f>cubic_spline(CURVA!$B$6:$B$20,CURVA!$G$6:$G$20,#REF!)</f>
        <v>#VALUE!</v>
      </c>
    </row>
    <row r="9648" spans="1:5" x14ac:dyDescent="0.2">
      <c r="A9648" s="28">
        <v>9647</v>
      </c>
      <c r="B9648" s="28" t="e">
        <f>interpola(#REF!,CURVA!$B$6:$B$20,CURVA!$G$6:$G$20)</f>
        <v>#VALUE!</v>
      </c>
      <c r="C9648" s="29" t="e">
        <f t="shared" si="150"/>
        <v>#VALUE!</v>
      </c>
      <c r="E9648" t="e">
        <f>cubic_spline(CURVA!$B$6:$B$20,CURVA!$G$6:$G$20,#REF!)</f>
        <v>#VALUE!</v>
      </c>
    </row>
    <row r="9649" spans="1:5" x14ac:dyDescent="0.2">
      <c r="A9649" s="28">
        <v>9648</v>
      </c>
      <c r="B9649" s="28" t="e">
        <f>interpola(#REF!,CURVA!$B$6:$B$20,CURVA!$G$6:$G$20)</f>
        <v>#VALUE!</v>
      </c>
      <c r="C9649" s="29" t="e">
        <f t="shared" si="150"/>
        <v>#VALUE!</v>
      </c>
      <c r="E9649" t="e">
        <f>cubic_spline(CURVA!$B$6:$B$20,CURVA!$G$6:$G$20,#REF!)</f>
        <v>#VALUE!</v>
      </c>
    </row>
    <row r="9650" spans="1:5" x14ac:dyDescent="0.2">
      <c r="A9650" s="28">
        <v>9649</v>
      </c>
      <c r="B9650" s="28" t="e">
        <f>interpola(#REF!,CURVA!$B$6:$B$20,CURVA!$G$6:$G$20)</f>
        <v>#VALUE!</v>
      </c>
      <c r="C9650" s="29" t="e">
        <f t="shared" si="150"/>
        <v>#VALUE!</v>
      </c>
      <c r="E9650" t="e">
        <f>cubic_spline(CURVA!$B$6:$B$20,CURVA!$G$6:$G$20,#REF!)</f>
        <v>#VALUE!</v>
      </c>
    </row>
    <row r="9651" spans="1:5" x14ac:dyDescent="0.2">
      <c r="A9651" s="28">
        <v>9650</v>
      </c>
      <c r="B9651" s="28" t="e">
        <f>interpola(#REF!,CURVA!$B$6:$B$20,CURVA!$G$6:$G$20)</f>
        <v>#VALUE!</v>
      </c>
      <c r="C9651" s="29" t="e">
        <f t="shared" si="150"/>
        <v>#VALUE!</v>
      </c>
      <c r="E9651" t="e">
        <f>cubic_spline(CURVA!$B$6:$B$20,CURVA!$G$6:$G$20,#REF!)</f>
        <v>#VALUE!</v>
      </c>
    </row>
    <row r="9652" spans="1:5" x14ac:dyDescent="0.2">
      <c r="A9652" s="28">
        <v>9651</v>
      </c>
      <c r="B9652" s="28" t="e">
        <f>interpola(#REF!,CURVA!$B$6:$B$20,CURVA!$G$6:$G$20)</f>
        <v>#VALUE!</v>
      </c>
      <c r="C9652" s="29" t="e">
        <f t="shared" si="150"/>
        <v>#VALUE!</v>
      </c>
      <c r="E9652" t="e">
        <f>cubic_spline(CURVA!$B$6:$B$20,CURVA!$G$6:$G$20,#REF!)</f>
        <v>#VALUE!</v>
      </c>
    </row>
    <row r="9653" spans="1:5" x14ac:dyDescent="0.2">
      <c r="A9653" s="28">
        <v>9652</v>
      </c>
      <c r="B9653" s="28" t="e">
        <f>interpola(#REF!,CURVA!$B$6:$B$20,CURVA!$G$6:$G$20)</f>
        <v>#VALUE!</v>
      </c>
      <c r="C9653" s="29" t="e">
        <f t="shared" si="150"/>
        <v>#VALUE!</v>
      </c>
      <c r="E9653" t="e">
        <f>cubic_spline(CURVA!$B$6:$B$20,CURVA!$G$6:$G$20,#REF!)</f>
        <v>#VALUE!</v>
      </c>
    </row>
    <row r="9654" spans="1:5" x14ac:dyDescent="0.2">
      <c r="A9654" s="28">
        <v>9653</v>
      </c>
      <c r="B9654" s="28" t="e">
        <f>interpola(#REF!,CURVA!$B$6:$B$20,CURVA!$G$6:$G$20)</f>
        <v>#VALUE!</v>
      </c>
      <c r="C9654" s="29" t="e">
        <f t="shared" si="150"/>
        <v>#VALUE!</v>
      </c>
      <c r="E9654" t="e">
        <f>cubic_spline(CURVA!$B$6:$B$20,CURVA!$G$6:$G$20,#REF!)</f>
        <v>#VALUE!</v>
      </c>
    </row>
    <row r="9655" spans="1:5" x14ac:dyDescent="0.2">
      <c r="A9655" s="28">
        <v>9654</v>
      </c>
      <c r="B9655" s="28" t="e">
        <f>interpola(#REF!,CURVA!$B$6:$B$20,CURVA!$G$6:$G$20)</f>
        <v>#VALUE!</v>
      </c>
      <c r="C9655" s="29" t="e">
        <f t="shared" si="150"/>
        <v>#VALUE!</v>
      </c>
      <c r="E9655" t="e">
        <f>cubic_spline(CURVA!$B$6:$B$20,CURVA!$G$6:$G$20,#REF!)</f>
        <v>#VALUE!</v>
      </c>
    </row>
    <row r="9656" spans="1:5" x14ac:dyDescent="0.2">
      <c r="A9656" s="28">
        <v>9655</v>
      </c>
      <c r="B9656" s="28" t="e">
        <f>interpola(#REF!,CURVA!$B$6:$B$20,CURVA!$G$6:$G$20)</f>
        <v>#VALUE!</v>
      </c>
      <c r="C9656" s="29" t="e">
        <f t="shared" si="150"/>
        <v>#VALUE!</v>
      </c>
      <c r="E9656" t="e">
        <f>cubic_spline(CURVA!$B$6:$B$20,CURVA!$G$6:$G$20,#REF!)</f>
        <v>#VALUE!</v>
      </c>
    </row>
    <row r="9657" spans="1:5" x14ac:dyDescent="0.2">
      <c r="A9657" s="28">
        <v>9656</v>
      </c>
      <c r="B9657" s="28" t="e">
        <f>interpola(#REF!,CURVA!$B$6:$B$20,CURVA!$G$6:$G$20)</f>
        <v>#VALUE!</v>
      </c>
      <c r="C9657" s="29" t="e">
        <f t="shared" si="150"/>
        <v>#VALUE!</v>
      </c>
      <c r="E9657" t="e">
        <f>cubic_spline(CURVA!$B$6:$B$20,CURVA!$G$6:$G$20,#REF!)</f>
        <v>#VALUE!</v>
      </c>
    </row>
    <row r="9658" spans="1:5" x14ac:dyDescent="0.2">
      <c r="A9658" s="28">
        <v>9657</v>
      </c>
      <c r="B9658" s="28" t="e">
        <f>interpola(#REF!,CURVA!$B$6:$B$20,CURVA!$G$6:$G$20)</f>
        <v>#VALUE!</v>
      </c>
      <c r="C9658" s="29" t="e">
        <f t="shared" si="150"/>
        <v>#VALUE!</v>
      </c>
      <c r="E9658" t="e">
        <f>cubic_spline(CURVA!$B$6:$B$20,CURVA!$G$6:$G$20,#REF!)</f>
        <v>#VALUE!</v>
      </c>
    </row>
    <row r="9659" spans="1:5" x14ac:dyDescent="0.2">
      <c r="A9659" s="28">
        <v>9658</v>
      </c>
      <c r="B9659" s="28" t="e">
        <f>interpola(#REF!,CURVA!$B$6:$B$20,CURVA!$G$6:$G$20)</f>
        <v>#VALUE!</v>
      </c>
      <c r="C9659" s="29" t="e">
        <f t="shared" si="150"/>
        <v>#VALUE!</v>
      </c>
      <c r="E9659" t="e">
        <f>cubic_spline(CURVA!$B$6:$B$20,CURVA!$G$6:$G$20,#REF!)</f>
        <v>#VALUE!</v>
      </c>
    </row>
    <row r="9660" spans="1:5" x14ac:dyDescent="0.2">
      <c r="A9660" s="28">
        <v>9659</v>
      </c>
      <c r="B9660" s="28" t="e">
        <f>interpola(#REF!,CURVA!$B$6:$B$20,CURVA!$G$6:$G$20)</f>
        <v>#VALUE!</v>
      </c>
      <c r="C9660" s="29" t="e">
        <f t="shared" si="150"/>
        <v>#VALUE!</v>
      </c>
      <c r="E9660" t="e">
        <f>cubic_spline(CURVA!$B$6:$B$20,CURVA!$G$6:$G$20,#REF!)</f>
        <v>#VALUE!</v>
      </c>
    </row>
    <row r="9661" spans="1:5" x14ac:dyDescent="0.2">
      <c r="A9661" s="28">
        <v>9660</v>
      </c>
      <c r="B9661" s="28" t="e">
        <f>interpola(#REF!,CURVA!$B$6:$B$20,CURVA!$G$6:$G$20)</f>
        <v>#VALUE!</v>
      </c>
      <c r="C9661" s="29" t="e">
        <f t="shared" si="150"/>
        <v>#VALUE!</v>
      </c>
      <c r="E9661" t="e">
        <f>cubic_spline(CURVA!$B$6:$B$20,CURVA!$G$6:$G$20,#REF!)</f>
        <v>#VALUE!</v>
      </c>
    </row>
    <row r="9662" spans="1:5" x14ac:dyDescent="0.2">
      <c r="A9662" s="28">
        <v>9661</v>
      </c>
      <c r="B9662" s="28" t="e">
        <f>interpola(#REF!,CURVA!$B$6:$B$20,CURVA!$G$6:$G$20)</f>
        <v>#VALUE!</v>
      </c>
      <c r="C9662" s="29" t="e">
        <f t="shared" si="150"/>
        <v>#VALUE!</v>
      </c>
      <c r="E9662" t="e">
        <f>cubic_spline(CURVA!$B$6:$B$20,CURVA!$G$6:$G$20,#REF!)</f>
        <v>#VALUE!</v>
      </c>
    </row>
    <row r="9663" spans="1:5" x14ac:dyDescent="0.2">
      <c r="A9663" s="28">
        <v>9662</v>
      </c>
      <c r="B9663" s="28" t="e">
        <f>interpola(#REF!,CURVA!$B$6:$B$20,CURVA!$G$6:$G$20)</f>
        <v>#VALUE!</v>
      </c>
      <c r="C9663" s="29" t="e">
        <f t="shared" si="150"/>
        <v>#VALUE!</v>
      </c>
      <c r="E9663" t="e">
        <f>cubic_spline(CURVA!$B$6:$B$20,CURVA!$G$6:$G$20,#REF!)</f>
        <v>#VALUE!</v>
      </c>
    </row>
    <row r="9664" spans="1:5" x14ac:dyDescent="0.2">
      <c r="A9664" s="28">
        <v>9663</v>
      </c>
      <c r="B9664" s="28" t="e">
        <f>interpola(#REF!,CURVA!$B$6:$B$20,CURVA!$G$6:$G$20)</f>
        <v>#VALUE!</v>
      </c>
      <c r="C9664" s="29" t="e">
        <f t="shared" si="150"/>
        <v>#VALUE!</v>
      </c>
      <c r="E9664" t="e">
        <f>cubic_spline(CURVA!$B$6:$B$20,CURVA!$G$6:$G$20,#REF!)</f>
        <v>#VALUE!</v>
      </c>
    </row>
    <row r="9665" spans="1:5" x14ac:dyDescent="0.2">
      <c r="A9665" s="28">
        <v>9664</v>
      </c>
      <c r="B9665" s="28" t="e">
        <f>interpola(#REF!,CURVA!$B$6:$B$20,CURVA!$G$6:$G$20)</f>
        <v>#VALUE!</v>
      </c>
      <c r="C9665" s="29" t="e">
        <f t="shared" si="150"/>
        <v>#VALUE!</v>
      </c>
      <c r="E9665" t="e">
        <f>cubic_spline(CURVA!$B$6:$B$20,CURVA!$G$6:$G$20,#REF!)</f>
        <v>#VALUE!</v>
      </c>
    </row>
    <row r="9666" spans="1:5" x14ac:dyDescent="0.2">
      <c r="A9666" s="28">
        <v>9665</v>
      </c>
      <c r="B9666" s="28" t="e">
        <f>interpola(#REF!,CURVA!$B$6:$B$20,CURVA!$G$6:$G$20)</f>
        <v>#VALUE!</v>
      </c>
      <c r="C9666" s="29" t="e">
        <f t="shared" ref="C9666:C9729" si="151">(EXP(B9666*A9666/360)-1)*360/A9666</f>
        <v>#VALUE!</v>
      </c>
      <c r="E9666" t="e">
        <f>cubic_spline(CURVA!$B$6:$B$20,CURVA!$G$6:$G$20,#REF!)</f>
        <v>#VALUE!</v>
      </c>
    </row>
    <row r="9667" spans="1:5" x14ac:dyDescent="0.2">
      <c r="A9667" s="28">
        <v>9666</v>
      </c>
      <c r="B9667" s="28" t="e">
        <f>interpola(#REF!,CURVA!$B$6:$B$20,CURVA!$G$6:$G$20)</f>
        <v>#VALUE!</v>
      </c>
      <c r="C9667" s="29" t="e">
        <f t="shared" si="151"/>
        <v>#VALUE!</v>
      </c>
      <c r="E9667" t="e">
        <f>cubic_spline(CURVA!$B$6:$B$20,CURVA!$G$6:$G$20,#REF!)</f>
        <v>#VALUE!</v>
      </c>
    </row>
    <row r="9668" spans="1:5" x14ac:dyDescent="0.2">
      <c r="A9668" s="28">
        <v>9667</v>
      </c>
      <c r="B9668" s="28" t="e">
        <f>interpola(#REF!,CURVA!$B$6:$B$20,CURVA!$G$6:$G$20)</f>
        <v>#VALUE!</v>
      </c>
      <c r="C9668" s="29" t="e">
        <f t="shared" si="151"/>
        <v>#VALUE!</v>
      </c>
      <c r="E9668" t="e">
        <f>cubic_spline(CURVA!$B$6:$B$20,CURVA!$G$6:$G$20,#REF!)</f>
        <v>#VALUE!</v>
      </c>
    </row>
    <row r="9669" spans="1:5" x14ac:dyDescent="0.2">
      <c r="A9669" s="28">
        <v>9668</v>
      </c>
      <c r="B9669" s="28" t="e">
        <f>interpola(#REF!,CURVA!$B$6:$B$20,CURVA!$G$6:$G$20)</f>
        <v>#VALUE!</v>
      </c>
      <c r="C9669" s="29" t="e">
        <f t="shared" si="151"/>
        <v>#VALUE!</v>
      </c>
      <c r="E9669" t="e">
        <f>cubic_spline(CURVA!$B$6:$B$20,CURVA!$G$6:$G$20,#REF!)</f>
        <v>#VALUE!</v>
      </c>
    </row>
    <row r="9670" spans="1:5" x14ac:dyDescent="0.2">
      <c r="A9670" s="28">
        <v>9669</v>
      </c>
      <c r="B9670" s="28" t="e">
        <f>interpola(#REF!,CURVA!$B$6:$B$20,CURVA!$G$6:$G$20)</f>
        <v>#VALUE!</v>
      </c>
      <c r="C9670" s="29" t="e">
        <f t="shared" si="151"/>
        <v>#VALUE!</v>
      </c>
      <c r="E9670" t="e">
        <f>cubic_spline(CURVA!$B$6:$B$20,CURVA!$G$6:$G$20,#REF!)</f>
        <v>#VALUE!</v>
      </c>
    </row>
    <row r="9671" spans="1:5" x14ac:dyDescent="0.2">
      <c r="A9671" s="28">
        <v>9670</v>
      </c>
      <c r="B9671" s="28" t="e">
        <f>interpola(#REF!,CURVA!$B$6:$B$20,CURVA!$G$6:$G$20)</f>
        <v>#VALUE!</v>
      </c>
      <c r="C9671" s="29" t="e">
        <f t="shared" si="151"/>
        <v>#VALUE!</v>
      </c>
      <c r="E9671" t="e">
        <f>cubic_spline(CURVA!$B$6:$B$20,CURVA!$G$6:$G$20,#REF!)</f>
        <v>#VALUE!</v>
      </c>
    </row>
    <row r="9672" spans="1:5" x14ac:dyDescent="0.2">
      <c r="A9672" s="28">
        <v>9671</v>
      </c>
      <c r="B9672" s="28" t="e">
        <f>interpola(#REF!,CURVA!$B$6:$B$20,CURVA!$G$6:$G$20)</f>
        <v>#VALUE!</v>
      </c>
      <c r="C9672" s="29" t="e">
        <f t="shared" si="151"/>
        <v>#VALUE!</v>
      </c>
      <c r="E9672" t="e">
        <f>cubic_spline(CURVA!$B$6:$B$20,CURVA!$G$6:$G$20,#REF!)</f>
        <v>#VALUE!</v>
      </c>
    </row>
    <row r="9673" spans="1:5" x14ac:dyDescent="0.2">
      <c r="A9673" s="28">
        <v>9672</v>
      </c>
      <c r="B9673" s="28" t="e">
        <f>interpola(#REF!,CURVA!$B$6:$B$20,CURVA!$G$6:$G$20)</f>
        <v>#VALUE!</v>
      </c>
      <c r="C9673" s="29" t="e">
        <f t="shared" si="151"/>
        <v>#VALUE!</v>
      </c>
      <c r="E9673" t="e">
        <f>cubic_spline(CURVA!$B$6:$B$20,CURVA!$G$6:$G$20,#REF!)</f>
        <v>#VALUE!</v>
      </c>
    </row>
    <row r="9674" spans="1:5" x14ac:dyDescent="0.2">
      <c r="A9674" s="28">
        <v>9673</v>
      </c>
      <c r="B9674" s="28" t="e">
        <f>interpola(#REF!,CURVA!$B$6:$B$20,CURVA!$G$6:$G$20)</f>
        <v>#VALUE!</v>
      </c>
      <c r="C9674" s="29" t="e">
        <f t="shared" si="151"/>
        <v>#VALUE!</v>
      </c>
      <c r="E9674" t="e">
        <f>cubic_spline(CURVA!$B$6:$B$20,CURVA!$G$6:$G$20,#REF!)</f>
        <v>#VALUE!</v>
      </c>
    </row>
    <row r="9675" spans="1:5" x14ac:dyDescent="0.2">
      <c r="A9675" s="28">
        <v>9674</v>
      </c>
      <c r="B9675" s="28" t="e">
        <f>interpola(#REF!,CURVA!$B$6:$B$20,CURVA!$G$6:$G$20)</f>
        <v>#VALUE!</v>
      </c>
      <c r="C9675" s="29" t="e">
        <f t="shared" si="151"/>
        <v>#VALUE!</v>
      </c>
      <c r="E9675" t="e">
        <f>cubic_spline(CURVA!$B$6:$B$20,CURVA!$G$6:$G$20,#REF!)</f>
        <v>#VALUE!</v>
      </c>
    </row>
    <row r="9676" spans="1:5" x14ac:dyDescent="0.2">
      <c r="A9676" s="28">
        <v>9675</v>
      </c>
      <c r="B9676" s="28" t="e">
        <f>interpola(#REF!,CURVA!$B$6:$B$20,CURVA!$G$6:$G$20)</f>
        <v>#VALUE!</v>
      </c>
      <c r="C9676" s="29" t="e">
        <f t="shared" si="151"/>
        <v>#VALUE!</v>
      </c>
      <c r="E9676" t="e">
        <f>cubic_spline(CURVA!$B$6:$B$20,CURVA!$G$6:$G$20,#REF!)</f>
        <v>#VALUE!</v>
      </c>
    </row>
    <row r="9677" spans="1:5" x14ac:dyDescent="0.2">
      <c r="A9677" s="28">
        <v>9676</v>
      </c>
      <c r="B9677" s="28" t="e">
        <f>interpola(#REF!,CURVA!$B$6:$B$20,CURVA!$G$6:$G$20)</f>
        <v>#VALUE!</v>
      </c>
      <c r="C9677" s="29" t="e">
        <f t="shared" si="151"/>
        <v>#VALUE!</v>
      </c>
      <c r="E9677" t="e">
        <f>cubic_spline(CURVA!$B$6:$B$20,CURVA!$G$6:$G$20,#REF!)</f>
        <v>#VALUE!</v>
      </c>
    </row>
    <row r="9678" spans="1:5" x14ac:dyDescent="0.2">
      <c r="A9678" s="28">
        <v>9677</v>
      </c>
      <c r="B9678" s="28" t="e">
        <f>interpola(#REF!,CURVA!$B$6:$B$20,CURVA!$G$6:$G$20)</f>
        <v>#VALUE!</v>
      </c>
      <c r="C9678" s="29" t="e">
        <f t="shared" si="151"/>
        <v>#VALUE!</v>
      </c>
      <c r="E9678" t="e">
        <f>cubic_spline(CURVA!$B$6:$B$20,CURVA!$G$6:$G$20,#REF!)</f>
        <v>#VALUE!</v>
      </c>
    </row>
    <row r="9679" spans="1:5" x14ac:dyDescent="0.2">
      <c r="A9679" s="28">
        <v>9678</v>
      </c>
      <c r="B9679" s="28" t="e">
        <f>interpola(#REF!,CURVA!$B$6:$B$20,CURVA!$G$6:$G$20)</f>
        <v>#VALUE!</v>
      </c>
      <c r="C9679" s="29" t="e">
        <f t="shared" si="151"/>
        <v>#VALUE!</v>
      </c>
      <c r="E9679" t="e">
        <f>cubic_spline(CURVA!$B$6:$B$20,CURVA!$G$6:$G$20,#REF!)</f>
        <v>#VALUE!</v>
      </c>
    </row>
    <row r="9680" spans="1:5" x14ac:dyDescent="0.2">
      <c r="A9680" s="28">
        <v>9679</v>
      </c>
      <c r="B9680" s="28" t="e">
        <f>interpola(#REF!,CURVA!$B$6:$B$20,CURVA!$G$6:$G$20)</f>
        <v>#VALUE!</v>
      </c>
      <c r="C9680" s="29" t="e">
        <f t="shared" si="151"/>
        <v>#VALUE!</v>
      </c>
      <c r="E9680" t="e">
        <f>cubic_spline(CURVA!$B$6:$B$20,CURVA!$G$6:$G$20,#REF!)</f>
        <v>#VALUE!</v>
      </c>
    </row>
    <row r="9681" spans="1:5" x14ac:dyDescent="0.2">
      <c r="A9681" s="28">
        <v>9680</v>
      </c>
      <c r="B9681" s="28" t="e">
        <f>interpola(#REF!,CURVA!$B$6:$B$20,CURVA!$G$6:$G$20)</f>
        <v>#VALUE!</v>
      </c>
      <c r="C9681" s="29" t="e">
        <f t="shared" si="151"/>
        <v>#VALUE!</v>
      </c>
      <c r="E9681" t="e">
        <f>cubic_spline(CURVA!$B$6:$B$20,CURVA!$G$6:$G$20,#REF!)</f>
        <v>#VALUE!</v>
      </c>
    </row>
    <row r="9682" spans="1:5" x14ac:dyDescent="0.2">
      <c r="A9682" s="28">
        <v>9681</v>
      </c>
      <c r="B9682" s="28" t="e">
        <f>interpola(#REF!,CURVA!$B$6:$B$20,CURVA!$G$6:$G$20)</f>
        <v>#VALUE!</v>
      </c>
      <c r="C9682" s="29" t="e">
        <f t="shared" si="151"/>
        <v>#VALUE!</v>
      </c>
      <c r="E9682" t="e">
        <f>cubic_spline(CURVA!$B$6:$B$20,CURVA!$G$6:$G$20,#REF!)</f>
        <v>#VALUE!</v>
      </c>
    </row>
    <row r="9683" spans="1:5" x14ac:dyDescent="0.2">
      <c r="A9683" s="28">
        <v>9682</v>
      </c>
      <c r="B9683" s="28" t="e">
        <f>interpola(#REF!,CURVA!$B$6:$B$20,CURVA!$G$6:$G$20)</f>
        <v>#VALUE!</v>
      </c>
      <c r="C9683" s="29" t="e">
        <f t="shared" si="151"/>
        <v>#VALUE!</v>
      </c>
      <c r="E9683" t="e">
        <f>cubic_spline(CURVA!$B$6:$B$20,CURVA!$G$6:$G$20,#REF!)</f>
        <v>#VALUE!</v>
      </c>
    </row>
    <row r="9684" spans="1:5" x14ac:dyDescent="0.2">
      <c r="A9684" s="28">
        <v>9683</v>
      </c>
      <c r="B9684" s="28" t="e">
        <f>interpola(#REF!,CURVA!$B$6:$B$20,CURVA!$G$6:$G$20)</f>
        <v>#VALUE!</v>
      </c>
      <c r="C9684" s="29" t="e">
        <f t="shared" si="151"/>
        <v>#VALUE!</v>
      </c>
      <c r="E9684" t="e">
        <f>cubic_spline(CURVA!$B$6:$B$20,CURVA!$G$6:$G$20,#REF!)</f>
        <v>#VALUE!</v>
      </c>
    </row>
    <row r="9685" spans="1:5" x14ac:dyDescent="0.2">
      <c r="A9685" s="28">
        <v>9684</v>
      </c>
      <c r="B9685" s="28" t="e">
        <f>interpola(#REF!,CURVA!$B$6:$B$20,CURVA!$G$6:$G$20)</f>
        <v>#VALUE!</v>
      </c>
      <c r="C9685" s="29" t="e">
        <f t="shared" si="151"/>
        <v>#VALUE!</v>
      </c>
      <c r="E9685" t="e">
        <f>cubic_spline(CURVA!$B$6:$B$20,CURVA!$G$6:$G$20,#REF!)</f>
        <v>#VALUE!</v>
      </c>
    </row>
    <row r="9686" spans="1:5" x14ac:dyDescent="0.2">
      <c r="A9686" s="28">
        <v>9685</v>
      </c>
      <c r="B9686" s="28" t="e">
        <f>interpola(#REF!,CURVA!$B$6:$B$20,CURVA!$G$6:$G$20)</f>
        <v>#VALUE!</v>
      </c>
      <c r="C9686" s="29" t="e">
        <f t="shared" si="151"/>
        <v>#VALUE!</v>
      </c>
      <c r="E9686" t="e">
        <f>cubic_spline(CURVA!$B$6:$B$20,CURVA!$G$6:$G$20,#REF!)</f>
        <v>#VALUE!</v>
      </c>
    </row>
    <row r="9687" spans="1:5" x14ac:dyDescent="0.2">
      <c r="A9687" s="28">
        <v>9686</v>
      </c>
      <c r="B9687" s="28" t="e">
        <f>interpola(#REF!,CURVA!$B$6:$B$20,CURVA!$G$6:$G$20)</f>
        <v>#VALUE!</v>
      </c>
      <c r="C9687" s="29" t="e">
        <f t="shared" si="151"/>
        <v>#VALUE!</v>
      </c>
      <c r="E9687" t="e">
        <f>cubic_spline(CURVA!$B$6:$B$20,CURVA!$G$6:$G$20,#REF!)</f>
        <v>#VALUE!</v>
      </c>
    </row>
    <row r="9688" spans="1:5" x14ac:dyDescent="0.2">
      <c r="A9688" s="28">
        <v>9687</v>
      </c>
      <c r="B9688" s="28" t="e">
        <f>interpola(#REF!,CURVA!$B$6:$B$20,CURVA!$G$6:$G$20)</f>
        <v>#VALUE!</v>
      </c>
      <c r="C9688" s="29" t="e">
        <f t="shared" si="151"/>
        <v>#VALUE!</v>
      </c>
      <c r="E9688" t="e">
        <f>cubic_spline(CURVA!$B$6:$B$20,CURVA!$G$6:$G$20,#REF!)</f>
        <v>#VALUE!</v>
      </c>
    </row>
    <row r="9689" spans="1:5" x14ac:dyDescent="0.2">
      <c r="A9689" s="28">
        <v>9688</v>
      </c>
      <c r="B9689" s="28" t="e">
        <f>interpola(#REF!,CURVA!$B$6:$B$20,CURVA!$G$6:$G$20)</f>
        <v>#VALUE!</v>
      </c>
      <c r="C9689" s="29" t="e">
        <f t="shared" si="151"/>
        <v>#VALUE!</v>
      </c>
      <c r="E9689" t="e">
        <f>cubic_spline(CURVA!$B$6:$B$20,CURVA!$G$6:$G$20,#REF!)</f>
        <v>#VALUE!</v>
      </c>
    </row>
    <row r="9690" spans="1:5" x14ac:dyDescent="0.2">
      <c r="A9690" s="28">
        <v>9689</v>
      </c>
      <c r="B9690" s="28" t="e">
        <f>interpola(#REF!,CURVA!$B$6:$B$20,CURVA!$G$6:$G$20)</f>
        <v>#VALUE!</v>
      </c>
      <c r="C9690" s="29" t="e">
        <f t="shared" si="151"/>
        <v>#VALUE!</v>
      </c>
      <c r="E9690" t="e">
        <f>cubic_spline(CURVA!$B$6:$B$20,CURVA!$G$6:$G$20,#REF!)</f>
        <v>#VALUE!</v>
      </c>
    </row>
    <row r="9691" spans="1:5" x14ac:dyDescent="0.2">
      <c r="A9691" s="28">
        <v>9690</v>
      </c>
      <c r="B9691" s="28" t="e">
        <f>interpola(#REF!,CURVA!$B$6:$B$20,CURVA!$G$6:$G$20)</f>
        <v>#VALUE!</v>
      </c>
      <c r="C9691" s="29" t="e">
        <f t="shared" si="151"/>
        <v>#VALUE!</v>
      </c>
      <c r="E9691" t="e">
        <f>cubic_spline(CURVA!$B$6:$B$20,CURVA!$G$6:$G$20,#REF!)</f>
        <v>#VALUE!</v>
      </c>
    </row>
    <row r="9692" spans="1:5" x14ac:dyDescent="0.2">
      <c r="A9692" s="28">
        <v>9691</v>
      </c>
      <c r="B9692" s="28" t="e">
        <f>interpola(#REF!,CURVA!$B$6:$B$20,CURVA!$G$6:$G$20)</f>
        <v>#VALUE!</v>
      </c>
      <c r="C9692" s="29" t="e">
        <f t="shared" si="151"/>
        <v>#VALUE!</v>
      </c>
      <c r="E9692" t="e">
        <f>cubic_spline(CURVA!$B$6:$B$20,CURVA!$G$6:$G$20,#REF!)</f>
        <v>#VALUE!</v>
      </c>
    </row>
    <row r="9693" spans="1:5" x14ac:dyDescent="0.2">
      <c r="A9693" s="28">
        <v>9692</v>
      </c>
      <c r="B9693" s="28" t="e">
        <f>interpola(#REF!,CURVA!$B$6:$B$20,CURVA!$G$6:$G$20)</f>
        <v>#VALUE!</v>
      </c>
      <c r="C9693" s="29" t="e">
        <f t="shared" si="151"/>
        <v>#VALUE!</v>
      </c>
      <c r="E9693" t="e">
        <f>cubic_spline(CURVA!$B$6:$B$20,CURVA!$G$6:$G$20,#REF!)</f>
        <v>#VALUE!</v>
      </c>
    </row>
    <row r="9694" spans="1:5" x14ac:dyDescent="0.2">
      <c r="A9694" s="28">
        <v>9693</v>
      </c>
      <c r="B9694" s="28" t="e">
        <f>interpola(#REF!,CURVA!$B$6:$B$20,CURVA!$G$6:$G$20)</f>
        <v>#VALUE!</v>
      </c>
      <c r="C9694" s="29" t="e">
        <f t="shared" si="151"/>
        <v>#VALUE!</v>
      </c>
      <c r="E9694" t="e">
        <f>cubic_spline(CURVA!$B$6:$B$20,CURVA!$G$6:$G$20,#REF!)</f>
        <v>#VALUE!</v>
      </c>
    </row>
    <row r="9695" spans="1:5" x14ac:dyDescent="0.2">
      <c r="A9695" s="28">
        <v>9694</v>
      </c>
      <c r="B9695" s="28" t="e">
        <f>interpola(#REF!,CURVA!$B$6:$B$20,CURVA!$G$6:$G$20)</f>
        <v>#VALUE!</v>
      </c>
      <c r="C9695" s="29" t="e">
        <f t="shared" si="151"/>
        <v>#VALUE!</v>
      </c>
      <c r="E9695" t="e">
        <f>cubic_spline(CURVA!$B$6:$B$20,CURVA!$G$6:$G$20,#REF!)</f>
        <v>#VALUE!</v>
      </c>
    </row>
    <row r="9696" spans="1:5" x14ac:dyDescent="0.2">
      <c r="A9696" s="28">
        <v>9695</v>
      </c>
      <c r="B9696" s="28" t="e">
        <f>interpola(#REF!,CURVA!$B$6:$B$20,CURVA!$G$6:$G$20)</f>
        <v>#VALUE!</v>
      </c>
      <c r="C9696" s="29" t="e">
        <f t="shared" si="151"/>
        <v>#VALUE!</v>
      </c>
      <c r="E9696" t="e">
        <f>cubic_spline(CURVA!$B$6:$B$20,CURVA!$G$6:$G$20,#REF!)</f>
        <v>#VALUE!</v>
      </c>
    </row>
    <row r="9697" spans="1:5" x14ac:dyDescent="0.2">
      <c r="A9697" s="28">
        <v>9696</v>
      </c>
      <c r="B9697" s="28" t="e">
        <f>interpola(#REF!,CURVA!$B$6:$B$20,CURVA!$G$6:$G$20)</f>
        <v>#VALUE!</v>
      </c>
      <c r="C9697" s="29" t="e">
        <f t="shared" si="151"/>
        <v>#VALUE!</v>
      </c>
      <c r="E9697" t="e">
        <f>cubic_spline(CURVA!$B$6:$B$20,CURVA!$G$6:$G$20,#REF!)</f>
        <v>#VALUE!</v>
      </c>
    </row>
    <row r="9698" spans="1:5" x14ac:dyDescent="0.2">
      <c r="A9698" s="28">
        <v>9697</v>
      </c>
      <c r="B9698" s="28" t="e">
        <f>interpola(#REF!,CURVA!$B$6:$B$20,CURVA!$G$6:$G$20)</f>
        <v>#VALUE!</v>
      </c>
      <c r="C9698" s="29" t="e">
        <f t="shared" si="151"/>
        <v>#VALUE!</v>
      </c>
      <c r="E9698" t="e">
        <f>cubic_spline(CURVA!$B$6:$B$20,CURVA!$G$6:$G$20,#REF!)</f>
        <v>#VALUE!</v>
      </c>
    </row>
    <row r="9699" spans="1:5" x14ac:dyDescent="0.2">
      <c r="A9699" s="28">
        <v>9698</v>
      </c>
      <c r="B9699" s="28" t="e">
        <f>interpola(#REF!,CURVA!$B$6:$B$20,CURVA!$G$6:$G$20)</f>
        <v>#VALUE!</v>
      </c>
      <c r="C9699" s="29" t="e">
        <f t="shared" si="151"/>
        <v>#VALUE!</v>
      </c>
      <c r="E9699" t="e">
        <f>cubic_spline(CURVA!$B$6:$B$20,CURVA!$G$6:$G$20,#REF!)</f>
        <v>#VALUE!</v>
      </c>
    </row>
    <row r="9700" spans="1:5" x14ac:dyDescent="0.2">
      <c r="A9700" s="28">
        <v>9699</v>
      </c>
      <c r="B9700" s="28" t="e">
        <f>interpola(#REF!,CURVA!$B$6:$B$20,CURVA!$G$6:$G$20)</f>
        <v>#VALUE!</v>
      </c>
      <c r="C9700" s="29" t="e">
        <f t="shared" si="151"/>
        <v>#VALUE!</v>
      </c>
      <c r="E9700" t="e">
        <f>cubic_spline(CURVA!$B$6:$B$20,CURVA!$G$6:$G$20,#REF!)</f>
        <v>#VALUE!</v>
      </c>
    </row>
    <row r="9701" spans="1:5" x14ac:dyDescent="0.2">
      <c r="A9701" s="28">
        <v>9700</v>
      </c>
      <c r="B9701" s="28" t="e">
        <f>interpola(#REF!,CURVA!$B$6:$B$20,CURVA!$G$6:$G$20)</f>
        <v>#VALUE!</v>
      </c>
      <c r="C9701" s="29" t="e">
        <f t="shared" si="151"/>
        <v>#VALUE!</v>
      </c>
      <c r="E9701" t="e">
        <f>cubic_spline(CURVA!$B$6:$B$20,CURVA!$G$6:$G$20,#REF!)</f>
        <v>#VALUE!</v>
      </c>
    </row>
    <row r="9702" spans="1:5" x14ac:dyDescent="0.2">
      <c r="A9702" s="28">
        <v>9701</v>
      </c>
      <c r="B9702" s="28" t="e">
        <f>interpola(#REF!,CURVA!$B$6:$B$20,CURVA!$G$6:$G$20)</f>
        <v>#VALUE!</v>
      </c>
      <c r="C9702" s="29" t="e">
        <f t="shared" si="151"/>
        <v>#VALUE!</v>
      </c>
      <c r="E9702" t="e">
        <f>cubic_spline(CURVA!$B$6:$B$20,CURVA!$G$6:$G$20,#REF!)</f>
        <v>#VALUE!</v>
      </c>
    </row>
    <row r="9703" spans="1:5" x14ac:dyDescent="0.2">
      <c r="A9703" s="28">
        <v>9702</v>
      </c>
      <c r="B9703" s="28" t="e">
        <f>interpola(#REF!,CURVA!$B$6:$B$20,CURVA!$G$6:$G$20)</f>
        <v>#VALUE!</v>
      </c>
      <c r="C9703" s="29" t="e">
        <f t="shared" si="151"/>
        <v>#VALUE!</v>
      </c>
      <c r="E9703" t="e">
        <f>cubic_spline(CURVA!$B$6:$B$20,CURVA!$G$6:$G$20,#REF!)</f>
        <v>#VALUE!</v>
      </c>
    </row>
    <row r="9704" spans="1:5" x14ac:dyDescent="0.2">
      <c r="A9704" s="28">
        <v>9703</v>
      </c>
      <c r="B9704" s="28" t="e">
        <f>interpola(#REF!,CURVA!$B$6:$B$20,CURVA!$G$6:$G$20)</f>
        <v>#VALUE!</v>
      </c>
      <c r="C9704" s="29" t="e">
        <f t="shared" si="151"/>
        <v>#VALUE!</v>
      </c>
      <c r="E9704" t="e">
        <f>cubic_spline(CURVA!$B$6:$B$20,CURVA!$G$6:$G$20,#REF!)</f>
        <v>#VALUE!</v>
      </c>
    </row>
    <row r="9705" spans="1:5" x14ac:dyDescent="0.2">
      <c r="A9705" s="28">
        <v>9704</v>
      </c>
      <c r="B9705" s="28" t="e">
        <f>interpola(#REF!,CURVA!$B$6:$B$20,CURVA!$G$6:$G$20)</f>
        <v>#VALUE!</v>
      </c>
      <c r="C9705" s="29" t="e">
        <f t="shared" si="151"/>
        <v>#VALUE!</v>
      </c>
      <c r="E9705" t="e">
        <f>cubic_spline(CURVA!$B$6:$B$20,CURVA!$G$6:$G$20,#REF!)</f>
        <v>#VALUE!</v>
      </c>
    </row>
    <row r="9706" spans="1:5" x14ac:dyDescent="0.2">
      <c r="A9706" s="28">
        <v>9705</v>
      </c>
      <c r="B9706" s="28" t="e">
        <f>interpola(#REF!,CURVA!$B$6:$B$20,CURVA!$G$6:$G$20)</f>
        <v>#VALUE!</v>
      </c>
      <c r="C9706" s="29" t="e">
        <f t="shared" si="151"/>
        <v>#VALUE!</v>
      </c>
      <c r="E9706" t="e">
        <f>cubic_spline(CURVA!$B$6:$B$20,CURVA!$G$6:$G$20,#REF!)</f>
        <v>#VALUE!</v>
      </c>
    </row>
    <row r="9707" spans="1:5" x14ac:dyDescent="0.2">
      <c r="A9707" s="28">
        <v>9706</v>
      </c>
      <c r="B9707" s="28" t="e">
        <f>interpola(#REF!,CURVA!$B$6:$B$20,CURVA!$G$6:$G$20)</f>
        <v>#VALUE!</v>
      </c>
      <c r="C9707" s="29" t="e">
        <f t="shared" si="151"/>
        <v>#VALUE!</v>
      </c>
      <c r="E9707" t="e">
        <f>cubic_spline(CURVA!$B$6:$B$20,CURVA!$G$6:$G$20,#REF!)</f>
        <v>#VALUE!</v>
      </c>
    </row>
    <row r="9708" spans="1:5" x14ac:dyDescent="0.2">
      <c r="A9708" s="28">
        <v>9707</v>
      </c>
      <c r="B9708" s="28" t="e">
        <f>interpola(#REF!,CURVA!$B$6:$B$20,CURVA!$G$6:$G$20)</f>
        <v>#VALUE!</v>
      </c>
      <c r="C9708" s="29" t="e">
        <f t="shared" si="151"/>
        <v>#VALUE!</v>
      </c>
      <c r="E9708" t="e">
        <f>cubic_spline(CURVA!$B$6:$B$20,CURVA!$G$6:$G$20,#REF!)</f>
        <v>#VALUE!</v>
      </c>
    </row>
    <row r="9709" spans="1:5" x14ac:dyDescent="0.2">
      <c r="A9709" s="28">
        <v>9708</v>
      </c>
      <c r="B9709" s="28" t="e">
        <f>interpola(#REF!,CURVA!$B$6:$B$20,CURVA!$G$6:$G$20)</f>
        <v>#VALUE!</v>
      </c>
      <c r="C9709" s="29" t="e">
        <f t="shared" si="151"/>
        <v>#VALUE!</v>
      </c>
      <c r="E9709" t="e">
        <f>cubic_spline(CURVA!$B$6:$B$20,CURVA!$G$6:$G$20,#REF!)</f>
        <v>#VALUE!</v>
      </c>
    </row>
    <row r="9710" spans="1:5" x14ac:dyDescent="0.2">
      <c r="A9710" s="28">
        <v>9709</v>
      </c>
      <c r="B9710" s="28" t="e">
        <f>interpola(#REF!,CURVA!$B$6:$B$20,CURVA!$G$6:$G$20)</f>
        <v>#VALUE!</v>
      </c>
      <c r="C9710" s="29" t="e">
        <f t="shared" si="151"/>
        <v>#VALUE!</v>
      </c>
      <c r="E9710" t="e">
        <f>cubic_spline(CURVA!$B$6:$B$20,CURVA!$G$6:$G$20,#REF!)</f>
        <v>#VALUE!</v>
      </c>
    </row>
    <row r="9711" spans="1:5" x14ac:dyDescent="0.2">
      <c r="A9711" s="28">
        <v>9710</v>
      </c>
      <c r="B9711" s="28" t="e">
        <f>interpola(#REF!,CURVA!$B$6:$B$20,CURVA!$G$6:$G$20)</f>
        <v>#VALUE!</v>
      </c>
      <c r="C9711" s="29" t="e">
        <f t="shared" si="151"/>
        <v>#VALUE!</v>
      </c>
      <c r="E9711" t="e">
        <f>cubic_spline(CURVA!$B$6:$B$20,CURVA!$G$6:$G$20,#REF!)</f>
        <v>#VALUE!</v>
      </c>
    </row>
    <row r="9712" spans="1:5" x14ac:dyDescent="0.2">
      <c r="A9712" s="28">
        <v>9711</v>
      </c>
      <c r="B9712" s="28" t="e">
        <f>interpola(#REF!,CURVA!$B$6:$B$20,CURVA!$G$6:$G$20)</f>
        <v>#VALUE!</v>
      </c>
      <c r="C9712" s="29" t="e">
        <f t="shared" si="151"/>
        <v>#VALUE!</v>
      </c>
      <c r="E9712" t="e">
        <f>cubic_spline(CURVA!$B$6:$B$20,CURVA!$G$6:$G$20,#REF!)</f>
        <v>#VALUE!</v>
      </c>
    </row>
    <row r="9713" spans="1:5" x14ac:dyDescent="0.2">
      <c r="A9713" s="28">
        <v>9712</v>
      </c>
      <c r="B9713" s="28" t="e">
        <f>interpola(#REF!,CURVA!$B$6:$B$20,CURVA!$G$6:$G$20)</f>
        <v>#VALUE!</v>
      </c>
      <c r="C9713" s="29" t="e">
        <f t="shared" si="151"/>
        <v>#VALUE!</v>
      </c>
      <c r="E9713" t="e">
        <f>cubic_spline(CURVA!$B$6:$B$20,CURVA!$G$6:$G$20,#REF!)</f>
        <v>#VALUE!</v>
      </c>
    </row>
    <row r="9714" spans="1:5" x14ac:dyDescent="0.2">
      <c r="A9714" s="28">
        <v>9713</v>
      </c>
      <c r="B9714" s="28" t="e">
        <f>interpola(#REF!,CURVA!$B$6:$B$20,CURVA!$G$6:$G$20)</f>
        <v>#VALUE!</v>
      </c>
      <c r="C9714" s="29" t="e">
        <f t="shared" si="151"/>
        <v>#VALUE!</v>
      </c>
      <c r="E9714" t="e">
        <f>cubic_spline(CURVA!$B$6:$B$20,CURVA!$G$6:$G$20,#REF!)</f>
        <v>#VALUE!</v>
      </c>
    </row>
    <row r="9715" spans="1:5" x14ac:dyDescent="0.2">
      <c r="A9715" s="28">
        <v>9714</v>
      </c>
      <c r="B9715" s="28" t="e">
        <f>interpola(#REF!,CURVA!$B$6:$B$20,CURVA!$G$6:$G$20)</f>
        <v>#VALUE!</v>
      </c>
      <c r="C9715" s="29" t="e">
        <f t="shared" si="151"/>
        <v>#VALUE!</v>
      </c>
      <c r="E9715" t="e">
        <f>cubic_spline(CURVA!$B$6:$B$20,CURVA!$G$6:$G$20,#REF!)</f>
        <v>#VALUE!</v>
      </c>
    </row>
    <row r="9716" spans="1:5" x14ac:dyDescent="0.2">
      <c r="A9716" s="28">
        <v>9715</v>
      </c>
      <c r="B9716" s="28" t="e">
        <f>interpola(#REF!,CURVA!$B$6:$B$20,CURVA!$G$6:$G$20)</f>
        <v>#VALUE!</v>
      </c>
      <c r="C9716" s="29" t="e">
        <f t="shared" si="151"/>
        <v>#VALUE!</v>
      </c>
      <c r="E9716" t="e">
        <f>cubic_spline(CURVA!$B$6:$B$20,CURVA!$G$6:$G$20,#REF!)</f>
        <v>#VALUE!</v>
      </c>
    </row>
    <row r="9717" spans="1:5" x14ac:dyDescent="0.2">
      <c r="A9717" s="28">
        <v>9716</v>
      </c>
      <c r="B9717" s="28" t="e">
        <f>interpola(#REF!,CURVA!$B$6:$B$20,CURVA!$G$6:$G$20)</f>
        <v>#VALUE!</v>
      </c>
      <c r="C9717" s="29" t="e">
        <f t="shared" si="151"/>
        <v>#VALUE!</v>
      </c>
      <c r="E9717" t="e">
        <f>cubic_spline(CURVA!$B$6:$B$20,CURVA!$G$6:$G$20,#REF!)</f>
        <v>#VALUE!</v>
      </c>
    </row>
    <row r="9718" spans="1:5" x14ac:dyDescent="0.2">
      <c r="A9718" s="28">
        <v>9717</v>
      </c>
      <c r="B9718" s="28" t="e">
        <f>interpola(#REF!,CURVA!$B$6:$B$20,CURVA!$G$6:$G$20)</f>
        <v>#VALUE!</v>
      </c>
      <c r="C9718" s="29" t="e">
        <f t="shared" si="151"/>
        <v>#VALUE!</v>
      </c>
      <c r="E9718" t="e">
        <f>cubic_spline(CURVA!$B$6:$B$20,CURVA!$G$6:$G$20,#REF!)</f>
        <v>#VALUE!</v>
      </c>
    </row>
    <row r="9719" spans="1:5" x14ac:dyDescent="0.2">
      <c r="A9719" s="28">
        <v>9718</v>
      </c>
      <c r="B9719" s="28" t="e">
        <f>interpola(#REF!,CURVA!$B$6:$B$20,CURVA!$G$6:$G$20)</f>
        <v>#VALUE!</v>
      </c>
      <c r="C9719" s="29" t="e">
        <f t="shared" si="151"/>
        <v>#VALUE!</v>
      </c>
      <c r="E9719" t="e">
        <f>cubic_spline(CURVA!$B$6:$B$20,CURVA!$G$6:$G$20,#REF!)</f>
        <v>#VALUE!</v>
      </c>
    </row>
    <row r="9720" spans="1:5" x14ac:dyDescent="0.2">
      <c r="A9720" s="28">
        <v>9719</v>
      </c>
      <c r="B9720" s="28" t="e">
        <f>interpola(#REF!,CURVA!$B$6:$B$20,CURVA!$G$6:$G$20)</f>
        <v>#VALUE!</v>
      </c>
      <c r="C9720" s="29" t="e">
        <f t="shared" si="151"/>
        <v>#VALUE!</v>
      </c>
      <c r="E9720" t="e">
        <f>cubic_spline(CURVA!$B$6:$B$20,CURVA!$G$6:$G$20,#REF!)</f>
        <v>#VALUE!</v>
      </c>
    </row>
    <row r="9721" spans="1:5" x14ac:dyDescent="0.2">
      <c r="A9721" s="28">
        <v>9720</v>
      </c>
      <c r="B9721" s="28" t="e">
        <f>interpola(#REF!,CURVA!$B$6:$B$20,CURVA!$G$6:$G$20)</f>
        <v>#VALUE!</v>
      </c>
      <c r="C9721" s="29" t="e">
        <f t="shared" si="151"/>
        <v>#VALUE!</v>
      </c>
      <c r="E9721" t="e">
        <f>cubic_spline(CURVA!$B$6:$B$20,CURVA!$G$6:$G$20,#REF!)</f>
        <v>#VALUE!</v>
      </c>
    </row>
    <row r="9722" spans="1:5" x14ac:dyDescent="0.2">
      <c r="A9722" s="28">
        <v>9721</v>
      </c>
      <c r="B9722" s="28" t="e">
        <f>interpola(#REF!,CURVA!$B$6:$B$20,CURVA!$G$6:$G$20)</f>
        <v>#VALUE!</v>
      </c>
      <c r="C9722" s="29" t="e">
        <f t="shared" si="151"/>
        <v>#VALUE!</v>
      </c>
      <c r="E9722" t="e">
        <f>cubic_spline(CURVA!$B$6:$B$20,CURVA!$G$6:$G$20,#REF!)</f>
        <v>#VALUE!</v>
      </c>
    </row>
    <row r="9723" spans="1:5" x14ac:dyDescent="0.2">
      <c r="A9723" s="28">
        <v>9722</v>
      </c>
      <c r="B9723" s="28" t="e">
        <f>interpola(#REF!,CURVA!$B$6:$B$20,CURVA!$G$6:$G$20)</f>
        <v>#VALUE!</v>
      </c>
      <c r="C9723" s="29" t="e">
        <f t="shared" si="151"/>
        <v>#VALUE!</v>
      </c>
      <c r="E9723" t="e">
        <f>cubic_spline(CURVA!$B$6:$B$20,CURVA!$G$6:$G$20,#REF!)</f>
        <v>#VALUE!</v>
      </c>
    </row>
    <row r="9724" spans="1:5" x14ac:dyDescent="0.2">
      <c r="A9724" s="28">
        <v>9723</v>
      </c>
      <c r="B9724" s="28" t="e">
        <f>interpola(#REF!,CURVA!$B$6:$B$20,CURVA!$G$6:$G$20)</f>
        <v>#VALUE!</v>
      </c>
      <c r="C9724" s="29" t="e">
        <f t="shared" si="151"/>
        <v>#VALUE!</v>
      </c>
      <c r="E9724" t="e">
        <f>cubic_spline(CURVA!$B$6:$B$20,CURVA!$G$6:$G$20,#REF!)</f>
        <v>#VALUE!</v>
      </c>
    </row>
    <row r="9725" spans="1:5" x14ac:dyDescent="0.2">
      <c r="A9725" s="28">
        <v>9724</v>
      </c>
      <c r="B9725" s="28" t="e">
        <f>interpola(#REF!,CURVA!$B$6:$B$20,CURVA!$G$6:$G$20)</f>
        <v>#VALUE!</v>
      </c>
      <c r="C9725" s="29" t="e">
        <f t="shared" si="151"/>
        <v>#VALUE!</v>
      </c>
      <c r="E9725" t="e">
        <f>cubic_spline(CURVA!$B$6:$B$20,CURVA!$G$6:$G$20,#REF!)</f>
        <v>#VALUE!</v>
      </c>
    </row>
    <row r="9726" spans="1:5" x14ac:dyDescent="0.2">
      <c r="A9726" s="28">
        <v>9725</v>
      </c>
      <c r="B9726" s="28" t="e">
        <f>interpola(#REF!,CURVA!$B$6:$B$20,CURVA!$G$6:$G$20)</f>
        <v>#VALUE!</v>
      </c>
      <c r="C9726" s="29" t="e">
        <f t="shared" si="151"/>
        <v>#VALUE!</v>
      </c>
      <c r="E9726" t="e">
        <f>cubic_spline(CURVA!$B$6:$B$20,CURVA!$G$6:$G$20,#REF!)</f>
        <v>#VALUE!</v>
      </c>
    </row>
    <row r="9727" spans="1:5" x14ac:dyDescent="0.2">
      <c r="A9727" s="28">
        <v>9726</v>
      </c>
      <c r="B9727" s="28" t="e">
        <f>interpola(#REF!,CURVA!$B$6:$B$20,CURVA!$G$6:$G$20)</f>
        <v>#VALUE!</v>
      </c>
      <c r="C9727" s="29" t="e">
        <f t="shared" si="151"/>
        <v>#VALUE!</v>
      </c>
      <c r="E9727" t="e">
        <f>cubic_spline(CURVA!$B$6:$B$20,CURVA!$G$6:$G$20,#REF!)</f>
        <v>#VALUE!</v>
      </c>
    </row>
    <row r="9728" spans="1:5" x14ac:dyDescent="0.2">
      <c r="A9728" s="28">
        <v>9727</v>
      </c>
      <c r="B9728" s="28" t="e">
        <f>interpola(#REF!,CURVA!$B$6:$B$20,CURVA!$G$6:$G$20)</f>
        <v>#VALUE!</v>
      </c>
      <c r="C9728" s="29" t="e">
        <f t="shared" si="151"/>
        <v>#VALUE!</v>
      </c>
      <c r="E9728" t="e">
        <f>cubic_spline(CURVA!$B$6:$B$20,CURVA!$G$6:$G$20,#REF!)</f>
        <v>#VALUE!</v>
      </c>
    </row>
    <row r="9729" spans="1:5" x14ac:dyDescent="0.2">
      <c r="A9729" s="28">
        <v>9728</v>
      </c>
      <c r="B9729" s="28" t="e">
        <f>interpola(#REF!,CURVA!$B$6:$B$20,CURVA!$G$6:$G$20)</f>
        <v>#VALUE!</v>
      </c>
      <c r="C9729" s="29" t="e">
        <f t="shared" si="151"/>
        <v>#VALUE!</v>
      </c>
      <c r="E9729" t="e">
        <f>cubic_spline(CURVA!$B$6:$B$20,CURVA!$G$6:$G$20,#REF!)</f>
        <v>#VALUE!</v>
      </c>
    </row>
    <row r="9730" spans="1:5" x14ac:dyDescent="0.2">
      <c r="A9730" s="28">
        <v>9729</v>
      </c>
      <c r="B9730" s="28" t="e">
        <f>interpola(#REF!,CURVA!$B$6:$B$20,CURVA!$G$6:$G$20)</f>
        <v>#VALUE!</v>
      </c>
      <c r="C9730" s="29" t="e">
        <f t="shared" ref="C9730:C9793" si="152">(EXP(B9730*A9730/360)-1)*360/A9730</f>
        <v>#VALUE!</v>
      </c>
      <c r="E9730" t="e">
        <f>cubic_spline(CURVA!$B$6:$B$20,CURVA!$G$6:$G$20,#REF!)</f>
        <v>#VALUE!</v>
      </c>
    </row>
    <row r="9731" spans="1:5" x14ac:dyDescent="0.2">
      <c r="A9731" s="28">
        <v>9730</v>
      </c>
      <c r="B9731" s="28" t="e">
        <f>interpola(#REF!,CURVA!$B$6:$B$20,CURVA!$G$6:$G$20)</f>
        <v>#VALUE!</v>
      </c>
      <c r="C9731" s="29" t="e">
        <f t="shared" si="152"/>
        <v>#VALUE!</v>
      </c>
      <c r="E9731" t="e">
        <f>cubic_spline(CURVA!$B$6:$B$20,CURVA!$G$6:$G$20,#REF!)</f>
        <v>#VALUE!</v>
      </c>
    </row>
    <row r="9732" spans="1:5" x14ac:dyDescent="0.2">
      <c r="A9732" s="28">
        <v>9731</v>
      </c>
      <c r="B9732" s="28" t="e">
        <f>interpola(#REF!,CURVA!$B$6:$B$20,CURVA!$G$6:$G$20)</f>
        <v>#VALUE!</v>
      </c>
      <c r="C9732" s="29" t="e">
        <f t="shared" si="152"/>
        <v>#VALUE!</v>
      </c>
      <c r="E9732" t="e">
        <f>cubic_spline(CURVA!$B$6:$B$20,CURVA!$G$6:$G$20,#REF!)</f>
        <v>#VALUE!</v>
      </c>
    </row>
    <row r="9733" spans="1:5" x14ac:dyDescent="0.2">
      <c r="A9733" s="28">
        <v>9732</v>
      </c>
      <c r="B9733" s="28" t="e">
        <f>interpola(#REF!,CURVA!$B$6:$B$20,CURVA!$G$6:$G$20)</f>
        <v>#VALUE!</v>
      </c>
      <c r="C9733" s="29" t="e">
        <f t="shared" si="152"/>
        <v>#VALUE!</v>
      </c>
      <c r="E9733" t="e">
        <f>cubic_spline(CURVA!$B$6:$B$20,CURVA!$G$6:$G$20,#REF!)</f>
        <v>#VALUE!</v>
      </c>
    </row>
    <row r="9734" spans="1:5" x14ac:dyDescent="0.2">
      <c r="A9734" s="28">
        <v>9733</v>
      </c>
      <c r="B9734" s="28" t="e">
        <f>interpola(#REF!,CURVA!$B$6:$B$20,CURVA!$G$6:$G$20)</f>
        <v>#VALUE!</v>
      </c>
      <c r="C9734" s="29" t="e">
        <f t="shared" si="152"/>
        <v>#VALUE!</v>
      </c>
      <c r="E9734" t="e">
        <f>cubic_spline(CURVA!$B$6:$B$20,CURVA!$G$6:$G$20,#REF!)</f>
        <v>#VALUE!</v>
      </c>
    </row>
    <row r="9735" spans="1:5" x14ac:dyDescent="0.2">
      <c r="A9735" s="28">
        <v>9734</v>
      </c>
      <c r="B9735" s="28" t="e">
        <f>interpola(#REF!,CURVA!$B$6:$B$20,CURVA!$G$6:$G$20)</f>
        <v>#VALUE!</v>
      </c>
      <c r="C9735" s="29" t="e">
        <f t="shared" si="152"/>
        <v>#VALUE!</v>
      </c>
      <c r="E9735" t="e">
        <f>cubic_spline(CURVA!$B$6:$B$20,CURVA!$G$6:$G$20,#REF!)</f>
        <v>#VALUE!</v>
      </c>
    </row>
    <row r="9736" spans="1:5" x14ac:dyDescent="0.2">
      <c r="A9736" s="28">
        <v>9735</v>
      </c>
      <c r="B9736" s="28" t="e">
        <f>interpola(#REF!,CURVA!$B$6:$B$20,CURVA!$G$6:$G$20)</f>
        <v>#VALUE!</v>
      </c>
      <c r="C9736" s="29" t="e">
        <f t="shared" si="152"/>
        <v>#VALUE!</v>
      </c>
      <c r="E9736" t="e">
        <f>cubic_spline(CURVA!$B$6:$B$20,CURVA!$G$6:$G$20,#REF!)</f>
        <v>#VALUE!</v>
      </c>
    </row>
    <row r="9737" spans="1:5" x14ac:dyDescent="0.2">
      <c r="A9737" s="28">
        <v>9736</v>
      </c>
      <c r="B9737" s="28" t="e">
        <f>interpola(#REF!,CURVA!$B$6:$B$20,CURVA!$G$6:$G$20)</f>
        <v>#VALUE!</v>
      </c>
      <c r="C9737" s="29" t="e">
        <f t="shared" si="152"/>
        <v>#VALUE!</v>
      </c>
      <c r="E9737" t="e">
        <f>cubic_spline(CURVA!$B$6:$B$20,CURVA!$G$6:$G$20,#REF!)</f>
        <v>#VALUE!</v>
      </c>
    </row>
    <row r="9738" spans="1:5" x14ac:dyDescent="0.2">
      <c r="A9738" s="28">
        <v>9737</v>
      </c>
      <c r="B9738" s="28" t="e">
        <f>interpola(#REF!,CURVA!$B$6:$B$20,CURVA!$G$6:$G$20)</f>
        <v>#VALUE!</v>
      </c>
      <c r="C9738" s="29" t="e">
        <f t="shared" si="152"/>
        <v>#VALUE!</v>
      </c>
      <c r="E9738" t="e">
        <f>cubic_spline(CURVA!$B$6:$B$20,CURVA!$G$6:$G$20,#REF!)</f>
        <v>#VALUE!</v>
      </c>
    </row>
    <row r="9739" spans="1:5" x14ac:dyDescent="0.2">
      <c r="A9739" s="28">
        <v>9738</v>
      </c>
      <c r="B9739" s="28" t="e">
        <f>interpola(#REF!,CURVA!$B$6:$B$20,CURVA!$G$6:$G$20)</f>
        <v>#VALUE!</v>
      </c>
      <c r="C9739" s="29" t="e">
        <f t="shared" si="152"/>
        <v>#VALUE!</v>
      </c>
      <c r="E9739" t="e">
        <f>cubic_spline(CURVA!$B$6:$B$20,CURVA!$G$6:$G$20,#REF!)</f>
        <v>#VALUE!</v>
      </c>
    </row>
    <row r="9740" spans="1:5" x14ac:dyDescent="0.2">
      <c r="A9740" s="28">
        <v>9739</v>
      </c>
      <c r="B9740" s="28" t="e">
        <f>interpola(#REF!,CURVA!$B$6:$B$20,CURVA!$G$6:$G$20)</f>
        <v>#VALUE!</v>
      </c>
      <c r="C9740" s="29" t="e">
        <f t="shared" si="152"/>
        <v>#VALUE!</v>
      </c>
      <c r="E9740" t="e">
        <f>cubic_spline(CURVA!$B$6:$B$20,CURVA!$G$6:$G$20,#REF!)</f>
        <v>#VALUE!</v>
      </c>
    </row>
    <row r="9741" spans="1:5" x14ac:dyDescent="0.2">
      <c r="A9741" s="28">
        <v>9740</v>
      </c>
      <c r="B9741" s="28" t="e">
        <f>interpola(#REF!,CURVA!$B$6:$B$20,CURVA!$G$6:$G$20)</f>
        <v>#VALUE!</v>
      </c>
      <c r="C9741" s="29" t="e">
        <f t="shared" si="152"/>
        <v>#VALUE!</v>
      </c>
      <c r="E9741" t="e">
        <f>cubic_spline(CURVA!$B$6:$B$20,CURVA!$G$6:$G$20,#REF!)</f>
        <v>#VALUE!</v>
      </c>
    </row>
    <row r="9742" spans="1:5" x14ac:dyDescent="0.2">
      <c r="A9742" s="28">
        <v>9741</v>
      </c>
      <c r="B9742" s="28" t="e">
        <f>interpola(#REF!,CURVA!$B$6:$B$20,CURVA!$G$6:$G$20)</f>
        <v>#VALUE!</v>
      </c>
      <c r="C9742" s="29" t="e">
        <f t="shared" si="152"/>
        <v>#VALUE!</v>
      </c>
      <c r="E9742" t="e">
        <f>cubic_spline(CURVA!$B$6:$B$20,CURVA!$G$6:$G$20,#REF!)</f>
        <v>#VALUE!</v>
      </c>
    </row>
    <row r="9743" spans="1:5" x14ac:dyDescent="0.2">
      <c r="A9743" s="28">
        <v>9742</v>
      </c>
      <c r="B9743" s="28" t="e">
        <f>interpola(#REF!,CURVA!$B$6:$B$20,CURVA!$G$6:$G$20)</f>
        <v>#VALUE!</v>
      </c>
      <c r="C9743" s="29" t="e">
        <f t="shared" si="152"/>
        <v>#VALUE!</v>
      </c>
      <c r="E9743" t="e">
        <f>cubic_spline(CURVA!$B$6:$B$20,CURVA!$G$6:$G$20,#REF!)</f>
        <v>#VALUE!</v>
      </c>
    </row>
    <row r="9744" spans="1:5" x14ac:dyDescent="0.2">
      <c r="A9744" s="28">
        <v>9743</v>
      </c>
      <c r="B9744" s="28" t="e">
        <f>interpola(#REF!,CURVA!$B$6:$B$20,CURVA!$G$6:$G$20)</f>
        <v>#VALUE!</v>
      </c>
      <c r="C9744" s="29" t="e">
        <f t="shared" si="152"/>
        <v>#VALUE!</v>
      </c>
      <c r="E9744" t="e">
        <f>cubic_spline(CURVA!$B$6:$B$20,CURVA!$G$6:$G$20,#REF!)</f>
        <v>#VALUE!</v>
      </c>
    </row>
    <row r="9745" spans="1:5" x14ac:dyDescent="0.2">
      <c r="A9745" s="28">
        <v>9744</v>
      </c>
      <c r="B9745" s="28" t="e">
        <f>interpola(#REF!,CURVA!$B$6:$B$20,CURVA!$G$6:$G$20)</f>
        <v>#VALUE!</v>
      </c>
      <c r="C9745" s="29" t="e">
        <f t="shared" si="152"/>
        <v>#VALUE!</v>
      </c>
      <c r="E9745" t="e">
        <f>cubic_spline(CURVA!$B$6:$B$20,CURVA!$G$6:$G$20,#REF!)</f>
        <v>#VALUE!</v>
      </c>
    </row>
    <row r="9746" spans="1:5" x14ac:dyDescent="0.2">
      <c r="A9746" s="28">
        <v>9745</v>
      </c>
      <c r="B9746" s="28" t="e">
        <f>interpola(#REF!,CURVA!$B$6:$B$20,CURVA!$G$6:$G$20)</f>
        <v>#VALUE!</v>
      </c>
      <c r="C9746" s="29" t="e">
        <f t="shared" si="152"/>
        <v>#VALUE!</v>
      </c>
      <c r="E9746" t="e">
        <f>cubic_spline(CURVA!$B$6:$B$20,CURVA!$G$6:$G$20,#REF!)</f>
        <v>#VALUE!</v>
      </c>
    </row>
    <row r="9747" spans="1:5" x14ac:dyDescent="0.2">
      <c r="A9747" s="28">
        <v>9746</v>
      </c>
      <c r="B9747" s="28" t="e">
        <f>interpola(#REF!,CURVA!$B$6:$B$20,CURVA!$G$6:$G$20)</f>
        <v>#VALUE!</v>
      </c>
      <c r="C9747" s="29" t="e">
        <f t="shared" si="152"/>
        <v>#VALUE!</v>
      </c>
      <c r="E9747" t="e">
        <f>cubic_spline(CURVA!$B$6:$B$20,CURVA!$G$6:$G$20,#REF!)</f>
        <v>#VALUE!</v>
      </c>
    </row>
    <row r="9748" spans="1:5" x14ac:dyDescent="0.2">
      <c r="A9748" s="28">
        <v>9747</v>
      </c>
      <c r="B9748" s="28" t="e">
        <f>interpola(#REF!,CURVA!$B$6:$B$20,CURVA!$G$6:$G$20)</f>
        <v>#VALUE!</v>
      </c>
      <c r="C9748" s="29" t="e">
        <f t="shared" si="152"/>
        <v>#VALUE!</v>
      </c>
      <c r="E9748" t="e">
        <f>cubic_spline(CURVA!$B$6:$B$20,CURVA!$G$6:$G$20,#REF!)</f>
        <v>#VALUE!</v>
      </c>
    </row>
    <row r="9749" spans="1:5" x14ac:dyDescent="0.2">
      <c r="A9749" s="28">
        <v>9748</v>
      </c>
      <c r="B9749" s="28" t="e">
        <f>interpola(#REF!,CURVA!$B$6:$B$20,CURVA!$G$6:$G$20)</f>
        <v>#VALUE!</v>
      </c>
      <c r="C9749" s="29" t="e">
        <f t="shared" si="152"/>
        <v>#VALUE!</v>
      </c>
      <c r="E9749" t="e">
        <f>cubic_spline(CURVA!$B$6:$B$20,CURVA!$G$6:$G$20,#REF!)</f>
        <v>#VALUE!</v>
      </c>
    </row>
    <row r="9750" spans="1:5" x14ac:dyDescent="0.2">
      <c r="A9750" s="28">
        <v>9749</v>
      </c>
      <c r="B9750" s="28" t="e">
        <f>interpola(#REF!,CURVA!$B$6:$B$20,CURVA!$G$6:$G$20)</f>
        <v>#VALUE!</v>
      </c>
      <c r="C9750" s="29" t="e">
        <f t="shared" si="152"/>
        <v>#VALUE!</v>
      </c>
      <c r="E9750" t="e">
        <f>cubic_spline(CURVA!$B$6:$B$20,CURVA!$G$6:$G$20,#REF!)</f>
        <v>#VALUE!</v>
      </c>
    </row>
    <row r="9751" spans="1:5" x14ac:dyDescent="0.2">
      <c r="A9751" s="28">
        <v>9750</v>
      </c>
      <c r="B9751" s="28" t="e">
        <f>interpola(#REF!,CURVA!$B$6:$B$20,CURVA!$G$6:$G$20)</f>
        <v>#VALUE!</v>
      </c>
      <c r="C9751" s="29" t="e">
        <f t="shared" si="152"/>
        <v>#VALUE!</v>
      </c>
      <c r="E9751" t="e">
        <f>cubic_spline(CURVA!$B$6:$B$20,CURVA!$G$6:$G$20,#REF!)</f>
        <v>#VALUE!</v>
      </c>
    </row>
    <row r="9752" spans="1:5" x14ac:dyDescent="0.2">
      <c r="A9752" s="28">
        <v>9751</v>
      </c>
      <c r="B9752" s="28" t="e">
        <f>interpola(#REF!,CURVA!$B$6:$B$20,CURVA!$G$6:$G$20)</f>
        <v>#VALUE!</v>
      </c>
      <c r="C9752" s="29" t="e">
        <f t="shared" si="152"/>
        <v>#VALUE!</v>
      </c>
      <c r="E9752" t="e">
        <f>cubic_spline(CURVA!$B$6:$B$20,CURVA!$G$6:$G$20,#REF!)</f>
        <v>#VALUE!</v>
      </c>
    </row>
    <row r="9753" spans="1:5" x14ac:dyDescent="0.2">
      <c r="A9753" s="28">
        <v>9752</v>
      </c>
      <c r="B9753" s="28" t="e">
        <f>interpola(#REF!,CURVA!$B$6:$B$20,CURVA!$G$6:$G$20)</f>
        <v>#VALUE!</v>
      </c>
      <c r="C9753" s="29" t="e">
        <f t="shared" si="152"/>
        <v>#VALUE!</v>
      </c>
      <c r="E9753" t="e">
        <f>cubic_spline(CURVA!$B$6:$B$20,CURVA!$G$6:$G$20,#REF!)</f>
        <v>#VALUE!</v>
      </c>
    </row>
    <row r="9754" spans="1:5" x14ac:dyDescent="0.2">
      <c r="A9754" s="28">
        <v>9753</v>
      </c>
      <c r="B9754" s="28" t="e">
        <f>interpola(#REF!,CURVA!$B$6:$B$20,CURVA!$G$6:$G$20)</f>
        <v>#VALUE!</v>
      </c>
      <c r="C9754" s="29" t="e">
        <f t="shared" si="152"/>
        <v>#VALUE!</v>
      </c>
      <c r="E9754" t="e">
        <f>cubic_spline(CURVA!$B$6:$B$20,CURVA!$G$6:$G$20,#REF!)</f>
        <v>#VALUE!</v>
      </c>
    </row>
    <row r="9755" spans="1:5" x14ac:dyDescent="0.2">
      <c r="A9755" s="28">
        <v>9754</v>
      </c>
      <c r="B9755" s="28" t="e">
        <f>interpola(#REF!,CURVA!$B$6:$B$20,CURVA!$G$6:$G$20)</f>
        <v>#VALUE!</v>
      </c>
      <c r="C9755" s="29" t="e">
        <f t="shared" si="152"/>
        <v>#VALUE!</v>
      </c>
      <c r="E9755" t="e">
        <f>cubic_spline(CURVA!$B$6:$B$20,CURVA!$G$6:$G$20,#REF!)</f>
        <v>#VALUE!</v>
      </c>
    </row>
    <row r="9756" spans="1:5" x14ac:dyDescent="0.2">
      <c r="A9756" s="28">
        <v>9755</v>
      </c>
      <c r="B9756" s="28" t="e">
        <f>interpola(#REF!,CURVA!$B$6:$B$20,CURVA!$G$6:$G$20)</f>
        <v>#VALUE!</v>
      </c>
      <c r="C9756" s="29" t="e">
        <f t="shared" si="152"/>
        <v>#VALUE!</v>
      </c>
      <c r="E9756" t="e">
        <f>cubic_spline(CURVA!$B$6:$B$20,CURVA!$G$6:$G$20,#REF!)</f>
        <v>#VALUE!</v>
      </c>
    </row>
    <row r="9757" spans="1:5" x14ac:dyDescent="0.2">
      <c r="A9757" s="28">
        <v>9756</v>
      </c>
      <c r="B9757" s="28" t="e">
        <f>interpola(#REF!,CURVA!$B$6:$B$20,CURVA!$G$6:$G$20)</f>
        <v>#VALUE!</v>
      </c>
      <c r="C9757" s="29" t="e">
        <f t="shared" si="152"/>
        <v>#VALUE!</v>
      </c>
      <c r="E9757" t="e">
        <f>cubic_spline(CURVA!$B$6:$B$20,CURVA!$G$6:$G$20,#REF!)</f>
        <v>#VALUE!</v>
      </c>
    </row>
    <row r="9758" spans="1:5" x14ac:dyDescent="0.2">
      <c r="A9758" s="28">
        <v>9757</v>
      </c>
      <c r="B9758" s="28" t="e">
        <f>interpola(#REF!,CURVA!$B$6:$B$20,CURVA!$G$6:$G$20)</f>
        <v>#VALUE!</v>
      </c>
      <c r="C9758" s="29" t="e">
        <f t="shared" si="152"/>
        <v>#VALUE!</v>
      </c>
      <c r="E9758" t="e">
        <f>cubic_spline(CURVA!$B$6:$B$20,CURVA!$G$6:$G$20,#REF!)</f>
        <v>#VALUE!</v>
      </c>
    </row>
    <row r="9759" spans="1:5" x14ac:dyDescent="0.2">
      <c r="A9759" s="28">
        <v>9758</v>
      </c>
      <c r="B9759" s="28" t="e">
        <f>interpola(#REF!,CURVA!$B$6:$B$20,CURVA!$G$6:$G$20)</f>
        <v>#VALUE!</v>
      </c>
      <c r="C9759" s="29" t="e">
        <f t="shared" si="152"/>
        <v>#VALUE!</v>
      </c>
      <c r="E9759" t="e">
        <f>cubic_spline(CURVA!$B$6:$B$20,CURVA!$G$6:$G$20,#REF!)</f>
        <v>#VALUE!</v>
      </c>
    </row>
    <row r="9760" spans="1:5" x14ac:dyDescent="0.2">
      <c r="A9760" s="28">
        <v>9759</v>
      </c>
      <c r="B9760" s="28" t="e">
        <f>interpola(#REF!,CURVA!$B$6:$B$20,CURVA!$G$6:$G$20)</f>
        <v>#VALUE!</v>
      </c>
      <c r="C9760" s="29" t="e">
        <f t="shared" si="152"/>
        <v>#VALUE!</v>
      </c>
      <c r="E9760" t="e">
        <f>cubic_spline(CURVA!$B$6:$B$20,CURVA!$G$6:$G$20,#REF!)</f>
        <v>#VALUE!</v>
      </c>
    </row>
    <row r="9761" spans="1:5" x14ac:dyDescent="0.2">
      <c r="A9761" s="28">
        <v>9760</v>
      </c>
      <c r="B9761" s="28" t="e">
        <f>interpola(#REF!,CURVA!$B$6:$B$20,CURVA!$G$6:$G$20)</f>
        <v>#VALUE!</v>
      </c>
      <c r="C9761" s="29" t="e">
        <f t="shared" si="152"/>
        <v>#VALUE!</v>
      </c>
      <c r="E9761" t="e">
        <f>cubic_spline(CURVA!$B$6:$B$20,CURVA!$G$6:$G$20,#REF!)</f>
        <v>#VALUE!</v>
      </c>
    </row>
    <row r="9762" spans="1:5" x14ac:dyDescent="0.2">
      <c r="A9762" s="28">
        <v>9761</v>
      </c>
      <c r="B9762" s="28" t="e">
        <f>interpola(#REF!,CURVA!$B$6:$B$20,CURVA!$G$6:$G$20)</f>
        <v>#VALUE!</v>
      </c>
      <c r="C9762" s="29" t="e">
        <f t="shared" si="152"/>
        <v>#VALUE!</v>
      </c>
      <c r="E9762" t="e">
        <f>cubic_spline(CURVA!$B$6:$B$20,CURVA!$G$6:$G$20,#REF!)</f>
        <v>#VALUE!</v>
      </c>
    </row>
    <row r="9763" spans="1:5" x14ac:dyDescent="0.2">
      <c r="A9763" s="28">
        <v>9762</v>
      </c>
      <c r="B9763" s="28" t="e">
        <f>interpola(#REF!,CURVA!$B$6:$B$20,CURVA!$G$6:$G$20)</f>
        <v>#VALUE!</v>
      </c>
      <c r="C9763" s="29" t="e">
        <f t="shared" si="152"/>
        <v>#VALUE!</v>
      </c>
      <c r="E9763" t="e">
        <f>cubic_spline(CURVA!$B$6:$B$20,CURVA!$G$6:$G$20,#REF!)</f>
        <v>#VALUE!</v>
      </c>
    </row>
    <row r="9764" spans="1:5" x14ac:dyDescent="0.2">
      <c r="A9764" s="28">
        <v>9763</v>
      </c>
      <c r="B9764" s="28" t="e">
        <f>interpola(#REF!,CURVA!$B$6:$B$20,CURVA!$G$6:$G$20)</f>
        <v>#VALUE!</v>
      </c>
      <c r="C9764" s="29" t="e">
        <f t="shared" si="152"/>
        <v>#VALUE!</v>
      </c>
      <c r="E9764" t="e">
        <f>cubic_spline(CURVA!$B$6:$B$20,CURVA!$G$6:$G$20,#REF!)</f>
        <v>#VALUE!</v>
      </c>
    </row>
    <row r="9765" spans="1:5" x14ac:dyDescent="0.2">
      <c r="A9765" s="28">
        <v>9764</v>
      </c>
      <c r="B9765" s="28" t="e">
        <f>interpola(#REF!,CURVA!$B$6:$B$20,CURVA!$G$6:$G$20)</f>
        <v>#VALUE!</v>
      </c>
      <c r="C9765" s="29" t="e">
        <f t="shared" si="152"/>
        <v>#VALUE!</v>
      </c>
      <c r="E9765" t="e">
        <f>cubic_spline(CURVA!$B$6:$B$20,CURVA!$G$6:$G$20,#REF!)</f>
        <v>#VALUE!</v>
      </c>
    </row>
    <row r="9766" spans="1:5" x14ac:dyDescent="0.2">
      <c r="A9766" s="28">
        <v>9765</v>
      </c>
      <c r="B9766" s="28" t="e">
        <f>interpola(#REF!,CURVA!$B$6:$B$20,CURVA!$G$6:$G$20)</f>
        <v>#VALUE!</v>
      </c>
      <c r="C9766" s="29" t="e">
        <f t="shared" si="152"/>
        <v>#VALUE!</v>
      </c>
      <c r="E9766" t="e">
        <f>cubic_spline(CURVA!$B$6:$B$20,CURVA!$G$6:$G$20,#REF!)</f>
        <v>#VALUE!</v>
      </c>
    </row>
    <row r="9767" spans="1:5" x14ac:dyDescent="0.2">
      <c r="A9767" s="28">
        <v>9766</v>
      </c>
      <c r="B9767" s="28" t="e">
        <f>interpola(#REF!,CURVA!$B$6:$B$20,CURVA!$G$6:$G$20)</f>
        <v>#VALUE!</v>
      </c>
      <c r="C9767" s="29" t="e">
        <f t="shared" si="152"/>
        <v>#VALUE!</v>
      </c>
      <c r="E9767" t="e">
        <f>cubic_spline(CURVA!$B$6:$B$20,CURVA!$G$6:$G$20,#REF!)</f>
        <v>#VALUE!</v>
      </c>
    </row>
    <row r="9768" spans="1:5" x14ac:dyDescent="0.2">
      <c r="A9768" s="28">
        <v>9767</v>
      </c>
      <c r="B9768" s="28" t="e">
        <f>interpola(#REF!,CURVA!$B$6:$B$20,CURVA!$G$6:$G$20)</f>
        <v>#VALUE!</v>
      </c>
      <c r="C9768" s="29" t="e">
        <f t="shared" si="152"/>
        <v>#VALUE!</v>
      </c>
      <c r="E9768" t="e">
        <f>cubic_spline(CURVA!$B$6:$B$20,CURVA!$G$6:$G$20,#REF!)</f>
        <v>#VALUE!</v>
      </c>
    </row>
    <row r="9769" spans="1:5" x14ac:dyDescent="0.2">
      <c r="A9769" s="28">
        <v>9768</v>
      </c>
      <c r="B9769" s="28" t="e">
        <f>interpola(#REF!,CURVA!$B$6:$B$20,CURVA!$G$6:$G$20)</f>
        <v>#VALUE!</v>
      </c>
      <c r="C9769" s="29" t="e">
        <f t="shared" si="152"/>
        <v>#VALUE!</v>
      </c>
      <c r="E9769" t="e">
        <f>cubic_spline(CURVA!$B$6:$B$20,CURVA!$G$6:$G$20,#REF!)</f>
        <v>#VALUE!</v>
      </c>
    </row>
    <row r="9770" spans="1:5" x14ac:dyDescent="0.2">
      <c r="A9770" s="28">
        <v>9769</v>
      </c>
      <c r="B9770" s="28" t="e">
        <f>interpola(#REF!,CURVA!$B$6:$B$20,CURVA!$G$6:$G$20)</f>
        <v>#VALUE!</v>
      </c>
      <c r="C9770" s="29" t="e">
        <f t="shared" si="152"/>
        <v>#VALUE!</v>
      </c>
      <c r="E9770" t="e">
        <f>cubic_spline(CURVA!$B$6:$B$20,CURVA!$G$6:$G$20,#REF!)</f>
        <v>#VALUE!</v>
      </c>
    </row>
    <row r="9771" spans="1:5" x14ac:dyDescent="0.2">
      <c r="A9771" s="28">
        <v>9770</v>
      </c>
      <c r="B9771" s="28" t="e">
        <f>interpola(#REF!,CURVA!$B$6:$B$20,CURVA!$G$6:$G$20)</f>
        <v>#VALUE!</v>
      </c>
      <c r="C9771" s="29" t="e">
        <f t="shared" si="152"/>
        <v>#VALUE!</v>
      </c>
      <c r="E9771" t="e">
        <f>cubic_spline(CURVA!$B$6:$B$20,CURVA!$G$6:$G$20,#REF!)</f>
        <v>#VALUE!</v>
      </c>
    </row>
    <row r="9772" spans="1:5" x14ac:dyDescent="0.2">
      <c r="A9772" s="28">
        <v>9771</v>
      </c>
      <c r="B9772" s="28" t="e">
        <f>interpola(#REF!,CURVA!$B$6:$B$20,CURVA!$G$6:$G$20)</f>
        <v>#VALUE!</v>
      </c>
      <c r="C9772" s="29" t="e">
        <f t="shared" si="152"/>
        <v>#VALUE!</v>
      </c>
      <c r="E9772" t="e">
        <f>cubic_spline(CURVA!$B$6:$B$20,CURVA!$G$6:$G$20,#REF!)</f>
        <v>#VALUE!</v>
      </c>
    </row>
    <row r="9773" spans="1:5" x14ac:dyDescent="0.2">
      <c r="A9773" s="28">
        <v>9772</v>
      </c>
      <c r="B9773" s="28" t="e">
        <f>interpola(#REF!,CURVA!$B$6:$B$20,CURVA!$G$6:$G$20)</f>
        <v>#VALUE!</v>
      </c>
      <c r="C9773" s="29" t="e">
        <f t="shared" si="152"/>
        <v>#VALUE!</v>
      </c>
      <c r="E9773" t="e">
        <f>cubic_spline(CURVA!$B$6:$B$20,CURVA!$G$6:$G$20,#REF!)</f>
        <v>#VALUE!</v>
      </c>
    </row>
    <row r="9774" spans="1:5" x14ac:dyDescent="0.2">
      <c r="A9774" s="28">
        <v>9773</v>
      </c>
      <c r="B9774" s="28" t="e">
        <f>interpola(#REF!,CURVA!$B$6:$B$20,CURVA!$G$6:$G$20)</f>
        <v>#VALUE!</v>
      </c>
      <c r="C9774" s="29" t="e">
        <f t="shared" si="152"/>
        <v>#VALUE!</v>
      </c>
      <c r="E9774" t="e">
        <f>cubic_spline(CURVA!$B$6:$B$20,CURVA!$G$6:$G$20,#REF!)</f>
        <v>#VALUE!</v>
      </c>
    </row>
    <row r="9775" spans="1:5" x14ac:dyDescent="0.2">
      <c r="A9775" s="28">
        <v>9774</v>
      </c>
      <c r="B9775" s="28" t="e">
        <f>interpola(#REF!,CURVA!$B$6:$B$20,CURVA!$G$6:$G$20)</f>
        <v>#VALUE!</v>
      </c>
      <c r="C9775" s="29" t="e">
        <f t="shared" si="152"/>
        <v>#VALUE!</v>
      </c>
      <c r="E9775" t="e">
        <f>cubic_spline(CURVA!$B$6:$B$20,CURVA!$G$6:$G$20,#REF!)</f>
        <v>#VALUE!</v>
      </c>
    </row>
    <row r="9776" spans="1:5" x14ac:dyDescent="0.2">
      <c r="A9776" s="28">
        <v>9775</v>
      </c>
      <c r="B9776" s="28" t="e">
        <f>interpola(#REF!,CURVA!$B$6:$B$20,CURVA!$G$6:$G$20)</f>
        <v>#VALUE!</v>
      </c>
      <c r="C9776" s="29" t="e">
        <f t="shared" si="152"/>
        <v>#VALUE!</v>
      </c>
      <c r="E9776" t="e">
        <f>cubic_spline(CURVA!$B$6:$B$20,CURVA!$G$6:$G$20,#REF!)</f>
        <v>#VALUE!</v>
      </c>
    </row>
    <row r="9777" spans="1:5" x14ac:dyDescent="0.2">
      <c r="A9777" s="28">
        <v>9776</v>
      </c>
      <c r="B9777" s="28" t="e">
        <f>interpola(#REF!,CURVA!$B$6:$B$20,CURVA!$G$6:$G$20)</f>
        <v>#VALUE!</v>
      </c>
      <c r="C9777" s="29" t="e">
        <f t="shared" si="152"/>
        <v>#VALUE!</v>
      </c>
      <c r="E9777" t="e">
        <f>cubic_spline(CURVA!$B$6:$B$20,CURVA!$G$6:$G$20,#REF!)</f>
        <v>#VALUE!</v>
      </c>
    </row>
    <row r="9778" spans="1:5" x14ac:dyDescent="0.2">
      <c r="A9778" s="28">
        <v>9777</v>
      </c>
      <c r="B9778" s="28" t="e">
        <f>interpola(#REF!,CURVA!$B$6:$B$20,CURVA!$G$6:$G$20)</f>
        <v>#VALUE!</v>
      </c>
      <c r="C9778" s="29" t="e">
        <f t="shared" si="152"/>
        <v>#VALUE!</v>
      </c>
      <c r="E9778" t="e">
        <f>cubic_spline(CURVA!$B$6:$B$20,CURVA!$G$6:$G$20,#REF!)</f>
        <v>#VALUE!</v>
      </c>
    </row>
    <row r="9779" spans="1:5" x14ac:dyDescent="0.2">
      <c r="A9779" s="28">
        <v>9778</v>
      </c>
      <c r="B9779" s="28" t="e">
        <f>interpola(#REF!,CURVA!$B$6:$B$20,CURVA!$G$6:$G$20)</f>
        <v>#VALUE!</v>
      </c>
      <c r="C9779" s="29" t="e">
        <f t="shared" si="152"/>
        <v>#VALUE!</v>
      </c>
      <c r="E9779" t="e">
        <f>cubic_spline(CURVA!$B$6:$B$20,CURVA!$G$6:$G$20,#REF!)</f>
        <v>#VALUE!</v>
      </c>
    </row>
    <row r="9780" spans="1:5" x14ac:dyDescent="0.2">
      <c r="A9780" s="28">
        <v>9779</v>
      </c>
      <c r="B9780" s="28" t="e">
        <f>interpola(#REF!,CURVA!$B$6:$B$20,CURVA!$G$6:$G$20)</f>
        <v>#VALUE!</v>
      </c>
      <c r="C9780" s="29" t="e">
        <f t="shared" si="152"/>
        <v>#VALUE!</v>
      </c>
      <c r="E9780" t="e">
        <f>cubic_spline(CURVA!$B$6:$B$20,CURVA!$G$6:$G$20,#REF!)</f>
        <v>#VALUE!</v>
      </c>
    </row>
    <row r="9781" spans="1:5" x14ac:dyDescent="0.2">
      <c r="A9781" s="28">
        <v>9780</v>
      </c>
      <c r="B9781" s="28" t="e">
        <f>interpola(#REF!,CURVA!$B$6:$B$20,CURVA!$G$6:$G$20)</f>
        <v>#VALUE!</v>
      </c>
      <c r="C9781" s="29" t="e">
        <f t="shared" si="152"/>
        <v>#VALUE!</v>
      </c>
      <c r="E9781" t="e">
        <f>cubic_spline(CURVA!$B$6:$B$20,CURVA!$G$6:$G$20,#REF!)</f>
        <v>#VALUE!</v>
      </c>
    </row>
    <row r="9782" spans="1:5" x14ac:dyDescent="0.2">
      <c r="A9782" s="28">
        <v>9781</v>
      </c>
      <c r="B9782" s="28" t="e">
        <f>interpola(#REF!,CURVA!$B$6:$B$20,CURVA!$G$6:$G$20)</f>
        <v>#VALUE!</v>
      </c>
      <c r="C9782" s="29" t="e">
        <f t="shared" si="152"/>
        <v>#VALUE!</v>
      </c>
      <c r="E9782" t="e">
        <f>cubic_spline(CURVA!$B$6:$B$20,CURVA!$G$6:$G$20,#REF!)</f>
        <v>#VALUE!</v>
      </c>
    </row>
    <row r="9783" spans="1:5" x14ac:dyDescent="0.2">
      <c r="A9783" s="28">
        <v>9782</v>
      </c>
      <c r="B9783" s="28" t="e">
        <f>interpola(#REF!,CURVA!$B$6:$B$20,CURVA!$G$6:$G$20)</f>
        <v>#VALUE!</v>
      </c>
      <c r="C9783" s="29" t="e">
        <f t="shared" si="152"/>
        <v>#VALUE!</v>
      </c>
      <c r="E9783" t="e">
        <f>cubic_spline(CURVA!$B$6:$B$20,CURVA!$G$6:$G$20,#REF!)</f>
        <v>#VALUE!</v>
      </c>
    </row>
    <row r="9784" spans="1:5" x14ac:dyDescent="0.2">
      <c r="A9784" s="28">
        <v>9783</v>
      </c>
      <c r="B9784" s="28" t="e">
        <f>interpola(#REF!,CURVA!$B$6:$B$20,CURVA!$G$6:$G$20)</f>
        <v>#VALUE!</v>
      </c>
      <c r="C9784" s="29" t="e">
        <f t="shared" si="152"/>
        <v>#VALUE!</v>
      </c>
      <c r="E9784" t="e">
        <f>cubic_spline(CURVA!$B$6:$B$20,CURVA!$G$6:$G$20,#REF!)</f>
        <v>#VALUE!</v>
      </c>
    </row>
    <row r="9785" spans="1:5" x14ac:dyDescent="0.2">
      <c r="A9785" s="28">
        <v>9784</v>
      </c>
      <c r="B9785" s="28" t="e">
        <f>interpola(#REF!,CURVA!$B$6:$B$20,CURVA!$G$6:$G$20)</f>
        <v>#VALUE!</v>
      </c>
      <c r="C9785" s="29" t="e">
        <f t="shared" si="152"/>
        <v>#VALUE!</v>
      </c>
      <c r="E9785" t="e">
        <f>cubic_spline(CURVA!$B$6:$B$20,CURVA!$G$6:$G$20,#REF!)</f>
        <v>#VALUE!</v>
      </c>
    </row>
    <row r="9786" spans="1:5" x14ac:dyDescent="0.2">
      <c r="A9786" s="28">
        <v>9785</v>
      </c>
      <c r="B9786" s="28" t="e">
        <f>interpola(#REF!,CURVA!$B$6:$B$20,CURVA!$G$6:$G$20)</f>
        <v>#VALUE!</v>
      </c>
      <c r="C9786" s="29" t="e">
        <f t="shared" si="152"/>
        <v>#VALUE!</v>
      </c>
      <c r="E9786" t="e">
        <f>cubic_spline(CURVA!$B$6:$B$20,CURVA!$G$6:$G$20,#REF!)</f>
        <v>#VALUE!</v>
      </c>
    </row>
    <row r="9787" spans="1:5" x14ac:dyDescent="0.2">
      <c r="A9787" s="28">
        <v>9786</v>
      </c>
      <c r="B9787" s="28" t="e">
        <f>interpola(#REF!,CURVA!$B$6:$B$20,CURVA!$G$6:$G$20)</f>
        <v>#VALUE!</v>
      </c>
      <c r="C9787" s="29" t="e">
        <f t="shared" si="152"/>
        <v>#VALUE!</v>
      </c>
      <c r="E9787" t="e">
        <f>cubic_spline(CURVA!$B$6:$B$20,CURVA!$G$6:$G$20,#REF!)</f>
        <v>#VALUE!</v>
      </c>
    </row>
    <row r="9788" spans="1:5" x14ac:dyDescent="0.2">
      <c r="A9788" s="28">
        <v>9787</v>
      </c>
      <c r="B9788" s="28" t="e">
        <f>interpola(#REF!,CURVA!$B$6:$B$20,CURVA!$G$6:$G$20)</f>
        <v>#VALUE!</v>
      </c>
      <c r="C9788" s="29" t="e">
        <f t="shared" si="152"/>
        <v>#VALUE!</v>
      </c>
      <c r="E9788" t="e">
        <f>cubic_spline(CURVA!$B$6:$B$20,CURVA!$G$6:$G$20,#REF!)</f>
        <v>#VALUE!</v>
      </c>
    </row>
    <row r="9789" spans="1:5" x14ac:dyDescent="0.2">
      <c r="A9789" s="28">
        <v>9788</v>
      </c>
      <c r="B9789" s="28" t="e">
        <f>interpola(#REF!,CURVA!$B$6:$B$20,CURVA!$G$6:$G$20)</f>
        <v>#VALUE!</v>
      </c>
      <c r="C9789" s="29" t="e">
        <f t="shared" si="152"/>
        <v>#VALUE!</v>
      </c>
      <c r="E9789" t="e">
        <f>cubic_spline(CURVA!$B$6:$B$20,CURVA!$G$6:$G$20,#REF!)</f>
        <v>#VALUE!</v>
      </c>
    </row>
    <row r="9790" spans="1:5" x14ac:dyDescent="0.2">
      <c r="A9790" s="28">
        <v>9789</v>
      </c>
      <c r="B9790" s="28" t="e">
        <f>interpola(#REF!,CURVA!$B$6:$B$20,CURVA!$G$6:$G$20)</f>
        <v>#VALUE!</v>
      </c>
      <c r="C9790" s="29" t="e">
        <f t="shared" si="152"/>
        <v>#VALUE!</v>
      </c>
      <c r="E9790" t="e">
        <f>cubic_spline(CURVA!$B$6:$B$20,CURVA!$G$6:$G$20,#REF!)</f>
        <v>#VALUE!</v>
      </c>
    </row>
    <row r="9791" spans="1:5" x14ac:dyDescent="0.2">
      <c r="A9791" s="28">
        <v>9790</v>
      </c>
      <c r="B9791" s="28" t="e">
        <f>interpola(#REF!,CURVA!$B$6:$B$20,CURVA!$G$6:$G$20)</f>
        <v>#VALUE!</v>
      </c>
      <c r="C9791" s="29" t="e">
        <f t="shared" si="152"/>
        <v>#VALUE!</v>
      </c>
      <c r="E9791" t="e">
        <f>cubic_spline(CURVA!$B$6:$B$20,CURVA!$G$6:$G$20,#REF!)</f>
        <v>#VALUE!</v>
      </c>
    </row>
    <row r="9792" spans="1:5" x14ac:dyDescent="0.2">
      <c r="A9792" s="28">
        <v>9791</v>
      </c>
      <c r="B9792" s="28" t="e">
        <f>interpola(#REF!,CURVA!$B$6:$B$20,CURVA!$G$6:$G$20)</f>
        <v>#VALUE!</v>
      </c>
      <c r="C9792" s="29" t="e">
        <f t="shared" si="152"/>
        <v>#VALUE!</v>
      </c>
      <c r="E9792" t="e">
        <f>cubic_spline(CURVA!$B$6:$B$20,CURVA!$G$6:$G$20,#REF!)</f>
        <v>#VALUE!</v>
      </c>
    </row>
    <row r="9793" spans="1:5" x14ac:dyDescent="0.2">
      <c r="A9793" s="28">
        <v>9792</v>
      </c>
      <c r="B9793" s="28" t="e">
        <f>interpola(#REF!,CURVA!$B$6:$B$20,CURVA!$G$6:$G$20)</f>
        <v>#VALUE!</v>
      </c>
      <c r="C9793" s="29" t="e">
        <f t="shared" si="152"/>
        <v>#VALUE!</v>
      </c>
      <c r="E9793" t="e">
        <f>cubic_spline(CURVA!$B$6:$B$20,CURVA!$G$6:$G$20,#REF!)</f>
        <v>#VALUE!</v>
      </c>
    </row>
    <row r="9794" spans="1:5" x14ac:dyDescent="0.2">
      <c r="A9794" s="28">
        <v>9793</v>
      </c>
      <c r="B9794" s="28" t="e">
        <f>interpola(#REF!,CURVA!$B$6:$B$20,CURVA!$G$6:$G$20)</f>
        <v>#VALUE!</v>
      </c>
      <c r="C9794" s="29" t="e">
        <f t="shared" ref="C9794:C9857" si="153">(EXP(B9794*A9794/360)-1)*360/A9794</f>
        <v>#VALUE!</v>
      </c>
      <c r="E9794" t="e">
        <f>cubic_spline(CURVA!$B$6:$B$20,CURVA!$G$6:$G$20,#REF!)</f>
        <v>#VALUE!</v>
      </c>
    </row>
    <row r="9795" spans="1:5" x14ac:dyDescent="0.2">
      <c r="A9795" s="28">
        <v>9794</v>
      </c>
      <c r="B9795" s="28" t="e">
        <f>interpola(#REF!,CURVA!$B$6:$B$20,CURVA!$G$6:$G$20)</f>
        <v>#VALUE!</v>
      </c>
      <c r="C9795" s="29" t="e">
        <f t="shared" si="153"/>
        <v>#VALUE!</v>
      </c>
      <c r="E9795" t="e">
        <f>cubic_spline(CURVA!$B$6:$B$20,CURVA!$G$6:$G$20,#REF!)</f>
        <v>#VALUE!</v>
      </c>
    </row>
    <row r="9796" spans="1:5" x14ac:dyDescent="0.2">
      <c r="A9796" s="28">
        <v>9795</v>
      </c>
      <c r="B9796" s="28" t="e">
        <f>interpola(#REF!,CURVA!$B$6:$B$20,CURVA!$G$6:$G$20)</f>
        <v>#VALUE!</v>
      </c>
      <c r="C9796" s="29" t="e">
        <f t="shared" si="153"/>
        <v>#VALUE!</v>
      </c>
      <c r="E9796" t="e">
        <f>cubic_spline(CURVA!$B$6:$B$20,CURVA!$G$6:$G$20,#REF!)</f>
        <v>#VALUE!</v>
      </c>
    </row>
    <row r="9797" spans="1:5" x14ac:dyDescent="0.2">
      <c r="A9797" s="28">
        <v>9796</v>
      </c>
      <c r="B9797" s="28" t="e">
        <f>interpola(#REF!,CURVA!$B$6:$B$20,CURVA!$G$6:$G$20)</f>
        <v>#VALUE!</v>
      </c>
      <c r="C9797" s="29" t="e">
        <f t="shared" si="153"/>
        <v>#VALUE!</v>
      </c>
      <c r="E9797" t="e">
        <f>cubic_spline(CURVA!$B$6:$B$20,CURVA!$G$6:$G$20,#REF!)</f>
        <v>#VALUE!</v>
      </c>
    </row>
    <row r="9798" spans="1:5" x14ac:dyDescent="0.2">
      <c r="A9798" s="28">
        <v>9797</v>
      </c>
      <c r="B9798" s="28" t="e">
        <f>interpola(#REF!,CURVA!$B$6:$B$20,CURVA!$G$6:$G$20)</f>
        <v>#VALUE!</v>
      </c>
      <c r="C9798" s="29" t="e">
        <f t="shared" si="153"/>
        <v>#VALUE!</v>
      </c>
      <c r="E9798" t="e">
        <f>cubic_spline(CURVA!$B$6:$B$20,CURVA!$G$6:$G$20,#REF!)</f>
        <v>#VALUE!</v>
      </c>
    </row>
    <row r="9799" spans="1:5" x14ac:dyDescent="0.2">
      <c r="A9799" s="28">
        <v>9798</v>
      </c>
      <c r="B9799" s="28" t="e">
        <f>interpola(#REF!,CURVA!$B$6:$B$20,CURVA!$G$6:$G$20)</f>
        <v>#VALUE!</v>
      </c>
      <c r="C9799" s="29" t="e">
        <f t="shared" si="153"/>
        <v>#VALUE!</v>
      </c>
      <c r="E9799" t="e">
        <f>cubic_spline(CURVA!$B$6:$B$20,CURVA!$G$6:$G$20,#REF!)</f>
        <v>#VALUE!</v>
      </c>
    </row>
    <row r="9800" spans="1:5" x14ac:dyDescent="0.2">
      <c r="A9800" s="28">
        <v>9799</v>
      </c>
      <c r="B9800" s="28" t="e">
        <f>interpola(#REF!,CURVA!$B$6:$B$20,CURVA!$G$6:$G$20)</f>
        <v>#VALUE!</v>
      </c>
      <c r="C9800" s="29" t="e">
        <f t="shared" si="153"/>
        <v>#VALUE!</v>
      </c>
      <c r="E9800" t="e">
        <f>cubic_spline(CURVA!$B$6:$B$20,CURVA!$G$6:$G$20,#REF!)</f>
        <v>#VALUE!</v>
      </c>
    </row>
    <row r="9801" spans="1:5" x14ac:dyDescent="0.2">
      <c r="A9801" s="28">
        <v>9800</v>
      </c>
      <c r="B9801" s="28" t="e">
        <f>interpola(#REF!,CURVA!$B$6:$B$20,CURVA!$G$6:$G$20)</f>
        <v>#VALUE!</v>
      </c>
      <c r="C9801" s="29" t="e">
        <f t="shared" si="153"/>
        <v>#VALUE!</v>
      </c>
      <c r="E9801" t="e">
        <f>cubic_spline(CURVA!$B$6:$B$20,CURVA!$G$6:$G$20,#REF!)</f>
        <v>#VALUE!</v>
      </c>
    </row>
    <row r="9802" spans="1:5" x14ac:dyDescent="0.2">
      <c r="A9802" s="28">
        <v>9801</v>
      </c>
      <c r="B9802" s="28" t="e">
        <f>interpola(#REF!,CURVA!$B$6:$B$20,CURVA!$G$6:$G$20)</f>
        <v>#VALUE!</v>
      </c>
      <c r="C9802" s="29" t="e">
        <f t="shared" si="153"/>
        <v>#VALUE!</v>
      </c>
      <c r="E9802" t="e">
        <f>cubic_spline(CURVA!$B$6:$B$20,CURVA!$G$6:$G$20,#REF!)</f>
        <v>#VALUE!</v>
      </c>
    </row>
    <row r="9803" spans="1:5" x14ac:dyDescent="0.2">
      <c r="A9803" s="28">
        <v>9802</v>
      </c>
      <c r="B9803" s="28" t="e">
        <f>interpola(#REF!,CURVA!$B$6:$B$20,CURVA!$G$6:$G$20)</f>
        <v>#VALUE!</v>
      </c>
      <c r="C9803" s="29" t="e">
        <f t="shared" si="153"/>
        <v>#VALUE!</v>
      </c>
      <c r="E9803" t="e">
        <f>cubic_spline(CURVA!$B$6:$B$20,CURVA!$G$6:$G$20,#REF!)</f>
        <v>#VALUE!</v>
      </c>
    </row>
    <row r="9804" spans="1:5" x14ac:dyDescent="0.2">
      <c r="A9804" s="28">
        <v>9803</v>
      </c>
      <c r="B9804" s="28" t="e">
        <f>interpola(#REF!,CURVA!$B$6:$B$20,CURVA!$G$6:$G$20)</f>
        <v>#VALUE!</v>
      </c>
      <c r="C9804" s="29" t="e">
        <f t="shared" si="153"/>
        <v>#VALUE!</v>
      </c>
      <c r="E9804" t="e">
        <f>cubic_spline(CURVA!$B$6:$B$20,CURVA!$G$6:$G$20,#REF!)</f>
        <v>#VALUE!</v>
      </c>
    </row>
    <row r="9805" spans="1:5" x14ac:dyDescent="0.2">
      <c r="A9805" s="28">
        <v>9804</v>
      </c>
      <c r="B9805" s="28" t="e">
        <f>interpola(#REF!,CURVA!$B$6:$B$20,CURVA!$G$6:$G$20)</f>
        <v>#VALUE!</v>
      </c>
      <c r="C9805" s="29" t="e">
        <f t="shared" si="153"/>
        <v>#VALUE!</v>
      </c>
      <c r="E9805" t="e">
        <f>cubic_spline(CURVA!$B$6:$B$20,CURVA!$G$6:$G$20,#REF!)</f>
        <v>#VALUE!</v>
      </c>
    </row>
    <row r="9806" spans="1:5" x14ac:dyDescent="0.2">
      <c r="A9806" s="28">
        <v>9805</v>
      </c>
      <c r="B9806" s="28" t="e">
        <f>interpola(#REF!,CURVA!$B$6:$B$20,CURVA!$G$6:$G$20)</f>
        <v>#VALUE!</v>
      </c>
      <c r="C9806" s="29" t="e">
        <f t="shared" si="153"/>
        <v>#VALUE!</v>
      </c>
      <c r="E9806" t="e">
        <f>cubic_spline(CURVA!$B$6:$B$20,CURVA!$G$6:$G$20,#REF!)</f>
        <v>#VALUE!</v>
      </c>
    </row>
    <row r="9807" spans="1:5" x14ac:dyDescent="0.2">
      <c r="A9807" s="28">
        <v>9806</v>
      </c>
      <c r="B9807" s="28" t="e">
        <f>interpola(#REF!,CURVA!$B$6:$B$20,CURVA!$G$6:$G$20)</f>
        <v>#VALUE!</v>
      </c>
      <c r="C9807" s="29" t="e">
        <f t="shared" si="153"/>
        <v>#VALUE!</v>
      </c>
      <c r="E9807" t="e">
        <f>cubic_spline(CURVA!$B$6:$B$20,CURVA!$G$6:$G$20,#REF!)</f>
        <v>#VALUE!</v>
      </c>
    </row>
    <row r="9808" spans="1:5" x14ac:dyDescent="0.2">
      <c r="A9808" s="28">
        <v>9807</v>
      </c>
      <c r="B9808" s="28" t="e">
        <f>interpola(#REF!,CURVA!$B$6:$B$20,CURVA!$G$6:$G$20)</f>
        <v>#VALUE!</v>
      </c>
      <c r="C9808" s="29" t="e">
        <f t="shared" si="153"/>
        <v>#VALUE!</v>
      </c>
      <c r="E9808" t="e">
        <f>cubic_spline(CURVA!$B$6:$B$20,CURVA!$G$6:$G$20,#REF!)</f>
        <v>#VALUE!</v>
      </c>
    </row>
    <row r="9809" spans="1:5" x14ac:dyDescent="0.2">
      <c r="A9809" s="28">
        <v>9808</v>
      </c>
      <c r="B9809" s="28" t="e">
        <f>interpola(#REF!,CURVA!$B$6:$B$20,CURVA!$G$6:$G$20)</f>
        <v>#VALUE!</v>
      </c>
      <c r="C9809" s="29" t="e">
        <f t="shared" si="153"/>
        <v>#VALUE!</v>
      </c>
      <c r="E9809" t="e">
        <f>cubic_spline(CURVA!$B$6:$B$20,CURVA!$G$6:$G$20,#REF!)</f>
        <v>#VALUE!</v>
      </c>
    </row>
    <row r="9810" spans="1:5" x14ac:dyDescent="0.2">
      <c r="A9810" s="28">
        <v>9809</v>
      </c>
      <c r="B9810" s="28" t="e">
        <f>interpola(#REF!,CURVA!$B$6:$B$20,CURVA!$G$6:$G$20)</f>
        <v>#VALUE!</v>
      </c>
      <c r="C9810" s="29" t="e">
        <f t="shared" si="153"/>
        <v>#VALUE!</v>
      </c>
      <c r="E9810" t="e">
        <f>cubic_spline(CURVA!$B$6:$B$20,CURVA!$G$6:$G$20,#REF!)</f>
        <v>#VALUE!</v>
      </c>
    </row>
    <row r="9811" spans="1:5" x14ac:dyDescent="0.2">
      <c r="A9811" s="28">
        <v>9810</v>
      </c>
      <c r="B9811" s="28" t="e">
        <f>interpola(#REF!,CURVA!$B$6:$B$20,CURVA!$G$6:$G$20)</f>
        <v>#VALUE!</v>
      </c>
      <c r="C9811" s="29" t="e">
        <f t="shared" si="153"/>
        <v>#VALUE!</v>
      </c>
      <c r="E9811" t="e">
        <f>cubic_spline(CURVA!$B$6:$B$20,CURVA!$G$6:$G$20,#REF!)</f>
        <v>#VALUE!</v>
      </c>
    </row>
    <row r="9812" spans="1:5" x14ac:dyDescent="0.2">
      <c r="A9812" s="28">
        <v>9811</v>
      </c>
      <c r="B9812" s="28" t="e">
        <f>interpola(#REF!,CURVA!$B$6:$B$20,CURVA!$G$6:$G$20)</f>
        <v>#VALUE!</v>
      </c>
      <c r="C9812" s="29" t="e">
        <f t="shared" si="153"/>
        <v>#VALUE!</v>
      </c>
      <c r="E9812" t="e">
        <f>cubic_spline(CURVA!$B$6:$B$20,CURVA!$G$6:$G$20,#REF!)</f>
        <v>#VALUE!</v>
      </c>
    </row>
    <row r="9813" spans="1:5" x14ac:dyDescent="0.2">
      <c r="A9813" s="28">
        <v>9812</v>
      </c>
      <c r="B9813" s="28" t="e">
        <f>interpola(#REF!,CURVA!$B$6:$B$20,CURVA!$G$6:$G$20)</f>
        <v>#VALUE!</v>
      </c>
      <c r="C9813" s="29" t="e">
        <f t="shared" si="153"/>
        <v>#VALUE!</v>
      </c>
      <c r="E9813" t="e">
        <f>cubic_spline(CURVA!$B$6:$B$20,CURVA!$G$6:$G$20,#REF!)</f>
        <v>#VALUE!</v>
      </c>
    </row>
    <row r="9814" spans="1:5" x14ac:dyDescent="0.2">
      <c r="A9814" s="28">
        <v>9813</v>
      </c>
      <c r="B9814" s="28" t="e">
        <f>interpola(#REF!,CURVA!$B$6:$B$20,CURVA!$G$6:$G$20)</f>
        <v>#VALUE!</v>
      </c>
      <c r="C9814" s="29" t="e">
        <f t="shared" si="153"/>
        <v>#VALUE!</v>
      </c>
      <c r="E9814" t="e">
        <f>cubic_spline(CURVA!$B$6:$B$20,CURVA!$G$6:$G$20,#REF!)</f>
        <v>#VALUE!</v>
      </c>
    </row>
    <row r="9815" spans="1:5" x14ac:dyDescent="0.2">
      <c r="A9815" s="28">
        <v>9814</v>
      </c>
      <c r="B9815" s="28" t="e">
        <f>interpola(#REF!,CURVA!$B$6:$B$20,CURVA!$G$6:$G$20)</f>
        <v>#VALUE!</v>
      </c>
      <c r="C9815" s="29" t="e">
        <f t="shared" si="153"/>
        <v>#VALUE!</v>
      </c>
      <c r="E9815" t="e">
        <f>cubic_spline(CURVA!$B$6:$B$20,CURVA!$G$6:$G$20,#REF!)</f>
        <v>#VALUE!</v>
      </c>
    </row>
    <row r="9816" spans="1:5" x14ac:dyDescent="0.2">
      <c r="A9816" s="28">
        <v>9815</v>
      </c>
      <c r="B9816" s="28" t="e">
        <f>interpola(#REF!,CURVA!$B$6:$B$20,CURVA!$G$6:$G$20)</f>
        <v>#VALUE!</v>
      </c>
      <c r="C9816" s="29" t="e">
        <f t="shared" si="153"/>
        <v>#VALUE!</v>
      </c>
      <c r="E9816" t="e">
        <f>cubic_spline(CURVA!$B$6:$B$20,CURVA!$G$6:$G$20,#REF!)</f>
        <v>#VALUE!</v>
      </c>
    </row>
    <row r="9817" spans="1:5" x14ac:dyDescent="0.2">
      <c r="A9817" s="28">
        <v>9816</v>
      </c>
      <c r="B9817" s="28" t="e">
        <f>interpola(#REF!,CURVA!$B$6:$B$20,CURVA!$G$6:$G$20)</f>
        <v>#VALUE!</v>
      </c>
      <c r="C9817" s="29" t="e">
        <f t="shared" si="153"/>
        <v>#VALUE!</v>
      </c>
      <c r="E9817" t="e">
        <f>cubic_spline(CURVA!$B$6:$B$20,CURVA!$G$6:$G$20,#REF!)</f>
        <v>#VALUE!</v>
      </c>
    </row>
    <row r="9818" spans="1:5" x14ac:dyDescent="0.2">
      <c r="A9818" s="28">
        <v>9817</v>
      </c>
      <c r="B9818" s="28" t="e">
        <f>interpola(#REF!,CURVA!$B$6:$B$20,CURVA!$G$6:$G$20)</f>
        <v>#VALUE!</v>
      </c>
      <c r="C9818" s="29" t="e">
        <f t="shared" si="153"/>
        <v>#VALUE!</v>
      </c>
      <c r="E9818" t="e">
        <f>cubic_spline(CURVA!$B$6:$B$20,CURVA!$G$6:$G$20,#REF!)</f>
        <v>#VALUE!</v>
      </c>
    </row>
    <row r="9819" spans="1:5" x14ac:dyDescent="0.2">
      <c r="A9819" s="28">
        <v>9818</v>
      </c>
      <c r="B9819" s="28" t="e">
        <f>interpola(#REF!,CURVA!$B$6:$B$20,CURVA!$G$6:$G$20)</f>
        <v>#VALUE!</v>
      </c>
      <c r="C9819" s="29" t="e">
        <f t="shared" si="153"/>
        <v>#VALUE!</v>
      </c>
      <c r="E9819" t="e">
        <f>cubic_spline(CURVA!$B$6:$B$20,CURVA!$G$6:$G$20,#REF!)</f>
        <v>#VALUE!</v>
      </c>
    </row>
    <row r="9820" spans="1:5" x14ac:dyDescent="0.2">
      <c r="A9820" s="28">
        <v>9819</v>
      </c>
      <c r="B9820" s="28" t="e">
        <f>interpola(#REF!,CURVA!$B$6:$B$20,CURVA!$G$6:$G$20)</f>
        <v>#VALUE!</v>
      </c>
      <c r="C9820" s="29" t="e">
        <f t="shared" si="153"/>
        <v>#VALUE!</v>
      </c>
      <c r="E9820" t="e">
        <f>cubic_spline(CURVA!$B$6:$B$20,CURVA!$G$6:$G$20,#REF!)</f>
        <v>#VALUE!</v>
      </c>
    </row>
    <row r="9821" spans="1:5" x14ac:dyDescent="0.2">
      <c r="A9821" s="28">
        <v>9820</v>
      </c>
      <c r="B9821" s="28" t="e">
        <f>interpola(#REF!,CURVA!$B$6:$B$20,CURVA!$G$6:$G$20)</f>
        <v>#VALUE!</v>
      </c>
      <c r="C9821" s="29" t="e">
        <f t="shared" si="153"/>
        <v>#VALUE!</v>
      </c>
      <c r="E9821" t="e">
        <f>cubic_spline(CURVA!$B$6:$B$20,CURVA!$G$6:$G$20,#REF!)</f>
        <v>#VALUE!</v>
      </c>
    </row>
    <row r="9822" spans="1:5" x14ac:dyDescent="0.2">
      <c r="A9822" s="28">
        <v>9821</v>
      </c>
      <c r="B9822" s="28" t="e">
        <f>interpola(#REF!,CURVA!$B$6:$B$20,CURVA!$G$6:$G$20)</f>
        <v>#VALUE!</v>
      </c>
      <c r="C9822" s="29" t="e">
        <f t="shared" si="153"/>
        <v>#VALUE!</v>
      </c>
      <c r="E9822" t="e">
        <f>cubic_spline(CURVA!$B$6:$B$20,CURVA!$G$6:$G$20,#REF!)</f>
        <v>#VALUE!</v>
      </c>
    </row>
    <row r="9823" spans="1:5" x14ac:dyDescent="0.2">
      <c r="A9823" s="28">
        <v>9822</v>
      </c>
      <c r="B9823" s="28" t="e">
        <f>interpola(#REF!,CURVA!$B$6:$B$20,CURVA!$G$6:$G$20)</f>
        <v>#VALUE!</v>
      </c>
      <c r="C9823" s="29" t="e">
        <f t="shared" si="153"/>
        <v>#VALUE!</v>
      </c>
      <c r="E9823" t="e">
        <f>cubic_spline(CURVA!$B$6:$B$20,CURVA!$G$6:$G$20,#REF!)</f>
        <v>#VALUE!</v>
      </c>
    </row>
    <row r="9824" spans="1:5" x14ac:dyDescent="0.2">
      <c r="A9824" s="28">
        <v>9823</v>
      </c>
      <c r="B9824" s="28" t="e">
        <f>interpola(#REF!,CURVA!$B$6:$B$20,CURVA!$G$6:$G$20)</f>
        <v>#VALUE!</v>
      </c>
      <c r="C9824" s="29" t="e">
        <f t="shared" si="153"/>
        <v>#VALUE!</v>
      </c>
      <c r="E9824" t="e">
        <f>cubic_spline(CURVA!$B$6:$B$20,CURVA!$G$6:$G$20,#REF!)</f>
        <v>#VALUE!</v>
      </c>
    </row>
    <row r="9825" spans="1:5" x14ac:dyDescent="0.2">
      <c r="A9825" s="28">
        <v>9824</v>
      </c>
      <c r="B9825" s="28" t="e">
        <f>interpola(#REF!,CURVA!$B$6:$B$20,CURVA!$G$6:$G$20)</f>
        <v>#VALUE!</v>
      </c>
      <c r="C9825" s="29" t="e">
        <f t="shared" si="153"/>
        <v>#VALUE!</v>
      </c>
      <c r="E9825" t="e">
        <f>cubic_spline(CURVA!$B$6:$B$20,CURVA!$G$6:$G$20,#REF!)</f>
        <v>#VALUE!</v>
      </c>
    </row>
    <row r="9826" spans="1:5" x14ac:dyDescent="0.2">
      <c r="A9826" s="28">
        <v>9825</v>
      </c>
      <c r="B9826" s="28" t="e">
        <f>interpola(#REF!,CURVA!$B$6:$B$20,CURVA!$G$6:$G$20)</f>
        <v>#VALUE!</v>
      </c>
      <c r="C9826" s="29" t="e">
        <f t="shared" si="153"/>
        <v>#VALUE!</v>
      </c>
      <c r="E9826" t="e">
        <f>cubic_spline(CURVA!$B$6:$B$20,CURVA!$G$6:$G$20,#REF!)</f>
        <v>#VALUE!</v>
      </c>
    </row>
    <row r="9827" spans="1:5" x14ac:dyDescent="0.2">
      <c r="A9827" s="28">
        <v>9826</v>
      </c>
      <c r="B9827" s="28" t="e">
        <f>interpola(#REF!,CURVA!$B$6:$B$20,CURVA!$G$6:$G$20)</f>
        <v>#VALUE!</v>
      </c>
      <c r="C9827" s="29" t="e">
        <f t="shared" si="153"/>
        <v>#VALUE!</v>
      </c>
      <c r="E9827" t="e">
        <f>cubic_spline(CURVA!$B$6:$B$20,CURVA!$G$6:$G$20,#REF!)</f>
        <v>#VALUE!</v>
      </c>
    </row>
    <row r="9828" spans="1:5" x14ac:dyDescent="0.2">
      <c r="A9828" s="28">
        <v>9827</v>
      </c>
      <c r="B9828" s="28" t="e">
        <f>interpola(#REF!,CURVA!$B$6:$B$20,CURVA!$G$6:$G$20)</f>
        <v>#VALUE!</v>
      </c>
      <c r="C9828" s="29" t="e">
        <f t="shared" si="153"/>
        <v>#VALUE!</v>
      </c>
      <c r="E9828" t="e">
        <f>cubic_spline(CURVA!$B$6:$B$20,CURVA!$G$6:$G$20,#REF!)</f>
        <v>#VALUE!</v>
      </c>
    </row>
    <row r="9829" spans="1:5" x14ac:dyDescent="0.2">
      <c r="A9829" s="28">
        <v>9828</v>
      </c>
      <c r="B9829" s="28" t="e">
        <f>interpola(#REF!,CURVA!$B$6:$B$20,CURVA!$G$6:$G$20)</f>
        <v>#VALUE!</v>
      </c>
      <c r="C9829" s="29" t="e">
        <f t="shared" si="153"/>
        <v>#VALUE!</v>
      </c>
      <c r="E9829" t="e">
        <f>cubic_spline(CURVA!$B$6:$B$20,CURVA!$G$6:$G$20,#REF!)</f>
        <v>#VALUE!</v>
      </c>
    </row>
    <row r="9830" spans="1:5" x14ac:dyDescent="0.2">
      <c r="A9830" s="28">
        <v>9829</v>
      </c>
      <c r="B9830" s="28" t="e">
        <f>interpola(#REF!,CURVA!$B$6:$B$20,CURVA!$G$6:$G$20)</f>
        <v>#VALUE!</v>
      </c>
      <c r="C9830" s="29" t="e">
        <f t="shared" si="153"/>
        <v>#VALUE!</v>
      </c>
      <c r="E9830" t="e">
        <f>cubic_spline(CURVA!$B$6:$B$20,CURVA!$G$6:$G$20,#REF!)</f>
        <v>#VALUE!</v>
      </c>
    </row>
    <row r="9831" spans="1:5" x14ac:dyDescent="0.2">
      <c r="A9831" s="28">
        <v>9830</v>
      </c>
      <c r="B9831" s="28" t="e">
        <f>interpola(#REF!,CURVA!$B$6:$B$20,CURVA!$G$6:$G$20)</f>
        <v>#VALUE!</v>
      </c>
      <c r="C9831" s="29" t="e">
        <f t="shared" si="153"/>
        <v>#VALUE!</v>
      </c>
      <c r="E9831" t="e">
        <f>cubic_spline(CURVA!$B$6:$B$20,CURVA!$G$6:$G$20,#REF!)</f>
        <v>#VALUE!</v>
      </c>
    </row>
    <row r="9832" spans="1:5" x14ac:dyDescent="0.2">
      <c r="A9832" s="28">
        <v>9831</v>
      </c>
      <c r="B9832" s="28" t="e">
        <f>interpola(#REF!,CURVA!$B$6:$B$20,CURVA!$G$6:$G$20)</f>
        <v>#VALUE!</v>
      </c>
      <c r="C9832" s="29" t="e">
        <f t="shared" si="153"/>
        <v>#VALUE!</v>
      </c>
      <c r="E9832" t="e">
        <f>cubic_spline(CURVA!$B$6:$B$20,CURVA!$G$6:$G$20,#REF!)</f>
        <v>#VALUE!</v>
      </c>
    </row>
    <row r="9833" spans="1:5" x14ac:dyDescent="0.2">
      <c r="A9833" s="28">
        <v>9832</v>
      </c>
      <c r="B9833" s="28" t="e">
        <f>interpola(#REF!,CURVA!$B$6:$B$20,CURVA!$G$6:$G$20)</f>
        <v>#VALUE!</v>
      </c>
      <c r="C9833" s="29" t="e">
        <f t="shared" si="153"/>
        <v>#VALUE!</v>
      </c>
      <c r="E9833" t="e">
        <f>cubic_spline(CURVA!$B$6:$B$20,CURVA!$G$6:$G$20,#REF!)</f>
        <v>#VALUE!</v>
      </c>
    </row>
    <row r="9834" spans="1:5" x14ac:dyDescent="0.2">
      <c r="A9834" s="28">
        <v>9833</v>
      </c>
      <c r="B9834" s="28" t="e">
        <f>interpola(#REF!,CURVA!$B$6:$B$20,CURVA!$G$6:$G$20)</f>
        <v>#VALUE!</v>
      </c>
      <c r="C9834" s="29" t="e">
        <f t="shared" si="153"/>
        <v>#VALUE!</v>
      </c>
      <c r="E9834" t="e">
        <f>cubic_spline(CURVA!$B$6:$B$20,CURVA!$G$6:$G$20,#REF!)</f>
        <v>#VALUE!</v>
      </c>
    </row>
    <row r="9835" spans="1:5" x14ac:dyDescent="0.2">
      <c r="A9835" s="28">
        <v>9834</v>
      </c>
      <c r="B9835" s="28" t="e">
        <f>interpola(#REF!,CURVA!$B$6:$B$20,CURVA!$G$6:$G$20)</f>
        <v>#VALUE!</v>
      </c>
      <c r="C9835" s="29" t="e">
        <f t="shared" si="153"/>
        <v>#VALUE!</v>
      </c>
      <c r="E9835" t="e">
        <f>cubic_spline(CURVA!$B$6:$B$20,CURVA!$G$6:$G$20,#REF!)</f>
        <v>#VALUE!</v>
      </c>
    </row>
    <row r="9836" spans="1:5" x14ac:dyDescent="0.2">
      <c r="A9836" s="28">
        <v>9835</v>
      </c>
      <c r="B9836" s="28" t="e">
        <f>interpola(#REF!,CURVA!$B$6:$B$20,CURVA!$G$6:$G$20)</f>
        <v>#VALUE!</v>
      </c>
      <c r="C9836" s="29" t="e">
        <f t="shared" si="153"/>
        <v>#VALUE!</v>
      </c>
      <c r="E9836" t="e">
        <f>cubic_spline(CURVA!$B$6:$B$20,CURVA!$G$6:$G$20,#REF!)</f>
        <v>#VALUE!</v>
      </c>
    </row>
    <row r="9837" spans="1:5" x14ac:dyDescent="0.2">
      <c r="A9837" s="28">
        <v>9836</v>
      </c>
      <c r="B9837" s="28" t="e">
        <f>interpola(#REF!,CURVA!$B$6:$B$20,CURVA!$G$6:$G$20)</f>
        <v>#VALUE!</v>
      </c>
      <c r="C9837" s="29" t="e">
        <f t="shared" si="153"/>
        <v>#VALUE!</v>
      </c>
      <c r="E9837" t="e">
        <f>cubic_spline(CURVA!$B$6:$B$20,CURVA!$G$6:$G$20,#REF!)</f>
        <v>#VALUE!</v>
      </c>
    </row>
    <row r="9838" spans="1:5" x14ac:dyDescent="0.2">
      <c r="A9838" s="28">
        <v>9837</v>
      </c>
      <c r="B9838" s="28" t="e">
        <f>interpola(#REF!,CURVA!$B$6:$B$20,CURVA!$G$6:$G$20)</f>
        <v>#VALUE!</v>
      </c>
      <c r="C9838" s="29" t="e">
        <f t="shared" si="153"/>
        <v>#VALUE!</v>
      </c>
      <c r="E9838" t="e">
        <f>cubic_spline(CURVA!$B$6:$B$20,CURVA!$G$6:$G$20,#REF!)</f>
        <v>#VALUE!</v>
      </c>
    </row>
    <row r="9839" spans="1:5" x14ac:dyDescent="0.2">
      <c r="A9839" s="28">
        <v>9838</v>
      </c>
      <c r="B9839" s="28" t="e">
        <f>interpola(#REF!,CURVA!$B$6:$B$20,CURVA!$G$6:$G$20)</f>
        <v>#VALUE!</v>
      </c>
      <c r="C9839" s="29" t="e">
        <f t="shared" si="153"/>
        <v>#VALUE!</v>
      </c>
      <c r="E9839" t="e">
        <f>cubic_spline(CURVA!$B$6:$B$20,CURVA!$G$6:$G$20,#REF!)</f>
        <v>#VALUE!</v>
      </c>
    </row>
    <row r="9840" spans="1:5" x14ac:dyDescent="0.2">
      <c r="A9840" s="28">
        <v>9839</v>
      </c>
      <c r="B9840" s="28" t="e">
        <f>interpola(#REF!,CURVA!$B$6:$B$20,CURVA!$G$6:$G$20)</f>
        <v>#VALUE!</v>
      </c>
      <c r="C9840" s="29" t="e">
        <f t="shared" si="153"/>
        <v>#VALUE!</v>
      </c>
      <c r="E9840" t="e">
        <f>cubic_spline(CURVA!$B$6:$B$20,CURVA!$G$6:$G$20,#REF!)</f>
        <v>#VALUE!</v>
      </c>
    </row>
    <row r="9841" spans="1:5" x14ac:dyDescent="0.2">
      <c r="A9841" s="28">
        <v>9840</v>
      </c>
      <c r="B9841" s="28" t="e">
        <f>interpola(#REF!,CURVA!$B$6:$B$20,CURVA!$G$6:$G$20)</f>
        <v>#VALUE!</v>
      </c>
      <c r="C9841" s="29" t="e">
        <f t="shared" si="153"/>
        <v>#VALUE!</v>
      </c>
      <c r="E9841" t="e">
        <f>cubic_spline(CURVA!$B$6:$B$20,CURVA!$G$6:$G$20,#REF!)</f>
        <v>#VALUE!</v>
      </c>
    </row>
    <row r="9842" spans="1:5" x14ac:dyDescent="0.2">
      <c r="A9842" s="28">
        <v>9841</v>
      </c>
      <c r="B9842" s="28" t="e">
        <f>interpola(#REF!,CURVA!$B$6:$B$20,CURVA!$G$6:$G$20)</f>
        <v>#VALUE!</v>
      </c>
      <c r="C9842" s="29" t="e">
        <f t="shared" si="153"/>
        <v>#VALUE!</v>
      </c>
      <c r="E9842" t="e">
        <f>cubic_spline(CURVA!$B$6:$B$20,CURVA!$G$6:$G$20,#REF!)</f>
        <v>#VALUE!</v>
      </c>
    </row>
    <row r="9843" spans="1:5" x14ac:dyDescent="0.2">
      <c r="A9843" s="28">
        <v>9842</v>
      </c>
      <c r="B9843" s="28" t="e">
        <f>interpola(#REF!,CURVA!$B$6:$B$20,CURVA!$G$6:$G$20)</f>
        <v>#VALUE!</v>
      </c>
      <c r="C9843" s="29" t="e">
        <f t="shared" si="153"/>
        <v>#VALUE!</v>
      </c>
      <c r="E9843" t="e">
        <f>cubic_spline(CURVA!$B$6:$B$20,CURVA!$G$6:$G$20,#REF!)</f>
        <v>#VALUE!</v>
      </c>
    </row>
    <row r="9844" spans="1:5" x14ac:dyDescent="0.2">
      <c r="A9844" s="28">
        <v>9843</v>
      </c>
      <c r="B9844" s="28" t="e">
        <f>interpola(#REF!,CURVA!$B$6:$B$20,CURVA!$G$6:$G$20)</f>
        <v>#VALUE!</v>
      </c>
      <c r="C9844" s="29" t="e">
        <f t="shared" si="153"/>
        <v>#VALUE!</v>
      </c>
      <c r="E9844" t="e">
        <f>cubic_spline(CURVA!$B$6:$B$20,CURVA!$G$6:$G$20,#REF!)</f>
        <v>#VALUE!</v>
      </c>
    </row>
    <row r="9845" spans="1:5" x14ac:dyDescent="0.2">
      <c r="A9845" s="28">
        <v>9844</v>
      </c>
      <c r="B9845" s="28" t="e">
        <f>interpola(#REF!,CURVA!$B$6:$B$20,CURVA!$G$6:$G$20)</f>
        <v>#VALUE!</v>
      </c>
      <c r="C9845" s="29" t="e">
        <f t="shared" si="153"/>
        <v>#VALUE!</v>
      </c>
      <c r="E9845" t="e">
        <f>cubic_spline(CURVA!$B$6:$B$20,CURVA!$G$6:$G$20,#REF!)</f>
        <v>#VALUE!</v>
      </c>
    </row>
    <row r="9846" spans="1:5" x14ac:dyDescent="0.2">
      <c r="A9846" s="28">
        <v>9845</v>
      </c>
      <c r="B9846" s="28" t="e">
        <f>interpola(#REF!,CURVA!$B$6:$B$20,CURVA!$G$6:$G$20)</f>
        <v>#VALUE!</v>
      </c>
      <c r="C9846" s="29" t="e">
        <f t="shared" si="153"/>
        <v>#VALUE!</v>
      </c>
      <c r="E9846" t="e">
        <f>cubic_spline(CURVA!$B$6:$B$20,CURVA!$G$6:$G$20,#REF!)</f>
        <v>#VALUE!</v>
      </c>
    </row>
    <row r="9847" spans="1:5" x14ac:dyDescent="0.2">
      <c r="A9847" s="28">
        <v>9846</v>
      </c>
      <c r="B9847" s="28" t="e">
        <f>interpola(#REF!,CURVA!$B$6:$B$20,CURVA!$G$6:$G$20)</f>
        <v>#VALUE!</v>
      </c>
      <c r="C9847" s="29" t="e">
        <f t="shared" si="153"/>
        <v>#VALUE!</v>
      </c>
      <c r="E9847" t="e">
        <f>cubic_spline(CURVA!$B$6:$B$20,CURVA!$G$6:$G$20,#REF!)</f>
        <v>#VALUE!</v>
      </c>
    </row>
    <row r="9848" spans="1:5" x14ac:dyDescent="0.2">
      <c r="A9848" s="28">
        <v>9847</v>
      </c>
      <c r="B9848" s="28" t="e">
        <f>interpola(#REF!,CURVA!$B$6:$B$20,CURVA!$G$6:$G$20)</f>
        <v>#VALUE!</v>
      </c>
      <c r="C9848" s="29" t="e">
        <f t="shared" si="153"/>
        <v>#VALUE!</v>
      </c>
      <c r="E9848" t="e">
        <f>cubic_spline(CURVA!$B$6:$B$20,CURVA!$G$6:$G$20,#REF!)</f>
        <v>#VALUE!</v>
      </c>
    </row>
    <row r="9849" spans="1:5" x14ac:dyDescent="0.2">
      <c r="A9849" s="28">
        <v>9848</v>
      </c>
      <c r="B9849" s="28" t="e">
        <f>interpola(#REF!,CURVA!$B$6:$B$20,CURVA!$G$6:$G$20)</f>
        <v>#VALUE!</v>
      </c>
      <c r="C9849" s="29" t="e">
        <f t="shared" si="153"/>
        <v>#VALUE!</v>
      </c>
      <c r="E9849" t="e">
        <f>cubic_spline(CURVA!$B$6:$B$20,CURVA!$G$6:$G$20,#REF!)</f>
        <v>#VALUE!</v>
      </c>
    </row>
    <row r="9850" spans="1:5" x14ac:dyDescent="0.2">
      <c r="A9850" s="28">
        <v>9849</v>
      </c>
      <c r="B9850" s="28" t="e">
        <f>interpola(#REF!,CURVA!$B$6:$B$20,CURVA!$G$6:$G$20)</f>
        <v>#VALUE!</v>
      </c>
      <c r="C9850" s="29" t="e">
        <f t="shared" si="153"/>
        <v>#VALUE!</v>
      </c>
      <c r="E9850" t="e">
        <f>cubic_spline(CURVA!$B$6:$B$20,CURVA!$G$6:$G$20,#REF!)</f>
        <v>#VALUE!</v>
      </c>
    </row>
    <row r="9851" spans="1:5" x14ac:dyDescent="0.2">
      <c r="A9851" s="28">
        <v>9850</v>
      </c>
      <c r="B9851" s="28" t="e">
        <f>interpola(#REF!,CURVA!$B$6:$B$20,CURVA!$G$6:$G$20)</f>
        <v>#VALUE!</v>
      </c>
      <c r="C9851" s="29" t="e">
        <f t="shared" si="153"/>
        <v>#VALUE!</v>
      </c>
      <c r="E9851" t="e">
        <f>cubic_spline(CURVA!$B$6:$B$20,CURVA!$G$6:$G$20,#REF!)</f>
        <v>#VALUE!</v>
      </c>
    </row>
    <row r="9852" spans="1:5" x14ac:dyDescent="0.2">
      <c r="A9852" s="28">
        <v>9851</v>
      </c>
      <c r="B9852" s="28" t="e">
        <f>interpola(#REF!,CURVA!$B$6:$B$20,CURVA!$G$6:$G$20)</f>
        <v>#VALUE!</v>
      </c>
      <c r="C9852" s="29" t="e">
        <f t="shared" si="153"/>
        <v>#VALUE!</v>
      </c>
      <c r="E9852" t="e">
        <f>cubic_spline(CURVA!$B$6:$B$20,CURVA!$G$6:$G$20,#REF!)</f>
        <v>#VALUE!</v>
      </c>
    </row>
    <row r="9853" spans="1:5" x14ac:dyDescent="0.2">
      <c r="A9853" s="28">
        <v>9852</v>
      </c>
      <c r="B9853" s="28" t="e">
        <f>interpola(#REF!,CURVA!$B$6:$B$20,CURVA!$G$6:$G$20)</f>
        <v>#VALUE!</v>
      </c>
      <c r="C9853" s="29" t="e">
        <f t="shared" si="153"/>
        <v>#VALUE!</v>
      </c>
      <c r="E9853" t="e">
        <f>cubic_spline(CURVA!$B$6:$B$20,CURVA!$G$6:$G$20,#REF!)</f>
        <v>#VALUE!</v>
      </c>
    </row>
    <row r="9854" spans="1:5" x14ac:dyDescent="0.2">
      <c r="A9854" s="28">
        <v>9853</v>
      </c>
      <c r="B9854" s="28" t="e">
        <f>interpola(#REF!,CURVA!$B$6:$B$20,CURVA!$G$6:$G$20)</f>
        <v>#VALUE!</v>
      </c>
      <c r="C9854" s="29" t="e">
        <f t="shared" si="153"/>
        <v>#VALUE!</v>
      </c>
      <c r="E9854" t="e">
        <f>cubic_spline(CURVA!$B$6:$B$20,CURVA!$G$6:$G$20,#REF!)</f>
        <v>#VALUE!</v>
      </c>
    </row>
    <row r="9855" spans="1:5" x14ac:dyDescent="0.2">
      <c r="A9855" s="28">
        <v>9854</v>
      </c>
      <c r="B9855" s="28" t="e">
        <f>interpola(#REF!,CURVA!$B$6:$B$20,CURVA!$G$6:$G$20)</f>
        <v>#VALUE!</v>
      </c>
      <c r="C9855" s="29" t="e">
        <f t="shared" si="153"/>
        <v>#VALUE!</v>
      </c>
      <c r="E9855" t="e">
        <f>cubic_spline(CURVA!$B$6:$B$20,CURVA!$G$6:$G$20,#REF!)</f>
        <v>#VALUE!</v>
      </c>
    </row>
    <row r="9856" spans="1:5" x14ac:dyDescent="0.2">
      <c r="A9856" s="28">
        <v>9855</v>
      </c>
      <c r="B9856" s="28" t="e">
        <f>interpola(#REF!,CURVA!$B$6:$B$20,CURVA!$G$6:$G$20)</f>
        <v>#VALUE!</v>
      </c>
      <c r="C9856" s="29" t="e">
        <f t="shared" si="153"/>
        <v>#VALUE!</v>
      </c>
      <c r="E9856" t="e">
        <f>cubic_spline(CURVA!$B$6:$B$20,CURVA!$G$6:$G$20,#REF!)</f>
        <v>#VALUE!</v>
      </c>
    </row>
    <row r="9857" spans="1:5" x14ac:dyDescent="0.2">
      <c r="A9857" s="28">
        <v>9856</v>
      </c>
      <c r="B9857" s="28" t="e">
        <f>interpola(#REF!,CURVA!$B$6:$B$20,CURVA!$G$6:$G$20)</f>
        <v>#VALUE!</v>
      </c>
      <c r="C9857" s="29" t="e">
        <f t="shared" si="153"/>
        <v>#VALUE!</v>
      </c>
      <c r="E9857" t="e">
        <f>cubic_spline(CURVA!$B$6:$B$20,CURVA!$G$6:$G$20,#REF!)</f>
        <v>#VALUE!</v>
      </c>
    </row>
    <row r="9858" spans="1:5" x14ac:dyDescent="0.2">
      <c r="A9858" s="28">
        <v>9857</v>
      </c>
      <c r="B9858" s="28" t="e">
        <f>interpola(#REF!,CURVA!$B$6:$B$20,CURVA!$G$6:$G$20)</f>
        <v>#VALUE!</v>
      </c>
      <c r="C9858" s="29" t="e">
        <f t="shared" ref="C9858:C9921" si="154">(EXP(B9858*A9858/360)-1)*360/A9858</f>
        <v>#VALUE!</v>
      </c>
      <c r="E9858" t="e">
        <f>cubic_spline(CURVA!$B$6:$B$20,CURVA!$G$6:$G$20,#REF!)</f>
        <v>#VALUE!</v>
      </c>
    </row>
    <row r="9859" spans="1:5" x14ac:dyDescent="0.2">
      <c r="A9859" s="28">
        <v>9858</v>
      </c>
      <c r="B9859" s="28" t="e">
        <f>interpola(#REF!,CURVA!$B$6:$B$20,CURVA!$G$6:$G$20)</f>
        <v>#VALUE!</v>
      </c>
      <c r="C9859" s="29" t="e">
        <f t="shared" si="154"/>
        <v>#VALUE!</v>
      </c>
      <c r="E9859" t="e">
        <f>cubic_spline(CURVA!$B$6:$B$20,CURVA!$G$6:$G$20,#REF!)</f>
        <v>#VALUE!</v>
      </c>
    </row>
    <row r="9860" spans="1:5" x14ac:dyDescent="0.2">
      <c r="A9860" s="28">
        <v>9859</v>
      </c>
      <c r="B9860" s="28" t="e">
        <f>interpola(#REF!,CURVA!$B$6:$B$20,CURVA!$G$6:$G$20)</f>
        <v>#VALUE!</v>
      </c>
      <c r="C9860" s="29" t="e">
        <f t="shared" si="154"/>
        <v>#VALUE!</v>
      </c>
      <c r="E9860" t="e">
        <f>cubic_spline(CURVA!$B$6:$B$20,CURVA!$G$6:$G$20,#REF!)</f>
        <v>#VALUE!</v>
      </c>
    </row>
    <row r="9861" spans="1:5" x14ac:dyDescent="0.2">
      <c r="A9861" s="28">
        <v>9860</v>
      </c>
      <c r="B9861" s="28" t="e">
        <f>interpola(#REF!,CURVA!$B$6:$B$20,CURVA!$G$6:$G$20)</f>
        <v>#VALUE!</v>
      </c>
      <c r="C9861" s="29" t="e">
        <f t="shared" si="154"/>
        <v>#VALUE!</v>
      </c>
      <c r="E9861" t="e">
        <f>cubic_spline(CURVA!$B$6:$B$20,CURVA!$G$6:$G$20,#REF!)</f>
        <v>#VALUE!</v>
      </c>
    </row>
    <row r="9862" spans="1:5" x14ac:dyDescent="0.2">
      <c r="A9862" s="28">
        <v>9861</v>
      </c>
      <c r="B9862" s="28" t="e">
        <f>interpola(#REF!,CURVA!$B$6:$B$20,CURVA!$G$6:$G$20)</f>
        <v>#VALUE!</v>
      </c>
      <c r="C9862" s="29" t="e">
        <f t="shared" si="154"/>
        <v>#VALUE!</v>
      </c>
      <c r="E9862" t="e">
        <f>cubic_spline(CURVA!$B$6:$B$20,CURVA!$G$6:$G$20,#REF!)</f>
        <v>#VALUE!</v>
      </c>
    </row>
    <row r="9863" spans="1:5" x14ac:dyDescent="0.2">
      <c r="A9863" s="28">
        <v>9862</v>
      </c>
      <c r="B9863" s="28" t="e">
        <f>interpola(#REF!,CURVA!$B$6:$B$20,CURVA!$G$6:$G$20)</f>
        <v>#VALUE!</v>
      </c>
      <c r="C9863" s="29" t="e">
        <f t="shared" si="154"/>
        <v>#VALUE!</v>
      </c>
      <c r="E9863" t="e">
        <f>cubic_spline(CURVA!$B$6:$B$20,CURVA!$G$6:$G$20,#REF!)</f>
        <v>#VALUE!</v>
      </c>
    </row>
    <row r="9864" spans="1:5" x14ac:dyDescent="0.2">
      <c r="A9864" s="28">
        <v>9863</v>
      </c>
      <c r="B9864" s="28" t="e">
        <f>interpola(#REF!,CURVA!$B$6:$B$20,CURVA!$G$6:$G$20)</f>
        <v>#VALUE!</v>
      </c>
      <c r="C9864" s="29" t="e">
        <f t="shared" si="154"/>
        <v>#VALUE!</v>
      </c>
      <c r="E9864" t="e">
        <f>cubic_spline(CURVA!$B$6:$B$20,CURVA!$G$6:$G$20,#REF!)</f>
        <v>#VALUE!</v>
      </c>
    </row>
    <row r="9865" spans="1:5" x14ac:dyDescent="0.2">
      <c r="A9865" s="28">
        <v>9864</v>
      </c>
      <c r="B9865" s="28" t="e">
        <f>interpola(#REF!,CURVA!$B$6:$B$20,CURVA!$G$6:$G$20)</f>
        <v>#VALUE!</v>
      </c>
      <c r="C9865" s="29" t="e">
        <f t="shared" si="154"/>
        <v>#VALUE!</v>
      </c>
      <c r="E9865" t="e">
        <f>cubic_spline(CURVA!$B$6:$B$20,CURVA!$G$6:$G$20,#REF!)</f>
        <v>#VALUE!</v>
      </c>
    </row>
    <row r="9866" spans="1:5" x14ac:dyDescent="0.2">
      <c r="A9866" s="28">
        <v>9865</v>
      </c>
      <c r="B9866" s="28" t="e">
        <f>interpola(#REF!,CURVA!$B$6:$B$20,CURVA!$G$6:$G$20)</f>
        <v>#VALUE!</v>
      </c>
      <c r="C9866" s="29" t="e">
        <f t="shared" si="154"/>
        <v>#VALUE!</v>
      </c>
      <c r="E9866" t="e">
        <f>cubic_spline(CURVA!$B$6:$B$20,CURVA!$G$6:$G$20,#REF!)</f>
        <v>#VALUE!</v>
      </c>
    </row>
    <row r="9867" spans="1:5" x14ac:dyDescent="0.2">
      <c r="A9867" s="28">
        <v>9866</v>
      </c>
      <c r="B9867" s="28" t="e">
        <f>interpola(#REF!,CURVA!$B$6:$B$20,CURVA!$G$6:$G$20)</f>
        <v>#VALUE!</v>
      </c>
      <c r="C9867" s="29" t="e">
        <f t="shared" si="154"/>
        <v>#VALUE!</v>
      </c>
      <c r="E9867" t="e">
        <f>cubic_spline(CURVA!$B$6:$B$20,CURVA!$G$6:$G$20,#REF!)</f>
        <v>#VALUE!</v>
      </c>
    </row>
    <row r="9868" spans="1:5" x14ac:dyDescent="0.2">
      <c r="A9868" s="28">
        <v>9867</v>
      </c>
      <c r="B9868" s="28" t="e">
        <f>interpola(#REF!,CURVA!$B$6:$B$20,CURVA!$G$6:$G$20)</f>
        <v>#VALUE!</v>
      </c>
      <c r="C9868" s="29" t="e">
        <f t="shared" si="154"/>
        <v>#VALUE!</v>
      </c>
      <c r="E9868" t="e">
        <f>cubic_spline(CURVA!$B$6:$B$20,CURVA!$G$6:$G$20,#REF!)</f>
        <v>#VALUE!</v>
      </c>
    </row>
    <row r="9869" spans="1:5" x14ac:dyDescent="0.2">
      <c r="A9869" s="28">
        <v>9868</v>
      </c>
      <c r="B9869" s="28" t="e">
        <f>interpola(#REF!,CURVA!$B$6:$B$20,CURVA!$G$6:$G$20)</f>
        <v>#VALUE!</v>
      </c>
      <c r="C9869" s="29" t="e">
        <f t="shared" si="154"/>
        <v>#VALUE!</v>
      </c>
      <c r="E9869" t="e">
        <f>cubic_spline(CURVA!$B$6:$B$20,CURVA!$G$6:$G$20,#REF!)</f>
        <v>#VALUE!</v>
      </c>
    </row>
    <row r="9870" spans="1:5" x14ac:dyDescent="0.2">
      <c r="A9870" s="28">
        <v>9869</v>
      </c>
      <c r="B9870" s="28" t="e">
        <f>interpola(#REF!,CURVA!$B$6:$B$20,CURVA!$G$6:$G$20)</f>
        <v>#VALUE!</v>
      </c>
      <c r="C9870" s="29" t="e">
        <f t="shared" si="154"/>
        <v>#VALUE!</v>
      </c>
      <c r="E9870" t="e">
        <f>cubic_spline(CURVA!$B$6:$B$20,CURVA!$G$6:$G$20,#REF!)</f>
        <v>#VALUE!</v>
      </c>
    </row>
    <row r="9871" spans="1:5" x14ac:dyDescent="0.2">
      <c r="A9871" s="28">
        <v>9870</v>
      </c>
      <c r="B9871" s="28" t="e">
        <f>interpola(#REF!,CURVA!$B$6:$B$20,CURVA!$G$6:$G$20)</f>
        <v>#VALUE!</v>
      </c>
      <c r="C9871" s="29" t="e">
        <f t="shared" si="154"/>
        <v>#VALUE!</v>
      </c>
      <c r="E9871" t="e">
        <f>cubic_spline(CURVA!$B$6:$B$20,CURVA!$G$6:$G$20,#REF!)</f>
        <v>#VALUE!</v>
      </c>
    </row>
    <row r="9872" spans="1:5" x14ac:dyDescent="0.2">
      <c r="A9872" s="28">
        <v>9871</v>
      </c>
      <c r="B9872" s="28" t="e">
        <f>interpola(#REF!,CURVA!$B$6:$B$20,CURVA!$G$6:$G$20)</f>
        <v>#VALUE!</v>
      </c>
      <c r="C9872" s="29" t="e">
        <f t="shared" si="154"/>
        <v>#VALUE!</v>
      </c>
      <c r="E9872" t="e">
        <f>cubic_spline(CURVA!$B$6:$B$20,CURVA!$G$6:$G$20,#REF!)</f>
        <v>#VALUE!</v>
      </c>
    </row>
    <row r="9873" spans="1:5" x14ac:dyDescent="0.2">
      <c r="A9873" s="28">
        <v>9872</v>
      </c>
      <c r="B9873" s="28" t="e">
        <f>interpola(#REF!,CURVA!$B$6:$B$20,CURVA!$G$6:$G$20)</f>
        <v>#VALUE!</v>
      </c>
      <c r="C9873" s="29" t="e">
        <f t="shared" si="154"/>
        <v>#VALUE!</v>
      </c>
      <c r="E9873" t="e">
        <f>cubic_spline(CURVA!$B$6:$B$20,CURVA!$G$6:$G$20,#REF!)</f>
        <v>#VALUE!</v>
      </c>
    </row>
    <row r="9874" spans="1:5" x14ac:dyDescent="0.2">
      <c r="A9874" s="28">
        <v>9873</v>
      </c>
      <c r="B9874" s="28" t="e">
        <f>interpola(#REF!,CURVA!$B$6:$B$20,CURVA!$G$6:$G$20)</f>
        <v>#VALUE!</v>
      </c>
      <c r="C9874" s="29" t="e">
        <f t="shared" si="154"/>
        <v>#VALUE!</v>
      </c>
      <c r="E9874" t="e">
        <f>cubic_spline(CURVA!$B$6:$B$20,CURVA!$G$6:$G$20,#REF!)</f>
        <v>#VALUE!</v>
      </c>
    </row>
    <row r="9875" spans="1:5" x14ac:dyDescent="0.2">
      <c r="A9875" s="28">
        <v>9874</v>
      </c>
      <c r="B9875" s="28" t="e">
        <f>interpola(#REF!,CURVA!$B$6:$B$20,CURVA!$G$6:$G$20)</f>
        <v>#VALUE!</v>
      </c>
      <c r="C9875" s="29" t="e">
        <f t="shared" si="154"/>
        <v>#VALUE!</v>
      </c>
      <c r="E9875" t="e">
        <f>cubic_spline(CURVA!$B$6:$B$20,CURVA!$G$6:$G$20,#REF!)</f>
        <v>#VALUE!</v>
      </c>
    </row>
    <row r="9876" spans="1:5" x14ac:dyDescent="0.2">
      <c r="A9876" s="28">
        <v>9875</v>
      </c>
      <c r="B9876" s="28" t="e">
        <f>interpola(#REF!,CURVA!$B$6:$B$20,CURVA!$G$6:$G$20)</f>
        <v>#VALUE!</v>
      </c>
      <c r="C9876" s="29" t="e">
        <f t="shared" si="154"/>
        <v>#VALUE!</v>
      </c>
      <c r="E9876" t="e">
        <f>cubic_spline(CURVA!$B$6:$B$20,CURVA!$G$6:$G$20,#REF!)</f>
        <v>#VALUE!</v>
      </c>
    </row>
    <row r="9877" spans="1:5" x14ac:dyDescent="0.2">
      <c r="A9877" s="28">
        <v>9876</v>
      </c>
      <c r="B9877" s="28" t="e">
        <f>interpola(#REF!,CURVA!$B$6:$B$20,CURVA!$G$6:$G$20)</f>
        <v>#VALUE!</v>
      </c>
      <c r="C9877" s="29" t="e">
        <f t="shared" si="154"/>
        <v>#VALUE!</v>
      </c>
      <c r="E9877" t="e">
        <f>cubic_spline(CURVA!$B$6:$B$20,CURVA!$G$6:$G$20,#REF!)</f>
        <v>#VALUE!</v>
      </c>
    </row>
    <row r="9878" spans="1:5" x14ac:dyDescent="0.2">
      <c r="A9878" s="28">
        <v>9877</v>
      </c>
      <c r="B9878" s="28" t="e">
        <f>interpola(#REF!,CURVA!$B$6:$B$20,CURVA!$G$6:$G$20)</f>
        <v>#VALUE!</v>
      </c>
      <c r="C9878" s="29" t="e">
        <f t="shared" si="154"/>
        <v>#VALUE!</v>
      </c>
      <c r="E9878" t="e">
        <f>cubic_spline(CURVA!$B$6:$B$20,CURVA!$G$6:$G$20,#REF!)</f>
        <v>#VALUE!</v>
      </c>
    </row>
    <row r="9879" spans="1:5" x14ac:dyDescent="0.2">
      <c r="A9879" s="28">
        <v>9878</v>
      </c>
      <c r="B9879" s="28" t="e">
        <f>interpola(#REF!,CURVA!$B$6:$B$20,CURVA!$G$6:$G$20)</f>
        <v>#VALUE!</v>
      </c>
      <c r="C9879" s="29" t="e">
        <f t="shared" si="154"/>
        <v>#VALUE!</v>
      </c>
      <c r="E9879" t="e">
        <f>cubic_spline(CURVA!$B$6:$B$20,CURVA!$G$6:$G$20,#REF!)</f>
        <v>#VALUE!</v>
      </c>
    </row>
    <row r="9880" spans="1:5" x14ac:dyDescent="0.2">
      <c r="A9880" s="28">
        <v>9879</v>
      </c>
      <c r="B9880" s="28" t="e">
        <f>interpola(#REF!,CURVA!$B$6:$B$20,CURVA!$G$6:$G$20)</f>
        <v>#VALUE!</v>
      </c>
      <c r="C9880" s="29" t="e">
        <f t="shared" si="154"/>
        <v>#VALUE!</v>
      </c>
      <c r="E9880" t="e">
        <f>cubic_spline(CURVA!$B$6:$B$20,CURVA!$G$6:$G$20,#REF!)</f>
        <v>#VALUE!</v>
      </c>
    </row>
    <row r="9881" spans="1:5" x14ac:dyDescent="0.2">
      <c r="A9881" s="28">
        <v>9880</v>
      </c>
      <c r="B9881" s="28" t="e">
        <f>interpola(#REF!,CURVA!$B$6:$B$20,CURVA!$G$6:$G$20)</f>
        <v>#VALUE!</v>
      </c>
      <c r="C9881" s="29" t="e">
        <f t="shared" si="154"/>
        <v>#VALUE!</v>
      </c>
      <c r="E9881" t="e">
        <f>cubic_spline(CURVA!$B$6:$B$20,CURVA!$G$6:$G$20,#REF!)</f>
        <v>#VALUE!</v>
      </c>
    </row>
    <row r="9882" spans="1:5" x14ac:dyDescent="0.2">
      <c r="A9882" s="28">
        <v>9881</v>
      </c>
      <c r="B9882" s="28" t="e">
        <f>interpola(#REF!,CURVA!$B$6:$B$20,CURVA!$G$6:$G$20)</f>
        <v>#VALUE!</v>
      </c>
      <c r="C9882" s="29" t="e">
        <f t="shared" si="154"/>
        <v>#VALUE!</v>
      </c>
      <c r="E9882" t="e">
        <f>cubic_spline(CURVA!$B$6:$B$20,CURVA!$G$6:$G$20,#REF!)</f>
        <v>#VALUE!</v>
      </c>
    </row>
    <row r="9883" spans="1:5" x14ac:dyDescent="0.2">
      <c r="A9883" s="28">
        <v>9882</v>
      </c>
      <c r="B9883" s="28" t="e">
        <f>interpola(#REF!,CURVA!$B$6:$B$20,CURVA!$G$6:$G$20)</f>
        <v>#VALUE!</v>
      </c>
      <c r="C9883" s="29" t="e">
        <f t="shared" si="154"/>
        <v>#VALUE!</v>
      </c>
      <c r="E9883" t="e">
        <f>cubic_spline(CURVA!$B$6:$B$20,CURVA!$G$6:$G$20,#REF!)</f>
        <v>#VALUE!</v>
      </c>
    </row>
    <row r="9884" spans="1:5" x14ac:dyDescent="0.2">
      <c r="A9884" s="28">
        <v>9883</v>
      </c>
      <c r="B9884" s="28" t="e">
        <f>interpola(#REF!,CURVA!$B$6:$B$20,CURVA!$G$6:$G$20)</f>
        <v>#VALUE!</v>
      </c>
      <c r="C9884" s="29" t="e">
        <f t="shared" si="154"/>
        <v>#VALUE!</v>
      </c>
      <c r="E9884" t="e">
        <f>cubic_spline(CURVA!$B$6:$B$20,CURVA!$G$6:$G$20,#REF!)</f>
        <v>#VALUE!</v>
      </c>
    </row>
    <row r="9885" spans="1:5" x14ac:dyDescent="0.2">
      <c r="A9885" s="28">
        <v>9884</v>
      </c>
      <c r="B9885" s="28" t="e">
        <f>interpola(#REF!,CURVA!$B$6:$B$20,CURVA!$G$6:$G$20)</f>
        <v>#VALUE!</v>
      </c>
      <c r="C9885" s="29" t="e">
        <f t="shared" si="154"/>
        <v>#VALUE!</v>
      </c>
      <c r="E9885" t="e">
        <f>cubic_spline(CURVA!$B$6:$B$20,CURVA!$G$6:$G$20,#REF!)</f>
        <v>#VALUE!</v>
      </c>
    </row>
    <row r="9886" spans="1:5" x14ac:dyDescent="0.2">
      <c r="A9886" s="28">
        <v>9885</v>
      </c>
      <c r="B9886" s="28" t="e">
        <f>interpola(#REF!,CURVA!$B$6:$B$20,CURVA!$G$6:$G$20)</f>
        <v>#VALUE!</v>
      </c>
      <c r="C9886" s="29" t="e">
        <f t="shared" si="154"/>
        <v>#VALUE!</v>
      </c>
      <c r="E9886" t="e">
        <f>cubic_spline(CURVA!$B$6:$B$20,CURVA!$G$6:$G$20,#REF!)</f>
        <v>#VALUE!</v>
      </c>
    </row>
    <row r="9887" spans="1:5" x14ac:dyDescent="0.2">
      <c r="A9887" s="28">
        <v>9886</v>
      </c>
      <c r="B9887" s="28" t="e">
        <f>interpola(#REF!,CURVA!$B$6:$B$20,CURVA!$G$6:$G$20)</f>
        <v>#VALUE!</v>
      </c>
      <c r="C9887" s="29" t="e">
        <f t="shared" si="154"/>
        <v>#VALUE!</v>
      </c>
      <c r="E9887" t="e">
        <f>cubic_spline(CURVA!$B$6:$B$20,CURVA!$G$6:$G$20,#REF!)</f>
        <v>#VALUE!</v>
      </c>
    </row>
    <row r="9888" spans="1:5" x14ac:dyDescent="0.2">
      <c r="A9888" s="28">
        <v>9887</v>
      </c>
      <c r="B9888" s="28" t="e">
        <f>interpola(#REF!,CURVA!$B$6:$B$20,CURVA!$G$6:$G$20)</f>
        <v>#VALUE!</v>
      </c>
      <c r="C9888" s="29" t="e">
        <f t="shared" si="154"/>
        <v>#VALUE!</v>
      </c>
      <c r="E9888" t="e">
        <f>cubic_spline(CURVA!$B$6:$B$20,CURVA!$G$6:$G$20,#REF!)</f>
        <v>#VALUE!</v>
      </c>
    </row>
    <row r="9889" spans="1:5" x14ac:dyDescent="0.2">
      <c r="A9889" s="28">
        <v>9888</v>
      </c>
      <c r="B9889" s="28" t="e">
        <f>interpola(#REF!,CURVA!$B$6:$B$20,CURVA!$G$6:$G$20)</f>
        <v>#VALUE!</v>
      </c>
      <c r="C9889" s="29" t="e">
        <f t="shared" si="154"/>
        <v>#VALUE!</v>
      </c>
      <c r="E9889" t="e">
        <f>cubic_spline(CURVA!$B$6:$B$20,CURVA!$G$6:$G$20,#REF!)</f>
        <v>#VALUE!</v>
      </c>
    </row>
    <row r="9890" spans="1:5" x14ac:dyDescent="0.2">
      <c r="A9890" s="28">
        <v>9889</v>
      </c>
      <c r="B9890" s="28" t="e">
        <f>interpola(#REF!,CURVA!$B$6:$B$20,CURVA!$G$6:$G$20)</f>
        <v>#VALUE!</v>
      </c>
      <c r="C9890" s="29" t="e">
        <f t="shared" si="154"/>
        <v>#VALUE!</v>
      </c>
      <c r="E9890" t="e">
        <f>cubic_spline(CURVA!$B$6:$B$20,CURVA!$G$6:$G$20,#REF!)</f>
        <v>#VALUE!</v>
      </c>
    </row>
    <row r="9891" spans="1:5" x14ac:dyDescent="0.2">
      <c r="A9891" s="28">
        <v>9890</v>
      </c>
      <c r="B9891" s="28" t="e">
        <f>interpola(#REF!,CURVA!$B$6:$B$20,CURVA!$G$6:$G$20)</f>
        <v>#VALUE!</v>
      </c>
      <c r="C9891" s="29" t="e">
        <f t="shared" si="154"/>
        <v>#VALUE!</v>
      </c>
      <c r="E9891" t="e">
        <f>cubic_spline(CURVA!$B$6:$B$20,CURVA!$G$6:$G$20,#REF!)</f>
        <v>#VALUE!</v>
      </c>
    </row>
    <row r="9892" spans="1:5" x14ac:dyDescent="0.2">
      <c r="A9892" s="28">
        <v>9891</v>
      </c>
      <c r="B9892" s="28" t="e">
        <f>interpola(#REF!,CURVA!$B$6:$B$20,CURVA!$G$6:$G$20)</f>
        <v>#VALUE!</v>
      </c>
      <c r="C9892" s="29" t="e">
        <f t="shared" si="154"/>
        <v>#VALUE!</v>
      </c>
      <c r="E9892" t="e">
        <f>cubic_spline(CURVA!$B$6:$B$20,CURVA!$G$6:$G$20,#REF!)</f>
        <v>#VALUE!</v>
      </c>
    </row>
    <row r="9893" spans="1:5" x14ac:dyDescent="0.2">
      <c r="A9893" s="28">
        <v>9892</v>
      </c>
      <c r="B9893" s="28" t="e">
        <f>interpola(#REF!,CURVA!$B$6:$B$20,CURVA!$G$6:$G$20)</f>
        <v>#VALUE!</v>
      </c>
      <c r="C9893" s="29" t="e">
        <f t="shared" si="154"/>
        <v>#VALUE!</v>
      </c>
      <c r="E9893" t="e">
        <f>cubic_spline(CURVA!$B$6:$B$20,CURVA!$G$6:$G$20,#REF!)</f>
        <v>#VALUE!</v>
      </c>
    </row>
    <row r="9894" spans="1:5" x14ac:dyDescent="0.2">
      <c r="A9894" s="28">
        <v>9893</v>
      </c>
      <c r="B9894" s="28" t="e">
        <f>interpola(#REF!,CURVA!$B$6:$B$20,CURVA!$G$6:$G$20)</f>
        <v>#VALUE!</v>
      </c>
      <c r="C9894" s="29" t="e">
        <f t="shared" si="154"/>
        <v>#VALUE!</v>
      </c>
      <c r="E9894" t="e">
        <f>cubic_spline(CURVA!$B$6:$B$20,CURVA!$G$6:$G$20,#REF!)</f>
        <v>#VALUE!</v>
      </c>
    </row>
    <row r="9895" spans="1:5" x14ac:dyDescent="0.2">
      <c r="A9895" s="28">
        <v>9894</v>
      </c>
      <c r="B9895" s="28" t="e">
        <f>interpola(#REF!,CURVA!$B$6:$B$20,CURVA!$G$6:$G$20)</f>
        <v>#VALUE!</v>
      </c>
      <c r="C9895" s="29" t="e">
        <f t="shared" si="154"/>
        <v>#VALUE!</v>
      </c>
      <c r="E9895" t="e">
        <f>cubic_spline(CURVA!$B$6:$B$20,CURVA!$G$6:$G$20,#REF!)</f>
        <v>#VALUE!</v>
      </c>
    </row>
    <row r="9896" spans="1:5" x14ac:dyDescent="0.2">
      <c r="A9896" s="28">
        <v>9895</v>
      </c>
      <c r="B9896" s="28" t="e">
        <f>interpola(#REF!,CURVA!$B$6:$B$20,CURVA!$G$6:$G$20)</f>
        <v>#VALUE!</v>
      </c>
      <c r="C9896" s="29" t="e">
        <f t="shared" si="154"/>
        <v>#VALUE!</v>
      </c>
      <c r="E9896" t="e">
        <f>cubic_spline(CURVA!$B$6:$B$20,CURVA!$G$6:$G$20,#REF!)</f>
        <v>#VALUE!</v>
      </c>
    </row>
    <row r="9897" spans="1:5" x14ac:dyDescent="0.2">
      <c r="A9897" s="28">
        <v>9896</v>
      </c>
      <c r="B9897" s="28" t="e">
        <f>interpola(#REF!,CURVA!$B$6:$B$20,CURVA!$G$6:$G$20)</f>
        <v>#VALUE!</v>
      </c>
      <c r="C9897" s="29" t="e">
        <f t="shared" si="154"/>
        <v>#VALUE!</v>
      </c>
      <c r="E9897" t="e">
        <f>cubic_spline(CURVA!$B$6:$B$20,CURVA!$G$6:$G$20,#REF!)</f>
        <v>#VALUE!</v>
      </c>
    </row>
    <row r="9898" spans="1:5" x14ac:dyDescent="0.2">
      <c r="A9898" s="28">
        <v>9897</v>
      </c>
      <c r="B9898" s="28" t="e">
        <f>interpola(#REF!,CURVA!$B$6:$B$20,CURVA!$G$6:$G$20)</f>
        <v>#VALUE!</v>
      </c>
      <c r="C9898" s="29" t="e">
        <f t="shared" si="154"/>
        <v>#VALUE!</v>
      </c>
      <c r="E9898" t="e">
        <f>cubic_spline(CURVA!$B$6:$B$20,CURVA!$G$6:$G$20,#REF!)</f>
        <v>#VALUE!</v>
      </c>
    </row>
    <row r="9899" spans="1:5" x14ac:dyDescent="0.2">
      <c r="A9899" s="28">
        <v>9898</v>
      </c>
      <c r="B9899" s="28" t="e">
        <f>interpola(#REF!,CURVA!$B$6:$B$20,CURVA!$G$6:$G$20)</f>
        <v>#VALUE!</v>
      </c>
      <c r="C9899" s="29" t="e">
        <f t="shared" si="154"/>
        <v>#VALUE!</v>
      </c>
      <c r="E9899" t="e">
        <f>cubic_spline(CURVA!$B$6:$B$20,CURVA!$G$6:$G$20,#REF!)</f>
        <v>#VALUE!</v>
      </c>
    </row>
    <row r="9900" spans="1:5" x14ac:dyDescent="0.2">
      <c r="A9900" s="28">
        <v>9899</v>
      </c>
      <c r="B9900" s="28" t="e">
        <f>interpola(#REF!,CURVA!$B$6:$B$20,CURVA!$G$6:$G$20)</f>
        <v>#VALUE!</v>
      </c>
      <c r="C9900" s="29" t="e">
        <f t="shared" si="154"/>
        <v>#VALUE!</v>
      </c>
      <c r="E9900" t="e">
        <f>cubic_spline(CURVA!$B$6:$B$20,CURVA!$G$6:$G$20,#REF!)</f>
        <v>#VALUE!</v>
      </c>
    </row>
    <row r="9901" spans="1:5" x14ac:dyDescent="0.2">
      <c r="A9901" s="28">
        <v>9900</v>
      </c>
      <c r="B9901" s="28" t="e">
        <f>interpola(#REF!,CURVA!$B$6:$B$20,CURVA!$G$6:$G$20)</f>
        <v>#VALUE!</v>
      </c>
      <c r="C9901" s="29" t="e">
        <f t="shared" si="154"/>
        <v>#VALUE!</v>
      </c>
      <c r="E9901" t="e">
        <f>cubic_spline(CURVA!$B$6:$B$20,CURVA!$G$6:$G$20,#REF!)</f>
        <v>#VALUE!</v>
      </c>
    </row>
    <row r="9902" spans="1:5" x14ac:dyDescent="0.2">
      <c r="A9902" s="28">
        <v>9901</v>
      </c>
      <c r="B9902" s="28" t="e">
        <f>interpola(#REF!,CURVA!$B$6:$B$20,CURVA!$G$6:$G$20)</f>
        <v>#VALUE!</v>
      </c>
      <c r="C9902" s="29" t="e">
        <f t="shared" si="154"/>
        <v>#VALUE!</v>
      </c>
      <c r="E9902" t="e">
        <f>cubic_spline(CURVA!$B$6:$B$20,CURVA!$G$6:$G$20,#REF!)</f>
        <v>#VALUE!</v>
      </c>
    </row>
    <row r="9903" spans="1:5" x14ac:dyDescent="0.2">
      <c r="A9903" s="28">
        <v>9902</v>
      </c>
      <c r="B9903" s="28" t="e">
        <f>interpola(#REF!,CURVA!$B$6:$B$20,CURVA!$G$6:$G$20)</f>
        <v>#VALUE!</v>
      </c>
      <c r="C9903" s="29" t="e">
        <f t="shared" si="154"/>
        <v>#VALUE!</v>
      </c>
      <c r="E9903" t="e">
        <f>cubic_spline(CURVA!$B$6:$B$20,CURVA!$G$6:$G$20,#REF!)</f>
        <v>#VALUE!</v>
      </c>
    </row>
    <row r="9904" spans="1:5" x14ac:dyDescent="0.2">
      <c r="A9904" s="28">
        <v>9903</v>
      </c>
      <c r="B9904" s="28" t="e">
        <f>interpola(#REF!,CURVA!$B$6:$B$20,CURVA!$G$6:$G$20)</f>
        <v>#VALUE!</v>
      </c>
      <c r="C9904" s="29" t="e">
        <f t="shared" si="154"/>
        <v>#VALUE!</v>
      </c>
      <c r="E9904" t="e">
        <f>cubic_spline(CURVA!$B$6:$B$20,CURVA!$G$6:$G$20,#REF!)</f>
        <v>#VALUE!</v>
      </c>
    </row>
    <row r="9905" spans="1:5" x14ac:dyDescent="0.2">
      <c r="A9905" s="28">
        <v>9904</v>
      </c>
      <c r="B9905" s="28" t="e">
        <f>interpola(#REF!,CURVA!$B$6:$B$20,CURVA!$G$6:$G$20)</f>
        <v>#VALUE!</v>
      </c>
      <c r="C9905" s="29" t="e">
        <f t="shared" si="154"/>
        <v>#VALUE!</v>
      </c>
      <c r="E9905" t="e">
        <f>cubic_spline(CURVA!$B$6:$B$20,CURVA!$G$6:$G$20,#REF!)</f>
        <v>#VALUE!</v>
      </c>
    </row>
    <row r="9906" spans="1:5" x14ac:dyDescent="0.2">
      <c r="A9906" s="28">
        <v>9905</v>
      </c>
      <c r="B9906" s="28" t="e">
        <f>interpola(#REF!,CURVA!$B$6:$B$20,CURVA!$G$6:$G$20)</f>
        <v>#VALUE!</v>
      </c>
      <c r="C9906" s="29" t="e">
        <f t="shared" si="154"/>
        <v>#VALUE!</v>
      </c>
      <c r="E9906" t="e">
        <f>cubic_spline(CURVA!$B$6:$B$20,CURVA!$G$6:$G$20,#REF!)</f>
        <v>#VALUE!</v>
      </c>
    </row>
    <row r="9907" spans="1:5" x14ac:dyDescent="0.2">
      <c r="A9907" s="28">
        <v>9906</v>
      </c>
      <c r="B9907" s="28" t="e">
        <f>interpola(#REF!,CURVA!$B$6:$B$20,CURVA!$G$6:$G$20)</f>
        <v>#VALUE!</v>
      </c>
      <c r="C9907" s="29" t="e">
        <f t="shared" si="154"/>
        <v>#VALUE!</v>
      </c>
      <c r="E9907" t="e">
        <f>cubic_spline(CURVA!$B$6:$B$20,CURVA!$G$6:$G$20,#REF!)</f>
        <v>#VALUE!</v>
      </c>
    </row>
    <row r="9908" spans="1:5" x14ac:dyDescent="0.2">
      <c r="A9908" s="28">
        <v>9907</v>
      </c>
      <c r="B9908" s="28" t="e">
        <f>interpola(#REF!,CURVA!$B$6:$B$20,CURVA!$G$6:$G$20)</f>
        <v>#VALUE!</v>
      </c>
      <c r="C9908" s="29" t="e">
        <f t="shared" si="154"/>
        <v>#VALUE!</v>
      </c>
      <c r="E9908" t="e">
        <f>cubic_spline(CURVA!$B$6:$B$20,CURVA!$G$6:$G$20,#REF!)</f>
        <v>#VALUE!</v>
      </c>
    </row>
    <row r="9909" spans="1:5" x14ac:dyDescent="0.2">
      <c r="A9909" s="28">
        <v>9908</v>
      </c>
      <c r="B9909" s="28" t="e">
        <f>interpola(#REF!,CURVA!$B$6:$B$20,CURVA!$G$6:$G$20)</f>
        <v>#VALUE!</v>
      </c>
      <c r="C9909" s="29" t="e">
        <f t="shared" si="154"/>
        <v>#VALUE!</v>
      </c>
      <c r="E9909" t="e">
        <f>cubic_spline(CURVA!$B$6:$B$20,CURVA!$G$6:$G$20,#REF!)</f>
        <v>#VALUE!</v>
      </c>
    </row>
    <row r="9910" spans="1:5" x14ac:dyDescent="0.2">
      <c r="A9910" s="28">
        <v>9909</v>
      </c>
      <c r="B9910" s="28" t="e">
        <f>interpola(#REF!,CURVA!$B$6:$B$20,CURVA!$G$6:$G$20)</f>
        <v>#VALUE!</v>
      </c>
      <c r="C9910" s="29" t="e">
        <f t="shared" si="154"/>
        <v>#VALUE!</v>
      </c>
      <c r="E9910" t="e">
        <f>cubic_spline(CURVA!$B$6:$B$20,CURVA!$G$6:$G$20,#REF!)</f>
        <v>#VALUE!</v>
      </c>
    </row>
    <row r="9911" spans="1:5" x14ac:dyDescent="0.2">
      <c r="A9911" s="28">
        <v>9910</v>
      </c>
      <c r="B9911" s="28" t="e">
        <f>interpola(#REF!,CURVA!$B$6:$B$20,CURVA!$G$6:$G$20)</f>
        <v>#VALUE!</v>
      </c>
      <c r="C9911" s="29" t="e">
        <f t="shared" si="154"/>
        <v>#VALUE!</v>
      </c>
      <c r="E9911" t="e">
        <f>cubic_spline(CURVA!$B$6:$B$20,CURVA!$G$6:$G$20,#REF!)</f>
        <v>#VALUE!</v>
      </c>
    </row>
    <row r="9912" spans="1:5" x14ac:dyDescent="0.2">
      <c r="A9912" s="28">
        <v>9911</v>
      </c>
      <c r="B9912" s="28" t="e">
        <f>interpola(#REF!,CURVA!$B$6:$B$20,CURVA!$G$6:$G$20)</f>
        <v>#VALUE!</v>
      </c>
      <c r="C9912" s="29" t="e">
        <f t="shared" si="154"/>
        <v>#VALUE!</v>
      </c>
      <c r="E9912" t="e">
        <f>cubic_spline(CURVA!$B$6:$B$20,CURVA!$G$6:$G$20,#REF!)</f>
        <v>#VALUE!</v>
      </c>
    </row>
    <row r="9913" spans="1:5" x14ac:dyDescent="0.2">
      <c r="A9913" s="28">
        <v>9912</v>
      </c>
      <c r="B9913" s="28" t="e">
        <f>interpola(#REF!,CURVA!$B$6:$B$20,CURVA!$G$6:$G$20)</f>
        <v>#VALUE!</v>
      </c>
      <c r="C9913" s="29" t="e">
        <f t="shared" si="154"/>
        <v>#VALUE!</v>
      </c>
      <c r="E9913" t="e">
        <f>cubic_spline(CURVA!$B$6:$B$20,CURVA!$G$6:$G$20,#REF!)</f>
        <v>#VALUE!</v>
      </c>
    </row>
    <row r="9914" spans="1:5" x14ac:dyDescent="0.2">
      <c r="A9914" s="28">
        <v>9913</v>
      </c>
      <c r="B9914" s="28" t="e">
        <f>interpola(#REF!,CURVA!$B$6:$B$20,CURVA!$G$6:$G$20)</f>
        <v>#VALUE!</v>
      </c>
      <c r="C9914" s="29" t="e">
        <f t="shared" si="154"/>
        <v>#VALUE!</v>
      </c>
      <c r="E9914" t="e">
        <f>cubic_spline(CURVA!$B$6:$B$20,CURVA!$G$6:$G$20,#REF!)</f>
        <v>#VALUE!</v>
      </c>
    </row>
    <row r="9915" spans="1:5" x14ac:dyDescent="0.2">
      <c r="A9915" s="28">
        <v>9914</v>
      </c>
      <c r="B9915" s="28" t="e">
        <f>interpola(#REF!,CURVA!$B$6:$B$20,CURVA!$G$6:$G$20)</f>
        <v>#VALUE!</v>
      </c>
      <c r="C9915" s="29" t="e">
        <f t="shared" si="154"/>
        <v>#VALUE!</v>
      </c>
      <c r="E9915" t="e">
        <f>cubic_spline(CURVA!$B$6:$B$20,CURVA!$G$6:$G$20,#REF!)</f>
        <v>#VALUE!</v>
      </c>
    </row>
    <row r="9916" spans="1:5" x14ac:dyDescent="0.2">
      <c r="A9916" s="28">
        <v>9915</v>
      </c>
      <c r="B9916" s="28" t="e">
        <f>interpola(#REF!,CURVA!$B$6:$B$20,CURVA!$G$6:$G$20)</f>
        <v>#VALUE!</v>
      </c>
      <c r="C9916" s="29" t="e">
        <f t="shared" si="154"/>
        <v>#VALUE!</v>
      </c>
      <c r="E9916" t="e">
        <f>cubic_spline(CURVA!$B$6:$B$20,CURVA!$G$6:$G$20,#REF!)</f>
        <v>#VALUE!</v>
      </c>
    </row>
    <row r="9917" spans="1:5" x14ac:dyDescent="0.2">
      <c r="A9917" s="28">
        <v>9916</v>
      </c>
      <c r="B9917" s="28" t="e">
        <f>interpola(#REF!,CURVA!$B$6:$B$20,CURVA!$G$6:$G$20)</f>
        <v>#VALUE!</v>
      </c>
      <c r="C9917" s="29" t="e">
        <f t="shared" si="154"/>
        <v>#VALUE!</v>
      </c>
      <c r="E9917" t="e">
        <f>cubic_spline(CURVA!$B$6:$B$20,CURVA!$G$6:$G$20,#REF!)</f>
        <v>#VALUE!</v>
      </c>
    </row>
    <row r="9918" spans="1:5" x14ac:dyDescent="0.2">
      <c r="A9918" s="28">
        <v>9917</v>
      </c>
      <c r="B9918" s="28" t="e">
        <f>interpola(#REF!,CURVA!$B$6:$B$20,CURVA!$G$6:$G$20)</f>
        <v>#VALUE!</v>
      </c>
      <c r="C9918" s="29" t="e">
        <f t="shared" si="154"/>
        <v>#VALUE!</v>
      </c>
      <c r="E9918" t="e">
        <f>cubic_spline(CURVA!$B$6:$B$20,CURVA!$G$6:$G$20,#REF!)</f>
        <v>#VALUE!</v>
      </c>
    </row>
    <row r="9919" spans="1:5" x14ac:dyDescent="0.2">
      <c r="A9919" s="28">
        <v>9918</v>
      </c>
      <c r="B9919" s="28" t="e">
        <f>interpola(#REF!,CURVA!$B$6:$B$20,CURVA!$G$6:$G$20)</f>
        <v>#VALUE!</v>
      </c>
      <c r="C9919" s="29" t="e">
        <f t="shared" si="154"/>
        <v>#VALUE!</v>
      </c>
      <c r="E9919" t="e">
        <f>cubic_spline(CURVA!$B$6:$B$20,CURVA!$G$6:$G$20,#REF!)</f>
        <v>#VALUE!</v>
      </c>
    </row>
    <row r="9920" spans="1:5" x14ac:dyDescent="0.2">
      <c r="A9920" s="28">
        <v>9919</v>
      </c>
      <c r="B9920" s="28" t="e">
        <f>interpola(#REF!,CURVA!$B$6:$B$20,CURVA!$G$6:$G$20)</f>
        <v>#VALUE!</v>
      </c>
      <c r="C9920" s="29" t="e">
        <f t="shared" si="154"/>
        <v>#VALUE!</v>
      </c>
      <c r="E9920" t="e">
        <f>cubic_spline(CURVA!$B$6:$B$20,CURVA!$G$6:$G$20,#REF!)</f>
        <v>#VALUE!</v>
      </c>
    </row>
    <row r="9921" spans="1:5" x14ac:dyDescent="0.2">
      <c r="A9921" s="28">
        <v>9920</v>
      </c>
      <c r="B9921" s="28" t="e">
        <f>interpola(#REF!,CURVA!$B$6:$B$20,CURVA!$G$6:$G$20)</f>
        <v>#VALUE!</v>
      </c>
      <c r="C9921" s="29" t="e">
        <f t="shared" si="154"/>
        <v>#VALUE!</v>
      </c>
      <c r="E9921" t="e">
        <f>cubic_spline(CURVA!$B$6:$B$20,CURVA!$G$6:$G$20,#REF!)</f>
        <v>#VALUE!</v>
      </c>
    </row>
    <row r="9922" spans="1:5" x14ac:dyDescent="0.2">
      <c r="A9922" s="28">
        <v>9921</v>
      </c>
      <c r="B9922" s="28" t="e">
        <f>interpola(#REF!,CURVA!$B$6:$B$20,CURVA!$G$6:$G$20)</f>
        <v>#VALUE!</v>
      </c>
      <c r="C9922" s="29" t="e">
        <f t="shared" ref="C9922:C9985" si="155">(EXP(B9922*A9922/360)-1)*360/A9922</f>
        <v>#VALUE!</v>
      </c>
      <c r="E9922" t="e">
        <f>cubic_spline(CURVA!$B$6:$B$20,CURVA!$G$6:$G$20,#REF!)</f>
        <v>#VALUE!</v>
      </c>
    </row>
    <row r="9923" spans="1:5" x14ac:dyDescent="0.2">
      <c r="A9923" s="28">
        <v>9922</v>
      </c>
      <c r="B9923" s="28" t="e">
        <f>interpola(#REF!,CURVA!$B$6:$B$20,CURVA!$G$6:$G$20)</f>
        <v>#VALUE!</v>
      </c>
      <c r="C9923" s="29" t="e">
        <f t="shared" si="155"/>
        <v>#VALUE!</v>
      </c>
      <c r="E9923" t="e">
        <f>cubic_spline(CURVA!$B$6:$B$20,CURVA!$G$6:$G$20,#REF!)</f>
        <v>#VALUE!</v>
      </c>
    </row>
    <row r="9924" spans="1:5" x14ac:dyDescent="0.2">
      <c r="A9924" s="28">
        <v>9923</v>
      </c>
      <c r="B9924" s="28" t="e">
        <f>interpola(#REF!,CURVA!$B$6:$B$20,CURVA!$G$6:$G$20)</f>
        <v>#VALUE!</v>
      </c>
      <c r="C9924" s="29" t="e">
        <f t="shared" si="155"/>
        <v>#VALUE!</v>
      </c>
      <c r="E9924" t="e">
        <f>cubic_spline(CURVA!$B$6:$B$20,CURVA!$G$6:$G$20,#REF!)</f>
        <v>#VALUE!</v>
      </c>
    </row>
    <row r="9925" spans="1:5" x14ac:dyDescent="0.2">
      <c r="A9925" s="28">
        <v>9924</v>
      </c>
      <c r="B9925" s="28" t="e">
        <f>interpola(#REF!,CURVA!$B$6:$B$20,CURVA!$G$6:$G$20)</f>
        <v>#VALUE!</v>
      </c>
      <c r="C9925" s="29" t="e">
        <f t="shared" si="155"/>
        <v>#VALUE!</v>
      </c>
      <c r="E9925" t="e">
        <f>cubic_spline(CURVA!$B$6:$B$20,CURVA!$G$6:$G$20,#REF!)</f>
        <v>#VALUE!</v>
      </c>
    </row>
    <row r="9926" spans="1:5" x14ac:dyDescent="0.2">
      <c r="A9926" s="28">
        <v>9925</v>
      </c>
      <c r="B9926" s="28" t="e">
        <f>interpola(#REF!,CURVA!$B$6:$B$20,CURVA!$G$6:$G$20)</f>
        <v>#VALUE!</v>
      </c>
      <c r="C9926" s="29" t="e">
        <f t="shared" si="155"/>
        <v>#VALUE!</v>
      </c>
      <c r="E9926" t="e">
        <f>cubic_spline(CURVA!$B$6:$B$20,CURVA!$G$6:$G$20,#REF!)</f>
        <v>#VALUE!</v>
      </c>
    </row>
    <row r="9927" spans="1:5" x14ac:dyDescent="0.2">
      <c r="A9927" s="28">
        <v>9926</v>
      </c>
      <c r="B9927" s="28" t="e">
        <f>interpola(#REF!,CURVA!$B$6:$B$20,CURVA!$G$6:$G$20)</f>
        <v>#VALUE!</v>
      </c>
      <c r="C9927" s="29" t="e">
        <f t="shared" si="155"/>
        <v>#VALUE!</v>
      </c>
      <c r="E9927" t="e">
        <f>cubic_spline(CURVA!$B$6:$B$20,CURVA!$G$6:$G$20,#REF!)</f>
        <v>#VALUE!</v>
      </c>
    </row>
    <row r="9928" spans="1:5" x14ac:dyDescent="0.2">
      <c r="A9928" s="28">
        <v>9927</v>
      </c>
      <c r="B9928" s="28" t="e">
        <f>interpola(#REF!,CURVA!$B$6:$B$20,CURVA!$G$6:$G$20)</f>
        <v>#VALUE!</v>
      </c>
      <c r="C9928" s="29" t="e">
        <f t="shared" si="155"/>
        <v>#VALUE!</v>
      </c>
      <c r="E9928" t="e">
        <f>cubic_spline(CURVA!$B$6:$B$20,CURVA!$G$6:$G$20,#REF!)</f>
        <v>#VALUE!</v>
      </c>
    </row>
    <row r="9929" spans="1:5" x14ac:dyDescent="0.2">
      <c r="A9929" s="28">
        <v>9928</v>
      </c>
      <c r="B9929" s="28" t="e">
        <f>interpola(#REF!,CURVA!$B$6:$B$20,CURVA!$G$6:$G$20)</f>
        <v>#VALUE!</v>
      </c>
      <c r="C9929" s="29" t="e">
        <f t="shared" si="155"/>
        <v>#VALUE!</v>
      </c>
      <c r="E9929" t="e">
        <f>cubic_spline(CURVA!$B$6:$B$20,CURVA!$G$6:$G$20,#REF!)</f>
        <v>#VALUE!</v>
      </c>
    </row>
    <row r="9930" spans="1:5" x14ac:dyDescent="0.2">
      <c r="A9930" s="28">
        <v>9929</v>
      </c>
      <c r="B9930" s="28" t="e">
        <f>interpola(#REF!,CURVA!$B$6:$B$20,CURVA!$G$6:$G$20)</f>
        <v>#VALUE!</v>
      </c>
      <c r="C9930" s="29" t="e">
        <f t="shared" si="155"/>
        <v>#VALUE!</v>
      </c>
      <c r="E9930" t="e">
        <f>cubic_spline(CURVA!$B$6:$B$20,CURVA!$G$6:$G$20,#REF!)</f>
        <v>#VALUE!</v>
      </c>
    </row>
    <row r="9931" spans="1:5" x14ac:dyDescent="0.2">
      <c r="A9931" s="28">
        <v>9930</v>
      </c>
      <c r="B9931" s="28" t="e">
        <f>interpola(#REF!,CURVA!$B$6:$B$20,CURVA!$G$6:$G$20)</f>
        <v>#VALUE!</v>
      </c>
      <c r="C9931" s="29" t="e">
        <f t="shared" si="155"/>
        <v>#VALUE!</v>
      </c>
      <c r="E9931" t="e">
        <f>cubic_spline(CURVA!$B$6:$B$20,CURVA!$G$6:$G$20,#REF!)</f>
        <v>#VALUE!</v>
      </c>
    </row>
    <row r="9932" spans="1:5" x14ac:dyDescent="0.2">
      <c r="A9932" s="28">
        <v>9931</v>
      </c>
      <c r="B9932" s="28" t="e">
        <f>interpola(#REF!,CURVA!$B$6:$B$20,CURVA!$G$6:$G$20)</f>
        <v>#VALUE!</v>
      </c>
      <c r="C9932" s="29" t="e">
        <f t="shared" si="155"/>
        <v>#VALUE!</v>
      </c>
      <c r="E9932" t="e">
        <f>cubic_spline(CURVA!$B$6:$B$20,CURVA!$G$6:$G$20,#REF!)</f>
        <v>#VALUE!</v>
      </c>
    </row>
    <row r="9933" spans="1:5" x14ac:dyDescent="0.2">
      <c r="A9933" s="28">
        <v>9932</v>
      </c>
      <c r="B9933" s="28" t="e">
        <f>interpola(#REF!,CURVA!$B$6:$B$20,CURVA!$G$6:$G$20)</f>
        <v>#VALUE!</v>
      </c>
      <c r="C9933" s="29" t="e">
        <f t="shared" si="155"/>
        <v>#VALUE!</v>
      </c>
      <c r="E9933" t="e">
        <f>cubic_spline(CURVA!$B$6:$B$20,CURVA!$G$6:$G$20,#REF!)</f>
        <v>#VALUE!</v>
      </c>
    </row>
    <row r="9934" spans="1:5" x14ac:dyDescent="0.2">
      <c r="A9934" s="28">
        <v>9933</v>
      </c>
      <c r="B9934" s="28" t="e">
        <f>interpola(#REF!,CURVA!$B$6:$B$20,CURVA!$G$6:$G$20)</f>
        <v>#VALUE!</v>
      </c>
      <c r="C9934" s="29" t="e">
        <f t="shared" si="155"/>
        <v>#VALUE!</v>
      </c>
      <c r="E9934" t="e">
        <f>cubic_spline(CURVA!$B$6:$B$20,CURVA!$G$6:$G$20,#REF!)</f>
        <v>#VALUE!</v>
      </c>
    </row>
    <row r="9935" spans="1:5" x14ac:dyDescent="0.2">
      <c r="A9935" s="28">
        <v>9934</v>
      </c>
      <c r="B9935" s="28" t="e">
        <f>interpola(#REF!,CURVA!$B$6:$B$20,CURVA!$G$6:$G$20)</f>
        <v>#VALUE!</v>
      </c>
      <c r="C9935" s="29" t="e">
        <f t="shared" si="155"/>
        <v>#VALUE!</v>
      </c>
      <c r="E9935" t="e">
        <f>cubic_spline(CURVA!$B$6:$B$20,CURVA!$G$6:$G$20,#REF!)</f>
        <v>#VALUE!</v>
      </c>
    </row>
    <row r="9936" spans="1:5" x14ac:dyDescent="0.2">
      <c r="A9936" s="28">
        <v>9935</v>
      </c>
      <c r="B9936" s="28" t="e">
        <f>interpola(#REF!,CURVA!$B$6:$B$20,CURVA!$G$6:$G$20)</f>
        <v>#VALUE!</v>
      </c>
      <c r="C9936" s="29" t="e">
        <f t="shared" si="155"/>
        <v>#VALUE!</v>
      </c>
      <c r="E9936" t="e">
        <f>cubic_spline(CURVA!$B$6:$B$20,CURVA!$G$6:$G$20,#REF!)</f>
        <v>#VALUE!</v>
      </c>
    </row>
    <row r="9937" spans="1:5" x14ac:dyDescent="0.2">
      <c r="A9937" s="28">
        <v>9936</v>
      </c>
      <c r="B9937" s="28" t="e">
        <f>interpola(#REF!,CURVA!$B$6:$B$20,CURVA!$G$6:$G$20)</f>
        <v>#VALUE!</v>
      </c>
      <c r="C9937" s="29" t="e">
        <f t="shared" si="155"/>
        <v>#VALUE!</v>
      </c>
      <c r="E9937" t="e">
        <f>cubic_spline(CURVA!$B$6:$B$20,CURVA!$G$6:$G$20,#REF!)</f>
        <v>#VALUE!</v>
      </c>
    </row>
    <row r="9938" spans="1:5" x14ac:dyDescent="0.2">
      <c r="A9938" s="28">
        <v>9937</v>
      </c>
      <c r="B9938" s="28" t="e">
        <f>interpola(#REF!,CURVA!$B$6:$B$20,CURVA!$G$6:$G$20)</f>
        <v>#VALUE!</v>
      </c>
      <c r="C9938" s="29" t="e">
        <f t="shared" si="155"/>
        <v>#VALUE!</v>
      </c>
      <c r="E9938" t="e">
        <f>cubic_spline(CURVA!$B$6:$B$20,CURVA!$G$6:$G$20,#REF!)</f>
        <v>#VALUE!</v>
      </c>
    </row>
    <row r="9939" spans="1:5" x14ac:dyDescent="0.2">
      <c r="A9939" s="28">
        <v>9938</v>
      </c>
      <c r="B9939" s="28" t="e">
        <f>interpola(#REF!,CURVA!$B$6:$B$20,CURVA!$G$6:$G$20)</f>
        <v>#VALUE!</v>
      </c>
      <c r="C9939" s="29" t="e">
        <f t="shared" si="155"/>
        <v>#VALUE!</v>
      </c>
      <c r="E9939" t="e">
        <f>cubic_spline(CURVA!$B$6:$B$20,CURVA!$G$6:$G$20,#REF!)</f>
        <v>#VALUE!</v>
      </c>
    </row>
    <row r="9940" spans="1:5" x14ac:dyDescent="0.2">
      <c r="A9940" s="28">
        <v>9939</v>
      </c>
      <c r="B9940" s="28" t="e">
        <f>interpola(#REF!,CURVA!$B$6:$B$20,CURVA!$G$6:$G$20)</f>
        <v>#VALUE!</v>
      </c>
      <c r="C9940" s="29" t="e">
        <f t="shared" si="155"/>
        <v>#VALUE!</v>
      </c>
      <c r="E9940" t="e">
        <f>cubic_spline(CURVA!$B$6:$B$20,CURVA!$G$6:$G$20,#REF!)</f>
        <v>#VALUE!</v>
      </c>
    </row>
    <row r="9941" spans="1:5" x14ac:dyDescent="0.2">
      <c r="A9941" s="28">
        <v>9940</v>
      </c>
      <c r="B9941" s="28" t="e">
        <f>interpola(#REF!,CURVA!$B$6:$B$20,CURVA!$G$6:$G$20)</f>
        <v>#VALUE!</v>
      </c>
      <c r="C9941" s="29" t="e">
        <f t="shared" si="155"/>
        <v>#VALUE!</v>
      </c>
      <c r="E9941" t="e">
        <f>cubic_spline(CURVA!$B$6:$B$20,CURVA!$G$6:$G$20,#REF!)</f>
        <v>#VALUE!</v>
      </c>
    </row>
    <row r="9942" spans="1:5" x14ac:dyDescent="0.2">
      <c r="A9942" s="28">
        <v>9941</v>
      </c>
      <c r="B9942" s="28" t="e">
        <f>interpola(#REF!,CURVA!$B$6:$B$20,CURVA!$G$6:$G$20)</f>
        <v>#VALUE!</v>
      </c>
      <c r="C9942" s="29" t="e">
        <f t="shared" si="155"/>
        <v>#VALUE!</v>
      </c>
      <c r="E9942" t="e">
        <f>cubic_spline(CURVA!$B$6:$B$20,CURVA!$G$6:$G$20,#REF!)</f>
        <v>#VALUE!</v>
      </c>
    </row>
    <row r="9943" spans="1:5" x14ac:dyDescent="0.2">
      <c r="A9943" s="28">
        <v>9942</v>
      </c>
      <c r="B9943" s="28" t="e">
        <f>interpola(#REF!,CURVA!$B$6:$B$20,CURVA!$G$6:$G$20)</f>
        <v>#VALUE!</v>
      </c>
      <c r="C9943" s="29" t="e">
        <f t="shared" si="155"/>
        <v>#VALUE!</v>
      </c>
      <c r="E9943" t="e">
        <f>cubic_spline(CURVA!$B$6:$B$20,CURVA!$G$6:$G$20,#REF!)</f>
        <v>#VALUE!</v>
      </c>
    </row>
    <row r="9944" spans="1:5" x14ac:dyDescent="0.2">
      <c r="A9944" s="28">
        <v>9943</v>
      </c>
      <c r="B9944" s="28" t="e">
        <f>interpola(#REF!,CURVA!$B$6:$B$20,CURVA!$G$6:$G$20)</f>
        <v>#VALUE!</v>
      </c>
      <c r="C9944" s="29" t="e">
        <f t="shared" si="155"/>
        <v>#VALUE!</v>
      </c>
      <c r="E9944" t="e">
        <f>cubic_spline(CURVA!$B$6:$B$20,CURVA!$G$6:$G$20,#REF!)</f>
        <v>#VALUE!</v>
      </c>
    </row>
    <row r="9945" spans="1:5" x14ac:dyDescent="0.2">
      <c r="A9945" s="28">
        <v>9944</v>
      </c>
      <c r="B9945" s="28" t="e">
        <f>interpola(#REF!,CURVA!$B$6:$B$20,CURVA!$G$6:$G$20)</f>
        <v>#VALUE!</v>
      </c>
      <c r="C9945" s="29" t="e">
        <f t="shared" si="155"/>
        <v>#VALUE!</v>
      </c>
      <c r="E9945" t="e">
        <f>cubic_spline(CURVA!$B$6:$B$20,CURVA!$G$6:$G$20,#REF!)</f>
        <v>#VALUE!</v>
      </c>
    </row>
    <row r="9946" spans="1:5" x14ac:dyDescent="0.2">
      <c r="A9946" s="28">
        <v>9945</v>
      </c>
      <c r="B9946" s="28" t="e">
        <f>interpola(#REF!,CURVA!$B$6:$B$20,CURVA!$G$6:$G$20)</f>
        <v>#VALUE!</v>
      </c>
      <c r="C9946" s="29" t="e">
        <f t="shared" si="155"/>
        <v>#VALUE!</v>
      </c>
      <c r="E9946" t="e">
        <f>cubic_spline(CURVA!$B$6:$B$20,CURVA!$G$6:$G$20,#REF!)</f>
        <v>#VALUE!</v>
      </c>
    </row>
    <row r="9947" spans="1:5" x14ac:dyDescent="0.2">
      <c r="A9947" s="28">
        <v>9946</v>
      </c>
      <c r="B9947" s="28" t="e">
        <f>interpola(#REF!,CURVA!$B$6:$B$20,CURVA!$G$6:$G$20)</f>
        <v>#VALUE!</v>
      </c>
      <c r="C9947" s="29" t="e">
        <f t="shared" si="155"/>
        <v>#VALUE!</v>
      </c>
      <c r="E9947" t="e">
        <f>cubic_spline(CURVA!$B$6:$B$20,CURVA!$G$6:$G$20,#REF!)</f>
        <v>#VALUE!</v>
      </c>
    </row>
    <row r="9948" spans="1:5" x14ac:dyDescent="0.2">
      <c r="A9948" s="28">
        <v>9947</v>
      </c>
      <c r="B9948" s="28" t="e">
        <f>interpola(#REF!,CURVA!$B$6:$B$20,CURVA!$G$6:$G$20)</f>
        <v>#VALUE!</v>
      </c>
      <c r="C9948" s="29" t="e">
        <f t="shared" si="155"/>
        <v>#VALUE!</v>
      </c>
      <c r="E9948" t="e">
        <f>cubic_spline(CURVA!$B$6:$B$20,CURVA!$G$6:$G$20,#REF!)</f>
        <v>#VALUE!</v>
      </c>
    </row>
    <row r="9949" spans="1:5" x14ac:dyDescent="0.2">
      <c r="A9949" s="28">
        <v>9948</v>
      </c>
      <c r="B9949" s="28" t="e">
        <f>interpola(#REF!,CURVA!$B$6:$B$20,CURVA!$G$6:$G$20)</f>
        <v>#VALUE!</v>
      </c>
      <c r="C9949" s="29" t="e">
        <f t="shared" si="155"/>
        <v>#VALUE!</v>
      </c>
      <c r="E9949" t="e">
        <f>cubic_spline(CURVA!$B$6:$B$20,CURVA!$G$6:$G$20,#REF!)</f>
        <v>#VALUE!</v>
      </c>
    </row>
    <row r="9950" spans="1:5" x14ac:dyDescent="0.2">
      <c r="A9950" s="28">
        <v>9949</v>
      </c>
      <c r="B9950" s="28" t="e">
        <f>interpola(#REF!,CURVA!$B$6:$B$20,CURVA!$G$6:$G$20)</f>
        <v>#VALUE!</v>
      </c>
      <c r="C9950" s="29" t="e">
        <f t="shared" si="155"/>
        <v>#VALUE!</v>
      </c>
      <c r="E9950" t="e">
        <f>cubic_spline(CURVA!$B$6:$B$20,CURVA!$G$6:$G$20,#REF!)</f>
        <v>#VALUE!</v>
      </c>
    </row>
    <row r="9951" spans="1:5" x14ac:dyDescent="0.2">
      <c r="A9951" s="28">
        <v>9950</v>
      </c>
      <c r="B9951" s="28" t="e">
        <f>interpola(#REF!,CURVA!$B$6:$B$20,CURVA!$G$6:$G$20)</f>
        <v>#VALUE!</v>
      </c>
      <c r="C9951" s="29" t="e">
        <f t="shared" si="155"/>
        <v>#VALUE!</v>
      </c>
      <c r="E9951" t="e">
        <f>cubic_spline(CURVA!$B$6:$B$20,CURVA!$G$6:$G$20,#REF!)</f>
        <v>#VALUE!</v>
      </c>
    </row>
    <row r="9952" spans="1:5" x14ac:dyDescent="0.2">
      <c r="A9952" s="28">
        <v>9951</v>
      </c>
      <c r="B9952" s="28" t="e">
        <f>interpola(#REF!,CURVA!$B$6:$B$20,CURVA!$G$6:$G$20)</f>
        <v>#VALUE!</v>
      </c>
      <c r="C9952" s="29" t="e">
        <f t="shared" si="155"/>
        <v>#VALUE!</v>
      </c>
      <c r="E9952" t="e">
        <f>cubic_spline(CURVA!$B$6:$B$20,CURVA!$G$6:$G$20,#REF!)</f>
        <v>#VALUE!</v>
      </c>
    </row>
    <row r="9953" spans="1:5" x14ac:dyDescent="0.2">
      <c r="A9953" s="28">
        <v>9952</v>
      </c>
      <c r="B9953" s="28" t="e">
        <f>interpola(#REF!,CURVA!$B$6:$B$20,CURVA!$G$6:$G$20)</f>
        <v>#VALUE!</v>
      </c>
      <c r="C9953" s="29" t="e">
        <f t="shared" si="155"/>
        <v>#VALUE!</v>
      </c>
      <c r="E9953" t="e">
        <f>cubic_spline(CURVA!$B$6:$B$20,CURVA!$G$6:$G$20,#REF!)</f>
        <v>#VALUE!</v>
      </c>
    </row>
    <row r="9954" spans="1:5" x14ac:dyDescent="0.2">
      <c r="A9954" s="28">
        <v>9953</v>
      </c>
      <c r="B9954" s="28" t="e">
        <f>interpola(#REF!,CURVA!$B$6:$B$20,CURVA!$G$6:$G$20)</f>
        <v>#VALUE!</v>
      </c>
      <c r="C9954" s="29" t="e">
        <f t="shared" si="155"/>
        <v>#VALUE!</v>
      </c>
      <c r="E9954" t="e">
        <f>cubic_spline(CURVA!$B$6:$B$20,CURVA!$G$6:$G$20,#REF!)</f>
        <v>#VALUE!</v>
      </c>
    </row>
    <row r="9955" spans="1:5" x14ac:dyDescent="0.2">
      <c r="A9955" s="28">
        <v>9954</v>
      </c>
      <c r="B9955" s="28" t="e">
        <f>interpola(#REF!,CURVA!$B$6:$B$20,CURVA!$G$6:$G$20)</f>
        <v>#VALUE!</v>
      </c>
      <c r="C9955" s="29" t="e">
        <f t="shared" si="155"/>
        <v>#VALUE!</v>
      </c>
      <c r="E9955" t="e">
        <f>cubic_spline(CURVA!$B$6:$B$20,CURVA!$G$6:$G$20,#REF!)</f>
        <v>#VALUE!</v>
      </c>
    </row>
    <row r="9956" spans="1:5" x14ac:dyDescent="0.2">
      <c r="A9956" s="28">
        <v>9955</v>
      </c>
      <c r="B9956" s="28" t="e">
        <f>interpola(#REF!,CURVA!$B$6:$B$20,CURVA!$G$6:$G$20)</f>
        <v>#VALUE!</v>
      </c>
      <c r="C9956" s="29" t="e">
        <f t="shared" si="155"/>
        <v>#VALUE!</v>
      </c>
      <c r="E9956" t="e">
        <f>cubic_spline(CURVA!$B$6:$B$20,CURVA!$G$6:$G$20,#REF!)</f>
        <v>#VALUE!</v>
      </c>
    </row>
    <row r="9957" spans="1:5" x14ac:dyDescent="0.2">
      <c r="A9957" s="28">
        <v>9956</v>
      </c>
      <c r="B9957" s="28" t="e">
        <f>interpola(#REF!,CURVA!$B$6:$B$20,CURVA!$G$6:$G$20)</f>
        <v>#VALUE!</v>
      </c>
      <c r="C9957" s="29" t="e">
        <f t="shared" si="155"/>
        <v>#VALUE!</v>
      </c>
      <c r="E9957" t="e">
        <f>cubic_spline(CURVA!$B$6:$B$20,CURVA!$G$6:$G$20,#REF!)</f>
        <v>#VALUE!</v>
      </c>
    </row>
    <row r="9958" spans="1:5" x14ac:dyDescent="0.2">
      <c r="A9958" s="28">
        <v>9957</v>
      </c>
      <c r="B9958" s="28" t="e">
        <f>interpola(#REF!,CURVA!$B$6:$B$20,CURVA!$G$6:$G$20)</f>
        <v>#VALUE!</v>
      </c>
      <c r="C9958" s="29" t="e">
        <f t="shared" si="155"/>
        <v>#VALUE!</v>
      </c>
      <c r="E9958" t="e">
        <f>cubic_spline(CURVA!$B$6:$B$20,CURVA!$G$6:$G$20,#REF!)</f>
        <v>#VALUE!</v>
      </c>
    </row>
    <row r="9959" spans="1:5" x14ac:dyDescent="0.2">
      <c r="A9959" s="28">
        <v>9958</v>
      </c>
      <c r="B9959" s="28" t="e">
        <f>interpola(#REF!,CURVA!$B$6:$B$20,CURVA!$G$6:$G$20)</f>
        <v>#VALUE!</v>
      </c>
      <c r="C9959" s="29" t="e">
        <f t="shared" si="155"/>
        <v>#VALUE!</v>
      </c>
      <c r="E9959" t="e">
        <f>cubic_spline(CURVA!$B$6:$B$20,CURVA!$G$6:$G$20,#REF!)</f>
        <v>#VALUE!</v>
      </c>
    </row>
    <row r="9960" spans="1:5" x14ac:dyDescent="0.2">
      <c r="A9960" s="28">
        <v>9959</v>
      </c>
      <c r="B9960" s="28" t="e">
        <f>interpola(#REF!,CURVA!$B$6:$B$20,CURVA!$G$6:$G$20)</f>
        <v>#VALUE!</v>
      </c>
      <c r="C9960" s="29" t="e">
        <f t="shared" si="155"/>
        <v>#VALUE!</v>
      </c>
      <c r="E9960" t="e">
        <f>cubic_spline(CURVA!$B$6:$B$20,CURVA!$G$6:$G$20,#REF!)</f>
        <v>#VALUE!</v>
      </c>
    </row>
    <row r="9961" spans="1:5" x14ac:dyDescent="0.2">
      <c r="A9961" s="28">
        <v>9960</v>
      </c>
      <c r="B9961" s="28" t="e">
        <f>interpola(#REF!,CURVA!$B$6:$B$20,CURVA!$G$6:$G$20)</f>
        <v>#VALUE!</v>
      </c>
      <c r="C9961" s="29" t="e">
        <f t="shared" si="155"/>
        <v>#VALUE!</v>
      </c>
      <c r="E9961" t="e">
        <f>cubic_spline(CURVA!$B$6:$B$20,CURVA!$G$6:$G$20,#REF!)</f>
        <v>#VALUE!</v>
      </c>
    </row>
    <row r="9962" spans="1:5" x14ac:dyDescent="0.2">
      <c r="A9962" s="28">
        <v>9961</v>
      </c>
      <c r="B9962" s="28" t="e">
        <f>interpola(#REF!,CURVA!$B$6:$B$20,CURVA!$G$6:$G$20)</f>
        <v>#VALUE!</v>
      </c>
      <c r="C9962" s="29" t="e">
        <f t="shared" si="155"/>
        <v>#VALUE!</v>
      </c>
      <c r="E9962" t="e">
        <f>cubic_spline(CURVA!$B$6:$B$20,CURVA!$G$6:$G$20,#REF!)</f>
        <v>#VALUE!</v>
      </c>
    </row>
    <row r="9963" spans="1:5" x14ac:dyDescent="0.2">
      <c r="A9963" s="28">
        <v>9962</v>
      </c>
      <c r="B9963" s="28" t="e">
        <f>interpola(#REF!,CURVA!$B$6:$B$20,CURVA!$G$6:$G$20)</f>
        <v>#VALUE!</v>
      </c>
      <c r="C9963" s="29" t="e">
        <f t="shared" si="155"/>
        <v>#VALUE!</v>
      </c>
      <c r="E9963" t="e">
        <f>cubic_spline(CURVA!$B$6:$B$20,CURVA!$G$6:$G$20,#REF!)</f>
        <v>#VALUE!</v>
      </c>
    </row>
    <row r="9964" spans="1:5" x14ac:dyDescent="0.2">
      <c r="A9964" s="28">
        <v>9963</v>
      </c>
      <c r="B9964" s="28" t="e">
        <f>interpola(#REF!,CURVA!$B$6:$B$20,CURVA!$G$6:$G$20)</f>
        <v>#VALUE!</v>
      </c>
      <c r="C9964" s="29" t="e">
        <f t="shared" si="155"/>
        <v>#VALUE!</v>
      </c>
      <c r="E9964" t="e">
        <f>cubic_spline(CURVA!$B$6:$B$20,CURVA!$G$6:$G$20,#REF!)</f>
        <v>#VALUE!</v>
      </c>
    </row>
    <row r="9965" spans="1:5" x14ac:dyDescent="0.2">
      <c r="A9965" s="28">
        <v>9964</v>
      </c>
      <c r="B9965" s="28" t="e">
        <f>interpola(#REF!,CURVA!$B$6:$B$20,CURVA!$G$6:$G$20)</f>
        <v>#VALUE!</v>
      </c>
      <c r="C9965" s="29" t="e">
        <f t="shared" si="155"/>
        <v>#VALUE!</v>
      </c>
      <c r="E9965" t="e">
        <f>cubic_spline(CURVA!$B$6:$B$20,CURVA!$G$6:$G$20,#REF!)</f>
        <v>#VALUE!</v>
      </c>
    </row>
    <row r="9966" spans="1:5" x14ac:dyDescent="0.2">
      <c r="A9966" s="28">
        <v>9965</v>
      </c>
      <c r="B9966" s="28" t="e">
        <f>interpola(#REF!,CURVA!$B$6:$B$20,CURVA!$G$6:$G$20)</f>
        <v>#VALUE!</v>
      </c>
      <c r="C9966" s="29" t="e">
        <f t="shared" si="155"/>
        <v>#VALUE!</v>
      </c>
      <c r="E9966" t="e">
        <f>cubic_spline(CURVA!$B$6:$B$20,CURVA!$G$6:$G$20,#REF!)</f>
        <v>#VALUE!</v>
      </c>
    </row>
    <row r="9967" spans="1:5" x14ac:dyDescent="0.2">
      <c r="A9967" s="28">
        <v>9966</v>
      </c>
      <c r="B9967" s="28" t="e">
        <f>interpola(#REF!,CURVA!$B$6:$B$20,CURVA!$G$6:$G$20)</f>
        <v>#VALUE!</v>
      </c>
      <c r="C9967" s="29" t="e">
        <f t="shared" si="155"/>
        <v>#VALUE!</v>
      </c>
      <c r="E9967" t="e">
        <f>cubic_spline(CURVA!$B$6:$B$20,CURVA!$G$6:$G$20,#REF!)</f>
        <v>#VALUE!</v>
      </c>
    </row>
    <row r="9968" spans="1:5" x14ac:dyDescent="0.2">
      <c r="A9968" s="28">
        <v>9967</v>
      </c>
      <c r="B9968" s="28" t="e">
        <f>interpola(#REF!,CURVA!$B$6:$B$20,CURVA!$G$6:$G$20)</f>
        <v>#VALUE!</v>
      </c>
      <c r="C9968" s="29" t="e">
        <f t="shared" si="155"/>
        <v>#VALUE!</v>
      </c>
      <c r="E9968" t="e">
        <f>cubic_spline(CURVA!$B$6:$B$20,CURVA!$G$6:$G$20,#REF!)</f>
        <v>#VALUE!</v>
      </c>
    </row>
    <row r="9969" spans="1:5" x14ac:dyDescent="0.2">
      <c r="A9969" s="28">
        <v>9968</v>
      </c>
      <c r="B9969" s="28" t="e">
        <f>interpola(#REF!,CURVA!$B$6:$B$20,CURVA!$G$6:$G$20)</f>
        <v>#VALUE!</v>
      </c>
      <c r="C9969" s="29" t="e">
        <f t="shared" si="155"/>
        <v>#VALUE!</v>
      </c>
      <c r="E9969" t="e">
        <f>cubic_spline(CURVA!$B$6:$B$20,CURVA!$G$6:$G$20,#REF!)</f>
        <v>#VALUE!</v>
      </c>
    </row>
    <row r="9970" spans="1:5" x14ac:dyDescent="0.2">
      <c r="A9970" s="28">
        <v>9969</v>
      </c>
      <c r="B9970" s="28" t="e">
        <f>interpola(#REF!,CURVA!$B$6:$B$20,CURVA!$G$6:$G$20)</f>
        <v>#VALUE!</v>
      </c>
      <c r="C9970" s="29" t="e">
        <f t="shared" si="155"/>
        <v>#VALUE!</v>
      </c>
      <c r="E9970" t="e">
        <f>cubic_spline(CURVA!$B$6:$B$20,CURVA!$G$6:$G$20,#REF!)</f>
        <v>#VALUE!</v>
      </c>
    </row>
    <row r="9971" spans="1:5" x14ac:dyDescent="0.2">
      <c r="A9971" s="28">
        <v>9970</v>
      </c>
      <c r="B9971" s="28" t="e">
        <f>interpola(#REF!,CURVA!$B$6:$B$20,CURVA!$G$6:$G$20)</f>
        <v>#VALUE!</v>
      </c>
      <c r="C9971" s="29" t="e">
        <f t="shared" si="155"/>
        <v>#VALUE!</v>
      </c>
      <c r="E9971" t="e">
        <f>cubic_spline(CURVA!$B$6:$B$20,CURVA!$G$6:$G$20,#REF!)</f>
        <v>#VALUE!</v>
      </c>
    </row>
    <row r="9972" spans="1:5" x14ac:dyDescent="0.2">
      <c r="A9972" s="28">
        <v>9971</v>
      </c>
      <c r="B9972" s="28" t="e">
        <f>interpola(#REF!,CURVA!$B$6:$B$20,CURVA!$G$6:$G$20)</f>
        <v>#VALUE!</v>
      </c>
      <c r="C9972" s="29" t="e">
        <f t="shared" si="155"/>
        <v>#VALUE!</v>
      </c>
      <c r="E9972" t="e">
        <f>cubic_spline(CURVA!$B$6:$B$20,CURVA!$G$6:$G$20,#REF!)</f>
        <v>#VALUE!</v>
      </c>
    </row>
    <row r="9973" spans="1:5" x14ac:dyDescent="0.2">
      <c r="A9973" s="28">
        <v>9972</v>
      </c>
      <c r="B9973" s="28" t="e">
        <f>interpola(#REF!,CURVA!$B$6:$B$20,CURVA!$G$6:$G$20)</f>
        <v>#VALUE!</v>
      </c>
      <c r="C9973" s="29" t="e">
        <f t="shared" si="155"/>
        <v>#VALUE!</v>
      </c>
      <c r="E9973" t="e">
        <f>cubic_spline(CURVA!$B$6:$B$20,CURVA!$G$6:$G$20,#REF!)</f>
        <v>#VALUE!</v>
      </c>
    </row>
    <row r="9974" spans="1:5" x14ac:dyDescent="0.2">
      <c r="A9974" s="28">
        <v>9973</v>
      </c>
      <c r="B9974" s="28" t="e">
        <f>interpola(#REF!,CURVA!$B$6:$B$20,CURVA!$G$6:$G$20)</f>
        <v>#VALUE!</v>
      </c>
      <c r="C9974" s="29" t="e">
        <f t="shared" si="155"/>
        <v>#VALUE!</v>
      </c>
      <c r="E9974" t="e">
        <f>cubic_spline(CURVA!$B$6:$B$20,CURVA!$G$6:$G$20,#REF!)</f>
        <v>#VALUE!</v>
      </c>
    </row>
    <row r="9975" spans="1:5" x14ac:dyDescent="0.2">
      <c r="A9975" s="28">
        <v>9974</v>
      </c>
      <c r="B9975" s="28" t="e">
        <f>interpola(#REF!,CURVA!$B$6:$B$20,CURVA!$G$6:$G$20)</f>
        <v>#VALUE!</v>
      </c>
      <c r="C9975" s="29" t="e">
        <f t="shared" si="155"/>
        <v>#VALUE!</v>
      </c>
      <c r="E9975" t="e">
        <f>cubic_spline(CURVA!$B$6:$B$20,CURVA!$G$6:$G$20,#REF!)</f>
        <v>#VALUE!</v>
      </c>
    </row>
    <row r="9976" spans="1:5" x14ac:dyDescent="0.2">
      <c r="A9976" s="28">
        <v>9975</v>
      </c>
      <c r="B9976" s="28" t="e">
        <f>interpola(#REF!,CURVA!$B$6:$B$20,CURVA!$G$6:$G$20)</f>
        <v>#VALUE!</v>
      </c>
      <c r="C9976" s="29" t="e">
        <f t="shared" si="155"/>
        <v>#VALUE!</v>
      </c>
      <c r="E9976" t="e">
        <f>cubic_spline(CURVA!$B$6:$B$20,CURVA!$G$6:$G$20,#REF!)</f>
        <v>#VALUE!</v>
      </c>
    </row>
    <row r="9977" spans="1:5" x14ac:dyDescent="0.2">
      <c r="A9977" s="28">
        <v>9976</v>
      </c>
      <c r="B9977" s="28" t="e">
        <f>interpola(#REF!,CURVA!$B$6:$B$20,CURVA!$G$6:$G$20)</f>
        <v>#VALUE!</v>
      </c>
      <c r="C9977" s="29" t="e">
        <f t="shared" si="155"/>
        <v>#VALUE!</v>
      </c>
      <c r="E9977" t="e">
        <f>cubic_spline(CURVA!$B$6:$B$20,CURVA!$G$6:$G$20,#REF!)</f>
        <v>#VALUE!</v>
      </c>
    </row>
    <row r="9978" spans="1:5" x14ac:dyDescent="0.2">
      <c r="A9978" s="28">
        <v>9977</v>
      </c>
      <c r="B9978" s="28" t="e">
        <f>interpola(#REF!,CURVA!$B$6:$B$20,CURVA!$G$6:$G$20)</f>
        <v>#VALUE!</v>
      </c>
      <c r="C9978" s="29" t="e">
        <f t="shared" si="155"/>
        <v>#VALUE!</v>
      </c>
      <c r="E9978" t="e">
        <f>cubic_spline(CURVA!$B$6:$B$20,CURVA!$G$6:$G$20,#REF!)</f>
        <v>#VALUE!</v>
      </c>
    </row>
    <row r="9979" spans="1:5" x14ac:dyDescent="0.2">
      <c r="A9979" s="28">
        <v>9978</v>
      </c>
      <c r="B9979" s="28" t="e">
        <f>interpola(#REF!,CURVA!$B$6:$B$20,CURVA!$G$6:$G$20)</f>
        <v>#VALUE!</v>
      </c>
      <c r="C9979" s="29" t="e">
        <f t="shared" si="155"/>
        <v>#VALUE!</v>
      </c>
      <c r="E9979" t="e">
        <f>cubic_spline(CURVA!$B$6:$B$20,CURVA!$G$6:$G$20,#REF!)</f>
        <v>#VALUE!</v>
      </c>
    </row>
    <row r="9980" spans="1:5" x14ac:dyDescent="0.2">
      <c r="A9980" s="28">
        <v>9979</v>
      </c>
      <c r="B9980" s="28" t="e">
        <f>interpola(#REF!,CURVA!$B$6:$B$20,CURVA!$G$6:$G$20)</f>
        <v>#VALUE!</v>
      </c>
      <c r="C9980" s="29" t="e">
        <f t="shared" si="155"/>
        <v>#VALUE!</v>
      </c>
      <c r="E9980" t="e">
        <f>cubic_spline(CURVA!$B$6:$B$20,CURVA!$G$6:$G$20,#REF!)</f>
        <v>#VALUE!</v>
      </c>
    </row>
    <row r="9981" spans="1:5" x14ac:dyDescent="0.2">
      <c r="A9981" s="28">
        <v>9980</v>
      </c>
      <c r="B9981" s="28" t="e">
        <f>interpola(#REF!,CURVA!$B$6:$B$20,CURVA!$G$6:$G$20)</f>
        <v>#VALUE!</v>
      </c>
      <c r="C9981" s="29" t="e">
        <f t="shared" si="155"/>
        <v>#VALUE!</v>
      </c>
      <c r="E9981" t="e">
        <f>cubic_spline(CURVA!$B$6:$B$20,CURVA!$G$6:$G$20,#REF!)</f>
        <v>#VALUE!</v>
      </c>
    </row>
    <row r="9982" spans="1:5" x14ac:dyDescent="0.2">
      <c r="A9982" s="28">
        <v>9981</v>
      </c>
      <c r="B9982" s="28" t="e">
        <f>interpola(#REF!,CURVA!$B$6:$B$20,CURVA!$G$6:$G$20)</f>
        <v>#VALUE!</v>
      </c>
      <c r="C9982" s="29" t="e">
        <f t="shared" si="155"/>
        <v>#VALUE!</v>
      </c>
      <c r="E9982" t="e">
        <f>cubic_spline(CURVA!$B$6:$B$20,CURVA!$G$6:$G$20,#REF!)</f>
        <v>#VALUE!</v>
      </c>
    </row>
    <row r="9983" spans="1:5" x14ac:dyDescent="0.2">
      <c r="A9983" s="28">
        <v>9982</v>
      </c>
      <c r="B9983" s="28" t="e">
        <f>interpola(#REF!,CURVA!$B$6:$B$20,CURVA!$G$6:$G$20)</f>
        <v>#VALUE!</v>
      </c>
      <c r="C9983" s="29" t="e">
        <f t="shared" si="155"/>
        <v>#VALUE!</v>
      </c>
      <c r="E9983" t="e">
        <f>cubic_spline(CURVA!$B$6:$B$20,CURVA!$G$6:$G$20,#REF!)</f>
        <v>#VALUE!</v>
      </c>
    </row>
    <row r="9984" spans="1:5" x14ac:dyDescent="0.2">
      <c r="A9984" s="28">
        <v>9983</v>
      </c>
      <c r="B9984" s="28" t="e">
        <f>interpola(#REF!,CURVA!$B$6:$B$20,CURVA!$G$6:$G$20)</f>
        <v>#VALUE!</v>
      </c>
      <c r="C9984" s="29" t="e">
        <f t="shared" si="155"/>
        <v>#VALUE!</v>
      </c>
      <c r="E9984" t="e">
        <f>cubic_spline(CURVA!$B$6:$B$20,CURVA!$G$6:$G$20,#REF!)</f>
        <v>#VALUE!</v>
      </c>
    </row>
    <row r="9985" spans="1:5" x14ac:dyDescent="0.2">
      <c r="A9985" s="28">
        <v>9984</v>
      </c>
      <c r="B9985" s="28" t="e">
        <f>interpola(#REF!,CURVA!$B$6:$B$20,CURVA!$G$6:$G$20)</f>
        <v>#VALUE!</v>
      </c>
      <c r="C9985" s="29" t="e">
        <f t="shared" si="155"/>
        <v>#VALUE!</v>
      </c>
      <c r="E9985" t="e">
        <f>cubic_spline(CURVA!$B$6:$B$20,CURVA!$G$6:$G$20,#REF!)</f>
        <v>#VALUE!</v>
      </c>
    </row>
    <row r="9986" spans="1:5" x14ac:dyDescent="0.2">
      <c r="A9986" s="28">
        <v>9985</v>
      </c>
      <c r="B9986" s="28" t="e">
        <f>interpola(#REF!,CURVA!$B$6:$B$20,CURVA!$G$6:$G$20)</f>
        <v>#VALUE!</v>
      </c>
      <c r="C9986" s="29" t="e">
        <f t="shared" ref="C9986:C10049" si="156">(EXP(B9986*A9986/360)-1)*360/A9986</f>
        <v>#VALUE!</v>
      </c>
      <c r="E9986" t="e">
        <f>cubic_spline(CURVA!$B$6:$B$20,CURVA!$G$6:$G$20,#REF!)</f>
        <v>#VALUE!</v>
      </c>
    </row>
    <row r="9987" spans="1:5" x14ac:dyDescent="0.2">
      <c r="A9987" s="28">
        <v>9986</v>
      </c>
      <c r="B9987" s="28" t="e">
        <f>interpola(#REF!,CURVA!$B$6:$B$20,CURVA!$G$6:$G$20)</f>
        <v>#VALUE!</v>
      </c>
      <c r="C9987" s="29" t="e">
        <f t="shared" si="156"/>
        <v>#VALUE!</v>
      </c>
      <c r="E9987" t="e">
        <f>cubic_spline(CURVA!$B$6:$B$20,CURVA!$G$6:$G$20,#REF!)</f>
        <v>#VALUE!</v>
      </c>
    </row>
    <row r="9988" spans="1:5" x14ac:dyDescent="0.2">
      <c r="A9988" s="28">
        <v>9987</v>
      </c>
      <c r="B9988" s="28" t="e">
        <f>interpola(#REF!,CURVA!$B$6:$B$20,CURVA!$G$6:$G$20)</f>
        <v>#VALUE!</v>
      </c>
      <c r="C9988" s="29" t="e">
        <f t="shared" si="156"/>
        <v>#VALUE!</v>
      </c>
      <c r="E9988" t="e">
        <f>cubic_spline(CURVA!$B$6:$B$20,CURVA!$G$6:$G$20,#REF!)</f>
        <v>#VALUE!</v>
      </c>
    </row>
    <row r="9989" spans="1:5" x14ac:dyDescent="0.2">
      <c r="A9989" s="28">
        <v>9988</v>
      </c>
      <c r="B9989" s="28" t="e">
        <f>interpola(#REF!,CURVA!$B$6:$B$20,CURVA!$G$6:$G$20)</f>
        <v>#VALUE!</v>
      </c>
      <c r="C9989" s="29" t="e">
        <f t="shared" si="156"/>
        <v>#VALUE!</v>
      </c>
      <c r="E9989" t="e">
        <f>cubic_spline(CURVA!$B$6:$B$20,CURVA!$G$6:$G$20,#REF!)</f>
        <v>#VALUE!</v>
      </c>
    </row>
    <row r="9990" spans="1:5" x14ac:dyDescent="0.2">
      <c r="A9990" s="28">
        <v>9989</v>
      </c>
      <c r="B9990" s="28" t="e">
        <f>interpola(#REF!,CURVA!$B$6:$B$20,CURVA!$G$6:$G$20)</f>
        <v>#VALUE!</v>
      </c>
      <c r="C9990" s="29" t="e">
        <f t="shared" si="156"/>
        <v>#VALUE!</v>
      </c>
      <c r="E9990" t="e">
        <f>cubic_spline(CURVA!$B$6:$B$20,CURVA!$G$6:$G$20,#REF!)</f>
        <v>#VALUE!</v>
      </c>
    </row>
    <row r="9991" spans="1:5" x14ac:dyDescent="0.2">
      <c r="A9991" s="28">
        <v>9990</v>
      </c>
      <c r="B9991" s="28" t="e">
        <f>interpola(#REF!,CURVA!$B$6:$B$20,CURVA!$G$6:$G$20)</f>
        <v>#VALUE!</v>
      </c>
      <c r="C9991" s="29" t="e">
        <f t="shared" si="156"/>
        <v>#VALUE!</v>
      </c>
      <c r="E9991" t="e">
        <f>cubic_spline(CURVA!$B$6:$B$20,CURVA!$G$6:$G$20,#REF!)</f>
        <v>#VALUE!</v>
      </c>
    </row>
    <row r="9992" spans="1:5" x14ac:dyDescent="0.2">
      <c r="A9992" s="28">
        <v>9991</v>
      </c>
      <c r="B9992" s="28" t="e">
        <f>interpola(#REF!,CURVA!$B$6:$B$20,CURVA!$G$6:$G$20)</f>
        <v>#VALUE!</v>
      </c>
      <c r="C9992" s="29" t="e">
        <f t="shared" si="156"/>
        <v>#VALUE!</v>
      </c>
      <c r="E9992" t="e">
        <f>cubic_spline(CURVA!$B$6:$B$20,CURVA!$G$6:$G$20,#REF!)</f>
        <v>#VALUE!</v>
      </c>
    </row>
    <row r="9993" spans="1:5" x14ac:dyDescent="0.2">
      <c r="A9993" s="28">
        <v>9992</v>
      </c>
      <c r="B9993" s="28" t="e">
        <f>interpola(#REF!,CURVA!$B$6:$B$20,CURVA!$G$6:$G$20)</f>
        <v>#VALUE!</v>
      </c>
      <c r="C9993" s="29" t="e">
        <f t="shared" si="156"/>
        <v>#VALUE!</v>
      </c>
      <c r="E9993" t="e">
        <f>cubic_spline(CURVA!$B$6:$B$20,CURVA!$G$6:$G$20,#REF!)</f>
        <v>#VALUE!</v>
      </c>
    </row>
    <row r="9994" spans="1:5" x14ac:dyDescent="0.2">
      <c r="A9994" s="28">
        <v>9993</v>
      </c>
      <c r="B9994" s="28" t="e">
        <f>interpola(#REF!,CURVA!$B$6:$B$20,CURVA!$G$6:$G$20)</f>
        <v>#VALUE!</v>
      </c>
      <c r="C9994" s="29" t="e">
        <f t="shared" si="156"/>
        <v>#VALUE!</v>
      </c>
      <c r="E9994" t="e">
        <f>cubic_spline(CURVA!$B$6:$B$20,CURVA!$G$6:$G$20,#REF!)</f>
        <v>#VALUE!</v>
      </c>
    </row>
    <row r="9995" spans="1:5" x14ac:dyDescent="0.2">
      <c r="A9995" s="28">
        <v>9994</v>
      </c>
      <c r="B9995" s="28" t="e">
        <f>interpola(#REF!,CURVA!$B$6:$B$20,CURVA!$G$6:$G$20)</f>
        <v>#VALUE!</v>
      </c>
      <c r="C9995" s="29" t="e">
        <f t="shared" si="156"/>
        <v>#VALUE!</v>
      </c>
      <c r="E9995" t="e">
        <f>cubic_spline(CURVA!$B$6:$B$20,CURVA!$G$6:$G$20,#REF!)</f>
        <v>#VALUE!</v>
      </c>
    </row>
    <row r="9996" spans="1:5" x14ac:dyDescent="0.2">
      <c r="A9996" s="28">
        <v>9995</v>
      </c>
      <c r="B9996" s="28" t="e">
        <f>interpola(#REF!,CURVA!$B$6:$B$20,CURVA!$G$6:$G$20)</f>
        <v>#VALUE!</v>
      </c>
      <c r="C9996" s="29" t="e">
        <f t="shared" si="156"/>
        <v>#VALUE!</v>
      </c>
      <c r="E9996" t="e">
        <f>cubic_spline(CURVA!$B$6:$B$20,CURVA!$G$6:$G$20,#REF!)</f>
        <v>#VALUE!</v>
      </c>
    </row>
    <row r="9997" spans="1:5" x14ac:dyDescent="0.2">
      <c r="A9997" s="28">
        <v>9996</v>
      </c>
      <c r="B9997" s="28" t="e">
        <f>interpola(#REF!,CURVA!$B$6:$B$20,CURVA!$G$6:$G$20)</f>
        <v>#VALUE!</v>
      </c>
      <c r="C9997" s="29" t="e">
        <f t="shared" si="156"/>
        <v>#VALUE!</v>
      </c>
      <c r="E9997" t="e">
        <f>cubic_spline(CURVA!$B$6:$B$20,CURVA!$G$6:$G$20,#REF!)</f>
        <v>#VALUE!</v>
      </c>
    </row>
    <row r="9998" spans="1:5" x14ac:dyDescent="0.2">
      <c r="A9998" s="28">
        <v>9997</v>
      </c>
      <c r="B9998" s="28" t="e">
        <f>interpola(#REF!,CURVA!$B$6:$B$20,CURVA!$G$6:$G$20)</f>
        <v>#VALUE!</v>
      </c>
      <c r="C9998" s="29" t="e">
        <f t="shared" si="156"/>
        <v>#VALUE!</v>
      </c>
      <c r="E9998" t="e">
        <f>cubic_spline(CURVA!$B$6:$B$20,CURVA!$G$6:$G$20,#REF!)</f>
        <v>#VALUE!</v>
      </c>
    </row>
    <row r="9999" spans="1:5" x14ac:dyDescent="0.2">
      <c r="A9999" s="28">
        <v>9998</v>
      </c>
      <c r="B9999" s="28" t="e">
        <f>interpola(#REF!,CURVA!$B$6:$B$20,CURVA!$G$6:$G$20)</f>
        <v>#VALUE!</v>
      </c>
      <c r="C9999" s="29" t="e">
        <f t="shared" si="156"/>
        <v>#VALUE!</v>
      </c>
      <c r="E9999" t="e">
        <f>cubic_spline(CURVA!$B$6:$B$20,CURVA!$G$6:$G$20,#REF!)</f>
        <v>#VALUE!</v>
      </c>
    </row>
    <row r="10000" spans="1:5" x14ac:dyDescent="0.2">
      <c r="A10000" s="28">
        <v>9999</v>
      </c>
      <c r="B10000" s="28" t="e">
        <f>interpola(#REF!,CURVA!$B$6:$B$20,CURVA!$G$6:$G$20)</f>
        <v>#VALUE!</v>
      </c>
      <c r="C10000" s="29" t="e">
        <f t="shared" si="156"/>
        <v>#VALUE!</v>
      </c>
      <c r="E10000" t="e">
        <f>cubic_spline(CURVA!$B$6:$B$20,CURVA!$G$6:$G$20,#REF!)</f>
        <v>#VALUE!</v>
      </c>
    </row>
    <row r="10001" spans="1:5" x14ac:dyDescent="0.2">
      <c r="A10001" s="28">
        <v>10000</v>
      </c>
      <c r="B10001" s="28" t="e">
        <f>interpola(#REF!,CURVA!$B$6:$B$20,CURVA!$G$6:$G$20)</f>
        <v>#VALUE!</v>
      </c>
      <c r="C10001" s="29" t="e">
        <f t="shared" si="156"/>
        <v>#VALUE!</v>
      </c>
      <c r="E10001" t="e">
        <f>cubic_spline(CURVA!$B$6:$B$20,CURVA!$G$6:$G$20,#REF!)</f>
        <v>#VALUE!</v>
      </c>
    </row>
    <row r="10002" spans="1:5" x14ac:dyDescent="0.2">
      <c r="A10002" s="28">
        <v>10001</v>
      </c>
      <c r="B10002" s="28" t="e">
        <f>interpola(#REF!,CURVA!$B$6:$B$20,CURVA!$G$6:$G$20)</f>
        <v>#VALUE!</v>
      </c>
      <c r="C10002" s="29" t="e">
        <f t="shared" si="156"/>
        <v>#VALUE!</v>
      </c>
      <c r="E10002" t="e">
        <f>cubic_spline(CURVA!$B$6:$B$20,CURVA!$G$6:$G$20,#REF!)</f>
        <v>#VALUE!</v>
      </c>
    </row>
    <row r="10003" spans="1:5" x14ac:dyDescent="0.2">
      <c r="A10003" s="28">
        <v>10002</v>
      </c>
      <c r="B10003" s="28" t="e">
        <f>interpola(#REF!,CURVA!$B$6:$B$20,CURVA!$G$6:$G$20)</f>
        <v>#VALUE!</v>
      </c>
      <c r="C10003" s="29" t="e">
        <f t="shared" si="156"/>
        <v>#VALUE!</v>
      </c>
      <c r="E10003" t="e">
        <f>cubic_spline(CURVA!$B$6:$B$20,CURVA!$G$6:$G$20,#REF!)</f>
        <v>#VALUE!</v>
      </c>
    </row>
    <row r="10004" spans="1:5" x14ac:dyDescent="0.2">
      <c r="A10004" s="28">
        <v>10003</v>
      </c>
      <c r="B10004" s="28" t="e">
        <f>interpola(#REF!,CURVA!$B$6:$B$20,CURVA!$G$6:$G$20)</f>
        <v>#VALUE!</v>
      </c>
      <c r="C10004" s="29" t="e">
        <f t="shared" si="156"/>
        <v>#VALUE!</v>
      </c>
      <c r="E10004" t="e">
        <f>cubic_spline(CURVA!$B$6:$B$20,CURVA!$G$6:$G$20,#REF!)</f>
        <v>#VALUE!</v>
      </c>
    </row>
    <row r="10005" spans="1:5" x14ac:dyDescent="0.2">
      <c r="A10005" s="28">
        <v>10004</v>
      </c>
      <c r="B10005" s="28" t="e">
        <f>interpola(#REF!,CURVA!$B$6:$B$20,CURVA!$G$6:$G$20)</f>
        <v>#VALUE!</v>
      </c>
      <c r="C10005" s="29" t="e">
        <f t="shared" si="156"/>
        <v>#VALUE!</v>
      </c>
      <c r="E10005" t="e">
        <f>cubic_spline(CURVA!$B$6:$B$20,CURVA!$G$6:$G$20,#REF!)</f>
        <v>#VALUE!</v>
      </c>
    </row>
    <row r="10006" spans="1:5" x14ac:dyDescent="0.2">
      <c r="A10006" s="28">
        <v>10005</v>
      </c>
      <c r="B10006" s="28" t="e">
        <f>interpola(#REF!,CURVA!$B$6:$B$20,CURVA!$G$6:$G$20)</f>
        <v>#VALUE!</v>
      </c>
      <c r="C10006" s="29" t="e">
        <f t="shared" si="156"/>
        <v>#VALUE!</v>
      </c>
      <c r="E10006" t="e">
        <f>cubic_spline(CURVA!$B$6:$B$20,CURVA!$G$6:$G$20,#REF!)</f>
        <v>#VALUE!</v>
      </c>
    </row>
    <row r="10007" spans="1:5" x14ac:dyDescent="0.2">
      <c r="A10007" s="28">
        <v>10006</v>
      </c>
      <c r="B10007" s="28" t="e">
        <f>interpola(#REF!,CURVA!$B$6:$B$20,CURVA!$G$6:$G$20)</f>
        <v>#VALUE!</v>
      </c>
      <c r="C10007" s="29" t="e">
        <f t="shared" si="156"/>
        <v>#VALUE!</v>
      </c>
      <c r="E10007" t="e">
        <f>cubic_spline(CURVA!$B$6:$B$20,CURVA!$G$6:$G$20,#REF!)</f>
        <v>#VALUE!</v>
      </c>
    </row>
    <row r="10008" spans="1:5" x14ac:dyDescent="0.2">
      <c r="A10008" s="28">
        <v>10007</v>
      </c>
      <c r="B10008" s="28" t="e">
        <f>interpola(#REF!,CURVA!$B$6:$B$20,CURVA!$G$6:$G$20)</f>
        <v>#VALUE!</v>
      </c>
      <c r="C10008" s="29" t="e">
        <f t="shared" si="156"/>
        <v>#VALUE!</v>
      </c>
      <c r="E10008" t="e">
        <f>cubic_spline(CURVA!$B$6:$B$20,CURVA!$G$6:$G$20,#REF!)</f>
        <v>#VALUE!</v>
      </c>
    </row>
    <row r="10009" spans="1:5" x14ac:dyDescent="0.2">
      <c r="A10009" s="28">
        <v>10008</v>
      </c>
      <c r="B10009" s="28" t="e">
        <f>interpola(#REF!,CURVA!$B$6:$B$20,CURVA!$G$6:$G$20)</f>
        <v>#VALUE!</v>
      </c>
      <c r="C10009" s="29" t="e">
        <f t="shared" si="156"/>
        <v>#VALUE!</v>
      </c>
      <c r="E10009" t="e">
        <f>cubic_spline(CURVA!$B$6:$B$20,CURVA!$G$6:$G$20,#REF!)</f>
        <v>#VALUE!</v>
      </c>
    </row>
    <row r="10010" spans="1:5" x14ac:dyDescent="0.2">
      <c r="A10010" s="28">
        <v>10009</v>
      </c>
      <c r="B10010" s="28" t="e">
        <f>interpola(#REF!,CURVA!$B$6:$B$20,CURVA!$G$6:$G$20)</f>
        <v>#VALUE!</v>
      </c>
      <c r="C10010" s="29" t="e">
        <f t="shared" si="156"/>
        <v>#VALUE!</v>
      </c>
      <c r="E10010" t="e">
        <f>cubic_spline(CURVA!$B$6:$B$20,CURVA!$G$6:$G$20,#REF!)</f>
        <v>#VALUE!</v>
      </c>
    </row>
    <row r="10011" spans="1:5" x14ac:dyDescent="0.2">
      <c r="A10011" s="28">
        <v>10010</v>
      </c>
      <c r="B10011" s="28" t="e">
        <f>interpola(#REF!,CURVA!$B$6:$B$20,CURVA!$G$6:$G$20)</f>
        <v>#VALUE!</v>
      </c>
      <c r="C10011" s="29" t="e">
        <f t="shared" si="156"/>
        <v>#VALUE!</v>
      </c>
      <c r="E10011" t="e">
        <f>cubic_spline(CURVA!$B$6:$B$20,CURVA!$G$6:$G$20,#REF!)</f>
        <v>#VALUE!</v>
      </c>
    </row>
    <row r="10012" spans="1:5" x14ac:dyDescent="0.2">
      <c r="A10012" s="28">
        <v>10011</v>
      </c>
      <c r="B10012" s="28" t="e">
        <f>interpola(#REF!,CURVA!$B$6:$B$20,CURVA!$G$6:$G$20)</f>
        <v>#VALUE!</v>
      </c>
      <c r="C10012" s="29" t="e">
        <f t="shared" si="156"/>
        <v>#VALUE!</v>
      </c>
      <c r="E10012" t="e">
        <f>cubic_spline(CURVA!$B$6:$B$20,CURVA!$G$6:$G$20,#REF!)</f>
        <v>#VALUE!</v>
      </c>
    </row>
    <row r="10013" spans="1:5" x14ac:dyDescent="0.2">
      <c r="A10013" s="28">
        <v>10012</v>
      </c>
      <c r="B10013" s="28" t="e">
        <f>interpola(#REF!,CURVA!$B$6:$B$20,CURVA!$G$6:$G$20)</f>
        <v>#VALUE!</v>
      </c>
      <c r="C10013" s="29" t="e">
        <f t="shared" si="156"/>
        <v>#VALUE!</v>
      </c>
      <c r="E10013" t="e">
        <f>cubic_spline(CURVA!$B$6:$B$20,CURVA!$G$6:$G$20,#REF!)</f>
        <v>#VALUE!</v>
      </c>
    </row>
    <row r="10014" spans="1:5" x14ac:dyDescent="0.2">
      <c r="A10014" s="28">
        <v>10013</v>
      </c>
      <c r="B10014" s="28" t="e">
        <f>interpola(#REF!,CURVA!$B$6:$B$20,CURVA!$G$6:$G$20)</f>
        <v>#VALUE!</v>
      </c>
      <c r="C10014" s="29" t="e">
        <f t="shared" si="156"/>
        <v>#VALUE!</v>
      </c>
      <c r="E10014" t="e">
        <f>cubic_spline(CURVA!$B$6:$B$20,CURVA!$G$6:$G$20,#REF!)</f>
        <v>#VALUE!</v>
      </c>
    </row>
    <row r="10015" spans="1:5" x14ac:dyDescent="0.2">
      <c r="A10015" s="28">
        <v>10014</v>
      </c>
      <c r="B10015" s="28" t="e">
        <f>interpola(#REF!,CURVA!$B$6:$B$20,CURVA!$G$6:$G$20)</f>
        <v>#VALUE!</v>
      </c>
      <c r="C10015" s="29" t="e">
        <f t="shared" si="156"/>
        <v>#VALUE!</v>
      </c>
      <c r="E10015" t="e">
        <f>cubic_spline(CURVA!$B$6:$B$20,CURVA!$G$6:$G$20,#REF!)</f>
        <v>#VALUE!</v>
      </c>
    </row>
    <row r="10016" spans="1:5" x14ac:dyDescent="0.2">
      <c r="A10016" s="28">
        <v>10015</v>
      </c>
      <c r="B10016" s="28" t="e">
        <f>interpola(#REF!,CURVA!$B$6:$B$20,CURVA!$G$6:$G$20)</f>
        <v>#VALUE!</v>
      </c>
      <c r="C10016" s="29" t="e">
        <f t="shared" si="156"/>
        <v>#VALUE!</v>
      </c>
      <c r="E10016" t="e">
        <f>cubic_spline(CURVA!$B$6:$B$20,CURVA!$G$6:$G$20,#REF!)</f>
        <v>#VALUE!</v>
      </c>
    </row>
    <row r="10017" spans="1:5" x14ac:dyDescent="0.2">
      <c r="A10017" s="28">
        <v>10016</v>
      </c>
      <c r="B10017" s="28" t="e">
        <f>interpola(#REF!,CURVA!$B$6:$B$20,CURVA!$G$6:$G$20)</f>
        <v>#VALUE!</v>
      </c>
      <c r="C10017" s="29" t="e">
        <f t="shared" si="156"/>
        <v>#VALUE!</v>
      </c>
      <c r="E10017" t="e">
        <f>cubic_spline(CURVA!$B$6:$B$20,CURVA!$G$6:$G$20,#REF!)</f>
        <v>#VALUE!</v>
      </c>
    </row>
    <row r="10018" spans="1:5" x14ac:dyDescent="0.2">
      <c r="A10018" s="28">
        <v>10017</v>
      </c>
      <c r="B10018" s="28" t="e">
        <f>interpola(#REF!,CURVA!$B$6:$B$20,CURVA!$G$6:$G$20)</f>
        <v>#VALUE!</v>
      </c>
      <c r="C10018" s="29" t="e">
        <f t="shared" si="156"/>
        <v>#VALUE!</v>
      </c>
      <c r="E10018" t="e">
        <f>cubic_spline(CURVA!$B$6:$B$20,CURVA!$G$6:$G$20,#REF!)</f>
        <v>#VALUE!</v>
      </c>
    </row>
    <row r="10019" spans="1:5" x14ac:dyDescent="0.2">
      <c r="A10019" s="28">
        <v>10018</v>
      </c>
      <c r="B10019" s="28" t="e">
        <f>interpola(#REF!,CURVA!$B$6:$B$20,CURVA!$G$6:$G$20)</f>
        <v>#VALUE!</v>
      </c>
      <c r="C10019" s="29" t="e">
        <f t="shared" si="156"/>
        <v>#VALUE!</v>
      </c>
      <c r="E10019" t="e">
        <f>cubic_spline(CURVA!$B$6:$B$20,CURVA!$G$6:$G$20,#REF!)</f>
        <v>#VALUE!</v>
      </c>
    </row>
    <row r="10020" spans="1:5" x14ac:dyDescent="0.2">
      <c r="A10020" s="28">
        <v>10019</v>
      </c>
      <c r="B10020" s="28" t="e">
        <f>interpola(#REF!,CURVA!$B$6:$B$20,CURVA!$G$6:$G$20)</f>
        <v>#VALUE!</v>
      </c>
      <c r="C10020" s="29" t="e">
        <f t="shared" si="156"/>
        <v>#VALUE!</v>
      </c>
      <c r="E10020" t="e">
        <f>cubic_spline(CURVA!$B$6:$B$20,CURVA!$G$6:$G$20,#REF!)</f>
        <v>#VALUE!</v>
      </c>
    </row>
    <row r="10021" spans="1:5" x14ac:dyDescent="0.2">
      <c r="A10021" s="28">
        <v>10020</v>
      </c>
      <c r="B10021" s="28" t="e">
        <f>interpola(#REF!,CURVA!$B$6:$B$20,CURVA!$G$6:$G$20)</f>
        <v>#VALUE!</v>
      </c>
      <c r="C10021" s="29" t="e">
        <f t="shared" si="156"/>
        <v>#VALUE!</v>
      </c>
      <c r="E10021" t="e">
        <f>cubic_spline(CURVA!$B$6:$B$20,CURVA!$G$6:$G$20,#REF!)</f>
        <v>#VALUE!</v>
      </c>
    </row>
    <row r="10022" spans="1:5" x14ac:dyDescent="0.2">
      <c r="A10022" s="28">
        <v>10021</v>
      </c>
      <c r="B10022" s="28" t="e">
        <f>interpola(#REF!,CURVA!$B$6:$B$20,CURVA!$G$6:$G$20)</f>
        <v>#VALUE!</v>
      </c>
      <c r="C10022" s="29" t="e">
        <f t="shared" si="156"/>
        <v>#VALUE!</v>
      </c>
      <c r="E10022" t="e">
        <f>cubic_spline(CURVA!$B$6:$B$20,CURVA!$G$6:$G$20,#REF!)</f>
        <v>#VALUE!</v>
      </c>
    </row>
    <row r="10023" spans="1:5" x14ac:dyDescent="0.2">
      <c r="A10023" s="28">
        <v>10022</v>
      </c>
      <c r="B10023" s="28" t="e">
        <f>interpola(#REF!,CURVA!$B$6:$B$20,CURVA!$G$6:$G$20)</f>
        <v>#VALUE!</v>
      </c>
      <c r="C10023" s="29" t="e">
        <f t="shared" si="156"/>
        <v>#VALUE!</v>
      </c>
      <c r="E10023" t="e">
        <f>cubic_spline(CURVA!$B$6:$B$20,CURVA!$G$6:$G$20,#REF!)</f>
        <v>#VALUE!</v>
      </c>
    </row>
    <row r="10024" spans="1:5" x14ac:dyDescent="0.2">
      <c r="A10024" s="28">
        <v>10023</v>
      </c>
      <c r="B10024" s="28" t="e">
        <f>interpola(#REF!,CURVA!$B$6:$B$20,CURVA!$G$6:$G$20)</f>
        <v>#VALUE!</v>
      </c>
      <c r="C10024" s="29" t="e">
        <f t="shared" si="156"/>
        <v>#VALUE!</v>
      </c>
      <c r="E10024" t="e">
        <f>cubic_spline(CURVA!$B$6:$B$20,CURVA!$G$6:$G$20,#REF!)</f>
        <v>#VALUE!</v>
      </c>
    </row>
    <row r="10025" spans="1:5" x14ac:dyDescent="0.2">
      <c r="A10025" s="28">
        <v>10024</v>
      </c>
      <c r="B10025" s="28" t="e">
        <f>interpola(#REF!,CURVA!$B$6:$B$20,CURVA!$G$6:$G$20)</f>
        <v>#VALUE!</v>
      </c>
      <c r="C10025" s="29" t="e">
        <f t="shared" si="156"/>
        <v>#VALUE!</v>
      </c>
      <c r="E10025" t="e">
        <f>cubic_spline(CURVA!$B$6:$B$20,CURVA!$G$6:$G$20,#REF!)</f>
        <v>#VALUE!</v>
      </c>
    </row>
    <row r="10026" spans="1:5" x14ac:dyDescent="0.2">
      <c r="A10026" s="28">
        <v>10025</v>
      </c>
      <c r="B10026" s="28" t="e">
        <f>interpola(#REF!,CURVA!$B$6:$B$20,CURVA!$G$6:$G$20)</f>
        <v>#VALUE!</v>
      </c>
      <c r="C10026" s="29" t="e">
        <f t="shared" si="156"/>
        <v>#VALUE!</v>
      </c>
      <c r="E10026" t="e">
        <f>cubic_spline(CURVA!$B$6:$B$20,CURVA!$G$6:$G$20,#REF!)</f>
        <v>#VALUE!</v>
      </c>
    </row>
    <row r="10027" spans="1:5" x14ac:dyDescent="0.2">
      <c r="A10027" s="28">
        <v>10026</v>
      </c>
      <c r="B10027" s="28" t="e">
        <f>interpola(#REF!,CURVA!$B$6:$B$20,CURVA!$G$6:$G$20)</f>
        <v>#VALUE!</v>
      </c>
      <c r="C10027" s="29" t="e">
        <f t="shared" si="156"/>
        <v>#VALUE!</v>
      </c>
      <c r="E10027" t="e">
        <f>cubic_spline(CURVA!$B$6:$B$20,CURVA!$G$6:$G$20,#REF!)</f>
        <v>#VALUE!</v>
      </c>
    </row>
    <row r="10028" spans="1:5" x14ac:dyDescent="0.2">
      <c r="A10028" s="28">
        <v>10027</v>
      </c>
      <c r="B10028" s="28" t="e">
        <f>interpola(#REF!,CURVA!$B$6:$B$20,CURVA!$G$6:$G$20)</f>
        <v>#VALUE!</v>
      </c>
      <c r="C10028" s="29" t="e">
        <f t="shared" si="156"/>
        <v>#VALUE!</v>
      </c>
      <c r="E10028" t="e">
        <f>cubic_spline(CURVA!$B$6:$B$20,CURVA!$G$6:$G$20,#REF!)</f>
        <v>#VALUE!</v>
      </c>
    </row>
    <row r="10029" spans="1:5" x14ac:dyDescent="0.2">
      <c r="A10029" s="28">
        <v>10028</v>
      </c>
      <c r="B10029" s="28" t="e">
        <f>interpola(#REF!,CURVA!$B$6:$B$20,CURVA!$G$6:$G$20)</f>
        <v>#VALUE!</v>
      </c>
      <c r="C10029" s="29" t="e">
        <f t="shared" si="156"/>
        <v>#VALUE!</v>
      </c>
      <c r="E10029" t="e">
        <f>cubic_spline(CURVA!$B$6:$B$20,CURVA!$G$6:$G$20,#REF!)</f>
        <v>#VALUE!</v>
      </c>
    </row>
    <row r="10030" spans="1:5" x14ac:dyDescent="0.2">
      <c r="A10030" s="28">
        <v>10029</v>
      </c>
      <c r="B10030" s="28" t="e">
        <f>interpola(#REF!,CURVA!$B$6:$B$20,CURVA!$G$6:$G$20)</f>
        <v>#VALUE!</v>
      </c>
      <c r="C10030" s="29" t="e">
        <f t="shared" si="156"/>
        <v>#VALUE!</v>
      </c>
      <c r="E10030" t="e">
        <f>cubic_spline(CURVA!$B$6:$B$20,CURVA!$G$6:$G$20,#REF!)</f>
        <v>#VALUE!</v>
      </c>
    </row>
    <row r="10031" spans="1:5" x14ac:dyDescent="0.2">
      <c r="A10031" s="28">
        <v>10030</v>
      </c>
      <c r="B10031" s="28" t="e">
        <f>interpola(#REF!,CURVA!$B$6:$B$20,CURVA!$G$6:$G$20)</f>
        <v>#VALUE!</v>
      </c>
      <c r="C10031" s="29" t="e">
        <f t="shared" si="156"/>
        <v>#VALUE!</v>
      </c>
      <c r="E10031" t="e">
        <f>cubic_spline(CURVA!$B$6:$B$20,CURVA!$G$6:$G$20,#REF!)</f>
        <v>#VALUE!</v>
      </c>
    </row>
    <row r="10032" spans="1:5" x14ac:dyDescent="0.2">
      <c r="A10032" s="28">
        <v>10031</v>
      </c>
      <c r="B10032" s="28" t="e">
        <f>interpola(#REF!,CURVA!$B$6:$B$20,CURVA!$G$6:$G$20)</f>
        <v>#VALUE!</v>
      </c>
      <c r="C10032" s="29" t="e">
        <f t="shared" si="156"/>
        <v>#VALUE!</v>
      </c>
      <c r="E10032" t="e">
        <f>cubic_spline(CURVA!$B$6:$B$20,CURVA!$G$6:$G$20,#REF!)</f>
        <v>#VALUE!</v>
      </c>
    </row>
    <row r="10033" spans="1:5" x14ac:dyDescent="0.2">
      <c r="A10033" s="28">
        <v>10032</v>
      </c>
      <c r="B10033" s="28" t="e">
        <f>interpola(#REF!,CURVA!$B$6:$B$20,CURVA!$G$6:$G$20)</f>
        <v>#VALUE!</v>
      </c>
      <c r="C10033" s="29" t="e">
        <f t="shared" si="156"/>
        <v>#VALUE!</v>
      </c>
      <c r="E10033" t="e">
        <f>cubic_spline(CURVA!$B$6:$B$20,CURVA!$G$6:$G$20,#REF!)</f>
        <v>#VALUE!</v>
      </c>
    </row>
    <row r="10034" spans="1:5" x14ac:dyDescent="0.2">
      <c r="A10034" s="28">
        <v>10033</v>
      </c>
      <c r="B10034" s="28" t="e">
        <f>interpola(#REF!,CURVA!$B$6:$B$20,CURVA!$G$6:$G$20)</f>
        <v>#VALUE!</v>
      </c>
      <c r="C10034" s="29" t="e">
        <f t="shared" si="156"/>
        <v>#VALUE!</v>
      </c>
      <c r="E10034" t="e">
        <f>cubic_spline(CURVA!$B$6:$B$20,CURVA!$G$6:$G$20,#REF!)</f>
        <v>#VALUE!</v>
      </c>
    </row>
    <row r="10035" spans="1:5" x14ac:dyDescent="0.2">
      <c r="A10035" s="28">
        <v>10034</v>
      </c>
      <c r="B10035" s="28" t="e">
        <f>interpola(#REF!,CURVA!$B$6:$B$20,CURVA!$G$6:$G$20)</f>
        <v>#VALUE!</v>
      </c>
      <c r="C10035" s="29" t="e">
        <f t="shared" si="156"/>
        <v>#VALUE!</v>
      </c>
      <c r="E10035" t="e">
        <f>cubic_spline(CURVA!$B$6:$B$20,CURVA!$G$6:$G$20,#REF!)</f>
        <v>#VALUE!</v>
      </c>
    </row>
    <row r="10036" spans="1:5" x14ac:dyDescent="0.2">
      <c r="A10036" s="28">
        <v>10035</v>
      </c>
      <c r="B10036" s="28" t="e">
        <f>interpola(#REF!,CURVA!$B$6:$B$20,CURVA!$G$6:$G$20)</f>
        <v>#VALUE!</v>
      </c>
      <c r="C10036" s="29" t="e">
        <f t="shared" si="156"/>
        <v>#VALUE!</v>
      </c>
      <c r="E10036" t="e">
        <f>cubic_spline(CURVA!$B$6:$B$20,CURVA!$G$6:$G$20,#REF!)</f>
        <v>#VALUE!</v>
      </c>
    </row>
    <row r="10037" spans="1:5" x14ac:dyDescent="0.2">
      <c r="A10037" s="28">
        <v>10036</v>
      </c>
      <c r="B10037" s="28" t="e">
        <f>interpola(#REF!,CURVA!$B$6:$B$20,CURVA!$G$6:$G$20)</f>
        <v>#VALUE!</v>
      </c>
      <c r="C10037" s="29" t="e">
        <f t="shared" si="156"/>
        <v>#VALUE!</v>
      </c>
      <c r="E10037" t="e">
        <f>cubic_spline(CURVA!$B$6:$B$20,CURVA!$G$6:$G$20,#REF!)</f>
        <v>#VALUE!</v>
      </c>
    </row>
    <row r="10038" spans="1:5" x14ac:dyDescent="0.2">
      <c r="A10038" s="28">
        <v>10037</v>
      </c>
      <c r="B10038" s="28" t="e">
        <f>interpola(#REF!,CURVA!$B$6:$B$20,CURVA!$G$6:$G$20)</f>
        <v>#VALUE!</v>
      </c>
      <c r="C10038" s="29" t="e">
        <f t="shared" si="156"/>
        <v>#VALUE!</v>
      </c>
      <c r="E10038" t="e">
        <f>cubic_spline(CURVA!$B$6:$B$20,CURVA!$G$6:$G$20,#REF!)</f>
        <v>#VALUE!</v>
      </c>
    </row>
    <row r="10039" spans="1:5" x14ac:dyDescent="0.2">
      <c r="A10039" s="28">
        <v>10038</v>
      </c>
      <c r="B10039" s="28" t="e">
        <f>interpola(#REF!,CURVA!$B$6:$B$20,CURVA!$G$6:$G$20)</f>
        <v>#VALUE!</v>
      </c>
      <c r="C10039" s="29" t="e">
        <f t="shared" si="156"/>
        <v>#VALUE!</v>
      </c>
      <c r="E10039" t="e">
        <f>cubic_spline(CURVA!$B$6:$B$20,CURVA!$G$6:$G$20,#REF!)</f>
        <v>#VALUE!</v>
      </c>
    </row>
    <row r="10040" spans="1:5" x14ac:dyDescent="0.2">
      <c r="A10040" s="28">
        <v>10039</v>
      </c>
      <c r="B10040" s="28" t="e">
        <f>interpola(#REF!,CURVA!$B$6:$B$20,CURVA!$G$6:$G$20)</f>
        <v>#VALUE!</v>
      </c>
      <c r="C10040" s="29" t="e">
        <f t="shared" si="156"/>
        <v>#VALUE!</v>
      </c>
      <c r="E10040" t="e">
        <f>cubic_spline(CURVA!$B$6:$B$20,CURVA!$G$6:$G$20,#REF!)</f>
        <v>#VALUE!</v>
      </c>
    </row>
    <row r="10041" spans="1:5" x14ac:dyDescent="0.2">
      <c r="A10041" s="28">
        <v>10040</v>
      </c>
      <c r="B10041" s="28" t="e">
        <f>interpola(#REF!,CURVA!$B$6:$B$20,CURVA!$G$6:$G$20)</f>
        <v>#VALUE!</v>
      </c>
      <c r="C10041" s="29" t="e">
        <f t="shared" si="156"/>
        <v>#VALUE!</v>
      </c>
      <c r="E10041" t="e">
        <f>cubic_spline(CURVA!$B$6:$B$20,CURVA!$G$6:$G$20,#REF!)</f>
        <v>#VALUE!</v>
      </c>
    </row>
    <row r="10042" spans="1:5" x14ac:dyDescent="0.2">
      <c r="A10042" s="28">
        <v>10041</v>
      </c>
      <c r="B10042" s="28" t="e">
        <f>interpola(#REF!,CURVA!$B$6:$B$20,CURVA!$G$6:$G$20)</f>
        <v>#VALUE!</v>
      </c>
      <c r="C10042" s="29" t="e">
        <f t="shared" si="156"/>
        <v>#VALUE!</v>
      </c>
      <c r="E10042" t="e">
        <f>cubic_spline(CURVA!$B$6:$B$20,CURVA!$G$6:$G$20,#REF!)</f>
        <v>#VALUE!</v>
      </c>
    </row>
    <row r="10043" spans="1:5" x14ac:dyDescent="0.2">
      <c r="A10043" s="28">
        <v>10042</v>
      </c>
      <c r="B10043" s="28" t="e">
        <f>interpola(#REF!,CURVA!$B$6:$B$20,CURVA!$G$6:$G$20)</f>
        <v>#VALUE!</v>
      </c>
      <c r="C10043" s="29" t="e">
        <f t="shared" si="156"/>
        <v>#VALUE!</v>
      </c>
      <c r="E10043" t="e">
        <f>cubic_spline(CURVA!$B$6:$B$20,CURVA!$G$6:$G$20,#REF!)</f>
        <v>#VALUE!</v>
      </c>
    </row>
    <row r="10044" spans="1:5" x14ac:dyDescent="0.2">
      <c r="A10044" s="28">
        <v>10043</v>
      </c>
      <c r="B10044" s="28" t="e">
        <f>interpola(#REF!,CURVA!$B$6:$B$20,CURVA!$G$6:$G$20)</f>
        <v>#VALUE!</v>
      </c>
      <c r="C10044" s="29" t="e">
        <f t="shared" si="156"/>
        <v>#VALUE!</v>
      </c>
      <c r="E10044" t="e">
        <f>cubic_spline(CURVA!$B$6:$B$20,CURVA!$G$6:$G$20,#REF!)</f>
        <v>#VALUE!</v>
      </c>
    </row>
    <row r="10045" spans="1:5" x14ac:dyDescent="0.2">
      <c r="A10045" s="28">
        <v>10044</v>
      </c>
      <c r="B10045" s="28" t="e">
        <f>interpola(#REF!,CURVA!$B$6:$B$20,CURVA!$G$6:$G$20)</f>
        <v>#VALUE!</v>
      </c>
      <c r="C10045" s="29" t="e">
        <f t="shared" si="156"/>
        <v>#VALUE!</v>
      </c>
      <c r="E10045" t="e">
        <f>cubic_spline(CURVA!$B$6:$B$20,CURVA!$G$6:$G$20,#REF!)</f>
        <v>#VALUE!</v>
      </c>
    </row>
    <row r="10046" spans="1:5" x14ac:dyDescent="0.2">
      <c r="A10046" s="28">
        <v>10045</v>
      </c>
      <c r="B10046" s="28" t="e">
        <f>interpola(#REF!,CURVA!$B$6:$B$20,CURVA!$G$6:$G$20)</f>
        <v>#VALUE!</v>
      </c>
      <c r="C10046" s="29" t="e">
        <f t="shared" si="156"/>
        <v>#VALUE!</v>
      </c>
      <c r="E10046" t="e">
        <f>cubic_spline(CURVA!$B$6:$B$20,CURVA!$G$6:$G$20,#REF!)</f>
        <v>#VALUE!</v>
      </c>
    </row>
    <row r="10047" spans="1:5" x14ac:dyDescent="0.2">
      <c r="A10047" s="28">
        <v>10046</v>
      </c>
      <c r="B10047" s="28" t="e">
        <f>interpola(#REF!,CURVA!$B$6:$B$20,CURVA!$G$6:$G$20)</f>
        <v>#VALUE!</v>
      </c>
      <c r="C10047" s="29" t="e">
        <f t="shared" si="156"/>
        <v>#VALUE!</v>
      </c>
      <c r="E10047" t="e">
        <f>cubic_spline(CURVA!$B$6:$B$20,CURVA!$G$6:$G$20,#REF!)</f>
        <v>#VALUE!</v>
      </c>
    </row>
    <row r="10048" spans="1:5" x14ac:dyDescent="0.2">
      <c r="A10048" s="28">
        <v>10047</v>
      </c>
      <c r="B10048" s="28" t="e">
        <f>interpola(#REF!,CURVA!$B$6:$B$20,CURVA!$G$6:$G$20)</f>
        <v>#VALUE!</v>
      </c>
      <c r="C10048" s="29" t="e">
        <f t="shared" si="156"/>
        <v>#VALUE!</v>
      </c>
      <c r="E10048" t="e">
        <f>cubic_spline(CURVA!$B$6:$B$20,CURVA!$G$6:$G$20,#REF!)</f>
        <v>#VALUE!</v>
      </c>
    </row>
    <row r="10049" spans="1:5" x14ac:dyDescent="0.2">
      <c r="A10049" s="28">
        <v>10048</v>
      </c>
      <c r="B10049" s="28" t="e">
        <f>interpola(#REF!,CURVA!$B$6:$B$20,CURVA!$G$6:$G$20)</f>
        <v>#VALUE!</v>
      </c>
      <c r="C10049" s="29" t="e">
        <f t="shared" si="156"/>
        <v>#VALUE!</v>
      </c>
      <c r="E10049" t="e">
        <f>cubic_spline(CURVA!$B$6:$B$20,CURVA!$G$6:$G$20,#REF!)</f>
        <v>#VALUE!</v>
      </c>
    </row>
    <row r="10050" spans="1:5" x14ac:dyDescent="0.2">
      <c r="A10050" s="28">
        <v>10049</v>
      </c>
      <c r="B10050" s="28" t="e">
        <f>interpola(#REF!,CURVA!$B$6:$B$20,CURVA!$G$6:$G$20)</f>
        <v>#VALUE!</v>
      </c>
      <c r="C10050" s="29" t="e">
        <f t="shared" ref="C10050:C10113" si="157">(EXP(B10050*A10050/360)-1)*360/A10050</f>
        <v>#VALUE!</v>
      </c>
      <c r="E10050" t="e">
        <f>cubic_spline(CURVA!$B$6:$B$20,CURVA!$G$6:$G$20,#REF!)</f>
        <v>#VALUE!</v>
      </c>
    </row>
    <row r="10051" spans="1:5" x14ac:dyDescent="0.2">
      <c r="A10051" s="28">
        <v>10050</v>
      </c>
      <c r="B10051" s="28" t="e">
        <f>interpola(#REF!,CURVA!$B$6:$B$20,CURVA!$G$6:$G$20)</f>
        <v>#VALUE!</v>
      </c>
      <c r="C10051" s="29" t="e">
        <f t="shared" si="157"/>
        <v>#VALUE!</v>
      </c>
      <c r="E10051" t="e">
        <f>cubic_spline(CURVA!$B$6:$B$20,CURVA!$G$6:$G$20,#REF!)</f>
        <v>#VALUE!</v>
      </c>
    </row>
    <row r="10052" spans="1:5" x14ac:dyDescent="0.2">
      <c r="A10052" s="28">
        <v>10051</v>
      </c>
      <c r="B10052" s="28" t="e">
        <f>interpola(#REF!,CURVA!$B$6:$B$20,CURVA!$G$6:$G$20)</f>
        <v>#VALUE!</v>
      </c>
      <c r="C10052" s="29" t="e">
        <f t="shared" si="157"/>
        <v>#VALUE!</v>
      </c>
      <c r="E10052" t="e">
        <f>cubic_spline(CURVA!$B$6:$B$20,CURVA!$G$6:$G$20,#REF!)</f>
        <v>#VALUE!</v>
      </c>
    </row>
    <row r="10053" spans="1:5" x14ac:dyDescent="0.2">
      <c r="A10053" s="28">
        <v>10052</v>
      </c>
      <c r="B10053" s="28" t="e">
        <f>interpola(#REF!,CURVA!$B$6:$B$20,CURVA!$G$6:$G$20)</f>
        <v>#VALUE!</v>
      </c>
      <c r="C10053" s="29" t="e">
        <f t="shared" si="157"/>
        <v>#VALUE!</v>
      </c>
      <c r="E10053" t="e">
        <f>cubic_spline(CURVA!$B$6:$B$20,CURVA!$G$6:$G$20,#REF!)</f>
        <v>#VALUE!</v>
      </c>
    </row>
    <row r="10054" spans="1:5" x14ac:dyDescent="0.2">
      <c r="A10054" s="28">
        <v>10053</v>
      </c>
      <c r="B10054" s="28" t="e">
        <f>interpola(#REF!,CURVA!$B$6:$B$20,CURVA!$G$6:$G$20)</f>
        <v>#VALUE!</v>
      </c>
      <c r="C10054" s="29" t="e">
        <f t="shared" si="157"/>
        <v>#VALUE!</v>
      </c>
      <c r="E10054" t="e">
        <f>cubic_spline(CURVA!$B$6:$B$20,CURVA!$G$6:$G$20,#REF!)</f>
        <v>#VALUE!</v>
      </c>
    </row>
    <row r="10055" spans="1:5" x14ac:dyDescent="0.2">
      <c r="A10055" s="28">
        <v>10054</v>
      </c>
      <c r="B10055" s="28" t="e">
        <f>interpola(#REF!,CURVA!$B$6:$B$20,CURVA!$G$6:$G$20)</f>
        <v>#VALUE!</v>
      </c>
      <c r="C10055" s="29" t="e">
        <f t="shared" si="157"/>
        <v>#VALUE!</v>
      </c>
      <c r="E10055" t="e">
        <f>cubic_spline(CURVA!$B$6:$B$20,CURVA!$G$6:$G$20,#REF!)</f>
        <v>#VALUE!</v>
      </c>
    </row>
    <row r="10056" spans="1:5" x14ac:dyDescent="0.2">
      <c r="A10056" s="28">
        <v>10055</v>
      </c>
      <c r="B10056" s="28" t="e">
        <f>interpola(#REF!,CURVA!$B$6:$B$20,CURVA!$G$6:$G$20)</f>
        <v>#VALUE!</v>
      </c>
      <c r="C10056" s="29" t="e">
        <f t="shared" si="157"/>
        <v>#VALUE!</v>
      </c>
      <c r="E10056" t="e">
        <f>cubic_spline(CURVA!$B$6:$B$20,CURVA!$G$6:$G$20,#REF!)</f>
        <v>#VALUE!</v>
      </c>
    </row>
    <row r="10057" spans="1:5" x14ac:dyDescent="0.2">
      <c r="A10057" s="28">
        <v>10056</v>
      </c>
      <c r="B10057" s="28" t="e">
        <f>interpola(#REF!,CURVA!$B$6:$B$20,CURVA!$G$6:$G$20)</f>
        <v>#VALUE!</v>
      </c>
      <c r="C10057" s="29" t="e">
        <f t="shared" si="157"/>
        <v>#VALUE!</v>
      </c>
      <c r="E10057" t="e">
        <f>cubic_spline(CURVA!$B$6:$B$20,CURVA!$G$6:$G$20,#REF!)</f>
        <v>#VALUE!</v>
      </c>
    </row>
    <row r="10058" spans="1:5" x14ac:dyDescent="0.2">
      <c r="A10058" s="28">
        <v>10057</v>
      </c>
      <c r="B10058" s="28" t="e">
        <f>interpola(#REF!,CURVA!$B$6:$B$20,CURVA!$G$6:$G$20)</f>
        <v>#VALUE!</v>
      </c>
      <c r="C10058" s="29" t="e">
        <f t="shared" si="157"/>
        <v>#VALUE!</v>
      </c>
      <c r="E10058" t="e">
        <f>cubic_spline(CURVA!$B$6:$B$20,CURVA!$G$6:$G$20,#REF!)</f>
        <v>#VALUE!</v>
      </c>
    </row>
    <row r="10059" spans="1:5" x14ac:dyDescent="0.2">
      <c r="A10059" s="28">
        <v>10058</v>
      </c>
      <c r="B10059" s="28" t="e">
        <f>interpola(#REF!,CURVA!$B$6:$B$20,CURVA!$G$6:$G$20)</f>
        <v>#VALUE!</v>
      </c>
      <c r="C10059" s="29" t="e">
        <f t="shared" si="157"/>
        <v>#VALUE!</v>
      </c>
      <c r="E10059" t="e">
        <f>cubic_spline(CURVA!$B$6:$B$20,CURVA!$G$6:$G$20,#REF!)</f>
        <v>#VALUE!</v>
      </c>
    </row>
    <row r="10060" spans="1:5" x14ac:dyDescent="0.2">
      <c r="A10060" s="28">
        <v>10059</v>
      </c>
      <c r="B10060" s="28" t="e">
        <f>interpola(#REF!,CURVA!$B$6:$B$20,CURVA!$G$6:$G$20)</f>
        <v>#VALUE!</v>
      </c>
      <c r="C10060" s="29" t="e">
        <f t="shared" si="157"/>
        <v>#VALUE!</v>
      </c>
      <c r="E10060" t="e">
        <f>cubic_spline(CURVA!$B$6:$B$20,CURVA!$G$6:$G$20,#REF!)</f>
        <v>#VALUE!</v>
      </c>
    </row>
    <row r="10061" spans="1:5" x14ac:dyDescent="0.2">
      <c r="A10061" s="28">
        <v>10060</v>
      </c>
      <c r="B10061" s="28" t="e">
        <f>interpola(#REF!,CURVA!$B$6:$B$20,CURVA!$G$6:$G$20)</f>
        <v>#VALUE!</v>
      </c>
      <c r="C10061" s="29" t="e">
        <f t="shared" si="157"/>
        <v>#VALUE!</v>
      </c>
      <c r="E10061" t="e">
        <f>cubic_spline(CURVA!$B$6:$B$20,CURVA!$G$6:$G$20,#REF!)</f>
        <v>#VALUE!</v>
      </c>
    </row>
    <row r="10062" spans="1:5" x14ac:dyDescent="0.2">
      <c r="A10062" s="28">
        <v>10061</v>
      </c>
      <c r="B10062" s="28" t="e">
        <f>interpola(#REF!,CURVA!$B$6:$B$20,CURVA!$G$6:$G$20)</f>
        <v>#VALUE!</v>
      </c>
      <c r="C10062" s="29" t="e">
        <f t="shared" si="157"/>
        <v>#VALUE!</v>
      </c>
      <c r="E10062" t="e">
        <f>cubic_spline(CURVA!$B$6:$B$20,CURVA!$G$6:$G$20,#REF!)</f>
        <v>#VALUE!</v>
      </c>
    </row>
    <row r="10063" spans="1:5" x14ac:dyDescent="0.2">
      <c r="A10063" s="28">
        <v>10062</v>
      </c>
      <c r="B10063" s="28" t="e">
        <f>interpola(#REF!,CURVA!$B$6:$B$20,CURVA!$G$6:$G$20)</f>
        <v>#VALUE!</v>
      </c>
      <c r="C10063" s="29" t="e">
        <f t="shared" si="157"/>
        <v>#VALUE!</v>
      </c>
      <c r="E10063" t="e">
        <f>cubic_spline(CURVA!$B$6:$B$20,CURVA!$G$6:$G$20,#REF!)</f>
        <v>#VALUE!</v>
      </c>
    </row>
    <row r="10064" spans="1:5" x14ac:dyDescent="0.2">
      <c r="A10064" s="28">
        <v>10063</v>
      </c>
      <c r="B10064" s="28" t="e">
        <f>interpola(#REF!,CURVA!$B$6:$B$20,CURVA!$G$6:$G$20)</f>
        <v>#VALUE!</v>
      </c>
      <c r="C10064" s="29" t="e">
        <f t="shared" si="157"/>
        <v>#VALUE!</v>
      </c>
      <c r="E10064" t="e">
        <f>cubic_spline(CURVA!$B$6:$B$20,CURVA!$G$6:$G$20,#REF!)</f>
        <v>#VALUE!</v>
      </c>
    </row>
    <row r="10065" spans="1:5" x14ac:dyDescent="0.2">
      <c r="A10065" s="28">
        <v>10064</v>
      </c>
      <c r="B10065" s="28" t="e">
        <f>interpola(#REF!,CURVA!$B$6:$B$20,CURVA!$G$6:$G$20)</f>
        <v>#VALUE!</v>
      </c>
      <c r="C10065" s="29" t="e">
        <f t="shared" si="157"/>
        <v>#VALUE!</v>
      </c>
      <c r="E10065" t="e">
        <f>cubic_spline(CURVA!$B$6:$B$20,CURVA!$G$6:$G$20,#REF!)</f>
        <v>#VALUE!</v>
      </c>
    </row>
    <row r="10066" spans="1:5" x14ac:dyDescent="0.2">
      <c r="A10066" s="28">
        <v>10065</v>
      </c>
      <c r="B10066" s="28" t="e">
        <f>interpola(#REF!,CURVA!$B$6:$B$20,CURVA!$G$6:$G$20)</f>
        <v>#VALUE!</v>
      </c>
      <c r="C10066" s="29" t="e">
        <f t="shared" si="157"/>
        <v>#VALUE!</v>
      </c>
      <c r="E10066" t="e">
        <f>cubic_spline(CURVA!$B$6:$B$20,CURVA!$G$6:$G$20,#REF!)</f>
        <v>#VALUE!</v>
      </c>
    </row>
    <row r="10067" spans="1:5" x14ac:dyDescent="0.2">
      <c r="A10067" s="28">
        <v>10066</v>
      </c>
      <c r="B10067" s="28" t="e">
        <f>interpola(#REF!,CURVA!$B$6:$B$20,CURVA!$G$6:$G$20)</f>
        <v>#VALUE!</v>
      </c>
      <c r="C10067" s="29" t="e">
        <f t="shared" si="157"/>
        <v>#VALUE!</v>
      </c>
      <c r="E10067" t="e">
        <f>cubic_spline(CURVA!$B$6:$B$20,CURVA!$G$6:$G$20,#REF!)</f>
        <v>#VALUE!</v>
      </c>
    </row>
    <row r="10068" spans="1:5" x14ac:dyDescent="0.2">
      <c r="A10068" s="28">
        <v>10067</v>
      </c>
      <c r="B10068" s="28" t="e">
        <f>interpola(#REF!,CURVA!$B$6:$B$20,CURVA!$G$6:$G$20)</f>
        <v>#VALUE!</v>
      </c>
      <c r="C10068" s="29" t="e">
        <f t="shared" si="157"/>
        <v>#VALUE!</v>
      </c>
      <c r="E10068" t="e">
        <f>cubic_spline(CURVA!$B$6:$B$20,CURVA!$G$6:$G$20,#REF!)</f>
        <v>#VALUE!</v>
      </c>
    </row>
    <row r="10069" spans="1:5" x14ac:dyDescent="0.2">
      <c r="A10069" s="28">
        <v>10068</v>
      </c>
      <c r="B10069" s="28" t="e">
        <f>interpola(#REF!,CURVA!$B$6:$B$20,CURVA!$G$6:$G$20)</f>
        <v>#VALUE!</v>
      </c>
      <c r="C10069" s="29" t="e">
        <f t="shared" si="157"/>
        <v>#VALUE!</v>
      </c>
      <c r="E10069" t="e">
        <f>cubic_spline(CURVA!$B$6:$B$20,CURVA!$G$6:$G$20,#REF!)</f>
        <v>#VALUE!</v>
      </c>
    </row>
    <row r="10070" spans="1:5" x14ac:dyDescent="0.2">
      <c r="A10070" s="28">
        <v>10069</v>
      </c>
      <c r="B10070" s="28" t="e">
        <f>interpola(#REF!,CURVA!$B$6:$B$20,CURVA!$G$6:$G$20)</f>
        <v>#VALUE!</v>
      </c>
      <c r="C10070" s="29" t="e">
        <f t="shared" si="157"/>
        <v>#VALUE!</v>
      </c>
      <c r="E10070" t="e">
        <f>cubic_spline(CURVA!$B$6:$B$20,CURVA!$G$6:$G$20,#REF!)</f>
        <v>#VALUE!</v>
      </c>
    </row>
    <row r="10071" spans="1:5" x14ac:dyDescent="0.2">
      <c r="A10071" s="28">
        <v>10070</v>
      </c>
      <c r="B10071" s="28" t="e">
        <f>interpola(#REF!,CURVA!$B$6:$B$20,CURVA!$G$6:$G$20)</f>
        <v>#VALUE!</v>
      </c>
      <c r="C10071" s="29" t="e">
        <f t="shared" si="157"/>
        <v>#VALUE!</v>
      </c>
      <c r="E10071" t="e">
        <f>cubic_spline(CURVA!$B$6:$B$20,CURVA!$G$6:$G$20,#REF!)</f>
        <v>#VALUE!</v>
      </c>
    </row>
    <row r="10072" spans="1:5" x14ac:dyDescent="0.2">
      <c r="A10072" s="28">
        <v>10071</v>
      </c>
      <c r="B10072" s="28" t="e">
        <f>interpola(#REF!,CURVA!$B$6:$B$20,CURVA!$G$6:$G$20)</f>
        <v>#VALUE!</v>
      </c>
      <c r="C10072" s="29" t="e">
        <f t="shared" si="157"/>
        <v>#VALUE!</v>
      </c>
      <c r="E10072" t="e">
        <f>cubic_spline(CURVA!$B$6:$B$20,CURVA!$G$6:$G$20,#REF!)</f>
        <v>#VALUE!</v>
      </c>
    </row>
    <row r="10073" spans="1:5" x14ac:dyDescent="0.2">
      <c r="A10073" s="28">
        <v>10072</v>
      </c>
      <c r="B10073" s="28" t="e">
        <f>interpola(#REF!,CURVA!$B$6:$B$20,CURVA!$G$6:$G$20)</f>
        <v>#VALUE!</v>
      </c>
      <c r="C10073" s="29" t="e">
        <f t="shared" si="157"/>
        <v>#VALUE!</v>
      </c>
      <c r="E10073" t="e">
        <f>cubic_spline(CURVA!$B$6:$B$20,CURVA!$G$6:$G$20,#REF!)</f>
        <v>#VALUE!</v>
      </c>
    </row>
    <row r="10074" spans="1:5" x14ac:dyDescent="0.2">
      <c r="A10074" s="28">
        <v>10073</v>
      </c>
      <c r="B10074" s="28" t="e">
        <f>interpola(#REF!,CURVA!$B$6:$B$20,CURVA!$G$6:$G$20)</f>
        <v>#VALUE!</v>
      </c>
      <c r="C10074" s="29" t="e">
        <f t="shared" si="157"/>
        <v>#VALUE!</v>
      </c>
      <c r="E10074" t="e">
        <f>cubic_spline(CURVA!$B$6:$B$20,CURVA!$G$6:$G$20,#REF!)</f>
        <v>#VALUE!</v>
      </c>
    </row>
    <row r="10075" spans="1:5" x14ac:dyDescent="0.2">
      <c r="A10075" s="28">
        <v>10074</v>
      </c>
      <c r="B10075" s="28" t="e">
        <f>interpola(#REF!,CURVA!$B$6:$B$20,CURVA!$G$6:$G$20)</f>
        <v>#VALUE!</v>
      </c>
      <c r="C10075" s="29" t="e">
        <f t="shared" si="157"/>
        <v>#VALUE!</v>
      </c>
      <c r="E10075" t="e">
        <f>cubic_spline(CURVA!$B$6:$B$20,CURVA!$G$6:$G$20,#REF!)</f>
        <v>#VALUE!</v>
      </c>
    </row>
    <row r="10076" spans="1:5" x14ac:dyDescent="0.2">
      <c r="A10076" s="28">
        <v>10075</v>
      </c>
      <c r="B10076" s="28" t="e">
        <f>interpola(#REF!,CURVA!$B$6:$B$20,CURVA!$G$6:$G$20)</f>
        <v>#VALUE!</v>
      </c>
      <c r="C10076" s="29" t="e">
        <f t="shared" si="157"/>
        <v>#VALUE!</v>
      </c>
      <c r="E10076" t="e">
        <f>cubic_spline(CURVA!$B$6:$B$20,CURVA!$G$6:$G$20,#REF!)</f>
        <v>#VALUE!</v>
      </c>
    </row>
    <row r="10077" spans="1:5" x14ac:dyDescent="0.2">
      <c r="A10077" s="28">
        <v>10076</v>
      </c>
      <c r="B10077" s="28" t="e">
        <f>interpola(#REF!,CURVA!$B$6:$B$20,CURVA!$G$6:$G$20)</f>
        <v>#VALUE!</v>
      </c>
      <c r="C10077" s="29" t="e">
        <f t="shared" si="157"/>
        <v>#VALUE!</v>
      </c>
      <c r="E10077" t="e">
        <f>cubic_spline(CURVA!$B$6:$B$20,CURVA!$G$6:$G$20,#REF!)</f>
        <v>#VALUE!</v>
      </c>
    </row>
    <row r="10078" spans="1:5" x14ac:dyDescent="0.2">
      <c r="A10078" s="28">
        <v>10077</v>
      </c>
      <c r="B10078" s="28" t="e">
        <f>interpola(#REF!,CURVA!$B$6:$B$20,CURVA!$G$6:$G$20)</f>
        <v>#VALUE!</v>
      </c>
      <c r="C10078" s="29" t="e">
        <f t="shared" si="157"/>
        <v>#VALUE!</v>
      </c>
      <c r="E10078" t="e">
        <f>cubic_spline(CURVA!$B$6:$B$20,CURVA!$G$6:$G$20,#REF!)</f>
        <v>#VALUE!</v>
      </c>
    </row>
    <row r="10079" spans="1:5" x14ac:dyDescent="0.2">
      <c r="A10079" s="28">
        <v>10078</v>
      </c>
      <c r="B10079" s="28" t="e">
        <f>interpola(#REF!,CURVA!$B$6:$B$20,CURVA!$G$6:$G$20)</f>
        <v>#VALUE!</v>
      </c>
      <c r="C10079" s="29" t="e">
        <f t="shared" si="157"/>
        <v>#VALUE!</v>
      </c>
      <c r="E10079" t="e">
        <f>cubic_spline(CURVA!$B$6:$B$20,CURVA!$G$6:$G$20,#REF!)</f>
        <v>#VALUE!</v>
      </c>
    </row>
    <row r="10080" spans="1:5" x14ac:dyDescent="0.2">
      <c r="A10080" s="28">
        <v>10079</v>
      </c>
      <c r="B10080" s="28" t="e">
        <f>interpola(#REF!,CURVA!$B$6:$B$20,CURVA!$G$6:$G$20)</f>
        <v>#VALUE!</v>
      </c>
      <c r="C10080" s="29" t="e">
        <f t="shared" si="157"/>
        <v>#VALUE!</v>
      </c>
      <c r="E10080" t="e">
        <f>cubic_spline(CURVA!$B$6:$B$20,CURVA!$G$6:$G$20,#REF!)</f>
        <v>#VALUE!</v>
      </c>
    </row>
    <row r="10081" spans="1:5" x14ac:dyDescent="0.2">
      <c r="A10081" s="28">
        <v>10080</v>
      </c>
      <c r="B10081" s="28" t="e">
        <f>interpola(#REF!,CURVA!$B$6:$B$20,CURVA!$G$6:$G$20)</f>
        <v>#VALUE!</v>
      </c>
      <c r="C10081" s="29" t="e">
        <f t="shared" si="157"/>
        <v>#VALUE!</v>
      </c>
      <c r="E10081" t="e">
        <f>cubic_spline(CURVA!$B$6:$B$20,CURVA!$G$6:$G$20,#REF!)</f>
        <v>#VALUE!</v>
      </c>
    </row>
    <row r="10082" spans="1:5" x14ac:dyDescent="0.2">
      <c r="A10082" s="28">
        <v>10081</v>
      </c>
      <c r="B10082" s="28" t="e">
        <f>interpola(#REF!,CURVA!$B$6:$B$20,CURVA!$G$6:$G$20)</f>
        <v>#VALUE!</v>
      </c>
      <c r="C10082" s="29" t="e">
        <f t="shared" si="157"/>
        <v>#VALUE!</v>
      </c>
      <c r="E10082" t="e">
        <f>cubic_spline(CURVA!$B$6:$B$20,CURVA!$G$6:$G$20,#REF!)</f>
        <v>#VALUE!</v>
      </c>
    </row>
    <row r="10083" spans="1:5" x14ac:dyDescent="0.2">
      <c r="A10083" s="28">
        <v>10082</v>
      </c>
      <c r="B10083" s="28" t="e">
        <f>interpola(#REF!,CURVA!$B$6:$B$20,CURVA!$G$6:$G$20)</f>
        <v>#VALUE!</v>
      </c>
      <c r="C10083" s="29" t="e">
        <f t="shared" si="157"/>
        <v>#VALUE!</v>
      </c>
      <c r="E10083" t="e">
        <f>cubic_spline(CURVA!$B$6:$B$20,CURVA!$G$6:$G$20,#REF!)</f>
        <v>#VALUE!</v>
      </c>
    </row>
    <row r="10084" spans="1:5" x14ac:dyDescent="0.2">
      <c r="A10084" s="28">
        <v>10083</v>
      </c>
      <c r="B10084" s="28" t="e">
        <f>interpola(#REF!,CURVA!$B$6:$B$20,CURVA!$G$6:$G$20)</f>
        <v>#VALUE!</v>
      </c>
      <c r="C10084" s="29" t="e">
        <f t="shared" si="157"/>
        <v>#VALUE!</v>
      </c>
      <c r="E10084" t="e">
        <f>cubic_spline(CURVA!$B$6:$B$20,CURVA!$G$6:$G$20,#REF!)</f>
        <v>#VALUE!</v>
      </c>
    </row>
    <row r="10085" spans="1:5" x14ac:dyDescent="0.2">
      <c r="A10085" s="28">
        <v>10084</v>
      </c>
      <c r="B10085" s="28" t="e">
        <f>interpola(#REF!,CURVA!$B$6:$B$20,CURVA!$G$6:$G$20)</f>
        <v>#VALUE!</v>
      </c>
      <c r="C10085" s="29" t="e">
        <f t="shared" si="157"/>
        <v>#VALUE!</v>
      </c>
      <c r="E10085" t="e">
        <f>cubic_spline(CURVA!$B$6:$B$20,CURVA!$G$6:$G$20,#REF!)</f>
        <v>#VALUE!</v>
      </c>
    </row>
    <row r="10086" spans="1:5" x14ac:dyDescent="0.2">
      <c r="A10086" s="28">
        <v>10085</v>
      </c>
      <c r="B10086" s="28" t="e">
        <f>interpola(#REF!,CURVA!$B$6:$B$20,CURVA!$G$6:$G$20)</f>
        <v>#VALUE!</v>
      </c>
      <c r="C10086" s="29" t="e">
        <f t="shared" si="157"/>
        <v>#VALUE!</v>
      </c>
      <c r="E10086" t="e">
        <f>cubic_spline(CURVA!$B$6:$B$20,CURVA!$G$6:$G$20,#REF!)</f>
        <v>#VALUE!</v>
      </c>
    </row>
    <row r="10087" spans="1:5" x14ac:dyDescent="0.2">
      <c r="A10087" s="28">
        <v>10086</v>
      </c>
      <c r="B10087" s="28" t="e">
        <f>interpola(#REF!,CURVA!$B$6:$B$20,CURVA!$G$6:$G$20)</f>
        <v>#VALUE!</v>
      </c>
      <c r="C10087" s="29" t="e">
        <f t="shared" si="157"/>
        <v>#VALUE!</v>
      </c>
      <c r="E10087" t="e">
        <f>cubic_spline(CURVA!$B$6:$B$20,CURVA!$G$6:$G$20,#REF!)</f>
        <v>#VALUE!</v>
      </c>
    </row>
    <row r="10088" spans="1:5" x14ac:dyDescent="0.2">
      <c r="A10088" s="28">
        <v>10087</v>
      </c>
      <c r="B10088" s="28" t="e">
        <f>interpola(#REF!,CURVA!$B$6:$B$20,CURVA!$G$6:$G$20)</f>
        <v>#VALUE!</v>
      </c>
      <c r="C10088" s="29" t="e">
        <f t="shared" si="157"/>
        <v>#VALUE!</v>
      </c>
      <c r="E10088" t="e">
        <f>cubic_spline(CURVA!$B$6:$B$20,CURVA!$G$6:$G$20,#REF!)</f>
        <v>#VALUE!</v>
      </c>
    </row>
    <row r="10089" spans="1:5" x14ac:dyDescent="0.2">
      <c r="A10089" s="28">
        <v>10088</v>
      </c>
      <c r="B10089" s="28" t="e">
        <f>interpola(#REF!,CURVA!$B$6:$B$20,CURVA!$G$6:$G$20)</f>
        <v>#VALUE!</v>
      </c>
      <c r="C10089" s="29" t="e">
        <f t="shared" si="157"/>
        <v>#VALUE!</v>
      </c>
      <c r="E10089" t="e">
        <f>cubic_spline(CURVA!$B$6:$B$20,CURVA!$G$6:$G$20,#REF!)</f>
        <v>#VALUE!</v>
      </c>
    </row>
    <row r="10090" spans="1:5" x14ac:dyDescent="0.2">
      <c r="A10090" s="28">
        <v>10089</v>
      </c>
      <c r="B10090" s="28" t="e">
        <f>interpola(#REF!,CURVA!$B$6:$B$20,CURVA!$G$6:$G$20)</f>
        <v>#VALUE!</v>
      </c>
      <c r="C10090" s="29" t="e">
        <f t="shared" si="157"/>
        <v>#VALUE!</v>
      </c>
      <c r="E10090" t="e">
        <f>cubic_spline(CURVA!$B$6:$B$20,CURVA!$G$6:$G$20,#REF!)</f>
        <v>#VALUE!</v>
      </c>
    </row>
    <row r="10091" spans="1:5" x14ac:dyDescent="0.2">
      <c r="A10091" s="28">
        <v>10090</v>
      </c>
      <c r="B10091" s="28" t="e">
        <f>interpola(#REF!,CURVA!$B$6:$B$20,CURVA!$G$6:$G$20)</f>
        <v>#VALUE!</v>
      </c>
      <c r="C10091" s="29" t="e">
        <f t="shared" si="157"/>
        <v>#VALUE!</v>
      </c>
      <c r="E10091" t="e">
        <f>cubic_spline(CURVA!$B$6:$B$20,CURVA!$G$6:$G$20,#REF!)</f>
        <v>#VALUE!</v>
      </c>
    </row>
    <row r="10092" spans="1:5" x14ac:dyDescent="0.2">
      <c r="A10092" s="28">
        <v>10091</v>
      </c>
      <c r="B10092" s="28" t="e">
        <f>interpola(#REF!,CURVA!$B$6:$B$20,CURVA!$G$6:$G$20)</f>
        <v>#VALUE!</v>
      </c>
      <c r="C10092" s="29" t="e">
        <f t="shared" si="157"/>
        <v>#VALUE!</v>
      </c>
      <c r="E10092" t="e">
        <f>cubic_spline(CURVA!$B$6:$B$20,CURVA!$G$6:$G$20,#REF!)</f>
        <v>#VALUE!</v>
      </c>
    </row>
    <row r="10093" spans="1:5" x14ac:dyDescent="0.2">
      <c r="A10093" s="28">
        <v>10092</v>
      </c>
      <c r="B10093" s="28" t="e">
        <f>interpola(#REF!,CURVA!$B$6:$B$20,CURVA!$G$6:$G$20)</f>
        <v>#VALUE!</v>
      </c>
      <c r="C10093" s="29" t="e">
        <f t="shared" si="157"/>
        <v>#VALUE!</v>
      </c>
      <c r="E10093" t="e">
        <f>cubic_spline(CURVA!$B$6:$B$20,CURVA!$G$6:$G$20,#REF!)</f>
        <v>#VALUE!</v>
      </c>
    </row>
    <row r="10094" spans="1:5" x14ac:dyDescent="0.2">
      <c r="A10094" s="28">
        <v>10093</v>
      </c>
      <c r="B10094" s="28" t="e">
        <f>interpola(#REF!,CURVA!$B$6:$B$20,CURVA!$G$6:$G$20)</f>
        <v>#VALUE!</v>
      </c>
      <c r="C10094" s="29" t="e">
        <f t="shared" si="157"/>
        <v>#VALUE!</v>
      </c>
      <c r="E10094" t="e">
        <f>cubic_spline(CURVA!$B$6:$B$20,CURVA!$G$6:$G$20,#REF!)</f>
        <v>#VALUE!</v>
      </c>
    </row>
    <row r="10095" spans="1:5" x14ac:dyDescent="0.2">
      <c r="A10095" s="28">
        <v>10094</v>
      </c>
      <c r="B10095" s="28" t="e">
        <f>interpola(#REF!,CURVA!$B$6:$B$20,CURVA!$G$6:$G$20)</f>
        <v>#VALUE!</v>
      </c>
      <c r="C10095" s="29" t="e">
        <f t="shared" si="157"/>
        <v>#VALUE!</v>
      </c>
      <c r="E10095" t="e">
        <f>cubic_spline(CURVA!$B$6:$B$20,CURVA!$G$6:$G$20,#REF!)</f>
        <v>#VALUE!</v>
      </c>
    </row>
    <row r="10096" spans="1:5" x14ac:dyDescent="0.2">
      <c r="A10096" s="28">
        <v>10095</v>
      </c>
      <c r="B10096" s="28" t="e">
        <f>interpola(#REF!,CURVA!$B$6:$B$20,CURVA!$G$6:$G$20)</f>
        <v>#VALUE!</v>
      </c>
      <c r="C10096" s="29" t="e">
        <f t="shared" si="157"/>
        <v>#VALUE!</v>
      </c>
      <c r="E10096" t="e">
        <f>cubic_spline(CURVA!$B$6:$B$20,CURVA!$G$6:$G$20,#REF!)</f>
        <v>#VALUE!</v>
      </c>
    </row>
    <row r="10097" spans="1:5" x14ac:dyDescent="0.2">
      <c r="A10097" s="28">
        <v>10096</v>
      </c>
      <c r="B10097" s="28" t="e">
        <f>interpola(#REF!,CURVA!$B$6:$B$20,CURVA!$G$6:$G$20)</f>
        <v>#VALUE!</v>
      </c>
      <c r="C10097" s="29" t="e">
        <f t="shared" si="157"/>
        <v>#VALUE!</v>
      </c>
      <c r="E10097" t="e">
        <f>cubic_spline(CURVA!$B$6:$B$20,CURVA!$G$6:$G$20,#REF!)</f>
        <v>#VALUE!</v>
      </c>
    </row>
    <row r="10098" spans="1:5" x14ac:dyDescent="0.2">
      <c r="A10098" s="28">
        <v>10097</v>
      </c>
      <c r="B10098" s="28" t="e">
        <f>interpola(#REF!,CURVA!$B$6:$B$20,CURVA!$G$6:$G$20)</f>
        <v>#VALUE!</v>
      </c>
      <c r="C10098" s="29" t="e">
        <f t="shared" si="157"/>
        <v>#VALUE!</v>
      </c>
      <c r="E10098" t="e">
        <f>cubic_spline(CURVA!$B$6:$B$20,CURVA!$G$6:$G$20,#REF!)</f>
        <v>#VALUE!</v>
      </c>
    </row>
    <row r="10099" spans="1:5" x14ac:dyDescent="0.2">
      <c r="A10099" s="28">
        <v>10098</v>
      </c>
      <c r="B10099" s="28" t="e">
        <f>interpola(#REF!,CURVA!$B$6:$B$20,CURVA!$G$6:$G$20)</f>
        <v>#VALUE!</v>
      </c>
      <c r="C10099" s="29" t="e">
        <f t="shared" si="157"/>
        <v>#VALUE!</v>
      </c>
      <c r="E10099" t="e">
        <f>cubic_spline(CURVA!$B$6:$B$20,CURVA!$G$6:$G$20,#REF!)</f>
        <v>#VALUE!</v>
      </c>
    </row>
    <row r="10100" spans="1:5" x14ac:dyDescent="0.2">
      <c r="A10100" s="28">
        <v>10099</v>
      </c>
      <c r="B10100" s="28" t="e">
        <f>interpola(#REF!,CURVA!$B$6:$B$20,CURVA!$G$6:$G$20)</f>
        <v>#VALUE!</v>
      </c>
      <c r="C10100" s="29" t="e">
        <f t="shared" si="157"/>
        <v>#VALUE!</v>
      </c>
      <c r="E10100" t="e">
        <f>cubic_spline(CURVA!$B$6:$B$20,CURVA!$G$6:$G$20,#REF!)</f>
        <v>#VALUE!</v>
      </c>
    </row>
    <row r="10101" spans="1:5" x14ac:dyDescent="0.2">
      <c r="A10101" s="28">
        <v>10100</v>
      </c>
      <c r="B10101" s="28" t="e">
        <f>interpola(#REF!,CURVA!$B$6:$B$20,CURVA!$G$6:$G$20)</f>
        <v>#VALUE!</v>
      </c>
      <c r="C10101" s="29" t="e">
        <f t="shared" si="157"/>
        <v>#VALUE!</v>
      </c>
      <c r="E10101" t="e">
        <f>cubic_spline(CURVA!$B$6:$B$20,CURVA!$G$6:$G$20,#REF!)</f>
        <v>#VALUE!</v>
      </c>
    </row>
    <row r="10102" spans="1:5" x14ac:dyDescent="0.2">
      <c r="A10102" s="28">
        <v>10101</v>
      </c>
      <c r="B10102" s="28" t="e">
        <f>interpola(#REF!,CURVA!$B$6:$B$20,CURVA!$G$6:$G$20)</f>
        <v>#VALUE!</v>
      </c>
      <c r="C10102" s="29" t="e">
        <f t="shared" si="157"/>
        <v>#VALUE!</v>
      </c>
      <c r="E10102" t="e">
        <f>cubic_spline(CURVA!$B$6:$B$20,CURVA!$G$6:$G$20,#REF!)</f>
        <v>#VALUE!</v>
      </c>
    </row>
    <row r="10103" spans="1:5" x14ac:dyDescent="0.2">
      <c r="A10103" s="28">
        <v>10102</v>
      </c>
      <c r="B10103" s="28" t="e">
        <f>interpola(#REF!,CURVA!$B$6:$B$20,CURVA!$G$6:$G$20)</f>
        <v>#VALUE!</v>
      </c>
      <c r="C10103" s="29" t="e">
        <f t="shared" si="157"/>
        <v>#VALUE!</v>
      </c>
      <c r="E10103" t="e">
        <f>cubic_spline(CURVA!$B$6:$B$20,CURVA!$G$6:$G$20,#REF!)</f>
        <v>#VALUE!</v>
      </c>
    </row>
    <row r="10104" spans="1:5" x14ac:dyDescent="0.2">
      <c r="A10104" s="28">
        <v>10103</v>
      </c>
      <c r="B10104" s="28" t="e">
        <f>interpola(#REF!,CURVA!$B$6:$B$20,CURVA!$G$6:$G$20)</f>
        <v>#VALUE!</v>
      </c>
      <c r="C10104" s="29" t="e">
        <f t="shared" si="157"/>
        <v>#VALUE!</v>
      </c>
      <c r="E10104" t="e">
        <f>cubic_spline(CURVA!$B$6:$B$20,CURVA!$G$6:$G$20,#REF!)</f>
        <v>#VALUE!</v>
      </c>
    </row>
    <row r="10105" spans="1:5" x14ac:dyDescent="0.2">
      <c r="A10105" s="28">
        <v>10104</v>
      </c>
      <c r="B10105" s="28" t="e">
        <f>interpola(#REF!,CURVA!$B$6:$B$20,CURVA!$G$6:$G$20)</f>
        <v>#VALUE!</v>
      </c>
      <c r="C10105" s="29" t="e">
        <f t="shared" si="157"/>
        <v>#VALUE!</v>
      </c>
      <c r="E10105" t="e">
        <f>cubic_spline(CURVA!$B$6:$B$20,CURVA!$G$6:$G$20,#REF!)</f>
        <v>#VALUE!</v>
      </c>
    </row>
    <row r="10106" spans="1:5" x14ac:dyDescent="0.2">
      <c r="A10106" s="28">
        <v>10105</v>
      </c>
      <c r="B10106" s="28" t="e">
        <f>interpola(#REF!,CURVA!$B$6:$B$20,CURVA!$G$6:$G$20)</f>
        <v>#VALUE!</v>
      </c>
      <c r="C10106" s="29" t="e">
        <f t="shared" si="157"/>
        <v>#VALUE!</v>
      </c>
      <c r="E10106" t="e">
        <f>cubic_spline(CURVA!$B$6:$B$20,CURVA!$G$6:$G$20,#REF!)</f>
        <v>#VALUE!</v>
      </c>
    </row>
    <row r="10107" spans="1:5" x14ac:dyDescent="0.2">
      <c r="A10107" s="28">
        <v>10106</v>
      </c>
      <c r="B10107" s="28" t="e">
        <f>interpola(#REF!,CURVA!$B$6:$B$20,CURVA!$G$6:$G$20)</f>
        <v>#VALUE!</v>
      </c>
      <c r="C10107" s="29" t="e">
        <f t="shared" si="157"/>
        <v>#VALUE!</v>
      </c>
      <c r="E10107" t="e">
        <f>cubic_spline(CURVA!$B$6:$B$20,CURVA!$G$6:$G$20,#REF!)</f>
        <v>#VALUE!</v>
      </c>
    </row>
    <row r="10108" spans="1:5" x14ac:dyDescent="0.2">
      <c r="A10108" s="28">
        <v>10107</v>
      </c>
      <c r="B10108" s="28" t="e">
        <f>interpola(#REF!,CURVA!$B$6:$B$20,CURVA!$G$6:$G$20)</f>
        <v>#VALUE!</v>
      </c>
      <c r="C10108" s="29" t="e">
        <f t="shared" si="157"/>
        <v>#VALUE!</v>
      </c>
      <c r="E10108" t="e">
        <f>cubic_spline(CURVA!$B$6:$B$20,CURVA!$G$6:$G$20,#REF!)</f>
        <v>#VALUE!</v>
      </c>
    </row>
    <row r="10109" spans="1:5" x14ac:dyDescent="0.2">
      <c r="A10109" s="28">
        <v>10108</v>
      </c>
      <c r="B10109" s="28" t="e">
        <f>interpola(#REF!,CURVA!$B$6:$B$20,CURVA!$G$6:$G$20)</f>
        <v>#VALUE!</v>
      </c>
      <c r="C10109" s="29" t="e">
        <f t="shared" si="157"/>
        <v>#VALUE!</v>
      </c>
      <c r="E10109" t="e">
        <f>cubic_spline(CURVA!$B$6:$B$20,CURVA!$G$6:$G$20,#REF!)</f>
        <v>#VALUE!</v>
      </c>
    </row>
    <row r="10110" spans="1:5" x14ac:dyDescent="0.2">
      <c r="A10110" s="28">
        <v>10109</v>
      </c>
      <c r="B10110" s="28" t="e">
        <f>interpola(#REF!,CURVA!$B$6:$B$20,CURVA!$G$6:$G$20)</f>
        <v>#VALUE!</v>
      </c>
      <c r="C10110" s="29" t="e">
        <f t="shared" si="157"/>
        <v>#VALUE!</v>
      </c>
      <c r="E10110" t="e">
        <f>cubic_spline(CURVA!$B$6:$B$20,CURVA!$G$6:$G$20,#REF!)</f>
        <v>#VALUE!</v>
      </c>
    </row>
    <row r="10111" spans="1:5" x14ac:dyDescent="0.2">
      <c r="A10111" s="28">
        <v>10110</v>
      </c>
      <c r="B10111" s="28" t="e">
        <f>interpola(#REF!,CURVA!$B$6:$B$20,CURVA!$G$6:$G$20)</f>
        <v>#VALUE!</v>
      </c>
      <c r="C10111" s="29" t="e">
        <f t="shared" si="157"/>
        <v>#VALUE!</v>
      </c>
      <c r="E10111" t="e">
        <f>cubic_spline(CURVA!$B$6:$B$20,CURVA!$G$6:$G$20,#REF!)</f>
        <v>#VALUE!</v>
      </c>
    </row>
    <row r="10112" spans="1:5" x14ac:dyDescent="0.2">
      <c r="A10112" s="28">
        <v>10111</v>
      </c>
      <c r="B10112" s="28" t="e">
        <f>interpola(#REF!,CURVA!$B$6:$B$20,CURVA!$G$6:$G$20)</f>
        <v>#VALUE!</v>
      </c>
      <c r="C10112" s="29" t="e">
        <f t="shared" si="157"/>
        <v>#VALUE!</v>
      </c>
      <c r="E10112" t="e">
        <f>cubic_spline(CURVA!$B$6:$B$20,CURVA!$G$6:$G$20,#REF!)</f>
        <v>#VALUE!</v>
      </c>
    </row>
    <row r="10113" spans="1:5" x14ac:dyDescent="0.2">
      <c r="A10113" s="28">
        <v>10112</v>
      </c>
      <c r="B10113" s="28" t="e">
        <f>interpola(#REF!,CURVA!$B$6:$B$20,CURVA!$G$6:$G$20)</f>
        <v>#VALUE!</v>
      </c>
      <c r="C10113" s="29" t="e">
        <f t="shared" si="157"/>
        <v>#VALUE!</v>
      </c>
      <c r="E10113" t="e">
        <f>cubic_spline(CURVA!$B$6:$B$20,CURVA!$G$6:$G$20,#REF!)</f>
        <v>#VALUE!</v>
      </c>
    </row>
    <row r="10114" spans="1:5" x14ac:dyDescent="0.2">
      <c r="A10114" s="28">
        <v>10113</v>
      </c>
      <c r="B10114" s="28" t="e">
        <f>interpola(#REF!,CURVA!$B$6:$B$20,CURVA!$G$6:$G$20)</f>
        <v>#VALUE!</v>
      </c>
      <c r="C10114" s="29" t="e">
        <f t="shared" ref="C10114:C10177" si="158">(EXP(B10114*A10114/360)-1)*360/A10114</f>
        <v>#VALUE!</v>
      </c>
      <c r="E10114" t="e">
        <f>cubic_spline(CURVA!$B$6:$B$20,CURVA!$G$6:$G$20,#REF!)</f>
        <v>#VALUE!</v>
      </c>
    </row>
    <row r="10115" spans="1:5" x14ac:dyDescent="0.2">
      <c r="A10115" s="28">
        <v>10114</v>
      </c>
      <c r="B10115" s="28" t="e">
        <f>interpola(#REF!,CURVA!$B$6:$B$20,CURVA!$G$6:$G$20)</f>
        <v>#VALUE!</v>
      </c>
      <c r="C10115" s="29" t="e">
        <f t="shared" si="158"/>
        <v>#VALUE!</v>
      </c>
      <c r="E10115" t="e">
        <f>cubic_spline(CURVA!$B$6:$B$20,CURVA!$G$6:$G$20,#REF!)</f>
        <v>#VALUE!</v>
      </c>
    </row>
    <row r="10116" spans="1:5" x14ac:dyDescent="0.2">
      <c r="A10116" s="28">
        <v>10115</v>
      </c>
      <c r="B10116" s="28" t="e">
        <f>interpola(#REF!,CURVA!$B$6:$B$20,CURVA!$G$6:$G$20)</f>
        <v>#VALUE!</v>
      </c>
      <c r="C10116" s="29" t="e">
        <f t="shared" si="158"/>
        <v>#VALUE!</v>
      </c>
      <c r="E10116" t="e">
        <f>cubic_spline(CURVA!$B$6:$B$20,CURVA!$G$6:$G$20,#REF!)</f>
        <v>#VALUE!</v>
      </c>
    </row>
    <row r="10117" spans="1:5" x14ac:dyDescent="0.2">
      <c r="A10117" s="28">
        <v>10116</v>
      </c>
      <c r="B10117" s="28" t="e">
        <f>interpola(#REF!,CURVA!$B$6:$B$20,CURVA!$G$6:$G$20)</f>
        <v>#VALUE!</v>
      </c>
      <c r="C10117" s="29" t="e">
        <f t="shared" si="158"/>
        <v>#VALUE!</v>
      </c>
      <c r="E10117" t="e">
        <f>cubic_spline(CURVA!$B$6:$B$20,CURVA!$G$6:$G$20,#REF!)</f>
        <v>#VALUE!</v>
      </c>
    </row>
    <row r="10118" spans="1:5" x14ac:dyDescent="0.2">
      <c r="A10118" s="28">
        <v>10117</v>
      </c>
      <c r="B10118" s="28" t="e">
        <f>interpola(#REF!,CURVA!$B$6:$B$20,CURVA!$G$6:$G$20)</f>
        <v>#VALUE!</v>
      </c>
      <c r="C10118" s="29" t="e">
        <f t="shared" si="158"/>
        <v>#VALUE!</v>
      </c>
      <c r="E10118" t="e">
        <f>cubic_spline(CURVA!$B$6:$B$20,CURVA!$G$6:$G$20,#REF!)</f>
        <v>#VALUE!</v>
      </c>
    </row>
    <row r="10119" spans="1:5" x14ac:dyDescent="0.2">
      <c r="A10119" s="28">
        <v>10118</v>
      </c>
      <c r="B10119" s="28" t="e">
        <f>interpola(#REF!,CURVA!$B$6:$B$20,CURVA!$G$6:$G$20)</f>
        <v>#VALUE!</v>
      </c>
      <c r="C10119" s="29" t="e">
        <f t="shared" si="158"/>
        <v>#VALUE!</v>
      </c>
      <c r="E10119" t="e">
        <f>cubic_spline(CURVA!$B$6:$B$20,CURVA!$G$6:$G$20,#REF!)</f>
        <v>#VALUE!</v>
      </c>
    </row>
    <row r="10120" spans="1:5" x14ac:dyDescent="0.2">
      <c r="A10120" s="28">
        <v>10119</v>
      </c>
      <c r="B10120" s="28" t="e">
        <f>interpola(#REF!,CURVA!$B$6:$B$20,CURVA!$G$6:$G$20)</f>
        <v>#VALUE!</v>
      </c>
      <c r="C10120" s="29" t="e">
        <f t="shared" si="158"/>
        <v>#VALUE!</v>
      </c>
      <c r="E10120" t="e">
        <f>cubic_spline(CURVA!$B$6:$B$20,CURVA!$G$6:$G$20,#REF!)</f>
        <v>#VALUE!</v>
      </c>
    </row>
    <row r="10121" spans="1:5" x14ac:dyDescent="0.2">
      <c r="A10121" s="28">
        <v>10120</v>
      </c>
      <c r="B10121" s="28" t="e">
        <f>interpola(#REF!,CURVA!$B$6:$B$20,CURVA!$G$6:$G$20)</f>
        <v>#VALUE!</v>
      </c>
      <c r="C10121" s="29" t="e">
        <f t="shared" si="158"/>
        <v>#VALUE!</v>
      </c>
      <c r="E10121" t="e">
        <f>cubic_spline(CURVA!$B$6:$B$20,CURVA!$G$6:$G$20,#REF!)</f>
        <v>#VALUE!</v>
      </c>
    </row>
    <row r="10122" spans="1:5" x14ac:dyDescent="0.2">
      <c r="A10122" s="28">
        <v>10121</v>
      </c>
      <c r="B10122" s="28" t="e">
        <f>interpola(#REF!,CURVA!$B$6:$B$20,CURVA!$G$6:$G$20)</f>
        <v>#VALUE!</v>
      </c>
      <c r="C10122" s="29" t="e">
        <f t="shared" si="158"/>
        <v>#VALUE!</v>
      </c>
      <c r="E10122" t="e">
        <f>cubic_spline(CURVA!$B$6:$B$20,CURVA!$G$6:$G$20,#REF!)</f>
        <v>#VALUE!</v>
      </c>
    </row>
    <row r="10123" spans="1:5" x14ac:dyDescent="0.2">
      <c r="A10123" s="28">
        <v>10122</v>
      </c>
      <c r="B10123" s="28" t="e">
        <f>interpola(#REF!,CURVA!$B$6:$B$20,CURVA!$G$6:$G$20)</f>
        <v>#VALUE!</v>
      </c>
      <c r="C10123" s="29" t="e">
        <f t="shared" si="158"/>
        <v>#VALUE!</v>
      </c>
      <c r="E10123" t="e">
        <f>cubic_spline(CURVA!$B$6:$B$20,CURVA!$G$6:$G$20,#REF!)</f>
        <v>#VALUE!</v>
      </c>
    </row>
    <row r="10124" spans="1:5" x14ac:dyDescent="0.2">
      <c r="A10124" s="28">
        <v>10123</v>
      </c>
      <c r="B10124" s="28" t="e">
        <f>interpola(#REF!,CURVA!$B$6:$B$20,CURVA!$G$6:$G$20)</f>
        <v>#VALUE!</v>
      </c>
      <c r="C10124" s="29" t="e">
        <f t="shared" si="158"/>
        <v>#VALUE!</v>
      </c>
      <c r="E10124" t="e">
        <f>cubic_spline(CURVA!$B$6:$B$20,CURVA!$G$6:$G$20,#REF!)</f>
        <v>#VALUE!</v>
      </c>
    </row>
    <row r="10125" spans="1:5" x14ac:dyDescent="0.2">
      <c r="A10125" s="28">
        <v>10124</v>
      </c>
      <c r="B10125" s="28" t="e">
        <f>interpola(#REF!,CURVA!$B$6:$B$20,CURVA!$G$6:$G$20)</f>
        <v>#VALUE!</v>
      </c>
      <c r="C10125" s="29" t="e">
        <f t="shared" si="158"/>
        <v>#VALUE!</v>
      </c>
      <c r="E10125" t="e">
        <f>cubic_spline(CURVA!$B$6:$B$20,CURVA!$G$6:$G$20,#REF!)</f>
        <v>#VALUE!</v>
      </c>
    </row>
    <row r="10126" spans="1:5" x14ac:dyDescent="0.2">
      <c r="A10126" s="28">
        <v>10125</v>
      </c>
      <c r="B10126" s="28" t="e">
        <f>interpola(#REF!,CURVA!$B$6:$B$20,CURVA!$G$6:$G$20)</f>
        <v>#VALUE!</v>
      </c>
      <c r="C10126" s="29" t="e">
        <f t="shared" si="158"/>
        <v>#VALUE!</v>
      </c>
      <c r="E10126" t="e">
        <f>cubic_spline(CURVA!$B$6:$B$20,CURVA!$G$6:$G$20,#REF!)</f>
        <v>#VALUE!</v>
      </c>
    </row>
    <row r="10127" spans="1:5" x14ac:dyDescent="0.2">
      <c r="A10127" s="28">
        <v>10126</v>
      </c>
      <c r="B10127" s="28" t="e">
        <f>interpola(#REF!,CURVA!$B$6:$B$20,CURVA!$G$6:$G$20)</f>
        <v>#VALUE!</v>
      </c>
      <c r="C10127" s="29" t="e">
        <f t="shared" si="158"/>
        <v>#VALUE!</v>
      </c>
      <c r="E10127" t="e">
        <f>cubic_spline(CURVA!$B$6:$B$20,CURVA!$G$6:$G$20,#REF!)</f>
        <v>#VALUE!</v>
      </c>
    </row>
    <row r="10128" spans="1:5" x14ac:dyDescent="0.2">
      <c r="A10128" s="28">
        <v>10127</v>
      </c>
      <c r="B10128" s="28" t="e">
        <f>interpola(#REF!,CURVA!$B$6:$B$20,CURVA!$G$6:$G$20)</f>
        <v>#VALUE!</v>
      </c>
      <c r="C10128" s="29" t="e">
        <f t="shared" si="158"/>
        <v>#VALUE!</v>
      </c>
      <c r="E10128" t="e">
        <f>cubic_spline(CURVA!$B$6:$B$20,CURVA!$G$6:$G$20,#REF!)</f>
        <v>#VALUE!</v>
      </c>
    </row>
    <row r="10129" spans="1:5" x14ac:dyDescent="0.2">
      <c r="A10129" s="28">
        <v>10128</v>
      </c>
      <c r="B10129" s="28" t="e">
        <f>interpola(#REF!,CURVA!$B$6:$B$20,CURVA!$G$6:$G$20)</f>
        <v>#VALUE!</v>
      </c>
      <c r="C10129" s="29" t="e">
        <f t="shared" si="158"/>
        <v>#VALUE!</v>
      </c>
      <c r="E10129" t="e">
        <f>cubic_spline(CURVA!$B$6:$B$20,CURVA!$G$6:$G$20,#REF!)</f>
        <v>#VALUE!</v>
      </c>
    </row>
    <row r="10130" spans="1:5" x14ac:dyDescent="0.2">
      <c r="A10130" s="28">
        <v>10129</v>
      </c>
      <c r="B10130" s="28" t="e">
        <f>interpola(#REF!,CURVA!$B$6:$B$20,CURVA!$G$6:$G$20)</f>
        <v>#VALUE!</v>
      </c>
      <c r="C10130" s="29" t="e">
        <f t="shared" si="158"/>
        <v>#VALUE!</v>
      </c>
      <c r="E10130" t="e">
        <f>cubic_spline(CURVA!$B$6:$B$20,CURVA!$G$6:$G$20,#REF!)</f>
        <v>#VALUE!</v>
      </c>
    </row>
    <row r="10131" spans="1:5" x14ac:dyDescent="0.2">
      <c r="A10131" s="28">
        <v>10130</v>
      </c>
      <c r="B10131" s="28" t="e">
        <f>interpola(#REF!,CURVA!$B$6:$B$20,CURVA!$G$6:$G$20)</f>
        <v>#VALUE!</v>
      </c>
      <c r="C10131" s="29" t="e">
        <f t="shared" si="158"/>
        <v>#VALUE!</v>
      </c>
      <c r="E10131" t="e">
        <f>cubic_spline(CURVA!$B$6:$B$20,CURVA!$G$6:$G$20,#REF!)</f>
        <v>#VALUE!</v>
      </c>
    </row>
    <row r="10132" spans="1:5" x14ac:dyDescent="0.2">
      <c r="A10132" s="28">
        <v>10131</v>
      </c>
      <c r="B10132" s="28" t="e">
        <f>interpola(#REF!,CURVA!$B$6:$B$20,CURVA!$G$6:$G$20)</f>
        <v>#VALUE!</v>
      </c>
      <c r="C10132" s="29" t="e">
        <f t="shared" si="158"/>
        <v>#VALUE!</v>
      </c>
      <c r="E10132" t="e">
        <f>cubic_spline(CURVA!$B$6:$B$20,CURVA!$G$6:$G$20,#REF!)</f>
        <v>#VALUE!</v>
      </c>
    </row>
    <row r="10133" spans="1:5" x14ac:dyDescent="0.2">
      <c r="A10133" s="28">
        <v>10132</v>
      </c>
      <c r="B10133" s="28" t="e">
        <f>interpola(#REF!,CURVA!$B$6:$B$20,CURVA!$G$6:$G$20)</f>
        <v>#VALUE!</v>
      </c>
      <c r="C10133" s="29" t="e">
        <f t="shared" si="158"/>
        <v>#VALUE!</v>
      </c>
      <c r="E10133" t="e">
        <f>cubic_spline(CURVA!$B$6:$B$20,CURVA!$G$6:$G$20,#REF!)</f>
        <v>#VALUE!</v>
      </c>
    </row>
    <row r="10134" spans="1:5" x14ac:dyDescent="0.2">
      <c r="A10134" s="28">
        <v>10133</v>
      </c>
      <c r="B10134" s="28" t="e">
        <f>interpola(#REF!,CURVA!$B$6:$B$20,CURVA!$G$6:$G$20)</f>
        <v>#VALUE!</v>
      </c>
      <c r="C10134" s="29" t="e">
        <f t="shared" si="158"/>
        <v>#VALUE!</v>
      </c>
      <c r="E10134" t="e">
        <f>cubic_spline(CURVA!$B$6:$B$20,CURVA!$G$6:$G$20,#REF!)</f>
        <v>#VALUE!</v>
      </c>
    </row>
    <row r="10135" spans="1:5" x14ac:dyDescent="0.2">
      <c r="A10135" s="28">
        <v>10134</v>
      </c>
      <c r="B10135" s="28" t="e">
        <f>interpola(#REF!,CURVA!$B$6:$B$20,CURVA!$G$6:$G$20)</f>
        <v>#VALUE!</v>
      </c>
      <c r="C10135" s="29" t="e">
        <f t="shared" si="158"/>
        <v>#VALUE!</v>
      </c>
      <c r="E10135" t="e">
        <f>cubic_spline(CURVA!$B$6:$B$20,CURVA!$G$6:$G$20,#REF!)</f>
        <v>#VALUE!</v>
      </c>
    </row>
    <row r="10136" spans="1:5" x14ac:dyDescent="0.2">
      <c r="A10136" s="28">
        <v>10135</v>
      </c>
      <c r="B10136" s="28" t="e">
        <f>interpola(#REF!,CURVA!$B$6:$B$20,CURVA!$G$6:$G$20)</f>
        <v>#VALUE!</v>
      </c>
      <c r="C10136" s="29" t="e">
        <f t="shared" si="158"/>
        <v>#VALUE!</v>
      </c>
      <c r="E10136" t="e">
        <f>cubic_spline(CURVA!$B$6:$B$20,CURVA!$G$6:$G$20,#REF!)</f>
        <v>#VALUE!</v>
      </c>
    </row>
    <row r="10137" spans="1:5" x14ac:dyDescent="0.2">
      <c r="A10137" s="28">
        <v>10136</v>
      </c>
      <c r="B10137" s="28" t="e">
        <f>interpola(#REF!,CURVA!$B$6:$B$20,CURVA!$G$6:$G$20)</f>
        <v>#VALUE!</v>
      </c>
      <c r="C10137" s="29" t="e">
        <f t="shared" si="158"/>
        <v>#VALUE!</v>
      </c>
      <c r="E10137" t="e">
        <f>cubic_spline(CURVA!$B$6:$B$20,CURVA!$G$6:$G$20,#REF!)</f>
        <v>#VALUE!</v>
      </c>
    </row>
    <row r="10138" spans="1:5" x14ac:dyDescent="0.2">
      <c r="A10138" s="28">
        <v>10137</v>
      </c>
      <c r="B10138" s="28" t="e">
        <f>interpola(#REF!,CURVA!$B$6:$B$20,CURVA!$G$6:$G$20)</f>
        <v>#VALUE!</v>
      </c>
      <c r="C10138" s="29" t="e">
        <f t="shared" si="158"/>
        <v>#VALUE!</v>
      </c>
      <c r="E10138" t="e">
        <f>cubic_spline(CURVA!$B$6:$B$20,CURVA!$G$6:$G$20,#REF!)</f>
        <v>#VALUE!</v>
      </c>
    </row>
    <row r="10139" spans="1:5" x14ac:dyDescent="0.2">
      <c r="A10139" s="28">
        <v>10138</v>
      </c>
      <c r="B10139" s="28" t="e">
        <f>interpola(#REF!,CURVA!$B$6:$B$20,CURVA!$G$6:$G$20)</f>
        <v>#VALUE!</v>
      </c>
      <c r="C10139" s="29" t="e">
        <f t="shared" si="158"/>
        <v>#VALUE!</v>
      </c>
      <c r="E10139" t="e">
        <f>cubic_spline(CURVA!$B$6:$B$20,CURVA!$G$6:$G$20,#REF!)</f>
        <v>#VALUE!</v>
      </c>
    </row>
    <row r="10140" spans="1:5" x14ac:dyDescent="0.2">
      <c r="A10140" s="28">
        <v>10139</v>
      </c>
      <c r="B10140" s="28" t="e">
        <f>interpola(#REF!,CURVA!$B$6:$B$20,CURVA!$G$6:$G$20)</f>
        <v>#VALUE!</v>
      </c>
      <c r="C10140" s="29" t="e">
        <f t="shared" si="158"/>
        <v>#VALUE!</v>
      </c>
      <c r="E10140" t="e">
        <f>cubic_spline(CURVA!$B$6:$B$20,CURVA!$G$6:$G$20,#REF!)</f>
        <v>#VALUE!</v>
      </c>
    </row>
    <row r="10141" spans="1:5" x14ac:dyDescent="0.2">
      <c r="A10141" s="28">
        <v>10140</v>
      </c>
      <c r="B10141" s="28" t="e">
        <f>interpola(#REF!,CURVA!$B$6:$B$20,CURVA!$G$6:$G$20)</f>
        <v>#VALUE!</v>
      </c>
      <c r="C10141" s="29" t="e">
        <f t="shared" si="158"/>
        <v>#VALUE!</v>
      </c>
      <c r="E10141" t="e">
        <f>cubic_spline(CURVA!$B$6:$B$20,CURVA!$G$6:$G$20,#REF!)</f>
        <v>#VALUE!</v>
      </c>
    </row>
    <row r="10142" spans="1:5" x14ac:dyDescent="0.2">
      <c r="A10142" s="28">
        <v>10141</v>
      </c>
      <c r="B10142" s="28" t="e">
        <f>interpola(#REF!,CURVA!$B$6:$B$20,CURVA!$G$6:$G$20)</f>
        <v>#VALUE!</v>
      </c>
      <c r="C10142" s="29" t="e">
        <f t="shared" si="158"/>
        <v>#VALUE!</v>
      </c>
      <c r="E10142" t="e">
        <f>cubic_spline(CURVA!$B$6:$B$20,CURVA!$G$6:$G$20,#REF!)</f>
        <v>#VALUE!</v>
      </c>
    </row>
    <row r="10143" spans="1:5" x14ac:dyDescent="0.2">
      <c r="A10143" s="28">
        <v>10142</v>
      </c>
      <c r="B10143" s="28" t="e">
        <f>interpola(#REF!,CURVA!$B$6:$B$20,CURVA!$G$6:$G$20)</f>
        <v>#VALUE!</v>
      </c>
      <c r="C10143" s="29" t="e">
        <f t="shared" si="158"/>
        <v>#VALUE!</v>
      </c>
      <c r="E10143" t="e">
        <f>cubic_spline(CURVA!$B$6:$B$20,CURVA!$G$6:$G$20,#REF!)</f>
        <v>#VALUE!</v>
      </c>
    </row>
    <row r="10144" spans="1:5" x14ac:dyDescent="0.2">
      <c r="A10144" s="28">
        <v>10143</v>
      </c>
      <c r="B10144" s="28" t="e">
        <f>interpola(#REF!,CURVA!$B$6:$B$20,CURVA!$G$6:$G$20)</f>
        <v>#VALUE!</v>
      </c>
      <c r="C10144" s="29" t="e">
        <f t="shared" si="158"/>
        <v>#VALUE!</v>
      </c>
      <c r="E10144" t="e">
        <f>cubic_spline(CURVA!$B$6:$B$20,CURVA!$G$6:$G$20,#REF!)</f>
        <v>#VALUE!</v>
      </c>
    </row>
    <row r="10145" spans="1:5" x14ac:dyDescent="0.2">
      <c r="A10145" s="28">
        <v>10144</v>
      </c>
      <c r="B10145" s="28" t="e">
        <f>interpola(#REF!,CURVA!$B$6:$B$20,CURVA!$G$6:$G$20)</f>
        <v>#VALUE!</v>
      </c>
      <c r="C10145" s="29" t="e">
        <f t="shared" si="158"/>
        <v>#VALUE!</v>
      </c>
      <c r="E10145" t="e">
        <f>cubic_spline(CURVA!$B$6:$B$20,CURVA!$G$6:$G$20,#REF!)</f>
        <v>#VALUE!</v>
      </c>
    </row>
    <row r="10146" spans="1:5" x14ac:dyDescent="0.2">
      <c r="A10146" s="28">
        <v>10145</v>
      </c>
      <c r="B10146" s="28" t="e">
        <f>interpola(#REF!,CURVA!$B$6:$B$20,CURVA!$G$6:$G$20)</f>
        <v>#VALUE!</v>
      </c>
      <c r="C10146" s="29" t="e">
        <f t="shared" si="158"/>
        <v>#VALUE!</v>
      </c>
      <c r="E10146" t="e">
        <f>cubic_spline(CURVA!$B$6:$B$20,CURVA!$G$6:$G$20,#REF!)</f>
        <v>#VALUE!</v>
      </c>
    </row>
    <row r="10147" spans="1:5" x14ac:dyDescent="0.2">
      <c r="A10147" s="28">
        <v>10146</v>
      </c>
      <c r="B10147" s="28" t="e">
        <f>interpola(#REF!,CURVA!$B$6:$B$20,CURVA!$G$6:$G$20)</f>
        <v>#VALUE!</v>
      </c>
      <c r="C10147" s="29" t="e">
        <f t="shared" si="158"/>
        <v>#VALUE!</v>
      </c>
      <c r="E10147" t="e">
        <f>cubic_spline(CURVA!$B$6:$B$20,CURVA!$G$6:$G$20,#REF!)</f>
        <v>#VALUE!</v>
      </c>
    </row>
    <row r="10148" spans="1:5" x14ac:dyDescent="0.2">
      <c r="A10148" s="28">
        <v>10147</v>
      </c>
      <c r="B10148" s="28" t="e">
        <f>interpola(#REF!,CURVA!$B$6:$B$20,CURVA!$G$6:$G$20)</f>
        <v>#VALUE!</v>
      </c>
      <c r="C10148" s="29" t="e">
        <f t="shared" si="158"/>
        <v>#VALUE!</v>
      </c>
      <c r="E10148" t="e">
        <f>cubic_spline(CURVA!$B$6:$B$20,CURVA!$G$6:$G$20,#REF!)</f>
        <v>#VALUE!</v>
      </c>
    </row>
    <row r="10149" spans="1:5" x14ac:dyDescent="0.2">
      <c r="A10149" s="28">
        <v>10148</v>
      </c>
      <c r="B10149" s="28" t="e">
        <f>interpola(#REF!,CURVA!$B$6:$B$20,CURVA!$G$6:$G$20)</f>
        <v>#VALUE!</v>
      </c>
      <c r="C10149" s="29" t="e">
        <f t="shared" si="158"/>
        <v>#VALUE!</v>
      </c>
      <c r="E10149" t="e">
        <f>cubic_spline(CURVA!$B$6:$B$20,CURVA!$G$6:$G$20,#REF!)</f>
        <v>#VALUE!</v>
      </c>
    </row>
    <row r="10150" spans="1:5" x14ac:dyDescent="0.2">
      <c r="A10150" s="28">
        <v>10149</v>
      </c>
      <c r="B10150" s="28" t="e">
        <f>interpola(#REF!,CURVA!$B$6:$B$20,CURVA!$G$6:$G$20)</f>
        <v>#VALUE!</v>
      </c>
      <c r="C10150" s="29" t="e">
        <f t="shared" si="158"/>
        <v>#VALUE!</v>
      </c>
      <c r="E10150" t="e">
        <f>cubic_spline(CURVA!$B$6:$B$20,CURVA!$G$6:$G$20,#REF!)</f>
        <v>#VALUE!</v>
      </c>
    </row>
    <row r="10151" spans="1:5" x14ac:dyDescent="0.2">
      <c r="A10151" s="28">
        <v>10150</v>
      </c>
      <c r="B10151" s="28" t="e">
        <f>interpola(#REF!,CURVA!$B$6:$B$20,CURVA!$G$6:$G$20)</f>
        <v>#VALUE!</v>
      </c>
      <c r="C10151" s="29" t="e">
        <f t="shared" si="158"/>
        <v>#VALUE!</v>
      </c>
      <c r="E10151" t="e">
        <f>cubic_spline(CURVA!$B$6:$B$20,CURVA!$G$6:$G$20,#REF!)</f>
        <v>#VALUE!</v>
      </c>
    </row>
    <row r="10152" spans="1:5" x14ac:dyDescent="0.2">
      <c r="A10152" s="28">
        <v>10151</v>
      </c>
      <c r="B10152" s="28" t="e">
        <f>interpola(#REF!,CURVA!$B$6:$B$20,CURVA!$G$6:$G$20)</f>
        <v>#VALUE!</v>
      </c>
      <c r="C10152" s="29" t="e">
        <f t="shared" si="158"/>
        <v>#VALUE!</v>
      </c>
      <c r="E10152" t="e">
        <f>cubic_spline(CURVA!$B$6:$B$20,CURVA!$G$6:$G$20,#REF!)</f>
        <v>#VALUE!</v>
      </c>
    </row>
    <row r="10153" spans="1:5" x14ac:dyDescent="0.2">
      <c r="A10153" s="28">
        <v>10152</v>
      </c>
      <c r="B10153" s="28" t="e">
        <f>interpola(#REF!,CURVA!$B$6:$B$20,CURVA!$G$6:$G$20)</f>
        <v>#VALUE!</v>
      </c>
      <c r="C10153" s="29" t="e">
        <f t="shared" si="158"/>
        <v>#VALUE!</v>
      </c>
      <c r="E10153" t="e">
        <f>cubic_spline(CURVA!$B$6:$B$20,CURVA!$G$6:$G$20,#REF!)</f>
        <v>#VALUE!</v>
      </c>
    </row>
    <row r="10154" spans="1:5" x14ac:dyDescent="0.2">
      <c r="A10154" s="28">
        <v>10153</v>
      </c>
      <c r="B10154" s="28" t="e">
        <f>interpola(#REF!,CURVA!$B$6:$B$20,CURVA!$G$6:$G$20)</f>
        <v>#VALUE!</v>
      </c>
      <c r="C10154" s="29" t="e">
        <f t="shared" si="158"/>
        <v>#VALUE!</v>
      </c>
      <c r="E10154" t="e">
        <f>cubic_spline(CURVA!$B$6:$B$20,CURVA!$G$6:$G$20,#REF!)</f>
        <v>#VALUE!</v>
      </c>
    </row>
    <row r="10155" spans="1:5" x14ac:dyDescent="0.2">
      <c r="A10155" s="28">
        <v>10154</v>
      </c>
      <c r="B10155" s="28" t="e">
        <f>interpola(#REF!,CURVA!$B$6:$B$20,CURVA!$G$6:$G$20)</f>
        <v>#VALUE!</v>
      </c>
      <c r="C10155" s="29" t="e">
        <f t="shared" si="158"/>
        <v>#VALUE!</v>
      </c>
      <c r="E10155" t="e">
        <f>cubic_spline(CURVA!$B$6:$B$20,CURVA!$G$6:$G$20,#REF!)</f>
        <v>#VALUE!</v>
      </c>
    </row>
    <row r="10156" spans="1:5" x14ac:dyDescent="0.2">
      <c r="A10156" s="28">
        <v>10155</v>
      </c>
      <c r="B10156" s="28" t="e">
        <f>interpola(#REF!,CURVA!$B$6:$B$20,CURVA!$G$6:$G$20)</f>
        <v>#VALUE!</v>
      </c>
      <c r="C10156" s="29" t="e">
        <f t="shared" si="158"/>
        <v>#VALUE!</v>
      </c>
      <c r="E10156" t="e">
        <f>cubic_spline(CURVA!$B$6:$B$20,CURVA!$G$6:$G$20,#REF!)</f>
        <v>#VALUE!</v>
      </c>
    </row>
    <row r="10157" spans="1:5" x14ac:dyDescent="0.2">
      <c r="A10157" s="28">
        <v>10156</v>
      </c>
      <c r="B10157" s="28" t="e">
        <f>interpola(#REF!,CURVA!$B$6:$B$20,CURVA!$G$6:$G$20)</f>
        <v>#VALUE!</v>
      </c>
      <c r="C10157" s="29" t="e">
        <f t="shared" si="158"/>
        <v>#VALUE!</v>
      </c>
      <c r="E10157" t="e">
        <f>cubic_spline(CURVA!$B$6:$B$20,CURVA!$G$6:$G$20,#REF!)</f>
        <v>#VALUE!</v>
      </c>
    </row>
    <row r="10158" spans="1:5" x14ac:dyDescent="0.2">
      <c r="A10158" s="28">
        <v>10157</v>
      </c>
      <c r="B10158" s="28" t="e">
        <f>interpola(#REF!,CURVA!$B$6:$B$20,CURVA!$G$6:$G$20)</f>
        <v>#VALUE!</v>
      </c>
      <c r="C10158" s="29" t="e">
        <f t="shared" si="158"/>
        <v>#VALUE!</v>
      </c>
      <c r="E10158" t="e">
        <f>cubic_spline(CURVA!$B$6:$B$20,CURVA!$G$6:$G$20,#REF!)</f>
        <v>#VALUE!</v>
      </c>
    </row>
    <row r="10159" spans="1:5" x14ac:dyDescent="0.2">
      <c r="A10159" s="28">
        <v>10158</v>
      </c>
      <c r="B10159" s="28" t="e">
        <f>interpola(#REF!,CURVA!$B$6:$B$20,CURVA!$G$6:$G$20)</f>
        <v>#VALUE!</v>
      </c>
      <c r="C10159" s="29" t="e">
        <f t="shared" si="158"/>
        <v>#VALUE!</v>
      </c>
      <c r="E10159" t="e">
        <f>cubic_spline(CURVA!$B$6:$B$20,CURVA!$G$6:$G$20,#REF!)</f>
        <v>#VALUE!</v>
      </c>
    </row>
    <row r="10160" spans="1:5" x14ac:dyDescent="0.2">
      <c r="A10160" s="28">
        <v>10159</v>
      </c>
      <c r="B10160" s="28" t="e">
        <f>interpola(#REF!,CURVA!$B$6:$B$20,CURVA!$G$6:$G$20)</f>
        <v>#VALUE!</v>
      </c>
      <c r="C10160" s="29" t="e">
        <f t="shared" si="158"/>
        <v>#VALUE!</v>
      </c>
      <c r="E10160" t="e">
        <f>cubic_spline(CURVA!$B$6:$B$20,CURVA!$G$6:$G$20,#REF!)</f>
        <v>#VALUE!</v>
      </c>
    </row>
    <row r="10161" spans="1:5" x14ac:dyDescent="0.2">
      <c r="A10161" s="28">
        <v>10160</v>
      </c>
      <c r="B10161" s="28" t="e">
        <f>interpola(#REF!,CURVA!$B$6:$B$20,CURVA!$G$6:$G$20)</f>
        <v>#VALUE!</v>
      </c>
      <c r="C10161" s="29" t="e">
        <f t="shared" si="158"/>
        <v>#VALUE!</v>
      </c>
      <c r="E10161" t="e">
        <f>cubic_spline(CURVA!$B$6:$B$20,CURVA!$G$6:$G$20,#REF!)</f>
        <v>#VALUE!</v>
      </c>
    </row>
    <row r="10162" spans="1:5" x14ac:dyDescent="0.2">
      <c r="A10162" s="28">
        <v>10161</v>
      </c>
      <c r="B10162" s="28" t="e">
        <f>interpola(#REF!,CURVA!$B$6:$B$20,CURVA!$G$6:$G$20)</f>
        <v>#VALUE!</v>
      </c>
      <c r="C10162" s="29" t="e">
        <f t="shared" si="158"/>
        <v>#VALUE!</v>
      </c>
      <c r="E10162" t="e">
        <f>cubic_spline(CURVA!$B$6:$B$20,CURVA!$G$6:$G$20,#REF!)</f>
        <v>#VALUE!</v>
      </c>
    </row>
    <row r="10163" spans="1:5" x14ac:dyDescent="0.2">
      <c r="A10163" s="28">
        <v>10162</v>
      </c>
      <c r="B10163" s="28" t="e">
        <f>interpola(#REF!,CURVA!$B$6:$B$20,CURVA!$G$6:$G$20)</f>
        <v>#VALUE!</v>
      </c>
      <c r="C10163" s="29" t="e">
        <f t="shared" si="158"/>
        <v>#VALUE!</v>
      </c>
      <c r="E10163" t="e">
        <f>cubic_spline(CURVA!$B$6:$B$20,CURVA!$G$6:$G$20,#REF!)</f>
        <v>#VALUE!</v>
      </c>
    </row>
    <row r="10164" spans="1:5" x14ac:dyDescent="0.2">
      <c r="A10164" s="28">
        <v>10163</v>
      </c>
      <c r="B10164" s="28" t="e">
        <f>interpola(#REF!,CURVA!$B$6:$B$20,CURVA!$G$6:$G$20)</f>
        <v>#VALUE!</v>
      </c>
      <c r="C10164" s="29" t="e">
        <f t="shared" si="158"/>
        <v>#VALUE!</v>
      </c>
      <c r="E10164" t="e">
        <f>cubic_spline(CURVA!$B$6:$B$20,CURVA!$G$6:$G$20,#REF!)</f>
        <v>#VALUE!</v>
      </c>
    </row>
    <row r="10165" spans="1:5" x14ac:dyDescent="0.2">
      <c r="A10165" s="28">
        <v>10164</v>
      </c>
      <c r="B10165" s="28" t="e">
        <f>interpola(#REF!,CURVA!$B$6:$B$20,CURVA!$G$6:$G$20)</f>
        <v>#VALUE!</v>
      </c>
      <c r="C10165" s="29" t="e">
        <f t="shared" si="158"/>
        <v>#VALUE!</v>
      </c>
      <c r="E10165" t="e">
        <f>cubic_spline(CURVA!$B$6:$B$20,CURVA!$G$6:$G$20,#REF!)</f>
        <v>#VALUE!</v>
      </c>
    </row>
    <row r="10166" spans="1:5" x14ac:dyDescent="0.2">
      <c r="A10166" s="28">
        <v>10165</v>
      </c>
      <c r="B10166" s="28" t="e">
        <f>interpola(#REF!,CURVA!$B$6:$B$20,CURVA!$G$6:$G$20)</f>
        <v>#VALUE!</v>
      </c>
      <c r="C10166" s="29" t="e">
        <f t="shared" si="158"/>
        <v>#VALUE!</v>
      </c>
      <c r="E10166" t="e">
        <f>cubic_spline(CURVA!$B$6:$B$20,CURVA!$G$6:$G$20,#REF!)</f>
        <v>#VALUE!</v>
      </c>
    </row>
    <row r="10167" spans="1:5" x14ac:dyDescent="0.2">
      <c r="A10167" s="28">
        <v>10166</v>
      </c>
      <c r="B10167" s="28" t="e">
        <f>interpola(#REF!,CURVA!$B$6:$B$20,CURVA!$G$6:$G$20)</f>
        <v>#VALUE!</v>
      </c>
      <c r="C10167" s="29" t="e">
        <f t="shared" si="158"/>
        <v>#VALUE!</v>
      </c>
      <c r="E10167" t="e">
        <f>cubic_spline(CURVA!$B$6:$B$20,CURVA!$G$6:$G$20,#REF!)</f>
        <v>#VALUE!</v>
      </c>
    </row>
    <row r="10168" spans="1:5" x14ac:dyDescent="0.2">
      <c r="A10168" s="28">
        <v>10167</v>
      </c>
      <c r="B10168" s="28" t="e">
        <f>interpola(#REF!,CURVA!$B$6:$B$20,CURVA!$G$6:$G$20)</f>
        <v>#VALUE!</v>
      </c>
      <c r="C10168" s="29" t="e">
        <f t="shared" si="158"/>
        <v>#VALUE!</v>
      </c>
      <c r="E10168" t="e">
        <f>cubic_spline(CURVA!$B$6:$B$20,CURVA!$G$6:$G$20,#REF!)</f>
        <v>#VALUE!</v>
      </c>
    </row>
    <row r="10169" spans="1:5" x14ac:dyDescent="0.2">
      <c r="A10169" s="28">
        <v>10168</v>
      </c>
      <c r="B10169" s="28" t="e">
        <f>interpola(#REF!,CURVA!$B$6:$B$20,CURVA!$G$6:$G$20)</f>
        <v>#VALUE!</v>
      </c>
      <c r="C10169" s="29" t="e">
        <f t="shared" si="158"/>
        <v>#VALUE!</v>
      </c>
      <c r="E10169" t="e">
        <f>cubic_spline(CURVA!$B$6:$B$20,CURVA!$G$6:$G$20,#REF!)</f>
        <v>#VALUE!</v>
      </c>
    </row>
    <row r="10170" spans="1:5" x14ac:dyDescent="0.2">
      <c r="A10170" s="28">
        <v>10169</v>
      </c>
      <c r="B10170" s="28" t="e">
        <f>interpola(#REF!,CURVA!$B$6:$B$20,CURVA!$G$6:$G$20)</f>
        <v>#VALUE!</v>
      </c>
      <c r="C10170" s="29" t="e">
        <f t="shared" si="158"/>
        <v>#VALUE!</v>
      </c>
      <c r="E10170" t="e">
        <f>cubic_spline(CURVA!$B$6:$B$20,CURVA!$G$6:$G$20,#REF!)</f>
        <v>#VALUE!</v>
      </c>
    </row>
    <row r="10171" spans="1:5" x14ac:dyDescent="0.2">
      <c r="A10171" s="28">
        <v>10170</v>
      </c>
      <c r="B10171" s="28" t="e">
        <f>interpola(#REF!,CURVA!$B$6:$B$20,CURVA!$G$6:$G$20)</f>
        <v>#VALUE!</v>
      </c>
      <c r="C10171" s="29" t="e">
        <f t="shared" si="158"/>
        <v>#VALUE!</v>
      </c>
      <c r="E10171" t="e">
        <f>cubic_spline(CURVA!$B$6:$B$20,CURVA!$G$6:$G$20,#REF!)</f>
        <v>#VALUE!</v>
      </c>
    </row>
    <row r="10172" spans="1:5" x14ac:dyDescent="0.2">
      <c r="A10172" s="28">
        <v>10171</v>
      </c>
      <c r="B10172" s="28" t="e">
        <f>interpola(#REF!,CURVA!$B$6:$B$20,CURVA!$G$6:$G$20)</f>
        <v>#VALUE!</v>
      </c>
      <c r="C10172" s="29" t="e">
        <f t="shared" si="158"/>
        <v>#VALUE!</v>
      </c>
      <c r="E10172" t="e">
        <f>cubic_spline(CURVA!$B$6:$B$20,CURVA!$G$6:$G$20,#REF!)</f>
        <v>#VALUE!</v>
      </c>
    </row>
    <row r="10173" spans="1:5" x14ac:dyDescent="0.2">
      <c r="A10173" s="28">
        <v>10172</v>
      </c>
      <c r="B10173" s="28" t="e">
        <f>interpola(#REF!,CURVA!$B$6:$B$20,CURVA!$G$6:$G$20)</f>
        <v>#VALUE!</v>
      </c>
      <c r="C10173" s="29" t="e">
        <f t="shared" si="158"/>
        <v>#VALUE!</v>
      </c>
      <c r="E10173" t="e">
        <f>cubic_spline(CURVA!$B$6:$B$20,CURVA!$G$6:$G$20,#REF!)</f>
        <v>#VALUE!</v>
      </c>
    </row>
    <row r="10174" spans="1:5" x14ac:dyDescent="0.2">
      <c r="A10174" s="28">
        <v>10173</v>
      </c>
      <c r="B10174" s="28" t="e">
        <f>interpola(#REF!,CURVA!$B$6:$B$20,CURVA!$G$6:$G$20)</f>
        <v>#VALUE!</v>
      </c>
      <c r="C10174" s="29" t="e">
        <f t="shared" si="158"/>
        <v>#VALUE!</v>
      </c>
      <c r="E10174" t="e">
        <f>cubic_spline(CURVA!$B$6:$B$20,CURVA!$G$6:$G$20,#REF!)</f>
        <v>#VALUE!</v>
      </c>
    </row>
    <row r="10175" spans="1:5" x14ac:dyDescent="0.2">
      <c r="A10175" s="28">
        <v>10174</v>
      </c>
      <c r="B10175" s="28" t="e">
        <f>interpola(#REF!,CURVA!$B$6:$B$20,CURVA!$G$6:$G$20)</f>
        <v>#VALUE!</v>
      </c>
      <c r="C10175" s="29" t="e">
        <f t="shared" si="158"/>
        <v>#VALUE!</v>
      </c>
      <c r="E10175" t="e">
        <f>cubic_spline(CURVA!$B$6:$B$20,CURVA!$G$6:$G$20,#REF!)</f>
        <v>#VALUE!</v>
      </c>
    </row>
    <row r="10176" spans="1:5" x14ac:dyDescent="0.2">
      <c r="A10176" s="28">
        <v>10175</v>
      </c>
      <c r="B10176" s="28" t="e">
        <f>interpola(#REF!,CURVA!$B$6:$B$20,CURVA!$G$6:$G$20)</f>
        <v>#VALUE!</v>
      </c>
      <c r="C10176" s="29" t="e">
        <f t="shared" si="158"/>
        <v>#VALUE!</v>
      </c>
      <c r="E10176" t="e">
        <f>cubic_spline(CURVA!$B$6:$B$20,CURVA!$G$6:$G$20,#REF!)</f>
        <v>#VALUE!</v>
      </c>
    </row>
    <row r="10177" spans="1:5" x14ac:dyDescent="0.2">
      <c r="A10177" s="28">
        <v>10176</v>
      </c>
      <c r="B10177" s="28" t="e">
        <f>interpola(#REF!,CURVA!$B$6:$B$20,CURVA!$G$6:$G$20)</f>
        <v>#VALUE!</v>
      </c>
      <c r="C10177" s="29" t="e">
        <f t="shared" si="158"/>
        <v>#VALUE!</v>
      </c>
      <c r="E10177" t="e">
        <f>cubic_spline(CURVA!$B$6:$B$20,CURVA!$G$6:$G$20,#REF!)</f>
        <v>#VALUE!</v>
      </c>
    </row>
    <row r="10178" spans="1:5" x14ac:dyDescent="0.2">
      <c r="A10178" s="28">
        <v>10177</v>
      </c>
      <c r="B10178" s="28" t="e">
        <f>interpola(#REF!,CURVA!$B$6:$B$20,CURVA!$G$6:$G$20)</f>
        <v>#VALUE!</v>
      </c>
      <c r="C10178" s="29" t="e">
        <f t="shared" ref="C10178:C10241" si="159">(EXP(B10178*A10178/360)-1)*360/A10178</f>
        <v>#VALUE!</v>
      </c>
      <c r="E10178" t="e">
        <f>cubic_spline(CURVA!$B$6:$B$20,CURVA!$G$6:$G$20,#REF!)</f>
        <v>#VALUE!</v>
      </c>
    </row>
    <row r="10179" spans="1:5" x14ac:dyDescent="0.2">
      <c r="A10179" s="28">
        <v>10178</v>
      </c>
      <c r="B10179" s="28" t="e">
        <f>interpola(#REF!,CURVA!$B$6:$B$20,CURVA!$G$6:$G$20)</f>
        <v>#VALUE!</v>
      </c>
      <c r="C10179" s="29" t="e">
        <f t="shared" si="159"/>
        <v>#VALUE!</v>
      </c>
      <c r="E10179" t="e">
        <f>cubic_spline(CURVA!$B$6:$B$20,CURVA!$G$6:$G$20,#REF!)</f>
        <v>#VALUE!</v>
      </c>
    </row>
    <row r="10180" spans="1:5" x14ac:dyDescent="0.2">
      <c r="A10180" s="28">
        <v>10179</v>
      </c>
      <c r="B10180" s="28" t="e">
        <f>interpola(#REF!,CURVA!$B$6:$B$20,CURVA!$G$6:$G$20)</f>
        <v>#VALUE!</v>
      </c>
      <c r="C10180" s="29" t="e">
        <f t="shared" si="159"/>
        <v>#VALUE!</v>
      </c>
      <c r="E10180" t="e">
        <f>cubic_spline(CURVA!$B$6:$B$20,CURVA!$G$6:$G$20,#REF!)</f>
        <v>#VALUE!</v>
      </c>
    </row>
    <row r="10181" spans="1:5" x14ac:dyDescent="0.2">
      <c r="A10181" s="28">
        <v>10180</v>
      </c>
      <c r="B10181" s="28" t="e">
        <f>interpola(#REF!,CURVA!$B$6:$B$20,CURVA!$G$6:$G$20)</f>
        <v>#VALUE!</v>
      </c>
      <c r="C10181" s="29" t="e">
        <f t="shared" si="159"/>
        <v>#VALUE!</v>
      </c>
      <c r="E10181" t="e">
        <f>cubic_spline(CURVA!$B$6:$B$20,CURVA!$G$6:$G$20,#REF!)</f>
        <v>#VALUE!</v>
      </c>
    </row>
    <row r="10182" spans="1:5" x14ac:dyDescent="0.2">
      <c r="A10182" s="28">
        <v>10181</v>
      </c>
      <c r="B10182" s="28" t="e">
        <f>interpola(#REF!,CURVA!$B$6:$B$20,CURVA!$G$6:$G$20)</f>
        <v>#VALUE!</v>
      </c>
      <c r="C10182" s="29" t="e">
        <f t="shared" si="159"/>
        <v>#VALUE!</v>
      </c>
      <c r="E10182" t="e">
        <f>cubic_spline(CURVA!$B$6:$B$20,CURVA!$G$6:$G$20,#REF!)</f>
        <v>#VALUE!</v>
      </c>
    </row>
    <row r="10183" spans="1:5" x14ac:dyDescent="0.2">
      <c r="A10183" s="28">
        <v>10182</v>
      </c>
      <c r="B10183" s="28" t="e">
        <f>interpola(#REF!,CURVA!$B$6:$B$20,CURVA!$G$6:$G$20)</f>
        <v>#VALUE!</v>
      </c>
      <c r="C10183" s="29" t="e">
        <f t="shared" si="159"/>
        <v>#VALUE!</v>
      </c>
      <c r="E10183" t="e">
        <f>cubic_spline(CURVA!$B$6:$B$20,CURVA!$G$6:$G$20,#REF!)</f>
        <v>#VALUE!</v>
      </c>
    </row>
    <row r="10184" spans="1:5" x14ac:dyDescent="0.2">
      <c r="A10184" s="28">
        <v>10183</v>
      </c>
      <c r="B10184" s="28" t="e">
        <f>interpola(#REF!,CURVA!$B$6:$B$20,CURVA!$G$6:$G$20)</f>
        <v>#VALUE!</v>
      </c>
      <c r="C10184" s="29" t="e">
        <f t="shared" si="159"/>
        <v>#VALUE!</v>
      </c>
      <c r="E10184" t="e">
        <f>cubic_spline(CURVA!$B$6:$B$20,CURVA!$G$6:$G$20,#REF!)</f>
        <v>#VALUE!</v>
      </c>
    </row>
    <row r="10185" spans="1:5" x14ac:dyDescent="0.2">
      <c r="A10185" s="28">
        <v>10184</v>
      </c>
      <c r="B10185" s="28" t="e">
        <f>interpola(#REF!,CURVA!$B$6:$B$20,CURVA!$G$6:$G$20)</f>
        <v>#VALUE!</v>
      </c>
      <c r="C10185" s="29" t="e">
        <f t="shared" si="159"/>
        <v>#VALUE!</v>
      </c>
      <c r="E10185" t="e">
        <f>cubic_spline(CURVA!$B$6:$B$20,CURVA!$G$6:$G$20,#REF!)</f>
        <v>#VALUE!</v>
      </c>
    </row>
    <row r="10186" spans="1:5" x14ac:dyDescent="0.2">
      <c r="A10186" s="28">
        <v>10185</v>
      </c>
      <c r="B10186" s="28" t="e">
        <f>interpola(#REF!,CURVA!$B$6:$B$20,CURVA!$G$6:$G$20)</f>
        <v>#VALUE!</v>
      </c>
      <c r="C10186" s="29" t="e">
        <f t="shared" si="159"/>
        <v>#VALUE!</v>
      </c>
      <c r="E10186" t="e">
        <f>cubic_spline(CURVA!$B$6:$B$20,CURVA!$G$6:$G$20,#REF!)</f>
        <v>#VALUE!</v>
      </c>
    </row>
    <row r="10187" spans="1:5" x14ac:dyDescent="0.2">
      <c r="A10187" s="28">
        <v>10186</v>
      </c>
      <c r="B10187" s="28" t="e">
        <f>interpola(#REF!,CURVA!$B$6:$B$20,CURVA!$G$6:$G$20)</f>
        <v>#VALUE!</v>
      </c>
      <c r="C10187" s="29" t="e">
        <f t="shared" si="159"/>
        <v>#VALUE!</v>
      </c>
      <c r="E10187" t="e">
        <f>cubic_spline(CURVA!$B$6:$B$20,CURVA!$G$6:$G$20,#REF!)</f>
        <v>#VALUE!</v>
      </c>
    </row>
    <row r="10188" spans="1:5" x14ac:dyDescent="0.2">
      <c r="A10188" s="28">
        <v>10187</v>
      </c>
      <c r="B10188" s="28" t="e">
        <f>interpola(#REF!,CURVA!$B$6:$B$20,CURVA!$G$6:$G$20)</f>
        <v>#VALUE!</v>
      </c>
      <c r="C10188" s="29" t="e">
        <f t="shared" si="159"/>
        <v>#VALUE!</v>
      </c>
      <c r="E10188" t="e">
        <f>cubic_spline(CURVA!$B$6:$B$20,CURVA!$G$6:$G$20,#REF!)</f>
        <v>#VALUE!</v>
      </c>
    </row>
    <row r="10189" spans="1:5" x14ac:dyDescent="0.2">
      <c r="A10189" s="28">
        <v>10188</v>
      </c>
      <c r="B10189" s="28" t="e">
        <f>interpola(#REF!,CURVA!$B$6:$B$20,CURVA!$G$6:$G$20)</f>
        <v>#VALUE!</v>
      </c>
      <c r="C10189" s="29" t="e">
        <f t="shared" si="159"/>
        <v>#VALUE!</v>
      </c>
      <c r="E10189" t="e">
        <f>cubic_spline(CURVA!$B$6:$B$20,CURVA!$G$6:$G$20,#REF!)</f>
        <v>#VALUE!</v>
      </c>
    </row>
    <row r="10190" spans="1:5" x14ac:dyDescent="0.2">
      <c r="A10190" s="28">
        <v>10189</v>
      </c>
      <c r="B10190" s="28" t="e">
        <f>interpola(#REF!,CURVA!$B$6:$B$20,CURVA!$G$6:$G$20)</f>
        <v>#VALUE!</v>
      </c>
      <c r="C10190" s="29" t="e">
        <f t="shared" si="159"/>
        <v>#VALUE!</v>
      </c>
      <c r="E10190" t="e">
        <f>cubic_spline(CURVA!$B$6:$B$20,CURVA!$G$6:$G$20,#REF!)</f>
        <v>#VALUE!</v>
      </c>
    </row>
    <row r="10191" spans="1:5" x14ac:dyDescent="0.2">
      <c r="A10191" s="28">
        <v>10190</v>
      </c>
      <c r="B10191" s="28" t="e">
        <f>interpola(#REF!,CURVA!$B$6:$B$20,CURVA!$G$6:$G$20)</f>
        <v>#VALUE!</v>
      </c>
      <c r="C10191" s="29" t="e">
        <f t="shared" si="159"/>
        <v>#VALUE!</v>
      </c>
      <c r="E10191" t="e">
        <f>cubic_spline(CURVA!$B$6:$B$20,CURVA!$G$6:$G$20,#REF!)</f>
        <v>#VALUE!</v>
      </c>
    </row>
    <row r="10192" spans="1:5" x14ac:dyDescent="0.2">
      <c r="A10192" s="28">
        <v>10191</v>
      </c>
      <c r="B10192" s="28" t="e">
        <f>interpola(#REF!,CURVA!$B$6:$B$20,CURVA!$G$6:$G$20)</f>
        <v>#VALUE!</v>
      </c>
      <c r="C10192" s="29" t="e">
        <f t="shared" si="159"/>
        <v>#VALUE!</v>
      </c>
      <c r="E10192" t="e">
        <f>cubic_spline(CURVA!$B$6:$B$20,CURVA!$G$6:$G$20,#REF!)</f>
        <v>#VALUE!</v>
      </c>
    </row>
    <row r="10193" spans="1:5" x14ac:dyDescent="0.2">
      <c r="A10193" s="28">
        <v>10192</v>
      </c>
      <c r="B10193" s="28" t="e">
        <f>interpola(#REF!,CURVA!$B$6:$B$20,CURVA!$G$6:$G$20)</f>
        <v>#VALUE!</v>
      </c>
      <c r="C10193" s="29" t="e">
        <f t="shared" si="159"/>
        <v>#VALUE!</v>
      </c>
      <c r="E10193" t="e">
        <f>cubic_spline(CURVA!$B$6:$B$20,CURVA!$G$6:$G$20,#REF!)</f>
        <v>#VALUE!</v>
      </c>
    </row>
    <row r="10194" spans="1:5" x14ac:dyDescent="0.2">
      <c r="A10194" s="28">
        <v>10193</v>
      </c>
      <c r="B10194" s="28" t="e">
        <f>interpola(#REF!,CURVA!$B$6:$B$20,CURVA!$G$6:$G$20)</f>
        <v>#VALUE!</v>
      </c>
      <c r="C10194" s="29" t="e">
        <f t="shared" si="159"/>
        <v>#VALUE!</v>
      </c>
      <c r="E10194" t="e">
        <f>cubic_spline(CURVA!$B$6:$B$20,CURVA!$G$6:$G$20,#REF!)</f>
        <v>#VALUE!</v>
      </c>
    </row>
    <row r="10195" spans="1:5" x14ac:dyDescent="0.2">
      <c r="A10195" s="28">
        <v>10194</v>
      </c>
      <c r="B10195" s="28" t="e">
        <f>interpola(#REF!,CURVA!$B$6:$B$20,CURVA!$G$6:$G$20)</f>
        <v>#VALUE!</v>
      </c>
      <c r="C10195" s="29" t="e">
        <f t="shared" si="159"/>
        <v>#VALUE!</v>
      </c>
      <c r="E10195" t="e">
        <f>cubic_spline(CURVA!$B$6:$B$20,CURVA!$G$6:$G$20,#REF!)</f>
        <v>#VALUE!</v>
      </c>
    </row>
    <row r="10196" spans="1:5" x14ac:dyDescent="0.2">
      <c r="A10196" s="28">
        <v>10195</v>
      </c>
      <c r="B10196" s="28" t="e">
        <f>interpola(#REF!,CURVA!$B$6:$B$20,CURVA!$G$6:$G$20)</f>
        <v>#VALUE!</v>
      </c>
      <c r="C10196" s="29" t="e">
        <f t="shared" si="159"/>
        <v>#VALUE!</v>
      </c>
      <c r="E10196" t="e">
        <f>cubic_spline(CURVA!$B$6:$B$20,CURVA!$G$6:$G$20,#REF!)</f>
        <v>#VALUE!</v>
      </c>
    </row>
    <row r="10197" spans="1:5" x14ac:dyDescent="0.2">
      <c r="A10197" s="28">
        <v>10196</v>
      </c>
      <c r="B10197" s="28" t="e">
        <f>interpola(#REF!,CURVA!$B$6:$B$20,CURVA!$G$6:$G$20)</f>
        <v>#VALUE!</v>
      </c>
      <c r="C10197" s="29" t="e">
        <f t="shared" si="159"/>
        <v>#VALUE!</v>
      </c>
      <c r="E10197" t="e">
        <f>cubic_spline(CURVA!$B$6:$B$20,CURVA!$G$6:$G$20,#REF!)</f>
        <v>#VALUE!</v>
      </c>
    </row>
    <row r="10198" spans="1:5" x14ac:dyDescent="0.2">
      <c r="A10198" s="28">
        <v>10197</v>
      </c>
      <c r="B10198" s="28" t="e">
        <f>interpola(#REF!,CURVA!$B$6:$B$20,CURVA!$G$6:$G$20)</f>
        <v>#VALUE!</v>
      </c>
      <c r="C10198" s="29" t="e">
        <f t="shared" si="159"/>
        <v>#VALUE!</v>
      </c>
      <c r="E10198" t="e">
        <f>cubic_spline(CURVA!$B$6:$B$20,CURVA!$G$6:$G$20,#REF!)</f>
        <v>#VALUE!</v>
      </c>
    </row>
    <row r="10199" spans="1:5" x14ac:dyDescent="0.2">
      <c r="A10199" s="28">
        <v>10198</v>
      </c>
      <c r="B10199" s="28" t="e">
        <f>interpola(#REF!,CURVA!$B$6:$B$20,CURVA!$G$6:$G$20)</f>
        <v>#VALUE!</v>
      </c>
      <c r="C10199" s="29" t="e">
        <f t="shared" si="159"/>
        <v>#VALUE!</v>
      </c>
      <c r="E10199" t="e">
        <f>cubic_spline(CURVA!$B$6:$B$20,CURVA!$G$6:$G$20,#REF!)</f>
        <v>#VALUE!</v>
      </c>
    </row>
    <row r="10200" spans="1:5" x14ac:dyDescent="0.2">
      <c r="A10200" s="28">
        <v>10199</v>
      </c>
      <c r="B10200" s="28" t="e">
        <f>interpola(#REF!,CURVA!$B$6:$B$20,CURVA!$G$6:$G$20)</f>
        <v>#VALUE!</v>
      </c>
      <c r="C10200" s="29" t="e">
        <f t="shared" si="159"/>
        <v>#VALUE!</v>
      </c>
      <c r="E10200" t="e">
        <f>cubic_spline(CURVA!$B$6:$B$20,CURVA!$G$6:$G$20,#REF!)</f>
        <v>#VALUE!</v>
      </c>
    </row>
    <row r="10201" spans="1:5" x14ac:dyDescent="0.2">
      <c r="A10201" s="28">
        <v>10200</v>
      </c>
      <c r="B10201" s="28" t="e">
        <f>interpola(#REF!,CURVA!$B$6:$B$20,CURVA!$G$6:$G$20)</f>
        <v>#VALUE!</v>
      </c>
      <c r="C10201" s="29" t="e">
        <f t="shared" si="159"/>
        <v>#VALUE!</v>
      </c>
      <c r="E10201" t="e">
        <f>cubic_spline(CURVA!$B$6:$B$20,CURVA!$G$6:$G$20,#REF!)</f>
        <v>#VALUE!</v>
      </c>
    </row>
    <row r="10202" spans="1:5" x14ac:dyDescent="0.2">
      <c r="A10202" s="28">
        <v>10201</v>
      </c>
      <c r="B10202" s="28" t="e">
        <f>interpola(#REF!,CURVA!$B$6:$B$20,CURVA!$G$6:$G$20)</f>
        <v>#VALUE!</v>
      </c>
      <c r="C10202" s="29" t="e">
        <f t="shared" si="159"/>
        <v>#VALUE!</v>
      </c>
      <c r="E10202" t="e">
        <f>cubic_spline(CURVA!$B$6:$B$20,CURVA!$G$6:$G$20,#REF!)</f>
        <v>#VALUE!</v>
      </c>
    </row>
    <row r="10203" spans="1:5" x14ac:dyDescent="0.2">
      <c r="A10203" s="28">
        <v>10202</v>
      </c>
      <c r="B10203" s="28" t="e">
        <f>interpola(#REF!,CURVA!$B$6:$B$20,CURVA!$G$6:$G$20)</f>
        <v>#VALUE!</v>
      </c>
      <c r="C10203" s="29" t="e">
        <f t="shared" si="159"/>
        <v>#VALUE!</v>
      </c>
      <c r="E10203" t="e">
        <f>cubic_spline(CURVA!$B$6:$B$20,CURVA!$G$6:$G$20,#REF!)</f>
        <v>#VALUE!</v>
      </c>
    </row>
    <row r="10204" spans="1:5" x14ac:dyDescent="0.2">
      <c r="A10204" s="28">
        <v>10203</v>
      </c>
      <c r="B10204" s="28" t="e">
        <f>interpola(#REF!,CURVA!$B$6:$B$20,CURVA!$G$6:$G$20)</f>
        <v>#VALUE!</v>
      </c>
      <c r="C10204" s="29" t="e">
        <f t="shared" si="159"/>
        <v>#VALUE!</v>
      </c>
      <c r="E10204" t="e">
        <f>cubic_spline(CURVA!$B$6:$B$20,CURVA!$G$6:$G$20,#REF!)</f>
        <v>#VALUE!</v>
      </c>
    </row>
    <row r="10205" spans="1:5" x14ac:dyDescent="0.2">
      <c r="A10205" s="28">
        <v>10204</v>
      </c>
      <c r="B10205" s="28" t="e">
        <f>interpola(#REF!,CURVA!$B$6:$B$20,CURVA!$G$6:$G$20)</f>
        <v>#VALUE!</v>
      </c>
      <c r="C10205" s="29" t="e">
        <f t="shared" si="159"/>
        <v>#VALUE!</v>
      </c>
      <c r="E10205" t="e">
        <f>cubic_spline(CURVA!$B$6:$B$20,CURVA!$G$6:$G$20,#REF!)</f>
        <v>#VALUE!</v>
      </c>
    </row>
    <row r="10206" spans="1:5" x14ac:dyDescent="0.2">
      <c r="A10206" s="28">
        <v>10205</v>
      </c>
      <c r="B10206" s="28" t="e">
        <f>interpola(#REF!,CURVA!$B$6:$B$20,CURVA!$G$6:$G$20)</f>
        <v>#VALUE!</v>
      </c>
      <c r="C10206" s="29" t="e">
        <f t="shared" si="159"/>
        <v>#VALUE!</v>
      </c>
      <c r="E10206" t="e">
        <f>cubic_spline(CURVA!$B$6:$B$20,CURVA!$G$6:$G$20,#REF!)</f>
        <v>#VALUE!</v>
      </c>
    </row>
    <row r="10207" spans="1:5" x14ac:dyDescent="0.2">
      <c r="A10207" s="28">
        <v>10206</v>
      </c>
      <c r="B10207" s="28" t="e">
        <f>interpola(#REF!,CURVA!$B$6:$B$20,CURVA!$G$6:$G$20)</f>
        <v>#VALUE!</v>
      </c>
      <c r="C10207" s="29" t="e">
        <f t="shared" si="159"/>
        <v>#VALUE!</v>
      </c>
      <c r="E10207" t="e">
        <f>cubic_spline(CURVA!$B$6:$B$20,CURVA!$G$6:$G$20,#REF!)</f>
        <v>#VALUE!</v>
      </c>
    </row>
    <row r="10208" spans="1:5" x14ac:dyDescent="0.2">
      <c r="A10208" s="28">
        <v>10207</v>
      </c>
      <c r="B10208" s="28" t="e">
        <f>interpola(#REF!,CURVA!$B$6:$B$20,CURVA!$G$6:$G$20)</f>
        <v>#VALUE!</v>
      </c>
      <c r="C10208" s="29" t="e">
        <f t="shared" si="159"/>
        <v>#VALUE!</v>
      </c>
      <c r="E10208" t="e">
        <f>cubic_spline(CURVA!$B$6:$B$20,CURVA!$G$6:$G$20,#REF!)</f>
        <v>#VALUE!</v>
      </c>
    </row>
    <row r="10209" spans="1:5" x14ac:dyDescent="0.2">
      <c r="A10209" s="28">
        <v>10208</v>
      </c>
      <c r="B10209" s="28" t="e">
        <f>interpola(#REF!,CURVA!$B$6:$B$20,CURVA!$G$6:$G$20)</f>
        <v>#VALUE!</v>
      </c>
      <c r="C10209" s="29" t="e">
        <f t="shared" si="159"/>
        <v>#VALUE!</v>
      </c>
      <c r="E10209" t="e">
        <f>cubic_spline(CURVA!$B$6:$B$20,CURVA!$G$6:$G$20,#REF!)</f>
        <v>#VALUE!</v>
      </c>
    </row>
    <row r="10210" spans="1:5" x14ac:dyDescent="0.2">
      <c r="A10210" s="28">
        <v>10209</v>
      </c>
      <c r="B10210" s="28" t="e">
        <f>interpola(#REF!,CURVA!$B$6:$B$20,CURVA!$G$6:$G$20)</f>
        <v>#VALUE!</v>
      </c>
      <c r="C10210" s="29" t="e">
        <f t="shared" si="159"/>
        <v>#VALUE!</v>
      </c>
      <c r="E10210" t="e">
        <f>cubic_spline(CURVA!$B$6:$B$20,CURVA!$G$6:$G$20,#REF!)</f>
        <v>#VALUE!</v>
      </c>
    </row>
    <row r="10211" spans="1:5" x14ac:dyDescent="0.2">
      <c r="A10211" s="28">
        <v>10210</v>
      </c>
      <c r="B10211" s="28" t="e">
        <f>interpola(#REF!,CURVA!$B$6:$B$20,CURVA!$G$6:$G$20)</f>
        <v>#VALUE!</v>
      </c>
      <c r="C10211" s="29" t="e">
        <f t="shared" si="159"/>
        <v>#VALUE!</v>
      </c>
      <c r="E10211" t="e">
        <f>cubic_spline(CURVA!$B$6:$B$20,CURVA!$G$6:$G$20,#REF!)</f>
        <v>#VALUE!</v>
      </c>
    </row>
    <row r="10212" spans="1:5" x14ac:dyDescent="0.2">
      <c r="A10212" s="28">
        <v>10211</v>
      </c>
      <c r="B10212" s="28" t="e">
        <f>interpola(#REF!,CURVA!$B$6:$B$20,CURVA!$G$6:$G$20)</f>
        <v>#VALUE!</v>
      </c>
      <c r="C10212" s="29" t="e">
        <f t="shared" si="159"/>
        <v>#VALUE!</v>
      </c>
      <c r="E10212" t="e">
        <f>cubic_spline(CURVA!$B$6:$B$20,CURVA!$G$6:$G$20,#REF!)</f>
        <v>#VALUE!</v>
      </c>
    </row>
    <row r="10213" spans="1:5" x14ac:dyDescent="0.2">
      <c r="A10213" s="28">
        <v>10212</v>
      </c>
      <c r="B10213" s="28" t="e">
        <f>interpola(#REF!,CURVA!$B$6:$B$20,CURVA!$G$6:$G$20)</f>
        <v>#VALUE!</v>
      </c>
      <c r="C10213" s="29" t="e">
        <f t="shared" si="159"/>
        <v>#VALUE!</v>
      </c>
      <c r="E10213" t="e">
        <f>cubic_spline(CURVA!$B$6:$B$20,CURVA!$G$6:$G$20,#REF!)</f>
        <v>#VALUE!</v>
      </c>
    </row>
    <row r="10214" spans="1:5" x14ac:dyDescent="0.2">
      <c r="A10214" s="28">
        <v>10213</v>
      </c>
      <c r="B10214" s="28" t="e">
        <f>interpola(#REF!,CURVA!$B$6:$B$20,CURVA!$G$6:$G$20)</f>
        <v>#VALUE!</v>
      </c>
      <c r="C10214" s="29" t="e">
        <f t="shared" si="159"/>
        <v>#VALUE!</v>
      </c>
      <c r="E10214" t="e">
        <f>cubic_spline(CURVA!$B$6:$B$20,CURVA!$G$6:$G$20,#REF!)</f>
        <v>#VALUE!</v>
      </c>
    </row>
    <row r="10215" spans="1:5" x14ac:dyDescent="0.2">
      <c r="A10215" s="28">
        <v>10214</v>
      </c>
      <c r="B10215" s="28" t="e">
        <f>interpola(#REF!,CURVA!$B$6:$B$20,CURVA!$G$6:$G$20)</f>
        <v>#VALUE!</v>
      </c>
      <c r="C10215" s="29" t="e">
        <f t="shared" si="159"/>
        <v>#VALUE!</v>
      </c>
      <c r="E10215" t="e">
        <f>cubic_spline(CURVA!$B$6:$B$20,CURVA!$G$6:$G$20,#REF!)</f>
        <v>#VALUE!</v>
      </c>
    </row>
    <row r="10216" spans="1:5" x14ac:dyDescent="0.2">
      <c r="A10216" s="28">
        <v>10215</v>
      </c>
      <c r="B10216" s="28" t="e">
        <f>interpola(#REF!,CURVA!$B$6:$B$20,CURVA!$G$6:$G$20)</f>
        <v>#VALUE!</v>
      </c>
      <c r="C10216" s="29" t="e">
        <f t="shared" si="159"/>
        <v>#VALUE!</v>
      </c>
      <c r="E10216" t="e">
        <f>cubic_spline(CURVA!$B$6:$B$20,CURVA!$G$6:$G$20,#REF!)</f>
        <v>#VALUE!</v>
      </c>
    </row>
    <row r="10217" spans="1:5" x14ac:dyDescent="0.2">
      <c r="A10217" s="28">
        <v>10216</v>
      </c>
      <c r="B10217" s="28" t="e">
        <f>interpola(#REF!,CURVA!$B$6:$B$20,CURVA!$G$6:$G$20)</f>
        <v>#VALUE!</v>
      </c>
      <c r="C10217" s="29" t="e">
        <f t="shared" si="159"/>
        <v>#VALUE!</v>
      </c>
      <c r="E10217" t="e">
        <f>cubic_spline(CURVA!$B$6:$B$20,CURVA!$G$6:$G$20,#REF!)</f>
        <v>#VALUE!</v>
      </c>
    </row>
    <row r="10218" spans="1:5" x14ac:dyDescent="0.2">
      <c r="A10218" s="28">
        <v>10217</v>
      </c>
      <c r="B10218" s="28" t="e">
        <f>interpola(#REF!,CURVA!$B$6:$B$20,CURVA!$G$6:$G$20)</f>
        <v>#VALUE!</v>
      </c>
      <c r="C10218" s="29" t="e">
        <f t="shared" si="159"/>
        <v>#VALUE!</v>
      </c>
      <c r="E10218" t="e">
        <f>cubic_spline(CURVA!$B$6:$B$20,CURVA!$G$6:$G$20,#REF!)</f>
        <v>#VALUE!</v>
      </c>
    </row>
    <row r="10219" spans="1:5" x14ac:dyDescent="0.2">
      <c r="A10219" s="28">
        <v>10218</v>
      </c>
      <c r="B10219" s="28" t="e">
        <f>interpola(#REF!,CURVA!$B$6:$B$20,CURVA!$G$6:$G$20)</f>
        <v>#VALUE!</v>
      </c>
      <c r="C10219" s="29" t="e">
        <f t="shared" si="159"/>
        <v>#VALUE!</v>
      </c>
      <c r="E10219" t="e">
        <f>cubic_spline(CURVA!$B$6:$B$20,CURVA!$G$6:$G$20,#REF!)</f>
        <v>#VALUE!</v>
      </c>
    </row>
    <row r="10220" spans="1:5" x14ac:dyDescent="0.2">
      <c r="A10220" s="28">
        <v>10219</v>
      </c>
      <c r="B10220" s="28" t="e">
        <f>interpola(#REF!,CURVA!$B$6:$B$20,CURVA!$G$6:$G$20)</f>
        <v>#VALUE!</v>
      </c>
      <c r="C10220" s="29" t="e">
        <f t="shared" si="159"/>
        <v>#VALUE!</v>
      </c>
      <c r="E10220" t="e">
        <f>cubic_spline(CURVA!$B$6:$B$20,CURVA!$G$6:$G$20,#REF!)</f>
        <v>#VALUE!</v>
      </c>
    </row>
    <row r="10221" spans="1:5" x14ac:dyDescent="0.2">
      <c r="A10221" s="28">
        <v>10220</v>
      </c>
      <c r="B10221" s="28" t="e">
        <f>interpola(#REF!,CURVA!$B$6:$B$20,CURVA!$G$6:$G$20)</f>
        <v>#VALUE!</v>
      </c>
      <c r="C10221" s="29" t="e">
        <f t="shared" si="159"/>
        <v>#VALUE!</v>
      </c>
      <c r="E10221" t="e">
        <f>cubic_spline(CURVA!$B$6:$B$20,CURVA!$G$6:$G$20,#REF!)</f>
        <v>#VALUE!</v>
      </c>
    </row>
    <row r="10222" spans="1:5" x14ac:dyDescent="0.2">
      <c r="A10222" s="28">
        <v>10221</v>
      </c>
      <c r="B10222" s="28" t="e">
        <f>interpola(#REF!,CURVA!$B$6:$B$20,CURVA!$G$6:$G$20)</f>
        <v>#VALUE!</v>
      </c>
      <c r="C10222" s="29" t="e">
        <f t="shared" si="159"/>
        <v>#VALUE!</v>
      </c>
      <c r="E10222" t="e">
        <f>cubic_spline(CURVA!$B$6:$B$20,CURVA!$G$6:$G$20,#REF!)</f>
        <v>#VALUE!</v>
      </c>
    </row>
    <row r="10223" spans="1:5" x14ac:dyDescent="0.2">
      <c r="A10223" s="28">
        <v>10222</v>
      </c>
      <c r="B10223" s="28" t="e">
        <f>interpola(#REF!,CURVA!$B$6:$B$20,CURVA!$G$6:$G$20)</f>
        <v>#VALUE!</v>
      </c>
      <c r="C10223" s="29" t="e">
        <f t="shared" si="159"/>
        <v>#VALUE!</v>
      </c>
      <c r="E10223" t="e">
        <f>cubic_spline(CURVA!$B$6:$B$20,CURVA!$G$6:$G$20,#REF!)</f>
        <v>#VALUE!</v>
      </c>
    </row>
    <row r="10224" spans="1:5" x14ac:dyDescent="0.2">
      <c r="A10224" s="28">
        <v>10223</v>
      </c>
      <c r="B10224" s="28" t="e">
        <f>interpola(#REF!,CURVA!$B$6:$B$20,CURVA!$G$6:$G$20)</f>
        <v>#VALUE!</v>
      </c>
      <c r="C10224" s="29" t="e">
        <f t="shared" si="159"/>
        <v>#VALUE!</v>
      </c>
      <c r="E10224" t="e">
        <f>cubic_spline(CURVA!$B$6:$B$20,CURVA!$G$6:$G$20,#REF!)</f>
        <v>#VALUE!</v>
      </c>
    </row>
    <row r="10225" spans="1:5" x14ac:dyDescent="0.2">
      <c r="A10225" s="28">
        <v>10224</v>
      </c>
      <c r="B10225" s="28" t="e">
        <f>interpola(#REF!,CURVA!$B$6:$B$20,CURVA!$G$6:$G$20)</f>
        <v>#VALUE!</v>
      </c>
      <c r="C10225" s="29" t="e">
        <f t="shared" si="159"/>
        <v>#VALUE!</v>
      </c>
      <c r="E10225" t="e">
        <f>cubic_spline(CURVA!$B$6:$B$20,CURVA!$G$6:$G$20,#REF!)</f>
        <v>#VALUE!</v>
      </c>
    </row>
    <row r="10226" spans="1:5" x14ac:dyDescent="0.2">
      <c r="A10226" s="28">
        <v>10225</v>
      </c>
      <c r="B10226" s="28" t="e">
        <f>interpola(#REF!,CURVA!$B$6:$B$20,CURVA!$G$6:$G$20)</f>
        <v>#VALUE!</v>
      </c>
      <c r="C10226" s="29" t="e">
        <f t="shared" si="159"/>
        <v>#VALUE!</v>
      </c>
      <c r="E10226" t="e">
        <f>cubic_spline(CURVA!$B$6:$B$20,CURVA!$G$6:$G$20,#REF!)</f>
        <v>#VALUE!</v>
      </c>
    </row>
    <row r="10227" spans="1:5" x14ac:dyDescent="0.2">
      <c r="A10227" s="28">
        <v>10226</v>
      </c>
      <c r="B10227" s="28" t="e">
        <f>interpola(#REF!,CURVA!$B$6:$B$20,CURVA!$G$6:$G$20)</f>
        <v>#VALUE!</v>
      </c>
      <c r="C10227" s="29" t="e">
        <f t="shared" si="159"/>
        <v>#VALUE!</v>
      </c>
      <c r="E10227" t="e">
        <f>cubic_spline(CURVA!$B$6:$B$20,CURVA!$G$6:$G$20,#REF!)</f>
        <v>#VALUE!</v>
      </c>
    </row>
    <row r="10228" spans="1:5" x14ac:dyDescent="0.2">
      <c r="A10228" s="28">
        <v>10227</v>
      </c>
      <c r="B10228" s="28" t="e">
        <f>interpola(#REF!,CURVA!$B$6:$B$20,CURVA!$G$6:$G$20)</f>
        <v>#VALUE!</v>
      </c>
      <c r="C10228" s="29" t="e">
        <f t="shared" si="159"/>
        <v>#VALUE!</v>
      </c>
      <c r="E10228" t="e">
        <f>cubic_spline(CURVA!$B$6:$B$20,CURVA!$G$6:$G$20,#REF!)</f>
        <v>#VALUE!</v>
      </c>
    </row>
    <row r="10229" spans="1:5" x14ac:dyDescent="0.2">
      <c r="A10229" s="28">
        <v>10228</v>
      </c>
      <c r="B10229" s="28" t="e">
        <f>interpola(#REF!,CURVA!$B$6:$B$20,CURVA!$G$6:$G$20)</f>
        <v>#VALUE!</v>
      </c>
      <c r="C10229" s="29" t="e">
        <f t="shared" si="159"/>
        <v>#VALUE!</v>
      </c>
      <c r="E10229" t="e">
        <f>cubic_spline(CURVA!$B$6:$B$20,CURVA!$G$6:$G$20,#REF!)</f>
        <v>#VALUE!</v>
      </c>
    </row>
    <row r="10230" spans="1:5" x14ac:dyDescent="0.2">
      <c r="A10230" s="28">
        <v>10229</v>
      </c>
      <c r="B10230" s="28" t="e">
        <f>interpola(#REF!,CURVA!$B$6:$B$20,CURVA!$G$6:$G$20)</f>
        <v>#VALUE!</v>
      </c>
      <c r="C10230" s="29" t="e">
        <f t="shared" si="159"/>
        <v>#VALUE!</v>
      </c>
      <c r="E10230" t="e">
        <f>cubic_spline(CURVA!$B$6:$B$20,CURVA!$G$6:$G$20,#REF!)</f>
        <v>#VALUE!</v>
      </c>
    </row>
    <row r="10231" spans="1:5" x14ac:dyDescent="0.2">
      <c r="A10231" s="28">
        <v>10230</v>
      </c>
      <c r="B10231" s="28" t="e">
        <f>interpola(#REF!,CURVA!$B$6:$B$20,CURVA!$G$6:$G$20)</f>
        <v>#VALUE!</v>
      </c>
      <c r="C10231" s="29" t="e">
        <f t="shared" si="159"/>
        <v>#VALUE!</v>
      </c>
      <c r="E10231" t="e">
        <f>cubic_spline(CURVA!$B$6:$B$20,CURVA!$G$6:$G$20,#REF!)</f>
        <v>#VALUE!</v>
      </c>
    </row>
    <row r="10232" spans="1:5" x14ac:dyDescent="0.2">
      <c r="A10232" s="28">
        <v>10231</v>
      </c>
      <c r="B10232" s="28" t="e">
        <f>interpola(#REF!,CURVA!$B$6:$B$20,CURVA!$G$6:$G$20)</f>
        <v>#VALUE!</v>
      </c>
      <c r="C10232" s="29" t="e">
        <f t="shared" si="159"/>
        <v>#VALUE!</v>
      </c>
      <c r="E10232" t="e">
        <f>cubic_spline(CURVA!$B$6:$B$20,CURVA!$G$6:$G$20,#REF!)</f>
        <v>#VALUE!</v>
      </c>
    </row>
    <row r="10233" spans="1:5" x14ac:dyDescent="0.2">
      <c r="A10233" s="28">
        <v>10232</v>
      </c>
      <c r="B10233" s="28" t="e">
        <f>interpola(#REF!,CURVA!$B$6:$B$20,CURVA!$G$6:$G$20)</f>
        <v>#VALUE!</v>
      </c>
      <c r="C10233" s="29" t="e">
        <f t="shared" si="159"/>
        <v>#VALUE!</v>
      </c>
      <c r="E10233" t="e">
        <f>cubic_spline(CURVA!$B$6:$B$20,CURVA!$G$6:$G$20,#REF!)</f>
        <v>#VALUE!</v>
      </c>
    </row>
    <row r="10234" spans="1:5" x14ac:dyDescent="0.2">
      <c r="A10234" s="28">
        <v>10233</v>
      </c>
      <c r="B10234" s="28" t="e">
        <f>interpola(#REF!,CURVA!$B$6:$B$20,CURVA!$G$6:$G$20)</f>
        <v>#VALUE!</v>
      </c>
      <c r="C10234" s="29" t="e">
        <f t="shared" si="159"/>
        <v>#VALUE!</v>
      </c>
      <c r="E10234" t="e">
        <f>cubic_spline(CURVA!$B$6:$B$20,CURVA!$G$6:$G$20,#REF!)</f>
        <v>#VALUE!</v>
      </c>
    </row>
    <row r="10235" spans="1:5" x14ac:dyDescent="0.2">
      <c r="A10235" s="28">
        <v>10234</v>
      </c>
      <c r="B10235" s="28" t="e">
        <f>interpola(#REF!,CURVA!$B$6:$B$20,CURVA!$G$6:$G$20)</f>
        <v>#VALUE!</v>
      </c>
      <c r="C10235" s="29" t="e">
        <f t="shared" si="159"/>
        <v>#VALUE!</v>
      </c>
      <c r="E10235" t="e">
        <f>cubic_spline(CURVA!$B$6:$B$20,CURVA!$G$6:$G$20,#REF!)</f>
        <v>#VALUE!</v>
      </c>
    </row>
    <row r="10236" spans="1:5" x14ac:dyDescent="0.2">
      <c r="A10236" s="28">
        <v>10235</v>
      </c>
      <c r="B10236" s="28" t="e">
        <f>interpola(#REF!,CURVA!$B$6:$B$20,CURVA!$G$6:$G$20)</f>
        <v>#VALUE!</v>
      </c>
      <c r="C10236" s="29" t="e">
        <f t="shared" si="159"/>
        <v>#VALUE!</v>
      </c>
      <c r="E10236" t="e">
        <f>cubic_spline(CURVA!$B$6:$B$20,CURVA!$G$6:$G$20,#REF!)</f>
        <v>#VALUE!</v>
      </c>
    </row>
    <row r="10237" spans="1:5" x14ac:dyDescent="0.2">
      <c r="A10237" s="28">
        <v>10236</v>
      </c>
      <c r="B10237" s="28" t="e">
        <f>interpola(#REF!,CURVA!$B$6:$B$20,CURVA!$G$6:$G$20)</f>
        <v>#VALUE!</v>
      </c>
      <c r="C10237" s="29" t="e">
        <f t="shared" si="159"/>
        <v>#VALUE!</v>
      </c>
      <c r="E10237" t="e">
        <f>cubic_spline(CURVA!$B$6:$B$20,CURVA!$G$6:$G$20,#REF!)</f>
        <v>#VALUE!</v>
      </c>
    </row>
    <row r="10238" spans="1:5" x14ac:dyDescent="0.2">
      <c r="A10238" s="28">
        <v>10237</v>
      </c>
      <c r="B10238" s="28" t="e">
        <f>interpola(#REF!,CURVA!$B$6:$B$20,CURVA!$G$6:$G$20)</f>
        <v>#VALUE!</v>
      </c>
      <c r="C10238" s="29" t="e">
        <f t="shared" si="159"/>
        <v>#VALUE!</v>
      </c>
      <c r="E10238" t="e">
        <f>cubic_spline(CURVA!$B$6:$B$20,CURVA!$G$6:$G$20,#REF!)</f>
        <v>#VALUE!</v>
      </c>
    </row>
    <row r="10239" spans="1:5" x14ac:dyDescent="0.2">
      <c r="A10239" s="28">
        <v>10238</v>
      </c>
      <c r="B10239" s="28" t="e">
        <f>interpola(#REF!,CURVA!$B$6:$B$20,CURVA!$G$6:$G$20)</f>
        <v>#VALUE!</v>
      </c>
      <c r="C10239" s="29" t="e">
        <f t="shared" si="159"/>
        <v>#VALUE!</v>
      </c>
      <c r="E10239" t="e">
        <f>cubic_spline(CURVA!$B$6:$B$20,CURVA!$G$6:$G$20,#REF!)</f>
        <v>#VALUE!</v>
      </c>
    </row>
    <row r="10240" spans="1:5" x14ac:dyDescent="0.2">
      <c r="A10240" s="28">
        <v>10239</v>
      </c>
      <c r="B10240" s="28" t="e">
        <f>interpola(#REF!,CURVA!$B$6:$B$20,CURVA!$G$6:$G$20)</f>
        <v>#VALUE!</v>
      </c>
      <c r="C10240" s="29" t="e">
        <f t="shared" si="159"/>
        <v>#VALUE!</v>
      </c>
      <c r="E10240" t="e">
        <f>cubic_spline(CURVA!$B$6:$B$20,CURVA!$G$6:$G$20,#REF!)</f>
        <v>#VALUE!</v>
      </c>
    </row>
    <row r="10241" spans="1:5" x14ac:dyDescent="0.2">
      <c r="A10241" s="28">
        <v>10240</v>
      </c>
      <c r="B10241" s="28" t="e">
        <f>interpola(#REF!,CURVA!$B$6:$B$20,CURVA!$G$6:$G$20)</f>
        <v>#VALUE!</v>
      </c>
      <c r="C10241" s="29" t="e">
        <f t="shared" si="159"/>
        <v>#VALUE!</v>
      </c>
      <c r="E10241" t="e">
        <f>cubic_spline(CURVA!$B$6:$B$20,CURVA!$G$6:$G$20,#REF!)</f>
        <v>#VALUE!</v>
      </c>
    </row>
    <row r="10242" spans="1:5" x14ac:dyDescent="0.2">
      <c r="A10242" s="28">
        <v>10241</v>
      </c>
      <c r="B10242" s="28" t="e">
        <f>interpola(#REF!,CURVA!$B$6:$B$20,CURVA!$G$6:$G$20)</f>
        <v>#VALUE!</v>
      </c>
      <c r="C10242" s="29" t="e">
        <f t="shared" ref="C10242:C10305" si="160">(EXP(B10242*A10242/360)-1)*360/A10242</f>
        <v>#VALUE!</v>
      </c>
      <c r="E10242" t="e">
        <f>cubic_spline(CURVA!$B$6:$B$20,CURVA!$G$6:$G$20,#REF!)</f>
        <v>#VALUE!</v>
      </c>
    </row>
    <row r="10243" spans="1:5" x14ac:dyDescent="0.2">
      <c r="A10243" s="28">
        <v>10242</v>
      </c>
      <c r="B10243" s="28" t="e">
        <f>interpola(#REF!,CURVA!$B$6:$B$20,CURVA!$G$6:$G$20)</f>
        <v>#VALUE!</v>
      </c>
      <c r="C10243" s="29" t="e">
        <f t="shared" si="160"/>
        <v>#VALUE!</v>
      </c>
      <c r="E10243" t="e">
        <f>cubic_spline(CURVA!$B$6:$B$20,CURVA!$G$6:$G$20,#REF!)</f>
        <v>#VALUE!</v>
      </c>
    </row>
    <row r="10244" spans="1:5" x14ac:dyDescent="0.2">
      <c r="A10244" s="28">
        <v>10243</v>
      </c>
      <c r="B10244" s="28" t="e">
        <f>interpola(#REF!,CURVA!$B$6:$B$20,CURVA!$G$6:$G$20)</f>
        <v>#VALUE!</v>
      </c>
      <c r="C10244" s="29" t="e">
        <f t="shared" si="160"/>
        <v>#VALUE!</v>
      </c>
      <c r="E10244" t="e">
        <f>cubic_spline(CURVA!$B$6:$B$20,CURVA!$G$6:$G$20,#REF!)</f>
        <v>#VALUE!</v>
      </c>
    </row>
    <row r="10245" spans="1:5" x14ac:dyDescent="0.2">
      <c r="A10245" s="28">
        <v>10244</v>
      </c>
      <c r="B10245" s="28" t="e">
        <f>interpola(#REF!,CURVA!$B$6:$B$20,CURVA!$G$6:$G$20)</f>
        <v>#VALUE!</v>
      </c>
      <c r="C10245" s="29" t="e">
        <f t="shared" si="160"/>
        <v>#VALUE!</v>
      </c>
      <c r="E10245" t="e">
        <f>cubic_spline(CURVA!$B$6:$B$20,CURVA!$G$6:$G$20,#REF!)</f>
        <v>#VALUE!</v>
      </c>
    </row>
    <row r="10246" spans="1:5" x14ac:dyDescent="0.2">
      <c r="A10246" s="28">
        <v>10245</v>
      </c>
      <c r="B10246" s="28" t="e">
        <f>interpola(#REF!,CURVA!$B$6:$B$20,CURVA!$G$6:$G$20)</f>
        <v>#VALUE!</v>
      </c>
      <c r="C10246" s="29" t="e">
        <f t="shared" si="160"/>
        <v>#VALUE!</v>
      </c>
      <c r="E10246" t="e">
        <f>cubic_spline(CURVA!$B$6:$B$20,CURVA!$G$6:$G$20,#REF!)</f>
        <v>#VALUE!</v>
      </c>
    </row>
    <row r="10247" spans="1:5" x14ac:dyDescent="0.2">
      <c r="A10247" s="28">
        <v>10246</v>
      </c>
      <c r="B10247" s="28" t="e">
        <f>interpola(#REF!,CURVA!$B$6:$B$20,CURVA!$G$6:$G$20)</f>
        <v>#VALUE!</v>
      </c>
      <c r="C10247" s="29" t="e">
        <f t="shared" si="160"/>
        <v>#VALUE!</v>
      </c>
      <c r="E10247" t="e">
        <f>cubic_spline(CURVA!$B$6:$B$20,CURVA!$G$6:$G$20,#REF!)</f>
        <v>#VALUE!</v>
      </c>
    </row>
    <row r="10248" spans="1:5" x14ac:dyDescent="0.2">
      <c r="A10248" s="28">
        <v>10247</v>
      </c>
      <c r="B10248" s="28" t="e">
        <f>interpola(#REF!,CURVA!$B$6:$B$20,CURVA!$G$6:$G$20)</f>
        <v>#VALUE!</v>
      </c>
      <c r="C10248" s="29" t="e">
        <f t="shared" si="160"/>
        <v>#VALUE!</v>
      </c>
      <c r="E10248" t="e">
        <f>cubic_spline(CURVA!$B$6:$B$20,CURVA!$G$6:$G$20,#REF!)</f>
        <v>#VALUE!</v>
      </c>
    </row>
    <row r="10249" spans="1:5" x14ac:dyDescent="0.2">
      <c r="A10249" s="28">
        <v>10248</v>
      </c>
      <c r="B10249" s="28" t="e">
        <f>interpola(#REF!,CURVA!$B$6:$B$20,CURVA!$G$6:$G$20)</f>
        <v>#VALUE!</v>
      </c>
      <c r="C10249" s="29" t="e">
        <f t="shared" si="160"/>
        <v>#VALUE!</v>
      </c>
      <c r="E10249" t="e">
        <f>cubic_spline(CURVA!$B$6:$B$20,CURVA!$G$6:$G$20,#REF!)</f>
        <v>#VALUE!</v>
      </c>
    </row>
    <row r="10250" spans="1:5" x14ac:dyDescent="0.2">
      <c r="A10250" s="28">
        <v>10249</v>
      </c>
      <c r="B10250" s="28" t="e">
        <f>interpola(#REF!,CURVA!$B$6:$B$20,CURVA!$G$6:$G$20)</f>
        <v>#VALUE!</v>
      </c>
      <c r="C10250" s="29" t="e">
        <f t="shared" si="160"/>
        <v>#VALUE!</v>
      </c>
      <c r="E10250" t="e">
        <f>cubic_spline(CURVA!$B$6:$B$20,CURVA!$G$6:$G$20,#REF!)</f>
        <v>#VALUE!</v>
      </c>
    </row>
    <row r="10251" spans="1:5" x14ac:dyDescent="0.2">
      <c r="A10251" s="28">
        <v>10250</v>
      </c>
      <c r="B10251" s="28" t="e">
        <f>interpola(#REF!,CURVA!$B$6:$B$20,CURVA!$G$6:$G$20)</f>
        <v>#VALUE!</v>
      </c>
      <c r="C10251" s="29" t="e">
        <f t="shared" si="160"/>
        <v>#VALUE!</v>
      </c>
      <c r="E10251" t="e">
        <f>cubic_spline(CURVA!$B$6:$B$20,CURVA!$G$6:$G$20,#REF!)</f>
        <v>#VALUE!</v>
      </c>
    </row>
    <row r="10252" spans="1:5" x14ac:dyDescent="0.2">
      <c r="A10252" s="28">
        <v>10251</v>
      </c>
      <c r="B10252" s="28" t="e">
        <f>interpola(#REF!,CURVA!$B$6:$B$20,CURVA!$G$6:$G$20)</f>
        <v>#VALUE!</v>
      </c>
      <c r="C10252" s="29" t="e">
        <f t="shared" si="160"/>
        <v>#VALUE!</v>
      </c>
      <c r="E10252" t="e">
        <f>cubic_spline(CURVA!$B$6:$B$20,CURVA!$G$6:$G$20,#REF!)</f>
        <v>#VALUE!</v>
      </c>
    </row>
    <row r="10253" spans="1:5" x14ac:dyDescent="0.2">
      <c r="A10253" s="28">
        <v>10252</v>
      </c>
      <c r="B10253" s="28" t="e">
        <f>interpola(#REF!,CURVA!$B$6:$B$20,CURVA!$G$6:$G$20)</f>
        <v>#VALUE!</v>
      </c>
      <c r="C10253" s="29" t="e">
        <f t="shared" si="160"/>
        <v>#VALUE!</v>
      </c>
      <c r="E10253" t="e">
        <f>cubic_spline(CURVA!$B$6:$B$20,CURVA!$G$6:$G$20,#REF!)</f>
        <v>#VALUE!</v>
      </c>
    </row>
    <row r="10254" spans="1:5" x14ac:dyDescent="0.2">
      <c r="A10254" s="28">
        <v>10253</v>
      </c>
      <c r="B10254" s="28" t="e">
        <f>interpola(#REF!,CURVA!$B$6:$B$20,CURVA!$G$6:$G$20)</f>
        <v>#VALUE!</v>
      </c>
      <c r="C10254" s="29" t="e">
        <f t="shared" si="160"/>
        <v>#VALUE!</v>
      </c>
      <c r="E10254" t="e">
        <f>cubic_spline(CURVA!$B$6:$B$20,CURVA!$G$6:$G$20,#REF!)</f>
        <v>#VALUE!</v>
      </c>
    </row>
    <row r="10255" spans="1:5" x14ac:dyDescent="0.2">
      <c r="A10255" s="28">
        <v>10254</v>
      </c>
      <c r="B10255" s="28" t="e">
        <f>interpola(#REF!,CURVA!$B$6:$B$20,CURVA!$G$6:$G$20)</f>
        <v>#VALUE!</v>
      </c>
      <c r="C10255" s="29" t="e">
        <f t="shared" si="160"/>
        <v>#VALUE!</v>
      </c>
      <c r="E10255" t="e">
        <f>cubic_spline(CURVA!$B$6:$B$20,CURVA!$G$6:$G$20,#REF!)</f>
        <v>#VALUE!</v>
      </c>
    </row>
    <row r="10256" spans="1:5" x14ac:dyDescent="0.2">
      <c r="A10256" s="28">
        <v>10255</v>
      </c>
      <c r="B10256" s="28" t="e">
        <f>interpola(#REF!,CURVA!$B$6:$B$20,CURVA!$G$6:$G$20)</f>
        <v>#VALUE!</v>
      </c>
      <c r="C10256" s="29" t="e">
        <f t="shared" si="160"/>
        <v>#VALUE!</v>
      </c>
      <c r="E10256" t="e">
        <f>cubic_spline(CURVA!$B$6:$B$20,CURVA!$G$6:$G$20,#REF!)</f>
        <v>#VALUE!</v>
      </c>
    </row>
    <row r="10257" spans="1:5" x14ac:dyDescent="0.2">
      <c r="A10257" s="28">
        <v>10256</v>
      </c>
      <c r="B10257" s="28" t="e">
        <f>interpola(#REF!,CURVA!$B$6:$B$20,CURVA!$G$6:$G$20)</f>
        <v>#VALUE!</v>
      </c>
      <c r="C10257" s="29" t="e">
        <f t="shared" si="160"/>
        <v>#VALUE!</v>
      </c>
      <c r="E10257" t="e">
        <f>cubic_spline(CURVA!$B$6:$B$20,CURVA!$G$6:$G$20,#REF!)</f>
        <v>#VALUE!</v>
      </c>
    </row>
    <row r="10258" spans="1:5" x14ac:dyDescent="0.2">
      <c r="A10258" s="28">
        <v>10257</v>
      </c>
      <c r="B10258" s="28" t="e">
        <f>interpola(#REF!,CURVA!$B$6:$B$20,CURVA!$G$6:$G$20)</f>
        <v>#VALUE!</v>
      </c>
      <c r="C10258" s="29" t="e">
        <f t="shared" si="160"/>
        <v>#VALUE!</v>
      </c>
      <c r="E10258" t="e">
        <f>cubic_spline(CURVA!$B$6:$B$20,CURVA!$G$6:$G$20,#REF!)</f>
        <v>#VALUE!</v>
      </c>
    </row>
    <row r="10259" spans="1:5" x14ac:dyDescent="0.2">
      <c r="A10259" s="28">
        <v>10258</v>
      </c>
      <c r="B10259" s="28" t="e">
        <f>interpola(#REF!,CURVA!$B$6:$B$20,CURVA!$G$6:$G$20)</f>
        <v>#VALUE!</v>
      </c>
      <c r="C10259" s="29" t="e">
        <f t="shared" si="160"/>
        <v>#VALUE!</v>
      </c>
      <c r="E10259" t="e">
        <f>cubic_spline(CURVA!$B$6:$B$20,CURVA!$G$6:$G$20,#REF!)</f>
        <v>#VALUE!</v>
      </c>
    </row>
    <row r="10260" spans="1:5" x14ac:dyDescent="0.2">
      <c r="A10260" s="28">
        <v>10259</v>
      </c>
      <c r="B10260" s="28" t="e">
        <f>interpola(#REF!,CURVA!$B$6:$B$20,CURVA!$G$6:$G$20)</f>
        <v>#VALUE!</v>
      </c>
      <c r="C10260" s="29" t="e">
        <f t="shared" si="160"/>
        <v>#VALUE!</v>
      </c>
      <c r="E10260" t="e">
        <f>cubic_spline(CURVA!$B$6:$B$20,CURVA!$G$6:$G$20,#REF!)</f>
        <v>#VALUE!</v>
      </c>
    </row>
    <row r="10261" spans="1:5" x14ac:dyDescent="0.2">
      <c r="A10261" s="28">
        <v>10260</v>
      </c>
      <c r="B10261" s="28" t="e">
        <f>interpola(#REF!,CURVA!$B$6:$B$20,CURVA!$G$6:$G$20)</f>
        <v>#VALUE!</v>
      </c>
      <c r="C10261" s="29" t="e">
        <f t="shared" si="160"/>
        <v>#VALUE!</v>
      </c>
      <c r="E10261" t="e">
        <f>cubic_spline(CURVA!$B$6:$B$20,CURVA!$G$6:$G$20,#REF!)</f>
        <v>#VALUE!</v>
      </c>
    </row>
    <row r="10262" spans="1:5" x14ac:dyDescent="0.2">
      <c r="A10262" s="28">
        <v>10261</v>
      </c>
      <c r="B10262" s="28" t="e">
        <f>interpola(#REF!,CURVA!$B$6:$B$20,CURVA!$G$6:$G$20)</f>
        <v>#VALUE!</v>
      </c>
      <c r="C10262" s="29" t="e">
        <f t="shared" si="160"/>
        <v>#VALUE!</v>
      </c>
      <c r="E10262" t="e">
        <f>cubic_spline(CURVA!$B$6:$B$20,CURVA!$G$6:$G$20,#REF!)</f>
        <v>#VALUE!</v>
      </c>
    </row>
    <row r="10263" spans="1:5" x14ac:dyDescent="0.2">
      <c r="A10263" s="28">
        <v>10262</v>
      </c>
      <c r="B10263" s="28" t="e">
        <f>interpola(#REF!,CURVA!$B$6:$B$20,CURVA!$G$6:$G$20)</f>
        <v>#VALUE!</v>
      </c>
      <c r="C10263" s="29" t="e">
        <f t="shared" si="160"/>
        <v>#VALUE!</v>
      </c>
      <c r="E10263" t="e">
        <f>cubic_spline(CURVA!$B$6:$B$20,CURVA!$G$6:$G$20,#REF!)</f>
        <v>#VALUE!</v>
      </c>
    </row>
    <row r="10264" spans="1:5" x14ac:dyDescent="0.2">
      <c r="A10264" s="28">
        <v>10263</v>
      </c>
      <c r="B10264" s="28" t="e">
        <f>interpola(#REF!,CURVA!$B$6:$B$20,CURVA!$G$6:$G$20)</f>
        <v>#VALUE!</v>
      </c>
      <c r="C10264" s="29" t="e">
        <f t="shared" si="160"/>
        <v>#VALUE!</v>
      </c>
      <c r="E10264" t="e">
        <f>cubic_spline(CURVA!$B$6:$B$20,CURVA!$G$6:$G$20,#REF!)</f>
        <v>#VALUE!</v>
      </c>
    </row>
    <row r="10265" spans="1:5" x14ac:dyDescent="0.2">
      <c r="A10265" s="28">
        <v>10264</v>
      </c>
      <c r="B10265" s="28" t="e">
        <f>interpola(#REF!,CURVA!$B$6:$B$20,CURVA!$G$6:$G$20)</f>
        <v>#VALUE!</v>
      </c>
      <c r="C10265" s="29" t="e">
        <f t="shared" si="160"/>
        <v>#VALUE!</v>
      </c>
      <c r="E10265" t="e">
        <f>cubic_spline(CURVA!$B$6:$B$20,CURVA!$G$6:$G$20,#REF!)</f>
        <v>#VALUE!</v>
      </c>
    </row>
    <row r="10266" spans="1:5" x14ac:dyDescent="0.2">
      <c r="A10266" s="28">
        <v>10265</v>
      </c>
      <c r="B10266" s="28" t="e">
        <f>interpola(#REF!,CURVA!$B$6:$B$20,CURVA!$G$6:$G$20)</f>
        <v>#VALUE!</v>
      </c>
      <c r="C10266" s="29" t="e">
        <f t="shared" si="160"/>
        <v>#VALUE!</v>
      </c>
      <c r="E10266" t="e">
        <f>cubic_spline(CURVA!$B$6:$B$20,CURVA!$G$6:$G$20,#REF!)</f>
        <v>#VALUE!</v>
      </c>
    </row>
    <row r="10267" spans="1:5" x14ac:dyDescent="0.2">
      <c r="A10267" s="28">
        <v>10266</v>
      </c>
      <c r="B10267" s="28" t="e">
        <f>interpola(#REF!,CURVA!$B$6:$B$20,CURVA!$G$6:$G$20)</f>
        <v>#VALUE!</v>
      </c>
      <c r="C10267" s="29" t="e">
        <f t="shared" si="160"/>
        <v>#VALUE!</v>
      </c>
      <c r="E10267" t="e">
        <f>cubic_spline(CURVA!$B$6:$B$20,CURVA!$G$6:$G$20,#REF!)</f>
        <v>#VALUE!</v>
      </c>
    </row>
    <row r="10268" spans="1:5" x14ac:dyDescent="0.2">
      <c r="A10268" s="28">
        <v>10267</v>
      </c>
      <c r="B10268" s="28" t="e">
        <f>interpola(#REF!,CURVA!$B$6:$B$20,CURVA!$G$6:$G$20)</f>
        <v>#VALUE!</v>
      </c>
      <c r="C10268" s="29" t="e">
        <f t="shared" si="160"/>
        <v>#VALUE!</v>
      </c>
      <c r="E10268" t="e">
        <f>cubic_spline(CURVA!$B$6:$B$20,CURVA!$G$6:$G$20,#REF!)</f>
        <v>#VALUE!</v>
      </c>
    </row>
    <row r="10269" spans="1:5" x14ac:dyDescent="0.2">
      <c r="A10269" s="28">
        <v>10268</v>
      </c>
      <c r="B10269" s="28" t="e">
        <f>interpola(#REF!,CURVA!$B$6:$B$20,CURVA!$G$6:$G$20)</f>
        <v>#VALUE!</v>
      </c>
      <c r="C10269" s="29" t="e">
        <f t="shared" si="160"/>
        <v>#VALUE!</v>
      </c>
      <c r="E10269" t="e">
        <f>cubic_spline(CURVA!$B$6:$B$20,CURVA!$G$6:$G$20,#REF!)</f>
        <v>#VALUE!</v>
      </c>
    </row>
    <row r="10270" spans="1:5" x14ac:dyDescent="0.2">
      <c r="A10270" s="28">
        <v>10269</v>
      </c>
      <c r="B10270" s="28" t="e">
        <f>interpola(#REF!,CURVA!$B$6:$B$20,CURVA!$G$6:$G$20)</f>
        <v>#VALUE!</v>
      </c>
      <c r="C10270" s="29" t="e">
        <f t="shared" si="160"/>
        <v>#VALUE!</v>
      </c>
      <c r="E10270" t="e">
        <f>cubic_spline(CURVA!$B$6:$B$20,CURVA!$G$6:$G$20,#REF!)</f>
        <v>#VALUE!</v>
      </c>
    </row>
    <row r="10271" spans="1:5" x14ac:dyDescent="0.2">
      <c r="A10271" s="28">
        <v>10270</v>
      </c>
      <c r="B10271" s="28" t="e">
        <f>interpola(#REF!,CURVA!$B$6:$B$20,CURVA!$G$6:$G$20)</f>
        <v>#VALUE!</v>
      </c>
      <c r="C10271" s="29" t="e">
        <f t="shared" si="160"/>
        <v>#VALUE!</v>
      </c>
      <c r="E10271" t="e">
        <f>cubic_spline(CURVA!$B$6:$B$20,CURVA!$G$6:$G$20,#REF!)</f>
        <v>#VALUE!</v>
      </c>
    </row>
    <row r="10272" spans="1:5" x14ac:dyDescent="0.2">
      <c r="A10272" s="28">
        <v>10271</v>
      </c>
      <c r="B10272" s="28" t="e">
        <f>interpola(#REF!,CURVA!$B$6:$B$20,CURVA!$G$6:$G$20)</f>
        <v>#VALUE!</v>
      </c>
      <c r="C10272" s="29" t="e">
        <f t="shared" si="160"/>
        <v>#VALUE!</v>
      </c>
      <c r="E10272" t="e">
        <f>cubic_spline(CURVA!$B$6:$B$20,CURVA!$G$6:$G$20,#REF!)</f>
        <v>#VALUE!</v>
      </c>
    </row>
    <row r="10273" spans="1:5" x14ac:dyDescent="0.2">
      <c r="A10273" s="28">
        <v>10272</v>
      </c>
      <c r="B10273" s="28" t="e">
        <f>interpola(#REF!,CURVA!$B$6:$B$20,CURVA!$G$6:$G$20)</f>
        <v>#VALUE!</v>
      </c>
      <c r="C10273" s="29" t="e">
        <f t="shared" si="160"/>
        <v>#VALUE!</v>
      </c>
      <c r="E10273" t="e">
        <f>cubic_spline(CURVA!$B$6:$B$20,CURVA!$G$6:$G$20,#REF!)</f>
        <v>#VALUE!</v>
      </c>
    </row>
    <row r="10274" spans="1:5" x14ac:dyDescent="0.2">
      <c r="A10274" s="28">
        <v>10273</v>
      </c>
      <c r="B10274" s="28" t="e">
        <f>interpola(#REF!,CURVA!$B$6:$B$20,CURVA!$G$6:$G$20)</f>
        <v>#VALUE!</v>
      </c>
      <c r="C10274" s="29" t="e">
        <f t="shared" si="160"/>
        <v>#VALUE!</v>
      </c>
      <c r="E10274" t="e">
        <f>cubic_spline(CURVA!$B$6:$B$20,CURVA!$G$6:$G$20,#REF!)</f>
        <v>#VALUE!</v>
      </c>
    </row>
    <row r="10275" spans="1:5" x14ac:dyDescent="0.2">
      <c r="A10275" s="28">
        <v>10274</v>
      </c>
      <c r="B10275" s="28" t="e">
        <f>interpola(#REF!,CURVA!$B$6:$B$20,CURVA!$G$6:$G$20)</f>
        <v>#VALUE!</v>
      </c>
      <c r="C10275" s="29" t="e">
        <f t="shared" si="160"/>
        <v>#VALUE!</v>
      </c>
      <c r="E10275" t="e">
        <f>cubic_spline(CURVA!$B$6:$B$20,CURVA!$G$6:$G$20,#REF!)</f>
        <v>#VALUE!</v>
      </c>
    </row>
    <row r="10276" spans="1:5" x14ac:dyDescent="0.2">
      <c r="A10276" s="28">
        <v>10275</v>
      </c>
      <c r="B10276" s="28" t="e">
        <f>interpola(#REF!,CURVA!$B$6:$B$20,CURVA!$G$6:$G$20)</f>
        <v>#VALUE!</v>
      </c>
      <c r="C10276" s="29" t="e">
        <f t="shared" si="160"/>
        <v>#VALUE!</v>
      </c>
      <c r="E10276" t="e">
        <f>cubic_spline(CURVA!$B$6:$B$20,CURVA!$G$6:$G$20,#REF!)</f>
        <v>#VALUE!</v>
      </c>
    </row>
    <row r="10277" spans="1:5" x14ac:dyDescent="0.2">
      <c r="A10277" s="28">
        <v>10276</v>
      </c>
      <c r="B10277" s="28" t="e">
        <f>interpola(#REF!,CURVA!$B$6:$B$20,CURVA!$G$6:$G$20)</f>
        <v>#VALUE!</v>
      </c>
      <c r="C10277" s="29" t="e">
        <f t="shared" si="160"/>
        <v>#VALUE!</v>
      </c>
      <c r="E10277" t="e">
        <f>cubic_spline(CURVA!$B$6:$B$20,CURVA!$G$6:$G$20,#REF!)</f>
        <v>#VALUE!</v>
      </c>
    </row>
    <row r="10278" spans="1:5" x14ac:dyDescent="0.2">
      <c r="A10278" s="28">
        <v>10277</v>
      </c>
      <c r="B10278" s="28" t="e">
        <f>interpola(#REF!,CURVA!$B$6:$B$20,CURVA!$G$6:$G$20)</f>
        <v>#VALUE!</v>
      </c>
      <c r="C10278" s="29" t="e">
        <f t="shared" si="160"/>
        <v>#VALUE!</v>
      </c>
      <c r="E10278" t="e">
        <f>cubic_spline(CURVA!$B$6:$B$20,CURVA!$G$6:$G$20,#REF!)</f>
        <v>#VALUE!</v>
      </c>
    </row>
    <row r="10279" spans="1:5" x14ac:dyDescent="0.2">
      <c r="A10279" s="28">
        <v>10278</v>
      </c>
      <c r="B10279" s="28" t="e">
        <f>interpola(#REF!,CURVA!$B$6:$B$20,CURVA!$G$6:$G$20)</f>
        <v>#VALUE!</v>
      </c>
      <c r="C10279" s="29" t="e">
        <f t="shared" si="160"/>
        <v>#VALUE!</v>
      </c>
      <c r="E10279" t="e">
        <f>cubic_spline(CURVA!$B$6:$B$20,CURVA!$G$6:$G$20,#REF!)</f>
        <v>#VALUE!</v>
      </c>
    </row>
    <row r="10280" spans="1:5" x14ac:dyDescent="0.2">
      <c r="A10280" s="28">
        <v>10279</v>
      </c>
      <c r="B10280" s="28" t="e">
        <f>interpola(#REF!,CURVA!$B$6:$B$20,CURVA!$G$6:$G$20)</f>
        <v>#VALUE!</v>
      </c>
      <c r="C10280" s="29" t="e">
        <f t="shared" si="160"/>
        <v>#VALUE!</v>
      </c>
      <c r="E10280" t="e">
        <f>cubic_spline(CURVA!$B$6:$B$20,CURVA!$G$6:$G$20,#REF!)</f>
        <v>#VALUE!</v>
      </c>
    </row>
    <row r="10281" spans="1:5" x14ac:dyDescent="0.2">
      <c r="A10281" s="28">
        <v>10280</v>
      </c>
      <c r="B10281" s="28" t="e">
        <f>interpola(#REF!,CURVA!$B$6:$B$20,CURVA!$G$6:$G$20)</f>
        <v>#VALUE!</v>
      </c>
      <c r="C10281" s="29" t="e">
        <f t="shared" si="160"/>
        <v>#VALUE!</v>
      </c>
      <c r="E10281" t="e">
        <f>cubic_spline(CURVA!$B$6:$B$20,CURVA!$G$6:$G$20,#REF!)</f>
        <v>#VALUE!</v>
      </c>
    </row>
    <row r="10282" spans="1:5" x14ac:dyDescent="0.2">
      <c r="A10282" s="28">
        <v>10281</v>
      </c>
      <c r="B10282" s="28" t="e">
        <f>interpola(#REF!,CURVA!$B$6:$B$20,CURVA!$G$6:$G$20)</f>
        <v>#VALUE!</v>
      </c>
      <c r="C10282" s="29" t="e">
        <f t="shared" si="160"/>
        <v>#VALUE!</v>
      </c>
      <c r="E10282" t="e">
        <f>cubic_spline(CURVA!$B$6:$B$20,CURVA!$G$6:$G$20,#REF!)</f>
        <v>#VALUE!</v>
      </c>
    </row>
    <row r="10283" spans="1:5" x14ac:dyDescent="0.2">
      <c r="A10283" s="28">
        <v>10282</v>
      </c>
      <c r="B10283" s="28" t="e">
        <f>interpola(#REF!,CURVA!$B$6:$B$20,CURVA!$G$6:$G$20)</f>
        <v>#VALUE!</v>
      </c>
      <c r="C10283" s="29" t="e">
        <f t="shared" si="160"/>
        <v>#VALUE!</v>
      </c>
      <c r="E10283" t="e">
        <f>cubic_spline(CURVA!$B$6:$B$20,CURVA!$G$6:$G$20,#REF!)</f>
        <v>#VALUE!</v>
      </c>
    </row>
    <row r="10284" spans="1:5" x14ac:dyDescent="0.2">
      <c r="A10284" s="28">
        <v>10283</v>
      </c>
      <c r="B10284" s="28" t="e">
        <f>interpola(#REF!,CURVA!$B$6:$B$20,CURVA!$G$6:$G$20)</f>
        <v>#VALUE!</v>
      </c>
      <c r="C10284" s="29" t="e">
        <f t="shared" si="160"/>
        <v>#VALUE!</v>
      </c>
      <c r="E10284" t="e">
        <f>cubic_spline(CURVA!$B$6:$B$20,CURVA!$G$6:$G$20,#REF!)</f>
        <v>#VALUE!</v>
      </c>
    </row>
    <row r="10285" spans="1:5" x14ac:dyDescent="0.2">
      <c r="A10285" s="28">
        <v>10284</v>
      </c>
      <c r="B10285" s="28" t="e">
        <f>interpola(#REF!,CURVA!$B$6:$B$20,CURVA!$G$6:$G$20)</f>
        <v>#VALUE!</v>
      </c>
      <c r="C10285" s="29" t="e">
        <f t="shared" si="160"/>
        <v>#VALUE!</v>
      </c>
      <c r="E10285" t="e">
        <f>cubic_spline(CURVA!$B$6:$B$20,CURVA!$G$6:$G$20,#REF!)</f>
        <v>#VALUE!</v>
      </c>
    </row>
    <row r="10286" spans="1:5" x14ac:dyDescent="0.2">
      <c r="A10286" s="28">
        <v>10285</v>
      </c>
      <c r="B10286" s="28" t="e">
        <f>interpola(#REF!,CURVA!$B$6:$B$20,CURVA!$G$6:$G$20)</f>
        <v>#VALUE!</v>
      </c>
      <c r="C10286" s="29" t="e">
        <f t="shared" si="160"/>
        <v>#VALUE!</v>
      </c>
      <c r="E10286" t="e">
        <f>cubic_spline(CURVA!$B$6:$B$20,CURVA!$G$6:$G$20,#REF!)</f>
        <v>#VALUE!</v>
      </c>
    </row>
    <row r="10287" spans="1:5" x14ac:dyDescent="0.2">
      <c r="A10287" s="28">
        <v>10286</v>
      </c>
      <c r="B10287" s="28" t="e">
        <f>interpola(#REF!,CURVA!$B$6:$B$20,CURVA!$G$6:$G$20)</f>
        <v>#VALUE!</v>
      </c>
      <c r="C10287" s="29" t="e">
        <f t="shared" si="160"/>
        <v>#VALUE!</v>
      </c>
      <c r="E10287" t="e">
        <f>cubic_spline(CURVA!$B$6:$B$20,CURVA!$G$6:$G$20,#REF!)</f>
        <v>#VALUE!</v>
      </c>
    </row>
    <row r="10288" spans="1:5" x14ac:dyDescent="0.2">
      <c r="A10288" s="28">
        <v>10287</v>
      </c>
      <c r="B10288" s="28" t="e">
        <f>interpola(#REF!,CURVA!$B$6:$B$20,CURVA!$G$6:$G$20)</f>
        <v>#VALUE!</v>
      </c>
      <c r="C10288" s="29" t="e">
        <f t="shared" si="160"/>
        <v>#VALUE!</v>
      </c>
      <c r="E10288" t="e">
        <f>cubic_spline(CURVA!$B$6:$B$20,CURVA!$G$6:$G$20,#REF!)</f>
        <v>#VALUE!</v>
      </c>
    </row>
    <row r="10289" spans="1:5" x14ac:dyDescent="0.2">
      <c r="A10289" s="28">
        <v>10288</v>
      </c>
      <c r="B10289" s="28" t="e">
        <f>interpola(#REF!,CURVA!$B$6:$B$20,CURVA!$G$6:$G$20)</f>
        <v>#VALUE!</v>
      </c>
      <c r="C10289" s="29" t="e">
        <f t="shared" si="160"/>
        <v>#VALUE!</v>
      </c>
      <c r="E10289" t="e">
        <f>cubic_spline(CURVA!$B$6:$B$20,CURVA!$G$6:$G$20,#REF!)</f>
        <v>#VALUE!</v>
      </c>
    </row>
    <row r="10290" spans="1:5" x14ac:dyDescent="0.2">
      <c r="A10290" s="28">
        <v>10289</v>
      </c>
      <c r="B10290" s="28" t="e">
        <f>interpola(#REF!,CURVA!$B$6:$B$20,CURVA!$G$6:$G$20)</f>
        <v>#VALUE!</v>
      </c>
      <c r="C10290" s="29" t="e">
        <f t="shared" si="160"/>
        <v>#VALUE!</v>
      </c>
      <c r="E10290" t="e">
        <f>cubic_spline(CURVA!$B$6:$B$20,CURVA!$G$6:$G$20,#REF!)</f>
        <v>#VALUE!</v>
      </c>
    </row>
    <row r="10291" spans="1:5" x14ac:dyDescent="0.2">
      <c r="A10291" s="28">
        <v>10290</v>
      </c>
      <c r="B10291" s="28" t="e">
        <f>interpola(#REF!,CURVA!$B$6:$B$20,CURVA!$G$6:$G$20)</f>
        <v>#VALUE!</v>
      </c>
      <c r="C10291" s="29" t="e">
        <f t="shared" si="160"/>
        <v>#VALUE!</v>
      </c>
      <c r="E10291" t="e">
        <f>cubic_spline(CURVA!$B$6:$B$20,CURVA!$G$6:$G$20,#REF!)</f>
        <v>#VALUE!</v>
      </c>
    </row>
    <row r="10292" spans="1:5" x14ac:dyDescent="0.2">
      <c r="A10292" s="28">
        <v>10291</v>
      </c>
      <c r="B10292" s="28" t="e">
        <f>interpola(#REF!,CURVA!$B$6:$B$20,CURVA!$G$6:$G$20)</f>
        <v>#VALUE!</v>
      </c>
      <c r="C10292" s="29" t="e">
        <f t="shared" si="160"/>
        <v>#VALUE!</v>
      </c>
      <c r="E10292" t="e">
        <f>cubic_spline(CURVA!$B$6:$B$20,CURVA!$G$6:$G$20,#REF!)</f>
        <v>#VALUE!</v>
      </c>
    </row>
    <row r="10293" spans="1:5" x14ac:dyDescent="0.2">
      <c r="A10293" s="28">
        <v>10292</v>
      </c>
      <c r="B10293" s="28" t="e">
        <f>interpola(#REF!,CURVA!$B$6:$B$20,CURVA!$G$6:$G$20)</f>
        <v>#VALUE!</v>
      </c>
      <c r="C10293" s="29" t="e">
        <f t="shared" si="160"/>
        <v>#VALUE!</v>
      </c>
      <c r="E10293" t="e">
        <f>cubic_spline(CURVA!$B$6:$B$20,CURVA!$G$6:$G$20,#REF!)</f>
        <v>#VALUE!</v>
      </c>
    </row>
    <row r="10294" spans="1:5" x14ac:dyDescent="0.2">
      <c r="A10294" s="28">
        <v>10293</v>
      </c>
      <c r="B10294" s="28" t="e">
        <f>interpola(#REF!,CURVA!$B$6:$B$20,CURVA!$G$6:$G$20)</f>
        <v>#VALUE!</v>
      </c>
      <c r="C10294" s="29" t="e">
        <f t="shared" si="160"/>
        <v>#VALUE!</v>
      </c>
      <c r="E10294" t="e">
        <f>cubic_spline(CURVA!$B$6:$B$20,CURVA!$G$6:$G$20,#REF!)</f>
        <v>#VALUE!</v>
      </c>
    </row>
    <row r="10295" spans="1:5" x14ac:dyDescent="0.2">
      <c r="A10295" s="28">
        <v>10294</v>
      </c>
      <c r="B10295" s="28" t="e">
        <f>interpola(#REF!,CURVA!$B$6:$B$20,CURVA!$G$6:$G$20)</f>
        <v>#VALUE!</v>
      </c>
      <c r="C10295" s="29" t="e">
        <f t="shared" si="160"/>
        <v>#VALUE!</v>
      </c>
      <c r="E10295" t="e">
        <f>cubic_spline(CURVA!$B$6:$B$20,CURVA!$G$6:$G$20,#REF!)</f>
        <v>#VALUE!</v>
      </c>
    </row>
    <row r="10296" spans="1:5" x14ac:dyDescent="0.2">
      <c r="A10296" s="28">
        <v>10295</v>
      </c>
      <c r="B10296" s="28" t="e">
        <f>interpola(#REF!,CURVA!$B$6:$B$20,CURVA!$G$6:$G$20)</f>
        <v>#VALUE!</v>
      </c>
      <c r="C10296" s="29" t="e">
        <f t="shared" si="160"/>
        <v>#VALUE!</v>
      </c>
      <c r="E10296" t="e">
        <f>cubic_spline(CURVA!$B$6:$B$20,CURVA!$G$6:$G$20,#REF!)</f>
        <v>#VALUE!</v>
      </c>
    </row>
    <row r="10297" spans="1:5" x14ac:dyDescent="0.2">
      <c r="A10297" s="28">
        <v>10296</v>
      </c>
      <c r="B10297" s="28" t="e">
        <f>interpola(#REF!,CURVA!$B$6:$B$20,CURVA!$G$6:$G$20)</f>
        <v>#VALUE!</v>
      </c>
      <c r="C10297" s="29" t="e">
        <f t="shared" si="160"/>
        <v>#VALUE!</v>
      </c>
      <c r="E10297" t="e">
        <f>cubic_spline(CURVA!$B$6:$B$20,CURVA!$G$6:$G$20,#REF!)</f>
        <v>#VALUE!</v>
      </c>
    </row>
    <row r="10298" spans="1:5" x14ac:dyDescent="0.2">
      <c r="A10298" s="28">
        <v>10297</v>
      </c>
      <c r="B10298" s="28" t="e">
        <f>interpola(#REF!,CURVA!$B$6:$B$20,CURVA!$G$6:$G$20)</f>
        <v>#VALUE!</v>
      </c>
      <c r="C10298" s="29" t="e">
        <f t="shared" si="160"/>
        <v>#VALUE!</v>
      </c>
      <c r="E10298" t="e">
        <f>cubic_spline(CURVA!$B$6:$B$20,CURVA!$G$6:$G$20,#REF!)</f>
        <v>#VALUE!</v>
      </c>
    </row>
    <row r="10299" spans="1:5" x14ac:dyDescent="0.2">
      <c r="A10299" s="28">
        <v>10298</v>
      </c>
      <c r="B10299" s="28" t="e">
        <f>interpola(#REF!,CURVA!$B$6:$B$20,CURVA!$G$6:$G$20)</f>
        <v>#VALUE!</v>
      </c>
      <c r="C10299" s="29" t="e">
        <f t="shared" si="160"/>
        <v>#VALUE!</v>
      </c>
      <c r="E10299" t="e">
        <f>cubic_spline(CURVA!$B$6:$B$20,CURVA!$G$6:$G$20,#REF!)</f>
        <v>#VALUE!</v>
      </c>
    </row>
    <row r="10300" spans="1:5" x14ac:dyDescent="0.2">
      <c r="A10300" s="28">
        <v>10299</v>
      </c>
      <c r="B10300" s="28" t="e">
        <f>interpola(#REF!,CURVA!$B$6:$B$20,CURVA!$G$6:$G$20)</f>
        <v>#VALUE!</v>
      </c>
      <c r="C10300" s="29" t="e">
        <f t="shared" si="160"/>
        <v>#VALUE!</v>
      </c>
      <c r="E10300" t="e">
        <f>cubic_spline(CURVA!$B$6:$B$20,CURVA!$G$6:$G$20,#REF!)</f>
        <v>#VALUE!</v>
      </c>
    </row>
    <row r="10301" spans="1:5" x14ac:dyDescent="0.2">
      <c r="A10301" s="28">
        <v>10300</v>
      </c>
      <c r="B10301" s="28" t="e">
        <f>interpola(#REF!,CURVA!$B$6:$B$20,CURVA!$G$6:$G$20)</f>
        <v>#VALUE!</v>
      </c>
      <c r="C10301" s="29" t="e">
        <f t="shared" si="160"/>
        <v>#VALUE!</v>
      </c>
      <c r="E10301" t="e">
        <f>cubic_spline(CURVA!$B$6:$B$20,CURVA!$G$6:$G$20,#REF!)</f>
        <v>#VALUE!</v>
      </c>
    </row>
    <row r="10302" spans="1:5" x14ac:dyDescent="0.2">
      <c r="A10302" s="28">
        <v>10301</v>
      </c>
      <c r="B10302" s="28" t="e">
        <f>interpola(#REF!,CURVA!$B$6:$B$20,CURVA!$G$6:$G$20)</f>
        <v>#VALUE!</v>
      </c>
      <c r="C10302" s="29" t="e">
        <f t="shared" si="160"/>
        <v>#VALUE!</v>
      </c>
      <c r="E10302" t="e">
        <f>cubic_spline(CURVA!$B$6:$B$20,CURVA!$G$6:$G$20,#REF!)</f>
        <v>#VALUE!</v>
      </c>
    </row>
    <row r="10303" spans="1:5" x14ac:dyDescent="0.2">
      <c r="A10303" s="28">
        <v>10302</v>
      </c>
      <c r="B10303" s="28" t="e">
        <f>interpola(#REF!,CURVA!$B$6:$B$20,CURVA!$G$6:$G$20)</f>
        <v>#VALUE!</v>
      </c>
      <c r="C10303" s="29" t="e">
        <f t="shared" si="160"/>
        <v>#VALUE!</v>
      </c>
      <c r="E10303" t="e">
        <f>cubic_spline(CURVA!$B$6:$B$20,CURVA!$G$6:$G$20,#REF!)</f>
        <v>#VALUE!</v>
      </c>
    </row>
    <row r="10304" spans="1:5" x14ac:dyDescent="0.2">
      <c r="A10304" s="28">
        <v>10303</v>
      </c>
      <c r="B10304" s="28" t="e">
        <f>interpola(#REF!,CURVA!$B$6:$B$20,CURVA!$G$6:$G$20)</f>
        <v>#VALUE!</v>
      </c>
      <c r="C10304" s="29" t="e">
        <f t="shared" si="160"/>
        <v>#VALUE!</v>
      </c>
      <c r="E10304" t="e">
        <f>cubic_spline(CURVA!$B$6:$B$20,CURVA!$G$6:$G$20,#REF!)</f>
        <v>#VALUE!</v>
      </c>
    </row>
    <row r="10305" spans="1:5" x14ac:dyDescent="0.2">
      <c r="A10305" s="28">
        <v>10304</v>
      </c>
      <c r="B10305" s="28" t="e">
        <f>interpola(#REF!,CURVA!$B$6:$B$20,CURVA!$G$6:$G$20)</f>
        <v>#VALUE!</v>
      </c>
      <c r="C10305" s="29" t="e">
        <f t="shared" si="160"/>
        <v>#VALUE!</v>
      </c>
      <c r="E10305" t="e">
        <f>cubic_spline(CURVA!$B$6:$B$20,CURVA!$G$6:$G$20,#REF!)</f>
        <v>#VALUE!</v>
      </c>
    </row>
    <row r="10306" spans="1:5" x14ac:dyDescent="0.2">
      <c r="A10306" s="28">
        <v>10305</v>
      </c>
      <c r="B10306" s="28" t="e">
        <f>interpola(#REF!,CURVA!$B$6:$B$20,CURVA!$G$6:$G$20)</f>
        <v>#VALUE!</v>
      </c>
      <c r="C10306" s="29" t="e">
        <f t="shared" ref="C10306:C10369" si="161">(EXP(B10306*A10306/360)-1)*360/A10306</f>
        <v>#VALUE!</v>
      </c>
      <c r="E10306" t="e">
        <f>cubic_spline(CURVA!$B$6:$B$20,CURVA!$G$6:$G$20,#REF!)</f>
        <v>#VALUE!</v>
      </c>
    </row>
    <row r="10307" spans="1:5" x14ac:dyDescent="0.2">
      <c r="A10307" s="28">
        <v>10306</v>
      </c>
      <c r="B10307" s="28" t="e">
        <f>interpola(#REF!,CURVA!$B$6:$B$20,CURVA!$G$6:$G$20)</f>
        <v>#VALUE!</v>
      </c>
      <c r="C10307" s="29" t="e">
        <f t="shared" si="161"/>
        <v>#VALUE!</v>
      </c>
      <c r="E10307" t="e">
        <f>cubic_spline(CURVA!$B$6:$B$20,CURVA!$G$6:$G$20,#REF!)</f>
        <v>#VALUE!</v>
      </c>
    </row>
    <row r="10308" spans="1:5" x14ac:dyDescent="0.2">
      <c r="A10308" s="28">
        <v>10307</v>
      </c>
      <c r="B10308" s="28" t="e">
        <f>interpola(#REF!,CURVA!$B$6:$B$20,CURVA!$G$6:$G$20)</f>
        <v>#VALUE!</v>
      </c>
      <c r="C10308" s="29" t="e">
        <f t="shared" si="161"/>
        <v>#VALUE!</v>
      </c>
      <c r="E10308" t="e">
        <f>cubic_spline(CURVA!$B$6:$B$20,CURVA!$G$6:$G$20,#REF!)</f>
        <v>#VALUE!</v>
      </c>
    </row>
    <row r="10309" spans="1:5" x14ac:dyDescent="0.2">
      <c r="A10309" s="28">
        <v>10308</v>
      </c>
      <c r="B10309" s="28" t="e">
        <f>interpola(#REF!,CURVA!$B$6:$B$20,CURVA!$G$6:$G$20)</f>
        <v>#VALUE!</v>
      </c>
      <c r="C10309" s="29" t="e">
        <f t="shared" si="161"/>
        <v>#VALUE!</v>
      </c>
      <c r="E10309" t="e">
        <f>cubic_spline(CURVA!$B$6:$B$20,CURVA!$G$6:$G$20,#REF!)</f>
        <v>#VALUE!</v>
      </c>
    </row>
    <row r="10310" spans="1:5" x14ac:dyDescent="0.2">
      <c r="A10310" s="28">
        <v>10309</v>
      </c>
      <c r="B10310" s="28" t="e">
        <f>interpola(#REF!,CURVA!$B$6:$B$20,CURVA!$G$6:$G$20)</f>
        <v>#VALUE!</v>
      </c>
      <c r="C10310" s="29" t="e">
        <f t="shared" si="161"/>
        <v>#VALUE!</v>
      </c>
      <c r="E10310" t="e">
        <f>cubic_spline(CURVA!$B$6:$B$20,CURVA!$G$6:$G$20,#REF!)</f>
        <v>#VALUE!</v>
      </c>
    </row>
    <row r="10311" spans="1:5" x14ac:dyDescent="0.2">
      <c r="A10311" s="28">
        <v>10310</v>
      </c>
      <c r="B10311" s="28" t="e">
        <f>interpola(#REF!,CURVA!$B$6:$B$20,CURVA!$G$6:$G$20)</f>
        <v>#VALUE!</v>
      </c>
      <c r="C10311" s="29" t="e">
        <f t="shared" si="161"/>
        <v>#VALUE!</v>
      </c>
      <c r="E10311" t="e">
        <f>cubic_spline(CURVA!$B$6:$B$20,CURVA!$G$6:$G$20,#REF!)</f>
        <v>#VALUE!</v>
      </c>
    </row>
    <row r="10312" spans="1:5" x14ac:dyDescent="0.2">
      <c r="A10312" s="28">
        <v>10311</v>
      </c>
      <c r="B10312" s="28" t="e">
        <f>interpola(#REF!,CURVA!$B$6:$B$20,CURVA!$G$6:$G$20)</f>
        <v>#VALUE!</v>
      </c>
      <c r="C10312" s="29" t="e">
        <f t="shared" si="161"/>
        <v>#VALUE!</v>
      </c>
      <c r="E10312" t="e">
        <f>cubic_spline(CURVA!$B$6:$B$20,CURVA!$G$6:$G$20,#REF!)</f>
        <v>#VALUE!</v>
      </c>
    </row>
    <row r="10313" spans="1:5" x14ac:dyDescent="0.2">
      <c r="A10313" s="28">
        <v>10312</v>
      </c>
      <c r="B10313" s="28" t="e">
        <f>interpola(#REF!,CURVA!$B$6:$B$20,CURVA!$G$6:$G$20)</f>
        <v>#VALUE!</v>
      </c>
      <c r="C10313" s="29" t="e">
        <f t="shared" si="161"/>
        <v>#VALUE!</v>
      </c>
      <c r="E10313" t="e">
        <f>cubic_spline(CURVA!$B$6:$B$20,CURVA!$G$6:$G$20,#REF!)</f>
        <v>#VALUE!</v>
      </c>
    </row>
    <row r="10314" spans="1:5" x14ac:dyDescent="0.2">
      <c r="A10314" s="28">
        <v>10313</v>
      </c>
      <c r="B10314" s="28" t="e">
        <f>interpola(#REF!,CURVA!$B$6:$B$20,CURVA!$G$6:$G$20)</f>
        <v>#VALUE!</v>
      </c>
      <c r="C10314" s="29" t="e">
        <f t="shared" si="161"/>
        <v>#VALUE!</v>
      </c>
      <c r="E10314" t="e">
        <f>cubic_spline(CURVA!$B$6:$B$20,CURVA!$G$6:$G$20,#REF!)</f>
        <v>#VALUE!</v>
      </c>
    </row>
    <row r="10315" spans="1:5" x14ac:dyDescent="0.2">
      <c r="A10315" s="28">
        <v>10314</v>
      </c>
      <c r="B10315" s="28" t="e">
        <f>interpola(#REF!,CURVA!$B$6:$B$20,CURVA!$G$6:$G$20)</f>
        <v>#VALUE!</v>
      </c>
      <c r="C10315" s="29" t="e">
        <f t="shared" si="161"/>
        <v>#VALUE!</v>
      </c>
      <c r="E10315" t="e">
        <f>cubic_spline(CURVA!$B$6:$B$20,CURVA!$G$6:$G$20,#REF!)</f>
        <v>#VALUE!</v>
      </c>
    </row>
    <row r="10316" spans="1:5" x14ac:dyDescent="0.2">
      <c r="A10316" s="28">
        <v>10315</v>
      </c>
      <c r="B10316" s="28" t="e">
        <f>interpola(#REF!,CURVA!$B$6:$B$20,CURVA!$G$6:$G$20)</f>
        <v>#VALUE!</v>
      </c>
      <c r="C10316" s="29" t="e">
        <f t="shared" si="161"/>
        <v>#VALUE!</v>
      </c>
      <c r="E10316" t="e">
        <f>cubic_spline(CURVA!$B$6:$B$20,CURVA!$G$6:$G$20,#REF!)</f>
        <v>#VALUE!</v>
      </c>
    </row>
    <row r="10317" spans="1:5" x14ac:dyDescent="0.2">
      <c r="A10317" s="28">
        <v>10316</v>
      </c>
      <c r="B10317" s="28" t="e">
        <f>interpola(#REF!,CURVA!$B$6:$B$20,CURVA!$G$6:$G$20)</f>
        <v>#VALUE!</v>
      </c>
      <c r="C10317" s="29" t="e">
        <f t="shared" si="161"/>
        <v>#VALUE!</v>
      </c>
      <c r="E10317" t="e">
        <f>cubic_spline(CURVA!$B$6:$B$20,CURVA!$G$6:$G$20,#REF!)</f>
        <v>#VALUE!</v>
      </c>
    </row>
    <row r="10318" spans="1:5" x14ac:dyDescent="0.2">
      <c r="A10318" s="28">
        <v>10317</v>
      </c>
      <c r="B10318" s="28" t="e">
        <f>interpola(#REF!,CURVA!$B$6:$B$20,CURVA!$G$6:$G$20)</f>
        <v>#VALUE!</v>
      </c>
      <c r="C10318" s="29" t="e">
        <f t="shared" si="161"/>
        <v>#VALUE!</v>
      </c>
      <c r="E10318" t="e">
        <f>cubic_spline(CURVA!$B$6:$B$20,CURVA!$G$6:$G$20,#REF!)</f>
        <v>#VALUE!</v>
      </c>
    </row>
    <row r="10319" spans="1:5" x14ac:dyDescent="0.2">
      <c r="A10319" s="28">
        <v>10318</v>
      </c>
      <c r="B10319" s="28" t="e">
        <f>interpola(#REF!,CURVA!$B$6:$B$20,CURVA!$G$6:$G$20)</f>
        <v>#VALUE!</v>
      </c>
      <c r="C10319" s="29" t="e">
        <f t="shared" si="161"/>
        <v>#VALUE!</v>
      </c>
      <c r="E10319" t="e">
        <f>cubic_spline(CURVA!$B$6:$B$20,CURVA!$G$6:$G$20,#REF!)</f>
        <v>#VALUE!</v>
      </c>
    </row>
    <row r="10320" spans="1:5" x14ac:dyDescent="0.2">
      <c r="A10320" s="28">
        <v>10319</v>
      </c>
      <c r="B10320" s="28" t="e">
        <f>interpola(#REF!,CURVA!$B$6:$B$20,CURVA!$G$6:$G$20)</f>
        <v>#VALUE!</v>
      </c>
      <c r="C10320" s="29" t="e">
        <f t="shared" si="161"/>
        <v>#VALUE!</v>
      </c>
      <c r="E10320" t="e">
        <f>cubic_spline(CURVA!$B$6:$B$20,CURVA!$G$6:$G$20,#REF!)</f>
        <v>#VALUE!</v>
      </c>
    </row>
    <row r="10321" spans="1:5" x14ac:dyDescent="0.2">
      <c r="A10321" s="28">
        <v>10320</v>
      </c>
      <c r="B10321" s="28" t="e">
        <f>interpola(#REF!,CURVA!$B$6:$B$20,CURVA!$G$6:$G$20)</f>
        <v>#VALUE!</v>
      </c>
      <c r="C10321" s="29" t="e">
        <f t="shared" si="161"/>
        <v>#VALUE!</v>
      </c>
      <c r="E10321" t="e">
        <f>cubic_spline(CURVA!$B$6:$B$20,CURVA!$G$6:$G$20,#REF!)</f>
        <v>#VALUE!</v>
      </c>
    </row>
    <row r="10322" spans="1:5" x14ac:dyDescent="0.2">
      <c r="A10322" s="28">
        <v>10321</v>
      </c>
      <c r="B10322" s="28" t="e">
        <f>interpola(#REF!,CURVA!$B$6:$B$20,CURVA!$G$6:$G$20)</f>
        <v>#VALUE!</v>
      </c>
      <c r="C10322" s="29" t="e">
        <f t="shared" si="161"/>
        <v>#VALUE!</v>
      </c>
      <c r="E10322" t="e">
        <f>cubic_spline(CURVA!$B$6:$B$20,CURVA!$G$6:$G$20,#REF!)</f>
        <v>#VALUE!</v>
      </c>
    </row>
    <row r="10323" spans="1:5" x14ac:dyDescent="0.2">
      <c r="A10323" s="28">
        <v>10322</v>
      </c>
      <c r="B10323" s="28" t="e">
        <f>interpola(#REF!,CURVA!$B$6:$B$20,CURVA!$G$6:$G$20)</f>
        <v>#VALUE!</v>
      </c>
      <c r="C10323" s="29" t="e">
        <f t="shared" si="161"/>
        <v>#VALUE!</v>
      </c>
      <c r="E10323" t="e">
        <f>cubic_spline(CURVA!$B$6:$B$20,CURVA!$G$6:$G$20,#REF!)</f>
        <v>#VALUE!</v>
      </c>
    </row>
    <row r="10324" spans="1:5" x14ac:dyDescent="0.2">
      <c r="A10324" s="28">
        <v>10323</v>
      </c>
      <c r="B10324" s="28" t="e">
        <f>interpola(#REF!,CURVA!$B$6:$B$20,CURVA!$G$6:$G$20)</f>
        <v>#VALUE!</v>
      </c>
      <c r="C10324" s="29" t="e">
        <f t="shared" si="161"/>
        <v>#VALUE!</v>
      </c>
      <c r="E10324" t="e">
        <f>cubic_spline(CURVA!$B$6:$B$20,CURVA!$G$6:$G$20,#REF!)</f>
        <v>#VALUE!</v>
      </c>
    </row>
    <row r="10325" spans="1:5" x14ac:dyDescent="0.2">
      <c r="A10325" s="28">
        <v>10324</v>
      </c>
      <c r="B10325" s="28" t="e">
        <f>interpola(#REF!,CURVA!$B$6:$B$20,CURVA!$G$6:$G$20)</f>
        <v>#VALUE!</v>
      </c>
      <c r="C10325" s="29" t="e">
        <f t="shared" si="161"/>
        <v>#VALUE!</v>
      </c>
      <c r="E10325" t="e">
        <f>cubic_spline(CURVA!$B$6:$B$20,CURVA!$G$6:$G$20,#REF!)</f>
        <v>#VALUE!</v>
      </c>
    </row>
    <row r="10326" spans="1:5" x14ac:dyDescent="0.2">
      <c r="A10326" s="28">
        <v>10325</v>
      </c>
      <c r="B10326" s="28" t="e">
        <f>interpola(#REF!,CURVA!$B$6:$B$20,CURVA!$G$6:$G$20)</f>
        <v>#VALUE!</v>
      </c>
      <c r="C10326" s="29" t="e">
        <f t="shared" si="161"/>
        <v>#VALUE!</v>
      </c>
      <c r="E10326" t="e">
        <f>cubic_spline(CURVA!$B$6:$B$20,CURVA!$G$6:$G$20,#REF!)</f>
        <v>#VALUE!</v>
      </c>
    </row>
    <row r="10327" spans="1:5" x14ac:dyDescent="0.2">
      <c r="A10327" s="28">
        <v>10326</v>
      </c>
      <c r="B10327" s="28" t="e">
        <f>interpola(#REF!,CURVA!$B$6:$B$20,CURVA!$G$6:$G$20)</f>
        <v>#VALUE!</v>
      </c>
      <c r="C10327" s="29" t="e">
        <f t="shared" si="161"/>
        <v>#VALUE!</v>
      </c>
      <c r="E10327" t="e">
        <f>cubic_spline(CURVA!$B$6:$B$20,CURVA!$G$6:$G$20,#REF!)</f>
        <v>#VALUE!</v>
      </c>
    </row>
    <row r="10328" spans="1:5" x14ac:dyDescent="0.2">
      <c r="A10328" s="28">
        <v>10327</v>
      </c>
      <c r="B10328" s="28" t="e">
        <f>interpola(#REF!,CURVA!$B$6:$B$20,CURVA!$G$6:$G$20)</f>
        <v>#VALUE!</v>
      </c>
      <c r="C10328" s="29" t="e">
        <f t="shared" si="161"/>
        <v>#VALUE!</v>
      </c>
      <c r="E10328" t="e">
        <f>cubic_spline(CURVA!$B$6:$B$20,CURVA!$G$6:$G$20,#REF!)</f>
        <v>#VALUE!</v>
      </c>
    </row>
    <row r="10329" spans="1:5" x14ac:dyDescent="0.2">
      <c r="A10329" s="28">
        <v>10328</v>
      </c>
      <c r="B10329" s="28" t="e">
        <f>interpola(#REF!,CURVA!$B$6:$B$20,CURVA!$G$6:$G$20)</f>
        <v>#VALUE!</v>
      </c>
      <c r="C10329" s="29" t="e">
        <f t="shared" si="161"/>
        <v>#VALUE!</v>
      </c>
      <c r="E10329" t="e">
        <f>cubic_spline(CURVA!$B$6:$B$20,CURVA!$G$6:$G$20,#REF!)</f>
        <v>#VALUE!</v>
      </c>
    </row>
    <row r="10330" spans="1:5" x14ac:dyDescent="0.2">
      <c r="A10330" s="28">
        <v>10329</v>
      </c>
      <c r="B10330" s="28" t="e">
        <f>interpola(#REF!,CURVA!$B$6:$B$20,CURVA!$G$6:$G$20)</f>
        <v>#VALUE!</v>
      </c>
      <c r="C10330" s="29" t="e">
        <f t="shared" si="161"/>
        <v>#VALUE!</v>
      </c>
      <c r="E10330" t="e">
        <f>cubic_spline(CURVA!$B$6:$B$20,CURVA!$G$6:$G$20,#REF!)</f>
        <v>#VALUE!</v>
      </c>
    </row>
    <row r="10331" spans="1:5" x14ac:dyDescent="0.2">
      <c r="A10331" s="28">
        <v>10330</v>
      </c>
      <c r="B10331" s="28" t="e">
        <f>interpola(#REF!,CURVA!$B$6:$B$20,CURVA!$G$6:$G$20)</f>
        <v>#VALUE!</v>
      </c>
      <c r="C10331" s="29" t="e">
        <f t="shared" si="161"/>
        <v>#VALUE!</v>
      </c>
      <c r="E10331" t="e">
        <f>cubic_spline(CURVA!$B$6:$B$20,CURVA!$G$6:$G$20,#REF!)</f>
        <v>#VALUE!</v>
      </c>
    </row>
    <row r="10332" spans="1:5" x14ac:dyDescent="0.2">
      <c r="A10332" s="28">
        <v>10331</v>
      </c>
      <c r="B10332" s="28" t="e">
        <f>interpola(#REF!,CURVA!$B$6:$B$20,CURVA!$G$6:$G$20)</f>
        <v>#VALUE!</v>
      </c>
      <c r="C10332" s="29" t="e">
        <f t="shared" si="161"/>
        <v>#VALUE!</v>
      </c>
      <c r="E10332" t="e">
        <f>cubic_spline(CURVA!$B$6:$B$20,CURVA!$G$6:$G$20,#REF!)</f>
        <v>#VALUE!</v>
      </c>
    </row>
    <row r="10333" spans="1:5" x14ac:dyDescent="0.2">
      <c r="A10333" s="28">
        <v>10332</v>
      </c>
      <c r="B10333" s="28" t="e">
        <f>interpola(#REF!,CURVA!$B$6:$B$20,CURVA!$G$6:$G$20)</f>
        <v>#VALUE!</v>
      </c>
      <c r="C10333" s="29" t="e">
        <f t="shared" si="161"/>
        <v>#VALUE!</v>
      </c>
      <c r="E10333" t="e">
        <f>cubic_spline(CURVA!$B$6:$B$20,CURVA!$G$6:$G$20,#REF!)</f>
        <v>#VALUE!</v>
      </c>
    </row>
    <row r="10334" spans="1:5" x14ac:dyDescent="0.2">
      <c r="A10334" s="28">
        <v>10333</v>
      </c>
      <c r="B10334" s="28" t="e">
        <f>interpola(#REF!,CURVA!$B$6:$B$20,CURVA!$G$6:$G$20)</f>
        <v>#VALUE!</v>
      </c>
      <c r="C10334" s="29" t="e">
        <f t="shared" si="161"/>
        <v>#VALUE!</v>
      </c>
      <c r="E10334" t="e">
        <f>cubic_spline(CURVA!$B$6:$B$20,CURVA!$G$6:$G$20,#REF!)</f>
        <v>#VALUE!</v>
      </c>
    </row>
    <row r="10335" spans="1:5" x14ac:dyDescent="0.2">
      <c r="A10335" s="28">
        <v>10334</v>
      </c>
      <c r="B10335" s="28" t="e">
        <f>interpola(#REF!,CURVA!$B$6:$B$20,CURVA!$G$6:$G$20)</f>
        <v>#VALUE!</v>
      </c>
      <c r="C10335" s="29" t="e">
        <f t="shared" si="161"/>
        <v>#VALUE!</v>
      </c>
      <c r="E10335" t="e">
        <f>cubic_spline(CURVA!$B$6:$B$20,CURVA!$G$6:$G$20,#REF!)</f>
        <v>#VALUE!</v>
      </c>
    </row>
    <row r="10336" spans="1:5" x14ac:dyDescent="0.2">
      <c r="A10336" s="28">
        <v>10335</v>
      </c>
      <c r="B10336" s="28" t="e">
        <f>interpola(#REF!,CURVA!$B$6:$B$20,CURVA!$G$6:$G$20)</f>
        <v>#VALUE!</v>
      </c>
      <c r="C10336" s="29" t="e">
        <f t="shared" si="161"/>
        <v>#VALUE!</v>
      </c>
      <c r="E10336" t="e">
        <f>cubic_spline(CURVA!$B$6:$B$20,CURVA!$G$6:$G$20,#REF!)</f>
        <v>#VALUE!</v>
      </c>
    </row>
    <row r="10337" spans="1:5" x14ac:dyDescent="0.2">
      <c r="A10337" s="28">
        <v>10336</v>
      </c>
      <c r="B10337" s="28" t="e">
        <f>interpola(#REF!,CURVA!$B$6:$B$20,CURVA!$G$6:$G$20)</f>
        <v>#VALUE!</v>
      </c>
      <c r="C10337" s="29" t="e">
        <f t="shared" si="161"/>
        <v>#VALUE!</v>
      </c>
      <c r="E10337" t="e">
        <f>cubic_spline(CURVA!$B$6:$B$20,CURVA!$G$6:$G$20,#REF!)</f>
        <v>#VALUE!</v>
      </c>
    </row>
    <row r="10338" spans="1:5" x14ac:dyDescent="0.2">
      <c r="A10338" s="28">
        <v>10337</v>
      </c>
      <c r="B10338" s="28" t="e">
        <f>interpola(#REF!,CURVA!$B$6:$B$20,CURVA!$G$6:$G$20)</f>
        <v>#VALUE!</v>
      </c>
      <c r="C10338" s="29" t="e">
        <f t="shared" si="161"/>
        <v>#VALUE!</v>
      </c>
      <c r="E10338" t="e">
        <f>cubic_spline(CURVA!$B$6:$B$20,CURVA!$G$6:$G$20,#REF!)</f>
        <v>#VALUE!</v>
      </c>
    </row>
    <row r="10339" spans="1:5" x14ac:dyDescent="0.2">
      <c r="A10339" s="28">
        <v>10338</v>
      </c>
      <c r="B10339" s="28" t="e">
        <f>interpola(#REF!,CURVA!$B$6:$B$20,CURVA!$G$6:$G$20)</f>
        <v>#VALUE!</v>
      </c>
      <c r="C10339" s="29" t="e">
        <f t="shared" si="161"/>
        <v>#VALUE!</v>
      </c>
      <c r="E10339" t="e">
        <f>cubic_spline(CURVA!$B$6:$B$20,CURVA!$G$6:$G$20,#REF!)</f>
        <v>#VALUE!</v>
      </c>
    </row>
    <row r="10340" spans="1:5" x14ac:dyDescent="0.2">
      <c r="A10340" s="28">
        <v>10339</v>
      </c>
      <c r="B10340" s="28" t="e">
        <f>interpola(#REF!,CURVA!$B$6:$B$20,CURVA!$G$6:$G$20)</f>
        <v>#VALUE!</v>
      </c>
      <c r="C10340" s="29" t="e">
        <f t="shared" si="161"/>
        <v>#VALUE!</v>
      </c>
      <c r="E10340" t="e">
        <f>cubic_spline(CURVA!$B$6:$B$20,CURVA!$G$6:$G$20,#REF!)</f>
        <v>#VALUE!</v>
      </c>
    </row>
    <row r="10341" spans="1:5" x14ac:dyDescent="0.2">
      <c r="A10341" s="28">
        <v>10340</v>
      </c>
      <c r="B10341" s="28" t="e">
        <f>interpola(#REF!,CURVA!$B$6:$B$20,CURVA!$G$6:$G$20)</f>
        <v>#VALUE!</v>
      </c>
      <c r="C10341" s="29" t="e">
        <f t="shared" si="161"/>
        <v>#VALUE!</v>
      </c>
      <c r="E10341" t="e">
        <f>cubic_spline(CURVA!$B$6:$B$20,CURVA!$G$6:$G$20,#REF!)</f>
        <v>#VALUE!</v>
      </c>
    </row>
    <row r="10342" spans="1:5" x14ac:dyDescent="0.2">
      <c r="A10342" s="28">
        <v>10341</v>
      </c>
      <c r="B10342" s="28" t="e">
        <f>interpola(#REF!,CURVA!$B$6:$B$20,CURVA!$G$6:$G$20)</f>
        <v>#VALUE!</v>
      </c>
      <c r="C10342" s="29" t="e">
        <f t="shared" si="161"/>
        <v>#VALUE!</v>
      </c>
      <c r="E10342" t="e">
        <f>cubic_spline(CURVA!$B$6:$B$20,CURVA!$G$6:$G$20,#REF!)</f>
        <v>#VALUE!</v>
      </c>
    </row>
    <row r="10343" spans="1:5" x14ac:dyDescent="0.2">
      <c r="A10343" s="28">
        <v>10342</v>
      </c>
      <c r="B10343" s="28" t="e">
        <f>interpola(#REF!,CURVA!$B$6:$B$20,CURVA!$G$6:$G$20)</f>
        <v>#VALUE!</v>
      </c>
      <c r="C10343" s="29" t="e">
        <f t="shared" si="161"/>
        <v>#VALUE!</v>
      </c>
      <c r="E10343" t="e">
        <f>cubic_spline(CURVA!$B$6:$B$20,CURVA!$G$6:$G$20,#REF!)</f>
        <v>#VALUE!</v>
      </c>
    </row>
    <row r="10344" spans="1:5" x14ac:dyDescent="0.2">
      <c r="A10344" s="28">
        <v>10343</v>
      </c>
      <c r="B10344" s="28" t="e">
        <f>interpola(#REF!,CURVA!$B$6:$B$20,CURVA!$G$6:$G$20)</f>
        <v>#VALUE!</v>
      </c>
      <c r="C10344" s="29" t="e">
        <f t="shared" si="161"/>
        <v>#VALUE!</v>
      </c>
      <c r="E10344" t="e">
        <f>cubic_spline(CURVA!$B$6:$B$20,CURVA!$G$6:$G$20,#REF!)</f>
        <v>#VALUE!</v>
      </c>
    </row>
    <row r="10345" spans="1:5" x14ac:dyDescent="0.2">
      <c r="A10345" s="28">
        <v>10344</v>
      </c>
      <c r="B10345" s="28" t="e">
        <f>interpola(#REF!,CURVA!$B$6:$B$20,CURVA!$G$6:$G$20)</f>
        <v>#VALUE!</v>
      </c>
      <c r="C10345" s="29" t="e">
        <f t="shared" si="161"/>
        <v>#VALUE!</v>
      </c>
      <c r="E10345" t="e">
        <f>cubic_spline(CURVA!$B$6:$B$20,CURVA!$G$6:$G$20,#REF!)</f>
        <v>#VALUE!</v>
      </c>
    </row>
    <row r="10346" spans="1:5" x14ac:dyDescent="0.2">
      <c r="A10346" s="28">
        <v>10345</v>
      </c>
      <c r="B10346" s="28" t="e">
        <f>interpola(#REF!,CURVA!$B$6:$B$20,CURVA!$G$6:$G$20)</f>
        <v>#VALUE!</v>
      </c>
      <c r="C10346" s="29" t="e">
        <f t="shared" si="161"/>
        <v>#VALUE!</v>
      </c>
      <c r="E10346" t="e">
        <f>cubic_spline(CURVA!$B$6:$B$20,CURVA!$G$6:$G$20,#REF!)</f>
        <v>#VALUE!</v>
      </c>
    </row>
    <row r="10347" spans="1:5" x14ac:dyDescent="0.2">
      <c r="A10347" s="28">
        <v>10346</v>
      </c>
      <c r="B10347" s="28" t="e">
        <f>interpola(#REF!,CURVA!$B$6:$B$20,CURVA!$G$6:$G$20)</f>
        <v>#VALUE!</v>
      </c>
      <c r="C10347" s="29" t="e">
        <f t="shared" si="161"/>
        <v>#VALUE!</v>
      </c>
      <c r="E10347" t="e">
        <f>cubic_spline(CURVA!$B$6:$B$20,CURVA!$G$6:$G$20,#REF!)</f>
        <v>#VALUE!</v>
      </c>
    </row>
    <row r="10348" spans="1:5" x14ac:dyDescent="0.2">
      <c r="A10348" s="28">
        <v>10347</v>
      </c>
      <c r="B10348" s="28" t="e">
        <f>interpola(#REF!,CURVA!$B$6:$B$20,CURVA!$G$6:$G$20)</f>
        <v>#VALUE!</v>
      </c>
      <c r="C10348" s="29" t="e">
        <f t="shared" si="161"/>
        <v>#VALUE!</v>
      </c>
      <c r="E10348" t="e">
        <f>cubic_spline(CURVA!$B$6:$B$20,CURVA!$G$6:$G$20,#REF!)</f>
        <v>#VALUE!</v>
      </c>
    </row>
    <row r="10349" spans="1:5" x14ac:dyDescent="0.2">
      <c r="A10349" s="28">
        <v>10348</v>
      </c>
      <c r="B10349" s="28" t="e">
        <f>interpola(#REF!,CURVA!$B$6:$B$20,CURVA!$G$6:$G$20)</f>
        <v>#VALUE!</v>
      </c>
      <c r="C10349" s="29" t="e">
        <f t="shared" si="161"/>
        <v>#VALUE!</v>
      </c>
      <c r="E10349" t="e">
        <f>cubic_spline(CURVA!$B$6:$B$20,CURVA!$G$6:$G$20,#REF!)</f>
        <v>#VALUE!</v>
      </c>
    </row>
    <row r="10350" spans="1:5" x14ac:dyDescent="0.2">
      <c r="A10350" s="28">
        <v>10349</v>
      </c>
      <c r="B10350" s="28" t="e">
        <f>interpola(#REF!,CURVA!$B$6:$B$20,CURVA!$G$6:$G$20)</f>
        <v>#VALUE!</v>
      </c>
      <c r="C10350" s="29" t="e">
        <f t="shared" si="161"/>
        <v>#VALUE!</v>
      </c>
      <c r="E10350" t="e">
        <f>cubic_spline(CURVA!$B$6:$B$20,CURVA!$G$6:$G$20,#REF!)</f>
        <v>#VALUE!</v>
      </c>
    </row>
    <row r="10351" spans="1:5" x14ac:dyDescent="0.2">
      <c r="A10351" s="28">
        <v>10350</v>
      </c>
      <c r="B10351" s="28" t="e">
        <f>interpola(#REF!,CURVA!$B$6:$B$20,CURVA!$G$6:$G$20)</f>
        <v>#VALUE!</v>
      </c>
      <c r="C10351" s="29" t="e">
        <f t="shared" si="161"/>
        <v>#VALUE!</v>
      </c>
      <c r="E10351" t="e">
        <f>cubic_spline(CURVA!$B$6:$B$20,CURVA!$G$6:$G$20,#REF!)</f>
        <v>#VALUE!</v>
      </c>
    </row>
    <row r="10352" spans="1:5" x14ac:dyDescent="0.2">
      <c r="A10352" s="28">
        <v>10351</v>
      </c>
      <c r="B10352" s="28" t="e">
        <f>interpola(#REF!,CURVA!$B$6:$B$20,CURVA!$G$6:$G$20)</f>
        <v>#VALUE!</v>
      </c>
      <c r="C10352" s="29" t="e">
        <f t="shared" si="161"/>
        <v>#VALUE!</v>
      </c>
      <c r="E10352" t="e">
        <f>cubic_spline(CURVA!$B$6:$B$20,CURVA!$G$6:$G$20,#REF!)</f>
        <v>#VALUE!</v>
      </c>
    </row>
    <row r="10353" spans="1:5" x14ac:dyDescent="0.2">
      <c r="A10353" s="28">
        <v>10352</v>
      </c>
      <c r="B10353" s="28" t="e">
        <f>interpola(#REF!,CURVA!$B$6:$B$20,CURVA!$G$6:$G$20)</f>
        <v>#VALUE!</v>
      </c>
      <c r="C10353" s="29" t="e">
        <f t="shared" si="161"/>
        <v>#VALUE!</v>
      </c>
      <c r="E10353" t="e">
        <f>cubic_spline(CURVA!$B$6:$B$20,CURVA!$G$6:$G$20,#REF!)</f>
        <v>#VALUE!</v>
      </c>
    </row>
    <row r="10354" spans="1:5" x14ac:dyDescent="0.2">
      <c r="A10354" s="28">
        <v>10353</v>
      </c>
      <c r="B10354" s="28" t="e">
        <f>interpola(#REF!,CURVA!$B$6:$B$20,CURVA!$G$6:$G$20)</f>
        <v>#VALUE!</v>
      </c>
      <c r="C10354" s="29" t="e">
        <f t="shared" si="161"/>
        <v>#VALUE!</v>
      </c>
      <c r="E10354" t="e">
        <f>cubic_spline(CURVA!$B$6:$B$20,CURVA!$G$6:$G$20,#REF!)</f>
        <v>#VALUE!</v>
      </c>
    </row>
    <row r="10355" spans="1:5" x14ac:dyDescent="0.2">
      <c r="A10355" s="28">
        <v>10354</v>
      </c>
      <c r="B10355" s="28" t="e">
        <f>interpola(#REF!,CURVA!$B$6:$B$20,CURVA!$G$6:$G$20)</f>
        <v>#VALUE!</v>
      </c>
      <c r="C10355" s="29" t="e">
        <f t="shared" si="161"/>
        <v>#VALUE!</v>
      </c>
      <c r="E10355" t="e">
        <f>cubic_spline(CURVA!$B$6:$B$20,CURVA!$G$6:$G$20,#REF!)</f>
        <v>#VALUE!</v>
      </c>
    </row>
    <row r="10356" spans="1:5" x14ac:dyDescent="0.2">
      <c r="A10356" s="28">
        <v>10355</v>
      </c>
      <c r="B10356" s="28" t="e">
        <f>interpola(#REF!,CURVA!$B$6:$B$20,CURVA!$G$6:$G$20)</f>
        <v>#VALUE!</v>
      </c>
      <c r="C10356" s="29" t="e">
        <f t="shared" si="161"/>
        <v>#VALUE!</v>
      </c>
      <c r="E10356" t="e">
        <f>cubic_spline(CURVA!$B$6:$B$20,CURVA!$G$6:$G$20,#REF!)</f>
        <v>#VALUE!</v>
      </c>
    </row>
    <row r="10357" spans="1:5" x14ac:dyDescent="0.2">
      <c r="A10357" s="28">
        <v>10356</v>
      </c>
      <c r="B10357" s="28" t="e">
        <f>interpola(#REF!,CURVA!$B$6:$B$20,CURVA!$G$6:$G$20)</f>
        <v>#VALUE!</v>
      </c>
      <c r="C10357" s="29" t="e">
        <f t="shared" si="161"/>
        <v>#VALUE!</v>
      </c>
      <c r="E10357" t="e">
        <f>cubic_spline(CURVA!$B$6:$B$20,CURVA!$G$6:$G$20,#REF!)</f>
        <v>#VALUE!</v>
      </c>
    </row>
    <row r="10358" spans="1:5" x14ac:dyDescent="0.2">
      <c r="A10358" s="28">
        <v>10357</v>
      </c>
      <c r="B10358" s="28" t="e">
        <f>interpola(#REF!,CURVA!$B$6:$B$20,CURVA!$G$6:$G$20)</f>
        <v>#VALUE!</v>
      </c>
      <c r="C10358" s="29" t="e">
        <f t="shared" si="161"/>
        <v>#VALUE!</v>
      </c>
      <c r="E10358" t="e">
        <f>cubic_spline(CURVA!$B$6:$B$20,CURVA!$G$6:$G$20,#REF!)</f>
        <v>#VALUE!</v>
      </c>
    </row>
    <row r="10359" spans="1:5" x14ac:dyDescent="0.2">
      <c r="A10359" s="28">
        <v>10358</v>
      </c>
      <c r="B10359" s="28" t="e">
        <f>interpola(#REF!,CURVA!$B$6:$B$20,CURVA!$G$6:$G$20)</f>
        <v>#VALUE!</v>
      </c>
      <c r="C10359" s="29" t="e">
        <f t="shared" si="161"/>
        <v>#VALUE!</v>
      </c>
      <c r="E10359" t="e">
        <f>cubic_spline(CURVA!$B$6:$B$20,CURVA!$G$6:$G$20,#REF!)</f>
        <v>#VALUE!</v>
      </c>
    </row>
    <row r="10360" spans="1:5" x14ac:dyDescent="0.2">
      <c r="A10360" s="28">
        <v>10359</v>
      </c>
      <c r="B10360" s="28" t="e">
        <f>interpola(#REF!,CURVA!$B$6:$B$20,CURVA!$G$6:$G$20)</f>
        <v>#VALUE!</v>
      </c>
      <c r="C10360" s="29" t="e">
        <f t="shared" si="161"/>
        <v>#VALUE!</v>
      </c>
      <c r="E10360" t="e">
        <f>cubic_spline(CURVA!$B$6:$B$20,CURVA!$G$6:$G$20,#REF!)</f>
        <v>#VALUE!</v>
      </c>
    </row>
    <row r="10361" spans="1:5" x14ac:dyDescent="0.2">
      <c r="A10361" s="28">
        <v>10360</v>
      </c>
      <c r="B10361" s="28" t="e">
        <f>interpola(#REF!,CURVA!$B$6:$B$20,CURVA!$G$6:$G$20)</f>
        <v>#VALUE!</v>
      </c>
      <c r="C10361" s="29" t="e">
        <f t="shared" si="161"/>
        <v>#VALUE!</v>
      </c>
      <c r="E10361" t="e">
        <f>cubic_spline(CURVA!$B$6:$B$20,CURVA!$G$6:$G$20,#REF!)</f>
        <v>#VALUE!</v>
      </c>
    </row>
    <row r="10362" spans="1:5" x14ac:dyDescent="0.2">
      <c r="A10362" s="28">
        <v>10361</v>
      </c>
      <c r="B10362" s="28" t="e">
        <f>interpola(#REF!,CURVA!$B$6:$B$20,CURVA!$G$6:$G$20)</f>
        <v>#VALUE!</v>
      </c>
      <c r="C10362" s="29" t="e">
        <f t="shared" si="161"/>
        <v>#VALUE!</v>
      </c>
      <c r="E10362" t="e">
        <f>cubic_spline(CURVA!$B$6:$B$20,CURVA!$G$6:$G$20,#REF!)</f>
        <v>#VALUE!</v>
      </c>
    </row>
    <row r="10363" spans="1:5" x14ac:dyDescent="0.2">
      <c r="A10363" s="28">
        <v>10362</v>
      </c>
      <c r="B10363" s="28" t="e">
        <f>interpola(#REF!,CURVA!$B$6:$B$20,CURVA!$G$6:$G$20)</f>
        <v>#VALUE!</v>
      </c>
      <c r="C10363" s="29" t="e">
        <f t="shared" si="161"/>
        <v>#VALUE!</v>
      </c>
      <c r="E10363" t="e">
        <f>cubic_spline(CURVA!$B$6:$B$20,CURVA!$G$6:$G$20,#REF!)</f>
        <v>#VALUE!</v>
      </c>
    </row>
    <row r="10364" spans="1:5" x14ac:dyDescent="0.2">
      <c r="A10364" s="28">
        <v>10363</v>
      </c>
      <c r="B10364" s="28" t="e">
        <f>interpola(#REF!,CURVA!$B$6:$B$20,CURVA!$G$6:$G$20)</f>
        <v>#VALUE!</v>
      </c>
      <c r="C10364" s="29" t="e">
        <f t="shared" si="161"/>
        <v>#VALUE!</v>
      </c>
      <c r="E10364" t="e">
        <f>cubic_spline(CURVA!$B$6:$B$20,CURVA!$G$6:$G$20,#REF!)</f>
        <v>#VALUE!</v>
      </c>
    </row>
    <row r="10365" spans="1:5" x14ac:dyDescent="0.2">
      <c r="A10365" s="28">
        <v>10364</v>
      </c>
      <c r="B10365" s="28" t="e">
        <f>interpola(#REF!,CURVA!$B$6:$B$20,CURVA!$G$6:$G$20)</f>
        <v>#VALUE!</v>
      </c>
      <c r="C10365" s="29" t="e">
        <f t="shared" si="161"/>
        <v>#VALUE!</v>
      </c>
      <c r="E10365" t="e">
        <f>cubic_spline(CURVA!$B$6:$B$20,CURVA!$G$6:$G$20,#REF!)</f>
        <v>#VALUE!</v>
      </c>
    </row>
    <row r="10366" spans="1:5" x14ac:dyDescent="0.2">
      <c r="A10366" s="28">
        <v>10365</v>
      </c>
      <c r="B10366" s="28" t="e">
        <f>interpola(#REF!,CURVA!$B$6:$B$20,CURVA!$G$6:$G$20)</f>
        <v>#VALUE!</v>
      </c>
      <c r="C10366" s="29" t="e">
        <f t="shared" si="161"/>
        <v>#VALUE!</v>
      </c>
      <c r="E10366" t="e">
        <f>cubic_spline(CURVA!$B$6:$B$20,CURVA!$G$6:$G$20,#REF!)</f>
        <v>#VALUE!</v>
      </c>
    </row>
    <row r="10367" spans="1:5" x14ac:dyDescent="0.2">
      <c r="A10367" s="28">
        <v>10366</v>
      </c>
      <c r="B10367" s="28" t="e">
        <f>interpola(#REF!,CURVA!$B$6:$B$20,CURVA!$G$6:$G$20)</f>
        <v>#VALUE!</v>
      </c>
      <c r="C10367" s="29" t="e">
        <f t="shared" si="161"/>
        <v>#VALUE!</v>
      </c>
      <c r="E10367" t="e">
        <f>cubic_spline(CURVA!$B$6:$B$20,CURVA!$G$6:$G$20,#REF!)</f>
        <v>#VALUE!</v>
      </c>
    </row>
    <row r="10368" spans="1:5" x14ac:dyDescent="0.2">
      <c r="A10368" s="28">
        <v>10367</v>
      </c>
      <c r="B10368" s="28" t="e">
        <f>interpola(#REF!,CURVA!$B$6:$B$20,CURVA!$G$6:$G$20)</f>
        <v>#VALUE!</v>
      </c>
      <c r="C10368" s="29" t="e">
        <f t="shared" si="161"/>
        <v>#VALUE!</v>
      </c>
      <c r="E10368" t="e">
        <f>cubic_spline(CURVA!$B$6:$B$20,CURVA!$G$6:$G$20,#REF!)</f>
        <v>#VALUE!</v>
      </c>
    </row>
    <row r="10369" spans="1:5" x14ac:dyDescent="0.2">
      <c r="A10369" s="28">
        <v>10368</v>
      </c>
      <c r="B10369" s="28" t="e">
        <f>interpola(#REF!,CURVA!$B$6:$B$20,CURVA!$G$6:$G$20)</f>
        <v>#VALUE!</v>
      </c>
      <c r="C10369" s="29" t="e">
        <f t="shared" si="161"/>
        <v>#VALUE!</v>
      </c>
      <c r="E10369" t="e">
        <f>cubic_spline(CURVA!$B$6:$B$20,CURVA!$G$6:$G$20,#REF!)</f>
        <v>#VALUE!</v>
      </c>
    </row>
    <row r="10370" spans="1:5" x14ac:dyDescent="0.2">
      <c r="A10370" s="28">
        <v>10369</v>
      </c>
      <c r="B10370" s="28" t="e">
        <f>interpola(#REF!,CURVA!$B$6:$B$20,CURVA!$G$6:$G$20)</f>
        <v>#VALUE!</v>
      </c>
      <c r="C10370" s="29" t="e">
        <f t="shared" ref="C10370:C10433" si="162">(EXP(B10370*A10370/360)-1)*360/A10370</f>
        <v>#VALUE!</v>
      </c>
      <c r="E10370" t="e">
        <f>cubic_spline(CURVA!$B$6:$B$20,CURVA!$G$6:$G$20,#REF!)</f>
        <v>#VALUE!</v>
      </c>
    </row>
    <row r="10371" spans="1:5" x14ac:dyDescent="0.2">
      <c r="A10371" s="28">
        <v>10370</v>
      </c>
      <c r="B10371" s="28" t="e">
        <f>interpola(#REF!,CURVA!$B$6:$B$20,CURVA!$G$6:$G$20)</f>
        <v>#VALUE!</v>
      </c>
      <c r="C10371" s="29" t="e">
        <f t="shared" si="162"/>
        <v>#VALUE!</v>
      </c>
      <c r="E10371" t="e">
        <f>cubic_spline(CURVA!$B$6:$B$20,CURVA!$G$6:$G$20,#REF!)</f>
        <v>#VALUE!</v>
      </c>
    </row>
    <row r="10372" spans="1:5" x14ac:dyDescent="0.2">
      <c r="A10372" s="28">
        <v>10371</v>
      </c>
      <c r="B10372" s="28" t="e">
        <f>interpola(#REF!,CURVA!$B$6:$B$20,CURVA!$G$6:$G$20)</f>
        <v>#VALUE!</v>
      </c>
      <c r="C10372" s="29" t="e">
        <f t="shared" si="162"/>
        <v>#VALUE!</v>
      </c>
      <c r="E10372" t="e">
        <f>cubic_spline(CURVA!$B$6:$B$20,CURVA!$G$6:$G$20,#REF!)</f>
        <v>#VALUE!</v>
      </c>
    </row>
    <row r="10373" spans="1:5" x14ac:dyDescent="0.2">
      <c r="A10373" s="28">
        <v>10372</v>
      </c>
      <c r="B10373" s="28" t="e">
        <f>interpola(#REF!,CURVA!$B$6:$B$20,CURVA!$G$6:$G$20)</f>
        <v>#VALUE!</v>
      </c>
      <c r="C10373" s="29" t="e">
        <f t="shared" si="162"/>
        <v>#VALUE!</v>
      </c>
      <c r="E10373" t="e">
        <f>cubic_spline(CURVA!$B$6:$B$20,CURVA!$G$6:$G$20,#REF!)</f>
        <v>#VALUE!</v>
      </c>
    </row>
    <row r="10374" spans="1:5" x14ac:dyDescent="0.2">
      <c r="A10374" s="28">
        <v>10373</v>
      </c>
      <c r="B10374" s="28" t="e">
        <f>interpola(#REF!,CURVA!$B$6:$B$20,CURVA!$G$6:$G$20)</f>
        <v>#VALUE!</v>
      </c>
      <c r="C10374" s="29" t="e">
        <f t="shared" si="162"/>
        <v>#VALUE!</v>
      </c>
      <c r="E10374" t="e">
        <f>cubic_spline(CURVA!$B$6:$B$20,CURVA!$G$6:$G$20,#REF!)</f>
        <v>#VALUE!</v>
      </c>
    </row>
    <row r="10375" spans="1:5" x14ac:dyDescent="0.2">
      <c r="A10375" s="28">
        <v>10374</v>
      </c>
      <c r="B10375" s="28" t="e">
        <f>interpola(#REF!,CURVA!$B$6:$B$20,CURVA!$G$6:$G$20)</f>
        <v>#VALUE!</v>
      </c>
      <c r="C10375" s="29" t="e">
        <f t="shared" si="162"/>
        <v>#VALUE!</v>
      </c>
      <c r="E10375" t="e">
        <f>cubic_spline(CURVA!$B$6:$B$20,CURVA!$G$6:$G$20,#REF!)</f>
        <v>#VALUE!</v>
      </c>
    </row>
    <row r="10376" spans="1:5" x14ac:dyDescent="0.2">
      <c r="A10376" s="28">
        <v>10375</v>
      </c>
      <c r="B10376" s="28" t="e">
        <f>interpola(#REF!,CURVA!$B$6:$B$20,CURVA!$G$6:$G$20)</f>
        <v>#VALUE!</v>
      </c>
      <c r="C10376" s="29" t="e">
        <f t="shared" si="162"/>
        <v>#VALUE!</v>
      </c>
      <c r="E10376" t="e">
        <f>cubic_spline(CURVA!$B$6:$B$20,CURVA!$G$6:$G$20,#REF!)</f>
        <v>#VALUE!</v>
      </c>
    </row>
    <row r="10377" spans="1:5" x14ac:dyDescent="0.2">
      <c r="A10377" s="28">
        <v>10376</v>
      </c>
      <c r="B10377" s="28" t="e">
        <f>interpola(#REF!,CURVA!$B$6:$B$20,CURVA!$G$6:$G$20)</f>
        <v>#VALUE!</v>
      </c>
      <c r="C10377" s="29" t="e">
        <f t="shared" si="162"/>
        <v>#VALUE!</v>
      </c>
      <c r="E10377" t="e">
        <f>cubic_spline(CURVA!$B$6:$B$20,CURVA!$G$6:$G$20,#REF!)</f>
        <v>#VALUE!</v>
      </c>
    </row>
    <row r="10378" spans="1:5" x14ac:dyDescent="0.2">
      <c r="A10378" s="28">
        <v>10377</v>
      </c>
      <c r="B10378" s="28" t="e">
        <f>interpola(#REF!,CURVA!$B$6:$B$20,CURVA!$G$6:$G$20)</f>
        <v>#VALUE!</v>
      </c>
      <c r="C10378" s="29" t="e">
        <f t="shared" si="162"/>
        <v>#VALUE!</v>
      </c>
      <c r="E10378" t="e">
        <f>cubic_spline(CURVA!$B$6:$B$20,CURVA!$G$6:$G$20,#REF!)</f>
        <v>#VALUE!</v>
      </c>
    </row>
    <row r="10379" spans="1:5" x14ac:dyDescent="0.2">
      <c r="A10379" s="28">
        <v>10378</v>
      </c>
      <c r="B10379" s="28" t="e">
        <f>interpola(#REF!,CURVA!$B$6:$B$20,CURVA!$G$6:$G$20)</f>
        <v>#VALUE!</v>
      </c>
      <c r="C10379" s="29" t="e">
        <f t="shared" si="162"/>
        <v>#VALUE!</v>
      </c>
      <c r="E10379" t="e">
        <f>cubic_spline(CURVA!$B$6:$B$20,CURVA!$G$6:$G$20,#REF!)</f>
        <v>#VALUE!</v>
      </c>
    </row>
    <row r="10380" spans="1:5" x14ac:dyDescent="0.2">
      <c r="A10380" s="28">
        <v>10379</v>
      </c>
      <c r="B10380" s="28" t="e">
        <f>interpola(#REF!,CURVA!$B$6:$B$20,CURVA!$G$6:$G$20)</f>
        <v>#VALUE!</v>
      </c>
      <c r="C10380" s="29" t="e">
        <f t="shared" si="162"/>
        <v>#VALUE!</v>
      </c>
      <c r="E10380" t="e">
        <f>cubic_spline(CURVA!$B$6:$B$20,CURVA!$G$6:$G$20,#REF!)</f>
        <v>#VALUE!</v>
      </c>
    </row>
    <row r="10381" spans="1:5" x14ac:dyDescent="0.2">
      <c r="A10381" s="28">
        <v>10380</v>
      </c>
      <c r="B10381" s="28" t="e">
        <f>interpola(#REF!,CURVA!$B$6:$B$20,CURVA!$G$6:$G$20)</f>
        <v>#VALUE!</v>
      </c>
      <c r="C10381" s="29" t="e">
        <f t="shared" si="162"/>
        <v>#VALUE!</v>
      </c>
      <c r="E10381" t="e">
        <f>cubic_spline(CURVA!$B$6:$B$20,CURVA!$G$6:$G$20,#REF!)</f>
        <v>#VALUE!</v>
      </c>
    </row>
    <row r="10382" spans="1:5" x14ac:dyDescent="0.2">
      <c r="A10382" s="28">
        <v>10381</v>
      </c>
      <c r="B10382" s="28" t="e">
        <f>interpola(#REF!,CURVA!$B$6:$B$20,CURVA!$G$6:$G$20)</f>
        <v>#VALUE!</v>
      </c>
      <c r="C10382" s="29" t="e">
        <f t="shared" si="162"/>
        <v>#VALUE!</v>
      </c>
      <c r="E10382" t="e">
        <f>cubic_spline(CURVA!$B$6:$B$20,CURVA!$G$6:$G$20,#REF!)</f>
        <v>#VALUE!</v>
      </c>
    </row>
    <row r="10383" spans="1:5" x14ac:dyDescent="0.2">
      <c r="A10383" s="28">
        <v>10382</v>
      </c>
      <c r="B10383" s="28" t="e">
        <f>interpola(#REF!,CURVA!$B$6:$B$20,CURVA!$G$6:$G$20)</f>
        <v>#VALUE!</v>
      </c>
      <c r="C10383" s="29" t="e">
        <f t="shared" si="162"/>
        <v>#VALUE!</v>
      </c>
      <c r="E10383" t="e">
        <f>cubic_spline(CURVA!$B$6:$B$20,CURVA!$G$6:$G$20,#REF!)</f>
        <v>#VALUE!</v>
      </c>
    </row>
    <row r="10384" spans="1:5" x14ac:dyDescent="0.2">
      <c r="A10384" s="28">
        <v>10383</v>
      </c>
      <c r="B10384" s="28" t="e">
        <f>interpola(#REF!,CURVA!$B$6:$B$20,CURVA!$G$6:$G$20)</f>
        <v>#VALUE!</v>
      </c>
      <c r="C10384" s="29" t="e">
        <f t="shared" si="162"/>
        <v>#VALUE!</v>
      </c>
      <c r="E10384" t="e">
        <f>cubic_spline(CURVA!$B$6:$B$20,CURVA!$G$6:$G$20,#REF!)</f>
        <v>#VALUE!</v>
      </c>
    </row>
    <row r="10385" spans="1:5" x14ac:dyDescent="0.2">
      <c r="A10385" s="28">
        <v>10384</v>
      </c>
      <c r="B10385" s="28" t="e">
        <f>interpola(#REF!,CURVA!$B$6:$B$20,CURVA!$G$6:$G$20)</f>
        <v>#VALUE!</v>
      </c>
      <c r="C10385" s="29" t="e">
        <f t="shared" si="162"/>
        <v>#VALUE!</v>
      </c>
      <c r="E10385" t="e">
        <f>cubic_spline(CURVA!$B$6:$B$20,CURVA!$G$6:$G$20,#REF!)</f>
        <v>#VALUE!</v>
      </c>
    </row>
    <row r="10386" spans="1:5" x14ac:dyDescent="0.2">
      <c r="A10386" s="28">
        <v>10385</v>
      </c>
      <c r="B10386" s="28" t="e">
        <f>interpola(#REF!,CURVA!$B$6:$B$20,CURVA!$G$6:$G$20)</f>
        <v>#VALUE!</v>
      </c>
      <c r="C10386" s="29" t="e">
        <f t="shared" si="162"/>
        <v>#VALUE!</v>
      </c>
      <c r="E10386" t="e">
        <f>cubic_spline(CURVA!$B$6:$B$20,CURVA!$G$6:$G$20,#REF!)</f>
        <v>#VALUE!</v>
      </c>
    </row>
    <row r="10387" spans="1:5" x14ac:dyDescent="0.2">
      <c r="A10387" s="28">
        <v>10386</v>
      </c>
      <c r="B10387" s="28" t="e">
        <f>interpola(#REF!,CURVA!$B$6:$B$20,CURVA!$G$6:$G$20)</f>
        <v>#VALUE!</v>
      </c>
      <c r="C10387" s="29" t="e">
        <f t="shared" si="162"/>
        <v>#VALUE!</v>
      </c>
      <c r="E10387" t="e">
        <f>cubic_spline(CURVA!$B$6:$B$20,CURVA!$G$6:$G$20,#REF!)</f>
        <v>#VALUE!</v>
      </c>
    </row>
    <row r="10388" spans="1:5" x14ac:dyDescent="0.2">
      <c r="A10388" s="28">
        <v>10387</v>
      </c>
      <c r="B10388" s="28" t="e">
        <f>interpola(#REF!,CURVA!$B$6:$B$20,CURVA!$G$6:$G$20)</f>
        <v>#VALUE!</v>
      </c>
      <c r="C10388" s="29" t="e">
        <f t="shared" si="162"/>
        <v>#VALUE!</v>
      </c>
      <c r="E10388" t="e">
        <f>cubic_spline(CURVA!$B$6:$B$20,CURVA!$G$6:$G$20,#REF!)</f>
        <v>#VALUE!</v>
      </c>
    </row>
    <row r="10389" spans="1:5" x14ac:dyDescent="0.2">
      <c r="A10389" s="28">
        <v>10388</v>
      </c>
      <c r="B10389" s="28" t="e">
        <f>interpola(#REF!,CURVA!$B$6:$B$20,CURVA!$G$6:$G$20)</f>
        <v>#VALUE!</v>
      </c>
      <c r="C10389" s="29" t="e">
        <f t="shared" si="162"/>
        <v>#VALUE!</v>
      </c>
      <c r="E10389" t="e">
        <f>cubic_spline(CURVA!$B$6:$B$20,CURVA!$G$6:$G$20,#REF!)</f>
        <v>#VALUE!</v>
      </c>
    </row>
    <row r="10390" spans="1:5" x14ac:dyDescent="0.2">
      <c r="A10390" s="28">
        <v>10389</v>
      </c>
      <c r="B10390" s="28" t="e">
        <f>interpola(#REF!,CURVA!$B$6:$B$20,CURVA!$G$6:$G$20)</f>
        <v>#VALUE!</v>
      </c>
      <c r="C10390" s="29" t="e">
        <f t="shared" si="162"/>
        <v>#VALUE!</v>
      </c>
      <c r="E10390" t="e">
        <f>cubic_spline(CURVA!$B$6:$B$20,CURVA!$G$6:$G$20,#REF!)</f>
        <v>#VALUE!</v>
      </c>
    </row>
    <row r="10391" spans="1:5" x14ac:dyDescent="0.2">
      <c r="A10391" s="28">
        <v>10390</v>
      </c>
      <c r="B10391" s="28" t="e">
        <f>interpola(#REF!,CURVA!$B$6:$B$20,CURVA!$G$6:$G$20)</f>
        <v>#VALUE!</v>
      </c>
      <c r="C10391" s="29" t="e">
        <f t="shared" si="162"/>
        <v>#VALUE!</v>
      </c>
      <c r="E10391" t="e">
        <f>cubic_spline(CURVA!$B$6:$B$20,CURVA!$G$6:$G$20,#REF!)</f>
        <v>#VALUE!</v>
      </c>
    </row>
    <row r="10392" spans="1:5" x14ac:dyDescent="0.2">
      <c r="A10392" s="28">
        <v>10391</v>
      </c>
      <c r="B10392" s="28" t="e">
        <f>interpola(#REF!,CURVA!$B$6:$B$20,CURVA!$G$6:$G$20)</f>
        <v>#VALUE!</v>
      </c>
      <c r="C10392" s="29" t="e">
        <f t="shared" si="162"/>
        <v>#VALUE!</v>
      </c>
      <c r="E10392" t="e">
        <f>cubic_spline(CURVA!$B$6:$B$20,CURVA!$G$6:$G$20,#REF!)</f>
        <v>#VALUE!</v>
      </c>
    </row>
    <row r="10393" spans="1:5" x14ac:dyDescent="0.2">
      <c r="A10393" s="28">
        <v>10392</v>
      </c>
      <c r="B10393" s="28" t="e">
        <f>interpola(#REF!,CURVA!$B$6:$B$20,CURVA!$G$6:$G$20)</f>
        <v>#VALUE!</v>
      </c>
      <c r="C10393" s="29" t="e">
        <f t="shared" si="162"/>
        <v>#VALUE!</v>
      </c>
      <c r="E10393" t="e">
        <f>cubic_spline(CURVA!$B$6:$B$20,CURVA!$G$6:$G$20,#REF!)</f>
        <v>#VALUE!</v>
      </c>
    </row>
    <row r="10394" spans="1:5" x14ac:dyDescent="0.2">
      <c r="A10394" s="28">
        <v>10393</v>
      </c>
      <c r="B10394" s="28" t="e">
        <f>interpola(#REF!,CURVA!$B$6:$B$20,CURVA!$G$6:$G$20)</f>
        <v>#VALUE!</v>
      </c>
      <c r="C10394" s="29" t="e">
        <f t="shared" si="162"/>
        <v>#VALUE!</v>
      </c>
      <c r="E10394" t="e">
        <f>cubic_spline(CURVA!$B$6:$B$20,CURVA!$G$6:$G$20,#REF!)</f>
        <v>#VALUE!</v>
      </c>
    </row>
    <row r="10395" spans="1:5" x14ac:dyDescent="0.2">
      <c r="A10395" s="28">
        <v>10394</v>
      </c>
      <c r="B10395" s="28" t="e">
        <f>interpola(#REF!,CURVA!$B$6:$B$20,CURVA!$G$6:$G$20)</f>
        <v>#VALUE!</v>
      </c>
      <c r="C10395" s="29" t="e">
        <f t="shared" si="162"/>
        <v>#VALUE!</v>
      </c>
      <c r="E10395" t="e">
        <f>cubic_spline(CURVA!$B$6:$B$20,CURVA!$G$6:$G$20,#REF!)</f>
        <v>#VALUE!</v>
      </c>
    </row>
    <row r="10396" spans="1:5" x14ac:dyDescent="0.2">
      <c r="A10396" s="28">
        <v>10395</v>
      </c>
      <c r="B10396" s="28" t="e">
        <f>interpola(#REF!,CURVA!$B$6:$B$20,CURVA!$G$6:$G$20)</f>
        <v>#VALUE!</v>
      </c>
      <c r="C10396" s="29" t="e">
        <f t="shared" si="162"/>
        <v>#VALUE!</v>
      </c>
      <c r="E10396" t="e">
        <f>cubic_spline(CURVA!$B$6:$B$20,CURVA!$G$6:$G$20,#REF!)</f>
        <v>#VALUE!</v>
      </c>
    </row>
    <row r="10397" spans="1:5" x14ac:dyDescent="0.2">
      <c r="A10397" s="28">
        <v>10396</v>
      </c>
      <c r="B10397" s="28" t="e">
        <f>interpola(#REF!,CURVA!$B$6:$B$20,CURVA!$G$6:$G$20)</f>
        <v>#VALUE!</v>
      </c>
      <c r="C10397" s="29" t="e">
        <f t="shared" si="162"/>
        <v>#VALUE!</v>
      </c>
      <c r="E10397" t="e">
        <f>cubic_spline(CURVA!$B$6:$B$20,CURVA!$G$6:$G$20,#REF!)</f>
        <v>#VALUE!</v>
      </c>
    </row>
    <row r="10398" spans="1:5" x14ac:dyDescent="0.2">
      <c r="A10398" s="28">
        <v>10397</v>
      </c>
      <c r="B10398" s="28" t="e">
        <f>interpola(#REF!,CURVA!$B$6:$B$20,CURVA!$G$6:$G$20)</f>
        <v>#VALUE!</v>
      </c>
      <c r="C10398" s="29" t="e">
        <f t="shared" si="162"/>
        <v>#VALUE!</v>
      </c>
      <c r="E10398" t="e">
        <f>cubic_spline(CURVA!$B$6:$B$20,CURVA!$G$6:$G$20,#REF!)</f>
        <v>#VALUE!</v>
      </c>
    </row>
    <row r="10399" spans="1:5" x14ac:dyDescent="0.2">
      <c r="A10399" s="28">
        <v>10398</v>
      </c>
      <c r="B10399" s="28" t="e">
        <f>interpola(#REF!,CURVA!$B$6:$B$20,CURVA!$G$6:$G$20)</f>
        <v>#VALUE!</v>
      </c>
      <c r="C10399" s="29" t="e">
        <f t="shared" si="162"/>
        <v>#VALUE!</v>
      </c>
      <c r="E10399" t="e">
        <f>cubic_spline(CURVA!$B$6:$B$20,CURVA!$G$6:$G$20,#REF!)</f>
        <v>#VALUE!</v>
      </c>
    </row>
    <row r="10400" spans="1:5" x14ac:dyDescent="0.2">
      <c r="A10400" s="28">
        <v>10399</v>
      </c>
      <c r="B10400" s="28" t="e">
        <f>interpola(#REF!,CURVA!$B$6:$B$20,CURVA!$G$6:$G$20)</f>
        <v>#VALUE!</v>
      </c>
      <c r="C10400" s="29" t="e">
        <f t="shared" si="162"/>
        <v>#VALUE!</v>
      </c>
      <c r="E10400" t="e">
        <f>cubic_spline(CURVA!$B$6:$B$20,CURVA!$G$6:$G$20,#REF!)</f>
        <v>#VALUE!</v>
      </c>
    </row>
    <row r="10401" spans="1:5" x14ac:dyDescent="0.2">
      <c r="A10401" s="28">
        <v>10400</v>
      </c>
      <c r="B10401" s="28" t="e">
        <f>interpola(#REF!,CURVA!$B$6:$B$20,CURVA!$G$6:$G$20)</f>
        <v>#VALUE!</v>
      </c>
      <c r="C10401" s="29" t="e">
        <f t="shared" si="162"/>
        <v>#VALUE!</v>
      </c>
      <c r="E10401" t="e">
        <f>cubic_spline(CURVA!$B$6:$B$20,CURVA!$G$6:$G$20,#REF!)</f>
        <v>#VALUE!</v>
      </c>
    </row>
    <row r="10402" spans="1:5" x14ac:dyDescent="0.2">
      <c r="A10402" s="28">
        <v>10401</v>
      </c>
      <c r="B10402" s="28" t="e">
        <f>interpola(#REF!,CURVA!$B$6:$B$20,CURVA!$G$6:$G$20)</f>
        <v>#VALUE!</v>
      </c>
      <c r="C10402" s="29" t="e">
        <f t="shared" si="162"/>
        <v>#VALUE!</v>
      </c>
      <c r="E10402" t="e">
        <f>cubic_spline(CURVA!$B$6:$B$20,CURVA!$G$6:$G$20,#REF!)</f>
        <v>#VALUE!</v>
      </c>
    </row>
    <row r="10403" spans="1:5" x14ac:dyDescent="0.2">
      <c r="A10403" s="28">
        <v>10402</v>
      </c>
      <c r="B10403" s="28" t="e">
        <f>interpola(#REF!,CURVA!$B$6:$B$20,CURVA!$G$6:$G$20)</f>
        <v>#VALUE!</v>
      </c>
      <c r="C10403" s="29" t="e">
        <f t="shared" si="162"/>
        <v>#VALUE!</v>
      </c>
      <c r="E10403" t="e">
        <f>cubic_spline(CURVA!$B$6:$B$20,CURVA!$G$6:$G$20,#REF!)</f>
        <v>#VALUE!</v>
      </c>
    </row>
    <row r="10404" spans="1:5" x14ac:dyDescent="0.2">
      <c r="A10404" s="28">
        <v>10403</v>
      </c>
      <c r="B10404" s="28" t="e">
        <f>interpola(#REF!,CURVA!$B$6:$B$20,CURVA!$G$6:$G$20)</f>
        <v>#VALUE!</v>
      </c>
      <c r="C10404" s="29" t="e">
        <f t="shared" si="162"/>
        <v>#VALUE!</v>
      </c>
      <c r="E10404" t="e">
        <f>cubic_spline(CURVA!$B$6:$B$20,CURVA!$G$6:$G$20,#REF!)</f>
        <v>#VALUE!</v>
      </c>
    </row>
    <row r="10405" spans="1:5" x14ac:dyDescent="0.2">
      <c r="A10405" s="28">
        <v>10404</v>
      </c>
      <c r="B10405" s="28" t="e">
        <f>interpola(#REF!,CURVA!$B$6:$B$20,CURVA!$G$6:$G$20)</f>
        <v>#VALUE!</v>
      </c>
      <c r="C10405" s="29" t="e">
        <f t="shared" si="162"/>
        <v>#VALUE!</v>
      </c>
      <c r="E10405" t="e">
        <f>cubic_spline(CURVA!$B$6:$B$20,CURVA!$G$6:$G$20,#REF!)</f>
        <v>#VALUE!</v>
      </c>
    </row>
    <row r="10406" spans="1:5" x14ac:dyDescent="0.2">
      <c r="A10406" s="28">
        <v>10405</v>
      </c>
      <c r="B10406" s="28" t="e">
        <f>interpola(#REF!,CURVA!$B$6:$B$20,CURVA!$G$6:$G$20)</f>
        <v>#VALUE!</v>
      </c>
      <c r="C10406" s="29" t="e">
        <f t="shared" si="162"/>
        <v>#VALUE!</v>
      </c>
      <c r="E10406" t="e">
        <f>cubic_spline(CURVA!$B$6:$B$20,CURVA!$G$6:$G$20,#REF!)</f>
        <v>#VALUE!</v>
      </c>
    </row>
    <row r="10407" spans="1:5" x14ac:dyDescent="0.2">
      <c r="A10407" s="28">
        <v>10406</v>
      </c>
      <c r="B10407" s="28" t="e">
        <f>interpola(#REF!,CURVA!$B$6:$B$20,CURVA!$G$6:$G$20)</f>
        <v>#VALUE!</v>
      </c>
      <c r="C10407" s="29" t="e">
        <f t="shared" si="162"/>
        <v>#VALUE!</v>
      </c>
      <c r="E10407" t="e">
        <f>cubic_spline(CURVA!$B$6:$B$20,CURVA!$G$6:$G$20,#REF!)</f>
        <v>#VALUE!</v>
      </c>
    </row>
    <row r="10408" spans="1:5" x14ac:dyDescent="0.2">
      <c r="A10408" s="28">
        <v>10407</v>
      </c>
      <c r="B10408" s="28" t="e">
        <f>interpola(#REF!,CURVA!$B$6:$B$20,CURVA!$G$6:$G$20)</f>
        <v>#VALUE!</v>
      </c>
      <c r="C10408" s="29" t="e">
        <f t="shared" si="162"/>
        <v>#VALUE!</v>
      </c>
      <c r="E10408" t="e">
        <f>cubic_spline(CURVA!$B$6:$B$20,CURVA!$G$6:$G$20,#REF!)</f>
        <v>#VALUE!</v>
      </c>
    </row>
    <row r="10409" spans="1:5" x14ac:dyDescent="0.2">
      <c r="A10409" s="28">
        <v>10408</v>
      </c>
      <c r="B10409" s="28" t="e">
        <f>interpola(#REF!,CURVA!$B$6:$B$20,CURVA!$G$6:$G$20)</f>
        <v>#VALUE!</v>
      </c>
      <c r="C10409" s="29" t="e">
        <f t="shared" si="162"/>
        <v>#VALUE!</v>
      </c>
      <c r="E10409" t="e">
        <f>cubic_spline(CURVA!$B$6:$B$20,CURVA!$G$6:$G$20,#REF!)</f>
        <v>#VALUE!</v>
      </c>
    </row>
    <row r="10410" spans="1:5" x14ac:dyDescent="0.2">
      <c r="A10410" s="28">
        <v>10409</v>
      </c>
      <c r="B10410" s="28" t="e">
        <f>interpola(#REF!,CURVA!$B$6:$B$20,CURVA!$G$6:$G$20)</f>
        <v>#VALUE!</v>
      </c>
      <c r="C10410" s="29" t="e">
        <f t="shared" si="162"/>
        <v>#VALUE!</v>
      </c>
      <c r="E10410" t="e">
        <f>cubic_spline(CURVA!$B$6:$B$20,CURVA!$G$6:$G$20,#REF!)</f>
        <v>#VALUE!</v>
      </c>
    </row>
    <row r="10411" spans="1:5" x14ac:dyDescent="0.2">
      <c r="A10411" s="28">
        <v>10410</v>
      </c>
      <c r="B10411" s="28" t="e">
        <f>interpola(#REF!,CURVA!$B$6:$B$20,CURVA!$G$6:$G$20)</f>
        <v>#VALUE!</v>
      </c>
      <c r="C10411" s="29" t="e">
        <f t="shared" si="162"/>
        <v>#VALUE!</v>
      </c>
      <c r="E10411" t="e">
        <f>cubic_spline(CURVA!$B$6:$B$20,CURVA!$G$6:$G$20,#REF!)</f>
        <v>#VALUE!</v>
      </c>
    </row>
    <row r="10412" spans="1:5" x14ac:dyDescent="0.2">
      <c r="A10412" s="28">
        <v>10411</v>
      </c>
      <c r="B10412" s="28" t="e">
        <f>interpola(#REF!,CURVA!$B$6:$B$20,CURVA!$G$6:$G$20)</f>
        <v>#VALUE!</v>
      </c>
      <c r="C10412" s="29" t="e">
        <f t="shared" si="162"/>
        <v>#VALUE!</v>
      </c>
      <c r="E10412" t="e">
        <f>cubic_spline(CURVA!$B$6:$B$20,CURVA!$G$6:$G$20,#REF!)</f>
        <v>#VALUE!</v>
      </c>
    </row>
    <row r="10413" spans="1:5" x14ac:dyDescent="0.2">
      <c r="A10413" s="28">
        <v>10412</v>
      </c>
      <c r="B10413" s="28" t="e">
        <f>interpola(#REF!,CURVA!$B$6:$B$20,CURVA!$G$6:$G$20)</f>
        <v>#VALUE!</v>
      </c>
      <c r="C10413" s="29" t="e">
        <f t="shared" si="162"/>
        <v>#VALUE!</v>
      </c>
      <c r="E10413" t="e">
        <f>cubic_spline(CURVA!$B$6:$B$20,CURVA!$G$6:$G$20,#REF!)</f>
        <v>#VALUE!</v>
      </c>
    </row>
    <row r="10414" spans="1:5" x14ac:dyDescent="0.2">
      <c r="A10414" s="28">
        <v>10413</v>
      </c>
      <c r="B10414" s="28" t="e">
        <f>interpola(#REF!,CURVA!$B$6:$B$20,CURVA!$G$6:$G$20)</f>
        <v>#VALUE!</v>
      </c>
      <c r="C10414" s="29" t="e">
        <f t="shared" si="162"/>
        <v>#VALUE!</v>
      </c>
      <c r="E10414" t="e">
        <f>cubic_spline(CURVA!$B$6:$B$20,CURVA!$G$6:$G$20,#REF!)</f>
        <v>#VALUE!</v>
      </c>
    </row>
    <row r="10415" spans="1:5" x14ac:dyDescent="0.2">
      <c r="A10415" s="28">
        <v>10414</v>
      </c>
      <c r="B10415" s="28" t="e">
        <f>interpola(#REF!,CURVA!$B$6:$B$20,CURVA!$G$6:$G$20)</f>
        <v>#VALUE!</v>
      </c>
      <c r="C10415" s="29" t="e">
        <f t="shared" si="162"/>
        <v>#VALUE!</v>
      </c>
      <c r="E10415" t="e">
        <f>cubic_spline(CURVA!$B$6:$B$20,CURVA!$G$6:$G$20,#REF!)</f>
        <v>#VALUE!</v>
      </c>
    </row>
    <row r="10416" spans="1:5" x14ac:dyDescent="0.2">
      <c r="A10416" s="28">
        <v>10415</v>
      </c>
      <c r="B10416" s="28" t="e">
        <f>interpola(#REF!,CURVA!$B$6:$B$20,CURVA!$G$6:$G$20)</f>
        <v>#VALUE!</v>
      </c>
      <c r="C10416" s="29" t="e">
        <f t="shared" si="162"/>
        <v>#VALUE!</v>
      </c>
      <c r="E10416" t="e">
        <f>cubic_spline(CURVA!$B$6:$B$20,CURVA!$G$6:$G$20,#REF!)</f>
        <v>#VALUE!</v>
      </c>
    </row>
    <row r="10417" spans="1:5" x14ac:dyDescent="0.2">
      <c r="A10417" s="28">
        <v>10416</v>
      </c>
      <c r="B10417" s="28" t="e">
        <f>interpola(#REF!,CURVA!$B$6:$B$20,CURVA!$G$6:$G$20)</f>
        <v>#VALUE!</v>
      </c>
      <c r="C10417" s="29" t="e">
        <f t="shared" si="162"/>
        <v>#VALUE!</v>
      </c>
      <c r="E10417" t="e">
        <f>cubic_spline(CURVA!$B$6:$B$20,CURVA!$G$6:$G$20,#REF!)</f>
        <v>#VALUE!</v>
      </c>
    </row>
    <row r="10418" spans="1:5" x14ac:dyDescent="0.2">
      <c r="A10418" s="28">
        <v>10417</v>
      </c>
      <c r="B10418" s="28" t="e">
        <f>interpola(#REF!,CURVA!$B$6:$B$20,CURVA!$G$6:$G$20)</f>
        <v>#VALUE!</v>
      </c>
      <c r="C10418" s="29" t="e">
        <f t="shared" si="162"/>
        <v>#VALUE!</v>
      </c>
      <c r="E10418" t="e">
        <f>cubic_spline(CURVA!$B$6:$B$20,CURVA!$G$6:$G$20,#REF!)</f>
        <v>#VALUE!</v>
      </c>
    </row>
    <row r="10419" spans="1:5" x14ac:dyDescent="0.2">
      <c r="A10419" s="28">
        <v>10418</v>
      </c>
      <c r="B10419" s="28" t="e">
        <f>interpola(#REF!,CURVA!$B$6:$B$20,CURVA!$G$6:$G$20)</f>
        <v>#VALUE!</v>
      </c>
      <c r="C10419" s="29" t="e">
        <f t="shared" si="162"/>
        <v>#VALUE!</v>
      </c>
      <c r="E10419" t="e">
        <f>cubic_spline(CURVA!$B$6:$B$20,CURVA!$G$6:$G$20,#REF!)</f>
        <v>#VALUE!</v>
      </c>
    </row>
    <row r="10420" spans="1:5" x14ac:dyDescent="0.2">
      <c r="A10420" s="28">
        <v>10419</v>
      </c>
      <c r="B10420" s="28" t="e">
        <f>interpola(#REF!,CURVA!$B$6:$B$20,CURVA!$G$6:$G$20)</f>
        <v>#VALUE!</v>
      </c>
      <c r="C10420" s="29" t="e">
        <f t="shared" si="162"/>
        <v>#VALUE!</v>
      </c>
      <c r="E10420" t="e">
        <f>cubic_spline(CURVA!$B$6:$B$20,CURVA!$G$6:$G$20,#REF!)</f>
        <v>#VALUE!</v>
      </c>
    </row>
    <row r="10421" spans="1:5" x14ac:dyDescent="0.2">
      <c r="A10421" s="28">
        <v>10420</v>
      </c>
      <c r="B10421" s="28" t="e">
        <f>interpola(#REF!,CURVA!$B$6:$B$20,CURVA!$G$6:$G$20)</f>
        <v>#VALUE!</v>
      </c>
      <c r="C10421" s="29" t="e">
        <f t="shared" si="162"/>
        <v>#VALUE!</v>
      </c>
      <c r="E10421" t="e">
        <f>cubic_spline(CURVA!$B$6:$B$20,CURVA!$G$6:$G$20,#REF!)</f>
        <v>#VALUE!</v>
      </c>
    </row>
    <row r="10422" spans="1:5" x14ac:dyDescent="0.2">
      <c r="A10422" s="28">
        <v>10421</v>
      </c>
      <c r="B10422" s="28" t="e">
        <f>interpola(#REF!,CURVA!$B$6:$B$20,CURVA!$G$6:$G$20)</f>
        <v>#VALUE!</v>
      </c>
      <c r="C10422" s="29" t="e">
        <f t="shared" si="162"/>
        <v>#VALUE!</v>
      </c>
      <c r="E10422" t="e">
        <f>cubic_spline(CURVA!$B$6:$B$20,CURVA!$G$6:$G$20,#REF!)</f>
        <v>#VALUE!</v>
      </c>
    </row>
    <row r="10423" spans="1:5" x14ac:dyDescent="0.2">
      <c r="A10423" s="28">
        <v>10422</v>
      </c>
      <c r="B10423" s="28" t="e">
        <f>interpola(#REF!,CURVA!$B$6:$B$20,CURVA!$G$6:$G$20)</f>
        <v>#VALUE!</v>
      </c>
      <c r="C10423" s="29" t="e">
        <f t="shared" si="162"/>
        <v>#VALUE!</v>
      </c>
      <c r="E10423" t="e">
        <f>cubic_spline(CURVA!$B$6:$B$20,CURVA!$G$6:$G$20,#REF!)</f>
        <v>#VALUE!</v>
      </c>
    </row>
    <row r="10424" spans="1:5" x14ac:dyDescent="0.2">
      <c r="A10424" s="28">
        <v>10423</v>
      </c>
      <c r="B10424" s="28" t="e">
        <f>interpola(#REF!,CURVA!$B$6:$B$20,CURVA!$G$6:$G$20)</f>
        <v>#VALUE!</v>
      </c>
      <c r="C10424" s="29" t="e">
        <f t="shared" si="162"/>
        <v>#VALUE!</v>
      </c>
      <c r="E10424" t="e">
        <f>cubic_spline(CURVA!$B$6:$B$20,CURVA!$G$6:$G$20,#REF!)</f>
        <v>#VALUE!</v>
      </c>
    </row>
    <row r="10425" spans="1:5" x14ac:dyDescent="0.2">
      <c r="A10425" s="28">
        <v>10424</v>
      </c>
      <c r="B10425" s="28" t="e">
        <f>interpola(#REF!,CURVA!$B$6:$B$20,CURVA!$G$6:$G$20)</f>
        <v>#VALUE!</v>
      </c>
      <c r="C10425" s="29" t="e">
        <f t="shared" si="162"/>
        <v>#VALUE!</v>
      </c>
      <c r="E10425" t="e">
        <f>cubic_spline(CURVA!$B$6:$B$20,CURVA!$G$6:$G$20,#REF!)</f>
        <v>#VALUE!</v>
      </c>
    </row>
    <row r="10426" spans="1:5" x14ac:dyDescent="0.2">
      <c r="A10426" s="28">
        <v>10425</v>
      </c>
      <c r="B10426" s="28" t="e">
        <f>interpola(#REF!,CURVA!$B$6:$B$20,CURVA!$G$6:$G$20)</f>
        <v>#VALUE!</v>
      </c>
      <c r="C10426" s="29" t="e">
        <f t="shared" si="162"/>
        <v>#VALUE!</v>
      </c>
      <c r="E10426" t="e">
        <f>cubic_spline(CURVA!$B$6:$B$20,CURVA!$G$6:$G$20,#REF!)</f>
        <v>#VALUE!</v>
      </c>
    </row>
    <row r="10427" spans="1:5" x14ac:dyDescent="0.2">
      <c r="A10427" s="28">
        <v>10426</v>
      </c>
      <c r="B10427" s="28" t="e">
        <f>interpola(#REF!,CURVA!$B$6:$B$20,CURVA!$G$6:$G$20)</f>
        <v>#VALUE!</v>
      </c>
      <c r="C10427" s="29" t="e">
        <f t="shared" si="162"/>
        <v>#VALUE!</v>
      </c>
      <c r="E10427" t="e">
        <f>cubic_spline(CURVA!$B$6:$B$20,CURVA!$G$6:$G$20,#REF!)</f>
        <v>#VALUE!</v>
      </c>
    </row>
    <row r="10428" spans="1:5" x14ac:dyDescent="0.2">
      <c r="A10428" s="28">
        <v>10427</v>
      </c>
      <c r="B10428" s="28" t="e">
        <f>interpola(#REF!,CURVA!$B$6:$B$20,CURVA!$G$6:$G$20)</f>
        <v>#VALUE!</v>
      </c>
      <c r="C10428" s="29" t="e">
        <f t="shared" si="162"/>
        <v>#VALUE!</v>
      </c>
      <c r="E10428" t="e">
        <f>cubic_spline(CURVA!$B$6:$B$20,CURVA!$G$6:$G$20,#REF!)</f>
        <v>#VALUE!</v>
      </c>
    </row>
    <row r="10429" spans="1:5" x14ac:dyDescent="0.2">
      <c r="A10429" s="28">
        <v>10428</v>
      </c>
      <c r="B10429" s="28" t="e">
        <f>interpola(#REF!,CURVA!$B$6:$B$20,CURVA!$G$6:$G$20)</f>
        <v>#VALUE!</v>
      </c>
      <c r="C10429" s="29" t="e">
        <f t="shared" si="162"/>
        <v>#VALUE!</v>
      </c>
      <c r="E10429" t="e">
        <f>cubic_spline(CURVA!$B$6:$B$20,CURVA!$G$6:$G$20,#REF!)</f>
        <v>#VALUE!</v>
      </c>
    </row>
    <row r="10430" spans="1:5" x14ac:dyDescent="0.2">
      <c r="A10430" s="28">
        <v>10429</v>
      </c>
      <c r="B10430" s="28" t="e">
        <f>interpola(#REF!,CURVA!$B$6:$B$20,CURVA!$G$6:$G$20)</f>
        <v>#VALUE!</v>
      </c>
      <c r="C10430" s="29" t="e">
        <f t="shared" si="162"/>
        <v>#VALUE!</v>
      </c>
      <c r="E10430" t="e">
        <f>cubic_spline(CURVA!$B$6:$B$20,CURVA!$G$6:$G$20,#REF!)</f>
        <v>#VALUE!</v>
      </c>
    </row>
    <row r="10431" spans="1:5" x14ac:dyDescent="0.2">
      <c r="A10431" s="28">
        <v>10430</v>
      </c>
      <c r="B10431" s="28" t="e">
        <f>interpola(#REF!,CURVA!$B$6:$B$20,CURVA!$G$6:$G$20)</f>
        <v>#VALUE!</v>
      </c>
      <c r="C10431" s="29" t="e">
        <f t="shared" si="162"/>
        <v>#VALUE!</v>
      </c>
      <c r="E10431" t="e">
        <f>cubic_spline(CURVA!$B$6:$B$20,CURVA!$G$6:$G$20,#REF!)</f>
        <v>#VALUE!</v>
      </c>
    </row>
    <row r="10432" spans="1:5" x14ac:dyDescent="0.2">
      <c r="A10432" s="28">
        <v>10431</v>
      </c>
      <c r="B10432" s="28" t="e">
        <f>interpola(#REF!,CURVA!$B$6:$B$20,CURVA!$G$6:$G$20)</f>
        <v>#VALUE!</v>
      </c>
      <c r="C10432" s="29" t="e">
        <f t="shared" si="162"/>
        <v>#VALUE!</v>
      </c>
      <c r="E10432" t="e">
        <f>cubic_spline(CURVA!$B$6:$B$20,CURVA!$G$6:$G$20,#REF!)</f>
        <v>#VALUE!</v>
      </c>
    </row>
    <row r="10433" spans="1:5" x14ac:dyDescent="0.2">
      <c r="A10433" s="28">
        <v>10432</v>
      </c>
      <c r="B10433" s="28" t="e">
        <f>interpola(#REF!,CURVA!$B$6:$B$20,CURVA!$G$6:$G$20)</f>
        <v>#VALUE!</v>
      </c>
      <c r="C10433" s="29" t="e">
        <f t="shared" si="162"/>
        <v>#VALUE!</v>
      </c>
      <c r="E10433" t="e">
        <f>cubic_spline(CURVA!$B$6:$B$20,CURVA!$G$6:$G$20,#REF!)</f>
        <v>#VALUE!</v>
      </c>
    </row>
    <row r="10434" spans="1:5" x14ac:dyDescent="0.2">
      <c r="A10434" s="28">
        <v>10433</v>
      </c>
      <c r="B10434" s="28" t="e">
        <f>interpola(#REF!,CURVA!$B$6:$B$20,CURVA!$G$6:$G$20)</f>
        <v>#VALUE!</v>
      </c>
      <c r="C10434" s="29" t="e">
        <f t="shared" ref="C10434:C10497" si="163">(EXP(B10434*A10434/360)-1)*360/A10434</f>
        <v>#VALUE!</v>
      </c>
      <c r="E10434" t="e">
        <f>cubic_spline(CURVA!$B$6:$B$20,CURVA!$G$6:$G$20,#REF!)</f>
        <v>#VALUE!</v>
      </c>
    </row>
    <row r="10435" spans="1:5" x14ac:dyDescent="0.2">
      <c r="A10435" s="28">
        <v>10434</v>
      </c>
      <c r="B10435" s="28" t="e">
        <f>interpola(#REF!,CURVA!$B$6:$B$20,CURVA!$G$6:$G$20)</f>
        <v>#VALUE!</v>
      </c>
      <c r="C10435" s="29" t="e">
        <f t="shared" si="163"/>
        <v>#VALUE!</v>
      </c>
      <c r="E10435" t="e">
        <f>cubic_spline(CURVA!$B$6:$B$20,CURVA!$G$6:$G$20,#REF!)</f>
        <v>#VALUE!</v>
      </c>
    </row>
    <row r="10436" spans="1:5" x14ac:dyDescent="0.2">
      <c r="A10436" s="28">
        <v>10435</v>
      </c>
      <c r="B10436" s="28" t="e">
        <f>interpola(#REF!,CURVA!$B$6:$B$20,CURVA!$G$6:$G$20)</f>
        <v>#VALUE!</v>
      </c>
      <c r="C10436" s="29" t="e">
        <f t="shared" si="163"/>
        <v>#VALUE!</v>
      </c>
      <c r="E10436" t="e">
        <f>cubic_spline(CURVA!$B$6:$B$20,CURVA!$G$6:$G$20,#REF!)</f>
        <v>#VALUE!</v>
      </c>
    </row>
    <row r="10437" spans="1:5" x14ac:dyDescent="0.2">
      <c r="A10437" s="28">
        <v>10436</v>
      </c>
      <c r="B10437" s="28" t="e">
        <f>interpola(#REF!,CURVA!$B$6:$B$20,CURVA!$G$6:$G$20)</f>
        <v>#VALUE!</v>
      </c>
      <c r="C10437" s="29" t="e">
        <f t="shared" si="163"/>
        <v>#VALUE!</v>
      </c>
      <c r="E10437" t="e">
        <f>cubic_spline(CURVA!$B$6:$B$20,CURVA!$G$6:$G$20,#REF!)</f>
        <v>#VALUE!</v>
      </c>
    </row>
    <row r="10438" spans="1:5" x14ac:dyDescent="0.2">
      <c r="A10438" s="28">
        <v>10437</v>
      </c>
      <c r="B10438" s="28" t="e">
        <f>interpola(#REF!,CURVA!$B$6:$B$20,CURVA!$G$6:$G$20)</f>
        <v>#VALUE!</v>
      </c>
      <c r="C10438" s="29" t="e">
        <f t="shared" si="163"/>
        <v>#VALUE!</v>
      </c>
      <c r="E10438" t="e">
        <f>cubic_spline(CURVA!$B$6:$B$20,CURVA!$G$6:$G$20,#REF!)</f>
        <v>#VALUE!</v>
      </c>
    </row>
    <row r="10439" spans="1:5" x14ac:dyDescent="0.2">
      <c r="A10439" s="28">
        <v>10438</v>
      </c>
      <c r="B10439" s="28" t="e">
        <f>interpola(#REF!,CURVA!$B$6:$B$20,CURVA!$G$6:$G$20)</f>
        <v>#VALUE!</v>
      </c>
      <c r="C10439" s="29" t="e">
        <f t="shared" si="163"/>
        <v>#VALUE!</v>
      </c>
      <c r="E10439" t="e">
        <f>cubic_spline(CURVA!$B$6:$B$20,CURVA!$G$6:$G$20,#REF!)</f>
        <v>#VALUE!</v>
      </c>
    </row>
    <row r="10440" spans="1:5" x14ac:dyDescent="0.2">
      <c r="A10440" s="28">
        <v>10439</v>
      </c>
      <c r="B10440" s="28" t="e">
        <f>interpola(#REF!,CURVA!$B$6:$B$20,CURVA!$G$6:$G$20)</f>
        <v>#VALUE!</v>
      </c>
      <c r="C10440" s="29" t="e">
        <f t="shared" si="163"/>
        <v>#VALUE!</v>
      </c>
      <c r="E10440" t="e">
        <f>cubic_spline(CURVA!$B$6:$B$20,CURVA!$G$6:$G$20,#REF!)</f>
        <v>#VALUE!</v>
      </c>
    </row>
    <row r="10441" spans="1:5" x14ac:dyDescent="0.2">
      <c r="A10441" s="28">
        <v>10440</v>
      </c>
      <c r="B10441" s="28" t="e">
        <f>interpola(#REF!,CURVA!$B$6:$B$20,CURVA!$G$6:$G$20)</f>
        <v>#VALUE!</v>
      </c>
      <c r="C10441" s="29" t="e">
        <f t="shared" si="163"/>
        <v>#VALUE!</v>
      </c>
      <c r="E10441" t="e">
        <f>cubic_spline(CURVA!$B$6:$B$20,CURVA!$G$6:$G$20,#REF!)</f>
        <v>#VALUE!</v>
      </c>
    </row>
    <row r="10442" spans="1:5" x14ac:dyDescent="0.2">
      <c r="A10442" s="28">
        <v>10441</v>
      </c>
      <c r="B10442" s="28" t="e">
        <f>interpola(#REF!,CURVA!$B$6:$B$20,CURVA!$G$6:$G$20)</f>
        <v>#VALUE!</v>
      </c>
      <c r="C10442" s="29" t="e">
        <f t="shared" si="163"/>
        <v>#VALUE!</v>
      </c>
      <c r="E10442" t="e">
        <f>cubic_spline(CURVA!$B$6:$B$20,CURVA!$G$6:$G$20,#REF!)</f>
        <v>#VALUE!</v>
      </c>
    </row>
    <row r="10443" spans="1:5" x14ac:dyDescent="0.2">
      <c r="A10443" s="28">
        <v>10442</v>
      </c>
      <c r="B10443" s="28" t="e">
        <f>interpola(#REF!,CURVA!$B$6:$B$20,CURVA!$G$6:$G$20)</f>
        <v>#VALUE!</v>
      </c>
      <c r="C10443" s="29" t="e">
        <f t="shared" si="163"/>
        <v>#VALUE!</v>
      </c>
      <c r="E10443" t="e">
        <f>cubic_spline(CURVA!$B$6:$B$20,CURVA!$G$6:$G$20,#REF!)</f>
        <v>#VALUE!</v>
      </c>
    </row>
    <row r="10444" spans="1:5" x14ac:dyDescent="0.2">
      <c r="A10444" s="28">
        <v>10443</v>
      </c>
      <c r="B10444" s="28" t="e">
        <f>interpola(#REF!,CURVA!$B$6:$B$20,CURVA!$G$6:$G$20)</f>
        <v>#VALUE!</v>
      </c>
      <c r="C10444" s="29" t="e">
        <f t="shared" si="163"/>
        <v>#VALUE!</v>
      </c>
      <c r="E10444" t="e">
        <f>cubic_spline(CURVA!$B$6:$B$20,CURVA!$G$6:$G$20,#REF!)</f>
        <v>#VALUE!</v>
      </c>
    </row>
    <row r="10445" spans="1:5" x14ac:dyDescent="0.2">
      <c r="A10445" s="28">
        <v>10444</v>
      </c>
      <c r="B10445" s="28" t="e">
        <f>interpola(#REF!,CURVA!$B$6:$B$20,CURVA!$G$6:$G$20)</f>
        <v>#VALUE!</v>
      </c>
      <c r="C10445" s="29" t="e">
        <f t="shared" si="163"/>
        <v>#VALUE!</v>
      </c>
      <c r="E10445" t="e">
        <f>cubic_spline(CURVA!$B$6:$B$20,CURVA!$G$6:$G$20,#REF!)</f>
        <v>#VALUE!</v>
      </c>
    </row>
    <row r="10446" spans="1:5" x14ac:dyDescent="0.2">
      <c r="A10446" s="28">
        <v>10445</v>
      </c>
      <c r="B10446" s="28" t="e">
        <f>interpola(#REF!,CURVA!$B$6:$B$20,CURVA!$G$6:$G$20)</f>
        <v>#VALUE!</v>
      </c>
      <c r="C10446" s="29" t="e">
        <f t="shared" si="163"/>
        <v>#VALUE!</v>
      </c>
      <c r="E10446" t="e">
        <f>cubic_spline(CURVA!$B$6:$B$20,CURVA!$G$6:$G$20,#REF!)</f>
        <v>#VALUE!</v>
      </c>
    </row>
    <row r="10447" spans="1:5" x14ac:dyDescent="0.2">
      <c r="A10447" s="28">
        <v>10446</v>
      </c>
      <c r="B10447" s="28" t="e">
        <f>interpola(#REF!,CURVA!$B$6:$B$20,CURVA!$G$6:$G$20)</f>
        <v>#VALUE!</v>
      </c>
      <c r="C10447" s="29" t="e">
        <f t="shared" si="163"/>
        <v>#VALUE!</v>
      </c>
      <c r="E10447" t="e">
        <f>cubic_spline(CURVA!$B$6:$B$20,CURVA!$G$6:$G$20,#REF!)</f>
        <v>#VALUE!</v>
      </c>
    </row>
    <row r="10448" spans="1:5" x14ac:dyDescent="0.2">
      <c r="A10448" s="28">
        <v>10447</v>
      </c>
      <c r="B10448" s="28" t="e">
        <f>interpola(#REF!,CURVA!$B$6:$B$20,CURVA!$G$6:$G$20)</f>
        <v>#VALUE!</v>
      </c>
      <c r="C10448" s="29" t="e">
        <f t="shared" si="163"/>
        <v>#VALUE!</v>
      </c>
      <c r="E10448" t="e">
        <f>cubic_spline(CURVA!$B$6:$B$20,CURVA!$G$6:$G$20,#REF!)</f>
        <v>#VALUE!</v>
      </c>
    </row>
    <row r="10449" spans="1:5" x14ac:dyDescent="0.2">
      <c r="A10449" s="28">
        <v>10448</v>
      </c>
      <c r="B10449" s="28" t="e">
        <f>interpola(#REF!,CURVA!$B$6:$B$20,CURVA!$G$6:$G$20)</f>
        <v>#VALUE!</v>
      </c>
      <c r="C10449" s="29" t="e">
        <f t="shared" si="163"/>
        <v>#VALUE!</v>
      </c>
      <c r="E10449" t="e">
        <f>cubic_spline(CURVA!$B$6:$B$20,CURVA!$G$6:$G$20,#REF!)</f>
        <v>#VALUE!</v>
      </c>
    </row>
    <row r="10450" spans="1:5" x14ac:dyDescent="0.2">
      <c r="A10450" s="28">
        <v>10449</v>
      </c>
      <c r="B10450" s="28" t="e">
        <f>interpola(#REF!,CURVA!$B$6:$B$20,CURVA!$G$6:$G$20)</f>
        <v>#VALUE!</v>
      </c>
      <c r="C10450" s="29" t="e">
        <f t="shared" si="163"/>
        <v>#VALUE!</v>
      </c>
      <c r="E10450" t="e">
        <f>cubic_spline(CURVA!$B$6:$B$20,CURVA!$G$6:$G$20,#REF!)</f>
        <v>#VALUE!</v>
      </c>
    </row>
    <row r="10451" spans="1:5" x14ac:dyDescent="0.2">
      <c r="A10451" s="28">
        <v>10450</v>
      </c>
      <c r="B10451" s="28" t="e">
        <f>interpola(#REF!,CURVA!$B$6:$B$20,CURVA!$G$6:$G$20)</f>
        <v>#VALUE!</v>
      </c>
      <c r="C10451" s="29" t="e">
        <f t="shared" si="163"/>
        <v>#VALUE!</v>
      </c>
      <c r="E10451" t="e">
        <f>cubic_spline(CURVA!$B$6:$B$20,CURVA!$G$6:$G$20,#REF!)</f>
        <v>#VALUE!</v>
      </c>
    </row>
    <row r="10452" spans="1:5" x14ac:dyDescent="0.2">
      <c r="A10452" s="28">
        <v>10451</v>
      </c>
      <c r="B10452" s="28" t="e">
        <f>interpola(#REF!,CURVA!$B$6:$B$20,CURVA!$G$6:$G$20)</f>
        <v>#VALUE!</v>
      </c>
      <c r="C10452" s="29" t="e">
        <f t="shared" si="163"/>
        <v>#VALUE!</v>
      </c>
      <c r="E10452" t="e">
        <f>cubic_spline(CURVA!$B$6:$B$20,CURVA!$G$6:$G$20,#REF!)</f>
        <v>#VALUE!</v>
      </c>
    </row>
    <row r="10453" spans="1:5" x14ac:dyDescent="0.2">
      <c r="A10453" s="28">
        <v>10452</v>
      </c>
      <c r="B10453" s="28" t="e">
        <f>interpola(#REF!,CURVA!$B$6:$B$20,CURVA!$G$6:$G$20)</f>
        <v>#VALUE!</v>
      </c>
      <c r="C10453" s="29" t="e">
        <f t="shared" si="163"/>
        <v>#VALUE!</v>
      </c>
      <c r="E10453" t="e">
        <f>cubic_spline(CURVA!$B$6:$B$20,CURVA!$G$6:$G$20,#REF!)</f>
        <v>#VALUE!</v>
      </c>
    </row>
    <row r="10454" spans="1:5" x14ac:dyDescent="0.2">
      <c r="A10454" s="28">
        <v>10453</v>
      </c>
      <c r="B10454" s="28" t="e">
        <f>interpola(#REF!,CURVA!$B$6:$B$20,CURVA!$G$6:$G$20)</f>
        <v>#VALUE!</v>
      </c>
      <c r="C10454" s="29" t="e">
        <f t="shared" si="163"/>
        <v>#VALUE!</v>
      </c>
      <c r="E10454" t="e">
        <f>cubic_spline(CURVA!$B$6:$B$20,CURVA!$G$6:$G$20,#REF!)</f>
        <v>#VALUE!</v>
      </c>
    </row>
    <row r="10455" spans="1:5" x14ac:dyDescent="0.2">
      <c r="A10455" s="28">
        <v>10454</v>
      </c>
      <c r="B10455" s="28" t="e">
        <f>interpola(#REF!,CURVA!$B$6:$B$20,CURVA!$G$6:$G$20)</f>
        <v>#VALUE!</v>
      </c>
      <c r="C10455" s="29" t="e">
        <f t="shared" si="163"/>
        <v>#VALUE!</v>
      </c>
      <c r="E10455" t="e">
        <f>cubic_spline(CURVA!$B$6:$B$20,CURVA!$G$6:$G$20,#REF!)</f>
        <v>#VALUE!</v>
      </c>
    </row>
    <row r="10456" spans="1:5" x14ac:dyDescent="0.2">
      <c r="A10456" s="28">
        <v>10455</v>
      </c>
      <c r="B10456" s="28" t="e">
        <f>interpola(#REF!,CURVA!$B$6:$B$20,CURVA!$G$6:$G$20)</f>
        <v>#VALUE!</v>
      </c>
      <c r="C10456" s="29" t="e">
        <f t="shared" si="163"/>
        <v>#VALUE!</v>
      </c>
      <c r="E10456" t="e">
        <f>cubic_spline(CURVA!$B$6:$B$20,CURVA!$G$6:$G$20,#REF!)</f>
        <v>#VALUE!</v>
      </c>
    </row>
    <row r="10457" spans="1:5" x14ac:dyDescent="0.2">
      <c r="A10457" s="28">
        <v>10456</v>
      </c>
      <c r="B10457" s="28" t="e">
        <f>interpola(#REF!,CURVA!$B$6:$B$20,CURVA!$G$6:$G$20)</f>
        <v>#VALUE!</v>
      </c>
      <c r="C10457" s="29" t="e">
        <f t="shared" si="163"/>
        <v>#VALUE!</v>
      </c>
      <c r="E10457" t="e">
        <f>cubic_spline(CURVA!$B$6:$B$20,CURVA!$G$6:$G$20,#REF!)</f>
        <v>#VALUE!</v>
      </c>
    </row>
    <row r="10458" spans="1:5" x14ac:dyDescent="0.2">
      <c r="A10458" s="28">
        <v>10457</v>
      </c>
      <c r="B10458" s="28" t="e">
        <f>interpola(#REF!,CURVA!$B$6:$B$20,CURVA!$G$6:$G$20)</f>
        <v>#VALUE!</v>
      </c>
      <c r="C10458" s="29" t="e">
        <f t="shared" si="163"/>
        <v>#VALUE!</v>
      </c>
      <c r="E10458" t="e">
        <f>cubic_spline(CURVA!$B$6:$B$20,CURVA!$G$6:$G$20,#REF!)</f>
        <v>#VALUE!</v>
      </c>
    </row>
    <row r="10459" spans="1:5" x14ac:dyDescent="0.2">
      <c r="A10459" s="28">
        <v>10458</v>
      </c>
      <c r="B10459" s="28" t="e">
        <f>interpola(#REF!,CURVA!$B$6:$B$20,CURVA!$G$6:$G$20)</f>
        <v>#VALUE!</v>
      </c>
      <c r="C10459" s="29" t="e">
        <f t="shared" si="163"/>
        <v>#VALUE!</v>
      </c>
      <c r="E10459" t="e">
        <f>cubic_spline(CURVA!$B$6:$B$20,CURVA!$G$6:$G$20,#REF!)</f>
        <v>#VALUE!</v>
      </c>
    </row>
    <row r="10460" spans="1:5" x14ac:dyDescent="0.2">
      <c r="A10460" s="28">
        <v>10459</v>
      </c>
      <c r="B10460" s="28" t="e">
        <f>interpola(#REF!,CURVA!$B$6:$B$20,CURVA!$G$6:$G$20)</f>
        <v>#VALUE!</v>
      </c>
      <c r="C10460" s="29" t="e">
        <f t="shared" si="163"/>
        <v>#VALUE!</v>
      </c>
      <c r="E10460" t="e">
        <f>cubic_spline(CURVA!$B$6:$B$20,CURVA!$G$6:$G$20,#REF!)</f>
        <v>#VALUE!</v>
      </c>
    </row>
    <row r="10461" spans="1:5" x14ac:dyDescent="0.2">
      <c r="A10461" s="28">
        <v>10460</v>
      </c>
      <c r="B10461" s="28" t="e">
        <f>interpola(#REF!,CURVA!$B$6:$B$20,CURVA!$G$6:$G$20)</f>
        <v>#VALUE!</v>
      </c>
      <c r="C10461" s="29" t="e">
        <f t="shared" si="163"/>
        <v>#VALUE!</v>
      </c>
      <c r="E10461" t="e">
        <f>cubic_spline(CURVA!$B$6:$B$20,CURVA!$G$6:$G$20,#REF!)</f>
        <v>#VALUE!</v>
      </c>
    </row>
    <row r="10462" spans="1:5" x14ac:dyDescent="0.2">
      <c r="A10462" s="28">
        <v>10461</v>
      </c>
      <c r="B10462" s="28" t="e">
        <f>interpola(#REF!,CURVA!$B$6:$B$20,CURVA!$G$6:$G$20)</f>
        <v>#VALUE!</v>
      </c>
      <c r="C10462" s="29" t="e">
        <f t="shared" si="163"/>
        <v>#VALUE!</v>
      </c>
      <c r="E10462" t="e">
        <f>cubic_spline(CURVA!$B$6:$B$20,CURVA!$G$6:$G$20,#REF!)</f>
        <v>#VALUE!</v>
      </c>
    </row>
    <row r="10463" spans="1:5" x14ac:dyDescent="0.2">
      <c r="A10463" s="28">
        <v>10462</v>
      </c>
      <c r="B10463" s="28" t="e">
        <f>interpola(#REF!,CURVA!$B$6:$B$20,CURVA!$G$6:$G$20)</f>
        <v>#VALUE!</v>
      </c>
      <c r="C10463" s="29" t="e">
        <f t="shared" si="163"/>
        <v>#VALUE!</v>
      </c>
      <c r="E10463" t="e">
        <f>cubic_spline(CURVA!$B$6:$B$20,CURVA!$G$6:$G$20,#REF!)</f>
        <v>#VALUE!</v>
      </c>
    </row>
    <row r="10464" spans="1:5" x14ac:dyDescent="0.2">
      <c r="A10464" s="28">
        <v>10463</v>
      </c>
      <c r="B10464" s="28" t="e">
        <f>interpola(#REF!,CURVA!$B$6:$B$20,CURVA!$G$6:$G$20)</f>
        <v>#VALUE!</v>
      </c>
      <c r="C10464" s="29" t="e">
        <f t="shared" si="163"/>
        <v>#VALUE!</v>
      </c>
      <c r="E10464" t="e">
        <f>cubic_spline(CURVA!$B$6:$B$20,CURVA!$G$6:$G$20,#REF!)</f>
        <v>#VALUE!</v>
      </c>
    </row>
    <row r="10465" spans="1:5" x14ac:dyDescent="0.2">
      <c r="A10465" s="28">
        <v>10464</v>
      </c>
      <c r="B10465" s="28" t="e">
        <f>interpola(#REF!,CURVA!$B$6:$B$20,CURVA!$G$6:$G$20)</f>
        <v>#VALUE!</v>
      </c>
      <c r="C10465" s="29" t="e">
        <f t="shared" si="163"/>
        <v>#VALUE!</v>
      </c>
      <c r="E10465" t="e">
        <f>cubic_spline(CURVA!$B$6:$B$20,CURVA!$G$6:$G$20,#REF!)</f>
        <v>#VALUE!</v>
      </c>
    </row>
    <row r="10466" spans="1:5" x14ac:dyDescent="0.2">
      <c r="A10466" s="28">
        <v>10465</v>
      </c>
      <c r="B10466" s="28" t="e">
        <f>interpola(#REF!,CURVA!$B$6:$B$20,CURVA!$G$6:$G$20)</f>
        <v>#VALUE!</v>
      </c>
      <c r="C10466" s="29" t="e">
        <f t="shared" si="163"/>
        <v>#VALUE!</v>
      </c>
      <c r="E10466" t="e">
        <f>cubic_spline(CURVA!$B$6:$B$20,CURVA!$G$6:$G$20,#REF!)</f>
        <v>#VALUE!</v>
      </c>
    </row>
    <row r="10467" spans="1:5" x14ac:dyDescent="0.2">
      <c r="A10467" s="28">
        <v>10466</v>
      </c>
      <c r="B10467" s="28" t="e">
        <f>interpola(#REF!,CURVA!$B$6:$B$20,CURVA!$G$6:$G$20)</f>
        <v>#VALUE!</v>
      </c>
      <c r="C10467" s="29" t="e">
        <f t="shared" si="163"/>
        <v>#VALUE!</v>
      </c>
      <c r="E10467" t="e">
        <f>cubic_spline(CURVA!$B$6:$B$20,CURVA!$G$6:$G$20,#REF!)</f>
        <v>#VALUE!</v>
      </c>
    </row>
    <row r="10468" spans="1:5" x14ac:dyDescent="0.2">
      <c r="A10468" s="28">
        <v>10467</v>
      </c>
      <c r="B10468" s="28" t="e">
        <f>interpola(#REF!,CURVA!$B$6:$B$20,CURVA!$G$6:$G$20)</f>
        <v>#VALUE!</v>
      </c>
      <c r="C10468" s="29" t="e">
        <f t="shared" si="163"/>
        <v>#VALUE!</v>
      </c>
      <c r="E10468" t="e">
        <f>cubic_spline(CURVA!$B$6:$B$20,CURVA!$G$6:$G$20,#REF!)</f>
        <v>#VALUE!</v>
      </c>
    </row>
    <row r="10469" spans="1:5" x14ac:dyDescent="0.2">
      <c r="A10469" s="28">
        <v>10468</v>
      </c>
      <c r="B10469" s="28" t="e">
        <f>interpola(#REF!,CURVA!$B$6:$B$20,CURVA!$G$6:$G$20)</f>
        <v>#VALUE!</v>
      </c>
      <c r="C10469" s="29" t="e">
        <f t="shared" si="163"/>
        <v>#VALUE!</v>
      </c>
      <c r="E10469" t="e">
        <f>cubic_spline(CURVA!$B$6:$B$20,CURVA!$G$6:$G$20,#REF!)</f>
        <v>#VALUE!</v>
      </c>
    </row>
    <row r="10470" spans="1:5" x14ac:dyDescent="0.2">
      <c r="A10470" s="28">
        <v>10469</v>
      </c>
      <c r="B10470" s="28" t="e">
        <f>interpola(#REF!,CURVA!$B$6:$B$20,CURVA!$G$6:$G$20)</f>
        <v>#VALUE!</v>
      </c>
      <c r="C10470" s="29" t="e">
        <f t="shared" si="163"/>
        <v>#VALUE!</v>
      </c>
      <c r="E10470" t="e">
        <f>cubic_spline(CURVA!$B$6:$B$20,CURVA!$G$6:$G$20,#REF!)</f>
        <v>#VALUE!</v>
      </c>
    </row>
    <row r="10471" spans="1:5" x14ac:dyDescent="0.2">
      <c r="A10471" s="28">
        <v>10470</v>
      </c>
      <c r="B10471" s="28" t="e">
        <f>interpola(#REF!,CURVA!$B$6:$B$20,CURVA!$G$6:$G$20)</f>
        <v>#VALUE!</v>
      </c>
      <c r="C10471" s="29" t="e">
        <f t="shared" si="163"/>
        <v>#VALUE!</v>
      </c>
      <c r="E10471" t="e">
        <f>cubic_spline(CURVA!$B$6:$B$20,CURVA!$G$6:$G$20,#REF!)</f>
        <v>#VALUE!</v>
      </c>
    </row>
    <row r="10472" spans="1:5" x14ac:dyDescent="0.2">
      <c r="A10472" s="28">
        <v>10471</v>
      </c>
      <c r="B10472" s="28" t="e">
        <f>interpola(#REF!,CURVA!$B$6:$B$20,CURVA!$G$6:$G$20)</f>
        <v>#VALUE!</v>
      </c>
      <c r="C10472" s="29" t="e">
        <f t="shared" si="163"/>
        <v>#VALUE!</v>
      </c>
      <c r="E10472" t="e">
        <f>cubic_spline(CURVA!$B$6:$B$20,CURVA!$G$6:$G$20,#REF!)</f>
        <v>#VALUE!</v>
      </c>
    </row>
    <row r="10473" spans="1:5" x14ac:dyDescent="0.2">
      <c r="A10473" s="28">
        <v>10472</v>
      </c>
      <c r="B10473" s="28" t="e">
        <f>interpola(#REF!,CURVA!$B$6:$B$20,CURVA!$G$6:$G$20)</f>
        <v>#VALUE!</v>
      </c>
      <c r="C10473" s="29" t="e">
        <f t="shared" si="163"/>
        <v>#VALUE!</v>
      </c>
      <c r="E10473" t="e">
        <f>cubic_spline(CURVA!$B$6:$B$20,CURVA!$G$6:$G$20,#REF!)</f>
        <v>#VALUE!</v>
      </c>
    </row>
    <row r="10474" spans="1:5" x14ac:dyDescent="0.2">
      <c r="A10474" s="28">
        <v>10473</v>
      </c>
      <c r="B10474" s="28" t="e">
        <f>interpola(#REF!,CURVA!$B$6:$B$20,CURVA!$G$6:$G$20)</f>
        <v>#VALUE!</v>
      </c>
      <c r="C10474" s="29" t="e">
        <f t="shared" si="163"/>
        <v>#VALUE!</v>
      </c>
      <c r="E10474" t="e">
        <f>cubic_spline(CURVA!$B$6:$B$20,CURVA!$G$6:$G$20,#REF!)</f>
        <v>#VALUE!</v>
      </c>
    </row>
    <row r="10475" spans="1:5" x14ac:dyDescent="0.2">
      <c r="A10475" s="28">
        <v>10474</v>
      </c>
      <c r="B10475" s="28" t="e">
        <f>interpola(#REF!,CURVA!$B$6:$B$20,CURVA!$G$6:$G$20)</f>
        <v>#VALUE!</v>
      </c>
      <c r="C10475" s="29" t="e">
        <f t="shared" si="163"/>
        <v>#VALUE!</v>
      </c>
      <c r="E10475" t="e">
        <f>cubic_spline(CURVA!$B$6:$B$20,CURVA!$G$6:$G$20,#REF!)</f>
        <v>#VALUE!</v>
      </c>
    </row>
    <row r="10476" spans="1:5" x14ac:dyDescent="0.2">
      <c r="A10476" s="28">
        <v>10475</v>
      </c>
      <c r="B10476" s="28" t="e">
        <f>interpola(#REF!,CURVA!$B$6:$B$20,CURVA!$G$6:$G$20)</f>
        <v>#VALUE!</v>
      </c>
      <c r="C10476" s="29" t="e">
        <f t="shared" si="163"/>
        <v>#VALUE!</v>
      </c>
      <c r="E10476" t="e">
        <f>cubic_spline(CURVA!$B$6:$B$20,CURVA!$G$6:$G$20,#REF!)</f>
        <v>#VALUE!</v>
      </c>
    </row>
    <row r="10477" spans="1:5" x14ac:dyDescent="0.2">
      <c r="A10477" s="28">
        <v>10476</v>
      </c>
      <c r="B10477" s="28" t="e">
        <f>interpola(#REF!,CURVA!$B$6:$B$20,CURVA!$G$6:$G$20)</f>
        <v>#VALUE!</v>
      </c>
      <c r="C10477" s="29" t="e">
        <f t="shared" si="163"/>
        <v>#VALUE!</v>
      </c>
      <c r="E10477" t="e">
        <f>cubic_spline(CURVA!$B$6:$B$20,CURVA!$G$6:$G$20,#REF!)</f>
        <v>#VALUE!</v>
      </c>
    </row>
    <row r="10478" spans="1:5" x14ac:dyDescent="0.2">
      <c r="A10478" s="28">
        <v>10477</v>
      </c>
      <c r="B10478" s="28" t="e">
        <f>interpola(#REF!,CURVA!$B$6:$B$20,CURVA!$G$6:$G$20)</f>
        <v>#VALUE!</v>
      </c>
      <c r="C10478" s="29" t="e">
        <f t="shared" si="163"/>
        <v>#VALUE!</v>
      </c>
      <c r="E10478" t="e">
        <f>cubic_spline(CURVA!$B$6:$B$20,CURVA!$G$6:$G$20,#REF!)</f>
        <v>#VALUE!</v>
      </c>
    </row>
    <row r="10479" spans="1:5" x14ac:dyDescent="0.2">
      <c r="A10479" s="28">
        <v>10478</v>
      </c>
      <c r="B10479" s="28" t="e">
        <f>interpola(#REF!,CURVA!$B$6:$B$20,CURVA!$G$6:$G$20)</f>
        <v>#VALUE!</v>
      </c>
      <c r="C10479" s="29" t="e">
        <f t="shared" si="163"/>
        <v>#VALUE!</v>
      </c>
      <c r="E10479" t="e">
        <f>cubic_spline(CURVA!$B$6:$B$20,CURVA!$G$6:$G$20,#REF!)</f>
        <v>#VALUE!</v>
      </c>
    </row>
    <row r="10480" spans="1:5" x14ac:dyDescent="0.2">
      <c r="A10480" s="28">
        <v>10479</v>
      </c>
      <c r="B10480" s="28" t="e">
        <f>interpola(#REF!,CURVA!$B$6:$B$20,CURVA!$G$6:$G$20)</f>
        <v>#VALUE!</v>
      </c>
      <c r="C10480" s="29" t="e">
        <f t="shared" si="163"/>
        <v>#VALUE!</v>
      </c>
      <c r="E10480" t="e">
        <f>cubic_spline(CURVA!$B$6:$B$20,CURVA!$G$6:$G$20,#REF!)</f>
        <v>#VALUE!</v>
      </c>
    </row>
    <row r="10481" spans="1:5" x14ac:dyDescent="0.2">
      <c r="A10481" s="28">
        <v>10480</v>
      </c>
      <c r="B10481" s="28" t="e">
        <f>interpola(#REF!,CURVA!$B$6:$B$20,CURVA!$G$6:$G$20)</f>
        <v>#VALUE!</v>
      </c>
      <c r="C10481" s="29" t="e">
        <f t="shared" si="163"/>
        <v>#VALUE!</v>
      </c>
      <c r="E10481" t="e">
        <f>cubic_spline(CURVA!$B$6:$B$20,CURVA!$G$6:$G$20,#REF!)</f>
        <v>#VALUE!</v>
      </c>
    </row>
    <row r="10482" spans="1:5" x14ac:dyDescent="0.2">
      <c r="A10482" s="28">
        <v>10481</v>
      </c>
      <c r="B10482" s="28" t="e">
        <f>interpola(#REF!,CURVA!$B$6:$B$20,CURVA!$G$6:$G$20)</f>
        <v>#VALUE!</v>
      </c>
      <c r="C10482" s="29" t="e">
        <f t="shared" si="163"/>
        <v>#VALUE!</v>
      </c>
      <c r="E10482" t="e">
        <f>cubic_spline(CURVA!$B$6:$B$20,CURVA!$G$6:$G$20,#REF!)</f>
        <v>#VALUE!</v>
      </c>
    </row>
    <row r="10483" spans="1:5" x14ac:dyDescent="0.2">
      <c r="A10483" s="28">
        <v>10482</v>
      </c>
      <c r="B10483" s="28" t="e">
        <f>interpola(#REF!,CURVA!$B$6:$B$20,CURVA!$G$6:$G$20)</f>
        <v>#VALUE!</v>
      </c>
      <c r="C10483" s="29" t="e">
        <f t="shared" si="163"/>
        <v>#VALUE!</v>
      </c>
      <c r="E10483" t="e">
        <f>cubic_spline(CURVA!$B$6:$B$20,CURVA!$G$6:$G$20,#REF!)</f>
        <v>#VALUE!</v>
      </c>
    </row>
    <row r="10484" spans="1:5" x14ac:dyDescent="0.2">
      <c r="A10484" s="28">
        <v>10483</v>
      </c>
      <c r="B10484" s="28" t="e">
        <f>interpola(#REF!,CURVA!$B$6:$B$20,CURVA!$G$6:$G$20)</f>
        <v>#VALUE!</v>
      </c>
      <c r="C10484" s="29" t="e">
        <f t="shared" si="163"/>
        <v>#VALUE!</v>
      </c>
      <c r="E10484" t="e">
        <f>cubic_spline(CURVA!$B$6:$B$20,CURVA!$G$6:$G$20,#REF!)</f>
        <v>#VALUE!</v>
      </c>
    </row>
    <row r="10485" spans="1:5" x14ac:dyDescent="0.2">
      <c r="A10485" s="28">
        <v>10484</v>
      </c>
      <c r="B10485" s="28" t="e">
        <f>interpola(#REF!,CURVA!$B$6:$B$20,CURVA!$G$6:$G$20)</f>
        <v>#VALUE!</v>
      </c>
      <c r="C10485" s="29" t="e">
        <f t="shared" si="163"/>
        <v>#VALUE!</v>
      </c>
      <c r="E10485" t="e">
        <f>cubic_spline(CURVA!$B$6:$B$20,CURVA!$G$6:$G$20,#REF!)</f>
        <v>#VALUE!</v>
      </c>
    </row>
    <row r="10486" spans="1:5" x14ac:dyDescent="0.2">
      <c r="A10486" s="28">
        <v>10485</v>
      </c>
      <c r="B10486" s="28" t="e">
        <f>interpola(#REF!,CURVA!$B$6:$B$20,CURVA!$G$6:$G$20)</f>
        <v>#VALUE!</v>
      </c>
      <c r="C10486" s="29" t="e">
        <f t="shared" si="163"/>
        <v>#VALUE!</v>
      </c>
      <c r="E10486" t="e">
        <f>cubic_spline(CURVA!$B$6:$B$20,CURVA!$G$6:$G$20,#REF!)</f>
        <v>#VALUE!</v>
      </c>
    </row>
    <row r="10487" spans="1:5" x14ac:dyDescent="0.2">
      <c r="A10487" s="28">
        <v>10486</v>
      </c>
      <c r="B10487" s="28" t="e">
        <f>interpola(#REF!,CURVA!$B$6:$B$20,CURVA!$G$6:$G$20)</f>
        <v>#VALUE!</v>
      </c>
      <c r="C10487" s="29" t="e">
        <f t="shared" si="163"/>
        <v>#VALUE!</v>
      </c>
      <c r="E10487" t="e">
        <f>cubic_spline(CURVA!$B$6:$B$20,CURVA!$G$6:$G$20,#REF!)</f>
        <v>#VALUE!</v>
      </c>
    </row>
    <row r="10488" spans="1:5" x14ac:dyDescent="0.2">
      <c r="A10488" s="28">
        <v>10487</v>
      </c>
      <c r="B10488" s="28" t="e">
        <f>interpola(#REF!,CURVA!$B$6:$B$20,CURVA!$G$6:$G$20)</f>
        <v>#VALUE!</v>
      </c>
      <c r="C10488" s="29" t="e">
        <f t="shared" si="163"/>
        <v>#VALUE!</v>
      </c>
      <c r="E10488" t="e">
        <f>cubic_spline(CURVA!$B$6:$B$20,CURVA!$G$6:$G$20,#REF!)</f>
        <v>#VALUE!</v>
      </c>
    </row>
    <row r="10489" spans="1:5" x14ac:dyDescent="0.2">
      <c r="A10489" s="28">
        <v>10488</v>
      </c>
      <c r="B10489" s="28" t="e">
        <f>interpola(#REF!,CURVA!$B$6:$B$20,CURVA!$G$6:$G$20)</f>
        <v>#VALUE!</v>
      </c>
      <c r="C10489" s="29" t="e">
        <f t="shared" si="163"/>
        <v>#VALUE!</v>
      </c>
      <c r="E10489" t="e">
        <f>cubic_spline(CURVA!$B$6:$B$20,CURVA!$G$6:$G$20,#REF!)</f>
        <v>#VALUE!</v>
      </c>
    </row>
    <row r="10490" spans="1:5" x14ac:dyDescent="0.2">
      <c r="A10490" s="28">
        <v>10489</v>
      </c>
      <c r="B10490" s="28" t="e">
        <f>interpola(#REF!,CURVA!$B$6:$B$20,CURVA!$G$6:$G$20)</f>
        <v>#VALUE!</v>
      </c>
      <c r="C10490" s="29" t="e">
        <f t="shared" si="163"/>
        <v>#VALUE!</v>
      </c>
      <c r="E10490" t="e">
        <f>cubic_spline(CURVA!$B$6:$B$20,CURVA!$G$6:$G$20,#REF!)</f>
        <v>#VALUE!</v>
      </c>
    </row>
    <row r="10491" spans="1:5" x14ac:dyDescent="0.2">
      <c r="A10491" s="28">
        <v>10490</v>
      </c>
      <c r="B10491" s="28" t="e">
        <f>interpola(#REF!,CURVA!$B$6:$B$20,CURVA!$G$6:$G$20)</f>
        <v>#VALUE!</v>
      </c>
      <c r="C10491" s="29" t="e">
        <f t="shared" si="163"/>
        <v>#VALUE!</v>
      </c>
      <c r="E10491" t="e">
        <f>cubic_spline(CURVA!$B$6:$B$20,CURVA!$G$6:$G$20,#REF!)</f>
        <v>#VALUE!</v>
      </c>
    </row>
    <row r="10492" spans="1:5" x14ac:dyDescent="0.2">
      <c r="A10492" s="28">
        <v>10491</v>
      </c>
      <c r="B10492" s="28" t="e">
        <f>interpola(#REF!,CURVA!$B$6:$B$20,CURVA!$G$6:$G$20)</f>
        <v>#VALUE!</v>
      </c>
      <c r="C10492" s="29" t="e">
        <f t="shared" si="163"/>
        <v>#VALUE!</v>
      </c>
      <c r="E10492" t="e">
        <f>cubic_spline(CURVA!$B$6:$B$20,CURVA!$G$6:$G$20,#REF!)</f>
        <v>#VALUE!</v>
      </c>
    </row>
    <row r="10493" spans="1:5" x14ac:dyDescent="0.2">
      <c r="A10493" s="28">
        <v>10492</v>
      </c>
      <c r="B10493" s="28" t="e">
        <f>interpola(#REF!,CURVA!$B$6:$B$20,CURVA!$G$6:$G$20)</f>
        <v>#VALUE!</v>
      </c>
      <c r="C10493" s="29" t="e">
        <f t="shared" si="163"/>
        <v>#VALUE!</v>
      </c>
      <c r="E10493" t="e">
        <f>cubic_spline(CURVA!$B$6:$B$20,CURVA!$G$6:$G$20,#REF!)</f>
        <v>#VALUE!</v>
      </c>
    </row>
    <row r="10494" spans="1:5" x14ac:dyDescent="0.2">
      <c r="A10494" s="28">
        <v>10493</v>
      </c>
      <c r="B10494" s="28" t="e">
        <f>interpola(#REF!,CURVA!$B$6:$B$20,CURVA!$G$6:$G$20)</f>
        <v>#VALUE!</v>
      </c>
      <c r="C10494" s="29" t="e">
        <f t="shared" si="163"/>
        <v>#VALUE!</v>
      </c>
      <c r="E10494" t="e">
        <f>cubic_spline(CURVA!$B$6:$B$20,CURVA!$G$6:$G$20,#REF!)</f>
        <v>#VALUE!</v>
      </c>
    </row>
    <row r="10495" spans="1:5" x14ac:dyDescent="0.2">
      <c r="A10495" s="28">
        <v>10494</v>
      </c>
      <c r="B10495" s="28" t="e">
        <f>interpola(#REF!,CURVA!$B$6:$B$20,CURVA!$G$6:$G$20)</f>
        <v>#VALUE!</v>
      </c>
      <c r="C10495" s="29" t="e">
        <f t="shared" si="163"/>
        <v>#VALUE!</v>
      </c>
      <c r="E10495" t="e">
        <f>cubic_spline(CURVA!$B$6:$B$20,CURVA!$G$6:$G$20,#REF!)</f>
        <v>#VALUE!</v>
      </c>
    </row>
    <row r="10496" spans="1:5" x14ac:dyDescent="0.2">
      <c r="A10496" s="28">
        <v>10495</v>
      </c>
      <c r="B10496" s="28" t="e">
        <f>interpola(#REF!,CURVA!$B$6:$B$20,CURVA!$G$6:$G$20)</f>
        <v>#VALUE!</v>
      </c>
      <c r="C10496" s="29" t="e">
        <f t="shared" si="163"/>
        <v>#VALUE!</v>
      </c>
      <c r="E10496" t="e">
        <f>cubic_spline(CURVA!$B$6:$B$20,CURVA!$G$6:$G$20,#REF!)</f>
        <v>#VALUE!</v>
      </c>
    </row>
    <row r="10497" spans="1:5" x14ac:dyDescent="0.2">
      <c r="A10497" s="28">
        <v>10496</v>
      </c>
      <c r="B10497" s="28" t="e">
        <f>interpola(#REF!,CURVA!$B$6:$B$20,CURVA!$G$6:$G$20)</f>
        <v>#VALUE!</v>
      </c>
      <c r="C10497" s="29" t="e">
        <f t="shared" si="163"/>
        <v>#VALUE!</v>
      </c>
      <c r="E10497" t="e">
        <f>cubic_spline(CURVA!$B$6:$B$20,CURVA!$G$6:$G$20,#REF!)</f>
        <v>#VALUE!</v>
      </c>
    </row>
    <row r="10498" spans="1:5" x14ac:dyDescent="0.2">
      <c r="A10498" s="28">
        <v>10497</v>
      </c>
      <c r="B10498" s="28" t="e">
        <f>interpola(#REF!,CURVA!$B$6:$B$20,CURVA!$G$6:$G$20)</f>
        <v>#VALUE!</v>
      </c>
      <c r="C10498" s="29" t="e">
        <f t="shared" ref="C10498:C10561" si="164">(EXP(B10498*A10498/360)-1)*360/A10498</f>
        <v>#VALUE!</v>
      </c>
      <c r="E10498" t="e">
        <f>cubic_spline(CURVA!$B$6:$B$20,CURVA!$G$6:$G$20,#REF!)</f>
        <v>#VALUE!</v>
      </c>
    </row>
    <row r="10499" spans="1:5" x14ac:dyDescent="0.2">
      <c r="A10499" s="28">
        <v>10498</v>
      </c>
      <c r="B10499" s="28" t="e">
        <f>interpola(#REF!,CURVA!$B$6:$B$20,CURVA!$G$6:$G$20)</f>
        <v>#VALUE!</v>
      </c>
      <c r="C10499" s="29" t="e">
        <f t="shared" si="164"/>
        <v>#VALUE!</v>
      </c>
      <c r="E10499" t="e">
        <f>cubic_spline(CURVA!$B$6:$B$20,CURVA!$G$6:$G$20,#REF!)</f>
        <v>#VALUE!</v>
      </c>
    </row>
    <row r="10500" spans="1:5" x14ac:dyDescent="0.2">
      <c r="A10500" s="28">
        <v>10499</v>
      </c>
      <c r="B10500" s="28" t="e">
        <f>interpola(#REF!,CURVA!$B$6:$B$20,CURVA!$G$6:$G$20)</f>
        <v>#VALUE!</v>
      </c>
      <c r="C10500" s="29" t="e">
        <f t="shared" si="164"/>
        <v>#VALUE!</v>
      </c>
      <c r="E10500" t="e">
        <f>cubic_spline(CURVA!$B$6:$B$20,CURVA!$G$6:$G$20,#REF!)</f>
        <v>#VALUE!</v>
      </c>
    </row>
    <row r="10501" spans="1:5" x14ac:dyDescent="0.2">
      <c r="A10501" s="28">
        <v>10500</v>
      </c>
      <c r="B10501" s="28" t="e">
        <f>interpola(#REF!,CURVA!$B$6:$B$20,CURVA!$G$6:$G$20)</f>
        <v>#VALUE!</v>
      </c>
      <c r="C10501" s="29" t="e">
        <f t="shared" si="164"/>
        <v>#VALUE!</v>
      </c>
      <c r="E10501" t="e">
        <f>cubic_spline(CURVA!$B$6:$B$20,CURVA!$G$6:$G$20,#REF!)</f>
        <v>#VALUE!</v>
      </c>
    </row>
    <row r="10502" spans="1:5" x14ac:dyDescent="0.2">
      <c r="A10502" s="28">
        <v>10501</v>
      </c>
      <c r="B10502" s="28" t="e">
        <f>interpola(#REF!,CURVA!$B$6:$B$20,CURVA!$G$6:$G$20)</f>
        <v>#VALUE!</v>
      </c>
      <c r="C10502" s="29" t="e">
        <f t="shared" si="164"/>
        <v>#VALUE!</v>
      </c>
      <c r="E10502" t="e">
        <f>cubic_spline(CURVA!$B$6:$B$20,CURVA!$G$6:$G$20,#REF!)</f>
        <v>#VALUE!</v>
      </c>
    </row>
    <row r="10503" spans="1:5" x14ac:dyDescent="0.2">
      <c r="A10503" s="28">
        <v>10502</v>
      </c>
      <c r="B10503" s="28" t="e">
        <f>interpola(#REF!,CURVA!$B$6:$B$20,CURVA!$G$6:$G$20)</f>
        <v>#VALUE!</v>
      </c>
      <c r="C10503" s="29" t="e">
        <f t="shared" si="164"/>
        <v>#VALUE!</v>
      </c>
      <c r="E10503" t="e">
        <f>cubic_spline(CURVA!$B$6:$B$20,CURVA!$G$6:$G$20,#REF!)</f>
        <v>#VALUE!</v>
      </c>
    </row>
    <row r="10504" spans="1:5" x14ac:dyDescent="0.2">
      <c r="A10504" s="28">
        <v>10503</v>
      </c>
      <c r="B10504" s="28" t="e">
        <f>interpola(#REF!,CURVA!$B$6:$B$20,CURVA!$G$6:$G$20)</f>
        <v>#VALUE!</v>
      </c>
      <c r="C10504" s="29" t="e">
        <f t="shared" si="164"/>
        <v>#VALUE!</v>
      </c>
      <c r="E10504" t="e">
        <f>cubic_spline(CURVA!$B$6:$B$20,CURVA!$G$6:$G$20,#REF!)</f>
        <v>#VALUE!</v>
      </c>
    </row>
    <row r="10505" spans="1:5" x14ac:dyDescent="0.2">
      <c r="A10505" s="28">
        <v>10504</v>
      </c>
      <c r="B10505" s="28" t="e">
        <f>interpola(#REF!,CURVA!$B$6:$B$20,CURVA!$G$6:$G$20)</f>
        <v>#VALUE!</v>
      </c>
      <c r="C10505" s="29" t="e">
        <f t="shared" si="164"/>
        <v>#VALUE!</v>
      </c>
      <c r="E10505" t="e">
        <f>cubic_spline(CURVA!$B$6:$B$20,CURVA!$G$6:$G$20,#REF!)</f>
        <v>#VALUE!</v>
      </c>
    </row>
    <row r="10506" spans="1:5" x14ac:dyDescent="0.2">
      <c r="A10506" s="28">
        <v>10505</v>
      </c>
      <c r="B10506" s="28" t="e">
        <f>interpola(#REF!,CURVA!$B$6:$B$20,CURVA!$G$6:$G$20)</f>
        <v>#VALUE!</v>
      </c>
      <c r="C10506" s="29" t="e">
        <f t="shared" si="164"/>
        <v>#VALUE!</v>
      </c>
      <c r="E10506" t="e">
        <f>cubic_spline(CURVA!$B$6:$B$20,CURVA!$G$6:$G$20,#REF!)</f>
        <v>#VALUE!</v>
      </c>
    </row>
    <row r="10507" spans="1:5" x14ac:dyDescent="0.2">
      <c r="A10507" s="28">
        <v>10506</v>
      </c>
      <c r="B10507" s="28" t="e">
        <f>interpola(#REF!,CURVA!$B$6:$B$20,CURVA!$G$6:$G$20)</f>
        <v>#VALUE!</v>
      </c>
      <c r="C10507" s="29" t="e">
        <f t="shared" si="164"/>
        <v>#VALUE!</v>
      </c>
      <c r="E10507" t="e">
        <f>cubic_spline(CURVA!$B$6:$B$20,CURVA!$G$6:$G$20,#REF!)</f>
        <v>#VALUE!</v>
      </c>
    </row>
    <row r="10508" spans="1:5" x14ac:dyDescent="0.2">
      <c r="A10508" s="28">
        <v>10507</v>
      </c>
      <c r="B10508" s="28" t="e">
        <f>interpola(#REF!,CURVA!$B$6:$B$20,CURVA!$G$6:$G$20)</f>
        <v>#VALUE!</v>
      </c>
      <c r="C10508" s="29" t="e">
        <f t="shared" si="164"/>
        <v>#VALUE!</v>
      </c>
      <c r="E10508" t="e">
        <f>cubic_spline(CURVA!$B$6:$B$20,CURVA!$G$6:$G$20,#REF!)</f>
        <v>#VALUE!</v>
      </c>
    </row>
    <row r="10509" spans="1:5" x14ac:dyDescent="0.2">
      <c r="A10509" s="28">
        <v>10508</v>
      </c>
      <c r="B10509" s="28" t="e">
        <f>interpola(#REF!,CURVA!$B$6:$B$20,CURVA!$G$6:$G$20)</f>
        <v>#VALUE!</v>
      </c>
      <c r="C10509" s="29" t="e">
        <f t="shared" si="164"/>
        <v>#VALUE!</v>
      </c>
      <c r="E10509" t="e">
        <f>cubic_spline(CURVA!$B$6:$B$20,CURVA!$G$6:$G$20,#REF!)</f>
        <v>#VALUE!</v>
      </c>
    </row>
    <row r="10510" spans="1:5" x14ac:dyDescent="0.2">
      <c r="A10510" s="28">
        <v>10509</v>
      </c>
      <c r="B10510" s="28" t="e">
        <f>interpola(#REF!,CURVA!$B$6:$B$20,CURVA!$G$6:$G$20)</f>
        <v>#VALUE!</v>
      </c>
      <c r="C10510" s="29" t="e">
        <f t="shared" si="164"/>
        <v>#VALUE!</v>
      </c>
      <c r="E10510" t="e">
        <f>cubic_spline(CURVA!$B$6:$B$20,CURVA!$G$6:$G$20,#REF!)</f>
        <v>#VALUE!</v>
      </c>
    </row>
    <row r="10511" spans="1:5" x14ac:dyDescent="0.2">
      <c r="A10511" s="28">
        <v>10510</v>
      </c>
      <c r="B10511" s="28" t="e">
        <f>interpola(#REF!,CURVA!$B$6:$B$20,CURVA!$G$6:$G$20)</f>
        <v>#VALUE!</v>
      </c>
      <c r="C10511" s="29" t="e">
        <f t="shared" si="164"/>
        <v>#VALUE!</v>
      </c>
      <c r="E10511" t="e">
        <f>cubic_spline(CURVA!$B$6:$B$20,CURVA!$G$6:$G$20,#REF!)</f>
        <v>#VALUE!</v>
      </c>
    </row>
    <row r="10512" spans="1:5" x14ac:dyDescent="0.2">
      <c r="A10512" s="28">
        <v>10511</v>
      </c>
      <c r="B10512" s="28" t="e">
        <f>interpola(#REF!,CURVA!$B$6:$B$20,CURVA!$G$6:$G$20)</f>
        <v>#VALUE!</v>
      </c>
      <c r="C10512" s="29" t="e">
        <f t="shared" si="164"/>
        <v>#VALUE!</v>
      </c>
      <c r="E10512" t="e">
        <f>cubic_spline(CURVA!$B$6:$B$20,CURVA!$G$6:$G$20,#REF!)</f>
        <v>#VALUE!</v>
      </c>
    </row>
    <row r="10513" spans="1:5" x14ac:dyDescent="0.2">
      <c r="A10513" s="28">
        <v>10512</v>
      </c>
      <c r="B10513" s="28" t="e">
        <f>interpola(#REF!,CURVA!$B$6:$B$20,CURVA!$G$6:$G$20)</f>
        <v>#VALUE!</v>
      </c>
      <c r="C10513" s="29" t="e">
        <f t="shared" si="164"/>
        <v>#VALUE!</v>
      </c>
      <c r="E10513" t="e">
        <f>cubic_spline(CURVA!$B$6:$B$20,CURVA!$G$6:$G$20,#REF!)</f>
        <v>#VALUE!</v>
      </c>
    </row>
    <row r="10514" spans="1:5" x14ac:dyDescent="0.2">
      <c r="A10514" s="28">
        <v>10513</v>
      </c>
      <c r="B10514" s="28" t="e">
        <f>interpola(#REF!,CURVA!$B$6:$B$20,CURVA!$G$6:$G$20)</f>
        <v>#VALUE!</v>
      </c>
      <c r="C10514" s="29" t="e">
        <f t="shared" si="164"/>
        <v>#VALUE!</v>
      </c>
      <c r="E10514" t="e">
        <f>cubic_spline(CURVA!$B$6:$B$20,CURVA!$G$6:$G$20,#REF!)</f>
        <v>#VALUE!</v>
      </c>
    </row>
    <row r="10515" spans="1:5" x14ac:dyDescent="0.2">
      <c r="A10515" s="28">
        <v>10514</v>
      </c>
      <c r="B10515" s="28" t="e">
        <f>interpola(#REF!,CURVA!$B$6:$B$20,CURVA!$G$6:$G$20)</f>
        <v>#VALUE!</v>
      </c>
      <c r="C10515" s="29" t="e">
        <f t="shared" si="164"/>
        <v>#VALUE!</v>
      </c>
      <c r="E10515" t="e">
        <f>cubic_spline(CURVA!$B$6:$B$20,CURVA!$G$6:$G$20,#REF!)</f>
        <v>#VALUE!</v>
      </c>
    </row>
    <row r="10516" spans="1:5" x14ac:dyDescent="0.2">
      <c r="A10516" s="28">
        <v>10515</v>
      </c>
      <c r="B10516" s="28" t="e">
        <f>interpola(#REF!,CURVA!$B$6:$B$20,CURVA!$G$6:$G$20)</f>
        <v>#VALUE!</v>
      </c>
      <c r="C10516" s="29" t="e">
        <f t="shared" si="164"/>
        <v>#VALUE!</v>
      </c>
      <c r="E10516" t="e">
        <f>cubic_spline(CURVA!$B$6:$B$20,CURVA!$G$6:$G$20,#REF!)</f>
        <v>#VALUE!</v>
      </c>
    </row>
    <row r="10517" spans="1:5" x14ac:dyDescent="0.2">
      <c r="A10517" s="28">
        <v>10516</v>
      </c>
      <c r="B10517" s="28" t="e">
        <f>interpola(#REF!,CURVA!$B$6:$B$20,CURVA!$G$6:$G$20)</f>
        <v>#VALUE!</v>
      </c>
      <c r="C10517" s="29" t="e">
        <f t="shared" si="164"/>
        <v>#VALUE!</v>
      </c>
      <c r="E10517" t="e">
        <f>cubic_spline(CURVA!$B$6:$B$20,CURVA!$G$6:$G$20,#REF!)</f>
        <v>#VALUE!</v>
      </c>
    </row>
    <row r="10518" spans="1:5" x14ac:dyDescent="0.2">
      <c r="A10518" s="28">
        <v>10517</v>
      </c>
      <c r="B10518" s="28" t="e">
        <f>interpola(#REF!,CURVA!$B$6:$B$20,CURVA!$G$6:$G$20)</f>
        <v>#VALUE!</v>
      </c>
      <c r="C10518" s="29" t="e">
        <f t="shared" si="164"/>
        <v>#VALUE!</v>
      </c>
      <c r="E10518" t="e">
        <f>cubic_spline(CURVA!$B$6:$B$20,CURVA!$G$6:$G$20,#REF!)</f>
        <v>#VALUE!</v>
      </c>
    </row>
    <row r="10519" spans="1:5" x14ac:dyDescent="0.2">
      <c r="A10519" s="28">
        <v>10518</v>
      </c>
      <c r="B10519" s="28" t="e">
        <f>interpola(#REF!,CURVA!$B$6:$B$20,CURVA!$G$6:$G$20)</f>
        <v>#VALUE!</v>
      </c>
      <c r="C10519" s="29" t="e">
        <f t="shared" si="164"/>
        <v>#VALUE!</v>
      </c>
      <c r="E10519" t="e">
        <f>cubic_spline(CURVA!$B$6:$B$20,CURVA!$G$6:$G$20,#REF!)</f>
        <v>#VALUE!</v>
      </c>
    </row>
    <row r="10520" spans="1:5" x14ac:dyDescent="0.2">
      <c r="A10520" s="28">
        <v>10519</v>
      </c>
      <c r="B10520" s="28" t="e">
        <f>interpola(#REF!,CURVA!$B$6:$B$20,CURVA!$G$6:$G$20)</f>
        <v>#VALUE!</v>
      </c>
      <c r="C10520" s="29" t="e">
        <f t="shared" si="164"/>
        <v>#VALUE!</v>
      </c>
      <c r="E10520" t="e">
        <f>cubic_spline(CURVA!$B$6:$B$20,CURVA!$G$6:$G$20,#REF!)</f>
        <v>#VALUE!</v>
      </c>
    </row>
    <row r="10521" spans="1:5" x14ac:dyDescent="0.2">
      <c r="A10521" s="28">
        <v>10520</v>
      </c>
      <c r="B10521" s="28" t="e">
        <f>interpola(#REF!,CURVA!$B$6:$B$20,CURVA!$G$6:$G$20)</f>
        <v>#VALUE!</v>
      </c>
      <c r="C10521" s="29" t="e">
        <f t="shared" si="164"/>
        <v>#VALUE!</v>
      </c>
      <c r="E10521" t="e">
        <f>cubic_spline(CURVA!$B$6:$B$20,CURVA!$G$6:$G$20,#REF!)</f>
        <v>#VALUE!</v>
      </c>
    </row>
    <row r="10522" spans="1:5" x14ac:dyDescent="0.2">
      <c r="A10522" s="28">
        <v>10521</v>
      </c>
      <c r="B10522" s="28" t="e">
        <f>interpola(#REF!,CURVA!$B$6:$B$20,CURVA!$G$6:$G$20)</f>
        <v>#VALUE!</v>
      </c>
      <c r="C10522" s="29" t="e">
        <f t="shared" si="164"/>
        <v>#VALUE!</v>
      </c>
      <c r="E10522" t="e">
        <f>cubic_spline(CURVA!$B$6:$B$20,CURVA!$G$6:$G$20,#REF!)</f>
        <v>#VALUE!</v>
      </c>
    </row>
    <row r="10523" spans="1:5" x14ac:dyDescent="0.2">
      <c r="A10523" s="28">
        <v>10522</v>
      </c>
      <c r="B10523" s="28" t="e">
        <f>interpola(#REF!,CURVA!$B$6:$B$20,CURVA!$G$6:$G$20)</f>
        <v>#VALUE!</v>
      </c>
      <c r="C10523" s="29" t="e">
        <f t="shared" si="164"/>
        <v>#VALUE!</v>
      </c>
      <c r="E10523" t="e">
        <f>cubic_spline(CURVA!$B$6:$B$20,CURVA!$G$6:$G$20,#REF!)</f>
        <v>#VALUE!</v>
      </c>
    </row>
    <row r="10524" spans="1:5" x14ac:dyDescent="0.2">
      <c r="A10524" s="28">
        <v>10523</v>
      </c>
      <c r="B10524" s="28" t="e">
        <f>interpola(#REF!,CURVA!$B$6:$B$20,CURVA!$G$6:$G$20)</f>
        <v>#VALUE!</v>
      </c>
      <c r="C10524" s="29" t="e">
        <f t="shared" si="164"/>
        <v>#VALUE!</v>
      </c>
      <c r="E10524" t="e">
        <f>cubic_spline(CURVA!$B$6:$B$20,CURVA!$G$6:$G$20,#REF!)</f>
        <v>#VALUE!</v>
      </c>
    </row>
    <row r="10525" spans="1:5" x14ac:dyDescent="0.2">
      <c r="A10525" s="28">
        <v>10524</v>
      </c>
      <c r="B10525" s="28" t="e">
        <f>interpola(#REF!,CURVA!$B$6:$B$20,CURVA!$G$6:$G$20)</f>
        <v>#VALUE!</v>
      </c>
      <c r="C10525" s="29" t="e">
        <f t="shared" si="164"/>
        <v>#VALUE!</v>
      </c>
      <c r="E10525" t="e">
        <f>cubic_spline(CURVA!$B$6:$B$20,CURVA!$G$6:$G$20,#REF!)</f>
        <v>#VALUE!</v>
      </c>
    </row>
    <row r="10526" spans="1:5" x14ac:dyDescent="0.2">
      <c r="A10526" s="28">
        <v>10525</v>
      </c>
      <c r="B10526" s="28" t="e">
        <f>interpola(#REF!,CURVA!$B$6:$B$20,CURVA!$G$6:$G$20)</f>
        <v>#VALUE!</v>
      </c>
      <c r="C10526" s="29" t="e">
        <f t="shared" si="164"/>
        <v>#VALUE!</v>
      </c>
      <c r="E10526" t="e">
        <f>cubic_spline(CURVA!$B$6:$B$20,CURVA!$G$6:$G$20,#REF!)</f>
        <v>#VALUE!</v>
      </c>
    </row>
    <row r="10527" spans="1:5" x14ac:dyDescent="0.2">
      <c r="A10527" s="28">
        <v>10526</v>
      </c>
      <c r="B10527" s="28" t="e">
        <f>interpola(#REF!,CURVA!$B$6:$B$20,CURVA!$G$6:$G$20)</f>
        <v>#VALUE!</v>
      </c>
      <c r="C10527" s="29" t="e">
        <f t="shared" si="164"/>
        <v>#VALUE!</v>
      </c>
      <c r="E10527" t="e">
        <f>cubic_spline(CURVA!$B$6:$B$20,CURVA!$G$6:$G$20,#REF!)</f>
        <v>#VALUE!</v>
      </c>
    </row>
    <row r="10528" spans="1:5" x14ac:dyDescent="0.2">
      <c r="A10528" s="28">
        <v>10527</v>
      </c>
      <c r="B10528" s="28" t="e">
        <f>interpola(#REF!,CURVA!$B$6:$B$20,CURVA!$G$6:$G$20)</f>
        <v>#VALUE!</v>
      </c>
      <c r="C10528" s="29" t="e">
        <f t="shared" si="164"/>
        <v>#VALUE!</v>
      </c>
      <c r="E10528" t="e">
        <f>cubic_spline(CURVA!$B$6:$B$20,CURVA!$G$6:$G$20,#REF!)</f>
        <v>#VALUE!</v>
      </c>
    </row>
    <row r="10529" spans="1:5" x14ac:dyDescent="0.2">
      <c r="A10529" s="28">
        <v>10528</v>
      </c>
      <c r="B10529" s="28" t="e">
        <f>interpola(#REF!,CURVA!$B$6:$B$20,CURVA!$G$6:$G$20)</f>
        <v>#VALUE!</v>
      </c>
      <c r="C10529" s="29" t="e">
        <f t="shared" si="164"/>
        <v>#VALUE!</v>
      </c>
      <c r="E10529" t="e">
        <f>cubic_spline(CURVA!$B$6:$B$20,CURVA!$G$6:$G$20,#REF!)</f>
        <v>#VALUE!</v>
      </c>
    </row>
    <row r="10530" spans="1:5" x14ac:dyDescent="0.2">
      <c r="A10530" s="28">
        <v>10529</v>
      </c>
      <c r="B10530" s="28" t="e">
        <f>interpola(#REF!,CURVA!$B$6:$B$20,CURVA!$G$6:$G$20)</f>
        <v>#VALUE!</v>
      </c>
      <c r="C10530" s="29" t="e">
        <f t="shared" si="164"/>
        <v>#VALUE!</v>
      </c>
      <c r="E10530" t="e">
        <f>cubic_spline(CURVA!$B$6:$B$20,CURVA!$G$6:$G$20,#REF!)</f>
        <v>#VALUE!</v>
      </c>
    </row>
    <row r="10531" spans="1:5" x14ac:dyDescent="0.2">
      <c r="A10531" s="28">
        <v>10530</v>
      </c>
      <c r="B10531" s="28" t="e">
        <f>interpola(#REF!,CURVA!$B$6:$B$20,CURVA!$G$6:$G$20)</f>
        <v>#VALUE!</v>
      </c>
      <c r="C10531" s="29" t="e">
        <f t="shared" si="164"/>
        <v>#VALUE!</v>
      </c>
      <c r="E10531" t="e">
        <f>cubic_spline(CURVA!$B$6:$B$20,CURVA!$G$6:$G$20,#REF!)</f>
        <v>#VALUE!</v>
      </c>
    </row>
    <row r="10532" spans="1:5" x14ac:dyDescent="0.2">
      <c r="A10532" s="28">
        <v>10531</v>
      </c>
      <c r="B10532" s="28" t="e">
        <f>interpola(#REF!,CURVA!$B$6:$B$20,CURVA!$G$6:$G$20)</f>
        <v>#VALUE!</v>
      </c>
      <c r="C10532" s="29" t="e">
        <f t="shared" si="164"/>
        <v>#VALUE!</v>
      </c>
      <c r="E10532" t="e">
        <f>cubic_spline(CURVA!$B$6:$B$20,CURVA!$G$6:$G$20,#REF!)</f>
        <v>#VALUE!</v>
      </c>
    </row>
    <row r="10533" spans="1:5" x14ac:dyDescent="0.2">
      <c r="A10533" s="28">
        <v>10532</v>
      </c>
      <c r="B10533" s="28" t="e">
        <f>interpola(#REF!,CURVA!$B$6:$B$20,CURVA!$G$6:$G$20)</f>
        <v>#VALUE!</v>
      </c>
      <c r="C10533" s="29" t="e">
        <f t="shared" si="164"/>
        <v>#VALUE!</v>
      </c>
      <c r="E10533" t="e">
        <f>cubic_spline(CURVA!$B$6:$B$20,CURVA!$G$6:$G$20,#REF!)</f>
        <v>#VALUE!</v>
      </c>
    </row>
    <row r="10534" spans="1:5" x14ac:dyDescent="0.2">
      <c r="A10534" s="28">
        <v>10533</v>
      </c>
      <c r="B10534" s="28" t="e">
        <f>interpola(#REF!,CURVA!$B$6:$B$20,CURVA!$G$6:$G$20)</f>
        <v>#VALUE!</v>
      </c>
      <c r="C10534" s="29" t="e">
        <f t="shared" si="164"/>
        <v>#VALUE!</v>
      </c>
      <c r="E10534" t="e">
        <f>cubic_spline(CURVA!$B$6:$B$20,CURVA!$G$6:$G$20,#REF!)</f>
        <v>#VALUE!</v>
      </c>
    </row>
    <row r="10535" spans="1:5" x14ac:dyDescent="0.2">
      <c r="A10535" s="28">
        <v>10534</v>
      </c>
      <c r="B10535" s="28" t="e">
        <f>interpola(#REF!,CURVA!$B$6:$B$20,CURVA!$G$6:$G$20)</f>
        <v>#VALUE!</v>
      </c>
      <c r="C10535" s="29" t="e">
        <f t="shared" si="164"/>
        <v>#VALUE!</v>
      </c>
      <c r="E10535" t="e">
        <f>cubic_spline(CURVA!$B$6:$B$20,CURVA!$G$6:$G$20,#REF!)</f>
        <v>#VALUE!</v>
      </c>
    </row>
    <row r="10536" spans="1:5" x14ac:dyDescent="0.2">
      <c r="A10536" s="28">
        <v>10535</v>
      </c>
      <c r="B10536" s="28" t="e">
        <f>interpola(#REF!,CURVA!$B$6:$B$20,CURVA!$G$6:$G$20)</f>
        <v>#VALUE!</v>
      </c>
      <c r="C10536" s="29" t="e">
        <f t="shared" si="164"/>
        <v>#VALUE!</v>
      </c>
      <c r="E10536" t="e">
        <f>cubic_spline(CURVA!$B$6:$B$20,CURVA!$G$6:$G$20,#REF!)</f>
        <v>#VALUE!</v>
      </c>
    </row>
    <row r="10537" spans="1:5" x14ac:dyDescent="0.2">
      <c r="A10537" s="28">
        <v>10536</v>
      </c>
      <c r="B10537" s="28" t="e">
        <f>interpola(#REF!,CURVA!$B$6:$B$20,CURVA!$G$6:$G$20)</f>
        <v>#VALUE!</v>
      </c>
      <c r="C10537" s="29" t="e">
        <f t="shared" si="164"/>
        <v>#VALUE!</v>
      </c>
      <c r="E10537" t="e">
        <f>cubic_spline(CURVA!$B$6:$B$20,CURVA!$G$6:$G$20,#REF!)</f>
        <v>#VALUE!</v>
      </c>
    </row>
    <row r="10538" spans="1:5" x14ac:dyDescent="0.2">
      <c r="A10538" s="28">
        <v>10537</v>
      </c>
      <c r="B10538" s="28" t="e">
        <f>interpola(#REF!,CURVA!$B$6:$B$20,CURVA!$G$6:$G$20)</f>
        <v>#VALUE!</v>
      </c>
      <c r="C10538" s="29" t="e">
        <f t="shared" si="164"/>
        <v>#VALUE!</v>
      </c>
      <c r="E10538" t="e">
        <f>cubic_spline(CURVA!$B$6:$B$20,CURVA!$G$6:$G$20,#REF!)</f>
        <v>#VALUE!</v>
      </c>
    </row>
    <row r="10539" spans="1:5" x14ac:dyDescent="0.2">
      <c r="A10539" s="28">
        <v>10538</v>
      </c>
      <c r="B10539" s="28" t="e">
        <f>interpola(#REF!,CURVA!$B$6:$B$20,CURVA!$G$6:$G$20)</f>
        <v>#VALUE!</v>
      </c>
      <c r="C10539" s="29" t="e">
        <f t="shared" si="164"/>
        <v>#VALUE!</v>
      </c>
      <c r="E10539" t="e">
        <f>cubic_spline(CURVA!$B$6:$B$20,CURVA!$G$6:$G$20,#REF!)</f>
        <v>#VALUE!</v>
      </c>
    </row>
    <row r="10540" spans="1:5" x14ac:dyDescent="0.2">
      <c r="A10540" s="28">
        <v>10539</v>
      </c>
      <c r="B10540" s="28" t="e">
        <f>interpola(#REF!,CURVA!$B$6:$B$20,CURVA!$G$6:$G$20)</f>
        <v>#VALUE!</v>
      </c>
      <c r="C10540" s="29" t="e">
        <f t="shared" si="164"/>
        <v>#VALUE!</v>
      </c>
      <c r="E10540" t="e">
        <f>cubic_spline(CURVA!$B$6:$B$20,CURVA!$G$6:$G$20,#REF!)</f>
        <v>#VALUE!</v>
      </c>
    </row>
    <row r="10541" spans="1:5" x14ac:dyDescent="0.2">
      <c r="A10541" s="28">
        <v>10540</v>
      </c>
      <c r="B10541" s="28" t="e">
        <f>interpola(#REF!,CURVA!$B$6:$B$20,CURVA!$G$6:$G$20)</f>
        <v>#VALUE!</v>
      </c>
      <c r="C10541" s="29" t="e">
        <f t="shared" si="164"/>
        <v>#VALUE!</v>
      </c>
      <c r="E10541" t="e">
        <f>cubic_spline(CURVA!$B$6:$B$20,CURVA!$G$6:$G$20,#REF!)</f>
        <v>#VALUE!</v>
      </c>
    </row>
    <row r="10542" spans="1:5" x14ac:dyDescent="0.2">
      <c r="A10542" s="28">
        <v>10541</v>
      </c>
      <c r="B10542" s="28" t="e">
        <f>interpola(#REF!,CURVA!$B$6:$B$20,CURVA!$G$6:$G$20)</f>
        <v>#VALUE!</v>
      </c>
      <c r="C10542" s="29" t="e">
        <f t="shared" si="164"/>
        <v>#VALUE!</v>
      </c>
      <c r="E10542" t="e">
        <f>cubic_spline(CURVA!$B$6:$B$20,CURVA!$G$6:$G$20,#REF!)</f>
        <v>#VALUE!</v>
      </c>
    </row>
    <row r="10543" spans="1:5" x14ac:dyDescent="0.2">
      <c r="A10543" s="28">
        <v>10542</v>
      </c>
      <c r="B10543" s="28" t="e">
        <f>interpola(#REF!,CURVA!$B$6:$B$20,CURVA!$G$6:$G$20)</f>
        <v>#VALUE!</v>
      </c>
      <c r="C10543" s="29" t="e">
        <f t="shared" si="164"/>
        <v>#VALUE!</v>
      </c>
      <c r="E10543" t="e">
        <f>cubic_spline(CURVA!$B$6:$B$20,CURVA!$G$6:$G$20,#REF!)</f>
        <v>#VALUE!</v>
      </c>
    </row>
    <row r="10544" spans="1:5" x14ac:dyDescent="0.2">
      <c r="A10544" s="28">
        <v>10543</v>
      </c>
      <c r="B10544" s="28" t="e">
        <f>interpola(#REF!,CURVA!$B$6:$B$20,CURVA!$G$6:$G$20)</f>
        <v>#VALUE!</v>
      </c>
      <c r="C10544" s="29" t="e">
        <f t="shared" si="164"/>
        <v>#VALUE!</v>
      </c>
      <c r="E10544" t="e">
        <f>cubic_spline(CURVA!$B$6:$B$20,CURVA!$G$6:$G$20,#REF!)</f>
        <v>#VALUE!</v>
      </c>
    </row>
    <row r="10545" spans="1:5" x14ac:dyDescent="0.2">
      <c r="A10545" s="28">
        <v>10544</v>
      </c>
      <c r="B10545" s="28" t="e">
        <f>interpola(#REF!,CURVA!$B$6:$B$20,CURVA!$G$6:$G$20)</f>
        <v>#VALUE!</v>
      </c>
      <c r="C10545" s="29" t="e">
        <f t="shared" si="164"/>
        <v>#VALUE!</v>
      </c>
      <c r="E10545" t="e">
        <f>cubic_spline(CURVA!$B$6:$B$20,CURVA!$G$6:$G$20,#REF!)</f>
        <v>#VALUE!</v>
      </c>
    </row>
    <row r="10546" spans="1:5" x14ac:dyDescent="0.2">
      <c r="A10546" s="28">
        <v>10545</v>
      </c>
      <c r="B10546" s="28" t="e">
        <f>interpola(#REF!,CURVA!$B$6:$B$20,CURVA!$G$6:$G$20)</f>
        <v>#VALUE!</v>
      </c>
      <c r="C10546" s="29" t="e">
        <f t="shared" si="164"/>
        <v>#VALUE!</v>
      </c>
      <c r="E10546" t="e">
        <f>cubic_spline(CURVA!$B$6:$B$20,CURVA!$G$6:$G$20,#REF!)</f>
        <v>#VALUE!</v>
      </c>
    </row>
    <row r="10547" spans="1:5" x14ac:dyDescent="0.2">
      <c r="A10547" s="28">
        <v>10546</v>
      </c>
      <c r="B10547" s="28" t="e">
        <f>interpola(#REF!,CURVA!$B$6:$B$20,CURVA!$G$6:$G$20)</f>
        <v>#VALUE!</v>
      </c>
      <c r="C10547" s="29" t="e">
        <f t="shared" si="164"/>
        <v>#VALUE!</v>
      </c>
      <c r="E10547" t="e">
        <f>cubic_spline(CURVA!$B$6:$B$20,CURVA!$G$6:$G$20,#REF!)</f>
        <v>#VALUE!</v>
      </c>
    </row>
    <row r="10548" spans="1:5" x14ac:dyDescent="0.2">
      <c r="A10548" s="28">
        <v>10547</v>
      </c>
      <c r="B10548" s="28" t="e">
        <f>interpola(#REF!,CURVA!$B$6:$B$20,CURVA!$G$6:$G$20)</f>
        <v>#VALUE!</v>
      </c>
      <c r="C10548" s="29" t="e">
        <f t="shared" si="164"/>
        <v>#VALUE!</v>
      </c>
      <c r="E10548" t="e">
        <f>cubic_spline(CURVA!$B$6:$B$20,CURVA!$G$6:$G$20,#REF!)</f>
        <v>#VALUE!</v>
      </c>
    </row>
    <row r="10549" spans="1:5" x14ac:dyDescent="0.2">
      <c r="A10549" s="28">
        <v>10548</v>
      </c>
      <c r="B10549" s="28" t="e">
        <f>interpola(#REF!,CURVA!$B$6:$B$20,CURVA!$G$6:$G$20)</f>
        <v>#VALUE!</v>
      </c>
      <c r="C10549" s="29" t="e">
        <f t="shared" si="164"/>
        <v>#VALUE!</v>
      </c>
      <c r="E10549" t="e">
        <f>cubic_spline(CURVA!$B$6:$B$20,CURVA!$G$6:$G$20,#REF!)</f>
        <v>#VALUE!</v>
      </c>
    </row>
    <row r="10550" spans="1:5" x14ac:dyDescent="0.2">
      <c r="A10550" s="28">
        <v>10549</v>
      </c>
      <c r="B10550" s="28" t="e">
        <f>interpola(#REF!,CURVA!$B$6:$B$20,CURVA!$G$6:$G$20)</f>
        <v>#VALUE!</v>
      </c>
      <c r="C10550" s="29" t="e">
        <f t="shared" si="164"/>
        <v>#VALUE!</v>
      </c>
      <c r="E10550" t="e">
        <f>cubic_spline(CURVA!$B$6:$B$20,CURVA!$G$6:$G$20,#REF!)</f>
        <v>#VALUE!</v>
      </c>
    </row>
    <row r="10551" spans="1:5" x14ac:dyDescent="0.2">
      <c r="A10551" s="28">
        <v>10550</v>
      </c>
      <c r="B10551" s="28" t="e">
        <f>interpola(#REF!,CURVA!$B$6:$B$20,CURVA!$G$6:$G$20)</f>
        <v>#VALUE!</v>
      </c>
      <c r="C10551" s="29" t="e">
        <f t="shared" si="164"/>
        <v>#VALUE!</v>
      </c>
      <c r="E10551" t="e">
        <f>cubic_spline(CURVA!$B$6:$B$20,CURVA!$G$6:$G$20,#REF!)</f>
        <v>#VALUE!</v>
      </c>
    </row>
    <row r="10552" spans="1:5" x14ac:dyDescent="0.2">
      <c r="A10552" s="28">
        <v>10551</v>
      </c>
      <c r="B10552" s="28" t="e">
        <f>interpola(#REF!,CURVA!$B$6:$B$20,CURVA!$G$6:$G$20)</f>
        <v>#VALUE!</v>
      </c>
      <c r="C10552" s="29" t="e">
        <f t="shared" si="164"/>
        <v>#VALUE!</v>
      </c>
      <c r="E10552" t="e">
        <f>cubic_spline(CURVA!$B$6:$B$20,CURVA!$G$6:$G$20,#REF!)</f>
        <v>#VALUE!</v>
      </c>
    </row>
    <row r="10553" spans="1:5" x14ac:dyDescent="0.2">
      <c r="A10553" s="28">
        <v>10552</v>
      </c>
      <c r="B10553" s="28" t="e">
        <f>interpola(#REF!,CURVA!$B$6:$B$20,CURVA!$G$6:$G$20)</f>
        <v>#VALUE!</v>
      </c>
      <c r="C10553" s="29" t="e">
        <f t="shared" si="164"/>
        <v>#VALUE!</v>
      </c>
      <c r="E10553" t="e">
        <f>cubic_spline(CURVA!$B$6:$B$20,CURVA!$G$6:$G$20,#REF!)</f>
        <v>#VALUE!</v>
      </c>
    </row>
    <row r="10554" spans="1:5" x14ac:dyDescent="0.2">
      <c r="A10554" s="28">
        <v>10553</v>
      </c>
      <c r="B10554" s="28" t="e">
        <f>interpola(#REF!,CURVA!$B$6:$B$20,CURVA!$G$6:$G$20)</f>
        <v>#VALUE!</v>
      </c>
      <c r="C10554" s="29" t="e">
        <f t="shared" si="164"/>
        <v>#VALUE!</v>
      </c>
      <c r="E10554" t="e">
        <f>cubic_spline(CURVA!$B$6:$B$20,CURVA!$G$6:$G$20,#REF!)</f>
        <v>#VALUE!</v>
      </c>
    </row>
    <row r="10555" spans="1:5" x14ac:dyDescent="0.2">
      <c r="A10555" s="28">
        <v>10554</v>
      </c>
      <c r="B10555" s="28" t="e">
        <f>interpola(#REF!,CURVA!$B$6:$B$20,CURVA!$G$6:$G$20)</f>
        <v>#VALUE!</v>
      </c>
      <c r="C10555" s="29" t="e">
        <f t="shared" si="164"/>
        <v>#VALUE!</v>
      </c>
      <c r="E10555" t="e">
        <f>cubic_spline(CURVA!$B$6:$B$20,CURVA!$G$6:$G$20,#REF!)</f>
        <v>#VALUE!</v>
      </c>
    </row>
    <row r="10556" spans="1:5" x14ac:dyDescent="0.2">
      <c r="A10556" s="28">
        <v>10555</v>
      </c>
      <c r="B10556" s="28" t="e">
        <f>interpola(#REF!,CURVA!$B$6:$B$20,CURVA!$G$6:$G$20)</f>
        <v>#VALUE!</v>
      </c>
      <c r="C10556" s="29" t="e">
        <f t="shared" si="164"/>
        <v>#VALUE!</v>
      </c>
      <c r="E10556" t="e">
        <f>cubic_spline(CURVA!$B$6:$B$20,CURVA!$G$6:$G$20,#REF!)</f>
        <v>#VALUE!</v>
      </c>
    </row>
    <row r="10557" spans="1:5" x14ac:dyDescent="0.2">
      <c r="A10557" s="28">
        <v>10556</v>
      </c>
      <c r="B10557" s="28" t="e">
        <f>interpola(#REF!,CURVA!$B$6:$B$20,CURVA!$G$6:$G$20)</f>
        <v>#VALUE!</v>
      </c>
      <c r="C10557" s="29" t="e">
        <f t="shared" si="164"/>
        <v>#VALUE!</v>
      </c>
      <c r="E10557" t="e">
        <f>cubic_spline(CURVA!$B$6:$B$20,CURVA!$G$6:$G$20,#REF!)</f>
        <v>#VALUE!</v>
      </c>
    </row>
    <row r="10558" spans="1:5" x14ac:dyDescent="0.2">
      <c r="A10558" s="28">
        <v>10557</v>
      </c>
      <c r="B10558" s="28" t="e">
        <f>interpola(#REF!,CURVA!$B$6:$B$20,CURVA!$G$6:$G$20)</f>
        <v>#VALUE!</v>
      </c>
      <c r="C10558" s="29" t="e">
        <f t="shared" si="164"/>
        <v>#VALUE!</v>
      </c>
      <c r="E10558" t="e">
        <f>cubic_spline(CURVA!$B$6:$B$20,CURVA!$G$6:$G$20,#REF!)</f>
        <v>#VALUE!</v>
      </c>
    </row>
    <row r="10559" spans="1:5" x14ac:dyDescent="0.2">
      <c r="A10559" s="28">
        <v>10558</v>
      </c>
      <c r="B10559" s="28" t="e">
        <f>interpola(#REF!,CURVA!$B$6:$B$20,CURVA!$G$6:$G$20)</f>
        <v>#VALUE!</v>
      </c>
      <c r="C10559" s="29" t="e">
        <f t="shared" si="164"/>
        <v>#VALUE!</v>
      </c>
      <c r="E10559" t="e">
        <f>cubic_spline(CURVA!$B$6:$B$20,CURVA!$G$6:$G$20,#REF!)</f>
        <v>#VALUE!</v>
      </c>
    </row>
    <row r="10560" spans="1:5" x14ac:dyDescent="0.2">
      <c r="A10560" s="28">
        <v>10559</v>
      </c>
      <c r="B10560" s="28" t="e">
        <f>interpola(#REF!,CURVA!$B$6:$B$20,CURVA!$G$6:$G$20)</f>
        <v>#VALUE!</v>
      </c>
      <c r="C10560" s="29" t="e">
        <f t="shared" si="164"/>
        <v>#VALUE!</v>
      </c>
      <c r="E10560" t="e">
        <f>cubic_spline(CURVA!$B$6:$B$20,CURVA!$G$6:$G$20,#REF!)</f>
        <v>#VALUE!</v>
      </c>
    </row>
    <row r="10561" spans="1:5" x14ac:dyDescent="0.2">
      <c r="A10561" s="28">
        <v>10560</v>
      </c>
      <c r="B10561" s="28" t="e">
        <f>interpola(#REF!,CURVA!$B$6:$B$20,CURVA!$G$6:$G$20)</f>
        <v>#VALUE!</v>
      </c>
      <c r="C10561" s="29" t="e">
        <f t="shared" si="164"/>
        <v>#VALUE!</v>
      </c>
      <c r="E10561" t="e">
        <f>cubic_spline(CURVA!$B$6:$B$20,CURVA!$G$6:$G$20,#REF!)</f>
        <v>#VALUE!</v>
      </c>
    </row>
    <row r="10562" spans="1:5" x14ac:dyDescent="0.2">
      <c r="A10562" s="28">
        <v>10561</v>
      </c>
      <c r="B10562" s="28" t="e">
        <f>interpola(#REF!,CURVA!$B$6:$B$20,CURVA!$G$6:$G$20)</f>
        <v>#VALUE!</v>
      </c>
      <c r="C10562" s="29" t="e">
        <f t="shared" ref="C10562:C10625" si="165">(EXP(B10562*A10562/360)-1)*360/A10562</f>
        <v>#VALUE!</v>
      </c>
      <c r="E10562" t="e">
        <f>cubic_spline(CURVA!$B$6:$B$20,CURVA!$G$6:$G$20,#REF!)</f>
        <v>#VALUE!</v>
      </c>
    </row>
    <row r="10563" spans="1:5" x14ac:dyDescent="0.2">
      <c r="A10563" s="28">
        <v>10562</v>
      </c>
      <c r="B10563" s="28" t="e">
        <f>interpola(#REF!,CURVA!$B$6:$B$20,CURVA!$G$6:$G$20)</f>
        <v>#VALUE!</v>
      </c>
      <c r="C10563" s="29" t="e">
        <f t="shared" si="165"/>
        <v>#VALUE!</v>
      </c>
      <c r="E10563" t="e">
        <f>cubic_spline(CURVA!$B$6:$B$20,CURVA!$G$6:$G$20,#REF!)</f>
        <v>#VALUE!</v>
      </c>
    </row>
    <row r="10564" spans="1:5" x14ac:dyDescent="0.2">
      <c r="A10564" s="28">
        <v>10563</v>
      </c>
      <c r="B10564" s="28" t="e">
        <f>interpola(#REF!,CURVA!$B$6:$B$20,CURVA!$G$6:$G$20)</f>
        <v>#VALUE!</v>
      </c>
      <c r="C10564" s="29" t="e">
        <f t="shared" si="165"/>
        <v>#VALUE!</v>
      </c>
      <c r="E10564" t="e">
        <f>cubic_spline(CURVA!$B$6:$B$20,CURVA!$G$6:$G$20,#REF!)</f>
        <v>#VALUE!</v>
      </c>
    </row>
    <row r="10565" spans="1:5" x14ac:dyDescent="0.2">
      <c r="A10565" s="28">
        <v>10564</v>
      </c>
      <c r="B10565" s="28" t="e">
        <f>interpola(#REF!,CURVA!$B$6:$B$20,CURVA!$G$6:$G$20)</f>
        <v>#VALUE!</v>
      </c>
      <c r="C10565" s="29" t="e">
        <f t="shared" si="165"/>
        <v>#VALUE!</v>
      </c>
      <c r="E10565" t="e">
        <f>cubic_spline(CURVA!$B$6:$B$20,CURVA!$G$6:$G$20,#REF!)</f>
        <v>#VALUE!</v>
      </c>
    </row>
    <row r="10566" spans="1:5" x14ac:dyDescent="0.2">
      <c r="A10566" s="28">
        <v>10565</v>
      </c>
      <c r="B10566" s="28" t="e">
        <f>interpola(#REF!,CURVA!$B$6:$B$20,CURVA!$G$6:$G$20)</f>
        <v>#VALUE!</v>
      </c>
      <c r="C10566" s="29" t="e">
        <f t="shared" si="165"/>
        <v>#VALUE!</v>
      </c>
      <c r="E10566" t="e">
        <f>cubic_spline(CURVA!$B$6:$B$20,CURVA!$G$6:$G$20,#REF!)</f>
        <v>#VALUE!</v>
      </c>
    </row>
    <row r="10567" spans="1:5" x14ac:dyDescent="0.2">
      <c r="A10567" s="28">
        <v>10566</v>
      </c>
      <c r="B10567" s="28" t="e">
        <f>interpola(#REF!,CURVA!$B$6:$B$20,CURVA!$G$6:$G$20)</f>
        <v>#VALUE!</v>
      </c>
      <c r="C10567" s="29" t="e">
        <f t="shared" si="165"/>
        <v>#VALUE!</v>
      </c>
      <c r="E10567" t="e">
        <f>cubic_spline(CURVA!$B$6:$B$20,CURVA!$G$6:$G$20,#REF!)</f>
        <v>#VALUE!</v>
      </c>
    </row>
    <row r="10568" spans="1:5" x14ac:dyDescent="0.2">
      <c r="A10568" s="28">
        <v>10567</v>
      </c>
      <c r="B10568" s="28" t="e">
        <f>interpola(#REF!,CURVA!$B$6:$B$20,CURVA!$G$6:$G$20)</f>
        <v>#VALUE!</v>
      </c>
      <c r="C10568" s="29" t="e">
        <f t="shared" si="165"/>
        <v>#VALUE!</v>
      </c>
      <c r="E10568" t="e">
        <f>cubic_spline(CURVA!$B$6:$B$20,CURVA!$G$6:$G$20,#REF!)</f>
        <v>#VALUE!</v>
      </c>
    </row>
    <row r="10569" spans="1:5" x14ac:dyDescent="0.2">
      <c r="A10569" s="28">
        <v>10568</v>
      </c>
      <c r="B10569" s="28" t="e">
        <f>interpola(#REF!,CURVA!$B$6:$B$20,CURVA!$G$6:$G$20)</f>
        <v>#VALUE!</v>
      </c>
      <c r="C10569" s="29" t="e">
        <f t="shared" si="165"/>
        <v>#VALUE!</v>
      </c>
      <c r="E10569" t="e">
        <f>cubic_spline(CURVA!$B$6:$B$20,CURVA!$G$6:$G$20,#REF!)</f>
        <v>#VALUE!</v>
      </c>
    </row>
    <row r="10570" spans="1:5" x14ac:dyDescent="0.2">
      <c r="A10570" s="28">
        <v>10569</v>
      </c>
      <c r="B10570" s="28" t="e">
        <f>interpola(#REF!,CURVA!$B$6:$B$20,CURVA!$G$6:$G$20)</f>
        <v>#VALUE!</v>
      </c>
      <c r="C10570" s="29" t="e">
        <f t="shared" si="165"/>
        <v>#VALUE!</v>
      </c>
      <c r="E10570" t="e">
        <f>cubic_spline(CURVA!$B$6:$B$20,CURVA!$G$6:$G$20,#REF!)</f>
        <v>#VALUE!</v>
      </c>
    </row>
    <row r="10571" spans="1:5" x14ac:dyDescent="0.2">
      <c r="A10571" s="28">
        <v>10570</v>
      </c>
      <c r="B10571" s="28" t="e">
        <f>interpola(#REF!,CURVA!$B$6:$B$20,CURVA!$G$6:$G$20)</f>
        <v>#VALUE!</v>
      </c>
      <c r="C10571" s="29" t="e">
        <f t="shared" si="165"/>
        <v>#VALUE!</v>
      </c>
      <c r="E10571" t="e">
        <f>cubic_spline(CURVA!$B$6:$B$20,CURVA!$G$6:$G$20,#REF!)</f>
        <v>#VALUE!</v>
      </c>
    </row>
    <row r="10572" spans="1:5" x14ac:dyDescent="0.2">
      <c r="A10572" s="28">
        <v>10571</v>
      </c>
      <c r="B10572" s="28" t="e">
        <f>interpola(#REF!,CURVA!$B$6:$B$20,CURVA!$G$6:$G$20)</f>
        <v>#VALUE!</v>
      </c>
      <c r="C10572" s="29" t="e">
        <f t="shared" si="165"/>
        <v>#VALUE!</v>
      </c>
      <c r="E10572" t="e">
        <f>cubic_spline(CURVA!$B$6:$B$20,CURVA!$G$6:$G$20,#REF!)</f>
        <v>#VALUE!</v>
      </c>
    </row>
    <row r="10573" spans="1:5" x14ac:dyDescent="0.2">
      <c r="A10573" s="28">
        <v>10572</v>
      </c>
      <c r="B10573" s="28" t="e">
        <f>interpola(#REF!,CURVA!$B$6:$B$20,CURVA!$G$6:$G$20)</f>
        <v>#VALUE!</v>
      </c>
      <c r="C10573" s="29" t="e">
        <f t="shared" si="165"/>
        <v>#VALUE!</v>
      </c>
      <c r="E10573" t="e">
        <f>cubic_spline(CURVA!$B$6:$B$20,CURVA!$G$6:$G$20,#REF!)</f>
        <v>#VALUE!</v>
      </c>
    </row>
    <row r="10574" spans="1:5" x14ac:dyDescent="0.2">
      <c r="A10574" s="28">
        <v>10573</v>
      </c>
      <c r="B10574" s="28" t="e">
        <f>interpola(#REF!,CURVA!$B$6:$B$20,CURVA!$G$6:$G$20)</f>
        <v>#VALUE!</v>
      </c>
      <c r="C10574" s="29" t="e">
        <f t="shared" si="165"/>
        <v>#VALUE!</v>
      </c>
      <c r="E10574" t="e">
        <f>cubic_spline(CURVA!$B$6:$B$20,CURVA!$G$6:$G$20,#REF!)</f>
        <v>#VALUE!</v>
      </c>
    </row>
    <row r="10575" spans="1:5" x14ac:dyDescent="0.2">
      <c r="A10575" s="28">
        <v>10574</v>
      </c>
      <c r="B10575" s="28" t="e">
        <f>interpola(#REF!,CURVA!$B$6:$B$20,CURVA!$G$6:$G$20)</f>
        <v>#VALUE!</v>
      </c>
      <c r="C10575" s="29" t="e">
        <f t="shared" si="165"/>
        <v>#VALUE!</v>
      </c>
      <c r="E10575" t="e">
        <f>cubic_spline(CURVA!$B$6:$B$20,CURVA!$G$6:$G$20,#REF!)</f>
        <v>#VALUE!</v>
      </c>
    </row>
    <row r="10576" spans="1:5" x14ac:dyDescent="0.2">
      <c r="A10576" s="28">
        <v>10575</v>
      </c>
      <c r="B10576" s="28" t="e">
        <f>interpola(#REF!,CURVA!$B$6:$B$20,CURVA!$G$6:$G$20)</f>
        <v>#VALUE!</v>
      </c>
      <c r="C10576" s="29" t="e">
        <f t="shared" si="165"/>
        <v>#VALUE!</v>
      </c>
      <c r="E10576" t="e">
        <f>cubic_spline(CURVA!$B$6:$B$20,CURVA!$G$6:$G$20,#REF!)</f>
        <v>#VALUE!</v>
      </c>
    </row>
    <row r="10577" spans="1:5" x14ac:dyDescent="0.2">
      <c r="A10577" s="28">
        <v>10576</v>
      </c>
      <c r="B10577" s="28" t="e">
        <f>interpola(#REF!,CURVA!$B$6:$B$20,CURVA!$G$6:$G$20)</f>
        <v>#VALUE!</v>
      </c>
      <c r="C10577" s="29" t="e">
        <f t="shared" si="165"/>
        <v>#VALUE!</v>
      </c>
      <c r="E10577" t="e">
        <f>cubic_spline(CURVA!$B$6:$B$20,CURVA!$G$6:$G$20,#REF!)</f>
        <v>#VALUE!</v>
      </c>
    </row>
    <row r="10578" spans="1:5" x14ac:dyDescent="0.2">
      <c r="A10578" s="28">
        <v>10577</v>
      </c>
      <c r="B10578" s="28" t="e">
        <f>interpola(#REF!,CURVA!$B$6:$B$20,CURVA!$G$6:$G$20)</f>
        <v>#VALUE!</v>
      </c>
      <c r="C10578" s="29" t="e">
        <f t="shared" si="165"/>
        <v>#VALUE!</v>
      </c>
      <c r="E10578" t="e">
        <f>cubic_spline(CURVA!$B$6:$B$20,CURVA!$G$6:$G$20,#REF!)</f>
        <v>#VALUE!</v>
      </c>
    </row>
    <row r="10579" spans="1:5" x14ac:dyDescent="0.2">
      <c r="A10579" s="28">
        <v>10578</v>
      </c>
      <c r="B10579" s="28" t="e">
        <f>interpola(#REF!,CURVA!$B$6:$B$20,CURVA!$G$6:$G$20)</f>
        <v>#VALUE!</v>
      </c>
      <c r="C10579" s="29" t="e">
        <f t="shared" si="165"/>
        <v>#VALUE!</v>
      </c>
      <c r="E10579" t="e">
        <f>cubic_spline(CURVA!$B$6:$B$20,CURVA!$G$6:$G$20,#REF!)</f>
        <v>#VALUE!</v>
      </c>
    </row>
    <row r="10580" spans="1:5" x14ac:dyDescent="0.2">
      <c r="A10580" s="28">
        <v>10579</v>
      </c>
      <c r="B10580" s="28" t="e">
        <f>interpola(#REF!,CURVA!$B$6:$B$20,CURVA!$G$6:$G$20)</f>
        <v>#VALUE!</v>
      </c>
      <c r="C10580" s="29" t="e">
        <f t="shared" si="165"/>
        <v>#VALUE!</v>
      </c>
      <c r="E10580" t="e">
        <f>cubic_spline(CURVA!$B$6:$B$20,CURVA!$G$6:$G$20,#REF!)</f>
        <v>#VALUE!</v>
      </c>
    </row>
    <row r="10581" spans="1:5" x14ac:dyDescent="0.2">
      <c r="A10581" s="28">
        <v>10580</v>
      </c>
      <c r="B10581" s="28" t="e">
        <f>interpola(#REF!,CURVA!$B$6:$B$20,CURVA!$G$6:$G$20)</f>
        <v>#VALUE!</v>
      </c>
      <c r="C10581" s="29" t="e">
        <f t="shared" si="165"/>
        <v>#VALUE!</v>
      </c>
      <c r="E10581" t="e">
        <f>cubic_spline(CURVA!$B$6:$B$20,CURVA!$G$6:$G$20,#REF!)</f>
        <v>#VALUE!</v>
      </c>
    </row>
    <row r="10582" spans="1:5" x14ac:dyDescent="0.2">
      <c r="A10582" s="28">
        <v>10581</v>
      </c>
      <c r="B10582" s="28" t="e">
        <f>interpola(#REF!,CURVA!$B$6:$B$20,CURVA!$G$6:$G$20)</f>
        <v>#VALUE!</v>
      </c>
      <c r="C10582" s="29" t="e">
        <f t="shared" si="165"/>
        <v>#VALUE!</v>
      </c>
      <c r="E10582" t="e">
        <f>cubic_spline(CURVA!$B$6:$B$20,CURVA!$G$6:$G$20,#REF!)</f>
        <v>#VALUE!</v>
      </c>
    </row>
    <row r="10583" spans="1:5" x14ac:dyDescent="0.2">
      <c r="A10583" s="28">
        <v>10582</v>
      </c>
      <c r="B10583" s="28" t="e">
        <f>interpola(#REF!,CURVA!$B$6:$B$20,CURVA!$G$6:$G$20)</f>
        <v>#VALUE!</v>
      </c>
      <c r="C10583" s="29" t="e">
        <f t="shared" si="165"/>
        <v>#VALUE!</v>
      </c>
      <c r="E10583" t="e">
        <f>cubic_spline(CURVA!$B$6:$B$20,CURVA!$G$6:$G$20,#REF!)</f>
        <v>#VALUE!</v>
      </c>
    </row>
    <row r="10584" spans="1:5" x14ac:dyDescent="0.2">
      <c r="A10584" s="28">
        <v>10583</v>
      </c>
      <c r="B10584" s="28" t="e">
        <f>interpola(#REF!,CURVA!$B$6:$B$20,CURVA!$G$6:$G$20)</f>
        <v>#VALUE!</v>
      </c>
      <c r="C10584" s="29" t="e">
        <f t="shared" si="165"/>
        <v>#VALUE!</v>
      </c>
      <c r="E10584" t="e">
        <f>cubic_spline(CURVA!$B$6:$B$20,CURVA!$G$6:$G$20,#REF!)</f>
        <v>#VALUE!</v>
      </c>
    </row>
    <row r="10585" spans="1:5" x14ac:dyDescent="0.2">
      <c r="A10585" s="28">
        <v>10584</v>
      </c>
      <c r="B10585" s="28" t="e">
        <f>interpola(#REF!,CURVA!$B$6:$B$20,CURVA!$G$6:$G$20)</f>
        <v>#VALUE!</v>
      </c>
      <c r="C10585" s="29" t="e">
        <f t="shared" si="165"/>
        <v>#VALUE!</v>
      </c>
      <c r="E10585" t="e">
        <f>cubic_spline(CURVA!$B$6:$B$20,CURVA!$G$6:$G$20,#REF!)</f>
        <v>#VALUE!</v>
      </c>
    </row>
    <row r="10586" spans="1:5" x14ac:dyDescent="0.2">
      <c r="A10586" s="28">
        <v>10585</v>
      </c>
      <c r="B10586" s="28" t="e">
        <f>interpola(#REF!,CURVA!$B$6:$B$20,CURVA!$G$6:$G$20)</f>
        <v>#VALUE!</v>
      </c>
      <c r="C10586" s="29" t="e">
        <f t="shared" si="165"/>
        <v>#VALUE!</v>
      </c>
      <c r="E10586" t="e">
        <f>cubic_spline(CURVA!$B$6:$B$20,CURVA!$G$6:$G$20,#REF!)</f>
        <v>#VALUE!</v>
      </c>
    </row>
    <row r="10587" spans="1:5" x14ac:dyDescent="0.2">
      <c r="A10587" s="28">
        <v>10586</v>
      </c>
      <c r="B10587" s="28" t="e">
        <f>interpola(#REF!,CURVA!$B$6:$B$20,CURVA!$G$6:$G$20)</f>
        <v>#VALUE!</v>
      </c>
      <c r="C10587" s="29" t="e">
        <f t="shared" si="165"/>
        <v>#VALUE!</v>
      </c>
      <c r="E10587" t="e">
        <f>cubic_spline(CURVA!$B$6:$B$20,CURVA!$G$6:$G$20,#REF!)</f>
        <v>#VALUE!</v>
      </c>
    </row>
    <row r="10588" spans="1:5" x14ac:dyDescent="0.2">
      <c r="A10588" s="28">
        <v>10587</v>
      </c>
      <c r="B10588" s="28" t="e">
        <f>interpola(#REF!,CURVA!$B$6:$B$20,CURVA!$G$6:$G$20)</f>
        <v>#VALUE!</v>
      </c>
      <c r="C10588" s="29" t="e">
        <f t="shared" si="165"/>
        <v>#VALUE!</v>
      </c>
      <c r="E10588" t="e">
        <f>cubic_spline(CURVA!$B$6:$B$20,CURVA!$G$6:$G$20,#REF!)</f>
        <v>#VALUE!</v>
      </c>
    </row>
    <row r="10589" spans="1:5" x14ac:dyDescent="0.2">
      <c r="A10589" s="28">
        <v>10588</v>
      </c>
      <c r="B10589" s="28" t="e">
        <f>interpola(#REF!,CURVA!$B$6:$B$20,CURVA!$G$6:$G$20)</f>
        <v>#VALUE!</v>
      </c>
      <c r="C10589" s="29" t="e">
        <f t="shared" si="165"/>
        <v>#VALUE!</v>
      </c>
      <c r="E10589" t="e">
        <f>cubic_spline(CURVA!$B$6:$B$20,CURVA!$G$6:$G$20,#REF!)</f>
        <v>#VALUE!</v>
      </c>
    </row>
    <row r="10590" spans="1:5" x14ac:dyDescent="0.2">
      <c r="A10590" s="28">
        <v>10589</v>
      </c>
      <c r="B10590" s="28" t="e">
        <f>interpola(#REF!,CURVA!$B$6:$B$20,CURVA!$G$6:$G$20)</f>
        <v>#VALUE!</v>
      </c>
      <c r="C10590" s="29" t="e">
        <f t="shared" si="165"/>
        <v>#VALUE!</v>
      </c>
      <c r="E10590" t="e">
        <f>cubic_spline(CURVA!$B$6:$B$20,CURVA!$G$6:$G$20,#REF!)</f>
        <v>#VALUE!</v>
      </c>
    </row>
    <row r="10591" spans="1:5" x14ac:dyDescent="0.2">
      <c r="A10591" s="28">
        <v>10590</v>
      </c>
      <c r="B10591" s="28" t="e">
        <f>interpola(#REF!,CURVA!$B$6:$B$20,CURVA!$G$6:$G$20)</f>
        <v>#VALUE!</v>
      </c>
      <c r="C10591" s="29" t="e">
        <f t="shared" si="165"/>
        <v>#VALUE!</v>
      </c>
      <c r="E10591" t="e">
        <f>cubic_spline(CURVA!$B$6:$B$20,CURVA!$G$6:$G$20,#REF!)</f>
        <v>#VALUE!</v>
      </c>
    </row>
    <row r="10592" spans="1:5" x14ac:dyDescent="0.2">
      <c r="A10592" s="28">
        <v>10591</v>
      </c>
      <c r="B10592" s="28" t="e">
        <f>interpola(#REF!,CURVA!$B$6:$B$20,CURVA!$G$6:$G$20)</f>
        <v>#VALUE!</v>
      </c>
      <c r="C10592" s="29" t="e">
        <f t="shared" si="165"/>
        <v>#VALUE!</v>
      </c>
      <c r="E10592" t="e">
        <f>cubic_spline(CURVA!$B$6:$B$20,CURVA!$G$6:$G$20,#REF!)</f>
        <v>#VALUE!</v>
      </c>
    </row>
    <row r="10593" spans="1:5" x14ac:dyDescent="0.2">
      <c r="A10593" s="28">
        <v>10592</v>
      </c>
      <c r="B10593" s="28" t="e">
        <f>interpola(#REF!,CURVA!$B$6:$B$20,CURVA!$G$6:$G$20)</f>
        <v>#VALUE!</v>
      </c>
      <c r="C10593" s="29" t="e">
        <f t="shared" si="165"/>
        <v>#VALUE!</v>
      </c>
      <c r="E10593" t="e">
        <f>cubic_spline(CURVA!$B$6:$B$20,CURVA!$G$6:$G$20,#REF!)</f>
        <v>#VALUE!</v>
      </c>
    </row>
    <row r="10594" spans="1:5" x14ac:dyDescent="0.2">
      <c r="A10594" s="28">
        <v>10593</v>
      </c>
      <c r="B10594" s="28" t="e">
        <f>interpola(#REF!,CURVA!$B$6:$B$20,CURVA!$G$6:$G$20)</f>
        <v>#VALUE!</v>
      </c>
      <c r="C10594" s="29" t="e">
        <f t="shared" si="165"/>
        <v>#VALUE!</v>
      </c>
      <c r="E10594" t="e">
        <f>cubic_spline(CURVA!$B$6:$B$20,CURVA!$G$6:$G$20,#REF!)</f>
        <v>#VALUE!</v>
      </c>
    </row>
    <row r="10595" spans="1:5" x14ac:dyDescent="0.2">
      <c r="A10595" s="28">
        <v>10594</v>
      </c>
      <c r="B10595" s="28" t="e">
        <f>interpola(#REF!,CURVA!$B$6:$B$20,CURVA!$G$6:$G$20)</f>
        <v>#VALUE!</v>
      </c>
      <c r="C10595" s="29" t="e">
        <f t="shared" si="165"/>
        <v>#VALUE!</v>
      </c>
      <c r="E10595" t="e">
        <f>cubic_spline(CURVA!$B$6:$B$20,CURVA!$G$6:$G$20,#REF!)</f>
        <v>#VALUE!</v>
      </c>
    </row>
    <row r="10596" spans="1:5" x14ac:dyDescent="0.2">
      <c r="A10596" s="28">
        <v>10595</v>
      </c>
      <c r="B10596" s="28" t="e">
        <f>interpola(#REF!,CURVA!$B$6:$B$20,CURVA!$G$6:$G$20)</f>
        <v>#VALUE!</v>
      </c>
      <c r="C10596" s="29" t="e">
        <f t="shared" si="165"/>
        <v>#VALUE!</v>
      </c>
      <c r="E10596" t="e">
        <f>cubic_spline(CURVA!$B$6:$B$20,CURVA!$G$6:$G$20,#REF!)</f>
        <v>#VALUE!</v>
      </c>
    </row>
    <row r="10597" spans="1:5" x14ac:dyDescent="0.2">
      <c r="A10597" s="28">
        <v>10596</v>
      </c>
      <c r="B10597" s="28" t="e">
        <f>interpola(#REF!,CURVA!$B$6:$B$20,CURVA!$G$6:$G$20)</f>
        <v>#VALUE!</v>
      </c>
      <c r="C10597" s="29" t="e">
        <f t="shared" si="165"/>
        <v>#VALUE!</v>
      </c>
      <c r="E10597" t="e">
        <f>cubic_spline(CURVA!$B$6:$B$20,CURVA!$G$6:$G$20,#REF!)</f>
        <v>#VALUE!</v>
      </c>
    </row>
    <row r="10598" spans="1:5" x14ac:dyDescent="0.2">
      <c r="A10598" s="28">
        <v>10597</v>
      </c>
      <c r="B10598" s="28" t="e">
        <f>interpola(#REF!,CURVA!$B$6:$B$20,CURVA!$G$6:$G$20)</f>
        <v>#VALUE!</v>
      </c>
      <c r="C10598" s="29" t="e">
        <f t="shared" si="165"/>
        <v>#VALUE!</v>
      </c>
      <c r="E10598" t="e">
        <f>cubic_spline(CURVA!$B$6:$B$20,CURVA!$G$6:$G$20,#REF!)</f>
        <v>#VALUE!</v>
      </c>
    </row>
    <row r="10599" spans="1:5" x14ac:dyDescent="0.2">
      <c r="A10599" s="28">
        <v>10598</v>
      </c>
      <c r="B10599" s="28" t="e">
        <f>interpola(#REF!,CURVA!$B$6:$B$20,CURVA!$G$6:$G$20)</f>
        <v>#VALUE!</v>
      </c>
      <c r="C10599" s="29" t="e">
        <f t="shared" si="165"/>
        <v>#VALUE!</v>
      </c>
      <c r="E10599" t="e">
        <f>cubic_spline(CURVA!$B$6:$B$20,CURVA!$G$6:$G$20,#REF!)</f>
        <v>#VALUE!</v>
      </c>
    </row>
    <row r="10600" spans="1:5" x14ac:dyDescent="0.2">
      <c r="A10600" s="28">
        <v>10599</v>
      </c>
      <c r="B10600" s="28" t="e">
        <f>interpola(#REF!,CURVA!$B$6:$B$20,CURVA!$G$6:$G$20)</f>
        <v>#VALUE!</v>
      </c>
      <c r="C10600" s="29" t="e">
        <f t="shared" si="165"/>
        <v>#VALUE!</v>
      </c>
      <c r="E10600" t="e">
        <f>cubic_spline(CURVA!$B$6:$B$20,CURVA!$G$6:$G$20,#REF!)</f>
        <v>#VALUE!</v>
      </c>
    </row>
    <row r="10601" spans="1:5" x14ac:dyDescent="0.2">
      <c r="A10601" s="28">
        <v>10600</v>
      </c>
      <c r="B10601" s="28" t="e">
        <f>interpola(#REF!,CURVA!$B$6:$B$20,CURVA!$G$6:$G$20)</f>
        <v>#VALUE!</v>
      </c>
      <c r="C10601" s="29" t="e">
        <f t="shared" si="165"/>
        <v>#VALUE!</v>
      </c>
      <c r="E10601" t="e">
        <f>cubic_spline(CURVA!$B$6:$B$20,CURVA!$G$6:$G$20,#REF!)</f>
        <v>#VALUE!</v>
      </c>
    </row>
    <row r="10602" spans="1:5" x14ac:dyDescent="0.2">
      <c r="A10602" s="28">
        <v>10601</v>
      </c>
      <c r="B10602" s="28" t="e">
        <f>interpola(#REF!,CURVA!$B$6:$B$20,CURVA!$G$6:$G$20)</f>
        <v>#VALUE!</v>
      </c>
      <c r="C10602" s="29" t="e">
        <f t="shared" si="165"/>
        <v>#VALUE!</v>
      </c>
      <c r="E10602" t="e">
        <f>cubic_spline(CURVA!$B$6:$B$20,CURVA!$G$6:$G$20,#REF!)</f>
        <v>#VALUE!</v>
      </c>
    </row>
    <row r="10603" spans="1:5" x14ac:dyDescent="0.2">
      <c r="A10603" s="28">
        <v>10602</v>
      </c>
      <c r="B10603" s="28" t="e">
        <f>interpola(#REF!,CURVA!$B$6:$B$20,CURVA!$G$6:$G$20)</f>
        <v>#VALUE!</v>
      </c>
      <c r="C10603" s="29" t="e">
        <f t="shared" si="165"/>
        <v>#VALUE!</v>
      </c>
      <c r="E10603" t="e">
        <f>cubic_spline(CURVA!$B$6:$B$20,CURVA!$G$6:$G$20,#REF!)</f>
        <v>#VALUE!</v>
      </c>
    </row>
    <row r="10604" spans="1:5" x14ac:dyDescent="0.2">
      <c r="A10604" s="28">
        <v>10603</v>
      </c>
      <c r="B10604" s="28" t="e">
        <f>interpola(#REF!,CURVA!$B$6:$B$20,CURVA!$G$6:$G$20)</f>
        <v>#VALUE!</v>
      </c>
      <c r="C10604" s="29" t="e">
        <f t="shared" si="165"/>
        <v>#VALUE!</v>
      </c>
      <c r="E10604" t="e">
        <f>cubic_spline(CURVA!$B$6:$B$20,CURVA!$G$6:$G$20,#REF!)</f>
        <v>#VALUE!</v>
      </c>
    </row>
    <row r="10605" spans="1:5" x14ac:dyDescent="0.2">
      <c r="A10605" s="28">
        <v>10604</v>
      </c>
      <c r="B10605" s="28" t="e">
        <f>interpola(#REF!,CURVA!$B$6:$B$20,CURVA!$G$6:$G$20)</f>
        <v>#VALUE!</v>
      </c>
      <c r="C10605" s="29" t="e">
        <f t="shared" si="165"/>
        <v>#VALUE!</v>
      </c>
      <c r="E10605" t="e">
        <f>cubic_spline(CURVA!$B$6:$B$20,CURVA!$G$6:$G$20,#REF!)</f>
        <v>#VALUE!</v>
      </c>
    </row>
    <row r="10606" spans="1:5" x14ac:dyDescent="0.2">
      <c r="A10606" s="28">
        <v>10605</v>
      </c>
      <c r="B10606" s="28" t="e">
        <f>interpola(#REF!,CURVA!$B$6:$B$20,CURVA!$G$6:$G$20)</f>
        <v>#VALUE!</v>
      </c>
      <c r="C10606" s="29" t="e">
        <f t="shared" si="165"/>
        <v>#VALUE!</v>
      </c>
      <c r="E10606" t="e">
        <f>cubic_spline(CURVA!$B$6:$B$20,CURVA!$G$6:$G$20,#REF!)</f>
        <v>#VALUE!</v>
      </c>
    </row>
    <row r="10607" spans="1:5" x14ac:dyDescent="0.2">
      <c r="A10607" s="28">
        <v>10606</v>
      </c>
      <c r="B10607" s="28" t="e">
        <f>interpola(#REF!,CURVA!$B$6:$B$20,CURVA!$G$6:$G$20)</f>
        <v>#VALUE!</v>
      </c>
      <c r="C10607" s="29" t="e">
        <f t="shared" si="165"/>
        <v>#VALUE!</v>
      </c>
      <c r="E10607" t="e">
        <f>cubic_spline(CURVA!$B$6:$B$20,CURVA!$G$6:$G$20,#REF!)</f>
        <v>#VALUE!</v>
      </c>
    </row>
    <row r="10608" spans="1:5" x14ac:dyDescent="0.2">
      <c r="A10608" s="28">
        <v>10607</v>
      </c>
      <c r="B10608" s="28" t="e">
        <f>interpola(#REF!,CURVA!$B$6:$B$20,CURVA!$G$6:$G$20)</f>
        <v>#VALUE!</v>
      </c>
      <c r="C10608" s="29" t="e">
        <f t="shared" si="165"/>
        <v>#VALUE!</v>
      </c>
      <c r="E10608" t="e">
        <f>cubic_spline(CURVA!$B$6:$B$20,CURVA!$G$6:$G$20,#REF!)</f>
        <v>#VALUE!</v>
      </c>
    </row>
    <row r="10609" spans="1:5" x14ac:dyDescent="0.2">
      <c r="A10609" s="28">
        <v>10608</v>
      </c>
      <c r="B10609" s="28" t="e">
        <f>interpola(#REF!,CURVA!$B$6:$B$20,CURVA!$G$6:$G$20)</f>
        <v>#VALUE!</v>
      </c>
      <c r="C10609" s="29" t="e">
        <f t="shared" si="165"/>
        <v>#VALUE!</v>
      </c>
      <c r="E10609" t="e">
        <f>cubic_spline(CURVA!$B$6:$B$20,CURVA!$G$6:$G$20,#REF!)</f>
        <v>#VALUE!</v>
      </c>
    </row>
    <row r="10610" spans="1:5" x14ac:dyDescent="0.2">
      <c r="A10610" s="28">
        <v>10609</v>
      </c>
      <c r="B10610" s="28" t="e">
        <f>interpola(#REF!,CURVA!$B$6:$B$20,CURVA!$G$6:$G$20)</f>
        <v>#VALUE!</v>
      </c>
      <c r="C10610" s="29" t="e">
        <f t="shared" si="165"/>
        <v>#VALUE!</v>
      </c>
      <c r="E10610" t="e">
        <f>cubic_spline(CURVA!$B$6:$B$20,CURVA!$G$6:$G$20,#REF!)</f>
        <v>#VALUE!</v>
      </c>
    </row>
    <row r="10611" spans="1:5" x14ac:dyDescent="0.2">
      <c r="A10611" s="28">
        <v>10610</v>
      </c>
      <c r="B10611" s="28" t="e">
        <f>interpola(#REF!,CURVA!$B$6:$B$20,CURVA!$G$6:$G$20)</f>
        <v>#VALUE!</v>
      </c>
      <c r="C10611" s="29" t="e">
        <f t="shared" si="165"/>
        <v>#VALUE!</v>
      </c>
      <c r="E10611" t="e">
        <f>cubic_spline(CURVA!$B$6:$B$20,CURVA!$G$6:$G$20,#REF!)</f>
        <v>#VALUE!</v>
      </c>
    </row>
    <row r="10612" spans="1:5" x14ac:dyDescent="0.2">
      <c r="A10612" s="28">
        <v>10611</v>
      </c>
      <c r="B10612" s="28" t="e">
        <f>interpola(#REF!,CURVA!$B$6:$B$20,CURVA!$G$6:$G$20)</f>
        <v>#VALUE!</v>
      </c>
      <c r="C10612" s="29" t="e">
        <f t="shared" si="165"/>
        <v>#VALUE!</v>
      </c>
      <c r="E10612" t="e">
        <f>cubic_spline(CURVA!$B$6:$B$20,CURVA!$G$6:$G$20,#REF!)</f>
        <v>#VALUE!</v>
      </c>
    </row>
    <row r="10613" spans="1:5" x14ac:dyDescent="0.2">
      <c r="A10613" s="28">
        <v>10612</v>
      </c>
      <c r="B10613" s="28" t="e">
        <f>interpola(#REF!,CURVA!$B$6:$B$20,CURVA!$G$6:$G$20)</f>
        <v>#VALUE!</v>
      </c>
      <c r="C10613" s="29" t="e">
        <f t="shared" si="165"/>
        <v>#VALUE!</v>
      </c>
      <c r="E10613" t="e">
        <f>cubic_spline(CURVA!$B$6:$B$20,CURVA!$G$6:$G$20,#REF!)</f>
        <v>#VALUE!</v>
      </c>
    </row>
    <row r="10614" spans="1:5" x14ac:dyDescent="0.2">
      <c r="A10614" s="28">
        <v>10613</v>
      </c>
      <c r="B10614" s="28" t="e">
        <f>interpola(#REF!,CURVA!$B$6:$B$20,CURVA!$G$6:$G$20)</f>
        <v>#VALUE!</v>
      </c>
      <c r="C10614" s="29" t="e">
        <f t="shared" si="165"/>
        <v>#VALUE!</v>
      </c>
      <c r="E10614" t="e">
        <f>cubic_spline(CURVA!$B$6:$B$20,CURVA!$G$6:$G$20,#REF!)</f>
        <v>#VALUE!</v>
      </c>
    </row>
    <row r="10615" spans="1:5" x14ac:dyDescent="0.2">
      <c r="A10615" s="28">
        <v>10614</v>
      </c>
      <c r="B10615" s="28" t="e">
        <f>interpola(#REF!,CURVA!$B$6:$B$20,CURVA!$G$6:$G$20)</f>
        <v>#VALUE!</v>
      </c>
      <c r="C10615" s="29" t="e">
        <f t="shared" si="165"/>
        <v>#VALUE!</v>
      </c>
      <c r="E10615" t="e">
        <f>cubic_spline(CURVA!$B$6:$B$20,CURVA!$G$6:$G$20,#REF!)</f>
        <v>#VALUE!</v>
      </c>
    </row>
    <row r="10616" spans="1:5" x14ac:dyDescent="0.2">
      <c r="A10616" s="28">
        <v>10615</v>
      </c>
      <c r="B10616" s="28" t="e">
        <f>interpola(#REF!,CURVA!$B$6:$B$20,CURVA!$G$6:$G$20)</f>
        <v>#VALUE!</v>
      </c>
      <c r="C10616" s="29" t="e">
        <f t="shared" si="165"/>
        <v>#VALUE!</v>
      </c>
      <c r="E10616" t="e">
        <f>cubic_spline(CURVA!$B$6:$B$20,CURVA!$G$6:$G$20,#REF!)</f>
        <v>#VALUE!</v>
      </c>
    </row>
    <row r="10617" spans="1:5" x14ac:dyDescent="0.2">
      <c r="A10617" s="28">
        <v>10616</v>
      </c>
      <c r="B10617" s="28" t="e">
        <f>interpola(#REF!,CURVA!$B$6:$B$20,CURVA!$G$6:$G$20)</f>
        <v>#VALUE!</v>
      </c>
      <c r="C10617" s="29" t="e">
        <f t="shared" si="165"/>
        <v>#VALUE!</v>
      </c>
      <c r="E10617" t="e">
        <f>cubic_spline(CURVA!$B$6:$B$20,CURVA!$G$6:$G$20,#REF!)</f>
        <v>#VALUE!</v>
      </c>
    </row>
    <row r="10618" spans="1:5" x14ac:dyDescent="0.2">
      <c r="A10618" s="28">
        <v>10617</v>
      </c>
      <c r="B10618" s="28" t="e">
        <f>interpola(#REF!,CURVA!$B$6:$B$20,CURVA!$G$6:$G$20)</f>
        <v>#VALUE!</v>
      </c>
      <c r="C10618" s="29" t="e">
        <f t="shared" si="165"/>
        <v>#VALUE!</v>
      </c>
      <c r="E10618" t="e">
        <f>cubic_spline(CURVA!$B$6:$B$20,CURVA!$G$6:$G$20,#REF!)</f>
        <v>#VALUE!</v>
      </c>
    </row>
    <row r="10619" spans="1:5" x14ac:dyDescent="0.2">
      <c r="A10619" s="28">
        <v>10618</v>
      </c>
      <c r="B10619" s="28" t="e">
        <f>interpola(#REF!,CURVA!$B$6:$B$20,CURVA!$G$6:$G$20)</f>
        <v>#VALUE!</v>
      </c>
      <c r="C10619" s="29" t="e">
        <f t="shared" si="165"/>
        <v>#VALUE!</v>
      </c>
      <c r="E10619" t="e">
        <f>cubic_spline(CURVA!$B$6:$B$20,CURVA!$G$6:$G$20,#REF!)</f>
        <v>#VALUE!</v>
      </c>
    </row>
    <row r="10620" spans="1:5" x14ac:dyDescent="0.2">
      <c r="A10620" s="28">
        <v>10619</v>
      </c>
      <c r="B10620" s="28" t="e">
        <f>interpola(#REF!,CURVA!$B$6:$B$20,CURVA!$G$6:$G$20)</f>
        <v>#VALUE!</v>
      </c>
      <c r="C10620" s="29" t="e">
        <f t="shared" si="165"/>
        <v>#VALUE!</v>
      </c>
      <c r="E10620" t="e">
        <f>cubic_spline(CURVA!$B$6:$B$20,CURVA!$G$6:$G$20,#REF!)</f>
        <v>#VALUE!</v>
      </c>
    </row>
    <row r="10621" spans="1:5" x14ac:dyDescent="0.2">
      <c r="A10621" s="28">
        <v>10620</v>
      </c>
      <c r="B10621" s="28" t="e">
        <f>interpola(#REF!,CURVA!$B$6:$B$20,CURVA!$G$6:$G$20)</f>
        <v>#VALUE!</v>
      </c>
      <c r="C10621" s="29" t="e">
        <f t="shared" si="165"/>
        <v>#VALUE!</v>
      </c>
      <c r="E10621" t="e">
        <f>cubic_spline(CURVA!$B$6:$B$20,CURVA!$G$6:$G$20,#REF!)</f>
        <v>#VALUE!</v>
      </c>
    </row>
    <row r="10622" spans="1:5" x14ac:dyDescent="0.2">
      <c r="A10622" s="28">
        <v>10621</v>
      </c>
      <c r="B10622" s="28" t="e">
        <f>interpola(#REF!,CURVA!$B$6:$B$20,CURVA!$G$6:$G$20)</f>
        <v>#VALUE!</v>
      </c>
      <c r="C10622" s="29" t="e">
        <f t="shared" si="165"/>
        <v>#VALUE!</v>
      </c>
      <c r="E10622" t="e">
        <f>cubic_spline(CURVA!$B$6:$B$20,CURVA!$G$6:$G$20,#REF!)</f>
        <v>#VALUE!</v>
      </c>
    </row>
    <row r="10623" spans="1:5" x14ac:dyDescent="0.2">
      <c r="A10623" s="28">
        <v>10622</v>
      </c>
      <c r="B10623" s="28" t="e">
        <f>interpola(#REF!,CURVA!$B$6:$B$20,CURVA!$G$6:$G$20)</f>
        <v>#VALUE!</v>
      </c>
      <c r="C10623" s="29" t="e">
        <f t="shared" si="165"/>
        <v>#VALUE!</v>
      </c>
      <c r="E10623" t="e">
        <f>cubic_spline(CURVA!$B$6:$B$20,CURVA!$G$6:$G$20,#REF!)</f>
        <v>#VALUE!</v>
      </c>
    </row>
    <row r="10624" spans="1:5" x14ac:dyDescent="0.2">
      <c r="A10624" s="28">
        <v>10623</v>
      </c>
      <c r="B10624" s="28" t="e">
        <f>interpola(#REF!,CURVA!$B$6:$B$20,CURVA!$G$6:$G$20)</f>
        <v>#VALUE!</v>
      </c>
      <c r="C10624" s="29" t="e">
        <f t="shared" si="165"/>
        <v>#VALUE!</v>
      </c>
      <c r="E10624" t="e">
        <f>cubic_spline(CURVA!$B$6:$B$20,CURVA!$G$6:$G$20,#REF!)</f>
        <v>#VALUE!</v>
      </c>
    </row>
    <row r="10625" spans="1:5" x14ac:dyDescent="0.2">
      <c r="A10625" s="28">
        <v>10624</v>
      </c>
      <c r="B10625" s="28" t="e">
        <f>interpola(#REF!,CURVA!$B$6:$B$20,CURVA!$G$6:$G$20)</f>
        <v>#VALUE!</v>
      </c>
      <c r="C10625" s="29" t="e">
        <f t="shared" si="165"/>
        <v>#VALUE!</v>
      </c>
      <c r="E10625" t="e">
        <f>cubic_spline(CURVA!$B$6:$B$20,CURVA!$G$6:$G$20,#REF!)</f>
        <v>#VALUE!</v>
      </c>
    </row>
    <row r="10626" spans="1:5" x14ac:dyDescent="0.2">
      <c r="A10626" s="28">
        <v>10625</v>
      </c>
      <c r="B10626" s="28" t="e">
        <f>interpola(#REF!,CURVA!$B$6:$B$20,CURVA!$G$6:$G$20)</f>
        <v>#VALUE!</v>
      </c>
      <c r="C10626" s="29" t="e">
        <f t="shared" ref="C10626:C10689" si="166">(EXP(B10626*A10626/360)-1)*360/A10626</f>
        <v>#VALUE!</v>
      </c>
      <c r="E10626" t="e">
        <f>cubic_spline(CURVA!$B$6:$B$20,CURVA!$G$6:$G$20,#REF!)</f>
        <v>#VALUE!</v>
      </c>
    </row>
    <row r="10627" spans="1:5" x14ac:dyDescent="0.2">
      <c r="A10627" s="28">
        <v>10626</v>
      </c>
      <c r="B10627" s="28" t="e">
        <f>interpola(#REF!,CURVA!$B$6:$B$20,CURVA!$G$6:$G$20)</f>
        <v>#VALUE!</v>
      </c>
      <c r="C10627" s="29" t="e">
        <f t="shared" si="166"/>
        <v>#VALUE!</v>
      </c>
      <c r="E10627" t="e">
        <f>cubic_spline(CURVA!$B$6:$B$20,CURVA!$G$6:$G$20,#REF!)</f>
        <v>#VALUE!</v>
      </c>
    </row>
    <row r="10628" spans="1:5" x14ac:dyDescent="0.2">
      <c r="A10628" s="28">
        <v>10627</v>
      </c>
      <c r="B10628" s="28" t="e">
        <f>interpola(#REF!,CURVA!$B$6:$B$20,CURVA!$G$6:$G$20)</f>
        <v>#VALUE!</v>
      </c>
      <c r="C10628" s="29" t="e">
        <f t="shared" si="166"/>
        <v>#VALUE!</v>
      </c>
      <c r="E10628" t="e">
        <f>cubic_spline(CURVA!$B$6:$B$20,CURVA!$G$6:$G$20,#REF!)</f>
        <v>#VALUE!</v>
      </c>
    </row>
    <row r="10629" spans="1:5" x14ac:dyDescent="0.2">
      <c r="A10629" s="28">
        <v>10628</v>
      </c>
      <c r="B10629" s="28" t="e">
        <f>interpola(#REF!,CURVA!$B$6:$B$20,CURVA!$G$6:$G$20)</f>
        <v>#VALUE!</v>
      </c>
      <c r="C10629" s="29" t="e">
        <f t="shared" si="166"/>
        <v>#VALUE!</v>
      </c>
      <c r="E10629" t="e">
        <f>cubic_spline(CURVA!$B$6:$B$20,CURVA!$G$6:$G$20,#REF!)</f>
        <v>#VALUE!</v>
      </c>
    </row>
    <row r="10630" spans="1:5" x14ac:dyDescent="0.2">
      <c r="A10630" s="28">
        <v>10629</v>
      </c>
      <c r="B10630" s="28" t="e">
        <f>interpola(#REF!,CURVA!$B$6:$B$20,CURVA!$G$6:$G$20)</f>
        <v>#VALUE!</v>
      </c>
      <c r="C10630" s="29" t="e">
        <f t="shared" si="166"/>
        <v>#VALUE!</v>
      </c>
      <c r="E10630" t="e">
        <f>cubic_spline(CURVA!$B$6:$B$20,CURVA!$G$6:$G$20,#REF!)</f>
        <v>#VALUE!</v>
      </c>
    </row>
    <row r="10631" spans="1:5" x14ac:dyDescent="0.2">
      <c r="A10631" s="28">
        <v>10630</v>
      </c>
      <c r="B10631" s="28" t="e">
        <f>interpola(#REF!,CURVA!$B$6:$B$20,CURVA!$G$6:$G$20)</f>
        <v>#VALUE!</v>
      </c>
      <c r="C10631" s="29" t="e">
        <f t="shared" si="166"/>
        <v>#VALUE!</v>
      </c>
      <c r="E10631" t="e">
        <f>cubic_spline(CURVA!$B$6:$B$20,CURVA!$G$6:$G$20,#REF!)</f>
        <v>#VALUE!</v>
      </c>
    </row>
    <row r="10632" spans="1:5" x14ac:dyDescent="0.2">
      <c r="A10632" s="28">
        <v>10631</v>
      </c>
      <c r="B10632" s="28" t="e">
        <f>interpola(#REF!,CURVA!$B$6:$B$20,CURVA!$G$6:$G$20)</f>
        <v>#VALUE!</v>
      </c>
      <c r="C10632" s="29" t="e">
        <f t="shared" si="166"/>
        <v>#VALUE!</v>
      </c>
      <c r="E10632" t="e">
        <f>cubic_spline(CURVA!$B$6:$B$20,CURVA!$G$6:$G$20,#REF!)</f>
        <v>#VALUE!</v>
      </c>
    </row>
    <row r="10633" spans="1:5" x14ac:dyDescent="0.2">
      <c r="A10633" s="28">
        <v>10632</v>
      </c>
      <c r="B10633" s="28" t="e">
        <f>interpola(#REF!,CURVA!$B$6:$B$20,CURVA!$G$6:$G$20)</f>
        <v>#VALUE!</v>
      </c>
      <c r="C10633" s="29" t="e">
        <f t="shared" si="166"/>
        <v>#VALUE!</v>
      </c>
      <c r="E10633" t="e">
        <f>cubic_spline(CURVA!$B$6:$B$20,CURVA!$G$6:$G$20,#REF!)</f>
        <v>#VALUE!</v>
      </c>
    </row>
    <row r="10634" spans="1:5" x14ac:dyDescent="0.2">
      <c r="A10634" s="28">
        <v>10633</v>
      </c>
      <c r="B10634" s="28" t="e">
        <f>interpola(#REF!,CURVA!$B$6:$B$20,CURVA!$G$6:$G$20)</f>
        <v>#VALUE!</v>
      </c>
      <c r="C10634" s="29" t="e">
        <f t="shared" si="166"/>
        <v>#VALUE!</v>
      </c>
      <c r="E10634" t="e">
        <f>cubic_spline(CURVA!$B$6:$B$20,CURVA!$G$6:$G$20,#REF!)</f>
        <v>#VALUE!</v>
      </c>
    </row>
    <row r="10635" spans="1:5" x14ac:dyDescent="0.2">
      <c r="A10635" s="28">
        <v>10634</v>
      </c>
      <c r="B10635" s="28" t="e">
        <f>interpola(#REF!,CURVA!$B$6:$B$20,CURVA!$G$6:$G$20)</f>
        <v>#VALUE!</v>
      </c>
      <c r="C10635" s="29" t="e">
        <f t="shared" si="166"/>
        <v>#VALUE!</v>
      </c>
      <c r="E10635" t="e">
        <f>cubic_spline(CURVA!$B$6:$B$20,CURVA!$G$6:$G$20,#REF!)</f>
        <v>#VALUE!</v>
      </c>
    </row>
    <row r="10636" spans="1:5" x14ac:dyDescent="0.2">
      <c r="A10636" s="28">
        <v>10635</v>
      </c>
      <c r="B10636" s="28" t="e">
        <f>interpola(#REF!,CURVA!$B$6:$B$20,CURVA!$G$6:$G$20)</f>
        <v>#VALUE!</v>
      </c>
      <c r="C10636" s="29" t="e">
        <f t="shared" si="166"/>
        <v>#VALUE!</v>
      </c>
      <c r="E10636" t="e">
        <f>cubic_spline(CURVA!$B$6:$B$20,CURVA!$G$6:$G$20,#REF!)</f>
        <v>#VALUE!</v>
      </c>
    </row>
    <row r="10637" spans="1:5" x14ac:dyDescent="0.2">
      <c r="A10637" s="28">
        <v>10636</v>
      </c>
      <c r="B10637" s="28" t="e">
        <f>interpola(#REF!,CURVA!$B$6:$B$20,CURVA!$G$6:$G$20)</f>
        <v>#VALUE!</v>
      </c>
      <c r="C10637" s="29" t="e">
        <f t="shared" si="166"/>
        <v>#VALUE!</v>
      </c>
      <c r="E10637" t="e">
        <f>cubic_spline(CURVA!$B$6:$B$20,CURVA!$G$6:$G$20,#REF!)</f>
        <v>#VALUE!</v>
      </c>
    </row>
    <row r="10638" spans="1:5" x14ac:dyDescent="0.2">
      <c r="A10638" s="28">
        <v>10637</v>
      </c>
      <c r="B10638" s="28" t="e">
        <f>interpola(#REF!,CURVA!$B$6:$B$20,CURVA!$G$6:$G$20)</f>
        <v>#VALUE!</v>
      </c>
      <c r="C10638" s="29" t="e">
        <f t="shared" si="166"/>
        <v>#VALUE!</v>
      </c>
      <c r="E10638" t="e">
        <f>cubic_spline(CURVA!$B$6:$B$20,CURVA!$G$6:$G$20,#REF!)</f>
        <v>#VALUE!</v>
      </c>
    </row>
    <row r="10639" spans="1:5" x14ac:dyDescent="0.2">
      <c r="A10639" s="28">
        <v>10638</v>
      </c>
      <c r="B10639" s="28" t="e">
        <f>interpola(#REF!,CURVA!$B$6:$B$20,CURVA!$G$6:$G$20)</f>
        <v>#VALUE!</v>
      </c>
      <c r="C10639" s="29" t="e">
        <f t="shared" si="166"/>
        <v>#VALUE!</v>
      </c>
      <c r="E10639" t="e">
        <f>cubic_spline(CURVA!$B$6:$B$20,CURVA!$G$6:$G$20,#REF!)</f>
        <v>#VALUE!</v>
      </c>
    </row>
    <row r="10640" spans="1:5" x14ac:dyDescent="0.2">
      <c r="A10640" s="28">
        <v>10639</v>
      </c>
      <c r="B10640" s="28" t="e">
        <f>interpola(#REF!,CURVA!$B$6:$B$20,CURVA!$G$6:$G$20)</f>
        <v>#VALUE!</v>
      </c>
      <c r="C10640" s="29" t="e">
        <f t="shared" si="166"/>
        <v>#VALUE!</v>
      </c>
      <c r="E10640" t="e">
        <f>cubic_spline(CURVA!$B$6:$B$20,CURVA!$G$6:$G$20,#REF!)</f>
        <v>#VALUE!</v>
      </c>
    </row>
    <row r="10641" spans="1:5" x14ac:dyDescent="0.2">
      <c r="A10641" s="28">
        <v>10640</v>
      </c>
      <c r="B10641" s="28" t="e">
        <f>interpola(#REF!,CURVA!$B$6:$B$20,CURVA!$G$6:$G$20)</f>
        <v>#VALUE!</v>
      </c>
      <c r="C10641" s="29" t="e">
        <f t="shared" si="166"/>
        <v>#VALUE!</v>
      </c>
      <c r="E10641" t="e">
        <f>cubic_spline(CURVA!$B$6:$B$20,CURVA!$G$6:$G$20,#REF!)</f>
        <v>#VALUE!</v>
      </c>
    </row>
    <row r="10642" spans="1:5" x14ac:dyDescent="0.2">
      <c r="A10642" s="28">
        <v>10641</v>
      </c>
      <c r="B10642" s="28" t="e">
        <f>interpola(#REF!,CURVA!$B$6:$B$20,CURVA!$G$6:$G$20)</f>
        <v>#VALUE!</v>
      </c>
      <c r="C10642" s="29" t="e">
        <f t="shared" si="166"/>
        <v>#VALUE!</v>
      </c>
      <c r="E10642" t="e">
        <f>cubic_spline(CURVA!$B$6:$B$20,CURVA!$G$6:$G$20,#REF!)</f>
        <v>#VALUE!</v>
      </c>
    </row>
    <row r="10643" spans="1:5" x14ac:dyDescent="0.2">
      <c r="A10643" s="28">
        <v>10642</v>
      </c>
      <c r="B10643" s="28" t="e">
        <f>interpola(#REF!,CURVA!$B$6:$B$20,CURVA!$G$6:$G$20)</f>
        <v>#VALUE!</v>
      </c>
      <c r="C10643" s="29" t="e">
        <f t="shared" si="166"/>
        <v>#VALUE!</v>
      </c>
      <c r="E10643" t="e">
        <f>cubic_spline(CURVA!$B$6:$B$20,CURVA!$G$6:$G$20,#REF!)</f>
        <v>#VALUE!</v>
      </c>
    </row>
    <row r="10644" spans="1:5" x14ac:dyDescent="0.2">
      <c r="A10644" s="28">
        <v>10643</v>
      </c>
      <c r="B10644" s="28" t="e">
        <f>interpola(#REF!,CURVA!$B$6:$B$20,CURVA!$G$6:$G$20)</f>
        <v>#VALUE!</v>
      </c>
      <c r="C10644" s="29" t="e">
        <f t="shared" si="166"/>
        <v>#VALUE!</v>
      </c>
      <c r="E10644" t="e">
        <f>cubic_spline(CURVA!$B$6:$B$20,CURVA!$G$6:$G$20,#REF!)</f>
        <v>#VALUE!</v>
      </c>
    </row>
    <row r="10645" spans="1:5" x14ac:dyDescent="0.2">
      <c r="A10645" s="28">
        <v>10644</v>
      </c>
      <c r="B10645" s="28" t="e">
        <f>interpola(#REF!,CURVA!$B$6:$B$20,CURVA!$G$6:$G$20)</f>
        <v>#VALUE!</v>
      </c>
      <c r="C10645" s="29" t="e">
        <f t="shared" si="166"/>
        <v>#VALUE!</v>
      </c>
      <c r="E10645" t="e">
        <f>cubic_spline(CURVA!$B$6:$B$20,CURVA!$G$6:$G$20,#REF!)</f>
        <v>#VALUE!</v>
      </c>
    </row>
    <row r="10646" spans="1:5" x14ac:dyDescent="0.2">
      <c r="A10646" s="28">
        <v>10645</v>
      </c>
      <c r="B10646" s="28" t="e">
        <f>interpola(#REF!,CURVA!$B$6:$B$20,CURVA!$G$6:$G$20)</f>
        <v>#VALUE!</v>
      </c>
      <c r="C10646" s="29" t="e">
        <f t="shared" si="166"/>
        <v>#VALUE!</v>
      </c>
      <c r="E10646" t="e">
        <f>cubic_spline(CURVA!$B$6:$B$20,CURVA!$G$6:$G$20,#REF!)</f>
        <v>#VALUE!</v>
      </c>
    </row>
    <row r="10647" spans="1:5" x14ac:dyDescent="0.2">
      <c r="A10647" s="28">
        <v>10646</v>
      </c>
      <c r="B10647" s="28" t="e">
        <f>interpola(#REF!,CURVA!$B$6:$B$20,CURVA!$G$6:$G$20)</f>
        <v>#VALUE!</v>
      </c>
      <c r="C10647" s="29" t="e">
        <f t="shared" si="166"/>
        <v>#VALUE!</v>
      </c>
      <c r="E10647" t="e">
        <f>cubic_spline(CURVA!$B$6:$B$20,CURVA!$G$6:$G$20,#REF!)</f>
        <v>#VALUE!</v>
      </c>
    </row>
    <row r="10648" spans="1:5" x14ac:dyDescent="0.2">
      <c r="A10648" s="28">
        <v>10647</v>
      </c>
      <c r="B10648" s="28" t="e">
        <f>interpola(#REF!,CURVA!$B$6:$B$20,CURVA!$G$6:$G$20)</f>
        <v>#VALUE!</v>
      </c>
      <c r="C10648" s="29" t="e">
        <f t="shared" si="166"/>
        <v>#VALUE!</v>
      </c>
      <c r="E10648" t="e">
        <f>cubic_spline(CURVA!$B$6:$B$20,CURVA!$G$6:$G$20,#REF!)</f>
        <v>#VALUE!</v>
      </c>
    </row>
    <row r="10649" spans="1:5" x14ac:dyDescent="0.2">
      <c r="A10649" s="28">
        <v>10648</v>
      </c>
      <c r="B10649" s="28" t="e">
        <f>interpola(#REF!,CURVA!$B$6:$B$20,CURVA!$G$6:$G$20)</f>
        <v>#VALUE!</v>
      </c>
      <c r="C10649" s="29" t="e">
        <f t="shared" si="166"/>
        <v>#VALUE!</v>
      </c>
      <c r="E10649" t="e">
        <f>cubic_spline(CURVA!$B$6:$B$20,CURVA!$G$6:$G$20,#REF!)</f>
        <v>#VALUE!</v>
      </c>
    </row>
    <row r="10650" spans="1:5" x14ac:dyDescent="0.2">
      <c r="A10650" s="28">
        <v>10649</v>
      </c>
      <c r="B10650" s="28" t="e">
        <f>interpola(#REF!,CURVA!$B$6:$B$20,CURVA!$G$6:$G$20)</f>
        <v>#VALUE!</v>
      </c>
      <c r="C10650" s="29" t="e">
        <f t="shared" si="166"/>
        <v>#VALUE!</v>
      </c>
      <c r="E10650" t="e">
        <f>cubic_spline(CURVA!$B$6:$B$20,CURVA!$G$6:$G$20,#REF!)</f>
        <v>#VALUE!</v>
      </c>
    </row>
    <row r="10651" spans="1:5" x14ac:dyDescent="0.2">
      <c r="A10651" s="28">
        <v>10650</v>
      </c>
      <c r="B10651" s="28" t="e">
        <f>interpola(#REF!,CURVA!$B$6:$B$20,CURVA!$G$6:$G$20)</f>
        <v>#VALUE!</v>
      </c>
      <c r="C10651" s="29" t="e">
        <f t="shared" si="166"/>
        <v>#VALUE!</v>
      </c>
      <c r="E10651" t="e">
        <f>cubic_spline(CURVA!$B$6:$B$20,CURVA!$G$6:$G$20,#REF!)</f>
        <v>#VALUE!</v>
      </c>
    </row>
    <row r="10652" spans="1:5" x14ac:dyDescent="0.2">
      <c r="A10652" s="28">
        <v>10651</v>
      </c>
      <c r="B10652" s="28" t="e">
        <f>interpola(#REF!,CURVA!$B$6:$B$20,CURVA!$G$6:$G$20)</f>
        <v>#VALUE!</v>
      </c>
      <c r="C10652" s="29" t="e">
        <f t="shared" si="166"/>
        <v>#VALUE!</v>
      </c>
      <c r="E10652" t="e">
        <f>cubic_spline(CURVA!$B$6:$B$20,CURVA!$G$6:$G$20,#REF!)</f>
        <v>#VALUE!</v>
      </c>
    </row>
    <row r="10653" spans="1:5" x14ac:dyDescent="0.2">
      <c r="A10653" s="28">
        <v>10652</v>
      </c>
      <c r="B10653" s="28" t="e">
        <f>interpola(#REF!,CURVA!$B$6:$B$20,CURVA!$G$6:$G$20)</f>
        <v>#VALUE!</v>
      </c>
      <c r="C10653" s="29" t="e">
        <f t="shared" si="166"/>
        <v>#VALUE!</v>
      </c>
      <c r="E10653" t="e">
        <f>cubic_spline(CURVA!$B$6:$B$20,CURVA!$G$6:$G$20,#REF!)</f>
        <v>#VALUE!</v>
      </c>
    </row>
    <row r="10654" spans="1:5" x14ac:dyDescent="0.2">
      <c r="A10654" s="28">
        <v>10653</v>
      </c>
      <c r="B10654" s="28" t="e">
        <f>interpola(#REF!,CURVA!$B$6:$B$20,CURVA!$G$6:$G$20)</f>
        <v>#VALUE!</v>
      </c>
      <c r="C10654" s="29" t="e">
        <f t="shared" si="166"/>
        <v>#VALUE!</v>
      </c>
      <c r="E10654" t="e">
        <f>cubic_spline(CURVA!$B$6:$B$20,CURVA!$G$6:$G$20,#REF!)</f>
        <v>#VALUE!</v>
      </c>
    </row>
    <row r="10655" spans="1:5" x14ac:dyDescent="0.2">
      <c r="A10655" s="28">
        <v>10654</v>
      </c>
      <c r="B10655" s="28" t="e">
        <f>interpola(#REF!,CURVA!$B$6:$B$20,CURVA!$G$6:$G$20)</f>
        <v>#VALUE!</v>
      </c>
      <c r="C10655" s="29" t="e">
        <f t="shared" si="166"/>
        <v>#VALUE!</v>
      </c>
      <c r="E10655" t="e">
        <f>cubic_spline(CURVA!$B$6:$B$20,CURVA!$G$6:$G$20,#REF!)</f>
        <v>#VALUE!</v>
      </c>
    </row>
    <row r="10656" spans="1:5" x14ac:dyDescent="0.2">
      <c r="A10656" s="28">
        <v>10655</v>
      </c>
      <c r="B10656" s="28" t="e">
        <f>interpola(#REF!,CURVA!$B$6:$B$20,CURVA!$G$6:$G$20)</f>
        <v>#VALUE!</v>
      </c>
      <c r="C10656" s="29" t="e">
        <f t="shared" si="166"/>
        <v>#VALUE!</v>
      </c>
      <c r="E10656" t="e">
        <f>cubic_spline(CURVA!$B$6:$B$20,CURVA!$G$6:$G$20,#REF!)</f>
        <v>#VALUE!</v>
      </c>
    </row>
    <row r="10657" spans="1:5" x14ac:dyDescent="0.2">
      <c r="A10657" s="28">
        <v>10656</v>
      </c>
      <c r="B10657" s="28" t="e">
        <f>interpola(#REF!,CURVA!$B$6:$B$20,CURVA!$G$6:$G$20)</f>
        <v>#VALUE!</v>
      </c>
      <c r="C10657" s="29" t="e">
        <f t="shared" si="166"/>
        <v>#VALUE!</v>
      </c>
      <c r="E10657" t="e">
        <f>cubic_spline(CURVA!$B$6:$B$20,CURVA!$G$6:$G$20,#REF!)</f>
        <v>#VALUE!</v>
      </c>
    </row>
    <row r="10658" spans="1:5" x14ac:dyDescent="0.2">
      <c r="A10658" s="28">
        <v>10657</v>
      </c>
      <c r="B10658" s="28" t="e">
        <f>interpola(#REF!,CURVA!$B$6:$B$20,CURVA!$G$6:$G$20)</f>
        <v>#VALUE!</v>
      </c>
      <c r="C10658" s="29" t="e">
        <f t="shared" si="166"/>
        <v>#VALUE!</v>
      </c>
      <c r="E10658" t="e">
        <f>cubic_spline(CURVA!$B$6:$B$20,CURVA!$G$6:$G$20,#REF!)</f>
        <v>#VALUE!</v>
      </c>
    </row>
    <row r="10659" spans="1:5" x14ac:dyDescent="0.2">
      <c r="A10659" s="28">
        <v>10658</v>
      </c>
      <c r="B10659" s="28" t="e">
        <f>interpola(#REF!,CURVA!$B$6:$B$20,CURVA!$G$6:$G$20)</f>
        <v>#VALUE!</v>
      </c>
      <c r="C10659" s="29" t="e">
        <f t="shared" si="166"/>
        <v>#VALUE!</v>
      </c>
      <c r="E10659" t="e">
        <f>cubic_spline(CURVA!$B$6:$B$20,CURVA!$G$6:$G$20,#REF!)</f>
        <v>#VALUE!</v>
      </c>
    </row>
    <row r="10660" spans="1:5" x14ac:dyDescent="0.2">
      <c r="A10660" s="28">
        <v>10659</v>
      </c>
      <c r="B10660" s="28" t="e">
        <f>interpola(#REF!,CURVA!$B$6:$B$20,CURVA!$G$6:$G$20)</f>
        <v>#VALUE!</v>
      </c>
      <c r="C10660" s="29" t="e">
        <f t="shared" si="166"/>
        <v>#VALUE!</v>
      </c>
      <c r="E10660" t="e">
        <f>cubic_spline(CURVA!$B$6:$B$20,CURVA!$G$6:$G$20,#REF!)</f>
        <v>#VALUE!</v>
      </c>
    </row>
    <row r="10661" spans="1:5" x14ac:dyDescent="0.2">
      <c r="A10661" s="28">
        <v>10660</v>
      </c>
      <c r="B10661" s="28" t="e">
        <f>interpola(#REF!,CURVA!$B$6:$B$20,CURVA!$G$6:$G$20)</f>
        <v>#VALUE!</v>
      </c>
      <c r="C10661" s="29" t="e">
        <f t="shared" si="166"/>
        <v>#VALUE!</v>
      </c>
      <c r="E10661" t="e">
        <f>cubic_spline(CURVA!$B$6:$B$20,CURVA!$G$6:$G$20,#REF!)</f>
        <v>#VALUE!</v>
      </c>
    </row>
    <row r="10662" spans="1:5" x14ac:dyDescent="0.2">
      <c r="A10662" s="28">
        <v>10661</v>
      </c>
      <c r="B10662" s="28" t="e">
        <f>interpola(#REF!,CURVA!$B$6:$B$20,CURVA!$G$6:$G$20)</f>
        <v>#VALUE!</v>
      </c>
      <c r="C10662" s="29" t="e">
        <f t="shared" si="166"/>
        <v>#VALUE!</v>
      </c>
      <c r="E10662" t="e">
        <f>cubic_spline(CURVA!$B$6:$B$20,CURVA!$G$6:$G$20,#REF!)</f>
        <v>#VALUE!</v>
      </c>
    </row>
    <row r="10663" spans="1:5" x14ac:dyDescent="0.2">
      <c r="A10663" s="28">
        <v>10662</v>
      </c>
      <c r="B10663" s="28" t="e">
        <f>interpola(#REF!,CURVA!$B$6:$B$20,CURVA!$G$6:$G$20)</f>
        <v>#VALUE!</v>
      </c>
      <c r="C10663" s="29" t="e">
        <f t="shared" si="166"/>
        <v>#VALUE!</v>
      </c>
      <c r="E10663" t="e">
        <f>cubic_spline(CURVA!$B$6:$B$20,CURVA!$G$6:$G$20,#REF!)</f>
        <v>#VALUE!</v>
      </c>
    </row>
    <row r="10664" spans="1:5" x14ac:dyDescent="0.2">
      <c r="A10664" s="28">
        <v>10663</v>
      </c>
      <c r="B10664" s="28" t="e">
        <f>interpola(#REF!,CURVA!$B$6:$B$20,CURVA!$G$6:$G$20)</f>
        <v>#VALUE!</v>
      </c>
      <c r="C10664" s="29" t="e">
        <f t="shared" si="166"/>
        <v>#VALUE!</v>
      </c>
      <c r="E10664" t="e">
        <f>cubic_spline(CURVA!$B$6:$B$20,CURVA!$G$6:$G$20,#REF!)</f>
        <v>#VALUE!</v>
      </c>
    </row>
    <row r="10665" spans="1:5" x14ac:dyDescent="0.2">
      <c r="A10665" s="28">
        <v>10664</v>
      </c>
      <c r="B10665" s="28" t="e">
        <f>interpola(#REF!,CURVA!$B$6:$B$20,CURVA!$G$6:$G$20)</f>
        <v>#VALUE!</v>
      </c>
      <c r="C10665" s="29" t="e">
        <f t="shared" si="166"/>
        <v>#VALUE!</v>
      </c>
      <c r="E10665" t="e">
        <f>cubic_spline(CURVA!$B$6:$B$20,CURVA!$G$6:$G$20,#REF!)</f>
        <v>#VALUE!</v>
      </c>
    </row>
    <row r="10666" spans="1:5" x14ac:dyDescent="0.2">
      <c r="A10666" s="28">
        <v>10665</v>
      </c>
      <c r="B10666" s="28" t="e">
        <f>interpola(#REF!,CURVA!$B$6:$B$20,CURVA!$G$6:$G$20)</f>
        <v>#VALUE!</v>
      </c>
      <c r="C10666" s="29" t="e">
        <f t="shared" si="166"/>
        <v>#VALUE!</v>
      </c>
      <c r="E10666" t="e">
        <f>cubic_spline(CURVA!$B$6:$B$20,CURVA!$G$6:$G$20,#REF!)</f>
        <v>#VALUE!</v>
      </c>
    </row>
    <row r="10667" spans="1:5" x14ac:dyDescent="0.2">
      <c r="A10667" s="28">
        <v>10666</v>
      </c>
      <c r="B10667" s="28" t="e">
        <f>interpola(#REF!,CURVA!$B$6:$B$20,CURVA!$G$6:$G$20)</f>
        <v>#VALUE!</v>
      </c>
      <c r="C10667" s="29" t="e">
        <f t="shared" si="166"/>
        <v>#VALUE!</v>
      </c>
      <c r="E10667" t="e">
        <f>cubic_spline(CURVA!$B$6:$B$20,CURVA!$G$6:$G$20,#REF!)</f>
        <v>#VALUE!</v>
      </c>
    </row>
    <row r="10668" spans="1:5" x14ac:dyDescent="0.2">
      <c r="A10668" s="28">
        <v>10667</v>
      </c>
      <c r="B10668" s="28" t="e">
        <f>interpola(#REF!,CURVA!$B$6:$B$20,CURVA!$G$6:$G$20)</f>
        <v>#VALUE!</v>
      </c>
      <c r="C10668" s="29" t="e">
        <f t="shared" si="166"/>
        <v>#VALUE!</v>
      </c>
      <c r="E10668" t="e">
        <f>cubic_spline(CURVA!$B$6:$B$20,CURVA!$G$6:$G$20,#REF!)</f>
        <v>#VALUE!</v>
      </c>
    </row>
    <row r="10669" spans="1:5" x14ac:dyDescent="0.2">
      <c r="A10669" s="28">
        <v>10668</v>
      </c>
      <c r="B10669" s="28" t="e">
        <f>interpola(#REF!,CURVA!$B$6:$B$20,CURVA!$G$6:$G$20)</f>
        <v>#VALUE!</v>
      </c>
      <c r="C10669" s="29" t="e">
        <f t="shared" si="166"/>
        <v>#VALUE!</v>
      </c>
      <c r="E10669" t="e">
        <f>cubic_spline(CURVA!$B$6:$B$20,CURVA!$G$6:$G$20,#REF!)</f>
        <v>#VALUE!</v>
      </c>
    </row>
    <row r="10670" spans="1:5" x14ac:dyDescent="0.2">
      <c r="A10670" s="28">
        <v>10669</v>
      </c>
      <c r="B10670" s="28" t="e">
        <f>interpola(#REF!,CURVA!$B$6:$B$20,CURVA!$G$6:$G$20)</f>
        <v>#VALUE!</v>
      </c>
      <c r="C10670" s="29" t="e">
        <f t="shared" si="166"/>
        <v>#VALUE!</v>
      </c>
      <c r="E10670" t="e">
        <f>cubic_spline(CURVA!$B$6:$B$20,CURVA!$G$6:$G$20,#REF!)</f>
        <v>#VALUE!</v>
      </c>
    </row>
    <row r="10671" spans="1:5" x14ac:dyDescent="0.2">
      <c r="A10671" s="28">
        <v>10670</v>
      </c>
      <c r="B10671" s="28" t="e">
        <f>interpola(#REF!,CURVA!$B$6:$B$20,CURVA!$G$6:$G$20)</f>
        <v>#VALUE!</v>
      </c>
      <c r="C10671" s="29" t="e">
        <f t="shared" si="166"/>
        <v>#VALUE!</v>
      </c>
      <c r="E10671" t="e">
        <f>cubic_spline(CURVA!$B$6:$B$20,CURVA!$G$6:$G$20,#REF!)</f>
        <v>#VALUE!</v>
      </c>
    </row>
    <row r="10672" spans="1:5" x14ac:dyDescent="0.2">
      <c r="A10672" s="28">
        <v>10671</v>
      </c>
      <c r="B10672" s="28" t="e">
        <f>interpola(#REF!,CURVA!$B$6:$B$20,CURVA!$G$6:$G$20)</f>
        <v>#VALUE!</v>
      </c>
      <c r="C10672" s="29" t="e">
        <f t="shared" si="166"/>
        <v>#VALUE!</v>
      </c>
      <c r="E10672" t="e">
        <f>cubic_spline(CURVA!$B$6:$B$20,CURVA!$G$6:$G$20,#REF!)</f>
        <v>#VALUE!</v>
      </c>
    </row>
    <row r="10673" spans="1:5" x14ac:dyDescent="0.2">
      <c r="A10673" s="28">
        <v>10672</v>
      </c>
      <c r="B10673" s="28" t="e">
        <f>interpola(#REF!,CURVA!$B$6:$B$20,CURVA!$G$6:$G$20)</f>
        <v>#VALUE!</v>
      </c>
      <c r="C10673" s="29" t="e">
        <f t="shared" si="166"/>
        <v>#VALUE!</v>
      </c>
      <c r="E10673" t="e">
        <f>cubic_spline(CURVA!$B$6:$B$20,CURVA!$G$6:$G$20,#REF!)</f>
        <v>#VALUE!</v>
      </c>
    </row>
    <row r="10674" spans="1:5" x14ac:dyDescent="0.2">
      <c r="A10674" s="28">
        <v>10673</v>
      </c>
      <c r="B10674" s="28" t="e">
        <f>interpola(#REF!,CURVA!$B$6:$B$20,CURVA!$G$6:$G$20)</f>
        <v>#VALUE!</v>
      </c>
      <c r="C10674" s="29" t="e">
        <f t="shared" si="166"/>
        <v>#VALUE!</v>
      </c>
      <c r="E10674" t="e">
        <f>cubic_spline(CURVA!$B$6:$B$20,CURVA!$G$6:$G$20,#REF!)</f>
        <v>#VALUE!</v>
      </c>
    </row>
    <row r="10675" spans="1:5" x14ac:dyDescent="0.2">
      <c r="A10675" s="28">
        <v>10674</v>
      </c>
      <c r="B10675" s="28" t="e">
        <f>interpola(#REF!,CURVA!$B$6:$B$20,CURVA!$G$6:$G$20)</f>
        <v>#VALUE!</v>
      </c>
      <c r="C10675" s="29" t="e">
        <f t="shared" si="166"/>
        <v>#VALUE!</v>
      </c>
      <c r="E10675" t="e">
        <f>cubic_spline(CURVA!$B$6:$B$20,CURVA!$G$6:$G$20,#REF!)</f>
        <v>#VALUE!</v>
      </c>
    </row>
    <row r="10676" spans="1:5" x14ac:dyDescent="0.2">
      <c r="A10676" s="28">
        <v>10675</v>
      </c>
      <c r="B10676" s="28" t="e">
        <f>interpola(#REF!,CURVA!$B$6:$B$20,CURVA!$G$6:$G$20)</f>
        <v>#VALUE!</v>
      </c>
      <c r="C10676" s="29" t="e">
        <f t="shared" si="166"/>
        <v>#VALUE!</v>
      </c>
      <c r="E10676" t="e">
        <f>cubic_spline(CURVA!$B$6:$B$20,CURVA!$G$6:$G$20,#REF!)</f>
        <v>#VALUE!</v>
      </c>
    </row>
    <row r="10677" spans="1:5" x14ac:dyDescent="0.2">
      <c r="A10677" s="28">
        <v>10676</v>
      </c>
      <c r="B10677" s="28" t="e">
        <f>interpola(#REF!,CURVA!$B$6:$B$20,CURVA!$G$6:$G$20)</f>
        <v>#VALUE!</v>
      </c>
      <c r="C10677" s="29" t="e">
        <f t="shared" si="166"/>
        <v>#VALUE!</v>
      </c>
      <c r="E10677" t="e">
        <f>cubic_spline(CURVA!$B$6:$B$20,CURVA!$G$6:$G$20,#REF!)</f>
        <v>#VALUE!</v>
      </c>
    </row>
    <row r="10678" spans="1:5" x14ac:dyDescent="0.2">
      <c r="A10678" s="28">
        <v>10677</v>
      </c>
      <c r="B10678" s="28" t="e">
        <f>interpola(#REF!,CURVA!$B$6:$B$20,CURVA!$G$6:$G$20)</f>
        <v>#VALUE!</v>
      </c>
      <c r="C10678" s="29" t="e">
        <f t="shared" si="166"/>
        <v>#VALUE!</v>
      </c>
      <c r="E10678" t="e">
        <f>cubic_spline(CURVA!$B$6:$B$20,CURVA!$G$6:$G$20,#REF!)</f>
        <v>#VALUE!</v>
      </c>
    </row>
    <row r="10679" spans="1:5" x14ac:dyDescent="0.2">
      <c r="A10679" s="28">
        <v>10678</v>
      </c>
      <c r="B10679" s="28" t="e">
        <f>interpola(#REF!,CURVA!$B$6:$B$20,CURVA!$G$6:$G$20)</f>
        <v>#VALUE!</v>
      </c>
      <c r="C10679" s="29" t="e">
        <f t="shared" si="166"/>
        <v>#VALUE!</v>
      </c>
      <c r="E10679" t="e">
        <f>cubic_spline(CURVA!$B$6:$B$20,CURVA!$G$6:$G$20,#REF!)</f>
        <v>#VALUE!</v>
      </c>
    </row>
    <row r="10680" spans="1:5" x14ac:dyDescent="0.2">
      <c r="A10680" s="28">
        <v>10679</v>
      </c>
      <c r="B10680" s="28" t="e">
        <f>interpola(#REF!,CURVA!$B$6:$B$20,CURVA!$G$6:$G$20)</f>
        <v>#VALUE!</v>
      </c>
      <c r="C10680" s="29" t="e">
        <f t="shared" si="166"/>
        <v>#VALUE!</v>
      </c>
      <c r="E10680" t="e">
        <f>cubic_spline(CURVA!$B$6:$B$20,CURVA!$G$6:$G$20,#REF!)</f>
        <v>#VALUE!</v>
      </c>
    </row>
    <row r="10681" spans="1:5" x14ac:dyDescent="0.2">
      <c r="A10681" s="28">
        <v>10680</v>
      </c>
      <c r="B10681" s="28" t="e">
        <f>interpola(#REF!,CURVA!$B$6:$B$20,CURVA!$G$6:$G$20)</f>
        <v>#VALUE!</v>
      </c>
      <c r="C10681" s="29" t="e">
        <f t="shared" si="166"/>
        <v>#VALUE!</v>
      </c>
      <c r="E10681" t="e">
        <f>cubic_spline(CURVA!$B$6:$B$20,CURVA!$G$6:$G$20,#REF!)</f>
        <v>#VALUE!</v>
      </c>
    </row>
    <row r="10682" spans="1:5" x14ac:dyDescent="0.2">
      <c r="A10682" s="28">
        <v>10681</v>
      </c>
      <c r="B10682" s="28" t="e">
        <f>interpola(#REF!,CURVA!$B$6:$B$20,CURVA!$G$6:$G$20)</f>
        <v>#VALUE!</v>
      </c>
      <c r="C10682" s="29" t="e">
        <f t="shared" si="166"/>
        <v>#VALUE!</v>
      </c>
      <c r="E10682" t="e">
        <f>cubic_spline(CURVA!$B$6:$B$20,CURVA!$G$6:$G$20,#REF!)</f>
        <v>#VALUE!</v>
      </c>
    </row>
    <row r="10683" spans="1:5" x14ac:dyDescent="0.2">
      <c r="A10683" s="28">
        <v>10682</v>
      </c>
      <c r="B10683" s="28" t="e">
        <f>interpola(#REF!,CURVA!$B$6:$B$20,CURVA!$G$6:$G$20)</f>
        <v>#VALUE!</v>
      </c>
      <c r="C10683" s="29" t="e">
        <f t="shared" si="166"/>
        <v>#VALUE!</v>
      </c>
      <c r="E10683" t="e">
        <f>cubic_spline(CURVA!$B$6:$B$20,CURVA!$G$6:$G$20,#REF!)</f>
        <v>#VALUE!</v>
      </c>
    </row>
    <row r="10684" spans="1:5" x14ac:dyDescent="0.2">
      <c r="A10684" s="28">
        <v>10683</v>
      </c>
      <c r="B10684" s="28" t="e">
        <f>interpola(#REF!,CURVA!$B$6:$B$20,CURVA!$G$6:$G$20)</f>
        <v>#VALUE!</v>
      </c>
      <c r="C10684" s="29" t="e">
        <f t="shared" si="166"/>
        <v>#VALUE!</v>
      </c>
      <c r="E10684" t="e">
        <f>cubic_spline(CURVA!$B$6:$B$20,CURVA!$G$6:$G$20,#REF!)</f>
        <v>#VALUE!</v>
      </c>
    </row>
    <row r="10685" spans="1:5" x14ac:dyDescent="0.2">
      <c r="A10685" s="28">
        <v>10684</v>
      </c>
      <c r="B10685" s="28" t="e">
        <f>interpola(#REF!,CURVA!$B$6:$B$20,CURVA!$G$6:$G$20)</f>
        <v>#VALUE!</v>
      </c>
      <c r="C10685" s="29" t="e">
        <f t="shared" si="166"/>
        <v>#VALUE!</v>
      </c>
      <c r="E10685" t="e">
        <f>cubic_spline(CURVA!$B$6:$B$20,CURVA!$G$6:$G$20,#REF!)</f>
        <v>#VALUE!</v>
      </c>
    </row>
    <row r="10686" spans="1:5" x14ac:dyDescent="0.2">
      <c r="A10686" s="28">
        <v>10685</v>
      </c>
      <c r="B10686" s="28" t="e">
        <f>interpola(#REF!,CURVA!$B$6:$B$20,CURVA!$G$6:$G$20)</f>
        <v>#VALUE!</v>
      </c>
      <c r="C10686" s="29" t="e">
        <f t="shared" si="166"/>
        <v>#VALUE!</v>
      </c>
      <c r="E10686" t="e">
        <f>cubic_spline(CURVA!$B$6:$B$20,CURVA!$G$6:$G$20,#REF!)</f>
        <v>#VALUE!</v>
      </c>
    </row>
    <row r="10687" spans="1:5" x14ac:dyDescent="0.2">
      <c r="A10687" s="28">
        <v>10686</v>
      </c>
      <c r="B10687" s="28" t="e">
        <f>interpola(#REF!,CURVA!$B$6:$B$20,CURVA!$G$6:$G$20)</f>
        <v>#VALUE!</v>
      </c>
      <c r="C10687" s="29" t="e">
        <f t="shared" si="166"/>
        <v>#VALUE!</v>
      </c>
      <c r="E10687" t="e">
        <f>cubic_spline(CURVA!$B$6:$B$20,CURVA!$G$6:$G$20,#REF!)</f>
        <v>#VALUE!</v>
      </c>
    </row>
    <row r="10688" spans="1:5" x14ac:dyDescent="0.2">
      <c r="A10688" s="28">
        <v>10687</v>
      </c>
      <c r="B10688" s="28" t="e">
        <f>interpola(#REF!,CURVA!$B$6:$B$20,CURVA!$G$6:$G$20)</f>
        <v>#VALUE!</v>
      </c>
      <c r="C10688" s="29" t="e">
        <f t="shared" si="166"/>
        <v>#VALUE!</v>
      </c>
      <c r="E10688" t="e">
        <f>cubic_spline(CURVA!$B$6:$B$20,CURVA!$G$6:$G$20,#REF!)</f>
        <v>#VALUE!</v>
      </c>
    </row>
    <row r="10689" spans="1:5" x14ac:dyDescent="0.2">
      <c r="A10689" s="28">
        <v>10688</v>
      </c>
      <c r="B10689" s="28" t="e">
        <f>interpola(#REF!,CURVA!$B$6:$B$20,CURVA!$G$6:$G$20)</f>
        <v>#VALUE!</v>
      </c>
      <c r="C10689" s="29" t="e">
        <f t="shared" si="166"/>
        <v>#VALUE!</v>
      </c>
      <c r="E10689" t="e">
        <f>cubic_spline(CURVA!$B$6:$B$20,CURVA!$G$6:$G$20,#REF!)</f>
        <v>#VALUE!</v>
      </c>
    </row>
    <row r="10690" spans="1:5" x14ac:dyDescent="0.2">
      <c r="A10690" s="28">
        <v>10689</v>
      </c>
      <c r="B10690" s="28" t="e">
        <f>interpola(#REF!,CURVA!$B$6:$B$20,CURVA!$G$6:$G$20)</f>
        <v>#VALUE!</v>
      </c>
      <c r="C10690" s="29" t="e">
        <f t="shared" ref="C10690:C10753" si="167">(EXP(B10690*A10690/360)-1)*360/A10690</f>
        <v>#VALUE!</v>
      </c>
      <c r="E10690" t="e">
        <f>cubic_spline(CURVA!$B$6:$B$20,CURVA!$G$6:$G$20,#REF!)</f>
        <v>#VALUE!</v>
      </c>
    </row>
    <row r="10691" spans="1:5" x14ac:dyDescent="0.2">
      <c r="A10691" s="28">
        <v>10690</v>
      </c>
      <c r="B10691" s="28" t="e">
        <f>interpola(#REF!,CURVA!$B$6:$B$20,CURVA!$G$6:$G$20)</f>
        <v>#VALUE!</v>
      </c>
      <c r="C10691" s="29" t="e">
        <f t="shared" si="167"/>
        <v>#VALUE!</v>
      </c>
      <c r="E10691" t="e">
        <f>cubic_spline(CURVA!$B$6:$B$20,CURVA!$G$6:$G$20,#REF!)</f>
        <v>#VALUE!</v>
      </c>
    </row>
    <row r="10692" spans="1:5" x14ac:dyDescent="0.2">
      <c r="A10692" s="28">
        <v>10691</v>
      </c>
      <c r="B10692" s="28" t="e">
        <f>interpola(#REF!,CURVA!$B$6:$B$20,CURVA!$G$6:$G$20)</f>
        <v>#VALUE!</v>
      </c>
      <c r="C10692" s="29" t="e">
        <f t="shared" si="167"/>
        <v>#VALUE!</v>
      </c>
      <c r="E10692" t="e">
        <f>cubic_spline(CURVA!$B$6:$B$20,CURVA!$G$6:$G$20,#REF!)</f>
        <v>#VALUE!</v>
      </c>
    </row>
    <row r="10693" spans="1:5" x14ac:dyDescent="0.2">
      <c r="A10693" s="28">
        <v>10692</v>
      </c>
      <c r="B10693" s="28" t="e">
        <f>interpola(#REF!,CURVA!$B$6:$B$20,CURVA!$G$6:$G$20)</f>
        <v>#VALUE!</v>
      </c>
      <c r="C10693" s="29" t="e">
        <f t="shared" si="167"/>
        <v>#VALUE!</v>
      </c>
      <c r="E10693" t="e">
        <f>cubic_spline(CURVA!$B$6:$B$20,CURVA!$G$6:$G$20,#REF!)</f>
        <v>#VALUE!</v>
      </c>
    </row>
    <row r="10694" spans="1:5" x14ac:dyDescent="0.2">
      <c r="A10694" s="28">
        <v>10693</v>
      </c>
      <c r="B10694" s="28" t="e">
        <f>interpola(#REF!,CURVA!$B$6:$B$20,CURVA!$G$6:$G$20)</f>
        <v>#VALUE!</v>
      </c>
      <c r="C10694" s="29" t="e">
        <f t="shared" si="167"/>
        <v>#VALUE!</v>
      </c>
      <c r="E10694" t="e">
        <f>cubic_spline(CURVA!$B$6:$B$20,CURVA!$G$6:$G$20,#REF!)</f>
        <v>#VALUE!</v>
      </c>
    </row>
    <row r="10695" spans="1:5" x14ac:dyDescent="0.2">
      <c r="A10695" s="28">
        <v>10694</v>
      </c>
      <c r="B10695" s="28" t="e">
        <f>interpola(#REF!,CURVA!$B$6:$B$20,CURVA!$G$6:$G$20)</f>
        <v>#VALUE!</v>
      </c>
      <c r="C10695" s="29" t="e">
        <f t="shared" si="167"/>
        <v>#VALUE!</v>
      </c>
      <c r="E10695" t="e">
        <f>cubic_spline(CURVA!$B$6:$B$20,CURVA!$G$6:$G$20,#REF!)</f>
        <v>#VALUE!</v>
      </c>
    </row>
    <row r="10696" spans="1:5" x14ac:dyDescent="0.2">
      <c r="A10696" s="28">
        <v>10695</v>
      </c>
      <c r="B10696" s="28" t="e">
        <f>interpola(#REF!,CURVA!$B$6:$B$20,CURVA!$G$6:$G$20)</f>
        <v>#VALUE!</v>
      </c>
      <c r="C10696" s="29" t="e">
        <f t="shared" si="167"/>
        <v>#VALUE!</v>
      </c>
      <c r="E10696" t="e">
        <f>cubic_spline(CURVA!$B$6:$B$20,CURVA!$G$6:$G$20,#REF!)</f>
        <v>#VALUE!</v>
      </c>
    </row>
    <row r="10697" spans="1:5" x14ac:dyDescent="0.2">
      <c r="A10697" s="28">
        <v>10696</v>
      </c>
      <c r="B10697" s="28" t="e">
        <f>interpola(#REF!,CURVA!$B$6:$B$20,CURVA!$G$6:$G$20)</f>
        <v>#VALUE!</v>
      </c>
      <c r="C10697" s="29" t="e">
        <f t="shared" si="167"/>
        <v>#VALUE!</v>
      </c>
      <c r="E10697" t="e">
        <f>cubic_spline(CURVA!$B$6:$B$20,CURVA!$G$6:$G$20,#REF!)</f>
        <v>#VALUE!</v>
      </c>
    </row>
    <row r="10698" spans="1:5" x14ac:dyDescent="0.2">
      <c r="A10698" s="28">
        <v>10697</v>
      </c>
      <c r="B10698" s="28" t="e">
        <f>interpola(#REF!,CURVA!$B$6:$B$20,CURVA!$G$6:$G$20)</f>
        <v>#VALUE!</v>
      </c>
      <c r="C10698" s="29" t="e">
        <f t="shared" si="167"/>
        <v>#VALUE!</v>
      </c>
      <c r="E10698" t="e">
        <f>cubic_spline(CURVA!$B$6:$B$20,CURVA!$G$6:$G$20,#REF!)</f>
        <v>#VALUE!</v>
      </c>
    </row>
    <row r="10699" spans="1:5" x14ac:dyDescent="0.2">
      <c r="A10699" s="28">
        <v>10698</v>
      </c>
      <c r="B10699" s="28" t="e">
        <f>interpola(#REF!,CURVA!$B$6:$B$20,CURVA!$G$6:$G$20)</f>
        <v>#VALUE!</v>
      </c>
      <c r="C10699" s="29" t="e">
        <f t="shared" si="167"/>
        <v>#VALUE!</v>
      </c>
      <c r="E10699" t="e">
        <f>cubic_spline(CURVA!$B$6:$B$20,CURVA!$G$6:$G$20,#REF!)</f>
        <v>#VALUE!</v>
      </c>
    </row>
    <row r="10700" spans="1:5" x14ac:dyDescent="0.2">
      <c r="A10700" s="28">
        <v>10699</v>
      </c>
      <c r="B10700" s="28" t="e">
        <f>interpola(#REF!,CURVA!$B$6:$B$20,CURVA!$G$6:$G$20)</f>
        <v>#VALUE!</v>
      </c>
      <c r="C10700" s="29" t="e">
        <f t="shared" si="167"/>
        <v>#VALUE!</v>
      </c>
      <c r="E10700" t="e">
        <f>cubic_spline(CURVA!$B$6:$B$20,CURVA!$G$6:$G$20,#REF!)</f>
        <v>#VALUE!</v>
      </c>
    </row>
    <row r="10701" spans="1:5" x14ac:dyDescent="0.2">
      <c r="A10701" s="28">
        <v>10700</v>
      </c>
      <c r="B10701" s="28" t="e">
        <f>interpola(#REF!,CURVA!$B$6:$B$20,CURVA!$G$6:$G$20)</f>
        <v>#VALUE!</v>
      </c>
      <c r="C10701" s="29" t="e">
        <f t="shared" si="167"/>
        <v>#VALUE!</v>
      </c>
      <c r="E10701" t="e">
        <f>cubic_spline(CURVA!$B$6:$B$20,CURVA!$G$6:$G$20,#REF!)</f>
        <v>#VALUE!</v>
      </c>
    </row>
    <row r="10702" spans="1:5" x14ac:dyDescent="0.2">
      <c r="A10702" s="28">
        <v>10701</v>
      </c>
      <c r="B10702" s="28" t="e">
        <f>interpola(#REF!,CURVA!$B$6:$B$20,CURVA!$G$6:$G$20)</f>
        <v>#VALUE!</v>
      </c>
      <c r="C10702" s="29" t="e">
        <f t="shared" si="167"/>
        <v>#VALUE!</v>
      </c>
      <c r="E10702" t="e">
        <f>cubic_spline(CURVA!$B$6:$B$20,CURVA!$G$6:$G$20,#REF!)</f>
        <v>#VALUE!</v>
      </c>
    </row>
    <row r="10703" spans="1:5" x14ac:dyDescent="0.2">
      <c r="A10703" s="28">
        <v>10702</v>
      </c>
      <c r="B10703" s="28" t="e">
        <f>interpola(#REF!,CURVA!$B$6:$B$20,CURVA!$G$6:$G$20)</f>
        <v>#VALUE!</v>
      </c>
      <c r="C10703" s="29" t="e">
        <f t="shared" si="167"/>
        <v>#VALUE!</v>
      </c>
      <c r="E10703" t="e">
        <f>cubic_spline(CURVA!$B$6:$B$20,CURVA!$G$6:$G$20,#REF!)</f>
        <v>#VALUE!</v>
      </c>
    </row>
    <row r="10704" spans="1:5" x14ac:dyDescent="0.2">
      <c r="A10704" s="28">
        <v>10703</v>
      </c>
      <c r="B10704" s="28" t="e">
        <f>interpola(#REF!,CURVA!$B$6:$B$20,CURVA!$G$6:$G$20)</f>
        <v>#VALUE!</v>
      </c>
      <c r="C10704" s="29" t="e">
        <f t="shared" si="167"/>
        <v>#VALUE!</v>
      </c>
      <c r="E10704" t="e">
        <f>cubic_spline(CURVA!$B$6:$B$20,CURVA!$G$6:$G$20,#REF!)</f>
        <v>#VALUE!</v>
      </c>
    </row>
    <row r="10705" spans="1:5" x14ac:dyDescent="0.2">
      <c r="A10705" s="28">
        <v>10704</v>
      </c>
      <c r="B10705" s="28" t="e">
        <f>interpola(#REF!,CURVA!$B$6:$B$20,CURVA!$G$6:$G$20)</f>
        <v>#VALUE!</v>
      </c>
      <c r="C10705" s="29" t="e">
        <f t="shared" si="167"/>
        <v>#VALUE!</v>
      </c>
      <c r="E10705" t="e">
        <f>cubic_spline(CURVA!$B$6:$B$20,CURVA!$G$6:$G$20,#REF!)</f>
        <v>#VALUE!</v>
      </c>
    </row>
    <row r="10706" spans="1:5" x14ac:dyDescent="0.2">
      <c r="A10706" s="28">
        <v>10705</v>
      </c>
      <c r="B10706" s="28" t="e">
        <f>interpola(#REF!,CURVA!$B$6:$B$20,CURVA!$G$6:$G$20)</f>
        <v>#VALUE!</v>
      </c>
      <c r="C10706" s="29" t="e">
        <f t="shared" si="167"/>
        <v>#VALUE!</v>
      </c>
      <c r="E10706" t="e">
        <f>cubic_spline(CURVA!$B$6:$B$20,CURVA!$G$6:$G$20,#REF!)</f>
        <v>#VALUE!</v>
      </c>
    </row>
    <row r="10707" spans="1:5" x14ac:dyDescent="0.2">
      <c r="A10707" s="28">
        <v>10706</v>
      </c>
      <c r="B10707" s="28" t="e">
        <f>interpola(#REF!,CURVA!$B$6:$B$20,CURVA!$G$6:$G$20)</f>
        <v>#VALUE!</v>
      </c>
      <c r="C10707" s="29" t="e">
        <f t="shared" si="167"/>
        <v>#VALUE!</v>
      </c>
      <c r="E10707" t="e">
        <f>cubic_spline(CURVA!$B$6:$B$20,CURVA!$G$6:$G$20,#REF!)</f>
        <v>#VALUE!</v>
      </c>
    </row>
    <row r="10708" spans="1:5" x14ac:dyDescent="0.2">
      <c r="A10708" s="28">
        <v>10707</v>
      </c>
      <c r="B10708" s="28" t="e">
        <f>interpola(#REF!,CURVA!$B$6:$B$20,CURVA!$G$6:$G$20)</f>
        <v>#VALUE!</v>
      </c>
      <c r="C10708" s="29" t="e">
        <f t="shared" si="167"/>
        <v>#VALUE!</v>
      </c>
      <c r="E10708" t="e">
        <f>cubic_spline(CURVA!$B$6:$B$20,CURVA!$G$6:$G$20,#REF!)</f>
        <v>#VALUE!</v>
      </c>
    </row>
    <row r="10709" spans="1:5" x14ac:dyDescent="0.2">
      <c r="A10709" s="28">
        <v>10708</v>
      </c>
      <c r="B10709" s="28" t="e">
        <f>interpola(#REF!,CURVA!$B$6:$B$20,CURVA!$G$6:$G$20)</f>
        <v>#VALUE!</v>
      </c>
      <c r="C10709" s="29" t="e">
        <f t="shared" si="167"/>
        <v>#VALUE!</v>
      </c>
      <c r="E10709" t="e">
        <f>cubic_spline(CURVA!$B$6:$B$20,CURVA!$G$6:$G$20,#REF!)</f>
        <v>#VALUE!</v>
      </c>
    </row>
    <row r="10710" spans="1:5" x14ac:dyDescent="0.2">
      <c r="A10710" s="28">
        <v>10709</v>
      </c>
      <c r="B10710" s="28" t="e">
        <f>interpola(#REF!,CURVA!$B$6:$B$20,CURVA!$G$6:$G$20)</f>
        <v>#VALUE!</v>
      </c>
      <c r="C10710" s="29" t="e">
        <f t="shared" si="167"/>
        <v>#VALUE!</v>
      </c>
      <c r="E10710" t="e">
        <f>cubic_spline(CURVA!$B$6:$B$20,CURVA!$G$6:$G$20,#REF!)</f>
        <v>#VALUE!</v>
      </c>
    </row>
    <row r="10711" spans="1:5" x14ac:dyDescent="0.2">
      <c r="A10711" s="28">
        <v>10710</v>
      </c>
      <c r="B10711" s="28" t="e">
        <f>interpola(#REF!,CURVA!$B$6:$B$20,CURVA!$G$6:$G$20)</f>
        <v>#VALUE!</v>
      </c>
      <c r="C10711" s="29" t="e">
        <f t="shared" si="167"/>
        <v>#VALUE!</v>
      </c>
      <c r="E10711" t="e">
        <f>cubic_spline(CURVA!$B$6:$B$20,CURVA!$G$6:$G$20,#REF!)</f>
        <v>#VALUE!</v>
      </c>
    </row>
    <row r="10712" spans="1:5" x14ac:dyDescent="0.2">
      <c r="A10712" s="28">
        <v>10711</v>
      </c>
      <c r="B10712" s="28" t="e">
        <f>interpola(#REF!,CURVA!$B$6:$B$20,CURVA!$G$6:$G$20)</f>
        <v>#VALUE!</v>
      </c>
      <c r="C10712" s="29" t="e">
        <f t="shared" si="167"/>
        <v>#VALUE!</v>
      </c>
      <c r="E10712" t="e">
        <f>cubic_spline(CURVA!$B$6:$B$20,CURVA!$G$6:$G$20,#REF!)</f>
        <v>#VALUE!</v>
      </c>
    </row>
    <row r="10713" spans="1:5" x14ac:dyDescent="0.2">
      <c r="A10713" s="28">
        <v>10712</v>
      </c>
      <c r="B10713" s="28" t="e">
        <f>interpola(#REF!,CURVA!$B$6:$B$20,CURVA!$G$6:$G$20)</f>
        <v>#VALUE!</v>
      </c>
      <c r="C10713" s="29" t="e">
        <f t="shared" si="167"/>
        <v>#VALUE!</v>
      </c>
      <c r="E10713" t="e">
        <f>cubic_spline(CURVA!$B$6:$B$20,CURVA!$G$6:$G$20,#REF!)</f>
        <v>#VALUE!</v>
      </c>
    </row>
    <row r="10714" spans="1:5" x14ac:dyDescent="0.2">
      <c r="A10714" s="28">
        <v>10713</v>
      </c>
      <c r="B10714" s="28" t="e">
        <f>interpola(#REF!,CURVA!$B$6:$B$20,CURVA!$G$6:$G$20)</f>
        <v>#VALUE!</v>
      </c>
      <c r="C10714" s="29" t="e">
        <f t="shared" si="167"/>
        <v>#VALUE!</v>
      </c>
      <c r="E10714" t="e">
        <f>cubic_spline(CURVA!$B$6:$B$20,CURVA!$G$6:$G$20,#REF!)</f>
        <v>#VALUE!</v>
      </c>
    </row>
    <row r="10715" spans="1:5" x14ac:dyDescent="0.2">
      <c r="A10715" s="28">
        <v>10714</v>
      </c>
      <c r="B10715" s="28" t="e">
        <f>interpola(#REF!,CURVA!$B$6:$B$20,CURVA!$G$6:$G$20)</f>
        <v>#VALUE!</v>
      </c>
      <c r="C10715" s="29" t="e">
        <f t="shared" si="167"/>
        <v>#VALUE!</v>
      </c>
      <c r="E10715" t="e">
        <f>cubic_spline(CURVA!$B$6:$B$20,CURVA!$G$6:$G$20,#REF!)</f>
        <v>#VALUE!</v>
      </c>
    </row>
    <row r="10716" spans="1:5" x14ac:dyDescent="0.2">
      <c r="A10716" s="28">
        <v>10715</v>
      </c>
      <c r="B10716" s="28" t="e">
        <f>interpola(#REF!,CURVA!$B$6:$B$20,CURVA!$G$6:$G$20)</f>
        <v>#VALUE!</v>
      </c>
      <c r="C10716" s="29" t="e">
        <f t="shared" si="167"/>
        <v>#VALUE!</v>
      </c>
      <c r="E10716" t="e">
        <f>cubic_spline(CURVA!$B$6:$B$20,CURVA!$G$6:$G$20,#REF!)</f>
        <v>#VALUE!</v>
      </c>
    </row>
    <row r="10717" spans="1:5" x14ac:dyDescent="0.2">
      <c r="A10717" s="28">
        <v>10716</v>
      </c>
      <c r="B10717" s="28" t="e">
        <f>interpola(#REF!,CURVA!$B$6:$B$20,CURVA!$G$6:$G$20)</f>
        <v>#VALUE!</v>
      </c>
      <c r="C10717" s="29" t="e">
        <f t="shared" si="167"/>
        <v>#VALUE!</v>
      </c>
      <c r="E10717" t="e">
        <f>cubic_spline(CURVA!$B$6:$B$20,CURVA!$G$6:$G$20,#REF!)</f>
        <v>#VALUE!</v>
      </c>
    </row>
    <row r="10718" spans="1:5" x14ac:dyDescent="0.2">
      <c r="A10718" s="28">
        <v>10717</v>
      </c>
      <c r="B10718" s="28" t="e">
        <f>interpola(#REF!,CURVA!$B$6:$B$20,CURVA!$G$6:$G$20)</f>
        <v>#VALUE!</v>
      </c>
      <c r="C10718" s="29" t="e">
        <f t="shared" si="167"/>
        <v>#VALUE!</v>
      </c>
      <c r="E10718" t="e">
        <f>cubic_spline(CURVA!$B$6:$B$20,CURVA!$G$6:$G$20,#REF!)</f>
        <v>#VALUE!</v>
      </c>
    </row>
    <row r="10719" spans="1:5" x14ac:dyDescent="0.2">
      <c r="A10719" s="28">
        <v>10718</v>
      </c>
      <c r="B10719" s="28" t="e">
        <f>interpola(#REF!,CURVA!$B$6:$B$20,CURVA!$G$6:$G$20)</f>
        <v>#VALUE!</v>
      </c>
      <c r="C10719" s="29" t="e">
        <f t="shared" si="167"/>
        <v>#VALUE!</v>
      </c>
      <c r="E10719" t="e">
        <f>cubic_spline(CURVA!$B$6:$B$20,CURVA!$G$6:$G$20,#REF!)</f>
        <v>#VALUE!</v>
      </c>
    </row>
    <row r="10720" spans="1:5" x14ac:dyDescent="0.2">
      <c r="A10720" s="28">
        <v>10719</v>
      </c>
      <c r="B10720" s="28" t="e">
        <f>interpola(#REF!,CURVA!$B$6:$B$20,CURVA!$G$6:$G$20)</f>
        <v>#VALUE!</v>
      </c>
      <c r="C10720" s="29" t="e">
        <f t="shared" si="167"/>
        <v>#VALUE!</v>
      </c>
      <c r="E10720" t="e">
        <f>cubic_spline(CURVA!$B$6:$B$20,CURVA!$G$6:$G$20,#REF!)</f>
        <v>#VALUE!</v>
      </c>
    </row>
    <row r="10721" spans="1:5" x14ac:dyDescent="0.2">
      <c r="A10721" s="28">
        <v>10720</v>
      </c>
      <c r="B10721" s="28" t="e">
        <f>interpola(#REF!,CURVA!$B$6:$B$20,CURVA!$G$6:$G$20)</f>
        <v>#VALUE!</v>
      </c>
      <c r="C10721" s="29" t="e">
        <f t="shared" si="167"/>
        <v>#VALUE!</v>
      </c>
      <c r="E10721" t="e">
        <f>cubic_spline(CURVA!$B$6:$B$20,CURVA!$G$6:$G$20,#REF!)</f>
        <v>#VALUE!</v>
      </c>
    </row>
    <row r="10722" spans="1:5" x14ac:dyDescent="0.2">
      <c r="A10722" s="28">
        <v>10721</v>
      </c>
      <c r="B10722" s="28" t="e">
        <f>interpola(#REF!,CURVA!$B$6:$B$20,CURVA!$G$6:$G$20)</f>
        <v>#VALUE!</v>
      </c>
      <c r="C10722" s="29" t="e">
        <f t="shared" si="167"/>
        <v>#VALUE!</v>
      </c>
      <c r="E10722" t="e">
        <f>cubic_spline(CURVA!$B$6:$B$20,CURVA!$G$6:$G$20,#REF!)</f>
        <v>#VALUE!</v>
      </c>
    </row>
    <row r="10723" spans="1:5" x14ac:dyDescent="0.2">
      <c r="A10723" s="28">
        <v>10722</v>
      </c>
      <c r="B10723" s="28" t="e">
        <f>interpola(#REF!,CURVA!$B$6:$B$20,CURVA!$G$6:$G$20)</f>
        <v>#VALUE!</v>
      </c>
      <c r="C10723" s="29" t="e">
        <f t="shared" si="167"/>
        <v>#VALUE!</v>
      </c>
      <c r="E10723" t="e">
        <f>cubic_spline(CURVA!$B$6:$B$20,CURVA!$G$6:$G$20,#REF!)</f>
        <v>#VALUE!</v>
      </c>
    </row>
    <row r="10724" spans="1:5" x14ac:dyDescent="0.2">
      <c r="A10724" s="28">
        <v>10723</v>
      </c>
      <c r="B10724" s="28" t="e">
        <f>interpola(#REF!,CURVA!$B$6:$B$20,CURVA!$G$6:$G$20)</f>
        <v>#VALUE!</v>
      </c>
      <c r="C10724" s="29" t="e">
        <f t="shared" si="167"/>
        <v>#VALUE!</v>
      </c>
      <c r="E10724" t="e">
        <f>cubic_spline(CURVA!$B$6:$B$20,CURVA!$G$6:$G$20,#REF!)</f>
        <v>#VALUE!</v>
      </c>
    </row>
    <row r="10725" spans="1:5" x14ac:dyDescent="0.2">
      <c r="A10725" s="28">
        <v>10724</v>
      </c>
      <c r="B10725" s="28" t="e">
        <f>interpola(#REF!,CURVA!$B$6:$B$20,CURVA!$G$6:$G$20)</f>
        <v>#VALUE!</v>
      </c>
      <c r="C10725" s="29" t="e">
        <f t="shared" si="167"/>
        <v>#VALUE!</v>
      </c>
      <c r="E10725" t="e">
        <f>cubic_spline(CURVA!$B$6:$B$20,CURVA!$G$6:$G$20,#REF!)</f>
        <v>#VALUE!</v>
      </c>
    </row>
    <row r="10726" spans="1:5" x14ac:dyDescent="0.2">
      <c r="A10726" s="28">
        <v>10725</v>
      </c>
      <c r="B10726" s="28" t="e">
        <f>interpola(#REF!,CURVA!$B$6:$B$20,CURVA!$G$6:$G$20)</f>
        <v>#VALUE!</v>
      </c>
      <c r="C10726" s="29" t="e">
        <f t="shared" si="167"/>
        <v>#VALUE!</v>
      </c>
      <c r="E10726" t="e">
        <f>cubic_spline(CURVA!$B$6:$B$20,CURVA!$G$6:$G$20,#REF!)</f>
        <v>#VALUE!</v>
      </c>
    </row>
    <row r="10727" spans="1:5" x14ac:dyDescent="0.2">
      <c r="A10727" s="28">
        <v>10726</v>
      </c>
      <c r="B10727" s="28" t="e">
        <f>interpola(#REF!,CURVA!$B$6:$B$20,CURVA!$G$6:$G$20)</f>
        <v>#VALUE!</v>
      </c>
      <c r="C10727" s="29" t="e">
        <f t="shared" si="167"/>
        <v>#VALUE!</v>
      </c>
      <c r="E10727" t="e">
        <f>cubic_spline(CURVA!$B$6:$B$20,CURVA!$G$6:$G$20,#REF!)</f>
        <v>#VALUE!</v>
      </c>
    </row>
    <row r="10728" spans="1:5" x14ac:dyDescent="0.2">
      <c r="A10728" s="28">
        <v>10727</v>
      </c>
      <c r="B10728" s="28" t="e">
        <f>interpola(#REF!,CURVA!$B$6:$B$20,CURVA!$G$6:$G$20)</f>
        <v>#VALUE!</v>
      </c>
      <c r="C10728" s="29" t="e">
        <f t="shared" si="167"/>
        <v>#VALUE!</v>
      </c>
      <c r="E10728" t="e">
        <f>cubic_spline(CURVA!$B$6:$B$20,CURVA!$G$6:$G$20,#REF!)</f>
        <v>#VALUE!</v>
      </c>
    </row>
    <row r="10729" spans="1:5" x14ac:dyDescent="0.2">
      <c r="A10729" s="28">
        <v>10728</v>
      </c>
      <c r="B10729" s="28" t="e">
        <f>interpola(#REF!,CURVA!$B$6:$B$20,CURVA!$G$6:$G$20)</f>
        <v>#VALUE!</v>
      </c>
      <c r="C10729" s="29" t="e">
        <f t="shared" si="167"/>
        <v>#VALUE!</v>
      </c>
      <c r="E10729" t="e">
        <f>cubic_spline(CURVA!$B$6:$B$20,CURVA!$G$6:$G$20,#REF!)</f>
        <v>#VALUE!</v>
      </c>
    </row>
    <row r="10730" spans="1:5" x14ac:dyDescent="0.2">
      <c r="A10730" s="28">
        <v>10729</v>
      </c>
      <c r="B10730" s="28" t="e">
        <f>interpola(#REF!,CURVA!$B$6:$B$20,CURVA!$G$6:$G$20)</f>
        <v>#VALUE!</v>
      </c>
      <c r="C10730" s="29" t="e">
        <f t="shared" si="167"/>
        <v>#VALUE!</v>
      </c>
      <c r="E10730" t="e">
        <f>cubic_spline(CURVA!$B$6:$B$20,CURVA!$G$6:$G$20,#REF!)</f>
        <v>#VALUE!</v>
      </c>
    </row>
    <row r="10731" spans="1:5" x14ac:dyDescent="0.2">
      <c r="A10731" s="28">
        <v>10730</v>
      </c>
      <c r="B10731" s="28" t="e">
        <f>interpola(#REF!,CURVA!$B$6:$B$20,CURVA!$G$6:$G$20)</f>
        <v>#VALUE!</v>
      </c>
      <c r="C10731" s="29" t="e">
        <f t="shared" si="167"/>
        <v>#VALUE!</v>
      </c>
      <c r="E10731" t="e">
        <f>cubic_spline(CURVA!$B$6:$B$20,CURVA!$G$6:$G$20,#REF!)</f>
        <v>#VALUE!</v>
      </c>
    </row>
    <row r="10732" spans="1:5" x14ac:dyDescent="0.2">
      <c r="A10732" s="28">
        <v>10731</v>
      </c>
      <c r="B10732" s="28" t="e">
        <f>interpola(#REF!,CURVA!$B$6:$B$20,CURVA!$G$6:$G$20)</f>
        <v>#VALUE!</v>
      </c>
      <c r="C10732" s="29" t="e">
        <f t="shared" si="167"/>
        <v>#VALUE!</v>
      </c>
      <c r="E10732" t="e">
        <f>cubic_spline(CURVA!$B$6:$B$20,CURVA!$G$6:$G$20,#REF!)</f>
        <v>#VALUE!</v>
      </c>
    </row>
    <row r="10733" spans="1:5" x14ac:dyDescent="0.2">
      <c r="A10733" s="28">
        <v>10732</v>
      </c>
      <c r="B10733" s="28" t="e">
        <f>interpola(#REF!,CURVA!$B$6:$B$20,CURVA!$G$6:$G$20)</f>
        <v>#VALUE!</v>
      </c>
      <c r="C10733" s="29" t="e">
        <f t="shared" si="167"/>
        <v>#VALUE!</v>
      </c>
      <c r="E10733" t="e">
        <f>cubic_spline(CURVA!$B$6:$B$20,CURVA!$G$6:$G$20,#REF!)</f>
        <v>#VALUE!</v>
      </c>
    </row>
    <row r="10734" spans="1:5" x14ac:dyDescent="0.2">
      <c r="A10734" s="28">
        <v>10733</v>
      </c>
      <c r="B10734" s="28" t="e">
        <f>interpola(#REF!,CURVA!$B$6:$B$20,CURVA!$G$6:$G$20)</f>
        <v>#VALUE!</v>
      </c>
      <c r="C10734" s="29" t="e">
        <f t="shared" si="167"/>
        <v>#VALUE!</v>
      </c>
      <c r="E10734" t="e">
        <f>cubic_spline(CURVA!$B$6:$B$20,CURVA!$G$6:$G$20,#REF!)</f>
        <v>#VALUE!</v>
      </c>
    </row>
    <row r="10735" spans="1:5" x14ac:dyDescent="0.2">
      <c r="A10735" s="28">
        <v>10734</v>
      </c>
      <c r="B10735" s="28" t="e">
        <f>interpola(#REF!,CURVA!$B$6:$B$20,CURVA!$G$6:$G$20)</f>
        <v>#VALUE!</v>
      </c>
      <c r="C10735" s="29" t="e">
        <f t="shared" si="167"/>
        <v>#VALUE!</v>
      </c>
      <c r="E10735" t="e">
        <f>cubic_spline(CURVA!$B$6:$B$20,CURVA!$G$6:$G$20,#REF!)</f>
        <v>#VALUE!</v>
      </c>
    </row>
    <row r="10736" spans="1:5" x14ac:dyDescent="0.2">
      <c r="A10736" s="28">
        <v>10735</v>
      </c>
      <c r="B10736" s="28" t="e">
        <f>interpola(#REF!,CURVA!$B$6:$B$20,CURVA!$G$6:$G$20)</f>
        <v>#VALUE!</v>
      </c>
      <c r="C10736" s="29" t="e">
        <f t="shared" si="167"/>
        <v>#VALUE!</v>
      </c>
      <c r="E10736" t="e">
        <f>cubic_spline(CURVA!$B$6:$B$20,CURVA!$G$6:$G$20,#REF!)</f>
        <v>#VALUE!</v>
      </c>
    </row>
    <row r="10737" spans="1:5" x14ac:dyDescent="0.2">
      <c r="A10737" s="28">
        <v>10736</v>
      </c>
      <c r="B10737" s="28" t="e">
        <f>interpola(#REF!,CURVA!$B$6:$B$20,CURVA!$G$6:$G$20)</f>
        <v>#VALUE!</v>
      </c>
      <c r="C10737" s="29" t="e">
        <f t="shared" si="167"/>
        <v>#VALUE!</v>
      </c>
      <c r="E10737" t="e">
        <f>cubic_spline(CURVA!$B$6:$B$20,CURVA!$G$6:$G$20,#REF!)</f>
        <v>#VALUE!</v>
      </c>
    </row>
    <row r="10738" spans="1:5" x14ac:dyDescent="0.2">
      <c r="A10738" s="28">
        <v>10737</v>
      </c>
      <c r="B10738" s="28" t="e">
        <f>interpola(#REF!,CURVA!$B$6:$B$20,CURVA!$G$6:$G$20)</f>
        <v>#VALUE!</v>
      </c>
      <c r="C10738" s="29" t="e">
        <f t="shared" si="167"/>
        <v>#VALUE!</v>
      </c>
      <c r="E10738" t="e">
        <f>cubic_spline(CURVA!$B$6:$B$20,CURVA!$G$6:$G$20,#REF!)</f>
        <v>#VALUE!</v>
      </c>
    </row>
    <row r="10739" spans="1:5" x14ac:dyDescent="0.2">
      <c r="A10739" s="28">
        <v>10738</v>
      </c>
      <c r="B10739" s="28" t="e">
        <f>interpola(#REF!,CURVA!$B$6:$B$20,CURVA!$G$6:$G$20)</f>
        <v>#VALUE!</v>
      </c>
      <c r="C10739" s="29" t="e">
        <f t="shared" si="167"/>
        <v>#VALUE!</v>
      </c>
      <c r="E10739" t="e">
        <f>cubic_spline(CURVA!$B$6:$B$20,CURVA!$G$6:$G$20,#REF!)</f>
        <v>#VALUE!</v>
      </c>
    </row>
    <row r="10740" spans="1:5" x14ac:dyDescent="0.2">
      <c r="A10740" s="28">
        <v>10739</v>
      </c>
      <c r="B10740" s="28" t="e">
        <f>interpola(#REF!,CURVA!$B$6:$B$20,CURVA!$G$6:$G$20)</f>
        <v>#VALUE!</v>
      </c>
      <c r="C10740" s="29" t="e">
        <f t="shared" si="167"/>
        <v>#VALUE!</v>
      </c>
      <c r="E10740" t="e">
        <f>cubic_spline(CURVA!$B$6:$B$20,CURVA!$G$6:$G$20,#REF!)</f>
        <v>#VALUE!</v>
      </c>
    </row>
    <row r="10741" spans="1:5" x14ac:dyDescent="0.2">
      <c r="A10741" s="28">
        <v>10740</v>
      </c>
      <c r="B10741" s="28" t="e">
        <f>interpola(#REF!,CURVA!$B$6:$B$20,CURVA!$G$6:$G$20)</f>
        <v>#VALUE!</v>
      </c>
      <c r="C10741" s="29" t="e">
        <f t="shared" si="167"/>
        <v>#VALUE!</v>
      </c>
      <c r="E10741" t="e">
        <f>cubic_spline(CURVA!$B$6:$B$20,CURVA!$G$6:$G$20,#REF!)</f>
        <v>#VALUE!</v>
      </c>
    </row>
    <row r="10742" spans="1:5" x14ac:dyDescent="0.2">
      <c r="A10742" s="28">
        <v>10741</v>
      </c>
      <c r="B10742" s="28" t="e">
        <f>interpola(#REF!,CURVA!$B$6:$B$20,CURVA!$G$6:$G$20)</f>
        <v>#VALUE!</v>
      </c>
      <c r="C10742" s="29" t="e">
        <f t="shared" si="167"/>
        <v>#VALUE!</v>
      </c>
      <c r="E10742" t="e">
        <f>cubic_spline(CURVA!$B$6:$B$20,CURVA!$G$6:$G$20,#REF!)</f>
        <v>#VALUE!</v>
      </c>
    </row>
    <row r="10743" spans="1:5" x14ac:dyDescent="0.2">
      <c r="A10743" s="28">
        <v>10742</v>
      </c>
      <c r="B10743" s="28" t="e">
        <f>interpola(#REF!,CURVA!$B$6:$B$20,CURVA!$G$6:$G$20)</f>
        <v>#VALUE!</v>
      </c>
      <c r="C10743" s="29" t="e">
        <f t="shared" si="167"/>
        <v>#VALUE!</v>
      </c>
      <c r="E10743" t="e">
        <f>cubic_spline(CURVA!$B$6:$B$20,CURVA!$G$6:$G$20,#REF!)</f>
        <v>#VALUE!</v>
      </c>
    </row>
    <row r="10744" spans="1:5" x14ac:dyDescent="0.2">
      <c r="A10744" s="28">
        <v>10743</v>
      </c>
      <c r="B10744" s="28" t="e">
        <f>interpola(#REF!,CURVA!$B$6:$B$20,CURVA!$G$6:$G$20)</f>
        <v>#VALUE!</v>
      </c>
      <c r="C10744" s="29" t="e">
        <f t="shared" si="167"/>
        <v>#VALUE!</v>
      </c>
      <c r="E10744" t="e">
        <f>cubic_spline(CURVA!$B$6:$B$20,CURVA!$G$6:$G$20,#REF!)</f>
        <v>#VALUE!</v>
      </c>
    </row>
    <row r="10745" spans="1:5" x14ac:dyDescent="0.2">
      <c r="A10745" s="28">
        <v>10744</v>
      </c>
      <c r="B10745" s="28" t="e">
        <f>interpola(#REF!,CURVA!$B$6:$B$20,CURVA!$G$6:$G$20)</f>
        <v>#VALUE!</v>
      </c>
      <c r="C10745" s="29" t="e">
        <f t="shared" si="167"/>
        <v>#VALUE!</v>
      </c>
      <c r="E10745" t="e">
        <f>cubic_spline(CURVA!$B$6:$B$20,CURVA!$G$6:$G$20,#REF!)</f>
        <v>#VALUE!</v>
      </c>
    </row>
    <row r="10746" spans="1:5" x14ac:dyDescent="0.2">
      <c r="A10746" s="28">
        <v>10745</v>
      </c>
      <c r="B10746" s="28" t="e">
        <f>interpola(#REF!,CURVA!$B$6:$B$20,CURVA!$G$6:$G$20)</f>
        <v>#VALUE!</v>
      </c>
      <c r="C10746" s="29" t="e">
        <f t="shared" si="167"/>
        <v>#VALUE!</v>
      </c>
      <c r="E10746" t="e">
        <f>cubic_spline(CURVA!$B$6:$B$20,CURVA!$G$6:$G$20,#REF!)</f>
        <v>#VALUE!</v>
      </c>
    </row>
    <row r="10747" spans="1:5" x14ac:dyDescent="0.2">
      <c r="A10747" s="28">
        <v>10746</v>
      </c>
      <c r="B10747" s="28" t="e">
        <f>interpola(#REF!,CURVA!$B$6:$B$20,CURVA!$G$6:$G$20)</f>
        <v>#VALUE!</v>
      </c>
      <c r="C10747" s="29" t="e">
        <f t="shared" si="167"/>
        <v>#VALUE!</v>
      </c>
      <c r="E10747" t="e">
        <f>cubic_spline(CURVA!$B$6:$B$20,CURVA!$G$6:$G$20,#REF!)</f>
        <v>#VALUE!</v>
      </c>
    </row>
    <row r="10748" spans="1:5" x14ac:dyDescent="0.2">
      <c r="A10748" s="28">
        <v>10747</v>
      </c>
      <c r="B10748" s="28" t="e">
        <f>interpola(#REF!,CURVA!$B$6:$B$20,CURVA!$G$6:$G$20)</f>
        <v>#VALUE!</v>
      </c>
      <c r="C10748" s="29" t="e">
        <f t="shared" si="167"/>
        <v>#VALUE!</v>
      </c>
      <c r="E10748" t="e">
        <f>cubic_spline(CURVA!$B$6:$B$20,CURVA!$G$6:$G$20,#REF!)</f>
        <v>#VALUE!</v>
      </c>
    </row>
    <row r="10749" spans="1:5" x14ac:dyDescent="0.2">
      <c r="A10749" s="28">
        <v>10748</v>
      </c>
      <c r="B10749" s="28" t="e">
        <f>interpola(#REF!,CURVA!$B$6:$B$20,CURVA!$G$6:$G$20)</f>
        <v>#VALUE!</v>
      </c>
      <c r="C10749" s="29" t="e">
        <f t="shared" si="167"/>
        <v>#VALUE!</v>
      </c>
      <c r="E10749" t="e">
        <f>cubic_spline(CURVA!$B$6:$B$20,CURVA!$G$6:$G$20,#REF!)</f>
        <v>#VALUE!</v>
      </c>
    </row>
    <row r="10750" spans="1:5" x14ac:dyDescent="0.2">
      <c r="A10750" s="28">
        <v>10749</v>
      </c>
      <c r="B10750" s="28" t="e">
        <f>interpola(#REF!,CURVA!$B$6:$B$20,CURVA!$G$6:$G$20)</f>
        <v>#VALUE!</v>
      </c>
      <c r="C10750" s="29" t="e">
        <f t="shared" si="167"/>
        <v>#VALUE!</v>
      </c>
      <c r="E10750" t="e">
        <f>cubic_spline(CURVA!$B$6:$B$20,CURVA!$G$6:$G$20,#REF!)</f>
        <v>#VALUE!</v>
      </c>
    </row>
    <row r="10751" spans="1:5" x14ac:dyDescent="0.2">
      <c r="A10751" s="28">
        <v>10750</v>
      </c>
      <c r="B10751" s="28" t="e">
        <f>interpola(#REF!,CURVA!$B$6:$B$20,CURVA!$G$6:$G$20)</f>
        <v>#VALUE!</v>
      </c>
      <c r="C10751" s="29" t="e">
        <f t="shared" si="167"/>
        <v>#VALUE!</v>
      </c>
      <c r="E10751" t="e">
        <f>cubic_spline(CURVA!$B$6:$B$20,CURVA!$G$6:$G$20,#REF!)</f>
        <v>#VALUE!</v>
      </c>
    </row>
    <row r="10752" spans="1:5" x14ac:dyDescent="0.2">
      <c r="A10752" s="28">
        <v>10751</v>
      </c>
      <c r="B10752" s="28" t="e">
        <f>interpola(#REF!,CURVA!$B$6:$B$20,CURVA!$G$6:$G$20)</f>
        <v>#VALUE!</v>
      </c>
      <c r="C10752" s="29" t="e">
        <f t="shared" si="167"/>
        <v>#VALUE!</v>
      </c>
      <c r="E10752" t="e">
        <f>cubic_spline(CURVA!$B$6:$B$20,CURVA!$G$6:$G$20,#REF!)</f>
        <v>#VALUE!</v>
      </c>
    </row>
    <row r="10753" spans="1:5" x14ac:dyDescent="0.2">
      <c r="A10753" s="28">
        <v>10752</v>
      </c>
      <c r="B10753" s="28" t="e">
        <f>interpola(#REF!,CURVA!$B$6:$B$20,CURVA!$G$6:$G$20)</f>
        <v>#VALUE!</v>
      </c>
      <c r="C10753" s="29" t="e">
        <f t="shared" si="167"/>
        <v>#VALUE!</v>
      </c>
      <c r="E10753" t="e">
        <f>cubic_spline(CURVA!$B$6:$B$20,CURVA!$G$6:$G$20,#REF!)</f>
        <v>#VALUE!</v>
      </c>
    </row>
    <row r="10754" spans="1:5" x14ac:dyDescent="0.2">
      <c r="A10754" s="28">
        <v>10753</v>
      </c>
      <c r="B10754" s="28" t="e">
        <f>interpola(#REF!,CURVA!$B$6:$B$20,CURVA!$G$6:$G$20)</f>
        <v>#VALUE!</v>
      </c>
      <c r="C10754" s="29" t="e">
        <f t="shared" ref="C10754:C10817" si="168">(EXP(B10754*A10754/360)-1)*360/A10754</f>
        <v>#VALUE!</v>
      </c>
      <c r="E10754" t="e">
        <f>cubic_spline(CURVA!$B$6:$B$20,CURVA!$G$6:$G$20,#REF!)</f>
        <v>#VALUE!</v>
      </c>
    </row>
    <row r="10755" spans="1:5" x14ac:dyDescent="0.2">
      <c r="A10755" s="28">
        <v>10754</v>
      </c>
      <c r="B10755" s="28" t="e">
        <f>interpola(#REF!,CURVA!$B$6:$B$20,CURVA!$G$6:$G$20)</f>
        <v>#VALUE!</v>
      </c>
      <c r="C10755" s="29" t="e">
        <f t="shared" si="168"/>
        <v>#VALUE!</v>
      </c>
      <c r="E10755" t="e">
        <f>cubic_spline(CURVA!$B$6:$B$20,CURVA!$G$6:$G$20,#REF!)</f>
        <v>#VALUE!</v>
      </c>
    </row>
    <row r="10756" spans="1:5" x14ac:dyDescent="0.2">
      <c r="A10756" s="28">
        <v>10755</v>
      </c>
      <c r="B10756" s="28" t="e">
        <f>interpola(#REF!,CURVA!$B$6:$B$20,CURVA!$G$6:$G$20)</f>
        <v>#VALUE!</v>
      </c>
      <c r="C10756" s="29" t="e">
        <f t="shared" si="168"/>
        <v>#VALUE!</v>
      </c>
      <c r="E10756" t="e">
        <f>cubic_spline(CURVA!$B$6:$B$20,CURVA!$G$6:$G$20,#REF!)</f>
        <v>#VALUE!</v>
      </c>
    </row>
    <row r="10757" spans="1:5" x14ac:dyDescent="0.2">
      <c r="A10757" s="28">
        <v>10756</v>
      </c>
      <c r="B10757" s="28" t="e">
        <f>interpola(#REF!,CURVA!$B$6:$B$20,CURVA!$G$6:$G$20)</f>
        <v>#VALUE!</v>
      </c>
      <c r="C10757" s="29" t="e">
        <f t="shared" si="168"/>
        <v>#VALUE!</v>
      </c>
      <c r="E10757" t="e">
        <f>cubic_spline(CURVA!$B$6:$B$20,CURVA!$G$6:$G$20,#REF!)</f>
        <v>#VALUE!</v>
      </c>
    </row>
    <row r="10758" spans="1:5" x14ac:dyDescent="0.2">
      <c r="A10758" s="28">
        <v>10757</v>
      </c>
      <c r="B10758" s="28" t="e">
        <f>interpola(#REF!,CURVA!$B$6:$B$20,CURVA!$G$6:$G$20)</f>
        <v>#VALUE!</v>
      </c>
      <c r="C10758" s="29" t="e">
        <f t="shared" si="168"/>
        <v>#VALUE!</v>
      </c>
      <c r="E10758" t="e">
        <f>cubic_spline(CURVA!$B$6:$B$20,CURVA!$G$6:$G$20,#REF!)</f>
        <v>#VALUE!</v>
      </c>
    </row>
    <row r="10759" spans="1:5" x14ac:dyDescent="0.2">
      <c r="A10759" s="28">
        <v>10758</v>
      </c>
      <c r="B10759" s="28" t="e">
        <f>interpola(#REF!,CURVA!$B$6:$B$20,CURVA!$G$6:$G$20)</f>
        <v>#VALUE!</v>
      </c>
      <c r="C10759" s="29" t="e">
        <f t="shared" si="168"/>
        <v>#VALUE!</v>
      </c>
      <c r="E10759" t="e">
        <f>cubic_spline(CURVA!$B$6:$B$20,CURVA!$G$6:$G$20,#REF!)</f>
        <v>#VALUE!</v>
      </c>
    </row>
    <row r="10760" spans="1:5" x14ac:dyDescent="0.2">
      <c r="A10760" s="28">
        <v>10759</v>
      </c>
      <c r="B10760" s="28" t="e">
        <f>interpola(#REF!,CURVA!$B$6:$B$20,CURVA!$G$6:$G$20)</f>
        <v>#VALUE!</v>
      </c>
      <c r="C10760" s="29" t="e">
        <f t="shared" si="168"/>
        <v>#VALUE!</v>
      </c>
      <c r="E10760" t="e">
        <f>cubic_spline(CURVA!$B$6:$B$20,CURVA!$G$6:$G$20,#REF!)</f>
        <v>#VALUE!</v>
      </c>
    </row>
    <row r="10761" spans="1:5" x14ac:dyDescent="0.2">
      <c r="A10761" s="28">
        <v>10760</v>
      </c>
      <c r="B10761" s="28" t="e">
        <f>interpola(#REF!,CURVA!$B$6:$B$20,CURVA!$G$6:$G$20)</f>
        <v>#VALUE!</v>
      </c>
      <c r="C10761" s="29" t="e">
        <f t="shared" si="168"/>
        <v>#VALUE!</v>
      </c>
      <c r="E10761" t="e">
        <f>cubic_spline(CURVA!$B$6:$B$20,CURVA!$G$6:$G$20,#REF!)</f>
        <v>#VALUE!</v>
      </c>
    </row>
    <row r="10762" spans="1:5" x14ac:dyDescent="0.2">
      <c r="A10762" s="28">
        <v>10761</v>
      </c>
      <c r="B10762" s="28" t="e">
        <f>interpola(#REF!,CURVA!$B$6:$B$20,CURVA!$G$6:$G$20)</f>
        <v>#VALUE!</v>
      </c>
      <c r="C10762" s="29" t="e">
        <f t="shared" si="168"/>
        <v>#VALUE!</v>
      </c>
      <c r="E10762" t="e">
        <f>cubic_spline(CURVA!$B$6:$B$20,CURVA!$G$6:$G$20,#REF!)</f>
        <v>#VALUE!</v>
      </c>
    </row>
    <row r="10763" spans="1:5" x14ac:dyDescent="0.2">
      <c r="A10763" s="28">
        <v>10762</v>
      </c>
      <c r="B10763" s="28" t="e">
        <f>interpola(#REF!,CURVA!$B$6:$B$20,CURVA!$G$6:$G$20)</f>
        <v>#VALUE!</v>
      </c>
      <c r="C10763" s="29" t="e">
        <f t="shared" si="168"/>
        <v>#VALUE!</v>
      </c>
      <c r="E10763" t="e">
        <f>cubic_spline(CURVA!$B$6:$B$20,CURVA!$G$6:$G$20,#REF!)</f>
        <v>#VALUE!</v>
      </c>
    </row>
    <row r="10764" spans="1:5" x14ac:dyDescent="0.2">
      <c r="A10764" s="28">
        <v>10763</v>
      </c>
      <c r="B10764" s="28" t="e">
        <f>interpola(#REF!,CURVA!$B$6:$B$20,CURVA!$G$6:$G$20)</f>
        <v>#VALUE!</v>
      </c>
      <c r="C10764" s="29" t="e">
        <f t="shared" si="168"/>
        <v>#VALUE!</v>
      </c>
      <c r="E10764" t="e">
        <f>cubic_spline(CURVA!$B$6:$B$20,CURVA!$G$6:$G$20,#REF!)</f>
        <v>#VALUE!</v>
      </c>
    </row>
    <row r="10765" spans="1:5" x14ac:dyDescent="0.2">
      <c r="A10765" s="28">
        <v>10764</v>
      </c>
      <c r="B10765" s="28" t="e">
        <f>interpola(#REF!,CURVA!$B$6:$B$20,CURVA!$G$6:$G$20)</f>
        <v>#VALUE!</v>
      </c>
      <c r="C10765" s="29" t="e">
        <f t="shared" si="168"/>
        <v>#VALUE!</v>
      </c>
      <c r="E10765" t="e">
        <f>cubic_spline(CURVA!$B$6:$B$20,CURVA!$G$6:$G$20,#REF!)</f>
        <v>#VALUE!</v>
      </c>
    </row>
    <row r="10766" spans="1:5" x14ac:dyDescent="0.2">
      <c r="A10766" s="28">
        <v>10765</v>
      </c>
      <c r="B10766" s="28" t="e">
        <f>interpola(#REF!,CURVA!$B$6:$B$20,CURVA!$G$6:$G$20)</f>
        <v>#VALUE!</v>
      </c>
      <c r="C10766" s="29" t="e">
        <f t="shared" si="168"/>
        <v>#VALUE!</v>
      </c>
      <c r="E10766" t="e">
        <f>cubic_spline(CURVA!$B$6:$B$20,CURVA!$G$6:$G$20,#REF!)</f>
        <v>#VALUE!</v>
      </c>
    </row>
    <row r="10767" spans="1:5" x14ac:dyDescent="0.2">
      <c r="A10767" s="28">
        <v>10766</v>
      </c>
      <c r="B10767" s="28" t="e">
        <f>interpola(#REF!,CURVA!$B$6:$B$20,CURVA!$G$6:$G$20)</f>
        <v>#VALUE!</v>
      </c>
      <c r="C10767" s="29" t="e">
        <f t="shared" si="168"/>
        <v>#VALUE!</v>
      </c>
      <c r="E10767" t="e">
        <f>cubic_spline(CURVA!$B$6:$B$20,CURVA!$G$6:$G$20,#REF!)</f>
        <v>#VALUE!</v>
      </c>
    </row>
    <row r="10768" spans="1:5" x14ac:dyDescent="0.2">
      <c r="A10768" s="28">
        <v>10767</v>
      </c>
      <c r="B10768" s="28" t="e">
        <f>interpola(#REF!,CURVA!$B$6:$B$20,CURVA!$G$6:$G$20)</f>
        <v>#VALUE!</v>
      </c>
      <c r="C10768" s="29" t="e">
        <f t="shared" si="168"/>
        <v>#VALUE!</v>
      </c>
      <c r="E10768" t="e">
        <f>cubic_spline(CURVA!$B$6:$B$20,CURVA!$G$6:$G$20,#REF!)</f>
        <v>#VALUE!</v>
      </c>
    </row>
    <row r="10769" spans="1:5" x14ac:dyDescent="0.2">
      <c r="A10769" s="28">
        <v>10768</v>
      </c>
      <c r="B10769" s="28" t="e">
        <f>interpola(#REF!,CURVA!$B$6:$B$20,CURVA!$G$6:$G$20)</f>
        <v>#VALUE!</v>
      </c>
      <c r="C10769" s="29" t="e">
        <f t="shared" si="168"/>
        <v>#VALUE!</v>
      </c>
      <c r="E10769" t="e">
        <f>cubic_spline(CURVA!$B$6:$B$20,CURVA!$G$6:$G$20,#REF!)</f>
        <v>#VALUE!</v>
      </c>
    </row>
    <row r="10770" spans="1:5" x14ac:dyDescent="0.2">
      <c r="A10770" s="28">
        <v>10769</v>
      </c>
      <c r="B10770" s="28" t="e">
        <f>interpola(#REF!,CURVA!$B$6:$B$20,CURVA!$G$6:$G$20)</f>
        <v>#VALUE!</v>
      </c>
      <c r="C10770" s="29" t="e">
        <f t="shared" si="168"/>
        <v>#VALUE!</v>
      </c>
      <c r="E10770" t="e">
        <f>cubic_spline(CURVA!$B$6:$B$20,CURVA!$G$6:$G$20,#REF!)</f>
        <v>#VALUE!</v>
      </c>
    </row>
    <row r="10771" spans="1:5" x14ac:dyDescent="0.2">
      <c r="A10771" s="28">
        <v>10770</v>
      </c>
      <c r="B10771" s="28" t="e">
        <f>interpola(#REF!,CURVA!$B$6:$B$20,CURVA!$G$6:$G$20)</f>
        <v>#VALUE!</v>
      </c>
      <c r="C10771" s="29" t="e">
        <f t="shared" si="168"/>
        <v>#VALUE!</v>
      </c>
      <c r="E10771" t="e">
        <f>cubic_spline(CURVA!$B$6:$B$20,CURVA!$G$6:$G$20,#REF!)</f>
        <v>#VALUE!</v>
      </c>
    </row>
    <row r="10772" spans="1:5" x14ac:dyDescent="0.2">
      <c r="A10772" s="28">
        <v>10771</v>
      </c>
      <c r="B10772" s="28" t="e">
        <f>interpola(#REF!,CURVA!$B$6:$B$20,CURVA!$G$6:$G$20)</f>
        <v>#VALUE!</v>
      </c>
      <c r="C10772" s="29" t="e">
        <f t="shared" si="168"/>
        <v>#VALUE!</v>
      </c>
      <c r="E10772" t="e">
        <f>cubic_spline(CURVA!$B$6:$B$20,CURVA!$G$6:$G$20,#REF!)</f>
        <v>#VALUE!</v>
      </c>
    </row>
    <row r="10773" spans="1:5" x14ac:dyDescent="0.2">
      <c r="A10773" s="28">
        <v>10772</v>
      </c>
      <c r="B10773" s="28" t="e">
        <f>interpola(#REF!,CURVA!$B$6:$B$20,CURVA!$G$6:$G$20)</f>
        <v>#VALUE!</v>
      </c>
      <c r="C10773" s="29" t="e">
        <f t="shared" si="168"/>
        <v>#VALUE!</v>
      </c>
      <c r="E10773" t="e">
        <f>cubic_spline(CURVA!$B$6:$B$20,CURVA!$G$6:$G$20,#REF!)</f>
        <v>#VALUE!</v>
      </c>
    </row>
    <row r="10774" spans="1:5" x14ac:dyDescent="0.2">
      <c r="A10774" s="28">
        <v>10773</v>
      </c>
      <c r="B10774" s="28" t="e">
        <f>interpola(#REF!,CURVA!$B$6:$B$20,CURVA!$G$6:$G$20)</f>
        <v>#VALUE!</v>
      </c>
      <c r="C10774" s="29" t="e">
        <f t="shared" si="168"/>
        <v>#VALUE!</v>
      </c>
      <c r="E10774" t="e">
        <f>cubic_spline(CURVA!$B$6:$B$20,CURVA!$G$6:$G$20,#REF!)</f>
        <v>#VALUE!</v>
      </c>
    </row>
    <row r="10775" spans="1:5" x14ac:dyDescent="0.2">
      <c r="A10775" s="28">
        <v>10774</v>
      </c>
      <c r="B10775" s="28" t="e">
        <f>interpola(#REF!,CURVA!$B$6:$B$20,CURVA!$G$6:$G$20)</f>
        <v>#VALUE!</v>
      </c>
      <c r="C10775" s="29" t="e">
        <f t="shared" si="168"/>
        <v>#VALUE!</v>
      </c>
      <c r="E10775" t="e">
        <f>cubic_spline(CURVA!$B$6:$B$20,CURVA!$G$6:$G$20,#REF!)</f>
        <v>#VALUE!</v>
      </c>
    </row>
    <row r="10776" spans="1:5" x14ac:dyDescent="0.2">
      <c r="A10776" s="28">
        <v>10775</v>
      </c>
      <c r="B10776" s="28" t="e">
        <f>interpola(#REF!,CURVA!$B$6:$B$20,CURVA!$G$6:$G$20)</f>
        <v>#VALUE!</v>
      </c>
      <c r="C10776" s="29" t="e">
        <f t="shared" si="168"/>
        <v>#VALUE!</v>
      </c>
      <c r="E10776" t="e">
        <f>cubic_spline(CURVA!$B$6:$B$20,CURVA!$G$6:$G$20,#REF!)</f>
        <v>#VALUE!</v>
      </c>
    </row>
    <row r="10777" spans="1:5" x14ac:dyDescent="0.2">
      <c r="A10777" s="28">
        <v>10776</v>
      </c>
      <c r="B10777" s="28" t="e">
        <f>interpola(#REF!,CURVA!$B$6:$B$20,CURVA!$G$6:$G$20)</f>
        <v>#VALUE!</v>
      </c>
      <c r="C10777" s="29" t="e">
        <f t="shared" si="168"/>
        <v>#VALUE!</v>
      </c>
      <c r="E10777" t="e">
        <f>cubic_spline(CURVA!$B$6:$B$20,CURVA!$G$6:$G$20,#REF!)</f>
        <v>#VALUE!</v>
      </c>
    </row>
    <row r="10778" spans="1:5" x14ac:dyDescent="0.2">
      <c r="A10778" s="28">
        <v>10777</v>
      </c>
      <c r="B10778" s="28" t="e">
        <f>interpola(#REF!,CURVA!$B$6:$B$20,CURVA!$G$6:$G$20)</f>
        <v>#VALUE!</v>
      </c>
      <c r="C10778" s="29" t="e">
        <f t="shared" si="168"/>
        <v>#VALUE!</v>
      </c>
      <c r="E10778" t="e">
        <f>cubic_spline(CURVA!$B$6:$B$20,CURVA!$G$6:$G$20,#REF!)</f>
        <v>#VALUE!</v>
      </c>
    </row>
    <row r="10779" spans="1:5" x14ac:dyDescent="0.2">
      <c r="A10779" s="28">
        <v>10778</v>
      </c>
      <c r="B10779" s="28" t="e">
        <f>interpola(#REF!,CURVA!$B$6:$B$20,CURVA!$G$6:$G$20)</f>
        <v>#VALUE!</v>
      </c>
      <c r="C10779" s="29" t="e">
        <f t="shared" si="168"/>
        <v>#VALUE!</v>
      </c>
      <c r="E10779" t="e">
        <f>cubic_spline(CURVA!$B$6:$B$20,CURVA!$G$6:$G$20,#REF!)</f>
        <v>#VALUE!</v>
      </c>
    </row>
    <row r="10780" spans="1:5" x14ac:dyDescent="0.2">
      <c r="A10780" s="28">
        <v>10779</v>
      </c>
      <c r="B10780" s="28" t="e">
        <f>interpola(#REF!,CURVA!$B$6:$B$20,CURVA!$G$6:$G$20)</f>
        <v>#VALUE!</v>
      </c>
      <c r="C10780" s="29" t="e">
        <f t="shared" si="168"/>
        <v>#VALUE!</v>
      </c>
      <c r="E10780" t="e">
        <f>cubic_spline(CURVA!$B$6:$B$20,CURVA!$G$6:$G$20,#REF!)</f>
        <v>#VALUE!</v>
      </c>
    </row>
    <row r="10781" spans="1:5" x14ac:dyDescent="0.2">
      <c r="A10781" s="28">
        <v>10780</v>
      </c>
      <c r="B10781" s="28" t="e">
        <f>interpola(#REF!,CURVA!$B$6:$B$20,CURVA!$G$6:$G$20)</f>
        <v>#VALUE!</v>
      </c>
      <c r="C10781" s="29" t="e">
        <f t="shared" si="168"/>
        <v>#VALUE!</v>
      </c>
      <c r="E10781" t="e">
        <f>cubic_spline(CURVA!$B$6:$B$20,CURVA!$G$6:$G$20,#REF!)</f>
        <v>#VALUE!</v>
      </c>
    </row>
    <row r="10782" spans="1:5" x14ac:dyDescent="0.2">
      <c r="A10782" s="28">
        <v>10781</v>
      </c>
      <c r="B10782" s="28" t="e">
        <f>interpola(#REF!,CURVA!$B$6:$B$20,CURVA!$G$6:$G$20)</f>
        <v>#VALUE!</v>
      </c>
      <c r="C10782" s="29" t="e">
        <f t="shared" si="168"/>
        <v>#VALUE!</v>
      </c>
      <c r="E10782" t="e">
        <f>cubic_spline(CURVA!$B$6:$B$20,CURVA!$G$6:$G$20,#REF!)</f>
        <v>#VALUE!</v>
      </c>
    </row>
    <row r="10783" spans="1:5" x14ac:dyDescent="0.2">
      <c r="A10783" s="28">
        <v>10782</v>
      </c>
      <c r="B10783" s="28" t="e">
        <f>interpola(#REF!,CURVA!$B$6:$B$20,CURVA!$G$6:$G$20)</f>
        <v>#VALUE!</v>
      </c>
      <c r="C10783" s="29" t="e">
        <f t="shared" si="168"/>
        <v>#VALUE!</v>
      </c>
      <c r="E10783" t="e">
        <f>cubic_spline(CURVA!$B$6:$B$20,CURVA!$G$6:$G$20,#REF!)</f>
        <v>#VALUE!</v>
      </c>
    </row>
    <row r="10784" spans="1:5" x14ac:dyDescent="0.2">
      <c r="A10784" s="28">
        <v>10783</v>
      </c>
      <c r="B10784" s="28" t="e">
        <f>interpola(#REF!,CURVA!$B$6:$B$20,CURVA!$G$6:$G$20)</f>
        <v>#VALUE!</v>
      </c>
      <c r="C10784" s="29" t="e">
        <f t="shared" si="168"/>
        <v>#VALUE!</v>
      </c>
      <c r="E10784" t="e">
        <f>cubic_spline(CURVA!$B$6:$B$20,CURVA!$G$6:$G$20,#REF!)</f>
        <v>#VALUE!</v>
      </c>
    </row>
    <row r="10785" spans="1:5" x14ac:dyDescent="0.2">
      <c r="A10785" s="28">
        <v>10784</v>
      </c>
      <c r="B10785" s="28" t="e">
        <f>interpola(#REF!,CURVA!$B$6:$B$20,CURVA!$G$6:$G$20)</f>
        <v>#VALUE!</v>
      </c>
      <c r="C10785" s="29" t="e">
        <f t="shared" si="168"/>
        <v>#VALUE!</v>
      </c>
      <c r="E10785" t="e">
        <f>cubic_spline(CURVA!$B$6:$B$20,CURVA!$G$6:$G$20,#REF!)</f>
        <v>#VALUE!</v>
      </c>
    </row>
    <row r="10786" spans="1:5" x14ac:dyDescent="0.2">
      <c r="A10786" s="28">
        <v>10785</v>
      </c>
      <c r="B10786" s="28" t="e">
        <f>interpola(#REF!,CURVA!$B$6:$B$20,CURVA!$G$6:$G$20)</f>
        <v>#VALUE!</v>
      </c>
      <c r="C10786" s="29" t="e">
        <f t="shared" si="168"/>
        <v>#VALUE!</v>
      </c>
      <c r="E10786" t="e">
        <f>cubic_spline(CURVA!$B$6:$B$20,CURVA!$G$6:$G$20,#REF!)</f>
        <v>#VALUE!</v>
      </c>
    </row>
    <row r="10787" spans="1:5" x14ac:dyDescent="0.2">
      <c r="A10787" s="28">
        <v>10786</v>
      </c>
      <c r="B10787" s="28" t="e">
        <f>interpola(#REF!,CURVA!$B$6:$B$20,CURVA!$G$6:$G$20)</f>
        <v>#VALUE!</v>
      </c>
      <c r="C10787" s="29" t="e">
        <f t="shared" si="168"/>
        <v>#VALUE!</v>
      </c>
      <c r="E10787" t="e">
        <f>cubic_spline(CURVA!$B$6:$B$20,CURVA!$G$6:$G$20,#REF!)</f>
        <v>#VALUE!</v>
      </c>
    </row>
    <row r="10788" spans="1:5" x14ac:dyDescent="0.2">
      <c r="A10788" s="28">
        <v>10787</v>
      </c>
      <c r="B10788" s="28" t="e">
        <f>interpola(#REF!,CURVA!$B$6:$B$20,CURVA!$G$6:$G$20)</f>
        <v>#VALUE!</v>
      </c>
      <c r="C10788" s="29" t="e">
        <f t="shared" si="168"/>
        <v>#VALUE!</v>
      </c>
      <c r="E10788" t="e">
        <f>cubic_spline(CURVA!$B$6:$B$20,CURVA!$G$6:$G$20,#REF!)</f>
        <v>#VALUE!</v>
      </c>
    </row>
    <row r="10789" spans="1:5" x14ac:dyDescent="0.2">
      <c r="A10789" s="28">
        <v>10788</v>
      </c>
      <c r="B10789" s="28" t="e">
        <f>interpola(#REF!,CURVA!$B$6:$B$20,CURVA!$G$6:$G$20)</f>
        <v>#VALUE!</v>
      </c>
      <c r="C10789" s="29" t="e">
        <f t="shared" si="168"/>
        <v>#VALUE!</v>
      </c>
      <c r="E10789" t="e">
        <f>cubic_spline(CURVA!$B$6:$B$20,CURVA!$G$6:$G$20,#REF!)</f>
        <v>#VALUE!</v>
      </c>
    </row>
    <row r="10790" spans="1:5" x14ac:dyDescent="0.2">
      <c r="A10790" s="28">
        <v>10789</v>
      </c>
      <c r="B10790" s="28" t="e">
        <f>interpola(#REF!,CURVA!$B$6:$B$20,CURVA!$G$6:$G$20)</f>
        <v>#VALUE!</v>
      </c>
      <c r="C10790" s="29" t="e">
        <f t="shared" si="168"/>
        <v>#VALUE!</v>
      </c>
      <c r="E10790" t="e">
        <f>cubic_spline(CURVA!$B$6:$B$20,CURVA!$G$6:$G$20,#REF!)</f>
        <v>#VALUE!</v>
      </c>
    </row>
    <row r="10791" spans="1:5" x14ac:dyDescent="0.2">
      <c r="A10791" s="28">
        <v>10790</v>
      </c>
      <c r="B10791" s="28" t="e">
        <f>interpola(#REF!,CURVA!$B$6:$B$20,CURVA!$G$6:$G$20)</f>
        <v>#VALUE!</v>
      </c>
      <c r="C10791" s="29" t="e">
        <f t="shared" si="168"/>
        <v>#VALUE!</v>
      </c>
      <c r="E10791" t="e">
        <f>cubic_spline(CURVA!$B$6:$B$20,CURVA!$G$6:$G$20,#REF!)</f>
        <v>#VALUE!</v>
      </c>
    </row>
    <row r="10792" spans="1:5" x14ac:dyDescent="0.2">
      <c r="A10792" s="28">
        <v>10791</v>
      </c>
      <c r="B10792" s="28" t="e">
        <f>interpola(#REF!,CURVA!$B$6:$B$20,CURVA!$G$6:$G$20)</f>
        <v>#VALUE!</v>
      </c>
      <c r="C10792" s="29" t="e">
        <f t="shared" si="168"/>
        <v>#VALUE!</v>
      </c>
      <c r="E10792" t="e">
        <f>cubic_spline(CURVA!$B$6:$B$20,CURVA!$G$6:$G$20,#REF!)</f>
        <v>#VALUE!</v>
      </c>
    </row>
    <row r="10793" spans="1:5" x14ac:dyDescent="0.2">
      <c r="A10793" s="28">
        <v>10792</v>
      </c>
      <c r="B10793" s="28" t="e">
        <f>interpola(#REF!,CURVA!$B$6:$B$20,CURVA!$G$6:$G$20)</f>
        <v>#VALUE!</v>
      </c>
      <c r="C10793" s="29" t="e">
        <f t="shared" si="168"/>
        <v>#VALUE!</v>
      </c>
      <c r="E10793" t="e">
        <f>cubic_spline(CURVA!$B$6:$B$20,CURVA!$G$6:$G$20,#REF!)</f>
        <v>#VALUE!</v>
      </c>
    </row>
    <row r="10794" spans="1:5" x14ac:dyDescent="0.2">
      <c r="A10794" s="28">
        <v>10793</v>
      </c>
      <c r="B10794" s="28" t="e">
        <f>interpola(#REF!,CURVA!$B$6:$B$20,CURVA!$G$6:$G$20)</f>
        <v>#VALUE!</v>
      </c>
      <c r="C10794" s="29" t="e">
        <f t="shared" si="168"/>
        <v>#VALUE!</v>
      </c>
      <c r="E10794" t="e">
        <f>cubic_spline(CURVA!$B$6:$B$20,CURVA!$G$6:$G$20,#REF!)</f>
        <v>#VALUE!</v>
      </c>
    </row>
    <row r="10795" spans="1:5" x14ac:dyDescent="0.2">
      <c r="A10795" s="28">
        <v>10794</v>
      </c>
      <c r="B10795" s="28" t="e">
        <f>interpola(#REF!,CURVA!$B$6:$B$20,CURVA!$G$6:$G$20)</f>
        <v>#VALUE!</v>
      </c>
      <c r="C10795" s="29" t="e">
        <f t="shared" si="168"/>
        <v>#VALUE!</v>
      </c>
      <c r="E10795" t="e">
        <f>cubic_spline(CURVA!$B$6:$B$20,CURVA!$G$6:$G$20,#REF!)</f>
        <v>#VALUE!</v>
      </c>
    </row>
    <row r="10796" spans="1:5" x14ac:dyDescent="0.2">
      <c r="A10796" s="28">
        <v>10795</v>
      </c>
      <c r="B10796" s="28" t="e">
        <f>interpola(#REF!,CURVA!$B$6:$B$20,CURVA!$G$6:$G$20)</f>
        <v>#VALUE!</v>
      </c>
      <c r="C10796" s="29" t="e">
        <f t="shared" si="168"/>
        <v>#VALUE!</v>
      </c>
      <c r="E10796" t="e">
        <f>cubic_spline(CURVA!$B$6:$B$20,CURVA!$G$6:$G$20,#REF!)</f>
        <v>#VALUE!</v>
      </c>
    </row>
    <row r="10797" spans="1:5" x14ac:dyDescent="0.2">
      <c r="A10797" s="28">
        <v>10796</v>
      </c>
      <c r="B10797" s="28" t="e">
        <f>interpola(#REF!,CURVA!$B$6:$B$20,CURVA!$G$6:$G$20)</f>
        <v>#VALUE!</v>
      </c>
      <c r="C10797" s="29" t="e">
        <f t="shared" si="168"/>
        <v>#VALUE!</v>
      </c>
      <c r="E10797" t="e">
        <f>cubic_spline(CURVA!$B$6:$B$20,CURVA!$G$6:$G$20,#REF!)</f>
        <v>#VALUE!</v>
      </c>
    </row>
    <row r="10798" spans="1:5" x14ac:dyDescent="0.2">
      <c r="A10798" s="28">
        <v>10797</v>
      </c>
      <c r="B10798" s="28" t="e">
        <f>interpola(#REF!,CURVA!$B$6:$B$20,CURVA!$G$6:$G$20)</f>
        <v>#VALUE!</v>
      </c>
      <c r="C10798" s="29" t="e">
        <f t="shared" si="168"/>
        <v>#VALUE!</v>
      </c>
      <c r="E10798" t="e">
        <f>cubic_spline(CURVA!$B$6:$B$20,CURVA!$G$6:$G$20,#REF!)</f>
        <v>#VALUE!</v>
      </c>
    </row>
    <row r="10799" spans="1:5" x14ac:dyDescent="0.2">
      <c r="A10799" s="28">
        <v>10798</v>
      </c>
      <c r="B10799" s="28" t="e">
        <f>interpola(#REF!,CURVA!$B$6:$B$20,CURVA!$G$6:$G$20)</f>
        <v>#VALUE!</v>
      </c>
      <c r="C10799" s="29" t="e">
        <f t="shared" si="168"/>
        <v>#VALUE!</v>
      </c>
      <c r="E10799" t="e">
        <f>cubic_spline(CURVA!$B$6:$B$20,CURVA!$G$6:$G$20,#REF!)</f>
        <v>#VALUE!</v>
      </c>
    </row>
    <row r="10800" spans="1:5" x14ac:dyDescent="0.2">
      <c r="A10800" s="28">
        <v>10799</v>
      </c>
      <c r="B10800" s="28" t="e">
        <f>interpola(#REF!,CURVA!$B$6:$B$20,CURVA!$G$6:$G$20)</f>
        <v>#VALUE!</v>
      </c>
      <c r="C10800" s="29" t="e">
        <f t="shared" si="168"/>
        <v>#VALUE!</v>
      </c>
      <c r="E10800" t="e">
        <f>cubic_spline(CURVA!$B$6:$B$20,CURVA!$G$6:$G$20,#REF!)</f>
        <v>#VALUE!</v>
      </c>
    </row>
    <row r="10801" spans="1:5" x14ac:dyDescent="0.2">
      <c r="A10801" s="28">
        <v>10800</v>
      </c>
      <c r="B10801" s="28" t="e">
        <f>interpola(#REF!,CURVA!$B$6:$B$20,CURVA!$G$6:$G$20)</f>
        <v>#VALUE!</v>
      </c>
      <c r="C10801" s="29" t="e">
        <f t="shared" si="168"/>
        <v>#VALUE!</v>
      </c>
      <c r="E10801" t="e">
        <f>cubic_spline(CURVA!$B$6:$B$20,CURVA!$G$6:$G$20,#REF!)</f>
        <v>#VALUE!</v>
      </c>
    </row>
    <row r="10802" spans="1:5" x14ac:dyDescent="0.2">
      <c r="A10802" s="28">
        <v>10801</v>
      </c>
      <c r="B10802" s="28" t="e">
        <f>interpola(#REF!,CURVA!$B$6:$B$20,CURVA!$G$6:$G$20)</f>
        <v>#VALUE!</v>
      </c>
      <c r="C10802" s="29" t="e">
        <f t="shared" si="168"/>
        <v>#VALUE!</v>
      </c>
      <c r="E10802" t="e">
        <f>cubic_spline(CURVA!$B$6:$B$20,CURVA!$G$6:$G$20,#REF!)</f>
        <v>#VALUE!</v>
      </c>
    </row>
    <row r="10803" spans="1:5" x14ac:dyDescent="0.2">
      <c r="A10803" s="28">
        <v>10802</v>
      </c>
      <c r="B10803" s="28" t="e">
        <f>interpola(#REF!,CURVA!$B$6:$B$20,CURVA!$G$6:$G$20)</f>
        <v>#VALUE!</v>
      </c>
      <c r="C10803" s="29" t="e">
        <f t="shared" si="168"/>
        <v>#VALUE!</v>
      </c>
      <c r="E10803" t="e">
        <f>cubic_spline(CURVA!$B$6:$B$20,CURVA!$G$6:$G$20,#REF!)</f>
        <v>#VALUE!</v>
      </c>
    </row>
    <row r="10804" spans="1:5" x14ac:dyDescent="0.2">
      <c r="A10804" s="28">
        <v>10803</v>
      </c>
      <c r="B10804" s="28" t="e">
        <f>interpola(#REF!,CURVA!$B$6:$B$20,CURVA!$G$6:$G$20)</f>
        <v>#VALUE!</v>
      </c>
      <c r="C10804" s="29" t="e">
        <f t="shared" si="168"/>
        <v>#VALUE!</v>
      </c>
      <c r="E10804" t="e">
        <f>cubic_spline(CURVA!$B$6:$B$20,CURVA!$G$6:$G$20,#REF!)</f>
        <v>#VALUE!</v>
      </c>
    </row>
    <row r="10805" spans="1:5" x14ac:dyDescent="0.2">
      <c r="A10805" s="28">
        <v>10804</v>
      </c>
      <c r="B10805" s="28" t="e">
        <f>interpola(#REF!,CURVA!$B$6:$B$20,CURVA!$G$6:$G$20)</f>
        <v>#VALUE!</v>
      </c>
      <c r="C10805" s="29" t="e">
        <f t="shared" si="168"/>
        <v>#VALUE!</v>
      </c>
      <c r="E10805" t="e">
        <f>cubic_spline(CURVA!$B$6:$B$20,CURVA!$G$6:$G$20,#REF!)</f>
        <v>#VALUE!</v>
      </c>
    </row>
    <row r="10806" spans="1:5" x14ac:dyDescent="0.2">
      <c r="A10806" s="28">
        <v>10805</v>
      </c>
      <c r="B10806" s="28" t="e">
        <f>interpola(#REF!,CURVA!$B$6:$B$20,CURVA!$G$6:$G$20)</f>
        <v>#VALUE!</v>
      </c>
      <c r="C10806" s="29" t="e">
        <f t="shared" si="168"/>
        <v>#VALUE!</v>
      </c>
      <c r="E10806" t="e">
        <f>cubic_spline(CURVA!$B$6:$B$20,CURVA!$G$6:$G$20,#REF!)</f>
        <v>#VALUE!</v>
      </c>
    </row>
    <row r="10807" spans="1:5" x14ac:dyDescent="0.2">
      <c r="A10807" s="28">
        <v>10806</v>
      </c>
      <c r="B10807" s="28" t="e">
        <f>interpola(#REF!,CURVA!$B$6:$B$20,CURVA!$G$6:$G$20)</f>
        <v>#VALUE!</v>
      </c>
      <c r="C10807" s="29" t="e">
        <f t="shared" si="168"/>
        <v>#VALUE!</v>
      </c>
      <c r="E10807" t="e">
        <f>cubic_spline(CURVA!$B$6:$B$20,CURVA!$G$6:$G$20,#REF!)</f>
        <v>#VALUE!</v>
      </c>
    </row>
    <row r="10808" spans="1:5" x14ac:dyDescent="0.2">
      <c r="A10808" s="28">
        <v>10807</v>
      </c>
      <c r="B10808" s="28" t="e">
        <f>interpola(#REF!,CURVA!$B$6:$B$20,CURVA!$G$6:$G$20)</f>
        <v>#VALUE!</v>
      </c>
      <c r="C10808" s="29" t="e">
        <f t="shared" si="168"/>
        <v>#VALUE!</v>
      </c>
      <c r="E10808" t="e">
        <f>cubic_spline(CURVA!$B$6:$B$20,CURVA!$G$6:$G$20,#REF!)</f>
        <v>#VALUE!</v>
      </c>
    </row>
    <row r="10809" spans="1:5" x14ac:dyDescent="0.2">
      <c r="A10809" s="28">
        <v>10808</v>
      </c>
      <c r="B10809" s="28" t="e">
        <f>interpola(#REF!,CURVA!$B$6:$B$20,CURVA!$G$6:$G$20)</f>
        <v>#VALUE!</v>
      </c>
      <c r="C10809" s="29" t="e">
        <f t="shared" si="168"/>
        <v>#VALUE!</v>
      </c>
      <c r="E10809" t="e">
        <f>cubic_spline(CURVA!$B$6:$B$20,CURVA!$G$6:$G$20,#REF!)</f>
        <v>#VALUE!</v>
      </c>
    </row>
    <row r="10810" spans="1:5" x14ac:dyDescent="0.2">
      <c r="A10810" s="28">
        <v>10809</v>
      </c>
      <c r="B10810" s="28" t="e">
        <f>interpola(#REF!,CURVA!$B$6:$B$20,CURVA!$G$6:$G$20)</f>
        <v>#VALUE!</v>
      </c>
      <c r="C10810" s="29" t="e">
        <f t="shared" si="168"/>
        <v>#VALUE!</v>
      </c>
      <c r="E10810" t="e">
        <f>cubic_spline(CURVA!$B$6:$B$20,CURVA!$G$6:$G$20,#REF!)</f>
        <v>#VALUE!</v>
      </c>
    </row>
    <row r="10811" spans="1:5" x14ac:dyDescent="0.2">
      <c r="A10811" s="28">
        <v>10810</v>
      </c>
      <c r="B10811" s="28" t="e">
        <f>interpola(#REF!,CURVA!$B$6:$B$20,CURVA!$G$6:$G$20)</f>
        <v>#VALUE!</v>
      </c>
      <c r="C10811" s="29" t="e">
        <f t="shared" si="168"/>
        <v>#VALUE!</v>
      </c>
      <c r="E10811" t="e">
        <f>cubic_spline(CURVA!$B$6:$B$20,CURVA!$G$6:$G$20,#REF!)</f>
        <v>#VALUE!</v>
      </c>
    </row>
    <row r="10812" spans="1:5" x14ac:dyDescent="0.2">
      <c r="A10812" s="28">
        <v>10811</v>
      </c>
      <c r="B10812" s="28" t="e">
        <f>interpola(#REF!,CURVA!$B$6:$B$20,CURVA!$G$6:$G$20)</f>
        <v>#VALUE!</v>
      </c>
      <c r="C10812" s="29" t="e">
        <f t="shared" si="168"/>
        <v>#VALUE!</v>
      </c>
      <c r="E10812" t="e">
        <f>cubic_spline(CURVA!$B$6:$B$20,CURVA!$G$6:$G$20,#REF!)</f>
        <v>#VALUE!</v>
      </c>
    </row>
    <row r="10813" spans="1:5" x14ac:dyDescent="0.2">
      <c r="A10813" s="28">
        <v>10812</v>
      </c>
      <c r="B10813" s="28" t="e">
        <f>interpola(#REF!,CURVA!$B$6:$B$20,CURVA!$G$6:$G$20)</f>
        <v>#VALUE!</v>
      </c>
      <c r="C10813" s="29" t="e">
        <f t="shared" si="168"/>
        <v>#VALUE!</v>
      </c>
      <c r="E10813" t="e">
        <f>cubic_spline(CURVA!$B$6:$B$20,CURVA!$G$6:$G$20,#REF!)</f>
        <v>#VALUE!</v>
      </c>
    </row>
    <row r="10814" spans="1:5" x14ac:dyDescent="0.2">
      <c r="A10814" s="28">
        <v>10813</v>
      </c>
      <c r="B10814" s="28" t="e">
        <f>interpola(#REF!,CURVA!$B$6:$B$20,CURVA!$G$6:$G$20)</f>
        <v>#VALUE!</v>
      </c>
      <c r="C10814" s="29" t="e">
        <f t="shared" si="168"/>
        <v>#VALUE!</v>
      </c>
      <c r="E10814" t="e">
        <f>cubic_spline(CURVA!$B$6:$B$20,CURVA!$G$6:$G$20,#REF!)</f>
        <v>#VALUE!</v>
      </c>
    </row>
    <row r="10815" spans="1:5" x14ac:dyDescent="0.2">
      <c r="A10815" s="28">
        <v>10814</v>
      </c>
      <c r="B10815" s="28" t="e">
        <f>interpola(#REF!,CURVA!$B$6:$B$20,CURVA!$G$6:$G$20)</f>
        <v>#VALUE!</v>
      </c>
      <c r="C10815" s="29" t="e">
        <f t="shared" si="168"/>
        <v>#VALUE!</v>
      </c>
      <c r="E10815" t="e">
        <f>cubic_spline(CURVA!$B$6:$B$20,CURVA!$G$6:$G$20,#REF!)</f>
        <v>#VALUE!</v>
      </c>
    </row>
    <row r="10816" spans="1:5" x14ac:dyDescent="0.2">
      <c r="A10816" s="28">
        <v>10815</v>
      </c>
      <c r="B10816" s="28" t="e">
        <f>interpola(#REF!,CURVA!$B$6:$B$20,CURVA!$G$6:$G$20)</f>
        <v>#VALUE!</v>
      </c>
      <c r="C10816" s="29" t="e">
        <f t="shared" si="168"/>
        <v>#VALUE!</v>
      </c>
      <c r="E10816" t="e">
        <f>cubic_spline(CURVA!$B$6:$B$20,CURVA!$G$6:$G$20,#REF!)</f>
        <v>#VALUE!</v>
      </c>
    </row>
    <row r="10817" spans="1:5" x14ac:dyDescent="0.2">
      <c r="A10817" s="28">
        <v>10816</v>
      </c>
      <c r="B10817" s="28" t="e">
        <f>interpola(#REF!,CURVA!$B$6:$B$20,CURVA!$G$6:$G$20)</f>
        <v>#VALUE!</v>
      </c>
      <c r="C10817" s="29" t="e">
        <f t="shared" si="168"/>
        <v>#VALUE!</v>
      </c>
      <c r="E10817" t="e">
        <f>cubic_spline(CURVA!$B$6:$B$20,CURVA!$G$6:$G$20,#REF!)</f>
        <v>#VALUE!</v>
      </c>
    </row>
    <row r="10818" spans="1:5" x14ac:dyDescent="0.2">
      <c r="A10818" s="28">
        <v>10817</v>
      </c>
      <c r="B10818" s="28" t="e">
        <f>interpola(#REF!,CURVA!$B$6:$B$20,CURVA!$G$6:$G$20)</f>
        <v>#VALUE!</v>
      </c>
      <c r="C10818" s="29" t="e">
        <f t="shared" ref="C10818:C10881" si="169">(EXP(B10818*A10818/360)-1)*360/A10818</f>
        <v>#VALUE!</v>
      </c>
      <c r="E10818" t="e">
        <f>cubic_spline(CURVA!$B$6:$B$20,CURVA!$G$6:$G$20,#REF!)</f>
        <v>#VALUE!</v>
      </c>
    </row>
    <row r="10819" spans="1:5" x14ac:dyDescent="0.2">
      <c r="A10819" s="28">
        <v>10818</v>
      </c>
      <c r="B10819" s="28" t="e">
        <f>interpola(#REF!,CURVA!$B$6:$B$20,CURVA!$G$6:$G$20)</f>
        <v>#VALUE!</v>
      </c>
      <c r="C10819" s="29" t="e">
        <f t="shared" si="169"/>
        <v>#VALUE!</v>
      </c>
      <c r="E10819" t="e">
        <f>cubic_spline(CURVA!$B$6:$B$20,CURVA!$G$6:$G$20,#REF!)</f>
        <v>#VALUE!</v>
      </c>
    </row>
    <row r="10820" spans="1:5" x14ac:dyDescent="0.2">
      <c r="A10820" s="28">
        <v>10819</v>
      </c>
      <c r="B10820" s="28" t="e">
        <f>interpola(#REF!,CURVA!$B$6:$B$20,CURVA!$G$6:$G$20)</f>
        <v>#VALUE!</v>
      </c>
      <c r="C10820" s="29" t="e">
        <f t="shared" si="169"/>
        <v>#VALUE!</v>
      </c>
      <c r="E10820" t="e">
        <f>cubic_spline(CURVA!$B$6:$B$20,CURVA!$G$6:$G$20,#REF!)</f>
        <v>#VALUE!</v>
      </c>
    </row>
    <row r="10821" spans="1:5" x14ac:dyDescent="0.2">
      <c r="A10821" s="28">
        <v>10820</v>
      </c>
      <c r="B10821" s="28" t="e">
        <f>interpola(#REF!,CURVA!$B$6:$B$20,CURVA!$G$6:$G$20)</f>
        <v>#VALUE!</v>
      </c>
      <c r="C10821" s="29" t="e">
        <f t="shared" si="169"/>
        <v>#VALUE!</v>
      </c>
      <c r="E10821" t="e">
        <f>cubic_spline(CURVA!$B$6:$B$20,CURVA!$G$6:$G$20,#REF!)</f>
        <v>#VALUE!</v>
      </c>
    </row>
    <row r="10822" spans="1:5" x14ac:dyDescent="0.2">
      <c r="A10822" s="28">
        <v>10821</v>
      </c>
      <c r="B10822" s="28" t="e">
        <f>interpola(#REF!,CURVA!$B$6:$B$20,CURVA!$G$6:$G$20)</f>
        <v>#VALUE!</v>
      </c>
      <c r="C10822" s="29" t="e">
        <f t="shared" si="169"/>
        <v>#VALUE!</v>
      </c>
      <c r="E10822" t="e">
        <f>cubic_spline(CURVA!$B$6:$B$20,CURVA!$G$6:$G$20,#REF!)</f>
        <v>#VALUE!</v>
      </c>
    </row>
    <row r="10823" spans="1:5" x14ac:dyDescent="0.2">
      <c r="A10823" s="28">
        <v>10822</v>
      </c>
      <c r="B10823" s="28" t="e">
        <f>interpola(#REF!,CURVA!$B$6:$B$20,CURVA!$G$6:$G$20)</f>
        <v>#VALUE!</v>
      </c>
      <c r="C10823" s="29" t="e">
        <f t="shared" si="169"/>
        <v>#VALUE!</v>
      </c>
      <c r="E10823" t="e">
        <f>cubic_spline(CURVA!$B$6:$B$20,CURVA!$G$6:$G$20,#REF!)</f>
        <v>#VALUE!</v>
      </c>
    </row>
    <row r="10824" spans="1:5" x14ac:dyDescent="0.2">
      <c r="A10824" s="28">
        <v>10823</v>
      </c>
      <c r="B10824" s="28" t="e">
        <f>interpola(#REF!,CURVA!$B$6:$B$20,CURVA!$G$6:$G$20)</f>
        <v>#VALUE!</v>
      </c>
      <c r="C10824" s="29" t="e">
        <f t="shared" si="169"/>
        <v>#VALUE!</v>
      </c>
      <c r="E10824" t="e">
        <f>cubic_spline(CURVA!$B$6:$B$20,CURVA!$G$6:$G$20,#REF!)</f>
        <v>#VALUE!</v>
      </c>
    </row>
    <row r="10825" spans="1:5" x14ac:dyDescent="0.2">
      <c r="A10825" s="28">
        <v>10824</v>
      </c>
      <c r="B10825" s="28" t="e">
        <f>interpola(#REF!,CURVA!$B$6:$B$20,CURVA!$G$6:$G$20)</f>
        <v>#VALUE!</v>
      </c>
      <c r="C10825" s="29" t="e">
        <f t="shared" si="169"/>
        <v>#VALUE!</v>
      </c>
      <c r="E10825" t="e">
        <f>cubic_spline(CURVA!$B$6:$B$20,CURVA!$G$6:$G$20,#REF!)</f>
        <v>#VALUE!</v>
      </c>
    </row>
    <row r="10826" spans="1:5" x14ac:dyDescent="0.2">
      <c r="A10826" s="28">
        <v>10825</v>
      </c>
      <c r="B10826" s="28" t="e">
        <f>interpola(#REF!,CURVA!$B$6:$B$20,CURVA!$G$6:$G$20)</f>
        <v>#VALUE!</v>
      </c>
      <c r="C10826" s="29" t="e">
        <f t="shared" si="169"/>
        <v>#VALUE!</v>
      </c>
      <c r="E10826" t="e">
        <f>cubic_spline(CURVA!$B$6:$B$20,CURVA!$G$6:$G$20,#REF!)</f>
        <v>#VALUE!</v>
      </c>
    </row>
    <row r="10827" spans="1:5" x14ac:dyDescent="0.2">
      <c r="A10827" s="28">
        <v>10826</v>
      </c>
      <c r="B10827" s="28" t="e">
        <f>interpola(#REF!,CURVA!$B$6:$B$20,CURVA!$G$6:$G$20)</f>
        <v>#VALUE!</v>
      </c>
      <c r="C10827" s="29" t="e">
        <f t="shared" si="169"/>
        <v>#VALUE!</v>
      </c>
      <c r="E10827" t="e">
        <f>cubic_spline(CURVA!$B$6:$B$20,CURVA!$G$6:$G$20,#REF!)</f>
        <v>#VALUE!</v>
      </c>
    </row>
    <row r="10828" spans="1:5" x14ac:dyDescent="0.2">
      <c r="A10828" s="28">
        <v>10827</v>
      </c>
      <c r="B10828" s="28" t="e">
        <f>interpola(#REF!,CURVA!$B$6:$B$20,CURVA!$G$6:$G$20)</f>
        <v>#VALUE!</v>
      </c>
      <c r="C10828" s="29" t="e">
        <f t="shared" si="169"/>
        <v>#VALUE!</v>
      </c>
      <c r="E10828" t="e">
        <f>cubic_spline(CURVA!$B$6:$B$20,CURVA!$G$6:$G$20,#REF!)</f>
        <v>#VALUE!</v>
      </c>
    </row>
    <row r="10829" spans="1:5" x14ac:dyDescent="0.2">
      <c r="A10829" s="28">
        <v>10828</v>
      </c>
      <c r="B10829" s="28" t="e">
        <f>interpola(#REF!,CURVA!$B$6:$B$20,CURVA!$G$6:$G$20)</f>
        <v>#VALUE!</v>
      </c>
      <c r="C10829" s="29" t="e">
        <f t="shared" si="169"/>
        <v>#VALUE!</v>
      </c>
      <c r="E10829" t="e">
        <f>cubic_spline(CURVA!$B$6:$B$20,CURVA!$G$6:$G$20,#REF!)</f>
        <v>#VALUE!</v>
      </c>
    </row>
    <row r="10830" spans="1:5" x14ac:dyDescent="0.2">
      <c r="A10830" s="28">
        <v>10829</v>
      </c>
      <c r="B10830" s="28" t="e">
        <f>interpola(#REF!,CURVA!$B$6:$B$20,CURVA!$G$6:$G$20)</f>
        <v>#VALUE!</v>
      </c>
      <c r="C10830" s="29" t="e">
        <f t="shared" si="169"/>
        <v>#VALUE!</v>
      </c>
      <c r="E10830" t="e">
        <f>cubic_spline(CURVA!$B$6:$B$20,CURVA!$G$6:$G$20,#REF!)</f>
        <v>#VALUE!</v>
      </c>
    </row>
    <row r="10831" spans="1:5" x14ac:dyDescent="0.2">
      <c r="A10831" s="28">
        <v>10830</v>
      </c>
      <c r="B10831" s="28" t="e">
        <f>interpola(#REF!,CURVA!$B$6:$B$20,CURVA!$G$6:$G$20)</f>
        <v>#VALUE!</v>
      </c>
      <c r="C10831" s="29" t="e">
        <f t="shared" si="169"/>
        <v>#VALUE!</v>
      </c>
      <c r="E10831" t="e">
        <f>cubic_spline(CURVA!$B$6:$B$20,CURVA!$G$6:$G$20,#REF!)</f>
        <v>#VALUE!</v>
      </c>
    </row>
    <row r="10832" spans="1:5" x14ac:dyDescent="0.2">
      <c r="A10832" s="28">
        <v>10831</v>
      </c>
      <c r="B10832" s="28" t="e">
        <f>interpola(#REF!,CURVA!$B$6:$B$20,CURVA!$G$6:$G$20)</f>
        <v>#VALUE!</v>
      </c>
      <c r="C10832" s="29" t="e">
        <f t="shared" si="169"/>
        <v>#VALUE!</v>
      </c>
      <c r="E10832" t="e">
        <f>cubic_spline(CURVA!$B$6:$B$20,CURVA!$G$6:$G$20,#REF!)</f>
        <v>#VALUE!</v>
      </c>
    </row>
    <row r="10833" spans="1:5" x14ac:dyDescent="0.2">
      <c r="A10833" s="28">
        <v>10832</v>
      </c>
      <c r="B10833" s="28" t="e">
        <f>interpola(#REF!,CURVA!$B$6:$B$20,CURVA!$G$6:$G$20)</f>
        <v>#VALUE!</v>
      </c>
      <c r="C10833" s="29" t="e">
        <f t="shared" si="169"/>
        <v>#VALUE!</v>
      </c>
      <c r="E10833" t="e">
        <f>cubic_spline(CURVA!$B$6:$B$20,CURVA!$G$6:$G$20,#REF!)</f>
        <v>#VALUE!</v>
      </c>
    </row>
    <row r="10834" spans="1:5" x14ac:dyDescent="0.2">
      <c r="A10834" s="28">
        <v>10833</v>
      </c>
      <c r="B10834" s="28" t="e">
        <f>interpola(#REF!,CURVA!$B$6:$B$20,CURVA!$G$6:$G$20)</f>
        <v>#VALUE!</v>
      </c>
      <c r="C10834" s="29" t="e">
        <f t="shared" si="169"/>
        <v>#VALUE!</v>
      </c>
      <c r="E10834" t="e">
        <f>cubic_spline(CURVA!$B$6:$B$20,CURVA!$G$6:$G$20,#REF!)</f>
        <v>#VALUE!</v>
      </c>
    </row>
    <row r="10835" spans="1:5" x14ac:dyDescent="0.2">
      <c r="A10835" s="28">
        <v>10834</v>
      </c>
      <c r="B10835" s="28" t="e">
        <f>interpola(#REF!,CURVA!$B$6:$B$20,CURVA!$G$6:$G$20)</f>
        <v>#VALUE!</v>
      </c>
      <c r="C10835" s="29" t="e">
        <f t="shared" si="169"/>
        <v>#VALUE!</v>
      </c>
      <c r="E10835" t="e">
        <f>cubic_spline(CURVA!$B$6:$B$20,CURVA!$G$6:$G$20,#REF!)</f>
        <v>#VALUE!</v>
      </c>
    </row>
    <row r="10836" spans="1:5" x14ac:dyDescent="0.2">
      <c r="A10836" s="28">
        <v>10835</v>
      </c>
      <c r="B10836" s="28" t="e">
        <f>interpola(#REF!,CURVA!$B$6:$B$20,CURVA!$G$6:$G$20)</f>
        <v>#VALUE!</v>
      </c>
      <c r="C10836" s="29" t="e">
        <f t="shared" si="169"/>
        <v>#VALUE!</v>
      </c>
      <c r="E10836" t="e">
        <f>cubic_spline(CURVA!$B$6:$B$20,CURVA!$G$6:$G$20,#REF!)</f>
        <v>#VALUE!</v>
      </c>
    </row>
    <row r="10837" spans="1:5" x14ac:dyDescent="0.2">
      <c r="A10837" s="28">
        <v>10836</v>
      </c>
      <c r="B10837" s="28" t="e">
        <f>interpola(#REF!,CURVA!$B$6:$B$20,CURVA!$G$6:$G$20)</f>
        <v>#VALUE!</v>
      </c>
      <c r="C10837" s="29" t="e">
        <f t="shared" si="169"/>
        <v>#VALUE!</v>
      </c>
      <c r="E10837" t="e">
        <f>cubic_spline(CURVA!$B$6:$B$20,CURVA!$G$6:$G$20,#REF!)</f>
        <v>#VALUE!</v>
      </c>
    </row>
    <row r="10838" spans="1:5" x14ac:dyDescent="0.2">
      <c r="A10838" s="28">
        <v>10837</v>
      </c>
      <c r="B10838" s="28" t="e">
        <f>interpola(#REF!,CURVA!$B$6:$B$20,CURVA!$G$6:$G$20)</f>
        <v>#VALUE!</v>
      </c>
      <c r="C10838" s="29" t="e">
        <f t="shared" si="169"/>
        <v>#VALUE!</v>
      </c>
      <c r="E10838" t="e">
        <f>cubic_spline(CURVA!$B$6:$B$20,CURVA!$G$6:$G$20,#REF!)</f>
        <v>#VALUE!</v>
      </c>
    </row>
    <row r="10839" spans="1:5" x14ac:dyDescent="0.2">
      <c r="A10839" s="28">
        <v>10838</v>
      </c>
      <c r="B10839" s="28" t="e">
        <f>interpola(#REF!,CURVA!$B$6:$B$20,CURVA!$G$6:$G$20)</f>
        <v>#VALUE!</v>
      </c>
      <c r="C10839" s="29" t="e">
        <f t="shared" si="169"/>
        <v>#VALUE!</v>
      </c>
      <c r="E10839" t="e">
        <f>cubic_spline(CURVA!$B$6:$B$20,CURVA!$G$6:$G$20,#REF!)</f>
        <v>#VALUE!</v>
      </c>
    </row>
    <row r="10840" spans="1:5" x14ac:dyDescent="0.2">
      <c r="A10840" s="28">
        <v>10839</v>
      </c>
      <c r="B10840" s="28" t="e">
        <f>interpola(#REF!,CURVA!$B$6:$B$20,CURVA!$G$6:$G$20)</f>
        <v>#VALUE!</v>
      </c>
      <c r="C10840" s="29" t="e">
        <f t="shared" si="169"/>
        <v>#VALUE!</v>
      </c>
      <c r="E10840" t="e">
        <f>cubic_spline(CURVA!$B$6:$B$20,CURVA!$G$6:$G$20,#REF!)</f>
        <v>#VALUE!</v>
      </c>
    </row>
    <row r="10841" spans="1:5" x14ac:dyDescent="0.2">
      <c r="A10841" s="28">
        <v>10840</v>
      </c>
      <c r="B10841" s="28" t="e">
        <f>interpola(#REF!,CURVA!$B$6:$B$20,CURVA!$G$6:$G$20)</f>
        <v>#VALUE!</v>
      </c>
      <c r="C10841" s="29" t="e">
        <f t="shared" si="169"/>
        <v>#VALUE!</v>
      </c>
      <c r="E10841" t="e">
        <f>cubic_spline(CURVA!$B$6:$B$20,CURVA!$G$6:$G$20,#REF!)</f>
        <v>#VALUE!</v>
      </c>
    </row>
    <row r="10842" spans="1:5" x14ac:dyDescent="0.2">
      <c r="A10842" s="28">
        <v>10841</v>
      </c>
      <c r="B10842" s="28" t="e">
        <f>interpola(#REF!,CURVA!$B$6:$B$20,CURVA!$G$6:$G$20)</f>
        <v>#VALUE!</v>
      </c>
      <c r="C10842" s="29" t="e">
        <f t="shared" si="169"/>
        <v>#VALUE!</v>
      </c>
      <c r="E10842" t="e">
        <f>cubic_spline(CURVA!$B$6:$B$20,CURVA!$G$6:$G$20,#REF!)</f>
        <v>#VALUE!</v>
      </c>
    </row>
    <row r="10843" spans="1:5" x14ac:dyDescent="0.2">
      <c r="A10843" s="28">
        <v>10842</v>
      </c>
      <c r="B10843" s="28" t="e">
        <f>interpola(#REF!,CURVA!$B$6:$B$20,CURVA!$G$6:$G$20)</f>
        <v>#VALUE!</v>
      </c>
      <c r="C10843" s="29" t="e">
        <f t="shared" si="169"/>
        <v>#VALUE!</v>
      </c>
      <c r="E10843" t="e">
        <f>cubic_spline(CURVA!$B$6:$B$20,CURVA!$G$6:$G$20,#REF!)</f>
        <v>#VALUE!</v>
      </c>
    </row>
    <row r="10844" spans="1:5" x14ac:dyDescent="0.2">
      <c r="A10844" s="28">
        <v>10843</v>
      </c>
      <c r="B10844" s="28" t="e">
        <f>interpola(#REF!,CURVA!$B$6:$B$20,CURVA!$G$6:$G$20)</f>
        <v>#VALUE!</v>
      </c>
      <c r="C10844" s="29" t="e">
        <f t="shared" si="169"/>
        <v>#VALUE!</v>
      </c>
      <c r="E10844" t="e">
        <f>cubic_spline(CURVA!$B$6:$B$20,CURVA!$G$6:$G$20,#REF!)</f>
        <v>#VALUE!</v>
      </c>
    </row>
    <row r="10845" spans="1:5" x14ac:dyDescent="0.2">
      <c r="A10845" s="28">
        <v>10844</v>
      </c>
      <c r="B10845" s="28" t="e">
        <f>interpola(#REF!,CURVA!$B$6:$B$20,CURVA!$G$6:$G$20)</f>
        <v>#VALUE!</v>
      </c>
      <c r="C10845" s="29" t="e">
        <f t="shared" si="169"/>
        <v>#VALUE!</v>
      </c>
      <c r="E10845" t="e">
        <f>cubic_spline(CURVA!$B$6:$B$20,CURVA!$G$6:$G$20,#REF!)</f>
        <v>#VALUE!</v>
      </c>
    </row>
    <row r="10846" spans="1:5" x14ac:dyDescent="0.2">
      <c r="A10846" s="28">
        <v>10845</v>
      </c>
      <c r="B10846" s="28" t="e">
        <f>interpola(#REF!,CURVA!$B$6:$B$20,CURVA!$G$6:$G$20)</f>
        <v>#VALUE!</v>
      </c>
      <c r="C10846" s="29" t="e">
        <f t="shared" si="169"/>
        <v>#VALUE!</v>
      </c>
      <c r="E10846" t="e">
        <f>cubic_spline(CURVA!$B$6:$B$20,CURVA!$G$6:$G$20,#REF!)</f>
        <v>#VALUE!</v>
      </c>
    </row>
    <row r="10847" spans="1:5" x14ac:dyDescent="0.2">
      <c r="A10847" s="28">
        <v>10846</v>
      </c>
      <c r="B10847" s="28" t="e">
        <f>interpola(#REF!,CURVA!$B$6:$B$20,CURVA!$G$6:$G$20)</f>
        <v>#VALUE!</v>
      </c>
      <c r="C10847" s="29" t="e">
        <f t="shared" si="169"/>
        <v>#VALUE!</v>
      </c>
      <c r="E10847" t="e">
        <f>cubic_spline(CURVA!$B$6:$B$20,CURVA!$G$6:$G$20,#REF!)</f>
        <v>#VALUE!</v>
      </c>
    </row>
    <row r="10848" spans="1:5" x14ac:dyDescent="0.2">
      <c r="A10848" s="28">
        <v>10847</v>
      </c>
      <c r="B10848" s="28" t="e">
        <f>interpola(#REF!,CURVA!$B$6:$B$20,CURVA!$G$6:$G$20)</f>
        <v>#VALUE!</v>
      </c>
      <c r="C10848" s="29" t="e">
        <f t="shared" si="169"/>
        <v>#VALUE!</v>
      </c>
      <c r="E10848" t="e">
        <f>cubic_spline(CURVA!$B$6:$B$20,CURVA!$G$6:$G$20,#REF!)</f>
        <v>#VALUE!</v>
      </c>
    </row>
    <row r="10849" spans="1:5" x14ac:dyDescent="0.2">
      <c r="A10849" s="28">
        <v>10848</v>
      </c>
      <c r="B10849" s="28" t="e">
        <f>interpola(#REF!,CURVA!$B$6:$B$20,CURVA!$G$6:$G$20)</f>
        <v>#VALUE!</v>
      </c>
      <c r="C10849" s="29" t="e">
        <f t="shared" si="169"/>
        <v>#VALUE!</v>
      </c>
      <c r="E10849" t="e">
        <f>cubic_spline(CURVA!$B$6:$B$20,CURVA!$G$6:$G$20,#REF!)</f>
        <v>#VALUE!</v>
      </c>
    </row>
    <row r="10850" spans="1:5" x14ac:dyDescent="0.2">
      <c r="A10850" s="28">
        <v>10849</v>
      </c>
      <c r="B10850" s="28" t="e">
        <f>interpola(#REF!,CURVA!$B$6:$B$20,CURVA!$G$6:$G$20)</f>
        <v>#VALUE!</v>
      </c>
      <c r="C10850" s="29" t="e">
        <f t="shared" si="169"/>
        <v>#VALUE!</v>
      </c>
      <c r="E10850" t="e">
        <f>cubic_spline(CURVA!$B$6:$B$20,CURVA!$G$6:$G$20,#REF!)</f>
        <v>#VALUE!</v>
      </c>
    </row>
    <row r="10851" spans="1:5" x14ac:dyDescent="0.2">
      <c r="A10851" s="28">
        <v>10850</v>
      </c>
      <c r="B10851" s="28" t="e">
        <f>interpola(#REF!,CURVA!$B$6:$B$20,CURVA!$G$6:$G$20)</f>
        <v>#VALUE!</v>
      </c>
      <c r="C10851" s="29" t="e">
        <f t="shared" si="169"/>
        <v>#VALUE!</v>
      </c>
      <c r="E10851" t="e">
        <f>cubic_spline(CURVA!$B$6:$B$20,CURVA!$G$6:$G$20,#REF!)</f>
        <v>#VALUE!</v>
      </c>
    </row>
    <row r="10852" spans="1:5" x14ac:dyDescent="0.2">
      <c r="A10852" s="28">
        <v>10851</v>
      </c>
      <c r="B10852" s="28" t="e">
        <f>interpola(#REF!,CURVA!$B$6:$B$20,CURVA!$G$6:$G$20)</f>
        <v>#VALUE!</v>
      </c>
      <c r="C10852" s="29" t="e">
        <f t="shared" si="169"/>
        <v>#VALUE!</v>
      </c>
      <c r="E10852" t="e">
        <f>cubic_spline(CURVA!$B$6:$B$20,CURVA!$G$6:$G$20,#REF!)</f>
        <v>#VALUE!</v>
      </c>
    </row>
    <row r="10853" spans="1:5" x14ac:dyDescent="0.2">
      <c r="A10853" s="28">
        <v>10852</v>
      </c>
      <c r="B10853" s="28" t="e">
        <f>interpola(#REF!,CURVA!$B$6:$B$20,CURVA!$G$6:$G$20)</f>
        <v>#VALUE!</v>
      </c>
      <c r="C10853" s="29" t="e">
        <f t="shared" si="169"/>
        <v>#VALUE!</v>
      </c>
      <c r="E10853" t="e">
        <f>cubic_spline(CURVA!$B$6:$B$20,CURVA!$G$6:$G$20,#REF!)</f>
        <v>#VALUE!</v>
      </c>
    </row>
    <row r="10854" spans="1:5" x14ac:dyDescent="0.2">
      <c r="A10854" s="28">
        <v>10853</v>
      </c>
      <c r="B10854" s="28" t="e">
        <f>interpola(#REF!,CURVA!$B$6:$B$20,CURVA!$G$6:$G$20)</f>
        <v>#VALUE!</v>
      </c>
      <c r="C10854" s="29" t="e">
        <f t="shared" si="169"/>
        <v>#VALUE!</v>
      </c>
      <c r="E10854" t="e">
        <f>cubic_spline(CURVA!$B$6:$B$20,CURVA!$G$6:$G$20,#REF!)</f>
        <v>#VALUE!</v>
      </c>
    </row>
    <row r="10855" spans="1:5" x14ac:dyDescent="0.2">
      <c r="A10855" s="28">
        <v>10854</v>
      </c>
      <c r="B10855" s="28" t="e">
        <f>interpola(#REF!,CURVA!$B$6:$B$20,CURVA!$G$6:$G$20)</f>
        <v>#VALUE!</v>
      </c>
      <c r="C10855" s="29" t="e">
        <f t="shared" si="169"/>
        <v>#VALUE!</v>
      </c>
      <c r="E10855" t="e">
        <f>cubic_spline(CURVA!$B$6:$B$20,CURVA!$G$6:$G$20,#REF!)</f>
        <v>#VALUE!</v>
      </c>
    </row>
    <row r="10856" spans="1:5" x14ac:dyDescent="0.2">
      <c r="A10856" s="28">
        <v>10855</v>
      </c>
      <c r="B10856" s="28" t="e">
        <f>interpola(#REF!,CURVA!$B$6:$B$20,CURVA!$G$6:$G$20)</f>
        <v>#VALUE!</v>
      </c>
      <c r="C10856" s="29" t="e">
        <f t="shared" si="169"/>
        <v>#VALUE!</v>
      </c>
      <c r="E10856" t="e">
        <f>cubic_spline(CURVA!$B$6:$B$20,CURVA!$G$6:$G$20,#REF!)</f>
        <v>#VALUE!</v>
      </c>
    </row>
    <row r="10857" spans="1:5" x14ac:dyDescent="0.2">
      <c r="A10857" s="28">
        <v>10856</v>
      </c>
      <c r="B10857" s="28" t="e">
        <f>interpola(#REF!,CURVA!$B$6:$B$20,CURVA!$G$6:$G$20)</f>
        <v>#VALUE!</v>
      </c>
      <c r="C10857" s="29" t="e">
        <f t="shared" si="169"/>
        <v>#VALUE!</v>
      </c>
      <c r="E10857" t="e">
        <f>cubic_spline(CURVA!$B$6:$B$20,CURVA!$G$6:$G$20,#REF!)</f>
        <v>#VALUE!</v>
      </c>
    </row>
    <row r="10858" spans="1:5" x14ac:dyDescent="0.2">
      <c r="A10858" s="28">
        <v>10857</v>
      </c>
      <c r="B10858" s="28" t="e">
        <f>interpola(#REF!,CURVA!$B$6:$B$20,CURVA!$G$6:$G$20)</f>
        <v>#VALUE!</v>
      </c>
      <c r="C10858" s="29" t="e">
        <f t="shared" si="169"/>
        <v>#VALUE!</v>
      </c>
      <c r="E10858" t="e">
        <f>cubic_spline(CURVA!$B$6:$B$20,CURVA!$G$6:$G$20,#REF!)</f>
        <v>#VALUE!</v>
      </c>
    </row>
    <row r="10859" spans="1:5" x14ac:dyDescent="0.2">
      <c r="A10859" s="28">
        <v>10858</v>
      </c>
      <c r="B10859" s="28" t="e">
        <f>interpola(#REF!,CURVA!$B$6:$B$20,CURVA!$G$6:$G$20)</f>
        <v>#VALUE!</v>
      </c>
      <c r="C10859" s="29" t="e">
        <f t="shared" si="169"/>
        <v>#VALUE!</v>
      </c>
      <c r="E10859" t="e">
        <f>cubic_spline(CURVA!$B$6:$B$20,CURVA!$G$6:$G$20,#REF!)</f>
        <v>#VALUE!</v>
      </c>
    </row>
    <row r="10860" spans="1:5" x14ac:dyDescent="0.2">
      <c r="A10860" s="28">
        <v>10859</v>
      </c>
      <c r="B10860" s="28" t="e">
        <f>interpola(#REF!,CURVA!$B$6:$B$20,CURVA!$G$6:$G$20)</f>
        <v>#VALUE!</v>
      </c>
      <c r="C10860" s="29" t="e">
        <f t="shared" si="169"/>
        <v>#VALUE!</v>
      </c>
      <c r="E10860" t="e">
        <f>cubic_spline(CURVA!$B$6:$B$20,CURVA!$G$6:$G$20,#REF!)</f>
        <v>#VALUE!</v>
      </c>
    </row>
    <row r="10861" spans="1:5" x14ac:dyDescent="0.2">
      <c r="A10861" s="28">
        <v>10860</v>
      </c>
      <c r="B10861" s="28" t="e">
        <f>interpola(#REF!,CURVA!$B$6:$B$20,CURVA!$G$6:$G$20)</f>
        <v>#VALUE!</v>
      </c>
      <c r="C10861" s="29" t="e">
        <f t="shared" si="169"/>
        <v>#VALUE!</v>
      </c>
      <c r="E10861" t="e">
        <f>cubic_spline(CURVA!$B$6:$B$20,CURVA!$G$6:$G$20,#REF!)</f>
        <v>#VALUE!</v>
      </c>
    </row>
    <row r="10862" spans="1:5" x14ac:dyDescent="0.2">
      <c r="A10862" s="28">
        <v>10861</v>
      </c>
      <c r="B10862" s="28" t="e">
        <f>interpola(#REF!,CURVA!$B$6:$B$20,CURVA!$G$6:$G$20)</f>
        <v>#VALUE!</v>
      </c>
      <c r="C10862" s="29" t="e">
        <f t="shared" si="169"/>
        <v>#VALUE!</v>
      </c>
      <c r="E10862" t="e">
        <f>cubic_spline(CURVA!$B$6:$B$20,CURVA!$G$6:$G$20,#REF!)</f>
        <v>#VALUE!</v>
      </c>
    </row>
    <row r="10863" spans="1:5" x14ac:dyDescent="0.2">
      <c r="A10863" s="28">
        <v>10862</v>
      </c>
      <c r="B10863" s="28" t="e">
        <f>interpola(#REF!,CURVA!$B$6:$B$20,CURVA!$G$6:$G$20)</f>
        <v>#VALUE!</v>
      </c>
      <c r="C10863" s="29" t="e">
        <f t="shared" si="169"/>
        <v>#VALUE!</v>
      </c>
      <c r="E10863" t="e">
        <f>cubic_spline(CURVA!$B$6:$B$20,CURVA!$G$6:$G$20,#REF!)</f>
        <v>#VALUE!</v>
      </c>
    </row>
    <row r="10864" spans="1:5" x14ac:dyDescent="0.2">
      <c r="A10864" s="28">
        <v>10863</v>
      </c>
      <c r="B10864" s="28" t="e">
        <f>interpola(#REF!,CURVA!$B$6:$B$20,CURVA!$G$6:$G$20)</f>
        <v>#VALUE!</v>
      </c>
      <c r="C10864" s="29" t="e">
        <f t="shared" si="169"/>
        <v>#VALUE!</v>
      </c>
      <c r="E10864" t="e">
        <f>cubic_spline(CURVA!$B$6:$B$20,CURVA!$G$6:$G$20,#REF!)</f>
        <v>#VALUE!</v>
      </c>
    </row>
    <row r="10865" spans="1:5" x14ac:dyDescent="0.2">
      <c r="A10865" s="28">
        <v>10864</v>
      </c>
      <c r="B10865" s="28" t="e">
        <f>interpola(#REF!,CURVA!$B$6:$B$20,CURVA!$G$6:$G$20)</f>
        <v>#VALUE!</v>
      </c>
      <c r="C10865" s="29" t="e">
        <f t="shared" si="169"/>
        <v>#VALUE!</v>
      </c>
      <c r="E10865" t="e">
        <f>cubic_spline(CURVA!$B$6:$B$20,CURVA!$G$6:$G$20,#REF!)</f>
        <v>#VALUE!</v>
      </c>
    </row>
    <row r="10866" spans="1:5" x14ac:dyDescent="0.2">
      <c r="A10866" s="28">
        <v>10865</v>
      </c>
      <c r="B10866" s="28" t="e">
        <f>interpola(#REF!,CURVA!$B$6:$B$20,CURVA!$G$6:$G$20)</f>
        <v>#VALUE!</v>
      </c>
      <c r="C10866" s="29" t="e">
        <f t="shared" si="169"/>
        <v>#VALUE!</v>
      </c>
      <c r="E10866" t="e">
        <f>cubic_spline(CURVA!$B$6:$B$20,CURVA!$G$6:$G$20,#REF!)</f>
        <v>#VALUE!</v>
      </c>
    </row>
    <row r="10867" spans="1:5" x14ac:dyDescent="0.2">
      <c r="A10867" s="28">
        <v>10866</v>
      </c>
      <c r="B10867" s="28" t="e">
        <f>interpola(#REF!,CURVA!$B$6:$B$20,CURVA!$G$6:$G$20)</f>
        <v>#VALUE!</v>
      </c>
      <c r="C10867" s="29" t="e">
        <f t="shared" si="169"/>
        <v>#VALUE!</v>
      </c>
      <c r="E10867" t="e">
        <f>cubic_spline(CURVA!$B$6:$B$20,CURVA!$G$6:$G$20,#REF!)</f>
        <v>#VALUE!</v>
      </c>
    </row>
    <row r="10868" spans="1:5" x14ac:dyDescent="0.2">
      <c r="A10868" s="28">
        <v>10867</v>
      </c>
      <c r="B10868" s="28" t="e">
        <f>interpola(#REF!,CURVA!$B$6:$B$20,CURVA!$G$6:$G$20)</f>
        <v>#VALUE!</v>
      </c>
      <c r="C10868" s="29" t="e">
        <f t="shared" si="169"/>
        <v>#VALUE!</v>
      </c>
      <c r="E10868" t="e">
        <f>cubic_spline(CURVA!$B$6:$B$20,CURVA!$G$6:$G$20,#REF!)</f>
        <v>#VALUE!</v>
      </c>
    </row>
    <row r="10869" spans="1:5" x14ac:dyDescent="0.2">
      <c r="A10869" s="28">
        <v>10868</v>
      </c>
      <c r="B10869" s="28" t="e">
        <f>interpola(#REF!,CURVA!$B$6:$B$20,CURVA!$G$6:$G$20)</f>
        <v>#VALUE!</v>
      </c>
      <c r="C10869" s="29" t="e">
        <f t="shared" si="169"/>
        <v>#VALUE!</v>
      </c>
      <c r="E10869" t="e">
        <f>cubic_spline(CURVA!$B$6:$B$20,CURVA!$G$6:$G$20,#REF!)</f>
        <v>#VALUE!</v>
      </c>
    </row>
    <row r="10870" spans="1:5" x14ac:dyDescent="0.2">
      <c r="A10870" s="28">
        <v>10869</v>
      </c>
      <c r="B10870" s="28" t="e">
        <f>interpola(#REF!,CURVA!$B$6:$B$20,CURVA!$G$6:$G$20)</f>
        <v>#VALUE!</v>
      </c>
      <c r="C10870" s="29" t="e">
        <f t="shared" si="169"/>
        <v>#VALUE!</v>
      </c>
      <c r="E10870" t="e">
        <f>cubic_spline(CURVA!$B$6:$B$20,CURVA!$G$6:$G$20,#REF!)</f>
        <v>#VALUE!</v>
      </c>
    </row>
    <row r="10871" spans="1:5" x14ac:dyDescent="0.2">
      <c r="A10871" s="28">
        <v>10870</v>
      </c>
      <c r="B10871" s="28" t="e">
        <f>interpola(#REF!,CURVA!$B$6:$B$20,CURVA!$G$6:$G$20)</f>
        <v>#VALUE!</v>
      </c>
      <c r="C10871" s="29" t="e">
        <f t="shared" si="169"/>
        <v>#VALUE!</v>
      </c>
      <c r="E10871" t="e">
        <f>cubic_spline(CURVA!$B$6:$B$20,CURVA!$G$6:$G$20,#REF!)</f>
        <v>#VALUE!</v>
      </c>
    </row>
    <row r="10872" spans="1:5" x14ac:dyDescent="0.2">
      <c r="A10872" s="28">
        <v>10871</v>
      </c>
      <c r="B10872" s="28" t="e">
        <f>interpola(#REF!,CURVA!$B$6:$B$20,CURVA!$G$6:$G$20)</f>
        <v>#VALUE!</v>
      </c>
      <c r="C10872" s="29" t="e">
        <f t="shared" si="169"/>
        <v>#VALUE!</v>
      </c>
      <c r="E10872" t="e">
        <f>cubic_spline(CURVA!$B$6:$B$20,CURVA!$G$6:$G$20,#REF!)</f>
        <v>#VALUE!</v>
      </c>
    </row>
    <row r="10873" spans="1:5" x14ac:dyDescent="0.2">
      <c r="A10873" s="28">
        <v>10872</v>
      </c>
      <c r="B10873" s="28" t="e">
        <f>interpola(#REF!,CURVA!$B$6:$B$20,CURVA!$G$6:$G$20)</f>
        <v>#VALUE!</v>
      </c>
      <c r="C10873" s="29" t="e">
        <f t="shared" si="169"/>
        <v>#VALUE!</v>
      </c>
      <c r="E10873" t="e">
        <f>cubic_spline(CURVA!$B$6:$B$20,CURVA!$G$6:$G$20,#REF!)</f>
        <v>#VALUE!</v>
      </c>
    </row>
    <row r="10874" spans="1:5" x14ac:dyDescent="0.2">
      <c r="A10874" s="28">
        <v>10873</v>
      </c>
      <c r="B10874" s="28" t="e">
        <f>interpola(#REF!,CURVA!$B$6:$B$20,CURVA!$G$6:$G$20)</f>
        <v>#VALUE!</v>
      </c>
      <c r="C10874" s="29" t="e">
        <f t="shared" si="169"/>
        <v>#VALUE!</v>
      </c>
      <c r="E10874" t="e">
        <f>cubic_spline(CURVA!$B$6:$B$20,CURVA!$G$6:$G$20,#REF!)</f>
        <v>#VALUE!</v>
      </c>
    </row>
    <row r="10875" spans="1:5" x14ac:dyDescent="0.2">
      <c r="A10875" s="28">
        <v>10874</v>
      </c>
      <c r="B10875" s="28" t="e">
        <f>interpola(#REF!,CURVA!$B$6:$B$20,CURVA!$G$6:$G$20)</f>
        <v>#VALUE!</v>
      </c>
      <c r="C10875" s="29" t="e">
        <f t="shared" si="169"/>
        <v>#VALUE!</v>
      </c>
      <c r="E10875" t="e">
        <f>cubic_spline(CURVA!$B$6:$B$20,CURVA!$G$6:$G$20,#REF!)</f>
        <v>#VALUE!</v>
      </c>
    </row>
    <row r="10876" spans="1:5" x14ac:dyDescent="0.2">
      <c r="A10876" s="28">
        <v>10875</v>
      </c>
      <c r="B10876" s="28" t="e">
        <f>interpola(#REF!,CURVA!$B$6:$B$20,CURVA!$G$6:$G$20)</f>
        <v>#VALUE!</v>
      </c>
      <c r="C10876" s="29" t="e">
        <f t="shared" si="169"/>
        <v>#VALUE!</v>
      </c>
      <c r="E10876" t="e">
        <f>cubic_spline(CURVA!$B$6:$B$20,CURVA!$G$6:$G$20,#REF!)</f>
        <v>#VALUE!</v>
      </c>
    </row>
    <row r="10877" spans="1:5" x14ac:dyDescent="0.2">
      <c r="A10877" s="28">
        <v>10876</v>
      </c>
      <c r="B10877" s="28" t="e">
        <f>interpola(#REF!,CURVA!$B$6:$B$20,CURVA!$G$6:$G$20)</f>
        <v>#VALUE!</v>
      </c>
      <c r="C10877" s="29" t="e">
        <f t="shared" si="169"/>
        <v>#VALUE!</v>
      </c>
      <c r="E10877" t="e">
        <f>cubic_spline(CURVA!$B$6:$B$20,CURVA!$G$6:$G$20,#REF!)</f>
        <v>#VALUE!</v>
      </c>
    </row>
    <row r="10878" spans="1:5" x14ac:dyDescent="0.2">
      <c r="A10878" s="28">
        <v>10877</v>
      </c>
      <c r="B10878" s="28" t="e">
        <f>interpola(#REF!,CURVA!$B$6:$B$20,CURVA!$G$6:$G$20)</f>
        <v>#VALUE!</v>
      </c>
      <c r="C10878" s="29" t="e">
        <f t="shared" si="169"/>
        <v>#VALUE!</v>
      </c>
      <c r="E10878" t="e">
        <f>cubic_spline(CURVA!$B$6:$B$20,CURVA!$G$6:$G$20,#REF!)</f>
        <v>#VALUE!</v>
      </c>
    </row>
    <row r="10879" spans="1:5" x14ac:dyDescent="0.2">
      <c r="A10879" s="28">
        <v>10878</v>
      </c>
      <c r="B10879" s="28" t="e">
        <f>interpola(#REF!,CURVA!$B$6:$B$20,CURVA!$G$6:$G$20)</f>
        <v>#VALUE!</v>
      </c>
      <c r="C10879" s="29" t="e">
        <f t="shared" si="169"/>
        <v>#VALUE!</v>
      </c>
      <c r="E10879" t="e">
        <f>cubic_spline(CURVA!$B$6:$B$20,CURVA!$G$6:$G$20,#REF!)</f>
        <v>#VALUE!</v>
      </c>
    </row>
    <row r="10880" spans="1:5" x14ac:dyDescent="0.2">
      <c r="A10880" s="28">
        <v>10879</v>
      </c>
      <c r="B10880" s="28" t="e">
        <f>interpola(#REF!,CURVA!$B$6:$B$20,CURVA!$G$6:$G$20)</f>
        <v>#VALUE!</v>
      </c>
      <c r="C10880" s="29" t="e">
        <f t="shared" si="169"/>
        <v>#VALUE!</v>
      </c>
      <c r="E10880" t="e">
        <f>cubic_spline(CURVA!$B$6:$B$20,CURVA!$G$6:$G$20,#REF!)</f>
        <v>#VALUE!</v>
      </c>
    </row>
    <row r="10881" spans="1:5" x14ac:dyDescent="0.2">
      <c r="A10881" s="28">
        <v>10880</v>
      </c>
      <c r="B10881" s="28" t="e">
        <f>interpola(#REF!,CURVA!$B$6:$B$20,CURVA!$G$6:$G$20)</f>
        <v>#VALUE!</v>
      </c>
      <c r="C10881" s="29" t="e">
        <f t="shared" si="169"/>
        <v>#VALUE!</v>
      </c>
      <c r="E10881" t="e">
        <f>cubic_spline(CURVA!$B$6:$B$20,CURVA!$G$6:$G$20,#REF!)</f>
        <v>#VALUE!</v>
      </c>
    </row>
    <row r="10882" spans="1:5" x14ac:dyDescent="0.2">
      <c r="A10882" s="28">
        <v>10881</v>
      </c>
      <c r="B10882" s="28" t="e">
        <f>interpola(#REF!,CURVA!$B$6:$B$20,CURVA!$G$6:$G$20)</f>
        <v>#VALUE!</v>
      </c>
      <c r="C10882" s="29" t="e">
        <f t="shared" ref="C10882:C10921" si="170">(EXP(B10882*A10882/360)-1)*360/A10882</f>
        <v>#VALUE!</v>
      </c>
      <c r="E10882" t="e">
        <f>cubic_spline(CURVA!$B$6:$B$20,CURVA!$G$6:$G$20,#REF!)</f>
        <v>#VALUE!</v>
      </c>
    </row>
    <row r="10883" spans="1:5" x14ac:dyDescent="0.2">
      <c r="A10883" s="28">
        <v>10882</v>
      </c>
      <c r="B10883" s="28" t="e">
        <f>interpola(#REF!,CURVA!$B$6:$B$20,CURVA!$G$6:$G$20)</f>
        <v>#VALUE!</v>
      </c>
      <c r="C10883" s="29" t="e">
        <f t="shared" si="170"/>
        <v>#VALUE!</v>
      </c>
      <c r="E10883" t="e">
        <f>cubic_spline(CURVA!$B$6:$B$20,CURVA!$G$6:$G$20,#REF!)</f>
        <v>#VALUE!</v>
      </c>
    </row>
    <row r="10884" spans="1:5" x14ac:dyDescent="0.2">
      <c r="A10884" s="28">
        <v>10883</v>
      </c>
      <c r="B10884" s="28" t="e">
        <f>interpola(#REF!,CURVA!$B$6:$B$20,CURVA!$G$6:$G$20)</f>
        <v>#VALUE!</v>
      </c>
      <c r="C10884" s="29" t="e">
        <f t="shared" si="170"/>
        <v>#VALUE!</v>
      </c>
      <c r="E10884" t="e">
        <f>cubic_spline(CURVA!$B$6:$B$20,CURVA!$G$6:$G$20,#REF!)</f>
        <v>#VALUE!</v>
      </c>
    </row>
    <row r="10885" spans="1:5" x14ac:dyDescent="0.2">
      <c r="A10885" s="28">
        <v>10884</v>
      </c>
      <c r="B10885" s="28" t="e">
        <f>interpola(#REF!,CURVA!$B$6:$B$20,CURVA!$G$6:$G$20)</f>
        <v>#VALUE!</v>
      </c>
      <c r="C10885" s="29" t="e">
        <f t="shared" si="170"/>
        <v>#VALUE!</v>
      </c>
      <c r="E10885" t="e">
        <f>cubic_spline(CURVA!$B$6:$B$20,CURVA!$G$6:$G$20,#REF!)</f>
        <v>#VALUE!</v>
      </c>
    </row>
    <row r="10886" spans="1:5" x14ac:dyDescent="0.2">
      <c r="A10886" s="28">
        <v>10885</v>
      </c>
      <c r="B10886" s="28" t="e">
        <f>interpola(#REF!,CURVA!$B$6:$B$20,CURVA!$G$6:$G$20)</f>
        <v>#VALUE!</v>
      </c>
      <c r="C10886" s="29" t="e">
        <f t="shared" si="170"/>
        <v>#VALUE!</v>
      </c>
      <c r="E10886" t="e">
        <f>cubic_spline(CURVA!$B$6:$B$20,CURVA!$G$6:$G$20,#REF!)</f>
        <v>#VALUE!</v>
      </c>
    </row>
    <row r="10887" spans="1:5" x14ac:dyDescent="0.2">
      <c r="A10887" s="28">
        <v>10886</v>
      </c>
      <c r="B10887" s="28" t="e">
        <f>interpola(#REF!,CURVA!$B$6:$B$20,CURVA!$G$6:$G$20)</f>
        <v>#VALUE!</v>
      </c>
      <c r="C10887" s="29" t="e">
        <f t="shared" si="170"/>
        <v>#VALUE!</v>
      </c>
      <c r="E10887" t="e">
        <f>cubic_spline(CURVA!$B$6:$B$20,CURVA!$G$6:$G$20,#REF!)</f>
        <v>#VALUE!</v>
      </c>
    </row>
    <row r="10888" spans="1:5" x14ac:dyDescent="0.2">
      <c r="A10888" s="28">
        <v>10887</v>
      </c>
      <c r="B10888" s="28" t="e">
        <f>interpola(#REF!,CURVA!$B$6:$B$20,CURVA!$G$6:$G$20)</f>
        <v>#VALUE!</v>
      </c>
      <c r="C10888" s="29" t="e">
        <f t="shared" si="170"/>
        <v>#VALUE!</v>
      </c>
      <c r="E10888" t="e">
        <f>cubic_spline(CURVA!$B$6:$B$20,CURVA!$G$6:$G$20,#REF!)</f>
        <v>#VALUE!</v>
      </c>
    </row>
    <row r="10889" spans="1:5" x14ac:dyDescent="0.2">
      <c r="A10889" s="28">
        <v>10888</v>
      </c>
      <c r="B10889" s="28" t="e">
        <f>interpola(#REF!,CURVA!$B$6:$B$20,CURVA!$G$6:$G$20)</f>
        <v>#VALUE!</v>
      </c>
      <c r="C10889" s="29" t="e">
        <f t="shared" si="170"/>
        <v>#VALUE!</v>
      </c>
      <c r="E10889" t="e">
        <f>cubic_spline(CURVA!$B$6:$B$20,CURVA!$G$6:$G$20,#REF!)</f>
        <v>#VALUE!</v>
      </c>
    </row>
    <row r="10890" spans="1:5" x14ac:dyDescent="0.2">
      <c r="A10890" s="28">
        <v>10889</v>
      </c>
      <c r="B10890" s="28" t="e">
        <f>interpola(#REF!,CURVA!$B$6:$B$20,CURVA!$G$6:$G$20)</f>
        <v>#VALUE!</v>
      </c>
      <c r="C10890" s="29" t="e">
        <f t="shared" si="170"/>
        <v>#VALUE!</v>
      </c>
      <c r="E10890" t="e">
        <f>cubic_spline(CURVA!$B$6:$B$20,CURVA!$G$6:$G$20,#REF!)</f>
        <v>#VALUE!</v>
      </c>
    </row>
    <row r="10891" spans="1:5" x14ac:dyDescent="0.2">
      <c r="A10891" s="28">
        <v>10890</v>
      </c>
      <c r="B10891" s="28" t="e">
        <f>interpola(#REF!,CURVA!$B$6:$B$20,CURVA!$G$6:$G$20)</f>
        <v>#VALUE!</v>
      </c>
      <c r="C10891" s="29" t="e">
        <f t="shared" si="170"/>
        <v>#VALUE!</v>
      </c>
      <c r="E10891" t="e">
        <f>cubic_spline(CURVA!$B$6:$B$20,CURVA!$G$6:$G$20,#REF!)</f>
        <v>#VALUE!</v>
      </c>
    </row>
    <row r="10892" spans="1:5" x14ac:dyDescent="0.2">
      <c r="A10892" s="28">
        <v>10891</v>
      </c>
      <c r="B10892" s="28" t="e">
        <f>interpola(#REF!,CURVA!$B$6:$B$20,CURVA!$G$6:$G$20)</f>
        <v>#VALUE!</v>
      </c>
      <c r="C10892" s="29" t="e">
        <f t="shared" si="170"/>
        <v>#VALUE!</v>
      </c>
      <c r="E10892" t="e">
        <f>cubic_spline(CURVA!$B$6:$B$20,CURVA!$G$6:$G$20,#REF!)</f>
        <v>#VALUE!</v>
      </c>
    </row>
    <row r="10893" spans="1:5" x14ac:dyDescent="0.2">
      <c r="A10893" s="28">
        <v>10892</v>
      </c>
      <c r="B10893" s="28" t="e">
        <f>interpola(#REF!,CURVA!$B$6:$B$20,CURVA!$G$6:$G$20)</f>
        <v>#VALUE!</v>
      </c>
      <c r="C10893" s="29" t="e">
        <f t="shared" si="170"/>
        <v>#VALUE!</v>
      </c>
      <c r="E10893" t="e">
        <f>cubic_spline(CURVA!$B$6:$B$20,CURVA!$G$6:$G$20,#REF!)</f>
        <v>#VALUE!</v>
      </c>
    </row>
    <row r="10894" spans="1:5" x14ac:dyDescent="0.2">
      <c r="A10894" s="28">
        <v>10893</v>
      </c>
      <c r="B10894" s="28" t="e">
        <f>interpola(#REF!,CURVA!$B$6:$B$20,CURVA!$G$6:$G$20)</f>
        <v>#VALUE!</v>
      </c>
      <c r="C10894" s="29" t="e">
        <f t="shared" si="170"/>
        <v>#VALUE!</v>
      </c>
      <c r="E10894" t="e">
        <f>cubic_spline(CURVA!$B$6:$B$20,CURVA!$G$6:$G$20,#REF!)</f>
        <v>#VALUE!</v>
      </c>
    </row>
    <row r="10895" spans="1:5" x14ac:dyDescent="0.2">
      <c r="A10895" s="28">
        <v>10894</v>
      </c>
      <c r="B10895" s="28" t="e">
        <f>interpola(#REF!,CURVA!$B$6:$B$20,CURVA!$G$6:$G$20)</f>
        <v>#VALUE!</v>
      </c>
      <c r="C10895" s="29" t="e">
        <f t="shared" si="170"/>
        <v>#VALUE!</v>
      </c>
      <c r="E10895" t="e">
        <f>cubic_spline(CURVA!$B$6:$B$20,CURVA!$G$6:$G$20,#REF!)</f>
        <v>#VALUE!</v>
      </c>
    </row>
    <row r="10896" spans="1:5" x14ac:dyDescent="0.2">
      <c r="A10896" s="28">
        <v>10895</v>
      </c>
      <c r="B10896" s="28" t="e">
        <f>interpola(#REF!,CURVA!$B$6:$B$20,CURVA!$G$6:$G$20)</f>
        <v>#VALUE!</v>
      </c>
      <c r="C10896" s="29" t="e">
        <f t="shared" si="170"/>
        <v>#VALUE!</v>
      </c>
      <c r="E10896" t="e">
        <f>cubic_spline(CURVA!$B$6:$B$20,CURVA!$G$6:$G$20,#REF!)</f>
        <v>#VALUE!</v>
      </c>
    </row>
    <row r="10897" spans="1:5" x14ac:dyDescent="0.2">
      <c r="A10897" s="28">
        <v>10896</v>
      </c>
      <c r="B10897" s="28" t="e">
        <f>interpola(#REF!,CURVA!$B$6:$B$20,CURVA!$G$6:$G$20)</f>
        <v>#VALUE!</v>
      </c>
      <c r="C10897" s="29" t="e">
        <f t="shared" si="170"/>
        <v>#VALUE!</v>
      </c>
      <c r="E10897" t="e">
        <f>cubic_spline(CURVA!$B$6:$B$20,CURVA!$G$6:$G$20,#REF!)</f>
        <v>#VALUE!</v>
      </c>
    </row>
    <row r="10898" spans="1:5" x14ac:dyDescent="0.2">
      <c r="A10898" s="28">
        <v>10897</v>
      </c>
      <c r="B10898" s="28" t="e">
        <f>interpola(#REF!,CURVA!$B$6:$B$20,CURVA!$G$6:$G$20)</f>
        <v>#VALUE!</v>
      </c>
      <c r="C10898" s="29" t="e">
        <f t="shared" si="170"/>
        <v>#VALUE!</v>
      </c>
      <c r="E10898" t="e">
        <f>cubic_spline(CURVA!$B$6:$B$20,CURVA!$G$6:$G$20,#REF!)</f>
        <v>#VALUE!</v>
      </c>
    </row>
    <row r="10899" spans="1:5" x14ac:dyDescent="0.2">
      <c r="A10899" s="28">
        <v>10898</v>
      </c>
      <c r="B10899" s="28" t="e">
        <f>interpola(#REF!,CURVA!$B$6:$B$20,CURVA!$G$6:$G$20)</f>
        <v>#VALUE!</v>
      </c>
      <c r="C10899" s="29" t="e">
        <f t="shared" si="170"/>
        <v>#VALUE!</v>
      </c>
      <c r="E10899" t="e">
        <f>cubic_spline(CURVA!$B$6:$B$20,CURVA!$G$6:$G$20,#REF!)</f>
        <v>#VALUE!</v>
      </c>
    </row>
    <row r="10900" spans="1:5" x14ac:dyDescent="0.2">
      <c r="A10900" s="28">
        <v>10899</v>
      </c>
      <c r="B10900" s="28" t="e">
        <f>interpola(#REF!,CURVA!$B$6:$B$20,CURVA!$G$6:$G$20)</f>
        <v>#VALUE!</v>
      </c>
      <c r="C10900" s="29" t="e">
        <f t="shared" si="170"/>
        <v>#VALUE!</v>
      </c>
      <c r="E10900" t="e">
        <f>cubic_spline(CURVA!$B$6:$B$20,CURVA!$G$6:$G$20,#REF!)</f>
        <v>#VALUE!</v>
      </c>
    </row>
    <row r="10901" spans="1:5" x14ac:dyDescent="0.2">
      <c r="A10901" s="28">
        <v>10900</v>
      </c>
      <c r="B10901" s="28" t="e">
        <f>interpola(#REF!,CURVA!$B$6:$B$20,CURVA!$G$6:$G$20)</f>
        <v>#VALUE!</v>
      </c>
      <c r="C10901" s="29" t="e">
        <f t="shared" si="170"/>
        <v>#VALUE!</v>
      </c>
      <c r="E10901" t="e">
        <f>cubic_spline(CURVA!$B$6:$B$20,CURVA!$G$6:$G$20,#REF!)</f>
        <v>#VALUE!</v>
      </c>
    </row>
    <row r="10902" spans="1:5" x14ac:dyDescent="0.2">
      <c r="A10902" s="28">
        <v>10901</v>
      </c>
      <c r="B10902" s="28" t="e">
        <f>interpola(#REF!,CURVA!$B$6:$B$20,CURVA!$G$6:$G$20)</f>
        <v>#VALUE!</v>
      </c>
      <c r="C10902" s="29" t="e">
        <f t="shared" si="170"/>
        <v>#VALUE!</v>
      </c>
      <c r="E10902" t="e">
        <f>cubic_spline(CURVA!$B$6:$B$20,CURVA!$G$6:$G$20,#REF!)</f>
        <v>#VALUE!</v>
      </c>
    </row>
    <row r="10903" spans="1:5" x14ac:dyDescent="0.2">
      <c r="A10903" s="28">
        <v>10902</v>
      </c>
      <c r="B10903" s="28" t="e">
        <f>interpola(#REF!,CURVA!$B$6:$B$20,CURVA!$G$6:$G$20)</f>
        <v>#VALUE!</v>
      </c>
      <c r="C10903" s="29" t="e">
        <f t="shared" si="170"/>
        <v>#VALUE!</v>
      </c>
      <c r="E10903" t="e">
        <f>cubic_spline(CURVA!$B$6:$B$20,CURVA!$G$6:$G$20,#REF!)</f>
        <v>#VALUE!</v>
      </c>
    </row>
    <row r="10904" spans="1:5" x14ac:dyDescent="0.2">
      <c r="A10904" s="28">
        <v>10903</v>
      </c>
      <c r="B10904" s="28" t="e">
        <f>interpola(#REF!,CURVA!$B$6:$B$20,CURVA!$G$6:$G$20)</f>
        <v>#VALUE!</v>
      </c>
      <c r="C10904" s="29" t="e">
        <f t="shared" si="170"/>
        <v>#VALUE!</v>
      </c>
      <c r="E10904" t="e">
        <f>cubic_spline(CURVA!$B$6:$B$20,CURVA!$G$6:$G$20,#REF!)</f>
        <v>#VALUE!</v>
      </c>
    </row>
    <row r="10905" spans="1:5" x14ac:dyDescent="0.2">
      <c r="A10905" s="28">
        <v>10904</v>
      </c>
      <c r="B10905" s="28" t="e">
        <f>interpola(#REF!,CURVA!$B$6:$B$20,CURVA!$G$6:$G$20)</f>
        <v>#VALUE!</v>
      </c>
      <c r="C10905" s="29" t="e">
        <f t="shared" si="170"/>
        <v>#VALUE!</v>
      </c>
      <c r="E10905" t="e">
        <f>cubic_spline(CURVA!$B$6:$B$20,CURVA!$G$6:$G$20,#REF!)</f>
        <v>#VALUE!</v>
      </c>
    </row>
    <row r="10906" spans="1:5" x14ac:dyDescent="0.2">
      <c r="A10906" s="28">
        <v>10905</v>
      </c>
      <c r="B10906" s="28" t="e">
        <f>interpola(#REF!,CURVA!$B$6:$B$20,CURVA!$G$6:$G$20)</f>
        <v>#VALUE!</v>
      </c>
      <c r="C10906" s="29" t="e">
        <f t="shared" si="170"/>
        <v>#VALUE!</v>
      </c>
      <c r="E10906" t="e">
        <f>cubic_spline(CURVA!$B$6:$B$20,CURVA!$G$6:$G$20,#REF!)</f>
        <v>#VALUE!</v>
      </c>
    </row>
    <row r="10907" spans="1:5" x14ac:dyDescent="0.2">
      <c r="A10907" s="28">
        <v>10906</v>
      </c>
      <c r="B10907" s="28" t="e">
        <f>interpola(#REF!,CURVA!$B$6:$B$20,CURVA!$G$6:$G$20)</f>
        <v>#VALUE!</v>
      </c>
      <c r="C10907" s="29" t="e">
        <f t="shared" si="170"/>
        <v>#VALUE!</v>
      </c>
      <c r="E10907" t="e">
        <f>cubic_spline(CURVA!$B$6:$B$20,CURVA!$G$6:$G$20,#REF!)</f>
        <v>#VALUE!</v>
      </c>
    </row>
    <row r="10908" spans="1:5" x14ac:dyDescent="0.2">
      <c r="A10908" s="28">
        <v>10907</v>
      </c>
      <c r="B10908" s="28" t="e">
        <f>interpola(#REF!,CURVA!$B$6:$B$20,CURVA!$G$6:$G$20)</f>
        <v>#VALUE!</v>
      </c>
      <c r="C10908" s="29" t="e">
        <f t="shared" si="170"/>
        <v>#VALUE!</v>
      </c>
      <c r="E10908" t="e">
        <f>cubic_spline(CURVA!$B$6:$B$20,CURVA!$G$6:$G$20,#REF!)</f>
        <v>#VALUE!</v>
      </c>
    </row>
    <row r="10909" spans="1:5" x14ac:dyDescent="0.2">
      <c r="A10909" s="28">
        <v>10908</v>
      </c>
      <c r="B10909" s="28" t="e">
        <f>interpola(#REF!,CURVA!$B$6:$B$20,CURVA!$G$6:$G$20)</f>
        <v>#VALUE!</v>
      </c>
      <c r="C10909" s="29" t="e">
        <f t="shared" si="170"/>
        <v>#VALUE!</v>
      </c>
      <c r="E10909" t="e">
        <f>cubic_spline(CURVA!$B$6:$B$20,CURVA!$G$6:$G$20,#REF!)</f>
        <v>#VALUE!</v>
      </c>
    </row>
    <row r="10910" spans="1:5" x14ac:dyDescent="0.2">
      <c r="A10910" s="28">
        <v>10909</v>
      </c>
      <c r="B10910" s="28" t="e">
        <f>interpola(#REF!,CURVA!$B$6:$B$20,CURVA!$G$6:$G$20)</f>
        <v>#VALUE!</v>
      </c>
      <c r="C10910" s="29" t="e">
        <f t="shared" si="170"/>
        <v>#VALUE!</v>
      </c>
      <c r="E10910" t="e">
        <f>cubic_spline(CURVA!$B$6:$B$20,CURVA!$G$6:$G$20,#REF!)</f>
        <v>#VALUE!</v>
      </c>
    </row>
    <row r="10911" spans="1:5" x14ac:dyDescent="0.2">
      <c r="A10911" s="28">
        <v>10910</v>
      </c>
      <c r="B10911" s="28" t="e">
        <f>interpola(#REF!,CURVA!$B$6:$B$20,CURVA!$G$6:$G$20)</f>
        <v>#VALUE!</v>
      </c>
      <c r="C10911" s="29" t="e">
        <f t="shared" si="170"/>
        <v>#VALUE!</v>
      </c>
      <c r="E10911" t="e">
        <f>cubic_spline(CURVA!$B$6:$B$20,CURVA!$G$6:$G$20,#REF!)</f>
        <v>#VALUE!</v>
      </c>
    </row>
    <row r="10912" spans="1:5" x14ac:dyDescent="0.2">
      <c r="A10912" s="28">
        <v>10911</v>
      </c>
      <c r="B10912" s="28" t="e">
        <f>interpola(#REF!,CURVA!$B$6:$B$20,CURVA!$G$6:$G$20)</f>
        <v>#VALUE!</v>
      </c>
      <c r="C10912" s="29" t="e">
        <f t="shared" si="170"/>
        <v>#VALUE!</v>
      </c>
      <c r="E10912" t="e">
        <f>cubic_spline(CURVA!$B$6:$B$20,CURVA!$G$6:$G$20,#REF!)</f>
        <v>#VALUE!</v>
      </c>
    </row>
    <row r="10913" spans="1:5" x14ac:dyDescent="0.2">
      <c r="A10913" s="28">
        <v>10912</v>
      </c>
      <c r="B10913" s="28" t="e">
        <f>interpola(#REF!,CURVA!$B$6:$B$20,CURVA!$G$6:$G$20)</f>
        <v>#VALUE!</v>
      </c>
      <c r="C10913" s="29" t="e">
        <f t="shared" si="170"/>
        <v>#VALUE!</v>
      </c>
      <c r="E10913" t="e">
        <f>cubic_spline(CURVA!$B$6:$B$20,CURVA!$G$6:$G$20,#REF!)</f>
        <v>#VALUE!</v>
      </c>
    </row>
    <row r="10914" spans="1:5" x14ac:dyDescent="0.2">
      <c r="A10914" s="28">
        <v>10913</v>
      </c>
      <c r="B10914" s="28" t="e">
        <f>interpola(#REF!,CURVA!$B$6:$B$20,CURVA!$G$6:$G$20)</f>
        <v>#VALUE!</v>
      </c>
      <c r="C10914" s="29" t="e">
        <f t="shared" si="170"/>
        <v>#VALUE!</v>
      </c>
      <c r="E10914" t="e">
        <f>cubic_spline(CURVA!$B$6:$B$20,CURVA!$G$6:$G$20,#REF!)</f>
        <v>#VALUE!</v>
      </c>
    </row>
    <row r="10915" spans="1:5" x14ac:dyDescent="0.2">
      <c r="A10915" s="28">
        <v>10914</v>
      </c>
      <c r="B10915" s="28" t="e">
        <f>interpola(#REF!,CURVA!$B$6:$B$20,CURVA!$G$6:$G$20)</f>
        <v>#VALUE!</v>
      </c>
      <c r="C10915" s="29" t="e">
        <f t="shared" si="170"/>
        <v>#VALUE!</v>
      </c>
      <c r="E10915" t="e">
        <f>cubic_spline(CURVA!$B$6:$B$20,CURVA!$G$6:$G$20,#REF!)</f>
        <v>#VALUE!</v>
      </c>
    </row>
    <row r="10916" spans="1:5" x14ac:dyDescent="0.2">
      <c r="A10916" s="28">
        <v>10915</v>
      </c>
      <c r="B10916" s="28" t="e">
        <f>interpola(#REF!,CURVA!$B$6:$B$20,CURVA!$G$6:$G$20)</f>
        <v>#VALUE!</v>
      </c>
      <c r="C10916" s="29" t="e">
        <f t="shared" si="170"/>
        <v>#VALUE!</v>
      </c>
      <c r="E10916" t="e">
        <f>cubic_spline(CURVA!$B$6:$B$20,CURVA!$G$6:$G$20,#REF!)</f>
        <v>#VALUE!</v>
      </c>
    </row>
    <row r="10917" spans="1:5" x14ac:dyDescent="0.2">
      <c r="A10917" s="28">
        <v>10916</v>
      </c>
      <c r="B10917" s="28" t="e">
        <f>interpola(#REF!,CURVA!$B$6:$B$20,CURVA!$G$6:$G$20)</f>
        <v>#VALUE!</v>
      </c>
      <c r="C10917" s="29" t="e">
        <f t="shared" si="170"/>
        <v>#VALUE!</v>
      </c>
      <c r="E10917" t="e">
        <f>cubic_spline(CURVA!$B$6:$B$20,CURVA!$G$6:$G$20,#REF!)</f>
        <v>#VALUE!</v>
      </c>
    </row>
    <row r="10918" spans="1:5" x14ac:dyDescent="0.2">
      <c r="A10918" s="28">
        <v>10917</v>
      </c>
      <c r="B10918" s="28" t="e">
        <f>interpola(#REF!,CURVA!$B$6:$B$20,CURVA!$G$6:$G$20)</f>
        <v>#VALUE!</v>
      </c>
      <c r="C10918" s="29" t="e">
        <f t="shared" si="170"/>
        <v>#VALUE!</v>
      </c>
      <c r="E10918" t="e">
        <f>cubic_spline(CURVA!$B$6:$B$20,CURVA!$G$6:$G$20,#REF!)</f>
        <v>#VALUE!</v>
      </c>
    </row>
    <row r="10919" spans="1:5" x14ac:dyDescent="0.2">
      <c r="A10919" s="28">
        <v>10918</v>
      </c>
      <c r="B10919" s="28" t="e">
        <f>interpola(#REF!,CURVA!$B$6:$B$20,CURVA!$G$6:$G$20)</f>
        <v>#VALUE!</v>
      </c>
      <c r="C10919" s="29" t="e">
        <f t="shared" si="170"/>
        <v>#VALUE!</v>
      </c>
      <c r="E10919" t="e">
        <f>cubic_spline(CURVA!$B$6:$B$20,CURVA!$G$6:$G$20,#REF!)</f>
        <v>#VALUE!</v>
      </c>
    </row>
    <row r="10920" spans="1:5" x14ac:dyDescent="0.2">
      <c r="A10920" s="28">
        <v>10919</v>
      </c>
      <c r="B10920" s="28" t="e">
        <f>interpola(#REF!,CURVA!$B$6:$B$20,CURVA!$G$6:$G$20)</f>
        <v>#VALUE!</v>
      </c>
      <c r="C10920" s="29" t="e">
        <f t="shared" si="170"/>
        <v>#VALUE!</v>
      </c>
      <c r="E10920" t="e">
        <f>cubic_spline(CURVA!$B$6:$B$20,CURVA!$G$6:$G$20,#REF!)</f>
        <v>#VALUE!</v>
      </c>
    </row>
    <row r="10921" spans="1:5" x14ac:dyDescent="0.2">
      <c r="A10921" s="28">
        <v>10920</v>
      </c>
      <c r="B10921" s="28" t="e">
        <f>interpola(#REF!,CURVA!$B$6:$B$20,CURVA!$G$6:$G$20)</f>
        <v>#VALUE!</v>
      </c>
      <c r="C10921" s="29" t="e">
        <f t="shared" si="170"/>
        <v>#VALUE!</v>
      </c>
      <c r="E10921" t="e">
        <f>cubic_spline(CURVA!$B$6:$B$20,CURVA!$G$6:$G$20,#REF!)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CURVA</vt:lpstr>
      <vt:lpstr>SWAPS</vt:lpstr>
      <vt:lpstr>CURVA DIARIA</vt:lpstr>
    </vt:vector>
  </TitlesOfParts>
  <Company>BBVA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m910738</dc:creator>
  <cp:lastModifiedBy>Claudio Cuevas Pazos</cp:lastModifiedBy>
  <dcterms:created xsi:type="dcterms:W3CDTF">2012-04-09T14:50:23Z</dcterms:created>
  <dcterms:modified xsi:type="dcterms:W3CDTF">2017-12-09T17:15:45Z</dcterms:modified>
</cp:coreProperties>
</file>