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\OneDrive\Escritorio\Clases\Banco Azteca\"/>
    </mc:Choice>
  </mc:AlternateContent>
  <xr:revisionPtr revIDLastSave="0" documentId="8_{7D1FC84C-3425-4BEE-985F-B062240B904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Hoja1" sheetId="14" r:id="rId1"/>
    <sheet name="Hoja3" sheetId="16" r:id="rId2"/>
    <sheet name="Hoja4" sheetId="17" state="hidden" r:id="rId3"/>
  </sheets>
  <functionGroups builtInGroupCount="19"/>
  <definedNames>
    <definedName name="diasMXNBASIS">#REF!</definedName>
    <definedName name="diasMXNOIS">#REF!</definedName>
    <definedName name="diasMXNTIIE">#REF!</definedName>
    <definedName name="diasMXNuncol">#REF!</definedName>
    <definedName name="diasUSDcolMXN">#REF!</definedName>
    <definedName name="diasUSDL1M">#REF!</definedName>
    <definedName name="diasUSDL3M">#REF!</definedName>
    <definedName name="diasUSDOIS">#REF!</definedName>
    <definedName name="diasUSDuncol">#REF!</definedName>
    <definedName name="fdMXNBASIS">#REF!</definedName>
    <definedName name="fdMXNOIS">#REF!</definedName>
    <definedName name="fdMXNTIIE">#REF!</definedName>
    <definedName name="fdMXNuncol">#REF!</definedName>
    <definedName name="fdUSDcolMXN">#REF!</definedName>
    <definedName name="fdUSDL1M">#REF!</definedName>
    <definedName name="fdUSDL3M">#REF!</definedName>
    <definedName name="fdUSDOIS">#REF!</definedName>
    <definedName name="fdUSDuncol">#REF!</definedName>
    <definedName name="ho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6" l="1"/>
  <c r="N4" i="16" l="1"/>
  <c r="O4" i="16" s="1"/>
  <c r="H5" i="16"/>
  <c r="I5" i="16" s="1"/>
  <c r="I6" i="16"/>
  <c r="H7" i="16"/>
  <c r="I7" i="16" s="1"/>
  <c r="H8" i="16"/>
  <c r="I8" i="16" s="1"/>
  <c r="H9" i="16"/>
  <c r="I9" i="16" s="1"/>
  <c r="H10" i="16"/>
  <c r="I10" i="16" s="1"/>
  <c r="H11" i="16"/>
  <c r="I11" i="16" s="1"/>
  <c r="H12" i="16"/>
  <c r="I12" i="16" s="1"/>
  <c r="H13" i="16"/>
  <c r="I13" i="16" s="1"/>
  <c r="H14" i="16"/>
  <c r="I14" i="16" s="1"/>
  <c r="H15" i="16"/>
  <c r="I15" i="16" s="1"/>
  <c r="H16" i="16"/>
  <c r="I16" i="16" s="1"/>
  <c r="H17" i="16"/>
  <c r="I17" i="16" s="1"/>
  <c r="H18" i="16"/>
  <c r="I18" i="16" s="1"/>
  <c r="H19" i="16"/>
  <c r="I19" i="16" s="1"/>
  <c r="H20" i="16"/>
  <c r="I20" i="16" s="1"/>
  <c r="H21" i="16"/>
  <c r="I21" i="16" s="1"/>
  <c r="H22" i="16"/>
  <c r="I22" i="16" s="1"/>
  <c r="H23" i="16"/>
  <c r="I23" i="16" s="1"/>
  <c r="H24" i="16"/>
  <c r="I24" i="16" s="1"/>
  <c r="H25" i="16"/>
  <c r="I25" i="16" s="1"/>
  <c r="H26" i="16"/>
  <c r="I26" i="16" s="1"/>
  <c r="H27" i="16"/>
  <c r="I27" i="16" s="1"/>
  <c r="H28" i="16"/>
  <c r="I28" i="16" s="1"/>
  <c r="H29" i="16"/>
  <c r="I29" i="16" s="1"/>
  <c r="H30" i="16"/>
  <c r="I30" i="16" s="1"/>
  <c r="H31" i="16"/>
  <c r="I31" i="16" s="1"/>
  <c r="H32" i="16"/>
  <c r="I32" i="16" s="1"/>
  <c r="H33" i="16"/>
  <c r="I33" i="16" s="1"/>
  <c r="H34" i="16"/>
  <c r="I34" i="16" s="1"/>
  <c r="H35" i="16"/>
  <c r="I35" i="16" s="1"/>
  <c r="H36" i="16"/>
  <c r="I36" i="16" s="1"/>
  <c r="H37" i="16"/>
  <c r="I37" i="16" s="1"/>
  <c r="H38" i="16"/>
  <c r="I38" i="16" s="1"/>
  <c r="H39" i="16"/>
  <c r="I39" i="16" s="1"/>
  <c r="H40" i="16"/>
  <c r="I40" i="16" s="1"/>
  <c r="H41" i="16"/>
  <c r="I41" i="16" s="1"/>
  <c r="H42" i="16"/>
  <c r="I42" i="16" s="1"/>
  <c r="H43" i="16"/>
  <c r="I43" i="16" s="1"/>
  <c r="H44" i="16"/>
  <c r="I44" i="16" s="1"/>
  <c r="H45" i="16"/>
  <c r="I45" i="16" s="1"/>
  <c r="H46" i="16"/>
  <c r="I46" i="16" s="1"/>
  <c r="H47" i="16"/>
  <c r="I47" i="16" s="1"/>
  <c r="H48" i="16"/>
  <c r="I48" i="16" s="1"/>
  <c r="H49" i="16"/>
  <c r="I49" i="16" s="1"/>
  <c r="H50" i="16"/>
  <c r="I50" i="16" s="1"/>
  <c r="H51" i="16"/>
  <c r="I51" i="16" s="1"/>
  <c r="H52" i="16"/>
  <c r="I52" i="16" s="1"/>
  <c r="H53" i="16"/>
  <c r="I53" i="16" s="1"/>
  <c r="H54" i="16"/>
  <c r="I54" i="16" s="1"/>
  <c r="H55" i="16"/>
  <c r="I55" i="16" s="1"/>
  <c r="H56" i="16"/>
  <c r="I56" i="16" s="1"/>
  <c r="H57" i="16"/>
  <c r="I57" i="16" s="1"/>
  <c r="H58" i="16"/>
  <c r="I58" i="16" s="1"/>
  <c r="H59" i="16"/>
  <c r="I59" i="16" s="1"/>
  <c r="H60" i="16"/>
  <c r="I60" i="16" s="1"/>
  <c r="H61" i="16"/>
  <c r="I61" i="16" s="1"/>
  <c r="H62" i="16"/>
  <c r="I62" i="16" s="1"/>
  <c r="H63" i="16"/>
  <c r="I63" i="16" s="1"/>
  <c r="H64" i="16"/>
  <c r="I64" i="16" s="1"/>
  <c r="H65" i="16"/>
  <c r="I65" i="16" s="1"/>
  <c r="H66" i="16"/>
  <c r="I66" i="16" s="1"/>
  <c r="H67" i="16"/>
  <c r="I67" i="16" s="1"/>
  <c r="H68" i="16"/>
  <c r="I68" i="16" s="1"/>
  <c r="H4" i="16"/>
  <c r="I4" i="16" s="1"/>
  <c r="E4" i="16"/>
  <c r="F4" i="16" s="1"/>
  <c r="E5" i="16" s="1"/>
  <c r="F5" i="16" s="1"/>
  <c r="C4" i="16"/>
  <c r="L22" i="14"/>
  <c r="L23" i="14"/>
  <c r="L25" i="14" s="1"/>
  <c r="L27" i="14" s="1"/>
  <c r="N6" i="14"/>
  <c r="N5" i="14"/>
  <c r="K20" i="14"/>
  <c r="N20" i="14" s="1"/>
  <c r="K19" i="14"/>
  <c r="N19" i="14" s="1"/>
  <c r="I21" i="14"/>
  <c r="M6" i="14"/>
  <c r="M16" i="14"/>
  <c r="M15" i="14"/>
  <c r="M14" i="14"/>
  <c r="M13" i="14"/>
  <c r="M12" i="14"/>
  <c r="M11" i="14"/>
  <c r="M10" i="14"/>
  <c r="M9" i="14"/>
  <c r="M8" i="14"/>
  <c r="M7" i="14"/>
  <c r="M5" i="14"/>
  <c r="I8" i="14"/>
  <c r="I9" i="14" s="1"/>
  <c r="I10" i="14" s="1"/>
  <c r="I11" i="14" s="1"/>
  <c r="I12" i="14" s="1"/>
  <c r="I13" i="14" s="1"/>
  <c r="I14" i="14" s="1"/>
  <c r="I15" i="14" s="1"/>
  <c r="I16" i="14" s="1"/>
  <c r="F6" i="14"/>
  <c r="F7" i="14"/>
  <c r="F8" i="14"/>
  <c r="F9" i="14"/>
  <c r="F10" i="14"/>
  <c r="F11" i="14"/>
  <c r="F12" i="14"/>
  <c r="F13" i="14"/>
  <c r="F14" i="14"/>
  <c r="F15" i="14"/>
  <c r="F5" i="14"/>
  <c r="D18" i="14"/>
  <c r="E18" i="14" s="1"/>
  <c r="G5" i="14" s="1"/>
  <c r="B19" i="14"/>
  <c r="C19" i="14"/>
  <c r="J20" i="14"/>
  <c r="C18" i="14"/>
  <c r="J21" i="14"/>
  <c r="J19" i="14"/>
  <c r="N5" i="16" l="1"/>
  <c r="O5" i="16" s="1"/>
  <c r="P4" i="16"/>
  <c r="G5" i="16"/>
  <c r="E6" i="16"/>
  <c r="F6" i="16" s="1"/>
  <c r="G4" i="16"/>
  <c r="F18" i="14"/>
  <c r="G18" i="14"/>
  <c r="K21" i="14"/>
  <c r="I22" i="14"/>
  <c r="M20" i="14"/>
  <c r="M19" i="14"/>
  <c r="B20" i="14"/>
  <c r="L24" i="14"/>
  <c r="L29" i="14"/>
  <c r="L28" i="14"/>
  <c r="L26" i="14"/>
  <c r="D19" i="14"/>
  <c r="J22" i="14"/>
  <c r="C20" i="14"/>
  <c r="N6" i="16" l="1"/>
  <c r="O6" i="16" s="1"/>
  <c r="P5" i="16"/>
  <c r="G6" i="16"/>
  <c r="E7" i="16"/>
  <c r="F7" i="16" s="1"/>
  <c r="D20" i="14"/>
  <c r="G19" i="14" s="1"/>
  <c r="K22" i="14"/>
  <c r="E19" i="14"/>
  <c r="F19" i="14"/>
  <c r="B21" i="14"/>
  <c r="I23" i="14"/>
  <c r="M21" i="14"/>
  <c r="N21" i="14"/>
  <c r="N7" i="14" s="1"/>
  <c r="L31" i="14"/>
  <c r="L30" i="14"/>
  <c r="C21" i="14"/>
  <c r="J23" i="14"/>
  <c r="P6" i="16" l="1"/>
  <c r="N7" i="16"/>
  <c r="O7" i="16" s="1"/>
  <c r="G7" i="16"/>
  <c r="E8" i="16"/>
  <c r="F8" i="16" s="1"/>
  <c r="D21" i="14"/>
  <c r="G20" i="14" s="1"/>
  <c r="I24" i="14"/>
  <c r="K23" i="14"/>
  <c r="M22" i="14"/>
  <c r="N22" i="14"/>
  <c r="B22" i="14"/>
  <c r="E20" i="14"/>
  <c r="G6" i="14" s="1"/>
  <c r="F20" i="14"/>
  <c r="L32" i="14"/>
  <c r="L33" i="14"/>
  <c r="J24" i="14"/>
  <c r="C22" i="14"/>
  <c r="N8" i="16" l="1"/>
  <c r="O8" i="16" s="1"/>
  <c r="P7" i="16"/>
  <c r="G8" i="16"/>
  <c r="E9" i="16"/>
  <c r="F9" i="16" s="1"/>
  <c r="D22" i="14"/>
  <c r="G21" i="14" s="1"/>
  <c r="K24" i="14"/>
  <c r="N23" i="14"/>
  <c r="N8" i="14" s="1"/>
  <c r="M23" i="14"/>
  <c r="B23" i="14"/>
  <c r="I25" i="14"/>
  <c r="F21" i="14"/>
  <c r="E21" i="14"/>
  <c r="L35" i="14"/>
  <c r="L34" i="14"/>
  <c r="C23" i="14"/>
  <c r="J25" i="14"/>
  <c r="N9" i="16" l="1"/>
  <c r="O9" i="16" s="1"/>
  <c r="P8" i="16"/>
  <c r="E10" i="16"/>
  <c r="F10" i="16" s="1"/>
  <c r="G9" i="16"/>
  <c r="K25" i="14"/>
  <c r="D23" i="14"/>
  <c r="G22" i="14" s="1"/>
  <c r="I26" i="14"/>
  <c r="N24" i="14"/>
  <c r="M24" i="14"/>
  <c r="B24" i="14"/>
  <c r="F22" i="14"/>
  <c r="E22" i="14"/>
  <c r="L37" i="14"/>
  <c r="L36" i="14"/>
  <c r="J26" i="14"/>
  <c r="C24" i="14"/>
  <c r="N10" i="16" l="1"/>
  <c r="O10" i="16" s="1"/>
  <c r="P9" i="16"/>
  <c r="G10" i="16"/>
  <c r="E11" i="16"/>
  <c r="F11" i="16" s="1"/>
  <c r="K26" i="14"/>
  <c r="D24" i="14"/>
  <c r="G23" i="14" s="1"/>
  <c r="I27" i="14"/>
  <c r="B25" i="14"/>
  <c r="E23" i="14"/>
  <c r="G7" i="14" s="1"/>
  <c r="F23" i="14"/>
  <c r="N25" i="14"/>
  <c r="N9" i="14" s="1"/>
  <c r="M25" i="14"/>
  <c r="L39" i="14"/>
  <c r="L38" i="14"/>
  <c r="C25" i="14"/>
  <c r="J27" i="14"/>
  <c r="N11" i="16" l="1"/>
  <c r="O11" i="16" s="1"/>
  <c r="P10" i="16"/>
  <c r="G11" i="16"/>
  <c r="E12" i="16"/>
  <c r="F12" i="16" s="1"/>
  <c r="D25" i="14"/>
  <c r="G24" i="14" s="1"/>
  <c r="K27" i="14"/>
  <c r="B26" i="14"/>
  <c r="E24" i="14"/>
  <c r="F24" i="14"/>
  <c r="I28" i="14"/>
  <c r="M26" i="14"/>
  <c r="N26" i="14"/>
  <c r="J28" i="14"/>
  <c r="C26" i="14"/>
  <c r="N12" i="16" l="1"/>
  <c r="O12" i="16" s="1"/>
  <c r="P11" i="16"/>
  <c r="G12" i="16"/>
  <c r="E13" i="16"/>
  <c r="F13" i="16" s="1"/>
  <c r="D26" i="14"/>
  <c r="G25" i="14" s="1"/>
  <c r="K28" i="14"/>
  <c r="B27" i="14"/>
  <c r="N27" i="14"/>
  <c r="N10" i="14" s="1"/>
  <c r="M27" i="14"/>
  <c r="I29" i="14"/>
  <c r="F25" i="14"/>
  <c r="E25" i="14"/>
  <c r="C27" i="14"/>
  <c r="J29" i="14"/>
  <c r="N13" i="16" l="1"/>
  <c r="O13" i="16" s="1"/>
  <c r="P12" i="16"/>
  <c r="E14" i="16"/>
  <c r="F14" i="16" s="1"/>
  <c r="G13" i="16"/>
  <c r="D27" i="14"/>
  <c r="G26" i="14" s="1"/>
  <c r="K29" i="14"/>
  <c r="B28" i="14"/>
  <c r="N28" i="14"/>
  <c r="M28" i="14"/>
  <c r="I30" i="14"/>
  <c r="F26" i="14"/>
  <c r="E26" i="14"/>
  <c r="J30" i="14"/>
  <c r="C28" i="14"/>
  <c r="N14" i="16" l="1"/>
  <c r="O14" i="16" s="1"/>
  <c r="P13" i="16"/>
  <c r="G14" i="16"/>
  <c r="E15" i="16"/>
  <c r="F15" i="16" s="1"/>
  <c r="D28" i="14"/>
  <c r="G27" i="14" s="1"/>
  <c r="K30" i="14"/>
  <c r="B29" i="14"/>
  <c r="I31" i="14"/>
  <c r="M29" i="14"/>
  <c r="N29" i="14"/>
  <c r="N11" i="14" s="1"/>
  <c r="E27" i="14"/>
  <c r="F27" i="14"/>
  <c r="C29" i="14"/>
  <c r="J31" i="14"/>
  <c r="N15" i="16" l="1"/>
  <c r="O15" i="16" s="1"/>
  <c r="P14" i="16"/>
  <c r="G15" i="16"/>
  <c r="E16" i="16"/>
  <c r="F16" i="16" s="1"/>
  <c r="D29" i="14"/>
  <c r="G28" i="14" s="1"/>
  <c r="K31" i="14"/>
  <c r="B30" i="14"/>
  <c r="M30" i="14"/>
  <c r="N30" i="14"/>
  <c r="I32" i="14"/>
  <c r="E28" i="14"/>
  <c r="F28" i="14"/>
  <c r="C30" i="14"/>
  <c r="J32" i="14"/>
  <c r="N16" i="16" l="1"/>
  <c r="O16" i="16" s="1"/>
  <c r="P15" i="16"/>
  <c r="G16" i="16"/>
  <c r="E17" i="16"/>
  <c r="F17" i="16" s="1"/>
  <c r="D30" i="14"/>
  <c r="G29" i="14" s="1"/>
  <c r="K32" i="14"/>
  <c r="B31" i="14"/>
  <c r="I33" i="14"/>
  <c r="N31" i="14"/>
  <c r="N12" i="14" s="1"/>
  <c r="M31" i="14"/>
  <c r="F29" i="14"/>
  <c r="E29" i="14"/>
  <c r="C31" i="14"/>
  <c r="J33" i="14"/>
  <c r="N17" i="16" l="1"/>
  <c r="O17" i="16" s="1"/>
  <c r="P16" i="16"/>
  <c r="E18" i="16"/>
  <c r="F18" i="16" s="1"/>
  <c r="G17" i="16"/>
  <c r="K33" i="14"/>
  <c r="D31" i="14"/>
  <c r="G30" i="14" s="1"/>
  <c r="N32" i="14"/>
  <c r="M32" i="14"/>
  <c r="I34" i="14"/>
  <c r="B32" i="14"/>
  <c r="F30" i="14"/>
  <c r="E30" i="14"/>
  <c r="C32" i="14"/>
  <c r="J34" i="14"/>
  <c r="N18" i="16" l="1"/>
  <c r="O18" i="16" s="1"/>
  <c r="P17" i="16"/>
  <c r="G18" i="16"/>
  <c r="E19" i="16"/>
  <c r="F19" i="16" s="1"/>
  <c r="D32" i="14"/>
  <c r="G31" i="14" s="1"/>
  <c r="K34" i="14"/>
  <c r="B33" i="14"/>
  <c r="E31" i="14"/>
  <c r="F31" i="14"/>
  <c r="I35" i="14"/>
  <c r="M33" i="14"/>
  <c r="N33" i="14"/>
  <c r="J35" i="14"/>
  <c r="C33" i="14"/>
  <c r="N19" i="16" l="1"/>
  <c r="O19" i="16" s="1"/>
  <c r="P18" i="16"/>
  <c r="G19" i="16"/>
  <c r="E20" i="16"/>
  <c r="F20" i="16" s="1"/>
  <c r="K35" i="14"/>
  <c r="D33" i="14"/>
  <c r="G32" i="14" s="1"/>
  <c r="I36" i="14"/>
  <c r="B34" i="14"/>
  <c r="M34" i="14"/>
  <c r="N34" i="14"/>
  <c r="E32" i="14"/>
  <c r="F32" i="14"/>
  <c r="C34" i="14"/>
  <c r="J36" i="14"/>
  <c r="N20" i="16" l="1"/>
  <c r="O20" i="16" s="1"/>
  <c r="P19" i="16"/>
  <c r="G20" i="16"/>
  <c r="E21" i="16"/>
  <c r="F21" i="16" s="1"/>
  <c r="D34" i="14"/>
  <c r="G33" i="14" s="1"/>
  <c r="B35" i="14"/>
  <c r="I37" i="14"/>
  <c r="E33" i="14"/>
  <c r="F33" i="14"/>
  <c r="K36" i="14"/>
  <c r="N35" i="14"/>
  <c r="M35" i="14"/>
  <c r="C35" i="14"/>
  <c r="J37" i="14"/>
  <c r="N21" i="16" l="1"/>
  <c r="O21" i="16" s="1"/>
  <c r="P20" i="16"/>
  <c r="E22" i="16"/>
  <c r="F22" i="16" s="1"/>
  <c r="G21" i="16"/>
  <c r="K37" i="14"/>
  <c r="N36" i="14"/>
  <c r="M36" i="14"/>
  <c r="I38" i="14"/>
  <c r="B36" i="14"/>
  <c r="D35" i="14"/>
  <c r="G34" i="14" s="1"/>
  <c r="F34" i="14"/>
  <c r="E34" i="14"/>
  <c r="C36" i="14"/>
  <c r="J38" i="14"/>
  <c r="N22" i="16" l="1"/>
  <c r="O22" i="16" s="1"/>
  <c r="P21" i="16"/>
  <c r="G22" i="16"/>
  <c r="E23" i="16"/>
  <c r="F23" i="16" s="1"/>
  <c r="I39" i="14"/>
  <c r="D36" i="14"/>
  <c r="E35" i="14"/>
  <c r="F35" i="14"/>
  <c r="B37" i="14"/>
  <c r="K38" i="14"/>
  <c r="N37" i="14"/>
  <c r="M37" i="14"/>
  <c r="J39" i="14"/>
  <c r="C37" i="14"/>
  <c r="N23" i="16" l="1"/>
  <c r="O23" i="16" s="1"/>
  <c r="P22" i="16"/>
  <c r="G23" i="16"/>
  <c r="E24" i="16"/>
  <c r="F24" i="16" s="1"/>
  <c r="K39" i="14"/>
  <c r="M38" i="14"/>
  <c r="N38" i="14"/>
  <c r="B38" i="14"/>
  <c r="D37" i="14"/>
  <c r="G36" i="14" s="1"/>
  <c r="E36" i="14"/>
  <c r="F36" i="14"/>
  <c r="G35" i="14"/>
  <c r="C38" i="14"/>
  <c r="N24" i="16" l="1"/>
  <c r="O24" i="16" s="1"/>
  <c r="P23" i="16"/>
  <c r="G24" i="16"/>
  <c r="E25" i="16"/>
  <c r="F25" i="16" s="1"/>
  <c r="B39" i="14"/>
  <c r="D38" i="14"/>
  <c r="G37" i="14" s="1"/>
  <c r="F37" i="14"/>
  <c r="E37" i="14"/>
  <c r="N39" i="14"/>
  <c r="M39" i="14"/>
  <c r="C39" i="14"/>
  <c r="N25" i="16" l="1"/>
  <c r="O25" i="16" s="1"/>
  <c r="P24" i="16"/>
  <c r="E26" i="16"/>
  <c r="F26" i="16" s="1"/>
  <c r="G25" i="16"/>
  <c r="D39" i="14"/>
  <c r="G38" i="14" s="1"/>
  <c r="F38" i="14"/>
  <c r="E38" i="14"/>
  <c r="N13" i="14"/>
  <c r="N16" i="14"/>
  <c r="N14" i="14"/>
  <c r="N15" i="14"/>
  <c r="B40" i="14"/>
  <c r="C40" i="14"/>
  <c r="N26" i="16" l="1"/>
  <c r="O26" i="16" s="1"/>
  <c r="P25" i="16"/>
  <c r="G26" i="16"/>
  <c r="E27" i="16"/>
  <c r="F27" i="16" s="1"/>
  <c r="B41" i="14"/>
  <c r="D40" i="14"/>
  <c r="E39" i="14"/>
  <c r="F39" i="14"/>
  <c r="C41" i="14"/>
  <c r="N27" i="16" l="1"/>
  <c r="O27" i="16" s="1"/>
  <c r="P26" i="16"/>
  <c r="G27" i="16"/>
  <c r="E28" i="16"/>
  <c r="F28" i="16" s="1"/>
  <c r="D41" i="14"/>
  <c r="G40" i="14" s="1"/>
  <c r="E40" i="14"/>
  <c r="F40" i="14"/>
  <c r="G39" i="14"/>
  <c r="B42" i="14"/>
  <c r="C42" i="14"/>
  <c r="N28" i="16" l="1"/>
  <c r="O28" i="16" s="1"/>
  <c r="P27" i="16"/>
  <c r="G28" i="16"/>
  <c r="E29" i="16"/>
  <c r="F29" i="16" s="1"/>
  <c r="B43" i="14"/>
  <c r="D42" i="14"/>
  <c r="G41" i="14" s="1"/>
  <c r="E41" i="14"/>
  <c r="F41" i="14"/>
  <c r="C43" i="14"/>
  <c r="N29" i="16" l="1"/>
  <c r="O29" i="16" s="1"/>
  <c r="P28" i="16"/>
  <c r="E30" i="16"/>
  <c r="F30" i="16" s="1"/>
  <c r="G29" i="16"/>
  <c r="D43" i="14"/>
  <c r="G42" i="14" s="1"/>
  <c r="F42" i="14"/>
  <c r="E42" i="14"/>
  <c r="B44" i="14"/>
  <c r="C44" i="14"/>
  <c r="N30" i="16" l="1"/>
  <c r="O30" i="16" s="1"/>
  <c r="P29" i="16"/>
  <c r="G30" i="16"/>
  <c r="E31" i="16"/>
  <c r="F31" i="16" s="1"/>
  <c r="B45" i="14"/>
  <c r="D44" i="14"/>
  <c r="E43" i="14"/>
  <c r="F43" i="14"/>
  <c r="C45" i="14"/>
  <c r="N31" i="16" l="1"/>
  <c r="O31" i="16" s="1"/>
  <c r="P30" i="16"/>
  <c r="G31" i="16"/>
  <c r="E32" i="16"/>
  <c r="F32" i="16" s="1"/>
  <c r="D45" i="14"/>
  <c r="G44" i="14" s="1"/>
  <c r="E44" i="14"/>
  <c r="F44" i="14"/>
  <c r="G43" i="14"/>
  <c r="B46" i="14"/>
  <c r="C46" i="14"/>
  <c r="N32" i="16" l="1"/>
  <c r="O32" i="16" s="1"/>
  <c r="P31" i="16"/>
  <c r="G32" i="16"/>
  <c r="E33" i="16"/>
  <c r="F33" i="16" s="1"/>
  <c r="B47" i="14"/>
  <c r="D46" i="14"/>
  <c r="G45" i="14" s="1"/>
  <c r="F45" i="14"/>
  <c r="E45" i="14"/>
  <c r="C47" i="14"/>
  <c r="N33" i="16" l="1"/>
  <c r="O33" i="16" s="1"/>
  <c r="P32" i="16"/>
  <c r="E34" i="16"/>
  <c r="F34" i="16" s="1"/>
  <c r="G33" i="16"/>
  <c r="D47" i="14"/>
  <c r="G46" i="14" s="1"/>
  <c r="F46" i="14"/>
  <c r="E46" i="14"/>
  <c r="B48" i="14"/>
  <c r="C48" i="14"/>
  <c r="N34" i="16" l="1"/>
  <c r="O34" i="16" s="1"/>
  <c r="P33" i="16"/>
  <c r="G34" i="16"/>
  <c r="E35" i="16"/>
  <c r="F35" i="16" s="1"/>
  <c r="B49" i="14"/>
  <c r="D48" i="14"/>
  <c r="E47" i="14"/>
  <c r="F47" i="14"/>
  <c r="C49" i="14"/>
  <c r="N35" i="16" l="1"/>
  <c r="O35" i="16" s="1"/>
  <c r="P34" i="16"/>
  <c r="G35" i="16"/>
  <c r="E36" i="16"/>
  <c r="F36" i="16" s="1"/>
  <c r="D49" i="14"/>
  <c r="G48" i="14" s="1"/>
  <c r="E48" i="14"/>
  <c r="F48" i="14"/>
  <c r="G47" i="14"/>
  <c r="B50" i="14"/>
  <c r="C50" i="14"/>
  <c r="N36" i="16" l="1"/>
  <c r="O36" i="16" s="1"/>
  <c r="P35" i="16"/>
  <c r="G36" i="16"/>
  <c r="E37" i="16"/>
  <c r="F37" i="16" s="1"/>
  <c r="B51" i="14"/>
  <c r="D50" i="14"/>
  <c r="G49" i="14" s="1"/>
  <c r="F49" i="14"/>
  <c r="E49" i="14"/>
  <c r="C51" i="14"/>
  <c r="N37" i="16" l="1"/>
  <c r="O37" i="16" s="1"/>
  <c r="P36" i="16"/>
  <c r="E38" i="16"/>
  <c r="F38" i="16" s="1"/>
  <c r="G37" i="16"/>
  <c r="D51" i="14"/>
  <c r="G50" i="14" s="1"/>
  <c r="F50" i="14"/>
  <c r="E50" i="14"/>
  <c r="B52" i="14"/>
  <c r="C52" i="14"/>
  <c r="N38" i="16" l="1"/>
  <c r="O38" i="16" s="1"/>
  <c r="P37" i="16"/>
  <c r="G38" i="16"/>
  <c r="E39" i="16"/>
  <c r="F39" i="16" s="1"/>
  <c r="B53" i="14"/>
  <c r="D52" i="14"/>
  <c r="E51" i="14"/>
  <c r="F51" i="14"/>
  <c r="C53" i="14"/>
  <c r="N39" i="16" l="1"/>
  <c r="O39" i="16" s="1"/>
  <c r="P38" i="16"/>
  <c r="G39" i="16"/>
  <c r="E40" i="16"/>
  <c r="F40" i="16" s="1"/>
  <c r="D53" i="14"/>
  <c r="G52" i="14" s="1"/>
  <c r="E52" i="14"/>
  <c r="F52" i="14"/>
  <c r="G51" i="14"/>
  <c r="B54" i="14"/>
  <c r="C54" i="14"/>
  <c r="N40" i="16" l="1"/>
  <c r="O40" i="16" s="1"/>
  <c r="P39" i="16"/>
  <c r="G40" i="16"/>
  <c r="E41" i="16"/>
  <c r="F41" i="16" s="1"/>
  <c r="B55" i="14"/>
  <c r="D54" i="14"/>
  <c r="G53" i="14" s="1"/>
  <c r="E53" i="14"/>
  <c r="F53" i="14"/>
  <c r="C55" i="14"/>
  <c r="N41" i="16" l="1"/>
  <c r="O41" i="16" s="1"/>
  <c r="P40" i="16"/>
  <c r="E42" i="16"/>
  <c r="F42" i="16" s="1"/>
  <c r="G41" i="16"/>
  <c r="D55" i="14"/>
  <c r="G54" i="14" s="1"/>
  <c r="F54" i="14"/>
  <c r="E54" i="14"/>
  <c r="B56" i="14"/>
  <c r="C56" i="14"/>
  <c r="N42" i="16" l="1"/>
  <c r="O42" i="16" s="1"/>
  <c r="P41" i="16"/>
  <c r="G42" i="16"/>
  <c r="E43" i="16"/>
  <c r="F43" i="16" s="1"/>
  <c r="B57" i="14"/>
  <c r="D56" i="14"/>
  <c r="E55" i="14"/>
  <c r="F55" i="14"/>
  <c r="C57" i="14"/>
  <c r="N43" i="16" l="1"/>
  <c r="O43" i="16" s="1"/>
  <c r="P42" i="16"/>
  <c r="G43" i="16"/>
  <c r="E44" i="16"/>
  <c r="F44" i="16" s="1"/>
  <c r="D57" i="14"/>
  <c r="G56" i="14" s="1"/>
  <c r="E56" i="14"/>
  <c r="F56" i="14"/>
  <c r="G55" i="14"/>
  <c r="B58" i="14"/>
  <c r="C58" i="14"/>
  <c r="N44" i="16" l="1"/>
  <c r="O44" i="16" s="1"/>
  <c r="P43" i="16"/>
  <c r="G44" i="16"/>
  <c r="E45" i="16"/>
  <c r="F45" i="16" s="1"/>
  <c r="B59" i="14"/>
  <c r="D58" i="14"/>
  <c r="G57" i="14" s="1"/>
  <c r="F57" i="14"/>
  <c r="E57" i="14"/>
  <c r="C59" i="14"/>
  <c r="N45" i="16" l="1"/>
  <c r="O45" i="16" s="1"/>
  <c r="P44" i="16"/>
  <c r="E46" i="16"/>
  <c r="F46" i="16" s="1"/>
  <c r="G45" i="16"/>
  <c r="D59" i="14"/>
  <c r="G58" i="14" s="1"/>
  <c r="F58" i="14"/>
  <c r="E58" i="14"/>
  <c r="B60" i="14"/>
  <c r="C60" i="14"/>
  <c r="N46" i="16" l="1"/>
  <c r="O46" i="16" s="1"/>
  <c r="P45" i="16"/>
  <c r="G46" i="16"/>
  <c r="E47" i="16"/>
  <c r="F47" i="16" s="1"/>
  <c r="B61" i="14"/>
  <c r="D60" i="14"/>
  <c r="E59" i="14"/>
  <c r="F59" i="14"/>
  <c r="C61" i="14"/>
  <c r="N47" i="16" l="1"/>
  <c r="O47" i="16" s="1"/>
  <c r="P46" i="16"/>
  <c r="G47" i="16"/>
  <c r="E48" i="16"/>
  <c r="F48" i="16" s="1"/>
  <c r="D61" i="14"/>
  <c r="G60" i="14" s="1"/>
  <c r="E60" i="14"/>
  <c r="F60" i="14"/>
  <c r="G59" i="14"/>
  <c r="B62" i="14"/>
  <c r="C62" i="14"/>
  <c r="N48" i="16" l="1"/>
  <c r="O48" i="16" s="1"/>
  <c r="P47" i="16"/>
  <c r="G48" i="16"/>
  <c r="E49" i="16"/>
  <c r="F49" i="16" s="1"/>
  <c r="B63" i="14"/>
  <c r="D62" i="14"/>
  <c r="G61" i="14" s="1"/>
  <c r="F61" i="14"/>
  <c r="E61" i="14"/>
  <c r="C63" i="14"/>
  <c r="N49" i="16" l="1"/>
  <c r="O49" i="16" s="1"/>
  <c r="P48" i="16"/>
  <c r="E50" i="16"/>
  <c r="F50" i="16" s="1"/>
  <c r="G49" i="16"/>
  <c r="D63" i="14"/>
  <c r="G62" i="14" s="1"/>
  <c r="F62" i="14"/>
  <c r="E62" i="14"/>
  <c r="B64" i="14"/>
  <c r="C64" i="14"/>
  <c r="P49" i="16" l="1"/>
  <c r="N50" i="16"/>
  <c r="O50" i="16" s="1"/>
  <c r="G50" i="16"/>
  <c r="E51" i="16"/>
  <c r="F51" i="16" s="1"/>
  <c r="B65" i="14"/>
  <c r="D64" i="14"/>
  <c r="E63" i="14"/>
  <c r="F63" i="14"/>
  <c r="C65" i="14"/>
  <c r="P50" i="16" l="1"/>
  <c r="N51" i="16"/>
  <c r="O51" i="16" s="1"/>
  <c r="G51" i="16"/>
  <c r="E52" i="16"/>
  <c r="F52" i="16" s="1"/>
  <c r="D65" i="14"/>
  <c r="G64" i="14" s="1"/>
  <c r="E64" i="14"/>
  <c r="F64" i="14"/>
  <c r="G63" i="14"/>
  <c r="B66" i="14"/>
  <c r="C66" i="14"/>
  <c r="P51" i="16" l="1"/>
  <c r="N52" i="16"/>
  <c r="O52" i="16" s="1"/>
  <c r="G52" i="16"/>
  <c r="E53" i="16"/>
  <c r="F53" i="16" s="1"/>
  <c r="B67" i="14"/>
  <c r="D66" i="14"/>
  <c r="G65" i="14" s="1"/>
  <c r="E65" i="14"/>
  <c r="F65" i="14"/>
  <c r="C67" i="14"/>
  <c r="P52" i="16" l="1"/>
  <c r="N53" i="16"/>
  <c r="O53" i="16" s="1"/>
  <c r="E54" i="16"/>
  <c r="F54" i="16" s="1"/>
  <c r="G53" i="16"/>
  <c r="D67" i="14"/>
  <c r="G66" i="14" s="1"/>
  <c r="F66" i="14"/>
  <c r="E66" i="14"/>
  <c r="B68" i="14"/>
  <c r="C68" i="14"/>
  <c r="P53" i="16" l="1"/>
  <c r="N54" i="16"/>
  <c r="O54" i="16" s="1"/>
  <c r="G54" i="16"/>
  <c r="E55" i="16"/>
  <c r="F55" i="16" s="1"/>
  <c r="B69" i="14"/>
  <c r="D68" i="14"/>
  <c r="E67" i="14"/>
  <c r="F67" i="14"/>
  <c r="C69" i="14"/>
  <c r="P54" i="16" l="1"/>
  <c r="N55" i="16"/>
  <c r="O55" i="16" s="1"/>
  <c r="G55" i="16"/>
  <c r="E56" i="16"/>
  <c r="F56" i="16" s="1"/>
  <c r="D69" i="14"/>
  <c r="G68" i="14" s="1"/>
  <c r="E68" i="14"/>
  <c r="F68" i="14"/>
  <c r="G67" i="14"/>
  <c r="B70" i="14"/>
  <c r="C70" i="14"/>
  <c r="P55" i="16" l="1"/>
  <c r="N56" i="16"/>
  <c r="O56" i="16" s="1"/>
  <c r="G56" i="16"/>
  <c r="E57" i="16"/>
  <c r="F57" i="16" s="1"/>
  <c r="B71" i="14"/>
  <c r="D70" i="14"/>
  <c r="G69" i="14" s="1"/>
  <c r="E69" i="14"/>
  <c r="F69" i="14"/>
  <c r="C71" i="14"/>
  <c r="P56" i="16" l="1"/>
  <c r="N57" i="16"/>
  <c r="O57" i="16" s="1"/>
  <c r="E58" i="16"/>
  <c r="F58" i="16" s="1"/>
  <c r="G57" i="16"/>
  <c r="D71" i="14"/>
  <c r="G70" i="14" s="1"/>
  <c r="F70" i="14"/>
  <c r="E70" i="14"/>
  <c r="B72" i="14"/>
  <c r="C72" i="14"/>
  <c r="P57" i="16" l="1"/>
  <c r="N58" i="16"/>
  <c r="O58" i="16" s="1"/>
  <c r="G58" i="16"/>
  <c r="E59" i="16"/>
  <c r="F59" i="16" s="1"/>
  <c r="B73" i="14"/>
  <c r="D72" i="14"/>
  <c r="E71" i="14"/>
  <c r="F71" i="14"/>
  <c r="C73" i="14"/>
  <c r="P58" i="16" l="1"/>
  <c r="N59" i="16"/>
  <c r="O59" i="16" s="1"/>
  <c r="G59" i="16"/>
  <c r="E60" i="16"/>
  <c r="F60" i="16" s="1"/>
  <c r="D73" i="14"/>
  <c r="G72" i="14" s="1"/>
  <c r="E72" i="14"/>
  <c r="F72" i="14"/>
  <c r="G71" i="14"/>
  <c r="B74" i="14"/>
  <c r="C74" i="14"/>
  <c r="P59" i="16" l="1"/>
  <c r="N60" i="16"/>
  <c r="O60" i="16" s="1"/>
  <c r="G60" i="16"/>
  <c r="E61" i="16"/>
  <c r="F61" i="16" s="1"/>
  <c r="B75" i="14"/>
  <c r="D74" i="14"/>
  <c r="G73" i="14" s="1"/>
  <c r="E73" i="14"/>
  <c r="F73" i="14"/>
  <c r="C75" i="14"/>
  <c r="P60" i="16" l="1"/>
  <c r="N61" i="16"/>
  <c r="O61" i="16" s="1"/>
  <c r="E62" i="16"/>
  <c r="F62" i="16" s="1"/>
  <c r="G61" i="16"/>
  <c r="D75" i="14"/>
  <c r="G74" i="14" s="1"/>
  <c r="F74" i="14"/>
  <c r="E74" i="14"/>
  <c r="B76" i="14"/>
  <c r="C76" i="14"/>
  <c r="P61" i="16" l="1"/>
  <c r="N62" i="16"/>
  <c r="O62" i="16" s="1"/>
  <c r="G62" i="16"/>
  <c r="E63" i="16"/>
  <c r="F63" i="16" s="1"/>
  <c r="B77" i="14"/>
  <c r="D76" i="14"/>
  <c r="E75" i="14"/>
  <c r="F75" i="14"/>
  <c r="C77" i="14"/>
  <c r="P62" i="16" l="1"/>
  <c r="N63" i="16"/>
  <c r="O63" i="16" s="1"/>
  <c r="G63" i="16"/>
  <c r="E64" i="16"/>
  <c r="F64" i="16" s="1"/>
  <c r="D77" i="14"/>
  <c r="G76" i="14" s="1"/>
  <c r="E76" i="14"/>
  <c r="F76" i="14"/>
  <c r="G75" i="14"/>
  <c r="B78" i="14"/>
  <c r="C78" i="14"/>
  <c r="P63" i="16" l="1"/>
  <c r="N64" i="16"/>
  <c r="O64" i="16" s="1"/>
  <c r="G64" i="16"/>
  <c r="E65" i="16"/>
  <c r="F65" i="16" s="1"/>
  <c r="B79" i="14"/>
  <c r="D78" i="14"/>
  <c r="G77" i="14" s="1"/>
  <c r="E77" i="14"/>
  <c r="F77" i="14"/>
  <c r="C79" i="14"/>
  <c r="P64" i="16" l="1"/>
  <c r="N65" i="16"/>
  <c r="O65" i="16" s="1"/>
  <c r="E66" i="16"/>
  <c r="F66" i="16" s="1"/>
  <c r="G65" i="16"/>
  <c r="D79" i="14"/>
  <c r="G78" i="14" s="1"/>
  <c r="F78" i="14"/>
  <c r="E78" i="14"/>
  <c r="B80" i="14"/>
  <c r="C80" i="14"/>
  <c r="P65" i="16" l="1"/>
  <c r="N66" i="16"/>
  <c r="O66" i="16" s="1"/>
  <c r="G66" i="16"/>
  <c r="E67" i="16"/>
  <c r="F67" i="16" s="1"/>
  <c r="B81" i="14"/>
  <c r="D80" i="14"/>
  <c r="E79" i="14"/>
  <c r="F79" i="14"/>
  <c r="C81" i="14"/>
  <c r="P66" i="16" l="1"/>
  <c r="N67" i="16"/>
  <c r="O67" i="16" s="1"/>
  <c r="G67" i="16"/>
  <c r="E68" i="16"/>
  <c r="F68" i="16" s="1"/>
  <c r="D81" i="14"/>
  <c r="G80" i="14" s="1"/>
  <c r="E80" i="14"/>
  <c r="F80" i="14"/>
  <c r="G79" i="14"/>
  <c r="B82" i="14"/>
  <c r="C82" i="14"/>
  <c r="P67" i="16" l="1"/>
  <c r="N68" i="16"/>
  <c r="O68" i="16" s="1"/>
  <c r="P68" i="16" s="1"/>
  <c r="G68" i="16"/>
  <c r="B83" i="14"/>
  <c r="D82" i="14"/>
  <c r="G81" i="14" s="1"/>
  <c r="E81" i="14"/>
  <c r="F81" i="14"/>
  <c r="C83" i="14"/>
  <c r="D83" i="14" l="1"/>
  <c r="G82" i="14" s="1"/>
  <c r="F82" i="14"/>
  <c r="E82" i="14"/>
  <c r="B84" i="14"/>
  <c r="C84" i="14"/>
  <c r="B85" i="14" l="1"/>
  <c r="D84" i="14"/>
  <c r="E83" i="14"/>
  <c r="F83" i="14"/>
  <c r="C85" i="14"/>
  <c r="D85" i="14" l="1"/>
  <c r="G84" i="14" s="1"/>
  <c r="E84" i="14"/>
  <c r="F84" i="14"/>
  <c r="G83" i="14"/>
  <c r="B86" i="14"/>
  <c r="C86" i="14"/>
  <c r="D86" i="14" l="1"/>
  <c r="G85" i="14" s="1"/>
  <c r="B87" i="14"/>
  <c r="F85" i="14"/>
  <c r="E85" i="14"/>
  <c r="C87" i="14"/>
  <c r="D87" i="14" l="1"/>
  <c r="G86" i="14" s="1"/>
  <c r="B88" i="14"/>
  <c r="E86" i="14"/>
  <c r="F86" i="14"/>
  <c r="C88" i="14"/>
  <c r="D88" i="14" l="1"/>
  <c r="G87" i="14" s="1"/>
  <c r="B89" i="14"/>
  <c r="F87" i="14"/>
  <c r="E87" i="14"/>
  <c r="C89" i="14"/>
  <c r="D89" i="14" l="1"/>
  <c r="G88" i="14" s="1"/>
  <c r="B90" i="14"/>
  <c r="E88" i="14"/>
  <c r="F88" i="14"/>
  <c r="C90" i="14"/>
  <c r="D90" i="14" l="1"/>
  <c r="G89" i="14" s="1"/>
  <c r="B91" i="14"/>
  <c r="E89" i="14"/>
  <c r="F89" i="14"/>
  <c r="C91" i="14"/>
  <c r="D91" i="14" l="1"/>
  <c r="G90" i="14" s="1"/>
  <c r="B92" i="14"/>
  <c r="E90" i="14"/>
  <c r="F90" i="14"/>
  <c r="C92" i="14"/>
  <c r="D92" i="14" l="1"/>
  <c r="G91" i="14" s="1"/>
  <c r="B93" i="14"/>
  <c r="E91" i="14"/>
  <c r="F91" i="14"/>
  <c r="C93" i="14"/>
  <c r="D93" i="14" l="1"/>
  <c r="G92" i="14" s="1"/>
  <c r="B94" i="14"/>
  <c r="F92" i="14"/>
  <c r="E92" i="14"/>
  <c r="C94" i="14"/>
  <c r="D94" i="14" l="1"/>
  <c r="G93" i="14" s="1"/>
  <c r="B95" i="14"/>
  <c r="E93" i="14"/>
  <c r="F93" i="14"/>
  <c r="C95" i="14"/>
  <c r="D95" i="14" l="1"/>
  <c r="G94" i="14" s="1"/>
  <c r="B96" i="14"/>
  <c r="E94" i="14"/>
  <c r="F94" i="14"/>
  <c r="C96" i="14"/>
  <c r="D96" i="14" l="1"/>
  <c r="G95" i="14" s="1"/>
  <c r="B97" i="14"/>
  <c r="E95" i="14"/>
  <c r="F95" i="14"/>
  <c r="C97" i="14"/>
  <c r="D97" i="14" l="1"/>
  <c r="G96" i="14" s="1"/>
  <c r="B98" i="14"/>
  <c r="F96" i="14"/>
  <c r="E96" i="14"/>
  <c r="C98" i="14"/>
  <c r="D98" i="14" l="1"/>
  <c r="G97" i="14" s="1"/>
  <c r="B99" i="14"/>
  <c r="F97" i="14"/>
  <c r="E97" i="14"/>
  <c r="C99" i="14"/>
  <c r="D99" i="14" l="1"/>
  <c r="G98" i="14" s="1"/>
  <c r="B100" i="14"/>
  <c r="F98" i="14"/>
  <c r="E98" i="14"/>
  <c r="C100" i="14"/>
  <c r="D100" i="14" l="1"/>
  <c r="G99" i="14" s="1"/>
  <c r="B101" i="14"/>
  <c r="E99" i="14"/>
  <c r="F99" i="14"/>
  <c r="C101" i="14"/>
  <c r="D101" i="14" l="1"/>
  <c r="G100" i="14" s="1"/>
  <c r="B102" i="14"/>
  <c r="F100" i="14"/>
  <c r="E100" i="14"/>
  <c r="C102" i="14"/>
  <c r="D102" i="14" l="1"/>
  <c r="G101" i="14" s="1"/>
  <c r="B103" i="14"/>
  <c r="E101" i="14"/>
  <c r="F101" i="14"/>
  <c r="C103" i="14"/>
  <c r="D103" i="14" l="1"/>
  <c r="G102" i="14" s="1"/>
  <c r="B104" i="14"/>
  <c r="F102" i="14"/>
  <c r="E102" i="14"/>
  <c r="C104" i="14"/>
  <c r="D104" i="14" l="1"/>
  <c r="G103" i="14" s="1"/>
  <c r="B105" i="14"/>
  <c r="F103" i="14"/>
  <c r="E103" i="14"/>
  <c r="C105" i="14"/>
  <c r="D105" i="14" l="1"/>
  <c r="G104" i="14" s="1"/>
  <c r="B106" i="14"/>
  <c r="F104" i="14"/>
  <c r="E104" i="14"/>
  <c r="C106" i="14"/>
  <c r="D106" i="14" l="1"/>
  <c r="G105" i="14" s="1"/>
  <c r="B107" i="14"/>
  <c r="E105" i="14"/>
  <c r="F105" i="14"/>
  <c r="C107" i="14"/>
  <c r="D107" i="14" l="1"/>
  <c r="G106" i="14" s="1"/>
  <c r="B108" i="14"/>
  <c r="F106" i="14"/>
  <c r="E106" i="14"/>
  <c r="C108" i="14"/>
  <c r="D108" i="14" l="1"/>
  <c r="G107" i="14" s="1"/>
  <c r="B109" i="14"/>
  <c r="E107" i="14"/>
  <c r="F107" i="14"/>
  <c r="C109" i="14"/>
  <c r="D109" i="14" l="1"/>
  <c r="G108" i="14" s="1"/>
  <c r="B110" i="14"/>
  <c r="F108" i="14"/>
  <c r="E108" i="14"/>
  <c r="G14" i="14" s="1"/>
  <c r="C110" i="14"/>
  <c r="D110" i="14" l="1"/>
  <c r="G109" i="14" s="1"/>
  <c r="B111" i="14"/>
  <c r="E109" i="14"/>
  <c r="F109" i="14"/>
  <c r="C111" i="14"/>
  <c r="D111" i="14" l="1"/>
  <c r="G110" i="14" s="1"/>
  <c r="B112" i="14"/>
  <c r="F110" i="14"/>
  <c r="E110" i="14"/>
  <c r="C112" i="14"/>
  <c r="D112" i="14" l="1"/>
  <c r="G111" i="14" s="1"/>
  <c r="B113" i="14"/>
  <c r="F111" i="14"/>
  <c r="E111" i="14"/>
  <c r="C113" i="14"/>
  <c r="D113" i="14" l="1"/>
  <c r="G112" i="14" s="1"/>
  <c r="B114" i="14"/>
  <c r="F112" i="14"/>
  <c r="E112" i="14"/>
  <c r="C114" i="14"/>
  <c r="D114" i="14" l="1"/>
  <c r="G113" i="14" s="1"/>
  <c r="B115" i="14"/>
  <c r="E113" i="14"/>
  <c r="F113" i="14"/>
  <c r="C115" i="14"/>
  <c r="D115" i="14" l="1"/>
  <c r="G114" i="14" s="1"/>
  <c r="B116" i="14"/>
  <c r="F114" i="14"/>
  <c r="E114" i="14"/>
  <c r="C116" i="14"/>
  <c r="D116" i="14" l="1"/>
  <c r="G115" i="14" s="1"/>
  <c r="B117" i="14"/>
  <c r="F115" i="14"/>
  <c r="E115" i="14"/>
  <c r="C117" i="14"/>
  <c r="D117" i="14" l="1"/>
  <c r="G116" i="14" s="1"/>
  <c r="B118" i="14"/>
  <c r="F116" i="14"/>
  <c r="E116" i="14"/>
  <c r="C118" i="14"/>
  <c r="D118" i="14" l="1"/>
  <c r="G117" i="14" s="1"/>
  <c r="B119" i="14"/>
  <c r="F117" i="14"/>
  <c r="E117" i="14"/>
  <c r="C119" i="14"/>
  <c r="D119" i="14" l="1"/>
  <c r="G118" i="14" s="1"/>
  <c r="B120" i="14"/>
  <c r="F118" i="14"/>
  <c r="E118" i="14"/>
  <c r="C120" i="14"/>
  <c r="D120" i="14" l="1"/>
  <c r="G119" i="14" s="1"/>
  <c r="B121" i="14"/>
  <c r="E119" i="14"/>
  <c r="F119" i="14"/>
  <c r="C121" i="14"/>
  <c r="D121" i="14" l="1"/>
  <c r="G120" i="14" s="1"/>
  <c r="B122" i="14"/>
  <c r="F120" i="14"/>
  <c r="E120" i="14"/>
  <c r="C122" i="14"/>
  <c r="D122" i="14" l="1"/>
  <c r="G121" i="14" s="1"/>
  <c r="B123" i="14"/>
  <c r="E121" i="14"/>
  <c r="F121" i="14"/>
  <c r="C123" i="14"/>
  <c r="D123" i="14" l="1"/>
  <c r="G122" i="14" s="1"/>
  <c r="B124" i="14"/>
  <c r="F122" i="14"/>
  <c r="E122" i="14"/>
  <c r="C124" i="14"/>
  <c r="D124" i="14" l="1"/>
  <c r="G123" i="14" s="1"/>
  <c r="B125" i="14"/>
  <c r="F123" i="14"/>
  <c r="E123" i="14"/>
  <c r="C125" i="14"/>
  <c r="D125" i="14" l="1"/>
  <c r="G124" i="14" s="1"/>
  <c r="B126" i="14"/>
  <c r="F124" i="14"/>
  <c r="E124" i="14"/>
  <c r="C126" i="14"/>
  <c r="D126" i="14" l="1"/>
  <c r="G125" i="14" s="1"/>
  <c r="B127" i="14"/>
  <c r="F125" i="14"/>
  <c r="E125" i="14"/>
  <c r="C127" i="14"/>
  <c r="D127" i="14" l="1"/>
  <c r="G126" i="14" s="1"/>
  <c r="B128" i="14"/>
  <c r="F126" i="14"/>
  <c r="E126" i="14"/>
  <c r="C128" i="14"/>
  <c r="D128" i="14" l="1"/>
  <c r="G127" i="14" s="1"/>
  <c r="B129" i="14"/>
  <c r="E127" i="14"/>
  <c r="F127" i="14"/>
  <c r="C129" i="14"/>
  <c r="D129" i="14" l="1"/>
  <c r="G128" i="14" s="1"/>
  <c r="B130" i="14"/>
  <c r="F128" i="14"/>
  <c r="E128" i="14"/>
  <c r="C130" i="14"/>
  <c r="D130" i="14" l="1"/>
  <c r="G129" i="14" s="1"/>
  <c r="B131" i="14"/>
  <c r="E129" i="14"/>
  <c r="F129" i="14"/>
  <c r="C131" i="14"/>
  <c r="D131" i="14" l="1"/>
  <c r="G130" i="14" s="1"/>
  <c r="B132" i="14"/>
  <c r="E130" i="14"/>
  <c r="F130" i="14"/>
  <c r="C132" i="14"/>
  <c r="D132" i="14" l="1"/>
  <c r="G131" i="14" s="1"/>
  <c r="B133" i="14"/>
  <c r="F131" i="14"/>
  <c r="E131" i="14"/>
  <c r="C133" i="14"/>
  <c r="D133" i="14" l="1"/>
  <c r="G132" i="14" s="1"/>
  <c r="B134" i="14"/>
  <c r="F132" i="14"/>
  <c r="E132" i="14"/>
  <c r="C134" i="14"/>
  <c r="D134" i="14" l="1"/>
  <c r="G133" i="14" s="1"/>
  <c r="B135" i="14"/>
  <c r="F133" i="14"/>
  <c r="E133" i="14"/>
  <c r="C135" i="14"/>
  <c r="D135" i="14" l="1"/>
  <c r="G134" i="14" s="1"/>
  <c r="B136" i="14"/>
  <c r="F134" i="14"/>
  <c r="E134" i="14"/>
  <c r="C136" i="14"/>
  <c r="D136" i="14" l="1"/>
  <c r="G135" i="14" s="1"/>
  <c r="B137" i="14"/>
  <c r="F135" i="14"/>
  <c r="E135" i="14"/>
  <c r="C137" i="14"/>
  <c r="D137" i="14" l="1"/>
  <c r="G136" i="14" s="1"/>
  <c r="B138" i="14"/>
  <c r="F136" i="14"/>
  <c r="E136" i="14"/>
  <c r="C138" i="14"/>
  <c r="D138" i="14" l="1"/>
  <c r="G137" i="14" s="1"/>
  <c r="B139" i="14"/>
  <c r="E137" i="14"/>
  <c r="F137" i="14"/>
  <c r="C139" i="14"/>
  <c r="D139" i="14" l="1"/>
  <c r="G138" i="14" s="1"/>
  <c r="B140" i="14"/>
  <c r="F138" i="14"/>
  <c r="E138" i="14"/>
  <c r="C140" i="14"/>
  <c r="D140" i="14" l="1"/>
  <c r="G139" i="14" s="1"/>
  <c r="B141" i="14"/>
  <c r="E139" i="14"/>
  <c r="F139" i="14"/>
  <c r="C141" i="14"/>
  <c r="D141" i="14" l="1"/>
  <c r="G140" i="14" s="1"/>
  <c r="B142" i="14"/>
  <c r="F140" i="14"/>
  <c r="E140" i="14"/>
  <c r="C142" i="14"/>
  <c r="D142" i="14" l="1"/>
  <c r="G141" i="14" s="1"/>
  <c r="B143" i="14"/>
  <c r="F141" i="14"/>
  <c r="E141" i="14"/>
  <c r="C143" i="14"/>
  <c r="D143" i="14" l="1"/>
  <c r="G142" i="14" s="1"/>
  <c r="B144" i="14"/>
  <c r="E142" i="14"/>
  <c r="F142" i="14"/>
  <c r="C144" i="14"/>
  <c r="D144" i="14" l="1"/>
  <c r="G143" i="14" s="1"/>
  <c r="B145" i="14"/>
  <c r="F143" i="14"/>
  <c r="E143" i="14"/>
  <c r="C145" i="14"/>
  <c r="D145" i="14" l="1"/>
  <c r="G144" i="14" s="1"/>
  <c r="B146" i="14"/>
  <c r="F144" i="14"/>
  <c r="E144" i="14"/>
  <c r="C146" i="14"/>
  <c r="D146" i="14" l="1"/>
  <c r="G145" i="14" s="1"/>
  <c r="B147" i="14"/>
  <c r="E145" i="14"/>
  <c r="F145" i="14"/>
  <c r="J36" i="16"/>
  <c r="J45" i="16"/>
  <c r="J20" i="16"/>
  <c r="S37" i="16"/>
  <c r="S22" i="16"/>
  <c r="J35" i="16"/>
  <c r="J26" i="16"/>
  <c r="S31" i="16"/>
  <c r="J47" i="16"/>
  <c r="S53" i="16"/>
  <c r="S47" i="16"/>
  <c r="J10" i="16"/>
  <c r="J16" i="16"/>
  <c r="S61" i="16"/>
  <c r="J12" i="16"/>
  <c r="S4" i="16"/>
  <c r="J7" i="16"/>
  <c r="S62" i="16"/>
  <c r="J25" i="16"/>
  <c r="S25" i="16"/>
  <c r="J34" i="16"/>
  <c r="J32" i="16"/>
  <c r="S23" i="16"/>
  <c r="J49" i="16"/>
  <c r="J21" i="16"/>
  <c r="S45" i="16"/>
  <c r="S18" i="16"/>
  <c r="J39" i="16"/>
  <c r="J22" i="16"/>
  <c r="S35" i="16"/>
  <c r="J18" i="16"/>
  <c r="S21" i="16"/>
  <c r="S36" i="16"/>
  <c r="S39" i="16"/>
  <c r="S16" i="16"/>
  <c r="J23" i="16"/>
  <c r="S57" i="16"/>
  <c r="J55" i="16"/>
  <c r="S51" i="16"/>
  <c r="S52" i="16"/>
  <c r="J59" i="16"/>
  <c r="S66" i="16"/>
  <c r="S9" i="16"/>
  <c r="J11" i="16"/>
  <c r="J41" i="16"/>
  <c r="S41" i="16"/>
  <c r="J24" i="16"/>
  <c r="S14" i="16"/>
  <c r="J53" i="16"/>
  <c r="S49" i="16"/>
  <c r="S55" i="16"/>
  <c r="S59" i="16"/>
  <c r="S64" i="16"/>
  <c r="S43" i="16"/>
  <c r="S40" i="16"/>
  <c r="J40" i="16"/>
  <c r="J27" i="16"/>
  <c r="J31" i="16"/>
  <c r="S10" i="16"/>
  <c r="J57" i="16"/>
  <c r="J14" i="16"/>
  <c r="J51" i="16"/>
  <c r="J8" i="16"/>
  <c r="J6" i="16"/>
  <c r="S30" i="16"/>
  <c r="J64" i="16"/>
  <c r="S7" i="16"/>
  <c r="S44" i="16"/>
  <c r="C147" i="14"/>
  <c r="S6" i="16"/>
  <c r="J61" i="16"/>
  <c r="S12" i="16"/>
  <c r="J63" i="16"/>
  <c r="S63" i="16"/>
  <c r="J13" i="16"/>
  <c r="S17" i="16"/>
  <c r="J19" i="16"/>
  <c r="S24" i="16"/>
  <c r="S68" i="16"/>
  <c r="J4" i="16"/>
  <c r="J67" i="16"/>
  <c r="S8" i="16"/>
  <c r="S56" i="16"/>
  <c r="J42" i="16"/>
  <c r="J44" i="16"/>
  <c r="J28" i="16"/>
  <c r="S33" i="16"/>
  <c r="J65" i="16"/>
  <c r="J30" i="16"/>
  <c r="J68" i="16"/>
  <c r="J5" i="16"/>
  <c r="S67" i="16"/>
  <c r="J52" i="16"/>
  <c r="J54" i="16"/>
  <c r="J48" i="16"/>
  <c r="S34" i="16"/>
  <c r="S58" i="16"/>
  <c r="S27" i="16"/>
  <c r="S60" i="16"/>
  <c r="J62" i="16"/>
  <c r="S65" i="16"/>
  <c r="S5" i="16"/>
  <c r="S48" i="16"/>
  <c r="J58" i="16"/>
  <c r="J33" i="16"/>
  <c r="S26" i="16"/>
  <c r="S54" i="16"/>
  <c r="J9" i="16"/>
  <c r="J60" i="16"/>
  <c r="J43" i="16"/>
  <c r="J66" i="16"/>
  <c r="J56" i="16"/>
  <c r="S11" i="16"/>
  <c r="S50" i="16"/>
  <c r="J37" i="16"/>
  <c r="S46" i="16"/>
  <c r="J38" i="16"/>
  <c r="S19" i="16"/>
  <c r="J50" i="16"/>
  <c r="S42" i="16"/>
  <c r="J17" i="16"/>
  <c r="J46" i="16"/>
  <c r="S13" i="16"/>
  <c r="J15" i="16"/>
  <c r="S15" i="16"/>
  <c r="S29" i="16"/>
  <c r="S38" i="16"/>
  <c r="J29" i="16"/>
  <c r="S20" i="16"/>
  <c r="S32" i="16"/>
  <c r="S28" i="16"/>
  <c r="T67" i="16" l="1"/>
  <c r="K67" i="16"/>
  <c r="L67" i="16" s="1"/>
  <c r="T63" i="16"/>
  <c r="K63" i="16"/>
  <c r="L63" i="16" s="1"/>
  <c r="T61" i="16"/>
  <c r="K61" i="16"/>
  <c r="L61" i="16" s="1"/>
  <c r="T59" i="16"/>
  <c r="K59" i="16"/>
  <c r="L59" i="16" s="1"/>
  <c r="T57" i="16"/>
  <c r="K57" i="16"/>
  <c r="L57" i="16" s="1"/>
  <c r="T55" i="16"/>
  <c r="K55" i="16"/>
  <c r="L55" i="16" s="1"/>
  <c r="T53" i="16"/>
  <c r="K53" i="16"/>
  <c r="L53" i="16" s="1"/>
  <c r="T51" i="16"/>
  <c r="K51" i="16"/>
  <c r="L51" i="16" s="1"/>
  <c r="T49" i="16"/>
  <c r="K49" i="16"/>
  <c r="L49" i="16" s="1"/>
  <c r="T47" i="16"/>
  <c r="K47" i="16"/>
  <c r="L47" i="16" s="1"/>
  <c r="T45" i="16"/>
  <c r="K45" i="16"/>
  <c r="L45" i="16" s="1"/>
  <c r="T39" i="16"/>
  <c r="K39" i="16"/>
  <c r="L39" i="16" s="1"/>
  <c r="T37" i="16"/>
  <c r="K37" i="16"/>
  <c r="L37" i="16" s="1"/>
  <c r="T35" i="16"/>
  <c r="K35" i="16"/>
  <c r="L35" i="16" s="1"/>
  <c r="T33" i="16"/>
  <c r="K33" i="16"/>
  <c r="L33" i="16" s="1"/>
  <c r="T31" i="16"/>
  <c r="K31" i="16"/>
  <c r="L31" i="16" s="1"/>
  <c r="T29" i="16"/>
  <c r="K29" i="16"/>
  <c r="L29" i="16" s="1"/>
  <c r="T27" i="16"/>
  <c r="K27" i="16"/>
  <c r="L27" i="16" s="1"/>
  <c r="T25" i="16"/>
  <c r="K58" i="16"/>
  <c r="L58" i="16" s="1"/>
  <c r="T58" i="16"/>
  <c r="T41" i="16"/>
  <c r="K41" i="16"/>
  <c r="L41" i="16" s="1"/>
  <c r="K25" i="16"/>
  <c r="L25" i="16" s="1"/>
  <c r="T19" i="16"/>
  <c r="K19" i="16"/>
  <c r="L19" i="16" s="1"/>
  <c r="T17" i="16"/>
  <c r="K17" i="16"/>
  <c r="L17" i="16" s="1"/>
  <c r="T15" i="16"/>
  <c r="K15" i="16"/>
  <c r="L15" i="16" s="1"/>
  <c r="T13" i="16"/>
  <c r="K13" i="16"/>
  <c r="L13" i="16" s="1"/>
  <c r="T11" i="16"/>
  <c r="K11" i="16"/>
  <c r="L11" i="16" s="1"/>
  <c r="T9" i="16"/>
  <c r="K9" i="16"/>
  <c r="L9" i="16" s="1"/>
  <c r="T7" i="16"/>
  <c r="T43" i="16"/>
  <c r="K43" i="16"/>
  <c r="L43" i="16" s="1"/>
  <c r="K62" i="16"/>
  <c r="L62" i="16" s="1"/>
  <c r="T62" i="16"/>
  <c r="K7" i="16"/>
  <c r="L7" i="16" s="1"/>
  <c r="T5" i="16"/>
  <c r="K30" i="16"/>
  <c r="L30" i="16" s="1"/>
  <c r="T30" i="16"/>
  <c r="T4" i="16"/>
  <c r="K5" i="16"/>
  <c r="L5" i="16" s="1"/>
  <c r="K4" i="16"/>
  <c r="L4" i="16" s="1"/>
  <c r="K6" i="16"/>
  <c r="L6" i="16" s="1"/>
  <c r="K52" i="16"/>
  <c r="L52" i="16" s="1"/>
  <c r="T52" i="16"/>
  <c r="T6" i="16"/>
  <c r="K8" i="16"/>
  <c r="L8" i="16" s="1"/>
  <c r="T8" i="16"/>
  <c r="K10" i="16"/>
  <c r="L10" i="16" s="1"/>
  <c r="T10" i="16"/>
  <c r="K12" i="16"/>
  <c r="L12" i="16" s="1"/>
  <c r="T12" i="16"/>
  <c r="K14" i="16"/>
  <c r="L14" i="16" s="1"/>
  <c r="T14" i="16"/>
  <c r="K16" i="16"/>
  <c r="L16" i="16" s="1"/>
  <c r="T16" i="16"/>
  <c r="K18" i="16"/>
  <c r="L18" i="16" s="1"/>
  <c r="T23" i="16"/>
  <c r="K23" i="16"/>
  <c r="L23" i="16" s="1"/>
  <c r="T21" i="16"/>
  <c r="K21" i="16"/>
  <c r="L21" i="16" s="1"/>
  <c r="K36" i="16"/>
  <c r="L36" i="16" s="1"/>
  <c r="T36" i="16"/>
  <c r="T18" i="16"/>
  <c r="K20" i="16"/>
  <c r="L20" i="16" s="1"/>
  <c r="T20" i="16"/>
  <c r="K22" i="16"/>
  <c r="L22" i="16" s="1"/>
  <c r="T22" i="16"/>
  <c r="K24" i="16"/>
  <c r="L24" i="16" s="1"/>
  <c r="T24" i="16"/>
  <c r="K26" i="16"/>
  <c r="L26" i="16" s="1"/>
  <c r="T26" i="16"/>
  <c r="K28" i="16"/>
  <c r="L28" i="16" s="1"/>
  <c r="T28" i="16"/>
  <c r="K32" i="16"/>
  <c r="L32" i="16" s="1"/>
  <c r="K50" i="16"/>
  <c r="L50" i="16" s="1"/>
  <c r="T50" i="16"/>
  <c r="T32" i="16"/>
  <c r="K34" i="16"/>
  <c r="L34" i="16" s="1"/>
  <c r="T34" i="16"/>
  <c r="K38" i="16"/>
  <c r="L38" i="16" s="1"/>
  <c r="T38" i="16"/>
  <c r="K40" i="16"/>
  <c r="L40" i="16" s="1"/>
  <c r="T40" i="16"/>
  <c r="K42" i="16"/>
  <c r="L42" i="16" s="1"/>
  <c r="T42" i="16"/>
  <c r="K44" i="16"/>
  <c r="L44" i="16" s="1"/>
  <c r="T44" i="16"/>
  <c r="K46" i="16"/>
  <c r="L46" i="16" s="1"/>
  <c r="T46" i="16"/>
  <c r="K48" i="16"/>
  <c r="L48" i="16" s="1"/>
  <c r="T48" i="16"/>
  <c r="K54" i="16"/>
  <c r="L54" i="16" s="1"/>
  <c r="T54" i="16"/>
  <c r="K56" i="16"/>
  <c r="L56" i="16" s="1"/>
  <c r="T56" i="16"/>
  <c r="K60" i="16"/>
  <c r="L60" i="16" s="1"/>
  <c r="T60" i="16"/>
  <c r="K64" i="16"/>
  <c r="L64" i="16" s="1"/>
  <c r="T64" i="16"/>
  <c r="T65" i="16"/>
  <c r="K65" i="16"/>
  <c r="L65" i="16" s="1"/>
  <c r="K66" i="16"/>
  <c r="L66" i="16" s="1"/>
  <c r="T66" i="16"/>
  <c r="K68" i="16"/>
  <c r="L68" i="16" s="1"/>
  <c r="T68" i="16"/>
  <c r="Q68" i="16" s="1"/>
  <c r="R68" i="16" s="1"/>
  <c r="U68" i="16" s="1"/>
  <c r="D147" i="14"/>
  <c r="E146" i="14"/>
  <c r="F146" i="14"/>
  <c r="Q7" i="16" l="1"/>
  <c r="R7" i="16" s="1"/>
  <c r="C13" i="16"/>
  <c r="Q67" i="16"/>
  <c r="R67" i="16" s="1"/>
  <c r="U67" i="16" s="1"/>
  <c r="Q65" i="16"/>
  <c r="R65" i="16" s="1"/>
  <c r="U65" i="16" s="1"/>
  <c r="Q57" i="16"/>
  <c r="R57" i="16" s="1"/>
  <c r="U57" i="16" s="1"/>
  <c r="Q49" i="16"/>
  <c r="R49" i="16" s="1"/>
  <c r="U49" i="16" s="1"/>
  <c r="Q45" i="16"/>
  <c r="R45" i="16" s="1"/>
  <c r="U45" i="16" s="1"/>
  <c r="Q41" i="16"/>
  <c r="R41" i="16" s="1"/>
  <c r="U41" i="16" s="1"/>
  <c r="Q35" i="16"/>
  <c r="R35" i="16" s="1"/>
  <c r="Q27" i="16"/>
  <c r="R27" i="16" s="1"/>
  <c r="U27" i="16" s="1"/>
  <c r="Q23" i="16"/>
  <c r="R23" i="16" s="1"/>
  <c r="U23" i="16" s="1"/>
  <c r="Q19" i="16"/>
  <c r="R19" i="16" s="1"/>
  <c r="U19" i="16" s="1"/>
  <c r="Q22" i="16"/>
  <c r="R22" i="16" s="1"/>
  <c r="U22" i="16" s="1"/>
  <c r="Q17" i="16"/>
  <c r="R17" i="16" s="1"/>
  <c r="U17" i="16" s="1"/>
  <c r="Q13" i="16"/>
  <c r="R13" i="16" s="1"/>
  <c r="U13" i="16" s="1"/>
  <c r="Q9" i="16"/>
  <c r="R9" i="16" s="1"/>
  <c r="U9" i="16" s="1"/>
  <c r="Q5" i="16"/>
  <c r="R5" i="16" s="1"/>
  <c r="U5" i="16" s="1"/>
  <c r="Q4" i="16"/>
  <c r="R4" i="16" s="1"/>
  <c r="U4" i="16" s="1"/>
  <c r="Q44" i="16"/>
  <c r="R44" i="16" s="1"/>
  <c r="U44" i="16" s="1"/>
  <c r="Q42" i="16"/>
  <c r="R42" i="16" s="1"/>
  <c r="U42" i="16" s="1"/>
  <c r="Q37" i="16"/>
  <c r="R37" i="16" s="1"/>
  <c r="U37" i="16" s="1"/>
  <c r="Q31" i="16"/>
  <c r="R31" i="16" s="1"/>
  <c r="U31" i="16" s="1"/>
  <c r="Q63" i="16"/>
  <c r="R63" i="16" s="1"/>
  <c r="U63" i="16" s="1"/>
  <c r="U7" i="16"/>
  <c r="Q8" i="16"/>
  <c r="R8" i="16" s="1"/>
  <c r="U8" i="16" s="1"/>
  <c r="Q12" i="16"/>
  <c r="R12" i="16" s="1"/>
  <c r="U12" i="16" s="1"/>
  <c r="Q16" i="16"/>
  <c r="R16" i="16" s="1"/>
  <c r="U16" i="16" s="1"/>
  <c r="Q20" i="16"/>
  <c r="R20" i="16" s="1"/>
  <c r="U20" i="16" s="1"/>
  <c r="Q59" i="16"/>
  <c r="R59" i="16" s="1"/>
  <c r="U59" i="16" s="1"/>
  <c r="Q28" i="16"/>
  <c r="R28" i="16" s="1"/>
  <c r="U28" i="16" s="1"/>
  <c r="Q32" i="16"/>
  <c r="R32" i="16" s="1"/>
  <c r="U32" i="16" s="1"/>
  <c r="U35" i="16"/>
  <c r="Q36" i="16"/>
  <c r="R36" i="16" s="1"/>
  <c r="U36" i="16" s="1"/>
  <c r="Q40" i="16"/>
  <c r="R40" i="16" s="1"/>
  <c r="U40" i="16" s="1"/>
  <c r="Q48" i="16"/>
  <c r="R48" i="16" s="1"/>
  <c r="U48" i="16" s="1"/>
  <c r="Q52" i="16"/>
  <c r="R52" i="16" s="1"/>
  <c r="U52" i="16" s="1"/>
  <c r="Q56" i="16"/>
  <c r="R56" i="16" s="1"/>
  <c r="U56" i="16" s="1"/>
  <c r="Q60" i="16"/>
  <c r="R60" i="16" s="1"/>
  <c r="U60" i="16" s="1"/>
  <c r="Q64" i="16"/>
  <c r="R64" i="16" s="1"/>
  <c r="U64" i="16" s="1"/>
  <c r="Q61" i="16"/>
  <c r="R61" i="16" s="1"/>
  <c r="U61" i="16" s="1"/>
  <c r="Q55" i="16"/>
  <c r="R55" i="16" s="1"/>
  <c r="U55" i="16" s="1"/>
  <c r="Q47" i="16"/>
  <c r="R47" i="16" s="1"/>
  <c r="U47" i="16" s="1"/>
  <c r="Q43" i="16"/>
  <c r="R43" i="16" s="1"/>
  <c r="U43" i="16" s="1"/>
  <c r="Q39" i="16"/>
  <c r="R39" i="16" s="1"/>
  <c r="U39" i="16" s="1"/>
  <c r="Q33" i="16"/>
  <c r="R33" i="16" s="1"/>
  <c r="U33" i="16" s="1"/>
  <c r="Q29" i="16"/>
  <c r="R29" i="16" s="1"/>
  <c r="U29" i="16" s="1"/>
  <c r="Q25" i="16"/>
  <c r="R25" i="16" s="1"/>
  <c r="U25" i="16" s="1"/>
  <c r="Q21" i="16"/>
  <c r="R21" i="16" s="1"/>
  <c r="U21" i="16" s="1"/>
  <c r="Q24" i="16"/>
  <c r="R24" i="16" s="1"/>
  <c r="U24" i="16" s="1"/>
  <c r="Q15" i="16"/>
  <c r="R15" i="16" s="1"/>
  <c r="U15" i="16" s="1"/>
  <c r="Q11" i="16"/>
  <c r="R11" i="16" s="1"/>
  <c r="U11" i="16" s="1"/>
  <c r="Q66" i="16"/>
  <c r="R66" i="16" s="1"/>
  <c r="U66" i="16" s="1"/>
  <c r="Q51" i="16"/>
  <c r="R51" i="16" s="1"/>
  <c r="U51" i="16" s="1"/>
  <c r="Q53" i="16"/>
  <c r="R53" i="16" s="1"/>
  <c r="U53" i="16" s="1"/>
  <c r="Q6" i="16"/>
  <c r="R6" i="16" s="1"/>
  <c r="U6" i="16" s="1"/>
  <c r="Q10" i="16"/>
  <c r="R10" i="16" s="1"/>
  <c r="U10" i="16" s="1"/>
  <c r="Q14" i="16"/>
  <c r="R14" i="16" s="1"/>
  <c r="U14" i="16" s="1"/>
  <c r="Q18" i="16"/>
  <c r="R18" i="16" s="1"/>
  <c r="U18" i="16" s="1"/>
  <c r="Q26" i="16"/>
  <c r="R26" i="16" s="1"/>
  <c r="U26" i="16" s="1"/>
  <c r="Q30" i="16"/>
  <c r="R30" i="16" s="1"/>
  <c r="U30" i="16" s="1"/>
  <c r="Q34" i="16"/>
  <c r="R34" i="16" s="1"/>
  <c r="U34" i="16" s="1"/>
  <c r="Q38" i="16"/>
  <c r="R38" i="16" s="1"/>
  <c r="U38" i="16" s="1"/>
  <c r="Q46" i="16"/>
  <c r="R46" i="16" s="1"/>
  <c r="U46" i="16" s="1"/>
  <c r="Q50" i="16"/>
  <c r="R50" i="16" s="1"/>
  <c r="U50" i="16" s="1"/>
  <c r="Q54" i="16"/>
  <c r="R54" i="16" s="1"/>
  <c r="U54" i="16" s="1"/>
  <c r="Q58" i="16"/>
  <c r="R58" i="16" s="1"/>
  <c r="U58" i="16" s="1"/>
  <c r="Q62" i="16"/>
  <c r="R62" i="16" s="1"/>
  <c r="U62" i="16" s="1"/>
  <c r="G146" i="14"/>
  <c r="F147" i="14"/>
  <c r="E147" i="14"/>
  <c r="G15" i="14" s="1"/>
  <c r="C18" i="16" l="1"/>
  <c r="G8" i="14"/>
  <c r="G11" i="14"/>
  <c r="G10" i="14"/>
  <c r="G12" i="14"/>
  <c r="G13" i="14"/>
  <c r="G9" i="14"/>
  <c r="C7" i="16" l="1"/>
  <c r="C24" i="16" s="1"/>
</calcChain>
</file>

<file path=xl/sharedStrings.xml><?xml version="1.0" encoding="utf-8"?>
<sst xmlns="http://schemas.openxmlformats.org/spreadsheetml/2006/main" count="86" uniqueCount="44">
  <si>
    <t>Tenor</t>
  </si>
  <si>
    <t>Tipo Cotización</t>
  </si>
  <si>
    <t>Fixing Libor3M</t>
  </si>
  <si>
    <t>Pata Flotante</t>
  </si>
  <si>
    <t>Pata Fija</t>
  </si>
  <si>
    <t>Tasa Fija Swap</t>
  </si>
  <si>
    <t>Tasa swap IRS (%, Act/360)</t>
  </si>
  <si>
    <t>Fixing Tiie28D</t>
  </si>
  <si>
    <t>Dias</t>
  </si>
  <si>
    <t>Tasa Swap Interpolada</t>
  </si>
  <si>
    <t>shock (bp)</t>
  </si>
  <si>
    <t>Fact Descuento</t>
  </si>
  <si>
    <t>Tasa Cero</t>
  </si>
  <si>
    <t>Tasa c/Shock</t>
  </si>
  <si>
    <t>Tasa Cero (Smp act/360)</t>
  </si>
  <si>
    <t>Tasa Cero (Comp act/360)</t>
  </si>
  <si>
    <t>Tasa Fwd (Smp act/360)</t>
  </si>
  <si>
    <t>Dias Actual</t>
  </si>
  <si>
    <t>Tasa Cero (Act 30/360)</t>
  </si>
  <si>
    <t>Tasa swap IRS (%, 30/360)</t>
  </si>
  <si>
    <t>Curva  TIIE28D</t>
  </si>
  <si>
    <t>Curva Libor 3M</t>
  </si>
  <si>
    <t>IRS</t>
  </si>
  <si>
    <t>Currency</t>
  </si>
  <si>
    <t>MXN</t>
  </si>
  <si>
    <t>Tenor (D)</t>
  </si>
  <si>
    <t>Monto</t>
  </si>
  <si>
    <t>Rate (%)</t>
  </si>
  <si>
    <t>Spread (bp)</t>
  </si>
  <si>
    <t>Inicio</t>
  </si>
  <si>
    <t>Fin</t>
  </si>
  <si>
    <t>Plazo</t>
  </si>
  <si>
    <t>Flujo</t>
  </si>
  <si>
    <t>FD</t>
  </si>
  <si>
    <t>Flujo Desc</t>
  </si>
  <si>
    <t>NPV</t>
  </si>
  <si>
    <t>Tasa Cpn (%)</t>
  </si>
  <si>
    <t>Tipo</t>
  </si>
  <si>
    <t>Payer</t>
  </si>
  <si>
    <t>Sens</t>
  </si>
  <si>
    <t>NPV Swp</t>
  </si>
  <si>
    <t>Tasa Cero (%)</t>
  </si>
  <si>
    <t>DV01 Curva  TIIE28D</t>
  </si>
  <si>
    <t>Sens MXN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</si>
</sst>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d\-mmm\-yy;@"/>
    <numFmt numFmtId="165" formatCode="0.0000"/>
    <numFmt numFmtId="166" formatCode="#,##0.0000"/>
    <numFmt numFmtId="167" formatCode="#,##0.000000"/>
    <numFmt numFmtId="168" formatCode="#,##0.000000000"/>
    <numFmt numFmtId="169" formatCode="0.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64" fontId="2" fillId="2" borderId="1" applyNumberFormat="0" applyFont="0" applyAlignment="0" applyProtection="0"/>
  </cellStyleXfs>
  <cellXfs count="39">
    <xf numFmtId="0" fontId="0" fillId="0" borderId="0" xfId="0"/>
    <xf numFmtId="165" fontId="3" fillId="4" borderId="1" xfId="1" applyNumberFormat="1" applyFont="1" applyFill="1" applyBorder="1" applyAlignment="1">
      <alignment horizontal="center" vertical="center"/>
    </xf>
    <xf numFmtId="165" fontId="3" fillId="4" borderId="6" xfId="1" applyNumberFormat="1" applyFont="1" applyFill="1" applyBorder="1" applyAlignment="1">
      <alignment horizontal="center" vertical="center"/>
    </xf>
    <xf numFmtId="165" fontId="3" fillId="4" borderId="8" xfId="1" applyNumberFormat="1" applyFont="1" applyFill="1" applyBorder="1" applyAlignment="1">
      <alignment horizontal="center" vertical="center"/>
    </xf>
    <xf numFmtId="165" fontId="3" fillId="4" borderId="9" xfId="1" applyNumberFormat="1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4" fontId="3" fillId="4" borderId="7" xfId="1" applyNumberFormat="1" applyFont="1" applyFill="1" applyBorder="1" applyAlignment="1">
      <alignment horizontal="center" vertical="center"/>
    </xf>
    <xf numFmtId="4" fontId="3" fillId="4" borderId="5" xfId="1" applyNumberFormat="1" applyFont="1" applyFill="1" applyBorder="1" applyAlignment="1">
      <alignment horizontal="center" vertical="center"/>
    </xf>
    <xf numFmtId="3" fontId="3" fillId="4" borderId="7" xfId="1" applyNumberFormat="1" applyFont="1" applyFill="1" applyBorder="1" applyAlignment="1">
      <alignment horizontal="center" vertical="center"/>
    </xf>
    <xf numFmtId="3" fontId="3" fillId="4" borderId="5" xfId="1" applyNumberFormat="1" applyFont="1" applyFill="1" applyBorder="1" applyAlignment="1">
      <alignment horizontal="center" vertical="center"/>
    </xf>
    <xf numFmtId="3" fontId="0" fillId="0" borderId="0" xfId="0" applyNumberFormat="1"/>
    <xf numFmtId="0" fontId="1" fillId="5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166" fontId="0" fillId="0" borderId="0" xfId="0" applyNumberFormat="1"/>
    <xf numFmtId="14" fontId="0" fillId="0" borderId="0" xfId="0" applyNumberFormat="1"/>
    <xf numFmtId="0" fontId="1" fillId="5" borderId="13" xfId="0" applyFont="1" applyFill="1" applyBorder="1" applyAlignment="1">
      <alignment horizontal="center"/>
    </xf>
    <xf numFmtId="3" fontId="3" fillId="4" borderId="13" xfId="1" applyNumberFormat="1" applyFont="1" applyFill="1" applyBorder="1" applyAlignment="1">
      <alignment horizontal="center" vertical="center"/>
    </xf>
    <xf numFmtId="0" fontId="5" fillId="3" borderId="13" xfId="0" applyFont="1" applyFill="1" applyBorder="1"/>
    <xf numFmtId="4" fontId="3" fillId="4" borderId="13" xfId="1" applyNumberFormat="1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4" borderId="13" xfId="0" applyNumberFormat="1" applyFill="1" applyBorder="1" applyAlignment="1">
      <alignment horizontal="center" vertical="center"/>
    </xf>
    <xf numFmtId="4" fontId="0" fillId="4" borderId="13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9" fontId="0" fillId="4" borderId="13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2" fontId="0" fillId="4" borderId="13" xfId="0" applyNumberFormat="1" applyFill="1" applyBorder="1" applyAlignment="1">
      <alignment horizontal="center" vertical="center"/>
    </xf>
    <xf numFmtId="166" fontId="0" fillId="4" borderId="13" xfId="0" applyNumberFormat="1" applyFill="1" applyBorder="1" applyAlignment="1">
      <alignment horizontal="center" vertical="center"/>
    </xf>
    <xf numFmtId="167" fontId="0" fillId="4" borderId="13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168" fontId="3" fillId="4" borderId="13" xfId="1" applyNumberFormat="1" applyFont="1" applyFill="1" applyBorder="1" applyAlignment="1">
      <alignment horizontal="center" vertical="center"/>
    </xf>
    <xf numFmtId="4" fontId="3" fillId="4" borderId="1" xfId="1" applyNumberFormat="1" applyFont="1" applyFill="1" applyBorder="1" applyAlignment="1">
      <alignment horizontal="center" vertical="center"/>
    </xf>
    <xf numFmtId="4" fontId="3" fillId="4" borderId="8" xfId="1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</cellXfs>
  <cellStyles count="2">
    <cellStyle name="Normal" xfId="0" builtinId="0"/>
    <cellStyle name="Notas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Hoja1!$F$17</c:f>
              <c:strCache>
                <c:ptCount val="1"/>
                <c:pt idx="0">
                  <c:v>Tasa Cero (Comp act/360)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Hoja1!$B$18:$B$147</c:f>
              <c:numCache>
                <c:formatCode>#,##0</c:formatCode>
                <c:ptCount val="130"/>
                <c:pt idx="0">
                  <c:v>28</c:v>
                </c:pt>
                <c:pt idx="1">
                  <c:v>56</c:v>
                </c:pt>
                <c:pt idx="2">
                  <c:v>84</c:v>
                </c:pt>
                <c:pt idx="3">
                  <c:v>112</c:v>
                </c:pt>
                <c:pt idx="4">
                  <c:v>140</c:v>
                </c:pt>
                <c:pt idx="5">
                  <c:v>168</c:v>
                </c:pt>
                <c:pt idx="6">
                  <c:v>196</c:v>
                </c:pt>
                <c:pt idx="7">
                  <c:v>224</c:v>
                </c:pt>
                <c:pt idx="8">
                  <c:v>252</c:v>
                </c:pt>
                <c:pt idx="9">
                  <c:v>280</c:v>
                </c:pt>
                <c:pt idx="10">
                  <c:v>308</c:v>
                </c:pt>
                <c:pt idx="11">
                  <c:v>336</c:v>
                </c:pt>
                <c:pt idx="12">
                  <c:v>364</c:v>
                </c:pt>
                <c:pt idx="13">
                  <c:v>392</c:v>
                </c:pt>
                <c:pt idx="14">
                  <c:v>420</c:v>
                </c:pt>
                <c:pt idx="15">
                  <c:v>448</c:v>
                </c:pt>
                <c:pt idx="16">
                  <c:v>476</c:v>
                </c:pt>
                <c:pt idx="17">
                  <c:v>504</c:v>
                </c:pt>
                <c:pt idx="18">
                  <c:v>532</c:v>
                </c:pt>
                <c:pt idx="19">
                  <c:v>560</c:v>
                </c:pt>
                <c:pt idx="20">
                  <c:v>588</c:v>
                </c:pt>
                <c:pt idx="21">
                  <c:v>616</c:v>
                </c:pt>
                <c:pt idx="22">
                  <c:v>644</c:v>
                </c:pt>
                <c:pt idx="23">
                  <c:v>672</c:v>
                </c:pt>
                <c:pt idx="24">
                  <c:v>700</c:v>
                </c:pt>
                <c:pt idx="25">
                  <c:v>728</c:v>
                </c:pt>
                <c:pt idx="26">
                  <c:v>756</c:v>
                </c:pt>
                <c:pt idx="27">
                  <c:v>784</c:v>
                </c:pt>
                <c:pt idx="28">
                  <c:v>812</c:v>
                </c:pt>
                <c:pt idx="29">
                  <c:v>840</c:v>
                </c:pt>
                <c:pt idx="30">
                  <c:v>868</c:v>
                </c:pt>
                <c:pt idx="31">
                  <c:v>896</c:v>
                </c:pt>
                <c:pt idx="32">
                  <c:v>924</c:v>
                </c:pt>
                <c:pt idx="33">
                  <c:v>952</c:v>
                </c:pt>
                <c:pt idx="34">
                  <c:v>980</c:v>
                </c:pt>
                <c:pt idx="35">
                  <c:v>1008</c:v>
                </c:pt>
                <c:pt idx="36">
                  <c:v>1036</c:v>
                </c:pt>
                <c:pt idx="37">
                  <c:v>1064</c:v>
                </c:pt>
                <c:pt idx="38">
                  <c:v>1092</c:v>
                </c:pt>
                <c:pt idx="39">
                  <c:v>1120</c:v>
                </c:pt>
                <c:pt idx="40">
                  <c:v>1148</c:v>
                </c:pt>
                <c:pt idx="41">
                  <c:v>1176</c:v>
                </c:pt>
                <c:pt idx="42">
                  <c:v>1204</c:v>
                </c:pt>
                <c:pt idx="43">
                  <c:v>1232</c:v>
                </c:pt>
                <c:pt idx="44">
                  <c:v>1260</c:v>
                </c:pt>
                <c:pt idx="45">
                  <c:v>1288</c:v>
                </c:pt>
                <c:pt idx="46">
                  <c:v>1316</c:v>
                </c:pt>
                <c:pt idx="47">
                  <c:v>1344</c:v>
                </c:pt>
                <c:pt idx="48">
                  <c:v>1372</c:v>
                </c:pt>
                <c:pt idx="49">
                  <c:v>1400</c:v>
                </c:pt>
                <c:pt idx="50">
                  <c:v>1428</c:v>
                </c:pt>
                <c:pt idx="51">
                  <c:v>1456</c:v>
                </c:pt>
                <c:pt idx="52">
                  <c:v>1484</c:v>
                </c:pt>
                <c:pt idx="53">
                  <c:v>1512</c:v>
                </c:pt>
                <c:pt idx="54">
                  <c:v>1540</c:v>
                </c:pt>
                <c:pt idx="55">
                  <c:v>1568</c:v>
                </c:pt>
                <c:pt idx="56">
                  <c:v>1596</c:v>
                </c:pt>
                <c:pt idx="57">
                  <c:v>1624</c:v>
                </c:pt>
                <c:pt idx="58">
                  <c:v>1652</c:v>
                </c:pt>
                <c:pt idx="59">
                  <c:v>1680</c:v>
                </c:pt>
                <c:pt idx="60">
                  <c:v>1708</c:v>
                </c:pt>
                <c:pt idx="61">
                  <c:v>1736</c:v>
                </c:pt>
                <c:pt idx="62">
                  <c:v>1764</c:v>
                </c:pt>
                <c:pt idx="63">
                  <c:v>1792</c:v>
                </c:pt>
                <c:pt idx="64">
                  <c:v>1820</c:v>
                </c:pt>
                <c:pt idx="65">
                  <c:v>1848</c:v>
                </c:pt>
                <c:pt idx="66">
                  <c:v>1876</c:v>
                </c:pt>
                <c:pt idx="67">
                  <c:v>1904</c:v>
                </c:pt>
                <c:pt idx="68">
                  <c:v>1932</c:v>
                </c:pt>
                <c:pt idx="69">
                  <c:v>1960</c:v>
                </c:pt>
                <c:pt idx="70">
                  <c:v>1988</c:v>
                </c:pt>
                <c:pt idx="71">
                  <c:v>2016</c:v>
                </c:pt>
                <c:pt idx="72">
                  <c:v>2044</c:v>
                </c:pt>
                <c:pt idx="73">
                  <c:v>2072</c:v>
                </c:pt>
                <c:pt idx="74">
                  <c:v>2100</c:v>
                </c:pt>
                <c:pt idx="75">
                  <c:v>2128</c:v>
                </c:pt>
                <c:pt idx="76">
                  <c:v>2156</c:v>
                </c:pt>
                <c:pt idx="77">
                  <c:v>2184</c:v>
                </c:pt>
                <c:pt idx="78">
                  <c:v>2212</c:v>
                </c:pt>
                <c:pt idx="79">
                  <c:v>2240</c:v>
                </c:pt>
                <c:pt idx="80">
                  <c:v>2268</c:v>
                </c:pt>
                <c:pt idx="81">
                  <c:v>2296</c:v>
                </c:pt>
                <c:pt idx="82">
                  <c:v>2324</c:v>
                </c:pt>
                <c:pt idx="83">
                  <c:v>2352</c:v>
                </c:pt>
                <c:pt idx="84">
                  <c:v>2380</c:v>
                </c:pt>
                <c:pt idx="85">
                  <c:v>2408</c:v>
                </c:pt>
                <c:pt idx="86">
                  <c:v>2436</c:v>
                </c:pt>
                <c:pt idx="87">
                  <c:v>2464</c:v>
                </c:pt>
                <c:pt idx="88">
                  <c:v>2492</c:v>
                </c:pt>
                <c:pt idx="89">
                  <c:v>2520</c:v>
                </c:pt>
                <c:pt idx="90">
                  <c:v>2548</c:v>
                </c:pt>
                <c:pt idx="91">
                  <c:v>2576</c:v>
                </c:pt>
                <c:pt idx="92">
                  <c:v>2604</c:v>
                </c:pt>
                <c:pt idx="93">
                  <c:v>2632</c:v>
                </c:pt>
                <c:pt idx="94">
                  <c:v>2660</c:v>
                </c:pt>
                <c:pt idx="95">
                  <c:v>2688</c:v>
                </c:pt>
                <c:pt idx="96">
                  <c:v>2716</c:v>
                </c:pt>
                <c:pt idx="97">
                  <c:v>2744</c:v>
                </c:pt>
                <c:pt idx="98">
                  <c:v>2772</c:v>
                </c:pt>
                <c:pt idx="99">
                  <c:v>2800</c:v>
                </c:pt>
                <c:pt idx="100">
                  <c:v>2828</c:v>
                </c:pt>
                <c:pt idx="101">
                  <c:v>2856</c:v>
                </c:pt>
                <c:pt idx="102">
                  <c:v>2884</c:v>
                </c:pt>
                <c:pt idx="103">
                  <c:v>2912</c:v>
                </c:pt>
                <c:pt idx="104">
                  <c:v>2940</c:v>
                </c:pt>
                <c:pt idx="105">
                  <c:v>2968</c:v>
                </c:pt>
                <c:pt idx="106">
                  <c:v>2996</c:v>
                </c:pt>
                <c:pt idx="107">
                  <c:v>3024</c:v>
                </c:pt>
                <c:pt idx="108">
                  <c:v>3052</c:v>
                </c:pt>
                <c:pt idx="109">
                  <c:v>3080</c:v>
                </c:pt>
                <c:pt idx="110">
                  <c:v>3108</c:v>
                </c:pt>
                <c:pt idx="111">
                  <c:v>3136</c:v>
                </c:pt>
                <c:pt idx="112">
                  <c:v>3164</c:v>
                </c:pt>
                <c:pt idx="113">
                  <c:v>3192</c:v>
                </c:pt>
                <c:pt idx="114">
                  <c:v>3220</c:v>
                </c:pt>
                <c:pt idx="115">
                  <c:v>3248</c:v>
                </c:pt>
                <c:pt idx="116">
                  <c:v>3276</c:v>
                </c:pt>
                <c:pt idx="117">
                  <c:v>3304</c:v>
                </c:pt>
                <c:pt idx="118">
                  <c:v>3332</c:v>
                </c:pt>
                <c:pt idx="119">
                  <c:v>3360</c:v>
                </c:pt>
                <c:pt idx="120">
                  <c:v>3388</c:v>
                </c:pt>
                <c:pt idx="121">
                  <c:v>3416</c:v>
                </c:pt>
                <c:pt idx="122">
                  <c:v>3444</c:v>
                </c:pt>
                <c:pt idx="123">
                  <c:v>3472</c:v>
                </c:pt>
                <c:pt idx="124">
                  <c:v>3500</c:v>
                </c:pt>
                <c:pt idx="125">
                  <c:v>3528</c:v>
                </c:pt>
                <c:pt idx="126">
                  <c:v>3556</c:v>
                </c:pt>
                <c:pt idx="127">
                  <c:v>3584</c:v>
                </c:pt>
                <c:pt idx="128">
                  <c:v>3612</c:v>
                </c:pt>
                <c:pt idx="129">
                  <c:v>3640</c:v>
                </c:pt>
              </c:numCache>
            </c:numRef>
          </c:xVal>
          <c:yVal>
            <c:numRef>
              <c:f>Hoja1!$F$18:$F$147</c:f>
              <c:numCache>
                <c:formatCode>#,##0.0000</c:formatCode>
                <c:ptCount val="130"/>
                <c:pt idx="0">
                  <c:v>8.8169292241950359</c:v>
                </c:pt>
                <c:pt idx="1">
                  <c:v>8.7532273247356471</c:v>
                </c:pt>
                <c:pt idx="2">
                  <c:v>8.6894243481899114</c:v>
                </c:pt>
                <c:pt idx="3">
                  <c:v>8.6405067991105469</c:v>
                </c:pt>
                <c:pt idx="4">
                  <c:v>8.5914947455698822</c:v>
                </c:pt>
                <c:pt idx="5">
                  <c:v>8.5423961471055243</c:v>
                </c:pt>
                <c:pt idx="6">
                  <c:v>8.4913843487012475</c:v>
                </c:pt>
                <c:pt idx="7">
                  <c:v>8.4402938680678616</c:v>
                </c:pt>
                <c:pt idx="8">
                  <c:v>8.3891262530648483</c:v>
                </c:pt>
                <c:pt idx="9">
                  <c:v>8.3355773886305542</c:v>
                </c:pt>
                <c:pt idx="10">
                  <c:v>8.2819566541772147</c:v>
                </c:pt>
                <c:pt idx="11">
                  <c:v>8.2282649666265186</c:v>
                </c:pt>
                <c:pt idx="12">
                  <c:v>8.1745035538865363</c:v>
                </c:pt>
                <c:pt idx="13">
                  <c:v>8.1343142157301642</c:v>
                </c:pt>
                <c:pt idx="14">
                  <c:v>8.0940432992518971</c:v>
                </c:pt>
                <c:pt idx="15">
                  <c:v>8.0536959270682384</c:v>
                </c:pt>
                <c:pt idx="16">
                  <c:v>8.0132762669952395</c:v>
                </c:pt>
                <c:pt idx="17">
                  <c:v>7.9727878010835029</c:v>
                </c:pt>
                <c:pt idx="18">
                  <c:v>7.9322335096372765</c:v>
                </c:pt>
                <c:pt idx="19">
                  <c:v>7.8916159999712576</c:v>
                </c:pt>
                <c:pt idx="20">
                  <c:v>7.8509375983234042</c:v>
                </c:pt>
                <c:pt idx="21">
                  <c:v>7.810200416644042</c:v>
                </c:pt>
                <c:pt idx="22">
                  <c:v>7.7694064019065312</c:v>
                </c:pt>
                <c:pt idx="23">
                  <c:v>7.7285573730344392</c:v>
                </c:pt>
                <c:pt idx="24">
                  <c:v>7.6876550489116457</c:v>
                </c:pt>
                <c:pt idx="25">
                  <c:v>7.6467010698735516</c:v>
                </c:pt>
                <c:pt idx="26">
                  <c:v>7.6300133697150274</c:v>
                </c:pt>
                <c:pt idx="27">
                  <c:v>7.6132517169761549</c:v>
                </c:pt>
                <c:pt idx="28">
                  <c:v>7.5964209334185018</c:v>
                </c:pt>
                <c:pt idx="29">
                  <c:v>7.5795252175787642</c:v>
                </c:pt>
                <c:pt idx="30">
                  <c:v>7.56256824570396</c:v>
                </c:pt>
                <c:pt idx="31">
                  <c:v>7.5455532537624714</c:v>
                </c:pt>
                <c:pt idx="32">
                  <c:v>7.5284831045449252</c:v>
                </c:pt>
                <c:pt idx="33">
                  <c:v>7.5113603429240783</c:v>
                </c:pt>
                <c:pt idx="34">
                  <c:v>7.4941872416420807</c:v>
                </c:pt>
                <c:pt idx="35">
                  <c:v>7.4769658394663097</c:v>
                </c:pt>
                <c:pt idx="36">
                  <c:v>7.4596979731579527</c:v>
                </c:pt>
                <c:pt idx="37">
                  <c:v>7.4423853043923405</c:v>
                </c:pt>
                <c:pt idx="38">
                  <c:v>7.425029342537548</c:v>
                </c:pt>
                <c:pt idx="39">
                  <c:v>7.4245321795087138</c:v>
                </c:pt>
                <c:pt idx="40">
                  <c:v>7.4239916928385608</c:v>
                </c:pt>
                <c:pt idx="41">
                  <c:v>7.4234107764939772</c:v>
                </c:pt>
                <c:pt idx="42">
                  <c:v>7.4227920543412873</c:v>
                </c:pt>
                <c:pt idx="43">
                  <c:v>7.4221379108318608</c:v>
                </c:pt>
                <c:pt idx="44">
                  <c:v>7.4214505175973056</c:v>
                </c:pt>
                <c:pt idx="45">
                  <c:v>7.4207318565758129</c:v>
                </c:pt>
                <c:pt idx="46">
                  <c:v>7.4199837401868862</c:v>
                </c:pt>
                <c:pt idx="47">
                  <c:v>7.41920782898422</c:v>
                </c:pt>
                <c:pt idx="48">
                  <c:v>7.4184056471475746</c:v>
                </c:pt>
                <c:pt idx="49">
                  <c:v>7.4175785961156926</c:v>
                </c:pt>
                <c:pt idx="50">
                  <c:v>7.4167279666155883</c:v>
                </c:pt>
                <c:pt idx="51">
                  <c:v>7.4158549493039239</c:v>
                </c:pt>
                <c:pt idx="52">
                  <c:v>7.4182843239699814</c:v>
                </c:pt>
                <c:pt idx="53">
                  <c:v>7.4206952176629093</c:v>
                </c:pt>
                <c:pt idx="54">
                  <c:v>7.4230888738474388</c:v>
                </c:pt>
                <c:pt idx="55">
                  <c:v>7.4254664487415134</c:v>
                </c:pt>
                <c:pt idx="56">
                  <c:v>7.4278290189805363</c:v>
                </c:pt>
                <c:pt idx="57">
                  <c:v>7.4301775884887844</c:v>
                </c:pt>
                <c:pt idx="58">
                  <c:v>7.4325130946523377</c:v>
                </c:pt>
                <c:pt idx="59">
                  <c:v>7.4348364138748124</c:v>
                </c:pt>
                <c:pt idx="60">
                  <c:v>7.4371483665868432</c:v>
                </c:pt>
                <c:pt idx="61">
                  <c:v>7.4394497217710187</c:v>
                </c:pt>
                <c:pt idx="62">
                  <c:v>7.4417412010558515</c:v>
                </c:pt>
                <c:pt idx="63">
                  <c:v>7.4440234824262097</c:v>
                </c:pt>
                <c:pt idx="64">
                  <c:v>7.446297203591512</c:v>
                </c:pt>
                <c:pt idx="65">
                  <c:v>7.4517768925170369</c:v>
                </c:pt>
                <c:pt idx="66">
                  <c:v>7.4572520920457741</c:v>
                </c:pt>
                <c:pt idx="67">
                  <c:v>7.4627235969576988</c:v>
                </c:pt>
                <c:pt idx="68">
                  <c:v>7.4681921610430635</c:v>
                </c:pt>
                <c:pt idx="69">
                  <c:v>7.4736585000827471</c:v>
                </c:pt>
                <c:pt idx="70">
                  <c:v>7.4791232945772279</c:v>
                </c:pt>
                <c:pt idx="71">
                  <c:v>7.4845871922490037</c:v>
                </c:pt>
                <c:pt idx="72">
                  <c:v>7.490050810340132</c:v>
                </c:pt>
                <c:pt idx="73">
                  <c:v>7.4955147377239406</c:v>
                </c:pt>
                <c:pt idx="74">
                  <c:v>7.500979536848762</c:v>
                </c:pt>
                <c:pt idx="75">
                  <c:v>7.506445745528767</c:v>
                </c:pt>
                <c:pt idx="76">
                  <c:v>7.5119138785959549</c:v>
                </c:pt>
                <c:pt idx="77">
                  <c:v>7.5173844294259107</c:v>
                </c:pt>
                <c:pt idx="78">
                  <c:v>7.5228578713481875</c:v>
                </c:pt>
                <c:pt idx="79">
                  <c:v>7.5283346589517963</c:v>
                </c:pt>
                <c:pt idx="80">
                  <c:v>7.5338152292945271</c:v>
                </c:pt>
                <c:pt idx="81">
                  <c:v>7.5393000030247181</c:v>
                </c:pt>
                <c:pt idx="82">
                  <c:v>7.5447893854223791</c:v>
                </c:pt>
                <c:pt idx="83">
                  <c:v>7.5502837673668388</c:v>
                </c:pt>
                <c:pt idx="84">
                  <c:v>7.555783526236759</c:v>
                </c:pt>
                <c:pt idx="85">
                  <c:v>7.5612890267479971</c:v>
                </c:pt>
                <c:pt idx="86">
                  <c:v>7.566800621734604</c:v>
                </c:pt>
                <c:pt idx="87">
                  <c:v>7.5723186528769304</c:v>
                </c:pt>
                <c:pt idx="88">
                  <c:v>7.5778434513818604</c:v>
                </c:pt>
                <c:pt idx="89">
                  <c:v>7.5833753386178593</c:v>
                </c:pt>
                <c:pt idx="90">
                  <c:v>7.588914626709431</c:v>
                </c:pt>
                <c:pt idx="91">
                  <c:v>7.5945516406758173</c:v>
                </c:pt>
                <c:pt idx="92">
                  <c:v>7.6001967781394786</c:v>
                </c:pt>
                <c:pt idx="93">
                  <c:v>7.6058503330159954</c:v>
                </c:pt>
                <c:pt idx="94">
                  <c:v>7.6115125918536863</c:v>
                </c:pt>
                <c:pt idx="95">
                  <c:v>7.6171838342733889</c:v>
                </c:pt>
                <c:pt idx="96">
                  <c:v>7.622864333381818</c:v>
                </c:pt>
                <c:pt idx="97">
                  <c:v>7.628554356160433</c:v>
                </c:pt>
                <c:pt idx="98">
                  <c:v>7.6342541638316108</c:v>
                </c:pt>
                <c:pt idx="99">
                  <c:v>7.6399640122034373</c:v>
                </c:pt>
                <c:pt idx="100">
                  <c:v>7.6456841519949137</c:v>
                </c:pt>
                <c:pt idx="101">
                  <c:v>7.6514148291430439</c:v>
                </c:pt>
                <c:pt idx="102">
                  <c:v>7.6571562850923813</c:v>
                </c:pt>
                <c:pt idx="103">
                  <c:v>7.6629087570692311</c:v>
                </c:pt>
                <c:pt idx="104">
                  <c:v>7.6686724783404658</c:v>
                </c:pt>
                <c:pt idx="105">
                  <c:v>7.6744476784590399</c:v>
                </c:pt>
                <c:pt idx="106">
                  <c:v>7.6802345834960928</c:v>
                </c:pt>
                <c:pt idx="107">
                  <c:v>7.6860334162613952</c:v>
                </c:pt>
                <c:pt idx="108">
                  <c:v>7.6918443965122263</c:v>
                </c:pt>
                <c:pt idx="109">
                  <c:v>7.6976677411518812</c:v>
                </c:pt>
                <c:pt idx="110">
                  <c:v>7.703503664418232</c:v>
                </c:pt>
                <c:pt idx="111">
                  <c:v>7.709352378063028</c:v>
                </c:pt>
                <c:pt idx="112">
                  <c:v>7.7152140915226264</c:v>
                </c:pt>
                <c:pt idx="113">
                  <c:v>7.7210890120806175</c:v>
                </c:pt>
                <c:pt idx="114">
                  <c:v>7.7269773450227675</c:v>
                </c:pt>
                <c:pt idx="115">
                  <c:v>7.7328792937849222</c:v>
                </c:pt>
                <c:pt idx="116">
                  <c:v>7.7387950600942279</c:v>
                </c:pt>
                <c:pt idx="117">
                  <c:v>7.744724844104045</c:v>
                </c:pt>
                <c:pt idx="118">
                  <c:v>7.7506688445230232</c:v>
                </c:pt>
                <c:pt idx="119">
                  <c:v>7.7566272587386242</c:v>
                </c:pt>
                <c:pt idx="120">
                  <c:v>7.7626002829354501</c:v>
                </c:pt>
                <c:pt idx="121">
                  <c:v>7.7685881122087963</c:v>
                </c:pt>
                <c:pt idx="122">
                  <c:v>7.7745909406734759</c:v>
                </c:pt>
                <c:pt idx="123">
                  <c:v>7.7806089615684249</c:v>
                </c:pt>
                <c:pt idx="124">
                  <c:v>7.7866423673573326</c:v>
                </c:pt>
                <c:pt idx="125">
                  <c:v>7.7926913498252759</c:v>
                </c:pt>
                <c:pt idx="126">
                  <c:v>7.7987561001719996</c:v>
                </c:pt>
                <c:pt idx="127">
                  <c:v>7.8048368091017339</c:v>
                </c:pt>
                <c:pt idx="128">
                  <c:v>7.8109336669097473</c:v>
                </c:pt>
                <c:pt idx="129">
                  <c:v>7.8170468635661905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7-4DE3-B579-C633A51F6EE7}"/>
            </c:ext>
          </c:extLst>
        </c:ser>
        <c:ser>
          <c:idx val="1"/>
          <c:order val="1"/>
          <c:tx>
            <c:strRef>
              <c:f>Hoja1!$G$17</c:f>
              <c:strCache>
                <c:ptCount val="1"/>
                <c:pt idx="0">
                  <c:v>Tasa Fwd (Smp act/360)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Hoja1!$B$18:$B$147</c:f>
              <c:numCache>
                <c:formatCode>#,##0</c:formatCode>
                <c:ptCount val="130"/>
                <c:pt idx="0">
                  <c:v>28</c:v>
                </c:pt>
                <c:pt idx="1">
                  <c:v>56</c:v>
                </c:pt>
                <c:pt idx="2">
                  <c:v>84</c:v>
                </c:pt>
                <c:pt idx="3">
                  <c:v>112</c:v>
                </c:pt>
                <c:pt idx="4">
                  <c:v>140</c:v>
                </c:pt>
                <c:pt idx="5">
                  <c:v>168</c:v>
                </c:pt>
                <c:pt idx="6">
                  <c:v>196</c:v>
                </c:pt>
                <c:pt idx="7">
                  <c:v>224</c:v>
                </c:pt>
                <c:pt idx="8">
                  <c:v>252</c:v>
                </c:pt>
                <c:pt idx="9">
                  <c:v>280</c:v>
                </c:pt>
                <c:pt idx="10">
                  <c:v>308</c:v>
                </c:pt>
                <c:pt idx="11">
                  <c:v>336</c:v>
                </c:pt>
                <c:pt idx="12">
                  <c:v>364</c:v>
                </c:pt>
                <c:pt idx="13">
                  <c:v>392</c:v>
                </c:pt>
                <c:pt idx="14">
                  <c:v>420</c:v>
                </c:pt>
                <c:pt idx="15">
                  <c:v>448</c:v>
                </c:pt>
                <c:pt idx="16">
                  <c:v>476</c:v>
                </c:pt>
                <c:pt idx="17">
                  <c:v>504</c:v>
                </c:pt>
                <c:pt idx="18">
                  <c:v>532</c:v>
                </c:pt>
                <c:pt idx="19">
                  <c:v>560</c:v>
                </c:pt>
                <c:pt idx="20">
                  <c:v>588</c:v>
                </c:pt>
                <c:pt idx="21">
                  <c:v>616</c:v>
                </c:pt>
                <c:pt idx="22">
                  <c:v>644</c:v>
                </c:pt>
                <c:pt idx="23">
                  <c:v>672</c:v>
                </c:pt>
                <c:pt idx="24">
                  <c:v>700</c:v>
                </c:pt>
                <c:pt idx="25">
                  <c:v>728</c:v>
                </c:pt>
                <c:pt idx="26">
                  <c:v>756</c:v>
                </c:pt>
                <c:pt idx="27">
                  <c:v>784</c:v>
                </c:pt>
                <c:pt idx="28">
                  <c:v>812</c:v>
                </c:pt>
                <c:pt idx="29">
                  <c:v>840</c:v>
                </c:pt>
                <c:pt idx="30">
                  <c:v>868</c:v>
                </c:pt>
                <c:pt idx="31">
                  <c:v>896</c:v>
                </c:pt>
                <c:pt idx="32">
                  <c:v>924</c:v>
                </c:pt>
                <c:pt idx="33">
                  <c:v>952</c:v>
                </c:pt>
                <c:pt idx="34">
                  <c:v>980</c:v>
                </c:pt>
                <c:pt idx="35">
                  <c:v>1008</c:v>
                </c:pt>
                <c:pt idx="36">
                  <c:v>1036</c:v>
                </c:pt>
                <c:pt idx="37">
                  <c:v>1064</c:v>
                </c:pt>
                <c:pt idx="38">
                  <c:v>1092</c:v>
                </c:pt>
                <c:pt idx="39">
                  <c:v>1120</c:v>
                </c:pt>
                <c:pt idx="40">
                  <c:v>1148</c:v>
                </c:pt>
                <c:pt idx="41">
                  <c:v>1176</c:v>
                </c:pt>
                <c:pt idx="42">
                  <c:v>1204</c:v>
                </c:pt>
                <c:pt idx="43">
                  <c:v>1232</c:v>
                </c:pt>
                <c:pt idx="44">
                  <c:v>1260</c:v>
                </c:pt>
                <c:pt idx="45">
                  <c:v>1288</c:v>
                </c:pt>
                <c:pt idx="46">
                  <c:v>1316</c:v>
                </c:pt>
                <c:pt idx="47">
                  <c:v>1344</c:v>
                </c:pt>
                <c:pt idx="48">
                  <c:v>1372</c:v>
                </c:pt>
                <c:pt idx="49">
                  <c:v>1400</c:v>
                </c:pt>
                <c:pt idx="50">
                  <c:v>1428</c:v>
                </c:pt>
                <c:pt idx="51">
                  <c:v>1456</c:v>
                </c:pt>
                <c:pt idx="52">
                  <c:v>1484</c:v>
                </c:pt>
                <c:pt idx="53">
                  <c:v>1512</c:v>
                </c:pt>
                <c:pt idx="54">
                  <c:v>1540</c:v>
                </c:pt>
                <c:pt idx="55">
                  <c:v>1568</c:v>
                </c:pt>
                <c:pt idx="56">
                  <c:v>1596</c:v>
                </c:pt>
                <c:pt idx="57">
                  <c:v>1624</c:v>
                </c:pt>
                <c:pt idx="58">
                  <c:v>1652</c:v>
                </c:pt>
                <c:pt idx="59">
                  <c:v>1680</c:v>
                </c:pt>
                <c:pt idx="60">
                  <c:v>1708</c:v>
                </c:pt>
                <c:pt idx="61">
                  <c:v>1736</c:v>
                </c:pt>
                <c:pt idx="62">
                  <c:v>1764</c:v>
                </c:pt>
                <c:pt idx="63">
                  <c:v>1792</c:v>
                </c:pt>
                <c:pt idx="64">
                  <c:v>1820</c:v>
                </c:pt>
                <c:pt idx="65">
                  <c:v>1848</c:v>
                </c:pt>
                <c:pt idx="66">
                  <c:v>1876</c:v>
                </c:pt>
                <c:pt idx="67">
                  <c:v>1904</c:v>
                </c:pt>
                <c:pt idx="68">
                  <c:v>1932</c:v>
                </c:pt>
                <c:pt idx="69">
                  <c:v>1960</c:v>
                </c:pt>
                <c:pt idx="70">
                  <c:v>1988</c:v>
                </c:pt>
                <c:pt idx="71">
                  <c:v>2016</c:v>
                </c:pt>
                <c:pt idx="72">
                  <c:v>2044</c:v>
                </c:pt>
                <c:pt idx="73">
                  <c:v>2072</c:v>
                </c:pt>
                <c:pt idx="74">
                  <c:v>2100</c:v>
                </c:pt>
                <c:pt idx="75">
                  <c:v>2128</c:v>
                </c:pt>
                <c:pt idx="76">
                  <c:v>2156</c:v>
                </c:pt>
                <c:pt idx="77">
                  <c:v>2184</c:v>
                </c:pt>
                <c:pt idx="78">
                  <c:v>2212</c:v>
                </c:pt>
                <c:pt idx="79">
                  <c:v>2240</c:v>
                </c:pt>
                <c:pt idx="80">
                  <c:v>2268</c:v>
                </c:pt>
                <c:pt idx="81">
                  <c:v>2296</c:v>
                </c:pt>
                <c:pt idx="82">
                  <c:v>2324</c:v>
                </c:pt>
                <c:pt idx="83">
                  <c:v>2352</c:v>
                </c:pt>
                <c:pt idx="84">
                  <c:v>2380</c:v>
                </c:pt>
                <c:pt idx="85">
                  <c:v>2408</c:v>
                </c:pt>
                <c:pt idx="86">
                  <c:v>2436</c:v>
                </c:pt>
                <c:pt idx="87">
                  <c:v>2464</c:v>
                </c:pt>
                <c:pt idx="88">
                  <c:v>2492</c:v>
                </c:pt>
                <c:pt idx="89">
                  <c:v>2520</c:v>
                </c:pt>
                <c:pt idx="90">
                  <c:v>2548</c:v>
                </c:pt>
                <c:pt idx="91">
                  <c:v>2576</c:v>
                </c:pt>
                <c:pt idx="92">
                  <c:v>2604</c:v>
                </c:pt>
                <c:pt idx="93">
                  <c:v>2632</c:v>
                </c:pt>
                <c:pt idx="94">
                  <c:v>2660</c:v>
                </c:pt>
                <c:pt idx="95">
                  <c:v>2688</c:v>
                </c:pt>
                <c:pt idx="96">
                  <c:v>2716</c:v>
                </c:pt>
                <c:pt idx="97">
                  <c:v>2744</c:v>
                </c:pt>
                <c:pt idx="98">
                  <c:v>2772</c:v>
                </c:pt>
                <c:pt idx="99">
                  <c:v>2800</c:v>
                </c:pt>
                <c:pt idx="100">
                  <c:v>2828</c:v>
                </c:pt>
                <c:pt idx="101">
                  <c:v>2856</c:v>
                </c:pt>
                <c:pt idx="102">
                  <c:v>2884</c:v>
                </c:pt>
                <c:pt idx="103">
                  <c:v>2912</c:v>
                </c:pt>
                <c:pt idx="104">
                  <c:v>2940</c:v>
                </c:pt>
                <c:pt idx="105">
                  <c:v>2968</c:v>
                </c:pt>
                <c:pt idx="106">
                  <c:v>2996</c:v>
                </c:pt>
                <c:pt idx="107">
                  <c:v>3024</c:v>
                </c:pt>
                <c:pt idx="108">
                  <c:v>3052</c:v>
                </c:pt>
                <c:pt idx="109">
                  <c:v>3080</c:v>
                </c:pt>
                <c:pt idx="110">
                  <c:v>3108</c:v>
                </c:pt>
                <c:pt idx="111">
                  <c:v>3136</c:v>
                </c:pt>
                <c:pt idx="112">
                  <c:v>3164</c:v>
                </c:pt>
                <c:pt idx="113">
                  <c:v>3192</c:v>
                </c:pt>
                <c:pt idx="114">
                  <c:v>3220</c:v>
                </c:pt>
                <c:pt idx="115">
                  <c:v>3248</c:v>
                </c:pt>
                <c:pt idx="116">
                  <c:v>3276</c:v>
                </c:pt>
                <c:pt idx="117">
                  <c:v>3304</c:v>
                </c:pt>
                <c:pt idx="118">
                  <c:v>3332</c:v>
                </c:pt>
                <c:pt idx="119">
                  <c:v>3360</c:v>
                </c:pt>
                <c:pt idx="120">
                  <c:v>3388</c:v>
                </c:pt>
                <c:pt idx="121">
                  <c:v>3416</c:v>
                </c:pt>
                <c:pt idx="122">
                  <c:v>3444</c:v>
                </c:pt>
                <c:pt idx="123">
                  <c:v>3472</c:v>
                </c:pt>
                <c:pt idx="124">
                  <c:v>3500</c:v>
                </c:pt>
                <c:pt idx="125">
                  <c:v>3528</c:v>
                </c:pt>
                <c:pt idx="126">
                  <c:v>3556</c:v>
                </c:pt>
                <c:pt idx="127">
                  <c:v>3584</c:v>
                </c:pt>
                <c:pt idx="128">
                  <c:v>3612</c:v>
                </c:pt>
                <c:pt idx="129">
                  <c:v>3640</c:v>
                </c:pt>
              </c:numCache>
            </c:numRef>
          </c:xVal>
          <c:yVal>
            <c:numRef>
              <c:f>Hoja1!$G$18:$G$147</c:f>
              <c:numCache>
                <c:formatCode>#,##0.0000</c:formatCode>
                <c:ptCount val="130"/>
                <c:pt idx="0">
                  <c:v>8.4774999999999991</c:v>
                </c:pt>
                <c:pt idx="1">
                  <c:v>8.2413623944227314</c:v>
                </c:pt>
                <c:pt idx="2">
                  <c:v>8.1782643821830217</c:v>
                </c:pt>
                <c:pt idx="3">
                  <c:v>8.0871212681986755</c:v>
                </c:pt>
                <c:pt idx="4">
                  <c:v>7.9957041174875911</c:v>
                </c:pt>
                <c:pt idx="5">
                  <c:v>7.8921322668616636</c:v>
                </c:pt>
                <c:pt idx="6">
                  <c:v>7.7967803695003619</c:v>
                </c:pt>
                <c:pt idx="7">
                  <c:v>7.7011616131373071</c:v>
                </c:pt>
                <c:pt idx="8">
                  <c:v>7.5838732430642617</c:v>
                </c:pt>
                <c:pt idx="9">
                  <c:v>7.483456451749289</c:v>
                </c:pt>
                <c:pt idx="10">
                  <c:v>7.3827822205648923</c:v>
                </c:pt>
                <c:pt idx="11">
                  <c:v>7.2818573005610787</c:v>
                </c:pt>
                <c:pt idx="12">
                  <c:v>7.3582981720508354</c:v>
                </c:pt>
                <c:pt idx="13">
                  <c:v>7.2822097212468559</c:v>
                </c:pt>
                <c:pt idx="14">
                  <c:v>7.2059311527412939</c:v>
                </c:pt>
                <c:pt idx="15">
                  <c:v>7.1294661936781738</c:v>
                </c:pt>
                <c:pt idx="16">
                  <c:v>7.0528186409291669</c:v>
                </c:pt>
                <c:pt idx="17">
                  <c:v>6.9759923602348604</c:v>
                </c:pt>
                <c:pt idx="18">
                  <c:v>6.8989912852997577</c:v>
                </c:pt>
                <c:pt idx="19">
                  <c:v>6.8218194168438995</c:v>
                </c:pt>
                <c:pt idx="20">
                  <c:v>6.744480821600237</c:v>
                </c:pt>
                <c:pt idx="21">
                  <c:v>6.6669796312797445</c:v>
                </c:pt>
                <c:pt idx="22">
                  <c:v>6.5893200414777198</c:v>
                </c:pt>
                <c:pt idx="23">
                  <c:v>6.511506310545264</c:v>
                </c:pt>
                <c:pt idx="24">
                  <c:v>6.4335427584076523</c:v>
                </c:pt>
                <c:pt idx="25">
                  <c:v>6.9686624111922697</c:v>
                </c:pt>
                <c:pt idx="26">
                  <c:v>6.9354855165147464</c:v>
                </c:pt>
                <c:pt idx="27">
                  <c:v>6.9022246523761259</c:v>
                </c:pt>
                <c:pt idx="28">
                  <c:v>6.8688803220158565</c:v>
                </c:pt>
                <c:pt idx="29">
                  <c:v>6.8354530411622552</c:v>
                </c:pt>
                <c:pt idx="30">
                  <c:v>6.8019433380450689</c:v>
                </c:pt>
                <c:pt idx="31">
                  <c:v>6.7683517534060345</c:v>
                </c:pt>
                <c:pt idx="32">
                  <c:v>6.7346788405020197</c:v>
                </c:pt>
                <c:pt idx="33">
                  <c:v>6.7009251651124471</c:v>
                </c:pt>
                <c:pt idx="34">
                  <c:v>6.6670913055350161</c:v>
                </c:pt>
                <c:pt idx="35">
                  <c:v>6.6331778525825502</c:v>
                </c:pt>
                <c:pt idx="36">
                  <c:v>6.5991854095807261</c:v>
                </c:pt>
                <c:pt idx="37">
                  <c:v>6.5651145923489391</c:v>
                </c:pt>
                <c:pt idx="38">
                  <c:v>7.1636728984700229</c:v>
                </c:pt>
                <c:pt idx="39">
                  <c:v>7.1610793281486576</c:v>
                </c:pt>
                <c:pt idx="40">
                  <c:v>7.1584778457223219</c:v>
                </c:pt>
                <c:pt idx="41">
                  <c:v>7.1558684133153116</c:v>
                </c:pt>
                <c:pt idx="42">
                  <c:v>7.1532509929197463</c:v>
                </c:pt>
                <c:pt idx="43">
                  <c:v>7.1506255463918507</c:v>
                </c:pt>
                <c:pt idx="44">
                  <c:v>7.1479920354542426</c:v>
                </c:pt>
                <c:pt idx="45">
                  <c:v>7.1453504216982191</c:v>
                </c:pt>
                <c:pt idx="46">
                  <c:v>7.1427006665774693</c:v>
                </c:pt>
                <c:pt idx="47">
                  <c:v>7.1400427314135069</c:v>
                </c:pt>
                <c:pt idx="48">
                  <c:v>7.1373765773950888</c:v>
                </c:pt>
                <c:pt idx="49">
                  <c:v>7.1347021655759431</c:v>
                </c:pt>
                <c:pt idx="50">
                  <c:v>7.1320194568767556</c:v>
                </c:pt>
                <c:pt idx="51">
                  <c:v>7.2942406072542862</c:v>
                </c:pt>
                <c:pt idx="52">
                  <c:v>7.297852450145343</c:v>
                </c:pt>
                <c:pt idx="53">
                  <c:v>7.3014763332398056</c:v>
                </c:pt>
                <c:pt idx="54">
                  <c:v>7.3051123375628606</c:v>
                </c:pt>
                <c:pt idx="55">
                  <c:v>7.3087605447677646</c:v>
                </c:pt>
                <c:pt idx="56">
                  <c:v>7.312421037141549</c:v>
                </c:pt>
                <c:pt idx="57">
                  <c:v>7.316093897610453</c:v>
                </c:pt>
                <c:pt idx="58">
                  <c:v>7.3197792097473409</c:v>
                </c:pt>
                <c:pt idx="59">
                  <c:v>7.3234770577754107</c:v>
                </c:pt>
                <c:pt idx="60">
                  <c:v>7.3271875265761919</c:v>
                </c:pt>
                <c:pt idx="61">
                  <c:v>7.3309107016952577</c:v>
                </c:pt>
                <c:pt idx="62">
                  <c:v>7.3346466693459282</c:v>
                </c:pt>
                <c:pt idx="63">
                  <c:v>7.3383955164206975</c:v>
                </c:pt>
                <c:pt idx="64">
                  <c:v>7.5407116115768149</c:v>
                </c:pt>
                <c:pt idx="65">
                  <c:v>7.5506719921288719</c:v>
                </c:pt>
                <c:pt idx="66">
                  <c:v>7.5606696904997648</c:v>
                </c:pt>
                <c:pt idx="67">
                  <c:v>7.5707050282605479</c:v>
                </c:pt>
                <c:pt idx="68">
                  <c:v>7.5807783303635716</c:v>
                </c:pt>
                <c:pt idx="69">
                  <c:v>7.5908899251824522</c:v>
                </c:pt>
                <c:pt idx="70">
                  <c:v>7.6010401445574569</c:v>
                </c:pt>
                <c:pt idx="71">
                  <c:v>7.6112293238411883</c:v>
                </c:pt>
                <c:pt idx="72">
                  <c:v>7.6214578019442625</c:v>
                </c:pt>
                <c:pt idx="73">
                  <c:v>7.6317259213786972</c:v>
                </c:pt>
                <c:pt idx="74">
                  <c:v>7.6420340283121586</c:v>
                </c:pt>
                <c:pt idx="75">
                  <c:v>7.6523824726050709</c:v>
                </c:pt>
                <c:pt idx="76">
                  <c:v>7.6627716078700052</c:v>
                </c:pt>
                <c:pt idx="77">
                  <c:v>7.6732017915153472</c:v>
                </c:pt>
                <c:pt idx="78">
                  <c:v>7.6836733847969816</c:v>
                </c:pt>
                <c:pt idx="79">
                  <c:v>7.6941867528653889</c:v>
                </c:pt>
                <c:pt idx="80">
                  <c:v>7.7047422648273125</c:v>
                </c:pt>
                <c:pt idx="81">
                  <c:v>7.7153402937851618</c:v>
                </c:pt>
                <c:pt idx="82">
                  <c:v>7.7259812169020927</c:v>
                </c:pt>
                <c:pt idx="83">
                  <c:v>7.7366654154488339</c:v>
                </c:pt>
                <c:pt idx="84">
                  <c:v>7.7473932748633541</c:v>
                </c:pt>
                <c:pt idx="85">
                  <c:v>7.7581651848033868</c:v>
                </c:pt>
                <c:pt idx="86">
                  <c:v>7.7689815392055293</c:v>
                </c:pt>
                <c:pt idx="87">
                  <c:v>7.7798427363443396</c:v>
                </c:pt>
                <c:pt idx="88">
                  <c:v>7.7907491788851457</c:v>
                </c:pt>
                <c:pt idx="89">
                  <c:v>7.8017012739534257</c:v>
                </c:pt>
                <c:pt idx="90">
                  <c:v>7.8204436356186546</c:v>
                </c:pt>
                <c:pt idx="91">
                  <c:v>7.8316666578031047</c:v>
                </c:pt>
                <c:pt idx="92">
                  <c:v>7.8429374583736591</c:v>
                </c:pt>
                <c:pt idx="93">
                  <c:v>7.8542564731539803</c:v>
                </c:pt>
                <c:pt idx="94">
                  <c:v>7.8656241428786604</c:v>
                </c:pt>
                <c:pt idx="95">
                  <c:v>7.8770409132643078</c:v>
                </c:pt>
                <c:pt idx="96">
                  <c:v>7.8885072350726331</c:v>
                </c:pt>
                <c:pt idx="97">
                  <c:v>7.9000235641915362</c:v>
                </c:pt>
                <c:pt idx="98">
                  <c:v>7.9115903616959118</c:v>
                </c:pt>
                <c:pt idx="99">
                  <c:v>7.9232080939275784</c:v>
                </c:pt>
                <c:pt idx="100">
                  <c:v>7.9348772325686614</c:v>
                </c:pt>
                <c:pt idx="101">
                  <c:v>7.9465982547120957</c:v>
                </c:pt>
                <c:pt idx="102">
                  <c:v>7.9583716429481353</c:v>
                </c:pt>
                <c:pt idx="103">
                  <c:v>7.9701978854294406</c:v>
                </c:pt>
                <c:pt idx="104">
                  <c:v>7.9820774759652915</c:v>
                </c:pt>
                <c:pt idx="105">
                  <c:v>7.9940109140886744</c:v>
                </c:pt>
                <c:pt idx="106">
                  <c:v>8.00599870514678</c:v>
                </c:pt>
                <c:pt idx="107">
                  <c:v>8.018041360383231</c:v>
                </c:pt>
                <c:pt idx="108">
                  <c:v>8.0301393970200046</c:v>
                </c:pt>
                <c:pt idx="109">
                  <c:v>8.0422933383482249</c:v>
                </c:pt>
                <c:pt idx="110">
                  <c:v>8.0545037138129523</c:v>
                </c:pt>
                <c:pt idx="111">
                  <c:v>8.0667710591045356</c:v>
                </c:pt>
                <c:pt idx="112">
                  <c:v>8.0790959162459721</c:v>
                </c:pt>
                <c:pt idx="113">
                  <c:v>8.0914788336939729</c:v>
                </c:pt>
                <c:pt idx="114">
                  <c:v>8.1039203664228872</c:v>
                </c:pt>
                <c:pt idx="115">
                  <c:v>8.1164210760289137</c:v>
                </c:pt>
                <c:pt idx="116">
                  <c:v>8.1289815308237383</c:v>
                </c:pt>
                <c:pt idx="117">
                  <c:v>8.1416023059330183</c:v>
                </c:pt>
                <c:pt idx="118">
                  <c:v>8.154283983402598</c:v>
                </c:pt>
                <c:pt idx="119">
                  <c:v>8.1670271522961304</c:v>
                </c:pt>
                <c:pt idx="120">
                  <c:v>8.1798324088009995</c:v>
                </c:pt>
                <c:pt idx="121">
                  <c:v>8.1927003563399463</c:v>
                </c:pt>
                <c:pt idx="122">
                  <c:v>8.2056316056718455</c:v>
                </c:pt>
                <c:pt idx="123">
                  <c:v>8.2186267750078894</c:v>
                </c:pt>
                <c:pt idx="124">
                  <c:v>8.231686490122943</c:v>
                </c:pt>
                <c:pt idx="125">
                  <c:v>8.2448113844702924</c:v>
                </c:pt>
                <c:pt idx="126">
                  <c:v>8.2580020992952807</c:v>
                </c:pt>
                <c:pt idx="127">
                  <c:v>8.2712592837589209</c:v>
                </c:pt>
                <c:pt idx="128">
                  <c:v>8.2845835950575069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47-4DE3-B579-C633A51F6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5072"/>
        <c:axId val="548599008"/>
      </c:scatterChart>
      <c:valAx>
        <c:axId val="54859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48599008"/>
        <c:crosses val="autoZero"/>
        <c:crossBetween val="midCat"/>
      </c:valAx>
      <c:valAx>
        <c:axId val="548599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4859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723898</xdr:colOff>
      <xdr:row>39</xdr:row>
      <xdr:rowOff>168183</xdr:rowOff>
    </xdr:from>
    <xdr:to>
      <xdr:col>12</xdr:col>
      <xdr:colOff>415290</xdr:colOff>
      <xdr:row>54</xdr:row>
      <xdr:rowOff>143146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D0E844-026A-4B4D-9148-973B22C34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29C1C-E186-48D9-90FA-3F3AEFE6046F}">
  <sheetPr codeName="Hoja1"/>
  <dimension ref="B2:N149"/>
  <sheetViews>
    <sheetView showGridLines="0" workbookViewId="0">
      <selection activeCell="G23" sqref="G23"/>
    </sheetView>
  </sheetViews>
  <sheetFormatPr baseColWidth="10" defaultRowHeight="15" x14ac:dyDescent="0.25"/>
  <cols>
    <col min="2" max="2" width="9.42578125" bestFit="1" customWidth="1"/>
    <col min="3" max="3" width="22.5703125" bestFit="1" customWidth="1"/>
    <col min="4" max="4" width="16.85546875" bestFit="1" customWidth="1"/>
    <col min="5" max="5" width="20.85546875" bestFit="1" customWidth="1"/>
    <col min="6" max="6" width="22" bestFit="1" customWidth="1"/>
    <col min="7" max="7" width="20.28515625" bestFit="1" customWidth="1"/>
    <col min="10" max="10" width="22.5703125" bestFit="1" customWidth="1"/>
    <col min="11" max="11" width="13" bestFit="1" customWidth="1"/>
    <col min="12" max="12" width="9.85546875" bestFit="1" customWidth="1"/>
    <col min="13" max="13" width="20.85546875" bestFit="1" customWidth="1"/>
    <col min="14" max="14" width="19.42578125" bestFit="1" customWidth="1"/>
    <col min="15" max="15" width="11" customWidth="1"/>
  </cols>
  <sheetData>
    <row r="2" spans="2:14" ht="15.75" thickBot="1" x14ac:dyDescent="0.3">
      <c r="G2">
        <v>4</v>
      </c>
      <c r="N2">
        <v>6</v>
      </c>
    </row>
    <row r="3" spans="2:14" ht="19.5" thickBot="1" x14ac:dyDescent="0.35">
      <c r="B3" s="36" t="s">
        <v>20</v>
      </c>
      <c r="C3" s="37"/>
      <c r="D3" s="38"/>
      <c r="E3" s="14"/>
      <c r="F3" s="14"/>
      <c r="G3" s="14"/>
      <c r="I3" s="36" t="s">
        <v>21</v>
      </c>
      <c r="J3" s="37"/>
      <c r="K3" s="38"/>
      <c r="L3" s="14"/>
      <c r="M3" s="14"/>
      <c r="N3" s="14"/>
    </row>
    <row r="4" spans="2:14" ht="15.75" thickBot="1" x14ac:dyDescent="0.3">
      <c r="B4" s="5" t="s">
        <v>0</v>
      </c>
      <c r="C4" s="6" t="s">
        <v>6</v>
      </c>
      <c r="D4" s="7" t="s">
        <v>1</v>
      </c>
      <c r="E4" s="13" t="s">
        <v>10</v>
      </c>
      <c r="F4" s="13" t="s">
        <v>13</v>
      </c>
      <c r="G4" s="13" t="s">
        <v>12</v>
      </c>
      <c r="I4" s="5" t="s">
        <v>0</v>
      </c>
      <c r="J4" s="6" t="s">
        <v>19</v>
      </c>
      <c r="K4" s="7" t="s">
        <v>1</v>
      </c>
      <c r="L4" s="13" t="s">
        <v>10</v>
      </c>
      <c r="M4" s="13" t="s">
        <v>13</v>
      </c>
      <c r="N4" s="13" t="s">
        <v>12</v>
      </c>
    </row>
    <row r="5" spans="2:14" ht="15.75" thickBot="1" x14ac:dyDescent="0.3">
      <c r="B5" s="10">
        <v>28</v>
      </c>
      <c r="C5" s="3">
        <v>8.4774999999999991</v>
      </c>
      <c r="D5" s="4" t="s">
        <v>7</v>
      </c>
      <c r="E5" s="12">
        <v>0</v>
      </c>
      <c r="F5" s="15">
        <f>+C5+E5%</f>
        <v>8.4774999999999991</v>
      </c>
      <c r="G5" s="15">
        <f t="shared" ref="G5:G15" si="0">+VLOOKUP(B5,$B$18:$G$147,G$2,0)</f>
        <v>8.4775000000000098</v>
      </c>
      <c r="I5" s="8">
        <v>90</v>
      </c>
      <c r="J5" s="3">
        <v>2.2827500000000001</v>
      </c>
      <c r="K5" s="4" t="s">
        <v>2</v>
      </c>
      <c r="L5" s="12">
        <v>0</v>
      </c>
      <c r="M5" s="15">
        <f>+J5+L5%</f>
        <v>2.2827500000000001</v>
      </c>
      <c r="N5" s="15">
        <f t="shared" ref="N5:N16" si="1">+VLOOKUP(I5,$I$19:$N$39,N$2,0)</f>
        <v>2.3023655049954961</v>
      </c>
    </row>
    <row r="6" spans="2:14" x14ac:dyDescent="0.25">
      <c r="B6" s="11">
        <v>84</v>
      </c>
      <c r="C6" s="1">
        <v>8.36</v>
      </c>
      <c r="D6" s="2" t="s">
        <v>5</v>
      </c>
      <c r="E6" s="12">
        <v>0</v>
      </c>
      <c r="F6" s="15">
        <f t="shared" ref="F6:F15" si="2">+C6+E6%</f>
        <v>8.36</v>
      </c>
      <c r="G6" s="15">
        <f t="shared" si="0"/>
        <v>8.4139596177253182</v>
      </c>
      <c r="I6" s="9">
        <v>180</v>
      </c>
      <c r="J6" s="1">
        <v>2.1604999999999999</v>
      </c>
      <c r="K6" s="2" t="s">
        <v>5</v>
      </c>
      <c r="L6" s="12">
        <v>0</v>
      </c>
      <c r="M6" s="15">
        <f t="shared" ref="M6" si="3">+J6+L6%</f>
        <v>2.1604999999999999</v>
      </c>
      <c r="N6" s="15">
        <f t="shared" si="1"/>
        <v>2.1480448643935945</v>
      </c>
    </row>
    <row r="7" spans="2:14" x14ac:dyDescent="0.25">
      <c r="B7" s="11">
        <v>168</v>
      </c>
      <c r="C7" s="1">
        <v>8.2249999999999996</v>
      </c>
      <c r="D7" s="2" t="s">
        <v>5</v>
      </c>
      <c r="E7" s="12">
        <v>0</v>
      </c>
      <c r="F7" s="15">
        <f t="shared" si="2"/>
        <v>8.2249999999999996</v>
      </c>
      <c r="G7" s="15">
        <f t="shared" si="0"/>
        <v>8.3558653098692517</v>
      </c>
      <c r="I7" s="9">
        <v>360</v>
      </c>
      <c r="J7" s="1">
        <v>2.0457000000000001</v>
      </c>
      <c r="K7" s="2" t="s">
        <v>5</v>
      </c>
      <c r="L7" s="12">
        <v>0</v>
      </c>
      <c r="M7" s="15">
        <f t="shared" ref="M7:M16" si="4">+J7+L7%</f>
        <v>2.0457000000000001</v>
      </c>
      <c r="N7" s="15">
        <f t="shared" si="1"/>
        <v>2.0271274730337518</v>
      </c>
    </row>
    <row r="8" spans="2:14" x14ac:dyDescent="0.25">
      <c r="B8" s="11">
        <v>252</v>
      </c>
      <c r="C8" s="1">
        <v>8.0850000000000009</v>
      </c>
      <c r="D8" s="2" t="s">
        <v>5</v>
      </c>
      <c r="E8" s="12">
        <v>0</v>
      </c>
      <c r="F8" s="15">
        <f t="shared" si="2"/>
        <v>8.0850000000000009</v>
      </c>
      <c r="G8" s="15">
        <f t="shared" si="0"/>
        <v>8.287222280442208</v>
      </c>
      <c r="I8" s="9">
        <f t="shared" ref="I8:I16" si="5">+I7+360</f>
        <v>720</v>
      </c>
      <c r="J8" s="1">
        <v>1.8411</v>
      </c>
      <c r="K8" s="2" t="s">
        <v>5</v>
      </c>
      <c r="L8" s="12">
        <v>0</v>
      </c>
      <c r="M8" s="15">
        <f t="shared" si="4"/>
        <v>1.8411</v>
      </c>
      <c r="N8" s="15">
        <f t="shared" si="1"/>
        <v>1.821629686313142</v>
      </c>
    </row>
    <row r="9" spans="2:14" x14ac:dyDescent="0.25">
      <c r="B9" s="11">
        <v>364</v>
      </c>
      <c r="C9" s="1">
        <v>7.89</v>
      </c>
      <c r="D9" s="2" t="s">
        <v>5</v>
      </c>
      <c r="E9" s="12">
        <v>0</v>
      </c>
      <c r="F9" s="15">
        <f t="shared" si="2"/>
        <v>7.89</v>
      </c>
      <c r="G9" s="15">
        <f t="shared" si="0"/>
        <v>8.1781197610658527</v>
      </c>
      <c r="I9" s="9">
        <f t="shared" si="5"/>
        <v>1080</v>
      </c>
      <c r="J9" s="1">
        <v>1.7791999999999999</v>
      </c>
      <c r="K9" s="2" t="s">
        <v>5</v>
      </c>
      <c r="L9" s="12">
        <v>0</v>
      </c>
      <c r="M9" s="15">
        <f t="shared" si="4"/>
        <v>1.7791999999999999</v>
      </c>
      <c r="N9" s="15">
        <f t="shared" si="1"/>
        <v>1.7597366107189982</v>
      </c>
    </row>
    <row r="10" spans="2:14" x14ac:dyDescent="0.25">
      <c r="B10" s="11">
        <v>728</v>
      </c>
      <c r="C10" s="1">
        <v>7.415</v>
      </c>
      <c r="D10" s="2" t="s">
        <v>5</v>
      </c>
      <c r="E10" s="12">
        <v>0</v>
      </c>
      <c r="F10" s="15">
        <f t="shared" si="2"/>
        <v>7.415</v>
      </c>
      <c r="G10" s="15">
        <f t="shared" si="0"/>
        <v>7.9457243565428701</v>
      </c>
      <c r="I10" s="9">
        <f t="shared" si="5"/>
        <v>1440</v>
      </c>
      <c r="J10" s="1">
        <v>1.772</v>
      </c>
      <c r="K10" s="2" t="s">
        <v>5</v>
      </c>
      <c r="L10" s="12">
        <v>0</v>
      </c>
      <c r="M10" s="15">
        <f t="shared" si="4"/>
        <v>1.772</v>
      </c>
      <c r="N10" s="15">
        <f t="shared" si="1"/>
        <v>1.7530555786967605</v>
      </c>
    </row>
    <row r="11" spans="2:14" x14ac:dyDescent="0.25">
      <c r="B11" s="11">
        <v>1092</v>
      </c>
      <c r="C11" s="1">
        <v>7.2149999999999999</v>
      </c>
      <c r="D11" s="2" t="s">
        <v>5</v>
      </c>
      <c r="E11" s="12">
        <v>0</v>
      </c>
      <c r="F11" s="15">
        <f t="shared" si="2"/>
        <v>7.2149999999999999</v>
      </c>
      <c r="G11" s="15">
        <f t="shared" si="0"/>
        <v>7.9998720270003645</v>
      </c>
      <c r="I11" s="9">
        <f t="shared" si="5"/>
        <v>1800</v>
      </c>
      <c r="J11" s="1">
        <v>1.7902</v>
      </c>
      <c r="K11" s="2" t="s">
        <v>5</v>
      </c>
      <c r="L11" s="12">
        <v>0</v>
      </c>
      <c r="M11" s="15">
        <f t="shared" si="4"/>
        <v>1.7902</v>
      </c>
      <c r="N11" s="15">
        <f t="shared" si="1"/>
        <v>1.7722535659627781</v>
      </c>
    </row>
    <row r="12" spans="2:14" x14ac:dyDescent="0.25">
      <c r="B12" s="11">
        <v>1456</v>
      </c>
      <c r="C12" s="1">
        <v>7.2</v>
      </c>
      <c r="D12" s="2" t="s">
        <v>5</v>
      </c>
      <c r="E12" s="12">
        <v>0</v>
      </c>
      <c r="F12" s="15">
        <f t="shared" si="2"/>
        <v>7.2</v>
      </c>
      <c r="G12" s="15">
        <f t="shared" si="0"/>
        <v>8.2961267132602483</v>
      </c>
      <c r="I12" s="9">
        <f t="shared" si="5"/>
        <v>2160</v>
      </c>
      <c r="J12" s="1">
        <v>1.8239999999999998</v>
      </c>
      <c r="K12" s="2" t="s">
        <v>5</v>
      </c>
      <c r="L12" s="12">
        <v>0</v>
      </c>
      <c r="M12" s="15">
        <f t="shared" si="4"/>
        <v>1.8239999999999998</v>
      </c>
      <c r="N12" s="15">
        <f t="shared" si="1"/>
        <v>1.8076420637653801</v>
      </c>
    </row>
    <row r="13" spans="2:14" x14ac:dyDescent="0.25">
      <c r="B13" s="11">
        <v>1820</v>
      </c>
      <c r="C13" s="1">
        <v>7.22</v>
      </c>
      <c r="D13" s="2" t="s">
        <v>5</v>
      </c>
      <c r="E13" s="12">
        <v>0</v>
      </c>
      <c r="F13" s="15">
        <f t="shared" si="2"/>
        <v>7.22</v>
      </c>
      <c r="G13" s="15">
        <f t="shared" si="0"/>
        <v>8.6592332086667021</v>
      </c>
      <c r="I13" s="9">
        <f t="shared" si="5"/>
        <v>2520</v>
      </c>
      <c r="J13" s="1">
        <v>1.8614999999999999</v>
      </c>
      <c r="K13" s="2" t="s">
        <v>5</v>
      </c>
      <c r="L13" s="12">
        <v>0</v>
      </c>
      <c r="M13" s="15">
        <f t="shared" si="4"/>
        <v>1.8614999999999999</v>
      </c>
      <c r="N13" s="15">
        <f t="shared" si="1"/>
        <v>1.8470556083713729</v>
      </c>
    </row>
    <row r="14" spans="2:14" x14ac:dyDescent="0.25">
      <c r="B14" s="11">
        <v>2548</v>
      </c>
      <c r="C14" s="1">
        <v>7.3250000000000002</v>
      </c>
      <c r="D14" s="2" t="s">
        <v>5</v>
      </c>
      <c r="E14" s="12">
        <v>0</v>
      </c>
      <c r="F14" s="15">
        <f t="shared" si="2"/>
        <v>7.3250000000000002</v>
      </c>
      <c r="G14" s="15">
        <f t="shared" si="0"/>
        <v>9.5820913264745329</v>
      </c>
      <c r="I14" s="9">
        <f t="shared" si="5"/>
        <v>2880</v>
      </c>
      <c r="J14" s="1">
        <v>1.9016</v>
      </c>
      <c r="K14" s="2" t="s">
        <v>5</v>
      </c>
      <c r="L14" s="12">
        <v>0</v>
      </c>
      <c r="M14" s="15">
        <f t="shared" si="4"/>
        <v>1.9016</v>
      </c>
      <c r="N14" s="15">
        <f t="shared" si="1"/>
        <v>1.8894751271172572</v>
      </c>
    </row>
    <row r="15" spans="2:14" ht="15.75" thickBot="1" x14ac:dyDescent="0.3">
      <c r="B15" s="10">
        <v>3640</v>
      </c>
      <c r="C15" s="3">
        <v>7.4850000000000003</v>
      </c>
      <c r="D15" s="4" t="s">
        <v>5</v>
      </c>
      <c r="E15" s="12">
        <v>0</v>
      </c>
      <c r="F15" s="15">
        <f t="shared" si="2"/>
        <v>7.4850000000000003</v>
      </c>
      <c r="G15" s="15">
        <f t="shared" si="0"/>
        <v>11.279232939962512</v>
      </c>
      <c r="I15" s="9">
        <f t="shared" si="5"/>
        <v>3240</v>
      </c>
      <c r="J15" s="1">
        <v>1.9414</v>
      </c>
      <c r="K15" s="2" t="s">
        <v>5</v>
      </c>
      <c r="L15" s="12">
        <v>0</v>
      </c>
      <c r="M15" s="15">
        <f t="shared" si="4"/>
        <v>1.9414</v>
      </c>
      <c r="N15" s="15">
        <f t="shared" si="1"/>
        <v>1.9318827083294021</v>
      </c>
    </row>
    <row r="16" spans="2:14" ht="15.75" thickBot="1" x14ac:dyDescent="0.3">
      <c r="I16" s="8">
        <f t="shared" si="5"/>
        <v>3600</v>
      </c>
      <c r="J16" s="3">
        <v>1.9801</v>
      </c>
      <c r="K16" s="4" t="s">
        <v>5</v>
      </c>
      <c r="L16" s="12">
        <v>0</v>
      </c>
      <c r="M16" s="15">
        <f t="shared" si="4"/>
        <v>1.9801</v>
      </c>
      <c r="N16" s="15">
        <f t="shared" si="1"/>
        <v>1.9734451983620227</v>
      </c>
    </row>
    <row r="17" spans="2:14" x14ac:dyDescent="0.25">
      <c r="B17" s="21" t="s">
        <v>8</v>
      </c>
      <c r="C17" s="21" t="s">
        <v>9</v>
      </c>
      <c r="D17" s="21" t="s">
        <v>11</v>
      </c>
      <c r="E17" s="21" t="s">
        <v>14</v>
      </c>
      <c r="F17" s="21" t="s">
        <v>15</v>
      </c>
      <c r="G17" s="21" t="s">
        <v>16</v>
      </c>
    </row>
    <row r="18" spans="2:14" x14ac:dyDescent="0.25">
      <c r="B18" s="32">
        <v>28</v>
      </c>
      <c r="C18" s="30">
        <f>+interpLin(B18,$B$5:$B$15,$F$5:$F$15)</f>
        <v>8.4774999999999991</v>
      </c>
      <c r="D18" s="31">
        <f>1/(1+C5%*28/360)</f>
        <v>0.99344957981222148</v>
      </c>
      <c r="E18" s="30">
        <f>100*(1/D18-1)*360/B18</f>
        <v>8.4775000000000098</v>
      </c>
      <c r="F18" s="30">
        <f>100*(D18^(-360/B18)-1)</f>
        <v>8.8169292241950359</v>
      </c>
      <c r="G18" s="30">
        <f>+C18</f>
        <v>8.4774999999999991</v>
      </c>
      <c r="I18" s="21" t="s">
        <v>8</v>
      </c>
      <c r="J18" s="21" t="s">
        <v>9</v>
      </c>
      <c r="K18" s="21" t="s">
        <v>11</v>
      </c>
      <c r="L18" s="21" t="s">
        <v>17</v>
      </c>
      <c r="M18" s="21" t="s">
        <v>14</v>
      </c>
      <c r="N18" s="21" t="s">
        <v>18</v>
      </c>
    </row>
    <row r="19" spans="2:14" x14ac:dyDescent="0.25">
      <c r="B19" s="32">
        <f>+B18+28</f>
        <v>56</v>
      </c>
      <c r="C19" s="30">
        <f t="shared" ref="C19:C82" si="6">+interpLin(B19,$B$5:$B$15,$F$5:$F$15)</f>
        <v>8.4187499999999993</v>
      </c>
      <c r="D19" s="31">
        <f>(1-C19%*28/360*SUM(D$18:D18))/(1+C19%*28/360)</f>
        <v>0.98703197183991109</v>
      </c>
      <c r="E19" s="30">
        <f t="shared" ref="E19:E82" si="7">100*(1/D19-1)*360/B19</f>
        <v>8.4461190410536187</v>
      </c>
      <c r="F19" s="30">
        <f t="shared" ref="F19:F82" si="8">100*(D19^(-360/B19)-1)</f>
        <v>8.7532273247356471</v>
      </c>
      <c r="G19" s="30">
        <f>100*(D19/D20-1)*360/28</f>
        <v>8.2413623944227314</v>
      </c>
      <c r="I19" s="32">
        <v>90</v>
      </c>
      <c r="J19" s="30">
        <f>+interpLin(I19,$I$5:$I$16,$M$5:$M$16)</f>
        <v>2.2827500000000001</v>
      </c>
      <c r="K19" s="31">
        <f>1/(1+J5%*I5/360)</f>
        <v>0.99432550861303404</v>
      </c>
      <c r="L19" s="32">
        <v>90</v>
      </c>
      <c r="M19" s="30">
        <f>100*(1/K19-1)*360/L19</f>
        <v>2.2827500000000001</v>
      </c>
      <c r="N19" s="30">
        <f>100*(K19^(-360/L19)-1)</f>
        <v>2.3023655049954961</v>
      </c>
    </row>
    <row r="20" spans="2:14" x14ac:dyDescent="0.25">
      <c r="B20" s="32">
        <f t="shared" ref="B20:B84" si="9">+B19+28</f>
        <v>84</v>
      </c>
      <c r="C20" s="30">
        <f t="shared" si="6"/>
        <v>8.36</v>
      </c>
      <c r="D20" s="31">
        <f>(1-C20%*28/360*SUM(D$18:D19))/(1+C20%*28/360)</f>
        <v>0.98074544402367247</v>
      </c>
      <c r="E20" s="30">
        <f t="shared" si="7"/>
        <v>8.4139596177253182</v>
      </c>
      <c r="F20" s="30">
        <f t="shared" si="8"/>
        <v>8.6894243481899114</v>
      </c>
      <c r="G20" s="30">
        <f t="shared" ref="G20:G83" si="10">100*(D20/D21-1)*360/28</f>
        <v>8.1782643821830217</v>
      </c>
      <c r="I20" s="32">
        <v>180</v>
      </c>
      <c r="J20" s="30">
        <f t="shared" ref="J20:J39" si="11">+interpLin(I20,$I$5:$I$16,$M$5:$M$16)</f>
        <v>2.1604999999999999</v>
      </c>
      <c r="K20" s="31">
        <f>1/(1+J6%*I6/360)</f>
        <v>0.98931294689120763</v>
      </c>
      <c r="L20" s="32">
        <v>182</v>
      </c>
      <c r="M20" s="30">
        <f t="shared" ref="M20:M38" si="12">100*(1/K20-1)*360/L20</f>
        <v>2.1367582417582516</v>
      </c>
      <c r="N20" s="30">
        <f t="shared" ref="N20:N38" si="13">100*(K20^(-360/L20)-1)</f>
        <v>2.1480448643935945</v>
      </c>
    </row>
    <row r="21" spans="2:14" x14ac:dyDescent="0.25">
      <c r="B21" s="32">
        <f t="shared" si="9"/>
        <v>112</v>
      </c>
      <c r="C21" s="30">
        <f t="shared" si="6"/>
        <v>8.3149999999999995</v>
      </c>
      <c r="D21" s="31">
        <f>(1-C21%*28/360*SUM(D$18:D20))/(1+C21%*28/360)</f>
        <v>0.97454647832729446</v>
      </c>
      <c r="E21" s="30">
        <f t="shared" si="7"/>
        <v>8.3951759008216644</v>
      </c>
      <c r="F21" s="30">
        <f t="shared" si="8"/>
        <v>8.6405067991105469</v>
      </c>
      <c r="G21" s="30">
        <f t="shared" si="10"/>
        <v>8.0871212681986755</v>
      </c>
      <c r="I21" s="32">
        <f>+I20+180</f>
        <v>360</v>
      </c>
      <c r="J21" s="30">
        <f t="shared" si="11"/>
        <v>2.0457000000000001</v>
      </c>
      <c r="K21" s="31">
        <f>(1-J21%*1/2*SUM(K$20:K20))/(1+J21%*1/2)</f>
        <v>0.97985833157817592</v>
      </c>
      <c r="L21" s="32">
        <v>365</v>
      </c>
      <c r="M21" s="30">
        <f t="shared" si="12"/>
        <v>2.0274109547831807</v>
      </c>
      <c r="N21" s="30">
        <f t="shared" si="13"/>
        <v>2.0271274730337518</v>
      </c>
    </row>
    <row r="22" spans="2:14" x14ac:dyDescent="0.25">
      <c r="B22" s="32">
        <f t="shared" si="9"/>
        <v>140</v>
      </c>
      <c r="C22" s="30">
        <f t="shared" si="6"/>
        <v>8.27</v>
      </c>
      <c r="D22" s="31">
        <f>(1-C22%*28/360*SUM(D$18:D21))/(1+C22%*28/360)</f>
        <v>0.96845491318507526</v>
      </c>
      <c r="E22" s="30">
        <f t="shared" si="7"/>
        <v>8.3758093866565506</v>
      </c>
      <c r="F22" s="30">
        <f t="shared" si="8"/>
        <v>8.5914947455698822</v>
      </c>
      <c r="G22" s="30">
        <f t="shared" si="10"/>
        <v>7.9957041174875911</v>
      </c>
      <c r="I22" s="32">
        <f t="shared" ref="I22:I39" si="14">+I21+180</f>
        <v>540</v>
      </c>
      <c r="J22" s="30">
        <f t="shared" si="11"/>
        <v>1.9434</v>
      </c>
      <c r="K22" s="31">
        <f>(1-J22%*1/2*SUM(K$20:K21))/(1+J22%*1/2)</f>
        <v>0.9714262141640807</v>
      </c>
      <c r="L22" s="32">
        <f>+L21+182</f>
        <v>547</v>
      </c>
      <c r="M22" s="30">
        <f t="shared" si="12"/>
        <v>1.9358564102659679</v>
      </c>
      <c r="N22" s="30">
        <f t="shared" si="13"/>
        <v>1.926249109447431</v>
      </c>
    </row>
    <row r="23" spans="2:14" x14ac:dyDescent="0.25">
      <c r="B23" s="32">
        <f t="shared" si="9"/>
        <v>168</v>
      </c>
      <c r="C23" s="30">
        <f t="shared" si="6"/>
        <v>8.2249999999999996</v>
      </c>
      <c r="D23" s="31">
        <f>(1-C23%*28/360*SUM(D$18:D22))/(1+C23%*28/360)</f>
        <v>0.96246943035057853</v>
      </c>
      <c r="E23" s="30">
        <f t="shared" si="7"/>
        <v>8.3558653098692517</v>
      </c>
      <c r="F23" s="30">
        <f t="shared" si="8"/>
        <v>8.5423961471055243</v>
      </c>
      <c r="G23" s="30">
        <f t="shared" si="10"/>
        <v>7.8921322668616636</v>
      </c>
      <c r="I23" s="32">
        <f t="shared" si="14"/>
        <v>720</v>
      </c>
      <c r="J23" s="30">
        <f t="shared" si="11"/>
        <v>1.8411</v>
      </c>
      <c r="K23" s="31">
        <f>(1-J23%*1/2*SUM(K$20:K22))/(1+J23%*1/2)</f>
        <v>0.96405571489806852</v>
      </c>
      <c r="L23" s="32">
        <f>+L21+365</f>
        <v>730</v>
      </c>
      <c r="M23" s="30">
        <f t="shared" si="12"/>
        <v>1.8386851033049543</v>
      </c>
      <c r="N23" s="30">
        <f t="shared" si="13"/>
        <v>1.821629686313142</v>
      </c>
    </row>
    <row r="24" spans="2:14" x14ac:dyDescent="0.25">
      <c r="B24" s="32">
        <f t="shared" si="9"/>
        <v>196</v>
      </c>
      <c r="C24" s="30">
        <f t="shared" si="6"/>
        <v>8.1783333333333328</v>
      </c>
      <c r="D24" s="31">
        <f>(1-C24%*28/360*SUM(D$18:D23))/(1+C24%*28/360)</f>
        <v>0.95659752376326246</v>
      </c>
      <c r="E24" s="30">
        <f t="shared" si="7"/>
        <v>8.3335814617831439</v>
      </c>
      <c r="F24" s="30">
        <f t="shared" si="8"/>
        <v>8.4913843487012475</v>
      </c>
      <c r="G24" s="30">
        <f t="shared" si="10"/>
        <v>7.7967803695003619</v>
      </c>
      <c r="I24" s="32">
        <f t="shared" si="14"/>
        <v>900</v>
      </c>
      <c r="J24" s="30">
        <f t="shared" si="11"/>
        <v>1.8101499999999999</v>
      </c>
      <c r="K24" s="31">
        <f>(1-J24%*1/2*SUM(K$20:K23))/(1+J24%*1/2)</f>
        <v>0.95600737622159626</v>
      </c>
      <c r="L24" s="32">
        <f t="shared" ref="L24" si="15">+L23+182</f>
        <v>912</v>
      </c>
      <c r="M24" s="30">
        <f t="shared" si="12"/>
        <v>1.8164618619204855</v>
      </c>
      <c r="N24" s="30">
        <f t="shared" si="13"/>
        <v>1.7917702442626693</v>
      </c>
    </row>
    <row r="25" spans="2:14" x14ac:dyDescent="0.25">
      <c r="B25" s="32">
        <f t="shared" si="9"/>
        <v>224</v>
      </c>
      <c r="C25" s="30">
        <f t="shared" si="6"/>
        <v>8.1316666666666677</v>
      </c>
      <c r="D25" s="31">
        <f>(1-C25%*28/360*SUM(D$18:D24))/(1+C25%*28/360)</f>
        <v>0.95083152686509065</v>
      </c>
      <c r="E25" s="30">
        <f t="shared" si="7"/>
        <v>8.3107004934852018</v>
      </c>
      <c r="F25" s="30">
        <f t="shared" si="8"/>
        <v>8.4402938680678616</v>
      </c>
      <c r="G25" s="30">
        <f t="shared" si="10"/>
        <v>7.7011616131373071</v>
      </c>
      <c r="I25" s="32">
        <f t="shared" si="14"/>
        <v>1080</v>
      </c>
      <c r="J25" s="30">
        <f t="shared" si="11"/>
        <v>1.7791999999999999</v>
      </c>
      <c r="K25" s="31">
        <f>(1-J25%*1/2*SUM(K$20:K24))/(1+J25%*1/2)</f>
        <v>0.94832327955203721</v>
      </c>
      <c r="L25" s="32">
        <f t="shared" ref="L25" si="16">+L23+365</f>
        <v>1095</v>
      </c>
      <c r="M25" s="30">
        <f t="shared" si="12"/>
        <v>1.7915416703303249</v>
      </c>
      <c r="N25" s="30">
        <f t="shared" si="13"/>
        <v>1.7597366107189982</v>
      </c>
    </row>
    <row r="26" spans="2:14" x14ac:dyDescent="0.25">
      <c r="B26" s="32">
        <f t="shared" si="9"/>
        <v>252</v>
      </c>
      <c r="C26" s="30">
        <f t="shared" si="6"/>
        <v>8.0850000000000009</v>
      </c>
      <c r="D26" s="31">
        <f>(1-C26%*28/360*SUM(D$18:D25))/(1+C26%*28/360)</f>
        <v>0.94517015389294579</v>
      </c>
      <c r="E26" s="30">
        <f t="shared" si="7"/>
        <v>8.287222280442208</v>
      </c>
      <c r="F26" s="30">
        <f t="shared" si="8"/>
        <v>8.3891262530648483</v>
      </c>
      <c r="G26" s="30">
        <f t="shared" si="10"/>
        <v>7.5838732430642617</v>
      </c>
      <c r="I26" s="32">
        <f t="shared" si="14"/>
        <v>1260</v>
      </c>
      <c r="J26" s="30">
        <f t="shared" si="11"/>
        <v>1.7755999999999998</v>
      </c>
      <c r="K26" s="31">
        <f>(1-J26%*1/2*SUM(K$20:K25))/(1+J26%*1/2)</f>
        <v>0.94008179508481382</v>
      </c>
      <c r="L26" s="32">
        <f t="shared" ref="L26" si="17">+L25+182</f>
        <v>1277</v>
      </c>
      <c r="M26" s="30">
        <f t="shared" si="12"/>
        <v>1.7968207524655015</v>
      </c>
      <c r="N26" s="30">
        <f t="shared" si="13"/>
        <v>1.7571402616312293</v>
      </c>
    </row>
    <row r="27" spans="2:14" x14ac:dyDescent="0.25">
      <c r="B27" s="32">
        <f t="shared" si="9"/>
        <v>280</v>
      </c>
      <c r="C27" s="30">
        <f t="shared" si="6"/>
        <v>8.0362500000000008</v>
      </c>
      <c r="D27" s="31">
        <f>(1-C27%*28/360*SUM(D$18:D26))/(1+C27%*28/360)</f>
        <v>0.93962769596040641</v>
      </c>
      <c r="E27" s="30">
        <f t="shared" si="7"/>
        <v>8.2608818470227892</v>
      </c>
      <c r="F27" s="30">
        <f t="shared" si="8"/>
        <v>8.3355773886305542</v>
      </c>
      <c r="G27" s="30">
        <f t="shared" si="10"/>
        <v>7.483456451749289</v>
      </c>
      <c r="I27" s="32">
        <f t="shared" si="14"/>
        <v>1440</v>
      </c>
      <c r="J27" s="30">
        <f t="shared" si="11"/>
        <v>1.772</v>
      </c>
      <c r="K27" s="31">
        <f>(1-J27%*1/2*SUM(K$20:K26))/(1+J27%*1/2)</f>
        <v>0.93194623462786186</v>
      </c>
      <c r="L27" s="32">
        <f t="shared" ref="L27" si="18">+L25+365</f>
        <v>1460</v>
      </c>
      <c r="M27" s="30">
        <f t="shared" si="12"/>
        <v>1.8005738828291526</v>
      </c>
      <c r="N27" s="30">
        <f t="shared" si="13"/>
        <v>1.7530555786967605</v>
      </c>
    </row>
    <row r="28" spans="2:14" x14ac:dyDescent="0.25">
      <c r="B28" s="32">
        <f t="shared" si="9"/>
        <v>308</v>
      </c>
      <c r="C28" s="30">
        <f t="shared" si="6"/>
        <v>7.9875000000000007</v>
      </c>
      <c r="D28" s="31">
        <f>(1-C28%*28/360*SUM(D$18:D27))/(1+C28%*28/360)</f>
        <v>0.93419027311755509</v>
      </c>
      <c r="E28" s="30">
        <f t="shared" si="7"/>
        <v>8.233917886531966</v>
      </c>
      <c r="F28" s="30">
        <f t="shared" si="8"/>
        <v>8.2819566541772147</v>
      </c>
      <c r="G28" s="30">
        <f t="shared" si="10"/>
        <v>7.3827822205648923</v>
      </c>
      <c r="I28" s="32">
        <f t="shared" si="14"/>
        <v>1620</v>
      </c>
      <c r="J28" s="30">
        <f t="shared" si="11"/>
        <v>1.7810999999999999</v>
      </c>
      <c r="K28" s="31">
        <f>(1-J28%*1/2*SUM(K$20:K27))/(1+J28%*1/2)</f>
        <v>0.92337364459479065</v>
      </c>
      <c r="L28" s="32">
        <f t="shared" ref="L28" si="19">+L27+182</f>
        <v>1642</v>
      </c>
      <c r="M28" s="30">
        <f t="shared" si="12"/>
        <v>1.8194077615144788</v>
      </c>
      <c r="N28" s="30">
        <f t="shared" si="13"/>
        <v>1.7632127309468171</v>
      </c>
    </row>
    <row r="29" spans="2:14" x14ac:dyDescent="0.25">
      <c r="B29" s="32">
        <f t="shared" si="9"/>
        <v>336</v>
      </c>
      <c r="C29" s="30">
        <f t="shared" si="6"/>
        <v>7.9387499999999998</v>
      </c>
      <c r="D29" s="31">
        <f>(1-C29%*28/360*SUM(D$18:D28))/(1+C29%*28/360)</f>
        <v>0.92885662608515418</v>
      </c>
      <c r="E29" s="30">
        <f t="shared" si="7"/>
        <v>8.2063303786136643</v>
      </c>
      <c r="F29" s="30">
        <f t="shared" si="8"/>
        <v>8.2282649666265186</v>
      </c>
      <c r="G29" s="30">
        <f t="shared" si="10"/>
        <v>7.2818573005610787</v>
      </c>
      <c r="I29" s="32">
        <f t="shared" si="14"/>
        <v>1800</v>
      </c>
      <c r="J29" s="30">
        <f t="shared" si="11"/>
        <v>1.7902</v>
      </c>
      <c r="K29" s="31">
        <f>(1-J29%*1/2*SUM(K$20:K28))/(1+J29%*1/2)</f>
        <v>0.91479382552059452</v>
      </c>
      <c r="L29" s="32">
        <f t="shared" ref="L29" si="20">+L27+365</f>
        <v>1825</v>
      </c>
      <c r="M29" s="30">
        <f t="shared" si="12"/>
        <v>1.8373313038486982</v>
      </c>
      <c r="N29" s="30">
        <f t="shared" si="13"/>
        <v>1.7722535659627781</v>
      </c>
    </row>
    <row r="30" spans="2:14" x14ac:dyDescent="0.25">
      <c r="B30" s="32">
        <f t="shared" si="9"/>
        <v>364</v>
      </c>
      <c r="C30" s="30">
        <f t="shared" si="6"/>
        <v>7.89</v>
      </c>
      <c r="D30" s="31">
        <f>(1-C30%*28/360*SUM(D$18:D29))/(1+C30%*28/360)</f>
        <v>0.92362551890794198</v>
      </c>
      <c r="E30" s="30">
        <f t="shared" si="7"/>
        <v>8.1781197610658527</v>
      </c>
      <c r="F30" s="30">
        <f t="shared" si="8"/>
        <v>8.1745035538865363</v>
      </c>
      <c r="G30" s="30">
        <f t="shared" si="10"/>
        <v>7.3582981720508354</v>
      </c>
      <c r="I30" s="32">
        <f t="shared" si="14"/>
        <v>1980</v>
      </c>
      <c r="J30" s="30">
        <f t="shared" si="11"/>
        <v>1.8070999999999999</v>
      </c>
      <c r="K30" s="31">
        <f>(1-J30%*1/2*SUM(K$20:K29))/(1+J30%*1/2)</f>
        <v>0.90580505330526995</v>
      </c>
      <c r="L30" s="32">
        <f t="shared" ref="L30" si="21">+L29+182</f>
        <v>2007</v>
      </c>
      <c r="M30" s="30">
        <f t="shared" si="12"/>
        <v>1.8652970087133043</v>
      </c>
      <c r="N30" s="30">
        <f t="shared" si="13"/>
        <v>1.7903888077744678</v>
      </c>
    </row>
    <row r="31" spans="2:14" x14ac:dyDescent="0.25">
      <c r="B31" s="32">
        <f t="shared" si="9"/>
        <v>392</v>
      </c>
      <c r="C31" s="30">
        <f t="shared" si="6"/>
        <v>7.8534615384615378</v>
      </c>
      <c r="D31" s="31">
        <f>(1-C31%*28/360*SUM(D$18:D30))/(1+C31%*28/360)</f>
        <v>0.9183695788685875</v>
      </c>
      <c r="E31" s="30">
        <f t="shared" si="7"/>
        <v>8.1630222743557912</v>
      </c>
      <c r="F31" s="30">
        <f t="shared" si="8"/>
        <v>8.1343142157301642</v>
      </c>
      <c r="G31" s="30">
        <f t="shared" si="10"/>
        <v>7.2822097212468559</v>
      </c>
      <c r="I31" s="32">
        <f t="shared" si="14"/>
        <v>2160</v>
      </c>
      <c r="J31" s="30">
        <f t="shared" si="11"/>
        <v>1.8239999999999998</v>
      </c>
      <c r="K31" s="31">
        <f>(1-J31%*1/2*SUM(K$20:K30))/(1+J31%*1/2)</f>
        <v>0.89674582024147864</v>
      </c>
      <c r="L31" s="32">
        <f t="shared" ref="L31" si="22">+L29+365</f>
        <v>2190</v>
      </c>
      <c r="M31" s="30">
        <f t="shared" si="12"/>
        <v>1.8927648660517831</v>
      </c>
      <c r="N31" s="30">
        <f t="shared" si="13"/>
        <v>1.8076420637653801</v>
      </c>
    </row>
    <row r="32" spans="2:14" x14ac:dyDescent="0.25">
      <c r="B32" s="32">
        <f t="shared" si="9"/>
        <v>420</v>
      </c>
      <c r="C32" s="30">
        <f t="shared" si="6"/>
        <v>7.8169230769230769</v>
      </c>
      <c r="D32" s="31">
        <f>(1-C32%*28/360*SUM(D$18:D31))/(1+C32%*28/360)</f>
        <v>0.91319728343039952</v>
      </c>
      <c r="E32" s="30">
        <f t="shared" si="7"/>
        <v>8.1474539881173147</v>
      </c>
      <c r="F32" s="30">
        <f t="shared" si="8"/>
        <v>8.0940432992518971</v>
      </c>
      <c r="G32" s="30">
        <f t="shared" si="10"/>
        <v>7.2059311527412939</v>
      </c>
      <c r="I32" s="32">
        <f t="shared" si="14"/>
        <v>2340</v>
      </c>
      <c r="J32" s="30">
        <f t="shared" si="11"/>
        <v>1.8427499999999999</v>
      </c>
      <c r="K32" s="31">
        <f>(1-J32%*1/2*SUM(K$20:K31))/(1+J32%*1/2)</f>
        <v>0.88750713912864332</v>
      </c>
      <c r="L32" s="32">
        <f t="shared" ref="L32" si="23">+L31+182</f>
        <v>2372</v>
      </c>
      <c r="M32" s="30">
        <f t="shared" si="12"/>
        <v>1.9237158469179914</v>
      </c>
      <c r="N32" s="30">
        <f t="shared" si="13"/>
        <v>1.8277134177305809</v>
      </c>
    </row>
    <row r="33" spans="2:14" x14ac:dyDescent="0.25">
      <c r="B33" s="32">
        <f t="shared" si="9"/>
        <v>448</v>
      </c>
      <c r="C33" s="30">
        <f t="shared" si="6"/>
        <v>7.780384615384615</v>
      </c>
      <c r="D33" s="31">
        <f>(1-C33%*28/360*SUM(D$18:D32))/(1+C33%*28/360)</f>
        <v>0.90810769115129086</v>
      </c>
      <c r="E33" s="30">
        <f t="shared" si="7"/>
        <v>8.1314181804437577</v>
      </c>
      <c r="F33" s="30">
        <f t="shared" si="8"/>
        <v>8.0536959270682384</v>
      </c>
      <c r="G33" s="30">
        <f t="shared" si="10"/>
        <v>7.1294661936781738</v>
      </c>
      <c r="I33" s="32">
        <f t="shared" si="14"/>
        <v>2520</v>
      </c>
      <c r="J33" s="30">
        <f t="shared" si="11"/>
        <v>1.8614999999999999</v>
      </c>
      <c r="K33" s="31">
        <f>(1-J33%*1/2*SUM(K$20:K32))/(1+J33%*1/2)</f>
        <v>0.87818878104508413</v>
      </c>
      <c r="L33" s="32">
        <f t="shared" ref="L33" si="24">+L31+365</f>
        <v>2555</v>
      </c>
      <c r="M33" s="30">
        <f t="shared" si="12"/>
        <v>1.9543889604390716</v>
      </c>
      <c r="N33" s="30">
        <f t="shared" si="13"/>
        <v>1.8470556083713729</v>
      </c>
    </row>
    <row r="34" spans="2:14" x14ac:dyDescent="0.25">
      <c r="B34" s="32">
        <f t="shared" si="9"/>
        <v>476</v>
      </c>
      <c r="C34" s="30">
        <f t="shared" si="6"/>
        <v>7.7438461538461532</v>
      </c>
      <c r="D34" s="31">
        <f>(1-C34%*28/360*SUM(D$18:D33))/(1+C34%*28/360)</f>
        <v>0.90309987557053917</v>
      </c>
      <c r="E34" s="30">
        <f t="shared" si="7"/>
        <v>8.1149173390961273</v>
      </c>
      <c r="F34" s="30">
        <f t="shared" si="8"/>
        <v>8.0132762669952395</v>
      </c>
      <c r="G34" s="30">
        <f t="shared" si="10"/>
        <v>7.0528186409291669</v>
      </c>
      <c r="I34" s="32">
        <f t="shared" si="14"/>
        <v>2700</v>
      </c>
      <c r="J34" s="30">
        <f t="shared" si="11"/>
        <v>1.8815499999999998</v>
      </c>
      <c r="K34" s="31">
        <f>(1-J34%*1/2*SUM(K$20:K33))/(1+J34%*1/2)</f>
        <v>0.86870421449890745</v>
      </c>
      <c r="L34" s="32">
        <f t="shared" ref="L34" si="25">+L33+182</f>
        <v>2737</v>
      </c>
      <c r="M34" s="30">
        <f t="shared" si="12"/>
        <v>1.9879550517520379</v>
      </c>
      <c r="N34" s="30">
        <f t="shared" si="13"/>
        <v>1.8685744371577329</v>
      </c>
    </row>
    <row r="35" spans="2:14" x14ac:dyDescent="0.25">
      <c r="B35" s="32">
        <f t="shared" si="9"/>
        <v>504</v>
      </c>
      <c r="C35" s="30">
        <f t="shared" si="6"/>
        <v>7.7073076923076922</v>
      </c>
      <c r="D35" s="31">
        <f>(1-C35%*28/360*SUM(D$18:D34))/(1+C35%*28/360)</f>
        <v>0.8981729249886542</v>
      </c>
      <c r="E35" s="30">
        <f t="shared" si="7"/>
        <v>8.0979534101434734</v>
      </c>
      <c r="F35" s="30">
        <f t="shared" si="8"/>
        <v>7.9727878010835029</v>
      </c>
      <c r="G35" s="30">
        <f t="shared" si="10"/>
        <v>6.9759923602348604</v>
      </c>
      <c r="I35" s="32">
        <f t="shared" si="14"/>
        <v>2880</v>
      </c>
      <c r="J35" s="30">
        <f t="shared" si="11"/>
        <v>1.9016</v>
      </c>
      <c r="K35" s="31">
        <f>(1-J35%*1/2*SUM(K$20:K34))/(1+J35%*1/2)</f>
        <v>0.85913644312791904</v>
      </c>
      <c r="L35" s="32">
        <f t="shared" ref="L35" si="26">+L33+365</f>
        <v>2920</v>
      </c>
      <c r="M35" s="30">
        <f t="shared" si="12"/>
        <v>2.0214181376255471</v>
      </c>
      <c r="N35" s="30">
        <f t="shared" si="13"/>
        <v>1.8894751271172572</v>
      </c>
    </row>
    <row r="36" spans="2:14" x14ac:dyDescent="0.25">
      <c r="B36" s="32">
        <f t="shared" si="9"/>
        <v>532</v>
      </c>
      <c r="C36" s="30">
        <f t="shared" si="6"/>
        <v>7.6707692307692312</v>
      </c>
      <c r="D36" s="31">
        <f>(1-C36%*28/360*SUM(D$18:D35))/(1+C36%*28/360)</f>
        <v>0.89332594225105411</v>
      </c>
      <c r="E36" s="30">
        <f t="shared" si="7"/>
        <v>8.0805279683439615</v>
      </c>
      <c r="F36" s="30">
        <f t="shared" si="8"/>
        <v>7.9322335096372765</v>
      </c>
      <c r="G36" s="30">
        <f t="shared" si="10"/>
        <v>6.8989912852997577</v>
      </c>
      <c r="I36" s="32">
        <f t="shared" si="14"/>
        <v>3060</v>
      </c>
      <c r="J36" s="30">
        <f t="shared" si="11"/>
        <v>1.9215</v>
      </c>
      <c r="K36" s="31">
        <f>(1-J36%*1/2*SUM(K$20:K35))/(1+J36%*1/2)</f>
        <v>0.84950074566589329</v>
      </c>
      <c r="L36" s="32">
        <f t="shared" ref="L36" si="27">+L35+182</f>
        <v>3102</v>
      </c>
      <c r="M36" s="30">
        <f t="shared" si="12"/>
        <v>2.0560387288521231</v>
      </c>
      <c r="N36" s="30">
        <f t="shared" si="13"/>
        <v>1.9109475776328377</v>
      </c>
    </row>
    <row r="37" spans="2:14" x14ac:dyDescent="0.25">
      <c r="B37" s="32">
        <f t="shared" si="9"/>
        <v>560</v>
      </c>
      <c r="C37" s="30">
        <f t="shared" si="6"/>
        <v>7.6342307692307685</v>
      </c>
      <c r="D37" s="31">
        <f>(1-C37%*28/360*SUM(D$18:D36))/(1+C37%*28/360)</f>
        <v>0.8885580445354837</v>
      </c>
      <c r="E37" s="30">
        <f t="shared" si="7"/>
        <v>8.0626423366392643</v>
      </c>
      <c r="F37" s="30">
        <f t="shared" si="8"/>
        <v>7.8916159999712576</v>
      </c>
      <c r="G37" s="30">
        <f t="shared" si="10"/>
        <v>6.8218194168438995</v>
      </c>
      <c r="I37" s="32">
        <f t="shared" si="14"/>
        <v>3240</v>
      </c>
      <c r="J37" s="30">
        <f t="shared" si="11"/>
        <v>1.9414</v>
      </c>
      <c r="K37" s="31">
        <f>(1-J37%*1/2*SUM(K$20:K36))/(1+J37%*1/2)</f>
        <v>0.83979025726637402</v>
      </c>
      <c r="L37" s="32">
        <f t="shared" ref="L37" si="28">+L35+365</f>
        <v>3285</v>
      </c>
      <c r="M37" s="30">
        <f t="shared" si="12"/>
        <v>2.0906687031055142</v>
      </c>
      <c r="N37" s="30">
        <f t="shared" si="13"/>
        <v>1.9318827083294021</v>
      </c>
    </row>
    <row r="38" spans="2:14" x14ac:dyDescent="0.25">
      <c r="B38" s="32">
        <f t="shared" si="9"/>
        <v>588</v>
      </c>
      <c r="C38" s="30">
        <f t="shared" si="6"/>
        <v>7.5976923076923075</v>
      </c>
      <c r="D38" s="31">
        <f>(1-C38%*28/360*SUM(D$18:D37))/(1+C38%*28/360)</f>
        <v>0.88386836314310979</v>
      </c>
      <c r="E38" s="30">
        <f t="shared" si="7"/>
        <v>8.0442976717074259</v>
      </c>
      <c r="F38" s="30">
        <f t="shared" si="8"/>
        <v>7.8509375983234042</v>
      </c>
      <c r="G38" s="30">
        <f t="shared" si="10"/>
        <v>6.744480821600237</v>
      </c>
      <c r="I38" s="32">
        <f t="shared" si="14"/>
        <v>3420</v>
      </c>
      <c r="J38" s="30">
        <f t="shared" si="11"/>
        <v>1.96075</v>
      </c>
      <c r="K38" s="31">
        <f>(1-J38%*1/2*SUM(K$20:K37))/(1+J38%*1/2)</f>
        <v>0.83005578192548723</v>
      </c>
      <c r="L38" s="32">
        <f t="shared" ref="L38" si="29">+L37+182</f>
        <v>3467</v>
      </c>
      <c r="M38" s="30">
        <f t="shared" si="12"/>
        <v>2.1259241890265783</v>
      </c>
      <c r="N38" s="30">
        <f t="shared" si="13"/>
        <v>1.952901574241217</v>
      </c>
    </row>
    <row r="39" spans="2:14" x14ac:dyDescent="0.25">
      <c r="B39" s="32">
        <f t="shared" si="9"/>
        <v>616</v>
      </c>
      <c r="C39" s="30">
        <f t="shared" si="6"/>
        <v>7.5611538461538457</v>
      </c>
      <c r="D39" s="31">
        <f>(1-C39%*28/360*SUM(D$18:D38))/(1+C39%*28/360)</f>
        <v>0.87925604329323526</v>
      </c>
      <c r="E39" s="30">
        <f t="shared" si="7"/>
        <v>8.0254950263560936</v>
      </c>
      <c r="F39" s="30">
        <f t="shared" si="8"/>
        <v>7.810200416644042</v>
      </c>
      <c r="G39" s="30">
        <f t="shared" si="10"/>
        <v>6.6669796312797445</v>
      </c>
      <c r="I39" s="32">
        <f t="shared" si="14"/>
        <v>3600</v>
      </c>
      <c r="J39" s="30">
        <f t="shared" si="11"/>
        <v>1.9801</v>
      </c>
      <c r="K39" s="31">
        <f>(1-J39%*1/2*SUM(K$20:K38))/(1+J39%*1/2)</f>
        <v>0.82025769673324378</v>
      </c>
      <c r="L39" s="32">
        <f t="shared" ref="L39" si="30">+L37+365</f>
        <v>3650</v>
      </c>
      <c r="M39" s="30">
        <f>100*(1/K39-1)*360/L39</f>
        <v>2.1612729833608406</v>
      </c>
      <c r="N39" s="30">
        <f>100*(K39^(-360/L39)-1)</f>
        <v>1.9734451983620227</v>
      </c>
    </row>
    <row r="40" spans="2:14" x14ac:dyDescent="0.25">
      <c r="B40" s="32">
        <f t="shared" si="9"/>
        <v>644</v>
      </c>
      <c r="C40" s="30">
        <f t="shared" si="6"/>
        <v>7.5246153846153838</v>
      </c>
      <c r="D40" s="31">
        <f>(1-C40%*28/360*SUM(D$18:D39))/(1+C40%*28/360)</f>
        <v>0.87472024392156278</v>
      </c>
      <c r="E40" s="30">
        <f t="shared" si="7"/>
        <v>8.0062353957886874</v>
      </c>
      <c r="F40" s="30">
        <f t="shared" si="8"/>
        <v>7.7694064019065312</v>
      </c>
      <c r="G40" s="30">
        <f t="shared" si="10"/>
        <v>6.5893200414777198</v>
      </c>
    </row>
    <row r="41" spans="2:14" x14ac:dyDescent="0.25">
      <c r="B41" s="32">
        <f t="shared" si="9"/>
        <v>672</v>
      </c>
      <c r="C41" s="30">
        <f t="shared" si="6"/>
        <v>7.4880769230769229</v>
      </c>
      <c r="D41" s="31">
        <f>(1-C41%*28/360*SUM(D$18:D40))/(1+C41%*28/360)</f>
        <v>0.87026013748195574</v>
      </c>
      <c r="E41" s="30">
        <f t="shared" si="7"/>
        <v>7.9865197524303255</v>
      </c>
      <c r="F41" s="30">
        <f t="shared" si="8"/>
        <v>7.7285573730344392</v>
      </c>
      <c r="G41" s="30">
        <f t="shared" si="10"/>
        <v>6.511506310545264</v>
      </c>
    </row>
    <row r="42" spans="2:14" x14ac:dyDescent="0.25">
      <c r="B42" s="32">
        <f t="shared" si="9"/>
        <v>700</v>
      </c>
      <c r="C42" s="30">
        <f t="shared" si="6"/>
        <v>7.4515384615384619</v>
      </c>
      <c r="D42" s="31">
        <f>(1-C42%*28/360*SUM(D$18:D41))/(1+C42%*28/360)</f>
        <v>0.86587490975162973</v>
      </c>
      <c r="E42" s="30">
        <f t="shared" si="7"/>
        <v>7.9663490725011341</v>
      </c>
      <c r="F42" s="30">
        <f t="shared" si="8"/>
        <v>7.6876550489116457</v>
      </c>
      <c r="G42" s="30">
        <f t="shared" si="10"/>
        <v>6.4335427584076523</v>
      </c>
    </row>
    <row r="43" spans="2:14" x14ac:dyDescent="0.25">
      <c r="B43" s="32">
        <f t="shared" si="9"/>
        <v>728</v>
      </c>
      <c r="C43" s="30">
        <f t="shared" si="6"/>
        <v>7.415</v>
      </c>
      <c r="D43" s="31">
        <f>(1-C43%*28/360*SUM(D$18:D42))/(1+C43%*28/360)</f>
        <v>0.86156375963972354</v>
      </c>
      <c r="E43" s="30">
        <f t="shared" si="7"/>
        <v>7.9457243565428701</v>
      </c>
      <c r="F43" s="30">
        <f t="shared" si="8"/>
        <v>7.6467010698735516</v>
      </c>
      <c r="G43" s="30">
        <f t="shared" si="10"/>
        <v>6.9686624111922697</v>
      </c>
    </row>
    <row r="44" spans="2:14" x14ac:dyDescent="0.25">
      <c r="B44" s="32">
        <f t="shared" si="9"/>
        <v>756</v>
      </c>
      <c r="C44" s="30">
        <f t="shared" si="6"/>
        <v>7.3996153846153847</v>
      </c>
      <c r="D44" s="31">
        <f>(1-C44%*28/360*SUM(D$18:D43))/(1+C44%*28/360)</f>
        <v>0.85691919695298502</v>
      </c>
      <c r="E44" s="30">
        <f t="shared" si="7"/>
        <v>7.9510082139532203</v>
      </c>
      <c r="F44" s="30">
        <f t="shared" si="8"/>
        <v>7.6300133697150274</v>
      </c>
      <c r="G44" s="30">
        <f t="shared" si="10"/>
        <v>6.9354855165147464</v>
      </c>
    </row>
    <row r="45" spans="2:14" x14ac:dyDescent="0.25">
      <c r="B45" s="32">
        <f t="shared" si="9"/>
        <v>784</v>
      </c>
      <c r="C45" s="30">
        <f t="shared" si="6"/>
        <v>7.3842307692307694</v>
      </c>
      <c r="D45" s="31">
        <f>(1-C45%*28/360*SUM(D$18:D44))/(1+C45%*28/360)</f>
        <v>0.8523215473718212</v>
      </c>
      <c r="E45" s="30">
        <f t="shared" si="7"/>
        <v>7.9560976229197315</v>
      </c>
      <c r="F45" s="30">
        <f t="shared" si="8"/>
        <v>7.6132517169761549</v>
      </c>
      <c r="G45" s="30">
        <f t="shared" si="10"/>
        <v>6.9022246523761259</v>
      </c>
    </row>
    <row r="46" spans="2:14" x14ac:dyDescent="0.25">
      <c r="B46" s="32">
        <f t="shared" si="9"/>
        <v>812</v>
      </c>
      <c r="C46" s="30">
        <f t="shared" si="6"/>
        <v>7.3688461538461532</v>
      </c>
      <c r="D46" s="31">
        <f>(1-C46%*28/360*SUM(D$18:D45))/(1+C46%*28/360)</f>
        <v>0.84777037945090983</v>
      </c>
      <c r="E46" s="30">
        <f t="shared" si="7"/>
        <v>7.9609958558792515</v>
      </c>
      <c r="F46" s="30">
        <f t="shared" si="8"/>
        <v>7.5964209334185018</v>
      </c>
      <c r="G46" s="30">
        <f t="shared" si="10"/>
        <v>6.8688803220158565</v>
      </c>
    </row>
    <row r="47" spans="2:14" x14ac:dyDescent="0.25">
      <c r="B47" s="32">
        <f t="shared" si="9"/>
        <v>840</v>
      </c>
      <c r="C47" s="30">
        <f t="shared" si="6"/>
        <v>7.3534615384615378</v>
      </c>
      <c r="D47" s="31">
        <f>(1-C47%*28/360*SUM(D$18:D46))/(1+C47%*28/360)</f>
        <v>0.84326526641059762</v>
      </c>
      <c r="E47" s="30">
        <f t="shared" si="7"/>
        <v>7.9657056156354775</v>
      </c>
      <c r="F47" s="30">
        <f t="shared" si="8"/>
        <v>7.5795252175787642</v>
      </c>
      <c r="G47" s="30">
        <f t="shared" si="10"/>
        <v>6.8354530411622552</v>
      </c>
    </row>
    <row r="48" spans="2:14" x14ac:dyDescent="0.25">
      <c r="B48" s="32">
        <f t="shared" si="9"/>
        <v>868</v>
      </c>
      <c r="C48" s="30">
        <f t="shared" si="6"/>
        <v>7.3380769230769225</v>
      </c>
      <c r="D48" s="31">
        <f>(1-C48%*28/360*SUM(D$18:D47))/(1+C48%*28/360)</f>
        <v>0.83880578608503353</v>
      </c>
      <c r="E48" s="30">
        <f t="shared" si="7"/>
        <v>7.9702291290103053</v>
      </c>
      <c r="F48" s="30">
        <f t="shared" si="8"/>
        <v>7.56256824570396</v>
      </c>
      <c r="G48" s="30">
        <f t="shared" si="10"/>
        <v>6.8019433380450689</v>
      </c>
    </row>
    <row r="49" spans="2:7" x14ac:dyDescent="0.25">
      <c r="B49" s="32">
        <f t="shared" si="9"/>
        <v>896</v>
      </c>
      <c r="C49" s="30">
        <f t="shared" si="6"/>
        <v>7.3226923076923072</v>
      </c>
      <c r="D49" s="31">
        <f>(1-C49%*28/360*SUM(D$18:D48))/(1+C49%*28/360)</f>
        <v>0.83439152087092638</v>
      </c>
      <c r="E49" s="30">
        <f t="shared" si="7"/>
        <v>7.9745682229839767</v>
      </c>
      <c r="F49" s="30">
        <f t="shared" si="8"/>
        <v>7.5455532537624714</v>
      </c>
      <c r="G49" s="30">
        <f t="shared" si="10"/>
        <v>6.7683517534060345</v>
      </c>
    </row>
    <row r="50" spans="2:7" x14ac:dyDescent="0.25">
      <c r="B50" s="32">
        <f t="shared" si="9"/>
        <v>924</v>
      </c>
      <c r="C50" s="30">
        <f t="shared" si="6"/>
        <v>7.3073076923076918</v>
      </c>
      <c r="D50" s="31">
        <f>(1-C50%*28/360*SUM(D$18:D49))/(1+C50%*28/360)</f>
        <v>0.83002205767691506</v>
      </c>
      <c r="E50" s="30">
        <f t="shared" si="7"/>
        <v>7.9787243870388185</v>
      </c>
      <c r="F50" s="30">
        <f t="shared" si="8"/>
        <v>7.5284831045449252</v>
      </c>
      <c r="G50" s="30">
        <f t="shared" si="10"/>
        <v>6.7346788405020197</v>
      </c>
    </row>
    <row r="51" spans="2:7" x14ac:dyDescent="0.25">
      <c r="B51" s="32">
        <f t="shared" si="9"/>
        <v>952</v>
      </c>
      <c r="C51" s="30">
        <f t="shared" si="6"/>
        <v>7.2919230769230774</v>
      </c>
      <c r="D51" s="31">
        <f>(1-C51%*28/360*SUM(D$18:D50))/(1+C51%*28/360)</f>
        <v>0.82569698787354973</v>
      </c>
      <c r="E51" s="30">
        <f t="shared" si="7"/>
        <v>7.9826988245463308</v>
      </c>
      <c r="F51" s="30">
        <f t="shared" si="8"/>
        <v>7.5113603429240783</v>
      </c>
      <c r="G51" s="30">
        <f t="shared" si="10"/>
        <v>6.7009251651124471</v>
      </c>
    </row>
    <row r="52" spans="2:7" x14ac:dyDescent="0.25">
      <c r="B52" s="32">
        <f t="shared" si="9"/>
        <v>980</v>
      </c>
      <c r="C52" s="30">
        <f t="shared" si="6"/>
        <v>7.2765384615384612</v>
      </c>
      <c r="D52" s="31">
        <f>(1-C52%*28/360*SUM(D$18:D51))/(1+C52%*28/360)</f>
        <v>0.82141590724386992</v>
      </c>
      <c r="E52" s="30">
        <f t="shared" si="7"/>
        <v>7.9864924953893679</v>
      </c>
      <c r="F52" s="30">
        <f t="shared" si="8"/>
        <v>7.4941872416420807</v>
      </c>
      <c r="G52" s="30">
        <f t="shared" si="10"/>
        <v>6.6670913055350161</v>
      </c>
    </row>
    <row r="53" spans="2:7" x14ac:dyDescent="0.25">
      <c r="B53" s="32">
        <f t="shared" si="9"/>
        <v>1008</v>
      </c>
      <c r="C53" s="30">
        <f t="shared" si="6"/>
        <v>7.2611538461538458</v>
      </c>
      <c r="D53" s="31">
        <f>(1-C53%*28/360*SUM(D$18:D52))/(1+C53%*28/360)</f>
        <v>0.81717841593457685</v>
      </c>
      <c r="E53" s="30">
        <f t="shared" si="7"/>
        <v>7.9901061515231708</v>
      </c>
      <c r="F53" s="30">
        <f t="shared" si="8"/>
        <v>7.4769658394663097</v>
      </c>
      <c r="G53" s="30">
        <f t="shared" si="10"/>
        <v>6.6331778525825502</v>
      </c>
    </row>
    <row r="54" spans="2:7" x14ac:dyDescent="0.25">
      <c r="B54" s="32">
        <f t="shared" si="9"/>
        <v>1036</v>
      </c>
      <c r="C54" s="30">
        <f t="shared" si="6"/>
        <v>7.2457692307692305</v>
      </c>
      <c r="D54" s="31">
        <f>(1-C54%*28/360*SUM(D$18:D53))/(1+C54%*28/360)</f>
        <v>0.8129841184077915</v>
      </c>
      <c r="E54" s="30">
        <f t="shared" si="7"/>
        <v>7.9935403668111054</v>
      </c>
      <c r="F54" s="30">
        <f t="shared" si="8"/>
        <v>7.4596979731579527</v>
      </c>
      <c r="G54" s="30">
        <f t="shared" si="10"/>
        <v>6.5991854095807261</v>
      </c>
    </row>
    <row r="55" spans="2:7" x14ac:dyDescent="0.25">
      <c r="B55" s="32">
        <f t="shared" si="9"/>
        <v>1064</v>
      </c>
      <c r="C55" s="30">
        <f t="shared" si="6"/>
        <v>7.2303846153846152</v>
      </c>
      <c r="D55" s="31">
        <f>(1-C55%*28/360*SUM(D$18:D54))/(1+C55%*28/360)</f>
        <v>0.8088326233933878</v>
      </c>
      <c r="E55" s="30">
        <f t="shared" si="7"/>
        <v>7.9967955621896145</v>
      </c>
      <c r="F55" s="30">
        <f t="shared" si="8"/>
        <v>7.4423853043923405</v>
      </c>
      <c r="G55" s="30">
        <f t="shared" si="10"/>
        <v>6.5651145923489391</v>
      </c>
    </row>
    <row r="56" spans="2:7" x14ac:dyDescent="0.25">
      <c r="B56" s="32">
        <f t="shared" si="9"/>
        <v>1092</v>
      </c>
      <c r="C56" s="30">
        <f t="shared" si="6"/>
        <v>7.2149999999999999</v>
      </c>
      <c r="D56" s="31">
        <f>(1-C56%*28/360*SUM(D$18:D55))/(1+C56%*28/360)</f>
        <v>0.80472354384190081</v>
      </c>
      <c r="E56" s="30">
        <f t="shared" si="7"/>
        <v>7.9998720270003645</v>
      </c>
      <c r="F56" s="30">
        <f t="shared" si="8"/>
        <v>7.425029342537548</v>
      </c>
      <c r="G56" s="30">
        <f t="shared" si="10"/>
        <v>7.1636728984700229</v>
      </c>
    </row>
    <row r="57" spans="2:7" x14ac:dyDescent="0.25">
      <c r="B57" s="32">
        <f t="shared" si="9"/>
        <v>1120</v>
      </c>
      <c r="C57" s="30">
        <f t="shared" si="6"/>
        <v>7.2138461538461538</v>
      </c>
      <c r="D57" s="31">
        <f>(1-C57%*28/360*SUM(D$18:D56))/(1+C57%*28/360)</f>
        <v>0.80026467268288859</v>
      </c>
      <c r="E57" s="30">
        <f t="shared" si="7"/>
        <v>8.0224259691639865</v>
      </c>
      <c r="F57" s="30">
        <f t="shared" si="8"/>
        <v>7.4245321795087138</v>
      </c>
      <c r="G57" s="30">
        <f t="shared" si="10"/>
        <v>7.1610793281486576</v>
      </c>
    </row>
    <row r="58" spans="2:7" x14ac:dyDescent="0.25">
      <c r="B58" s="32">
        <f t="shared" si="9"/>
        <v>1148</v>
      </c>
      <c r="C58" s="30">
        <f t="shared" si="6"/>
        <v>7.2126923076923077</v>
      </c>
      <c r="D58" s="31">
        <f>(1-C58%*28/360*SUM(D$18:D57))/(1+C58%*28/360)</f>
        <v>0.79583210403818472</v>
      </c>
      <c r="E58" s="30">
        <f t="shared" si="7"/>
        <v>8.0450104252243992</v>
      </c>
      <c r="F58" s="30">
        <f t="shared" si="8"/>
        <v>7.4239916928385608</v>
      </c>
      <c r="G58" s="30">
        <f t="shared" si="10"/>
        <v>7.1584778457223219</v>
      </c>
    </row>
    <row r="59" spans="2:7" x14ac:dyDescent="0.25">
      <c r="B59" s="32">
        <f t="shared" si="9"/>
        <v>1176</v>
      </c>
      <c r="C59" s="30">
        <f t="shared" si="6"/>
        <v>7.2115384615384608</v>
      </c>
      <c r="D59" s="31">
        <f>(1-C59%*28/360*SUM(D$18:D58))/(1+C59%*28/360)</f>
        <v>0.79142567933326247</v>
      </c>
      <c r="E59" s="30">
        <f t="shared" si="7"/>
        <v>8.0676282693463115</v>
      </c>
      <c r="F59" s="30">
        <f t="shared" si="8"/>
        <v>7.4234107764939772</v>
      </c>
      <c r="G59" s="30">
        <f t="shared" si="10"/>
        <v>7.1558684133153116</v>
      </c>
    </row>
    <row r="60" spans="2:7" x14ac:dyDescent="0.25">
      <c r="B60" s="32">
        <f t="shared" si="9"/>
        <v>1204</v>
      </c>
      <c r="C60" s="30">
        <f t="shared" si="6"/>
        <v>7.2103846153846156</v>
      </c>
      <c r="D60" s="31">
        <f>(1-C60%*28/360*SUM(D$18:D59))/(1+C60%*28/360)</f>
        <v>0.78704524097126083</v>
      </c>
      <c r="E60" s="30">
        <f t="shared" si="7"/>
        <v>8.0902821243044478</v>
      </c>
      <c r="F60" s="30">
        <f t="shared" si="8"/>
        <v>7.4227920543412873</v>
      </c>
      <c r="G60" s="30">
        <f t="shared" si="10"/>
        <v>7.1532509929197463</v>
      </c>
    </row>
    <row r="61" spans="2:7" x14ac:dyDescent="0.25">
      <c r="B61" s="32">
        <f t="shared" si="9"/>
        <v>1232</v>
      </c>
      <c r="C61" s="30">
        <f t="shared" si="6"/>
        <v>7.2092307692307696</v>
      </c>
      <c r="D61" s="31">
        <f>(1-C61%*28/360*SUM(D$18:D60))/(1+C61%*28/360)</f>
        <v>0.78269063232682901</v>
      </c>
      <c r="E61" s="30">
        <f t="shared" si="7"/>
        <v>8.1129743900311659</v>
      </c>
      <c r="F61" s="30">
        <f t="shared" si="8"/>
        <v>7.4221379108318608</v>
      </c>
      <c r="G61" s="30">
        <f t="shared" si="10"/>
        <v>7.1506255463918507</v>
      </c>
    </row>
    <row r="62" spans="2:7" x14ac:dyDescent="0.25">
      <c r="B62" s="32">
        <f t="shared" si="9"/>
        <v>1260</v>
      </c>
      <c r="C62" s="30">
        <f t="shared" si="6"/>
        <v>7.2080769230769235</v>
      </c>
      <c r="D62" s="31">
        <f>(1-C62%*28/360*SUM(D$18:D61))/(1+C62%*28/360)</f>
        <v>0.77836169774001251</v>
      </c>
      <c r="E62" s="30">
        <f t="shared" si="7"/>
        <v>8.1357072683567608</v>
      </c>
      <c r="F62" s="30">
        <f t="shared" si="8"/>
        <v>7.4214505175973056</v>
      </c>
      <c r="G62" s="30">
        <f t="shared" si="10"/>
        <v>7.1479920354542426</v>
      </c>
    </row>
    <row r="63" spans="2:7" x14ac:dyDescent="0.25">
      <c r="B63" s="32">
        <f t="shared" si="9"/>
        <v>1288</v>
      </c>
      <c r="C63" s="30">
        <f t="shared" si="6"/>
        <v>7.2069230769230774</v>
      </c>
      <c r="D63" s="31">
        <f>(1-C63%*28/360*SUM(D$18:D62))/(1+C63%*28/360)</f>
        <v>0.77405828251017683</v>
      </c>
      <c r="E63" s="30">
        <f t="shared" si="7"/>
        <v>8.1584827845218175</v>
      </c>
      <c r="F63" s="30">
        <f t="shared" si="8"/>
        <v>7.4207318565758129</v>
      </c>
      <c r="G63" s="30">
        <f t="shared" si="10"/>
        <v>7.1453504216982191</v>
      </c>
    </row>
    <row r="64" spans="2:7" x14ac:dyDescent="0.25">
      <c r="B64" s="32">
        <f t="shared" si="9"/>
        <v>1316</v>
      </c>
      <c r="C64" s="30">
        <f t="shared" si="6"/>
        <v>7.2057692307692314</v>
      </c>
      <c r="D64" s="31">
        <f>(1-C64%*28/360*SUM(D$18:D63))/(1+C64%*28/360)</f>
        <v>0.76978023288996933</v>
      </c>
      <c r="E64" s="30">
        <f t="shared" si="7"/>
        <v>8.1813028059424671</v>
      </c>
      <c r="F64" s="30">
        <f t="shared" si="8"/>
        <v>7.4199837401868862</v>
      </c>
      <c r="G64" s="30">
        <f t="shared" si="10"/>
        <v>7.1427006665774693</v>
      </c>
    </row>
    <row r="65" spans="2:7" x14ac:dyDescent="0.25">
      <c r="B65" s="32">
        <f t="shared" si="9"/>
        <v>1344</v>
      </c>
      <c r="C65" s="30">
        <f t="shared" si="6"/>
        <v>7.2046153846153853</v>
      </c>
      <c r="D65" s="31">
        <f>(1-C65%*28/360*SUM(D$18:D64))/(1+C65%*28/360)</f>
        <v>0.7655273960793233</v>
      </c>
      <c r="E65" s="30">
        <f t="shared" si="7"/>
        <v>8.2041690586288532</v>
      </c>
      <c r="F65" s="30">
        <f t="shared" si="8"/>
        <v>7.41920782898422</v>
      </c>
      <c r="G65" s="30">
        <f t="shared" si="10"/>
        <v>7.1400427314135069</v>
      </c>
    </row>
    <row r="66" spans="2:7" x14ac:dyDescent="0.25">
      <c r="B66" s="32">
        <f t="shared" si="9"/>
        <v>1372</v>
      </c>
      <c r="C66" s="30">
        <f t="shared" si="6"/>
        <v>7.2034615384615384</v>
      </c>
      <c r="D66" s="31">
        <f>(1-C66%*28/360*SUM(D$18:D65))/(1+C66%*28/360)</f>
        <v>0.76129962021949737</v>
      </c>
      <c r="E66" s="30">
        <f t="shared" si="7"/>
        <v>8.2270831415923986</v>
      </c>
      <c r="F66" s="30">
        <f t="shared" si="8"/>
        <v>7.4184056471475746</v>
      </c>
      <c r="G66" s="30">
        <f t="shared" si="10"/>
        <v>7.1373765773950888</v>
      </c>
    </row>
    <row r="67" spans="2:7" x14ac:dyDescent="0.25">
      <c r="B67" s="32">
        <f t="shared" si="9"/>
        <v>1400</v>
      </c>
      <c r="C67" s="30">
        <f t="shared" si="6"/>
        <v>7.2023076923076923</v>
      </c>
      <c r="D67" s="31">
        <f>(1-C67%*28/360*SUM(D$18:D66))/(1+C67%*28/360)</f>
        <v>0.75709675438715374</v>
      </c>
      <c r="E67" s="30">
        <f t="shared" si="7"/>
        <v>8.2500465395232858</v>
      </c>
      <c r="F67" s="30">
        <f t="shared" si="8"/>
        <v>7.4175785961156926</v>
      </c>
      <c r="G67" s="30">
        <f t="shared" si="10"/>
        <v>7.1347021655759431</v>
      </c>
    </row>
    <row r="68" spans="2:7" x14ac:dyDescent="0.25">
      <c r="B68" s="32">
        <f t="shared" si="9"/>
        <v>1428</v>
      </c>
      <c r="C68" s="30">
        <f t="shared" si="6"/>
        <v>7.2011538461538462</v>
      </c>
      <c r="D68" s="31">
        <f>(1-C68%*28/360*SUM(D$18:D67))/(1+C68%*28/360)</f>
        <v>0.75291864858847513</v>
      </c>
      <c r="E68" s="30">
        <f t="shared" si="7"/>
        <v>8.273060633975458</v>
      </c>
      <c r="F68" s="30">
        <f t="shared" si="8"/>
        <v>7.4167279666155883</v>
      </c>
      <c r="G68" s="30">
        <f t="shared" si="10"/>
        <v>7.1320194568767556</v>
      </c>
    </row>
    <row r="69" spans="2:7" x14ac:dyDescent="0.25">
      <c r="B69" s="32">
        <f t="shared" si="9"/>
        <v>1456</v>
      </c>
      <c r="C69" s="30">
        <f t="shared" si="6"/>
        <v>7.2</v>
      </c>
      <c r="D69" s="31">
        <f>(1-C69%*28/360*SUM(D$18:D68))/(1+C69%*28/360)</f>
        <v>0.74876515375331953</v>
      </c>
      <c r="E69" s="30">
        <f t="shared" si="7"/>
        <v>8.2961267132602483</v>
      </c>
      <c r="F69" s="30">
        <f t="shared" si="8"/>
        <v>7.4158549493039239</v>
      </c>
      <c r="G69" s="30">
        <f t="shared" si="10"/>
        <v>7.2942406072542862</v>
      </c>
    </row>
    <row r="70" spans="2:7" x14ac:dyDescent="0.25">
      <c r="B70" s="32">
        <f t="shared" si="9"/>
        <v>1484</v>
      </c>
      <c r="C70" s="30">
        <f t="shared" si="6"/>
        <v>7.2015384615384619</v>
      </c>
      <c r="D70" s="31">
        <f>(1-C70%*28/360*SUM(D$18:D69))/(1+C70%*28/360)</f>
        <v>0.74454114975131791</v>
      </c>
      <c r="E70" s="30">
        <f t="shared" si="7"/>
        <v>8.3234015576860081</v>
      </c>
      <c r="F70" s="30">
        <f t="shared" si="8"/>
        <v>7.4182843239699814</v>
      </c>
      <c r="G70" s="30">
        <f t="shared" si="10"/>
        <v>7.297852450145343</v>
      </c>
    </row>
    <row r="71" spans="2:7" x14ac:dyDescent="0.25">
      <c r="B71" s="32">
        <f t="shared" si="9"/>
        <v>1512</v>
      </c>
      <c r="C71" s="30">
        <f t="shared" si="6"/>
        <v>7.2030769230769227</v>
      </c>
      <c r="D71" s="31">
        <f>(1-C71%*28/360*SUM(D$18:D70))/(1+C71%*28/360)</f>
        <v>0.74033890655995838</v>
      </c>
      <c r="E71" s="30">
        <f t="shared" si="7"/>
        <v>8.350779530681006</v>
      </c>
      <c r="F71" s="30">
        <f t="shared" si="8"/>
        <v>7.4206952176629093</v>
      </c>
      <c r="G71" s="30">
        <f t="shared" si="10"/>
        <v>7.3014763332398056</v>
      </c>
    </row>
    <row r="72" spans="2:7" x14ac:dyDescent="0.25">
      <c r="B72" s="32">
        <f t="shared" si="9"/>
        <v>1540</v>
      </c>
      <c r="C72" s="30">
        <f t="shared" si="6"/>
        <v>7.2046153846153853</v>
      </c>
      <c r="D72" s="31">
        <f>(1-C72%*28/360*SUM(D$18:D71))/(1+C72%*28/360)</f>
        <v>0.73615831792098907</v>
      </c>
      <c r="E72" s="30">
        <f t="shared" si="7"/>
        <v>8.3782625053186095</v>
      </c>
      <c r="F72" s="30">
        <f t="shared" si="8"/>
        <v>7.4230888738474388</v>
      </c>
      <c r="G72" s="30">
        <f t="shared" si="10"/>
        <v>7.3051123375628606</v>
      </c>
    </row>
    <row r="73" spans="2:7" x14ac:dyDescent="0.25">
      <c r="B73" s="32">
        <f t="shared" si="9"/>
        <v>1568</v>
      </c>
      <c r="C73" s="30">
        <f t="shared" si="6"/>
        <v>7.2061538461538461</v>
      </c>
      <c r="D73" s="31">
        <f>(1-C73%*28/360*SUM(D$18:D72))/(1+C73%*28/360)</f>
        <v>0.73199927806532528</v>
      </c>
      <c r="E73" s="30">
        <f t="shared" si="7"/>
        <v>8.4058522786841881</v>
      </c>
      <c r="F73" s="30">
        <f t="shared" si="8"/>
        <v>7.4254664487415134</v>
      </c>
      <c r="G73" s="30">
        <f t="shared" si="10"/>
        <v>7.3087605447677646</v>
      </c>
    </row>
    <row r="74" spans="2:7" x14ac:dyDescent="0.25">
      <c r="B74" s="32">
        <f t="shared" si="9"/>
        <v>1596</v>
      </c>
      <c r="C74" s="30">
        <f t="shared" si="6"/>
        <v>7.207692307692307</v>
      </c>
      <c r="D74" s="31">
        <f>(1-C74%*28/360*SUM(D$18:D73))/(1+C74%*28/360)</f>
        <v>0.72786168171095178</v>
      </c>
      <c r="E74" s="30">
        <f t="shared" si="7"/>
        <v>8.4335505790638194</v>
      </c>
      <c r="F74" s="30">
        <f t="shared" si="8"/>
        <v>7.4278290189805363</v>
      </c>
      <c r="G74" s="30">
        <f t="shared" si="10"/>
        <v>7.312421037141549</v>
      </c>
    </row>
    <row r="75" spans="2:7" x14ac:dyDescent="0.25">
      <c r="B75" s="32">
        <f t="shared" si="9"/>
        <v>1624</v>
      </c>
      <c r="C75" s="30">
        <f t="shared" si="6"/>
        <v>7.2092307692307696</v>
      </c>
      <c r="D75" s="31">
        <f>(1-C75%*28/360*SUM(D$18:D74))/(1+C75%*28/360)</f>
        <v>0.72374542406083386</v>
      </c>
      <c r="E75" s="30">
        <f t="shared" si="7"/>
        <v>8.4613590723950178</v>
      </c>
      <c r="F75" s="30">
        <f t="shared" si="8"/>
        <v>7.4301775884887844</v>
      </c>
      <c r="G75" s="30">
        <f t="shared" si="10"/>
        <v>7.316093897610453</v>
      </c>
    </row>
    <row r="76" spans="2:7" x14ac:dyDescent="0.25">
      <c r="B76" s="32">
        <f t="shared" si="9"/>
        <v>1652</v>
      </c>
      <c r="C76" s="30">
        <f t="shared" si="6"/>
        <v>7.2107692307692304</v>
      </c>
      <c r="D76" s="31">
        <f>(1-C76%*28/360*SUM(D$18:D75))/(1+C76%*28/360)</f>
        <v>0.71965040080083564</v>
      </c>
      <c r="E76" s="30">
        <f t="shared" si="7"/>
        <v>8.4892793680669705</v>
      </c>
      <c r="F76" s="30">
        <f t="shared" si="8"/>
        <v>7.4325130946523377</v>
      </c>
      <c r="G76" s="30">
        <f t="shared" si="10"/>
        <v>7.3197792097473409</v>
      </c>
    </row>
    <row r="77" spans="2:7" x14ac:dyDescent="0.25">
      <c r="B77" s="32">
        <f t="shared" si="9"/>
        <v>1680</v>
      </c>
      <c r="C77" s="30">
        <f t="shared" si="6"/>
        <v>7.212307692307693</v>
      </c>
      <c r="D77" s="31">
        <f>(1-C77%*28/360*SUM(D$18:D76))/(1+C77%*28/360)</f>
        <v>0.71557650809764706</v>
      </c>
      <c r="E77" s="30">
        <f t="shared" si="7"/>
        <v>8.5173130241463824</v>
      </c>
      <c r="F77" s="30">
        <f t="shared" si="8"/>
        <v>7.4348364138748124</v>
      </c>
      <c r="G77" s="30">
        <f t="shared" si="10"/>
        <v>7.3234770577754107</v>
      </c>
    </row>
    <row r="78" spans="2:7" x14ac:dyDescent="0.25">
      <c r="B78" s="32">
        <f t="shared" si="9"/>
        <v>1708</v>
      </c>
      <c r="C78" s="30">
        <f t="shared" si="6"/>
        <v>7.2138461538461538</v>
      </c>
      <c r="D78" s="31">
        <f>(1-C78%*28/360*SUM(D$18:D77))/(1+C78%*28/360)</f>
        <v>0.71152364259671896</v>
      </c>
      <c r="E78" s="30">
        <f t="shared" si="7"/>
        <v>8.545461552094789</v>
      </c>
      <c r="F78" s="30">
        <f t="shared" si="8"/>
        <v>7.4371483665868432</v>
      </c>
      <c r="G78" s="30">
        <f t="shared" si="10"/>
        <v>7.3271875265761919</v>
      </c>
    </row>
    <row r="79" spans="2:7" x14ac:dyDescent="0.25">
      <c r="B79" s="32">
        <f t="shared" si="9"/>
        <v>1736</v>
      </c>
      <c r="C79" s="30">
        <f t="shared" si="6"/>
        <v>7.2153846153846146</v>
      </c>
      <c r="D79" s="31">
        <f>(1-C79%*28/360*SUM(D$18:D78))/(1+C79%*28/360)</f>
        <v>0.70749170142020612</v>
      </c>
      <c r="E79" s="30">
        <f t="shared" si="7"/>
        <v>8.5737264210349142</v>
      </c>
      <c r="F79" s="30">
        <f t="shared" si="8"/>
        <v>7.4394497217710187</v>
      </c>
      <c r="G79" s="30">
        <f t="shared" si="10"/>
        <v>7.3309107016952577</v>
      </c>
    </row>
    <row r="80" spans="2:7" x14ac:dyDescent="0.25">
      <c r="B80" s="32">
        <f t="shared" si="9"/>
        <v>1764</v>
      </c>
      <c r="C80" s="30">
        <f t="shared" si="6"/>
        <v>7.2169230769230772</v>
      </c>
      <c r="D80" s="31">
        <f>(1-C80%*28/360*SUM(D$18:D79))/(1+C80%*28/360)</f>
        <v>0.70348058216491804</v>
      </c>
      <c r="E80" s="30">
        <f t="shared" si="7"/>
        <v>8.6021090616161935</v>
      </c>
      <c r="F80" s="30">
        <f t="shared" si="8"/>
        <v>7.4417412010558515</v>
      </c>
      <c r="G80" s="30">
        <f t="shared" si="10"/>
        <v>7.3346466693459282</v>
      </c>
    </row>
    <row r="81" spans="2:7" x14ac:dyDescent="0.25">
      <c r="B81" s="32">
        <f t="shared" si="9"/>
        <v>1792</v>
      </c>
      <c r="C81" s="30">
        <f t="shared" si="6"/>
        <v>7.218461538461538</v>
      </c>
      <c r="D81" s="31">
        <f>(1-C81%*28/360*SUM(D$18:D80))/(1+C81%*28/360)</f>
        <v>0.69949018290027931</v>
      </c>
      <c r="E81" s="30">
        <f t="shared" si="7"/>
        <v>8.6306108695233554</v>
      </c>
      <c r="F81" s="30">
        <f t="shared" si="8"/>
        <v>7.4440234824262097</v>
      </c>
      <c r="G81" s="30">
        <f t="shared" si="10"/>
        <v>7.3383955164206975</v>
      </c>
    </row>
    <row r="82" spans="2:7" x14ac:dyDescent="0.25">
      <c r="B82" s="32">
        <f t="shared" si="9"/>
        <v>1820</v>
      </c>
      <c r="C82" s="30">
        <f t="shared" si="6"/>
        <v>7.22</v>
      </c>
      <c r="D82" s="31">
        <f>(1-C82%*28/360*SUM(D$18:D81))/(1+C82%*28/360)</f>
        <v>0.69552040216629551</v>
      </c>
      <c r="E82" s="30">
        <f t="shared" si="7"/>
        <v>8.6592332086667021</v>
      </c>
      <c r="F82" s="30">
        <f t="shared" si="8"/>
        <v>7.446297203591512</v>
      </c>
      <c r="G82" s="30">
        <f t="shared" si="10"/>
        <v>7.5407116115768149</v>
      </c>
    </row>
    <row r="83" spans="2:7" x14ac:dyDescent="0.25">
      <c r="B83" s="32">
        <f t="shared" si="9"/>
        <v>1848</v>
      </c>
      <c r="C83" s="30">
        <f t="shared" ref="C83:C146" si="31">+interpLin(B83,$B$5:$B$15,$F$5:$F$15)</f>
        <v>7.2240384615384619</v>
      </c>
      <c r="D83" s="31">
        <f>(1-C83%*28/360*SUM(D$18:D82))/(1+C83%*28/360)</f>
        <v>0.69146496160465165</v>
      </c>
      <c r="E83" s="30">
        <f t="shared" ref="E83:E147" si="32">100*(1/D83-1)*360/B83</f>
        <v>8.6923028058215603</v>
      </c>
      <c r="F83" s="30">
        <f t="shared" ref="F83:F147" si="33">100*(D83^(-360/B83)-1)</f>
        <v>7.4517768925170369</v>
      </c>
      <c r="G83" s="30">
        <f t="shared" si="10"/>
        <v>7.5506719921288719</v>
      </c>
    </row>
    <row r="84" spans="2:7" x14ac:dyDescent="0.25">
      <c r="B84" s="32">
        <f t="shared" si="9"/>
        <v>1876</v>
      </c>
      <c r="C84" s="30">
        <f t="shared" si="31"/>
        <v>7.2280769230769222</v>
      </c>
      <c r="D84" s="31">
        <f>(1-C84%*28/360*SUM(D$18:D83))/(1+C84%*28/360)</f>
        <v>0.68742787308074538</v>
      </c>
      <c r="E84" s="30">
        <f t="shared" si="32"/>
        <v>8.7255493111436824</v>
      </c>
      <c r="F84" s="30">
        <f t="shared" si="33"/>
        <v>7.4572520920457741</v>
      </c>
      <c r="G84" s="30">
        <f t="shared" ref="G84:G146" si="34">100*(D84/D85-1)*360/28</f>
        <v>7.5606696904997648</v>
      </c>
    </row>
    <row r="85" spans="2:7" x14ac:dyDescent="0.25">
      <c r="B85" s="32">
        <f t="shared" ref="B85:B147" si="35">+B84+28</f>
        <v>1904</v>
      </c>
      <c r="C85" s="30">
        <f t="shared" si="31"/>
        <v>7.2321153846153843</v>
      </c>
      <c r="D85" s="31">
        <f>(1-C85%*28/360*SUM(D$18:D84))/(1+C85%*28/360)</f>
        <v>0.68340907177118204</v>
      </c>
      <c r="E85" s="30">
        <f t="shared" si="32"/>
        <v>8.75897493309885</v>
      </c>
      <c r="F85" s="30">
        <f t="shared" si="33"/>
        <v>7.4627235969576988</v>
      </c>
      <c r="G85" s="30">
        <f t="shared" si="34"/>
        <v>7.5707050282605479</v>
      </c>
    </row>
    <row r="86" spans="2:7" x14ac:dyDescent="0.25">
      <c r="B86" s="32">
        <f t="shared" si="35"/>
        <v>1932</v>
      </c>
      <c r="C86" s="30">
        <f t="shared" si="31"/>
        <v>7.2361538461538455</v>
      </c>
      <c r="D86" s="31">
        <f>(1-C86%*28/360*SUM(D$18:D85))/(1+C86%*28/360)</f>
        <v>0.67940849298688311</v>
      </c>
      <c r="E86" s="30">
        <f t="shared" si="32"/>
        <v>8.7925818572003358</v>
      </c>
      <c r="F86" s="30">
        <f t="shared" si="33"/>
        <v>7.4681921610430635</v>
      </c>
      <c r="G86" s="30">
        <f t="shared" si="34"/>
        <v>7.5807783303635716</v>
      </c>
    </row>
    <row r="87" spans="2:7" x14ac:dyDescent="0.25">
      <c r="B87" s="32">
        <f t="shared" si="35"/>
        <v>1960</v>
      </c>
      <c r="C87" s="30">
        <f t="shared" si="31"/>
        <v>7.2401923076923076</v>
      </c>
      <c r="D87" s="31">
        <f>(1-C87%*28/360*SUM(D$18:D86))/(1+C87%*28/360)</f>
        <v>0.67542607217334305</v>
      </c>
      <c r="E87" s="30">
        <f t="shared" si="32"/>
        <v>8.8263722489873029</v>
      </c>
      <c r="F87" s="30">
        <f t="shared" si="33"/>
        <v>7.4736585000827471</v>
      </c>
      <c r="G87" s="30">
        <f t="shared" si="34"/>
        <v>7.5908899251824522</v>
      </c>
    </row>
    <row r="88" spans="2:7" x14ac:dyDescent="0.25">
      <c r="B88" s="32">
        <f t="shared" si="35"/>
        <v>1988</v>
      </c>
      <c r="C88" s="30">
        <f t="shared" si="31"/>
        <v>7.2442307692307688</v>
      </c>
      <c r="D88" s="31">
        <f>(1-C88%*28/360*SUM(D$18:D87))/(1+C88%*28/360)</f>
        <v>0.67146174491088462</v>
      </c>
      <c r="E88" s="30">
        <f t="shared" si="32"/>
        <v>8.8603482567718448</v>
      </c>
      <c r="F88" s="30">
        <f t="shared" si="33"/>
        <v>7.4791232945772279</v>
      </c>
      <c r="G88" s="30">
        <f t="shared" si="34"/>
        <v>7.6010401445574569</v>
      </c>
    </row>
    <row r="89" spans="2:7" x14ac:dyDescent="0.25">
      <c r="B89" s="32">
        <f t="shared" si="35"/>
        <v>2016</v>
      </c>
      <c r="C89" s="30">
        <f t="shared" si="31"/>
        <v>7.24826923076923</v>
      </c>
      <c r="D89" s="31">
        <f>(1-C89%*28/360*SUM(D$18:D88))/(1+C89%*28/360)</f>
        <v>0.66751544691490827</v>
      </c>
      <c r="E89" s="30">
        <f t="shared" si="32"/>
        <v>8.8945120141776002</v>
      </c>
      <c r="F89" s="30">
        <f t="shared" si="33"/>
        <v>7.4845871922490037</v>
      </c>
      <c r="G89" s="30">
        <f t="shared" si="34"/>
        <v>7.6112293238411883</v>
      </c>
    </row>
    <row r="90" spans="2:7" x14ac:dyDescent="0.25">
      <c r="B90" s="32">
        <f t="shared" si="35"/>
        <v>2044</v>
      </c>
      <c r="C90" s="30">
        <f t="shared" si="31"/>
        <v>7.2523076923076921</v>
      </c>
      <c r="D90" s="31">
        <f>(1-C90%*28/360*SUM(D$18:D89))/(1+C90%*28/360)</f>
        <v>0.66358711403613879</v>
      </c>
      <c r="E90" s="30">
        <f t="shared" si="32"/>
        <v>8.9288656424902495</v>
      </c>
      <c r="F90" s="30">
        <f t="shared" si="33"/>
        <v>7.490050810340132</v>
      </c>
      <c r="G90" s="30">
        <f t="shared" si="34"/>
        <v>7.6214578019442625</v>
      </c>
    </row>
    <row r="91" spans="2:7" x14ac:dyDescent="0.25">
      <c r="B91" s="32">
        <f t="shared" si="35"/>
        <v>2072</v>
      </c>
      <c r="C91" s="30">
        <f t="shared" si="31"/>
        <v>7.2563461538461542</v>
      </c>
      <c r="D91" s="31">
        <f>(1-C91%*28/360*SUM(D$18:D90))/(1+C91%*28/360)</f>
        <v>0.65967668226086718</v>
      </c>
      <c r="E91" s="30">
        <f t="shared" si="32"/>
        <v>8.9634112528381014</v>
      </c>
      <c r="F91" s="30">
        <f t="shared" si="33"/>
        <v>7.4955147377239406</v>
      </c>
      <c r="G91" s="30">
        <f t="shared" si="34"/>
        <v>7.6317259213786972</v>
      </c>
    </row>
    <row r="92" spans="2:7" x14ac:dyDescent="0.25">
      <c r="B92" s="32">
        <f t="shared" si="35"/>
        <v>2100</v>
      </c>
      <c r="C92" s="30">
        <f t="shared" si="31"/>
        <v>7.2603846153846145</v>
      </c>
      <c r="D92" s="31">
        <f>(1-C92%*28/360*SUM(D$18:D91))/(1+C92%*28/360)</f>
        <v>0.65578408771119023</v>
      </c>
      <c r="E92" s="30">
        <f t="shared" si="32"/>
        <v>8.9981509482188962</v>
      </c>
      <c r="F92" s="30">
        <f t="shared" si="33"/>
        <v>7.500979536848762</v>
      </c>
      <c r="G92" s="30">
        <f t="shared" si="34"/>
        <v>7.6420340283121586</v>
      </c>
    </row>
    <row r="93" spans="2:7" x14ac:dyDescent="0.25">
      <c r="B93" s="32">
        <f t="shared" si="35"/>
        <v>2128</v>
      </c>
      <c r="C93" s="30">
        <f t="shared" si="31"/>
        <v>7.2644230769230766</v>
      </c>
      <c r="D93" s="31">
        <f>(1-C93%*28/360*SUM(D$18:D92))/(1+C93%*28/360)</f>
        <v>0.65190926664524307</v>
      </c>
      <c r="E93" s="30">
        <f t="shared" si="32"/>
        <v>9.0330868253875831</v>
      </c>
      <c r="F93" s="30">
        <f t="shared" si="33"/>
        <v>7.506445745528767</v>
      </c>
      <c r="G93" s="30">
        <f t="shared" si="34"/>
        <v>7.6523824726050709</v>
      </c>
    </row>
    <row r="94" spans="2:7" x14ac:dyDescent="0.25">
      <c r="B94" s="32">
        <f t="shared" si="35"/>
        <v>2156</v>
      </c>
      <c r="C94" s="30">
        <f t="shared" si="31"/>
        <v>7.2684615384615388</v>
      </c>
      <c r="D94" s="31">
        <f>(1-C94%*28/360*SUM(D$18:D93))/(1+C94%*28/360)</f>
        <v>0.64805215545743255</v>
      </c>
      <c r="E94" s="30">
        <f t="shared" si="32"/>
        <v>9.0682209766177291</v>
      </c>
      <c r="F94" s="30">
        <f t="shared" si="33"/>
        <v>7.5119138785959549</v>
      </c>
      <c r="G94" s="30">
        <f t="shared" si="34"/>
        <v>7.6627716078700052</v>
      </c>
    </row>
    <row r="95" spans="2:7" x14ac:dyDescent="0.25">
      <c r="B95" s="32">
        <f t="shared" si="35"/>
        <v>2184</v>
      </c>
      <c r="C95" s="30">
        <f t="shared" si="31"/>
        <v>7.2725</v>
      </c>
      <c r="D95" s="31">
        <f>(1-C95%*28/360*SUM(D$18:D94))/(1+C95%*28/360)</f>
        <v>0.64421269067866205</v>
      </c>
      <c r="E95" s="30">
        <f t="shared" si="32"/>
        <v>9.1035554913486951</v>
      </c>
      <c r="F95" s="30">
        <f t="shared" si="33"/>
        <v>7.5173844294259107</v>
      </c>
      <c r="G95" s="30">
        <f t="shared" si="34"/>
        <v>7.6732017915153472</v>
      </c>
    </row>
    <row r="96" spans="2:7" x14ac:dyDescent="0.25">
      <c r="B96" s="32">
        <f t="shared" si="35"/>
        <v>2212</v>
      </c>
      <c r="C96" s="30">
        <f t="shared" si="31"/>
        <v>7.2765384615384612</v>
      </c>
      <c r="D96" s="31">
        <f>(1-C96%*28/360*SUM(D$18:D95))/(1+C96%*28/360)</f>
        <v>0.64039080897655509</v>
      </c>
      <c r="E96" s="30">
        <f t="shared" si="32"/>
        <v>9.1390924577287738</v>
      </c>
      <c r="F96" s="30">
        <f t="shared" si="33"/>
        <v>7.5228578713481875</v>
      </c>
      <c r="G96" s="30">
        <f t="shared" si="34"/>
        <v>7.6836733847969816</v>
      </c>
    </row>
    <row r="97" spans="2:7" x14ac:dyDescent="0.25">
      <c r="B97" s="32">
        <f t="shared" si="35"/>
        <v>2240</v>
      </c>
      <c r="C97" s="30">
        <f t="shared" si="31"/>
        <v>7.2805769230769233</v>
      </c>
      <c r="D97" s="31">
        <f>(1-C97%*28/360*SUM(D$18:D96))/(1+C97%*28/360)</f>
        <v>0.63658644715567425</v>
      </c>
      <c r="E97" s="30">
        <f t="shared" si="32"/>
        <v>9.1748339640639234</v>
      </c>
      <c r="F97" s="30">
        <f t="shared" si="33"/>
        <v>7.5283346589517963</v>
      </c>
      <c r="G97" s="30">
        <f t="shared" si="34"/>
        <v>7.6941867528653889</v>
      </c>
    </row>
    <row r="98" spans="2:7" x14ac:dyDescent="0.25">
      <c r="B98" s="32">
        <f t="shared" si="35"/>
        <v>2268</v>
      </c>
      <c r="C98" s="30">
        <f t="shared" si="31"/>
        <v>7.2846153846153845</v>
      </c>
      <c r="D98" s="31">
        <f>(1-C98%*28/360*SUM(D$18:D97))/(1+C98%*28/360)</f>
        <v>0.63279954215773804</v>
      </c>
      <c r="E98" s="30">
        <f t="shared" si="32"/>
        <v>9.2107821001805164</v>
      </c>
      <c r="F98" s="30">
        <f t="shared" si="33"/>
        <v>7.5338152292945271</v>
      </c>
      <c r="G98" s="30">
        <f t="shared" si="34"/>
        <v>7.7047422648273125</v>
      </c>
    </row>
    <row r="99" spans="2:7" x14ac:dyDescent="0.25">
      <c r="B99" s="32">
        <f t="shared" si="35"/>
        <v>2296</v>
      </c>
      <c r="C99" s="30">
        <f t="shared" si="31"/>
        <v>7.2886538461538457</v>
      </c>
      <c r="D99" s="31">
        <f>(1-C99%*28/360*SUM(D$18:D98))/(1+C99%*28/360)</f>
        <v>0.62903003106182986</v>
      </c>
      <c r="E99" s="30">
        <f t="shared" si="32"/>
        <v>9.2469389587101176</v>
      </c>
      <c r="F99" s="30">
        <f t="shared" si="33"/>
        <v>7.5393000030247181</v>
      </c>
      <c r="G99" s="30">
        <f t="shared" si="34"/>
        <v>7.7153402937851618</v>
      </c>
    </row>
    <row r="100" spans="2:7" x14ac:dyDescent="0.25">
      <c r="B100" s="32">
        <f t="shared" si="35"/>
        <v>2324</v>
      </c>
      <c r="C100" s="30">
        <f t="shared" si="31"/>
        <v>7.2926923076923078</v>
      </c>
      <c r="D100" s="31">
        <f>(1-C100%*28/360*SUM(D$18:D99))/(1+C100%*28/360)</f>
        <v>0.62527785108460854</v>
      </c>
      <c r="E100" s="30">
        <f t="shared" si="32"/>
        <v>9.2833066363028376</v>
      </c>
      <c r="F100" s="30">
        <f t="shared" si="33"/>
        <v>7.5447893854223791</v>
      </c>
      <c r="G100" s="30">
        <f t="shared" si="34"/>
        <v>7.7259812169020927</v>
      </c>
    </row>
    <row r="101" spans="2:7" x14ac:dyDescent="0.25">
      <c r="B101" s="32">
        <f t="shared" si="35"/>
        <v>2352</v>
      </c>
      <c r="C101" s="30">
        <f t="shared" si="31"/>
        <v>7.2967307692307699</v>
      </c>
      <c r="D101" s="31">
        <f>(1-C101%*28/360*SUM(D$18:D100))/(1+C101%*28/360)</f>
        <v>0.62154293958051077</v>
      </c>
      <c r="E101" s="30">
        <f t="shared" si="32"/>
        <v>9.3198872347760258</v>
      </c>
      <c r="F101" s="30">
        <f t="shared" si="33"/>
        <v>7.5502837673668388</v>
      </c>
      <c r="G101" s="30">
        <f t="shared" si="34"/>
        <v>7.7366654154488339</v>
      </c>
    </row>
    <row r="102" spans="2:7" x14ac:dyDescent="0.25">
      <c r="B102" s="32">
        <f t="shared" si="35"/>
        <v>2380</v>
      </c>
      <c r="C102" s="30">
        <f t="shared" si="31"/>
        <v>7.3007692307692302</v>
      </c>
      <c r="D102" s="31">
        <f>(1-C102%*28/360*SUM(D$18:D101))/(1+C102%*28/360)</f>
        <v>0.61782523404195211</v>
      </c>
      <c r="E102" s="30">
        <f t="shared" si="32"/>
        <v>9.3566828622037637</v>
      </c>
      <c r="F102" s="30">
        <f t="shared" si="33"/>
        <v>7.555783526236759</v>
      </c>
      <c r="G102" s="30">
        <f t="shared" si="34"/>
        <v>7.7473932748633541</v>
      </c>
    </row>
    <row r="103" spans="2:7" x14ac:dyDescent="0.25">
      <c r="B103" s="32">
        <f t="shared" si="35"/>
        <v>2408</v>
      </c>
      <c r="C103" s="30">
        <f t="shared" si="31"/>
        <v>7.3048076923076923</v>
      </c>
      <c r="D103" s="31">
        <f>(1-C103%*28/360*SUM(D$18:D102))/(1+C103%*28/360)</f>
        <v>0.61412467209952315</v>
      </c>
      <c r="E103" s="30">
        <f t="shared" si="32"/>
        <v>9.3936956339525093</v>
      </c>
      <c r="F103" s="30">
        <f t="shared" si="33"/>
        <v>7.5612890267479971</v>
      </c>
      <c r="G103" s="30">
        <f t="shared" si="34"/>
        <v>7.7581651848033868</v>
      </c>
    </row>
    <row r="104" spans="2:7" x14ac:dyDescent="0.25">
      <c r="B104" s="32">
        <f t="shared" si="35"/>
        <v>2436</v>
      </c>
      <c r="C104" s="30">
        <f t="shared" si="31"/>
        <v>7.3088461538461535</v>
      </c>
      <c r="D104" s="31">
        <f>(1-C104%*28/360*SUM(D$18:D103))/(1+C104%*28/360)</f>
        <v>0.61044119152218301</v>
      </c>
      <c r="E104" s="30">
        <f t="shared" si="32"/>
        <v>9.4309276736675614</v>
      </c>
      <c r="F104" s="30">
        <f t="shared" si="33"/>
        <v>7.566800621734604</v>
      </c>
      <c r="G104" s="30">
        <f t="shared" si="34"/>
        <v>7.7689815392055293</v>
      </c>
    </row>
    <row r="105" spans="2:7" x14ac:dyDescent="0.25">
      <c r="B105" s="32">
        <f t="shared" si="35"/>
        <v>2464</v>
      </c>
      <c r="C105" s="30">
        <f t="shared" si="31"/>
        <v>7.3128846153846148</v>
      </c>
      <c r="D105" s="31">
        <f>(1-C105%*28/360*SUM(D$18:D104))/(1+C105%*28/360)</f>
        <v>0.60677473021744854</v>
      </c>
      <c r="E105" s="30">
        <f t="shared" si="32"/>
        <v>9.468381114214754</v>
      </c>
      <c r="F105" s="30">
        <f t="shared" si="33"/>
        <v>7.5723186528769304</v>
      </c>
      <c r="G105" s="30">
        <f t="shared" si="34"/>
        <v>7.7798427363443396</v>
      </c>
    </row>
    <row r="106" spans="2:7" x14ac:dyDescent="0.25">
      <c r="B106" s="32">
        <f t="shared" si="35"/>
        <v>2492</v>
      </c>
      <c r="C106" s="30">
        <f t="shared" si="31"/>
        <v>7.3169230769230778</v>
      </c>
      <c r="D106" s="31">
        <f>(1-C106%*28/360*SUM(D$18:D105))/(1+C106%*28/360)</f>
        <v>0.60312522623157894</v>
      </c>
      <c r="E106" s="30">
        <f t="shared" si="32"/>
        <v>9.5060580985812511</v>
      </c>
      <c r="F106" s="30">
        <f t="shared" si="33"/>
        <v>7.5778434513818604</v>
      </c>
      <c r="G106" s="30">
        <f t="shared" si="34"/>
        <v>7.7907491788851457</v>
      </c>
    </row>
    <row r="107" spans="2:7" x14ac:dyDescent="0.25">
      <c r="B107" s="32">
        <f t="shared" si="35"/>
        <v>2520</v>
      </c>
      <c r="C107" s="30">
        <f t="shared" si="31"/>
        <v>7.320961538461539</v>
      </c>
      <c r="D107" s="31">
        <f>(1-C107%*28/360*SUM(D$18:D106))/(1+C107%*28/360)</f>
        <v>0.59949261774975993</v>
      </c>
      <c r="E107" s="30">
        <f t="shared" si="32"/>
        <v>9.5439607807390345</v>
      </c>
      <c r="F107" s="30">
        <f t="shared" si="33"/>
        <v>7.5833753386178593</v>
      </c>
      <c r="G107" s="30">
        <f t="shared" si="34"/>
        <v>7.8017012739534257</v>
      </c>
    </row>
    <row r="108" spans="2:7" x14ac:dyDescent="0.25">
      <c r="B108" s="32">
        <f t="shared" si="35"/>
        <v>2548</v>
      </c>
      <c r="C108" s="30">
        <f t="shared" si="31"/>
        <v>7.3250000000000002</v>
      </c>
      <c r="D108" s="31">
        <f>(1-C108%*28/360*SUM(D$18:D107))/(1+C108%*28/360)</f>
        <v>0.59587684309627931</v>
      </c>
      <c r="E108" s="30">
        <f t="shared" si="32"/>
        <v>9.5820913264745329</v>
      </c>
      <c r="F108" s="30">
        <f t="shared" si="33"/>
        <v>7.588914626709431</v>
      </c>
      <c r="G108" s="30">
        <f t="shared" si="34"/>
        <v>7.8204436356186546</v>
      </c>
    </row>
    <row r="109" spans="2:7" x14ac:dyDescent="0.25">
      <c r="B109" s="32">
        <f t="shared" si="35"/>
        <v>2576</v>
      </c>
      <c r="C109" s="30">
        <f t="shared" si="31"/>
        <v>7.3291025641025644</v>
      </c>
      <c r="D109" s="31">
        <f>(1-C109%*28/360*SUM(D$18:D108))/(1+C109%*28/360)</f>
        <v>0.5922742948542643</v>
      </c>
      <c r="E109" s="30">
        <f t="shared" si="32"/>
        <v>9.6205931784674501</v>
      </c>
      <c r="F109" s="30">
        <f t="shared" si="33"/>
        <v>7.5945516406758173</v>
      </c>
      <c r="G109" s="30">
        <f t="shared" si="34"/>
        <v>7.8316666578031047</v>
      </c>
    </row>
    <row r="110" spans="2:7" x14ac:dyDescent="0.25">
      <c r="B110" s="32">
        <f t="shared" si="35"/>
        <v>2604</v>
      </c>
      <c r="C110" s="30">
        <f t="shared" si="31"/>
        <v>7.3332051282051278</v>
      </c>
      <c r="D110" s="31">
        <f>(1-C110%*28/360*SUM(D$18:D109))/(1+C110%*28/360)</f>
        <v>0.58868841927034865</v>
      </c>
      <c r="E110" s="30">
        <f t="shared" si="32"/>
        <v>9.6593291651780078</v>
      </c>
      <c r="F110" s="30">
        <f t="shared" si="33"/>
        <v>7.6001967781394786</v>
      </c>
      <c r="G110" s="30">
        <f t="shared" si="34"/>
        <v>7.8429374583736591</v>
      </c>
    </row>
    <row r="111" spans="2:7" x14ac:dyDescent="0.25">
      <c r="B111" s="32">
        <f t="shared" si="35"/>
        <v>2632</v>
      </c>
      <c r="C111" s="30">
        <f t="shared" si="31"/>
        <v>7.337307692307693</v>
      </c>
      <c r="D111" s="31">
        <f>(1-C111%*28/360*SUM(D$18:D110))/(1+C111%*28/360)</f>
        <v>0.58511915586854713</v>
      </c>
      <c r="E111" s="30">
        <f t="shared" si="32"/>
        <v>9.6983015252244744</v>
      </c>
      <c r="F111" s="30">
        <f t="shared" si="33"/>
        <v>7.6058503330159954</v>
      </c>
      <c r="G111" s="30">
        <f t="shared" si="34"/>
        <v>7.8542564731539803</v>
      </c>
    </row>
    <row r="112" spans="2:7" x14ac:dyDescent="0.25">
      <c r="B112" s="32">
        <f t="shared" si="35"/>
        <v>2660</v>
      </c>
      <c r="C112" s="30">
        <f t="shared" si="31"/>
        <v>7.3414102564102564</v>
      </c>
      <c r="D112" s="31">
        <f>(1-C112%*28/360*SUM(D$18:D111))/(1+C112%*28/360)</f>
        <v>0.5815664443054045</v>
      </c>
      <c r="E112" s="30">
        <f t="shared" si="32"/>
        <v>9.7375125123684967</v>
      </c>
      <c r="F112" s="30">
        <f t="shared" si="33"/>
        <v>7.6115125918536863</v>
      </c>
      <c r="G112" s="30">
        <f t="shared" si="34"/>
        <v>7.8656241428786604</v>
      </c>
    </row>
    <row r="113" spans="2:7" x14ac:dyDescent="0.25">
      <c r="B113" s="32">
        <f t="shared" si="35"/>
        <v>2688</v>
      </c>
      <c r="C113" s="30">
        <f t="shared" si="31"/>
        <v>7.3455128205128206</v>
      </c>
      <c r="D113" s="31">
        <f>(1-C113%*28/360*SUM(D$18:D112))/(1+C113%*28/360)</f>
        <v>0.57803022437020024</v>
      </c>
      <c r="E113" s="30">
        <f t="shared" si="32"/>
        <v>9.7769643962319073</v>
      </c>
      <c r="F113" s="30">
        <f t="shared" si="33"/>
        <v>7.6171838342733889</v>
      </c>
      <c r="G113" s="30">
        <f t="shared" si="34"/>
        <v>7.8770409132643078</v>
      </c>
    </row>
    <row r="114" spans="2:7" x14ac:dyDescent="0.25">
      <c r="B114" s="32">
        <f t="shared" si="35"/>
        <v>2716</v>
      </c>
      <c r="C114" s="30">
        <f t="shared" si="31"/>
        <v>7.3496153846153849</v>
      </c>
      <c r="D114" s="31">
        <f>(1-C114%*28/360*SUM(D$18:D113))/(1+C114%*28/360)</f>
        <v>0.57451043598514839</v>
      </c>
      <c r="E114" s="30">
        <f t="shared" si="32"/>
        <v>9.816659462994064</v>
      </c>
      <c r="F114" s="30">
        <f t="shared" si="33"/>
        <v>7.622864333381818</v>
      </c>
      <c r="G114" s="30">
        <f t="shared" si="34"/>
        <v>7.8885072350726331</v>
      </c>
    </row>
    <row r="115" spans="2:7" x14ac:dyDescent="0.25">
      <c r="B115" s="32">
        <f t="shared" si="35"/>
        <v>2744</v>
      </c>
      <c r="C115" s="30">
        <f t="shared" si="31"/>
        <v>7.3537179487179491</v>
      </c>
      <c r="D115" s="31">
        <f>(1-C115%*28/360*SUM(D$18:D114))/(1+C115%*28/360)</f>
        <v>0.57100701920559682</v>
      </c>
      <c r="E115" s="30">
        <f t="shared" si="32"/>
        <v>9.8566000160713845</v>
      </c>
      <c r="F115" s="30">
        <f t="shared" si="33"/>
        <v>7.628554356160433</v>
      </c>
      <c r="G115" s="30">
        <f t="shared" si="34"/>
        <v>7.9000235641915362</v>
      </c>
    </row>
    <row r="116" spans="2:7" x14ac:dyDescent="0.25">
      <c r="B116" s="32">
        <f t="shared" si="35"/>
        <v>2772</v>
      </c>
      <c r="C116" s="30">
        <f t="shared" si="31"/>
        <v>7.3578205128205134</v>
      </c>
      <c r="D116" s="31">
        <f>(1-C116%*28/360*SUM(D$18:D115))/(1+C116%*28/360)</f>
        <v>0.56751991422021753</v>
      </c>
      <c r="E116" s="30">
        <f t="shared" si="32"/>
        <v>9.8967883767812221</v>
      </c>
      <c r="F116" s="30">
        <f t="shared" si="33"/>
        <v>7.6342541638316108</v>
      </c>
      <c r="G116" s="30">
        <f t="shared" si="34"/>
        <v>7.9115903616959118</v>
      </c>
    </row>
    <row r="117" spans="2:7" x14ac:dyDescent="0.25">
      <c r="B117" s="32">
        <f t="shared" si="35"/>
        <v>2800</v>
      </c>
      <c r="C117" s="30">
        <f t="shared" si="31"/>
        <v>7.3619230769230768</v>
      </c>
      <c r="D117" s="31">
        <f>(1-C117%*28/360*SUM(D$18:D116))/(1+C117%*28/360)</f>
        <v>0.56404906135119881</v>
      </c>
      <c r="E117" s="30">
        <f t="shared" si="32"/>
        <v>9.9372268849911549</v>
      </c>
      <c r="F117" s="30">
        <f t="shared" si="33"/>
        <v>7.6399640122034373</v>
      </c>
      <c r="G117" s="30">
        <f t="shared" si="34"/>
        <v>7.9232080939275784</v>
      </c>
    </row>
    <row r="118" spans="2:7" x14ac:dyDescent="0.25">
      <c r="B118" s="32">
        <f t="shared" si="35"/>
        <v>2828</v>
      </c>
      <c r="C118" s="30">
        <f t="shared" si="31"/>
        <v>7.3660256410256419</v>
      </c>
      <c r="D118" s="31">
        <f>(1-C118%*28/360*SUM(D$18:D117))/(1+C118%*28/360)</f>
        <v>0.56059440105443048</v>
      </c>
      <c r="E118" s="30">
        <f t="shared" si="32"/>
        <v>9.9779178997555995</v>
      </c>
      <c r="F118" s="30">
        <f t="shared" si="33"/>
        <v>7.6456841519949137</v>
      </c>
      <c r="G118" s="30">
        <f t="shared" si="34"/>
        <v>7.9348772325686614</v>
      </c>
    </row>
    <row r="119" spans="2:7" x14ac:dyDescent="0.25">
      <c r="B119" s="32">
        <f t="shared" si="35"/>
        <v>2856</v>
      </c>
      <c r="C119" s="30">
        <f t="shared" si="31"/>
        <v>7.3701282051282053</v>
      </c>
      <c r="D119" s="31">
        <f>(1-C119%*28/360*SUM(D$18:D118))/(1+C119%*28/360)</f>
        <v>0.55715587391968602</v>
      </c>
      <c r="E119" s="30">
        <f t="shared" si="32"/>
        <v>10.018863799940961</v>
      </c>
      <c r="F119" s="30">
        <f t="shared" si="33"/>
        <v>7.6514148291430439</v>
      </c>
      <c r="G119" s="30">
        <f t="shared" si="34"/>
        <v>7.9465982547120957</v>
      </c>
    </row>
    <row r="120" spans="2:7" x14ac:dyDescent="0.25">
      <c r="B120" s="32">
        <f t="shared" si="35"/>
        <v>2884</v>
      </c>
      <c r="C120" s="30">
        <f t="shared" si="31"/>
        <v>7.3742307692307696</v>
      </c>
      <c r="D120" s="31">
        <f>(1-C120%*28/360*SUM(D$18:D119))/(1+C120%*28/360)</f>
        <v>0.55373342067080289</v>
      </c>
      <c r="E120" s="30">
        <f t="shared" si="32"/>
        <v>10.060066984840551</v>
      </c>
      <c r="F120" s="30">
        <f t="shared" si="33"/>
        <v>7.6571562850923813</v>
      </c>
      <c r="G120" s="30">
        <f t="shared" si="34"/>
        <v>7.9583716429481353</v>
      </c>
    </row>
    <row r="121" spans="2:7" x14ac:dyDescent="0.25">
      <c r="B121" s="32">
        <f t="shared" si="35"/>
        <v>2912</v>
      </c>
      <c r="C121" s="30">
        <f t="shared" si="31"/>
        <v>7.3783333333333339</v>
      </c>
      <c r="D121" s="31">
        <f>(1-C121%*28/360*SUM(D$18:D120))/(1+C121%*28/360)</f>
        <v>0.55032698216585563</v>
      </c>
      <c r="E121" s="30">
        <f t="shared" si="32"/>
        <v>10.101529874780688</v>
      </c>
      <c r="F121" s="30">
        <f t="shared" si="33"/>
        <v>7.6629087570692311</v>
      </c>
      <c r="G121" s="30">
        <f t="shared" si="34"/>
        <v>7.9701978854294406</v>
      </c>
    </row>
    <row r="122" spans="2:7" x14ac:dyDescent="0.25">
      <c r="B122" s="32">
        <f t="shared" si="35"/>
        <v>2940</v>
      </c>
      <c r="C122" s="30">
        <f t="shared" si="31"/>
        <v>7.3824358974358972</v>
      </c>
      <c r="D122" s="31">
        <f>(1-C122%*28/360*SUM(D$18:D121))/(1+C122%*28/360)</f>
        <v>0.54693649939733058</v>
      </c>
      <c r="E122" s="30">
        <f t="shared" si="32"/>
        <v>10.143254911718762</v>
      </c>
      <c r="F122" s="30">
        <f t="shared" si="33"/>
        <v>7.6686724783404658</v>
      </c>
      <c r="G122" s="30">
        <f t="shared" si="34"/>
        <v>7.9820774759652915</v>
      </c>
    </row>
    <row r="123" spans="2:7" x14ac:dyDescent="0.25">
      <c r="B123" s="32">
        <f t="shared" si="35"/>
        <v>2968</v>
      </c>
      <c r="C123" s="30">
        <f t="shared" si="31"/>
        <v>7.3865384615384615</v>
      </c>
      <c r="D123" s="31">
        <f>(1-C123%*28/360*SUM(D$18:D122))/(1+C123%*28/360)</f>
        <v>0.54356191349229099</v>
      </c>
      <c r="E123" s="30">
        <f t="shared" si="32"/>
        <v>10.185244559834711</v>
      </c>
      <c r="F123" s="30">
        <f t="shared" si="33"/>
        <v>7.6744476784590399</v>
      </c>
      <c r="G123" s="30">
        <f t="shared" si="34"/>
        <v>7.9940109140886744</v>
      </c>
    </row>
    <row r="124" spans="2:7" x14ac:dyDescent="0.25">
      <c r="B124" s="32">
        <f t="shared" si="35"/>
        <v>2996</v>
      </c>
      <c r="C124" s="30">
        <f t="shared" si="31"/>
        <v>7.3906410256410258</v>
      </c>
      <c r="D124" s="31">
        <f>(1-C124%*28/360*SUM(D$18:D123))/(1+C124%*28/360)</f>
        <v>0.54020316571254445</v>
      </c>
      <c r="E124" s="30">
        <f t="shared" si="32"/>
        <v>10.227501306116515</v>
      </c>
      <c r="F124" s="30">
        <f t="shared" si="33"/>
        <v>7.6802345834960928</v>
      </c>
      <c r="G124" s="30">
        <f t="shared" si="34"/>
        <v>8.00599870514678</v>
      </c>
    </row>
    <row r="125" spans="2:7" x14ac:dyDescent="0.25">
      <c r="B125" s="32">
        <f t="shared" si="35"/>
        <v>3024</v>
      </c>
      <c r="C125" s="30">
        <f t="shared" si="31"/>
        <v>7.3947435897435909</v>
      </c>
      <c r="D125" s="31">
        <f>(1-C125%*28/360*SUM(D$18:D124))/(1+C125%*28/360)</f>
        <v>0.53686019745480273</v>
      </c>
      <c r="E125" s="30">
        <f t="shared" si="32"/>
        <v>10.270027660940897</v>
      </c>
      <c r="F125" s="30">
        <f t="shared" si="33"/>
        <v>7.6860334162613952</v>
      </c>
      <c r="G125" s="30">
        <f t="shared" si="34"/>
        <v>8.018041360383231</v>
      </c>
    </row>
    <row r="126" spans="2:7" x14ac:dyDescent="0.25">
      <c r="B126" s="32">
        <f t="shared" si="35"/>
        <v>3052</v>
      </c>
      <c r="C126" s="30">
        <f t="shared" si="31"/>
        <v>7.3988461538461543</v>
      </c>
      <c r="D126" s="31">
        <f>(1-C126%*28/360*SUM(D$18:D125))/(1+C126%*28/360)</f>
        <v>0.53353295025083947</v>
      </c>
      <c r="E126" s="30">
        <f t="shared" si="32"/>
        <v>10.312826158649973</v>
      </c>
      <c r="F126" s="30">
        <f t="shared" si="33"/>
        <v>7.6918443965122263</v>
      </c>
      <c r="G126" s="30">
        <f t="shared" si="34"/>
        <v>8.0301393970200046</v>
      </c>
    </row>
    <row r="127" spans="2:7" x14ac:dyDescent="0.25">
      <c r="B127" s="32">
        <f t="shared" si="35"/>
        <v>3080</v>
      </c>
      <c r="C127" s="30">
        <f t="shared" si="31"/>
        <v>7.4029487179487186</v>
      </c>
      <c r="D127" s="31">
        <f>(1-C127%*28/360*SUM(D$18:D126))/(1+C127%*28/360)</f>
        <v>0.53022136576764534</v>
      </c>
      <c r="E127" s="30">
        <f t="shared" si="32"/>
        <v>10.355899358124647</v>
      </c>
      <c r="F127" s="30">
        <f t="shared" si="33"/>
        <v>7.6976677411518812</v>
      </c>
      <c r="G127" s="30">
        <f t="shared" si="34"/>
        <v>8.0422933383482249</v>
      </c>
    </row>
    <row r="128" spans="2:7" x14ac:dyDescent="0.25">
      <c r="B128" s="32">
        <f t="shared" si="35"/>
        <v>3108</v>
      </c>
      <c r="C128" s="30">
        <f t="shared" si="31"/>
        <v>7.4070512820512819</v>
      </c>
      <c r="D128" s="31">
        <f>(1-C128%*28/360*SUM(D$18:D127))/(1+C128%*28/360)</f>
        <v>0.52692538580757775</v>
      </c>
      <c r="E128" s="30">
        <f t="shared" si="32"/>
        <v>10.399249843355639</v>
      </c>
      <c r="F128" s="30">
        <f t="shared" si="33"/>
        <v>7.703503664418232</v>
      </c>
      <c r="G128" s="30">
        <f t="shared" si="34"/>
        <v>8.0545037138129523</v>
      </c>
    </row>
    <row r="129" spans="2:7" x14ac:dyDescent="0.25">
      <c r="B129" s="32">
        <f t="shared" si="35"/>
        <v>3136</v>
      </c>
      <c r="C129" s="30">
        <f t="shared" si="31"/>
        <v>7.4111538461538462</v>
      </c>
      <c r="D129" s="31">
        <f>(1-C129%*28/360*SUM(D$18:D128))/(1+C129%*28/360)</f>
        <v>0.52364495230850905</v>
      </c>
      <c r="E129" s="30">
        <f t="shared" si="32"/>
        <v>10.442880224012706</v>
      </c>
      <c r="F129" s="30">
        <f t="shared" si="33"/>
        <v>7.709352378063028</v>
      </c>
      <c r="G129" s="30">
        <f t="shared" si="34"/>
        <v>8.0667710591045356</v>
      </c>
    </row>
    <row r="130" spans="2:7" x14ac:dyDescent="0.25">
      <c r="B130" s="32">
        <f t="shared" si="35"/>
        <v>3164</v>
      </c>
      <c r="C130" s="30">
        <f t="shared" si="31"/>
        <v>7.4152564102564114</v>
      </c>
      <c r="D130" s="31">
        <f>(1-C130%*28/360*SUM(D$18:D129))/(1+C130%*28/360)</f>
        <v>0.52038000734396983</v>
      </c>
      <c r="E130" s="30">
        <f t="shared" si="32"/>
        <v>10.486793136012905</v>
      </c>
      <c r="F130" s="30">
        <f t="shared" si="33"/>
        <v>7.7152140915226264</v>
      </c>
      <c r="G130" s="30">
        <f t="shared" si="34"/>
        <v>8.0790959162459721</v>
      </c>
    </row>
    <row r="131" spans="2:7" x14ac:dyDescent="0.25">
      <c r="B131" s="32">
        <f t="shared" si="35"/>
        <v>3192</v>
      </c>
      <c r="C131" s="30">
        <f t="shared" si="31"/>
        <v>7.4193589743589747</v>
      </c>
      <c r="D131" s="31">
        <f>(1-C131%*28/360*SUM(D$18:D130))/(1+C131%*28/360)</f>
        <v>0.51713049312329085</v>
      </c>
      <c r="E131" s="30">
        <f t="shared" si="32"/>
        <v>10.530991242088383</v>
      </c>
      <c r="F131" s="30">
        <f t="shared" si="33"/>
        <v>7.7210890120806175</v>
      </c>
      <c r="G131" s="30">
        <f t="shared" si="34"/>
        <v>8.0914788336939729</v>
      </c>
    </row>
    <row r="132" spans="2:7" x14ac:dyDescent="0.25">
      <c r="B132" s="32">
        <f t="shared" si="35"/>
        <v>3220</v>
      </c>
      <c r="C132" s="30">
        <f t="shared" si="31"/>
        <v>7.423461538461539</v>
      </c>
      <c r="D132" s="31">
        <f>(1-C132%*28/360*SUM(D$18:D131))/(1+C132%*28/360)</f>
        <v>0.513896351991738</v>
      </c>
      <c r="E132" s="30">
        <f t="shared" si="32"/>
        <v>10.57547723235459</v>
      </c>
      <c r="F132" s="30">
        <f t="shared" si="33"/>
        <v>7.7269773450227675</v>
      </c>
      <c r="G132" s="30">
        <f t="shared" si="34"/>
        <v>8.1039203664228872</v>
      </c>
    </row>
    <row r="133" spans="2:7" x14ac:dyDescent="0.25">
      <c r="B133" s="32">
        <f t="shared" si="35"/>
        <v>3248</v>
      </c>
      <c r="C133" s="30">
        <f t="shared" si="31"/>
        <v>7.4275641025641015</v>
      </c>
      <c r="D133" s="31">
        <f>(1-C133%*28/360*SUM(D$18:D132))/(1+C133%*28/360)</f>
        <v>0.5106775264306479</v>
      </c>
      <c r="E133" s="30">
        <f t="shared" si="32"/>
        <v>10.620253824879104</v>
      </c>
      <c r="F133" s="30">
        <f t="shared" si="33"/>
        <v>7.7328792937849222</v>
      </c>
      <c r="G133" s="30">
        <f t="shared" si="34"/>
        <v>8.1164210760289137</v>
      </c>
    </row>
    <row r="134" spans="2:7" x14ac:dyDescent="0.25">
      <c r="B134" s="32">
        <f t="shared" si="35"/>
        <v>3276</v>
      </c>
      <c r="C134" s="30">
        <f t="shared" si="31"/>
        <v>7.4316666666666675</v>
      </c>
      <c r="D134" s="31">
        <f>(1-C134%*28/360*SUM(D$18:D133))/(1+C134%*28/360)</f>
        <v>0.50747395905755743</v>
      </c>
      <c r="E134" s="30">
        <f t="shared" si="32"/>
        <v>10.66532376625203</v>
      </c>
      <c r="F134" s="30">
        <f t="shared" si="33"/>
        <v>7.7387950600942279</v>
      </c>
      <c r="G134" s="30">
        <f t="shared" si="34"/>
        <v>8.1289815308237383</v>
      </c>
    </row>
    <row r="135" spans="2:7" x14ac:dyDescent="0.25">
      <c r="B135" s="32">
        <f t="shared" si="35"/>
        <v>3304</v>
      </c>
      <c r="C135" s="30">
        <f t="shared" si="31"/>
        <v>7.4357692307692309</v>
      </c>
      <c r="D135" s="31">
        <f>(1-C135%*28/360*SUM(D$18:D134))/(1+C135%*28/360)</f>
        <v>0.50428559262633077</v>
      </c>
      <c r="E135" s="30">
        <f t="shared" si="32"/>
        <v>10.710689832158291</v>
      </c>
      <c r="F135" s="30">
        <f t="shared" si="33"/>
        <v>7.744724844104045</v>
      </c>
      <c r="G135" s="30">
        <f t="shared" si="34"/>
        <v>8.1416023059330183</v>
      </c>
    </row>
    <row r="136" spans="2:7" x14ac:dyDescent="0.25">
      <c r="B136" s="32">
        <f t="shared" si="35"/>
        <v>3332</v>
      </c>
      <c r="C136" s="30">
        <f t="shared" si="31"/>
        <v>7.4398717948717952</v>
      </c>
      <c r="D136" s="31">
        <f>(1-C136%*28/360*SUM(D$18:D135))/(1+C136%*28/360)</f>
        <v>0.50111237002728415</v>
      </c>
      <c r="E136" s="30">
        <f t="shared" si="32"/>
        <v>10.75635482795232</v>
      </c>
      <c r="F136" s="30">
        <f t="shared" si="33"/>
        <v>7.7506688445230232</v>
      </c>
      <c r="G136" s="30">
        <f t="shared" si="34"/>
        <v>8.154283983402598</v>
      </c>
    </row>
    <row r="137" spans="2:7" x14ac:dyDescent="0.25">
      <c r="B137" s="32">
        <f t="shared" si="35"/>
        <v>3360</v>
      </c>
      <c r="C137" s="30">
        <f t="shared" si="31"/>
        <v>7.4439743589743586</v>
      </c>
      <c r="D137" s="31">
        <f>(1-C137%*28/360*SUM(D$18:D136))/(1+C137%*28/360)</f>
        <v>0.49795423428730462</v>
      </c>
      <c r="E137" s="30">
        <f t="shared" si="32"/>
        <v>10.802321589235865</v>
      </c>
      <c r="F137" s="30">
        <f t="shared" si="33"/>
        <v>7.7566272587386242</v>
      </c>
      <c r="G137" s="30">
        <f t="shared" si="34"/>
        <v>8.1670271522961304</v>
      </c>
    </row>
    <row r="138" spans="2:7" x14ac:dyDescent="0.25">
      <c r="B138" s="32">
        <f t="shared" si="35"/>
        <v>3388</v>
      </c>
      <c r="C138" s="30">
        <f t="shared" si="31"/>
        <v>7.4480769230769237</v>
      </c>
      <c r="D138" s="31">
        <f>(1-C138%*28/360*SUM(D$18:D137))/(1+C138%*28/360)</f>
        <v>0.49481112856996856</v>
      </c>
      <c r="E138" s="30">
        <f t="shared" si="32"/>
        <v>10.848592982439103</v>
      </c>
      <c r="F138" s="30">
        <f t="shared" si="33"/>
        <v>7.7626002829354501</v>
      </c>
      <c r="G138" s="30">
        <f t="shared" si="34"/>
        <v>8.1798324088009995</v>
      </c>
    </row>
    <row r="139" spans="2:7" x14ac:dyDescent="0.25">
      <c r="B139" s="32">
        <f t="shared" si="35"/>
        <v>3416</v>
      </c>
      <c r="C139" s="30">
        <f t="shared" si="31"/>
        <v>7.452179487179488</v>
      </c>
      <c r="D139" s="31">
        <f>(1-C139%*28/360*SUM(D$18:D138))/(1+C139%*28/360)</f>
        <v>0.49168299617565542</v>
      </c>
      <c r="E139" s="30">
        <f t="shared" si="32"/>
        <v>10.895171905405729</v>
      </c>
      <c r="F139" s="30">
        <f t="shared" si="33"/>
        <v>7.7685881122087963</v>
      </c>
      <c r="G139" s="30">
        <f t="shared" si="34"/>
        <v>8.1927003563399463</v>
      </c>
    </row>
    <row r="140" spans="2:7" x14ac:dyDescent="0.25">
      <c r="B140" s="32">
        <f t="shared" si="35"/>
        <v>3444</v>
      </c>
      <c r="C140" s="30">
        <f t="shared" si="31"/>
        <v>7.4562820512820513</v>
      </c>
      <c r="D140" s="31">
        <f>(1-C140%*28/360*SUM(D$18:D139))/(1+C140%*28/360)</f>
        <v>0.48856978054165723</v>
      </c>
      <c r="E140" s="30">
        <f t="shared" si="32"/>
        <v>10.942061287982463</v>
      </c>
      <c r="F140" s="30">
        <f t="shared" si="33"/>
        <v>7.7745909406734759</v>
      </c>
      <c r="G140" s="30">
        <f t="shared" si="34"/>
        <v>8.2056316056718455</v>
      </c>
    </row>
    <row r="141" spans="2:7" x14ac:dyDescent="0.25">
      <c r="B141" s="32">
        <f t="shared" si="35"/>
        <v>3472</v>
      </c>
      <c r="C141" s="30">
        <f t="shared" si="31"/>
        <v>7.4603846153846156</v>
      </c>
      <c r="D141" s="31">
        <f>(1-C141%*28/360*SUM(D$18:D140))/(1+C141%*28/360)</f>
        <v>0.4854714252422872</v>
      </c>
      <c r="E141" s="30">
        <f t="shared" si="32"/>
        <v>10.989264092613277</v>
      </c>
      <c r="F141" s="30">
        <f t="shared" si="33"/>
        <v>7.7806089615684249</v>
      </c>
      <c r="G141" s="30">
        <f t="shared" si="34"/>
        <v>8.2186267750078894</v>
      </c>
    </row>
    <row r="142" spans="2:7" x14ac:dyDescent="0.25">
      <c r="B142" s="32">
        <f t="shared" si="35"/>
        <v>3500</v>
      </c>
      <c r="C142" s="30">
        <f t="shared" si="31"/>
        <v>7.4644871794871799</v>
      </c>
      <c r="D142" s="31">
        <f>(1-C142%*28/360*SUM(D$18:D141))/(1+C142%*28/360)</f>
        <v>0.48238787398898331</v>
      </c>
      <c r="E142" s="30">
        <f t="shared" si="32"/>
        <v>11.036783314938896</v>
      </c>
      <c r="F142" s="30">
        <f t="shared" si="33"/>
        <v>7.7866423673573326</v>
      </c>
      <c r="G142" s="30">
        <f t="shared" si="34"/>
        <v>8.231686490122943</v>
      </c>
    </row>
    <row r="143" spans="2:7" x14ac:dyDescent="0.25">
      <c r="B143" s="32">
        <f t="shared" si="35"/>
        <v>3528</v>
      </c>
      <c r="C143" s="30">
        <f t="shared" si="31"/>
        <v>7.4685897435897441</v>
      </c>
      <c r="D143" s="31">
        <f>(1-C143%*28/360*SUM(D$18:D142))/(1+C143%*28/360)</f>
        <v>0.47931907063040924</v>
      </c>
      <c r="E143" s="30">
        <f t="shared" si="32"/>
        <v>11.084621984401997</v>
      </c>
      <c r="F143" s="30">
        <f t="shared" si="33"/>
        <v>7.7926913498252759</v>
      </c>
      <c r="G143" s="30">
        <f t="shared" si="34"/>
        <v>8.2448113844702924</v>
      </c>
    </row>
    <row r="144" spans="2:7" x14ac:dyDescent="0.25">
      <c r="B144" s="32">
        <f t="shared" si="35"/>
        <v>3556</v>
      </c>
      <c r="C144" s="30">
        <f t="shared" si="31"/>
        <v>7.4726923076923084</v>
      </c>
      <c r="D144" s="31">
        <f>(1-C144%*28/360*SUM(D$18:D143))/(1+C144%*28/360)</f>
        <v>0.47626495915255185</v>
      </c>
      <c r="E144" s="30">
        <f t="shared" si="32"/>
        <v>11.132783164858404</v>
      </c>
      <c r="F144" s="30">
        <f t="shared" si="33"/>
        <v>7.7987561001719996</v>
      </c>
      <c r="G144" s="30">
        <f t="shared" si="34"/>
        <v>8.2580020992952807</v>
      </c>
    </row>
    <row r="145" spans="2:7" x14ac:dyDescent="0.25">
      <c r="B145" s="32">
        <f t="shared" si="35"/>
        <v>3584</v>
      </c>
      <c r="C145" s="30">
        <f t="shared" si="31"/>
        <v>7.4767948717948727</v>
      </c>
      <c r="D145" s="31">
        <f>(1-C145%*28/360*SUM(D$18:D144))/(1+C145%*28/360)</f>
        <v>0.47322548367881651</v>
      </c>
      <c r="E145" s="30">
        <f t="shared" si="32"/>
        <v>11.181269955194763</v>
      </c>
      <c r="F145" s="30">
        <f t="shared" si="33"/>
        <v>7.8048368091017339</v>
      </c>
      <c r="G145" s="30">
        <f t="shared" si="34"/>
        <v>8.2712592837589209</v>
      </c>
    </row>
    <row r="146" spans="2:7" x14ac:dyDescent="0.25">
      <c r="B146" s="32">
        <f t="shared" si="35"/>
        <v>3612</v>
      </c>
      <c r="C146" s="30">
        <f t="shared" si="31"/>
        <v>7.4808974358974361</v>
      </c>
      <c r="D146" s="31">
        <f>(1-C146%*28/360*SUM(D$18:D145))/(1+C146%*28/360)</f>
        <v>0.47020058847011803</v>
      </c>
      <c r="E146" s="30">
        <f t="shared" si="32"/>
        <v>11.230085489953069</v>
      </c>
      <c r="F146" s="30">
        <f t="shared" si="33"/>
        <v>7.8109336669097473</v>
      </c>
      <c r="G146" s="30">
        <f t="shared" si="34"/>
        <v>8.2845835950575069</v>
      </c>
    </row>
    <row r="147" spans="2:7" x14ac:dyDescent="0.25">
      <c r="B147" s="32">
        <f t="shared" si="35"/>
        <v>3640</v>
      </c>
      <c r="C147" s="30">
        <f t="shared" ref="C147" si="36">+interpLin(B147,$B$5:$B$15,$F$5:$F$15)</f>
        <v>7.4850000000000003</v>
      </c>
      <c r="D147" s="31">
        <f>(1-C147%*28/360*SUM(D$18:D146))/(1+C147%*28/360)</f>
        <v>0.46719021792496823</v>
      </c>
      <c r="E147" s="30">
        <f t="shared" si="32"/>
        <v>11.279232939962512</v>
      </c>
      <c r="F147" s="30">
        <f t="shared" si="33"/>
        <v>7.8170468635661905</v>
      </c>
      <c r="G147" s="30"/>
    </row>
    <row r="148" spans="2:7" x14ac:dyDescent="0.25">
      <c r="B148" s="12"/>
    </row>
    <row r="149" spans="2:7" x14ac:dyDescent="0.25">
      <c r="B149" s="12"/>
    </row>
  </sheetData>
  <mergeCells count="2">
    <mergeCell ref="I3:K3"/>
    <mergeCell ref="B3:D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74CCE-8252-46C1-A58C-1C65C2DF6176}">
  <sheetPr codeName="Hoja2"/>
  <dimension ref="B2:U260"/>
  <sheetViews>
    <sheetView showGridLines="0" tabSelected="1" workbookViewId="0">
      <selection activeCell="J5" sqref="J5"/>
    </sheetView>
  </sheetViews>
  <sheetFormatPr baseColWidth="10" defaultRowHeight="15" x14ac:dyDescent="0.25"/>
  <cols>
    <col min="1" max="1" width="2.5703125" customWidth="1"/>
    <col min="3" max="3" width="15.7109375" bestFit="1" customWidth="1"/>
    <col min="5" max="6" width="11.85546875" style="23" customWidth="1"/>
    <col min="7" max="8" width="11" style="23" customWidth="1"/>
    <col min="9" max="12" width="11" style="23"/>
    <col min="14" max="14" width="11.42578125" bestFit="1" customWidth="1"/>
  </cols>
  <sheetData>
    <row r="2" spans="2:21" x14ac:dyDescent="0.25">
      <c r="B2" s="19" t="s">
        <v>22</v>
      </c>
      <c r="E2" s="22" t="s">
        <v>4</v>
      </c>
      <c r="N2" s="19" t="s">
        <v>3</v>
      </c>
    </row>
    <row r="3" spans="2:21" x14ac:dyDescent="0.25">
      <c r="B3" s="17" t="s">
        <v>23</v>
      </c>
      <c r="C3" s="18" t="s">
        <v>24</v>
      </c>
      <c r="E3" s="21" t="s">
        <v>29</v>
      </c>
      <c r="F3" s="21" t="s">
        <v>30</v>
      </c>
      <c r="G3" s="21" t="s">
        <v>31</v>
      </c>
      <c r="H3" s="21" t="s">
        <v>36</v>
      </c>
      <c r="I3" s="21" t="s">
        <v>32</v>
      </c>
      <c r="J3" s="21" t="s">
        <v>41</v>
      </c>
      <c r="K3" s="21" t="s">
        <v>33</v>
      </c>
      <c r="L3" s="21" t="s">
        <v>34</v>
      </c>
      <c r="N3" s="21" t="s">
        <v>29</v>
      </c>
      <c r="O3" s="21" t="s">
        <v>30</v>
      </c>
      <c r="P3" s="21" t="s">
        <v>31</v>
      </c>
      <c r="Q3" s="21" t="s">
        <v>36</v>
      </c>
      <c r="R3" s="21" t="s">
        <v>32</v>
      </c>
      <c r="S3" s="21" t="s">
        <v>12</v>
      </c>
      <c r="T3" s="21" t="s">
        <v>33</v>
      </c>
      <c r="U3" s="21" t="s">
        <v>34</v>
      </c>
    </row>
    <row r="4" spans="2:21" x14ac:dyDescent="0.25">
      <c r="B4" s="17" t="s">
        <v>25</v>
      </c>
      <c r="C4" s="18">
        <f>28*13*5</f>
        <v>1820</v>
      </c>
      <c r="E4" s="24">
        <f ca="1">+TODAY()</f>
        <v>43780</v>
      </c>
      <c r="F4" s="24">
        <f t="shared" ref="F4:F35" ca="1" si="0">+E4+28</f>
        <v>43808</v>
      </c>
      <c r="G4" s="25">
        <f t="shared" ref="G4:G35" ca="1" si="1">+F4-$E$4</f>
        <v>28</v>
      </c>
      <c r="H4" s="25">
        <f t="shared" ref="H4:H35" si="2">+$C$12</f>
        <v>7.22</v>
      </c>
      <c r="I4" s="29">
        <f>+$C$5*H4%*28/360</f>
        <v>561555.5555555555</v>
      </c>
      <c r="J4" s="28">
        <f ca="1">+interpLin(G4,Hoja1!$B$18:$B$147,Hoja1!$F$18:$F$147)</f>
        <v>8.8169292241950359</v>
      </c>
      <c r="K4" s="27">
        <f t="shared" ref="K4:K35" ca="1" si="3">+(1+J4%)^(-G4/360)</f>
        <v>0.99344957981222148</v>
      </c>
      <c r="L4" s="29">
        <f ca="1">+K4*I4</f>
        <v>557877.13070788526</v>
      </c>
      <c r="N4" s="24">
        <f ca="1">+TODAY()</f>
        <v>43780</v>
      </c>
      <c r="O4" s="24">
        <f ca="1">+N4+28</f>
        <v>43808</v>
      </c>
      <c r="P4" s="25">
        <f t="shared" ref="P4:P35" ca="1" si="4">+O4-$E$4</f>
        <v>28</v>
      </c>
      <c r="Q4" s="25">
        <f ca="1">100*(1/T4-1)*360/28+$C$17%</f>
        <v>8.4775000000000098</v>
      </c>
      <c r="R4" s="29">
        <f ca="1">+$C$5*Q4%*28/360</f>
        <v>659361.11111111182</v>
      </c>
      <c r="S4" s="28">
        <f ca="1">+interpLin(P4,Hoja1!$B$18:$B$147,Hoja1!$F$18:$F$147)</f>
        <v>8.8169292241950359</v>
      </c>
      <c r="T4" s="27">
        <f ca="1">+(1+S4%)^(-P4/360)</f>
        <v>0.99344957981222148</v>
      </c>
      <c r="U4" s="29">
        <f ca="1">+T4*R4</f>
        <v>655042.01877785358</v>
      </c>
    </row>
    <row r="5" spans="2:21" x14ac:dyDescent="0.25">
      <c r="B5" s="17" t="s">
        <v>26</v>
      </c>
      <c r="C5" s="18">
        <v>100000000</v>
      </c>
      <c r="E5" s="24">
        <f t="shared" ref="E5:E36" ca="1" si="5">+F4</f>
        <v>43808</v>
      </c>
      <c r="F5" s="24">
        <f t="shared" ca="1" si="0"/>
        <v>43836</v>
      </c>
      <c r="G5" s="25">
        <f t="shared" ca="1" si="1"/>
        <v>56</v>
      </c>
      <c r="H5" s="25">
        <f t="shared" si="2"/>
        <v>7.22</v>
      </c>
      <c r="I5" s="29">
        <f t="shared" ref="I5:I68" si="6">+$C$5*H5%*28/360</f>
        <v>561555.5555555555</v>
      </c>
      <c r="J5" s="28">
        <f ca="1">+interpLin(G5,Hoja1!$B$18:$B$147,Hoja1!$F$18:$F$147)</f>
        <v>8.7532273247356471</v>
      </c>
      <c r="K5" s="27">
        <f t="shared" ca="1" si="3"/>
        <v>0.98703197183991098</v>
      </c>
      <c r="L5" s="29">
        <f t="shared" ref="L5:L68" ca="1" si="7">+K5*I5</f>
        <v>554273.28729765664</v>
      </c>
      <c r="N5" s="24">
        <f ca="1">+O4</f>
        <v>43808</v>
      </c>
      <c r="O5" s="24">
        <f ca="1">+N5+28</f>
        <v>43836</v>
      </c>
      <c r="P5" s="25">
        <f t="shared" ca="1" si="4"/>
        <v>56</v>
      </c>
      <c r="Q5" s="25">
        <f t="shared" ref="Q5:Q36" ca="1" si="8">100*(T4/T5-1)*360/28+$C$17%</f>
        <v>8.359618011899375</v>
      </c>
      <c r="R5" s="29">
        <f t="shared" ref="R5:R68" ca="1" si="9">+$C$5*Q5%*28/360</f>
        <v>650192.51203661808</v>
      </c>
      <c r="S5" s="28">
        <f ca="1">+interpLin(P5,Hoja1!$B$18:$B$147,Hoja1!$F$18:$F$147)</f>
        <v>8.7532273247356471</v>
      </c>
      <c r="T5" s="27">
        <f ca="1">+(1+S5%)^(-P5/360)</f>
        <v>0.98703197183991098</v>
      </c>
      <c r="U5" s="29">
        <f t="shared" ref="U5:U6" ca="1" si="10">+T5*R5</f>
        <v>641760.79723104823</v>
      </c>
    </row>
    <row r="6" spans="2:21" x14ac:dyDescent="0.25">
      <c r="B6" s="17" t="s">
        <v>37</v>
      </c>
      <c r="C6" s="18" t="s">
        <v>38</v>
      </c>
      <c r="E6" s="24">
        <f t="shared" ca="1" si="5"/>
        <v>43836</v>
      </c>
      <c r="F6" s="24">
        <f t="shared" ca="1" si="0"/>
        <v>43864</v>
      </c>
      <c r="G6" s="25">
        <f t="shared" ca="1" si="1"/>
        <v>84</v>
      </c>
      <c r="H6" s="25">
        <f>+$C$12</f>
        <v>7.22</v>
      </c>
      <c r="I6" s="29">
        <f t="shared" si="6"/>
        <v>561555.5555555555</v>
      </c>
      <c r="J6" s="28">
        <f ca="1">+interpLin(G6,Hoja1!$B$18:$B$147,Hoja1!$F$18:$F$147)</f>
        <v>8.6894243481899114</v>
      </c>
      <c r="K6" s="27">
        <f t="shared" ca="1" si="3"/>
        <v>0.98074544402367236</v>
      </c>
      <c r="L6" s="29">
        <f t="shared" ca="1" si="7"/>
        <v>550743.05267729331</v>
      </c>
      <c r="N6" s="24">
        <f ca="1">+O5</f>
        <v>43836</v>
      </c>
      <c r="O6" s="24">
        <f ca="1">+N6+28</f>
        <v>43864</v>
      </c>
      <c r="P6" s="25">
        <f t="shared" ca="1" si="4"/>
        <v>84</v>
      </c>
      <c r="Q6" s="25">
        <f t="shared" ca="1" si="8"/>
        <v>8.2413623944227314</v>
      </c>
      <c r="R6" s="29">
        <f t="shared" ca="1" si="9"/>
        <v>640994.8528995458</v>
      </c>
      <c r="S6" s="28">
        <f ca="1">+interpLin(P6,Hoja1!$B$18:$B$147,Hoja1!$F$18:$F$147)</f>
        <v>8.6894243481899114</v>
      </c>
      <c r="T6" s="27">
        <f ca="1">+(1+S6%)^(-P6/360)</f>
        <v>0.98074544402367236</v>
      </c>
      <c r="U6" s="29">
        <f t="shared" ca="1" si="10"/>
        <v>628652.7816238536</v>
      </c>
    </row>
    <row r="7" spans="2:21" x14ac:dyDescent="0.25">
      <c r="B7" s="17" t="s">
        <v>35</v>
      </c>
      <c r="C7" s="33">
        <f ca="1">+IF(C6="Payer",C18-C13,C13-C18)</f>
        <v>5.2154064178466797E-8</v>
      </c>
      <c r="E7" s="24">
        <f t="shared" ca="1" si="5"/>
        <v>43864</v>
      </c>
      <c r="F7" s="24">
        <f t="shared" ca="1" si="0"/>
        <v>43892</v>
      </c>
      <c r="G7" s="25">
        <f t="shared" ca="1" si="1"/>
        <v>112</v>
      </c>
      <c r="H7" s="25">
        <f t="shared" si="2"/>
        <v>7.22</v>
      </c>
      <c r="I7" s="29">
        <f t="shared" si="6"/>
        <v>561555.5555555555</v>
      </c>
      <c r="J7" s="28">
        <f ca="1">+interpLin(G7,Hoja1!$B$18:$B$147,Hoja1!$F$18:$F$147)</f>
        <v>8.6405067991105469</v>
      </c>
      <c r="K7" s="27">
        <f t="shared" ca="1" si="3"/>
        <v>0.97454647832729446</v>
      </c>
      <c r="L7" s="29">
        <f t="shared" ca="1" si="7"/>
        <v>547261.98905179393</v>
      </c>
      <c r="N7" s="24">
        <f t="shared" ref="N7:N68" ca="1" si="11">+O6</f>
        <v>43864</v>
      </c>
      <c r="O7" s="24">
        <f t="shared" ref="O7:O68" ca="1" si="12">+N7+28</f>
        <v>43892</v>
      </c>
      <c r="P7" s="25">
        <f t="shared" ca="1" si="4"/>
        <v>112</v>
      </c>
      <c r="Q7" s="25">
        <f t="shared" ca="1" si="8"/>
        <v>8.1782643821830217</v>
      </c>
      <c r="R7" s="29">
        <f t="shared" ca="1" si="9"/>
        <v>636087.22972534609</v>
      </c>
      <c r="S7" s="28">
        <f ca="1">+interpLin(P7,Hoja1!$B$18:$B$147,Hoja1!$F$18:$F$147)</f>
        <v>8.6405067991105469</v>
      </c>
      <c r="T7" s="27">
        <f t="shared" ref="T7:T68" ca="1" si="13">+(1+S7%)^(-P7/360)</f>
        <v>0.97454647832729446</v>
      </c>
      <c r="U7" s="29">
        <f t="shared" ref="U7:U68" ca="1" si="14">+T7*R7</f>
        <v>619896.5696378008</v>
      </c>
    </row>
    <row r="8" spans="2:21" x14ac:dyDescent="0.25">
      <c r="E8" s="24">
        <f t="shared" ca="1" si="5"/>
        <v>43892</v>
      </c>
      <c r="F8" s="24">
        <f t="shared" ca="1" si="0"/>
        <v>43920</v>
      </c>
      <c r="G8" s="25">
        <f t="shared" ca="1" si="1"/>
        <v>140</v>
      </c>
      <c r="H8" s="25">
        <f t="shared" si="2"/>
        <v>7.22</v>
      </c>
      <c r="I8" s="29">
        <f t="shared" si="6"/>
        <v>561555.5555555555</v>
      </c>
      <c r="J8" s="28">
        <f ca="1">+interpLin(G8,Hoja1!$B$18:$B$147,Hoja1!$F$18:$F$147)</f>
        <v>8.5914947455698822</v>
      </c>
      <c r="K8" s="27">
        <f t="shared" ca="1" si="3"/>
        <v>0.96845491318507526</v>
      </c>
      <c r="L8" s="29">
        <f t="shared" ca="1" si="7"/>
        <v>543841.23680415226</v>
      </c>
      <c r="N8" s="24">
        <f t="shared" ca="1" si="11"/>
        <v>43892</v>
      </c>
      <c r="O8" s="24">
        <f t="shared" ca="1" si="12"/>
        <v>43920</v>
      </c>
      <c r="P8" s="25">
        <f t="shared" ca="1" si="4"/>
        <v>140</v>
      </c>
      <c r="Q8" s="25">
        <f t="shared" ca="1" si="8"/>
        <v>8.0871212681986755</v>
      </c>
      <c r="R8" s="29">
        <f t="shared" ca="1" si="9"/>
        <v>628998.32085989695</v>
      </c>
      <c r="S8" s="28">
        <f ca="1">+interpLin(P8,Hoja1!$B$18:$B$147,Hoja1!$F$18:$F$147)</f>
        <v>8.5914947455698822</v>
      </c>
      <c r="T8" s="27">
        <f t="shared" ca="1" si="13"/>
        <v>0.96845491318507526</v>
      </c>
      <c r="U8" s="29">
        <f t="shared" ca="1" si="14"/>
        <v>609156.5142219296</v>
      </c>
    </row>
    <row r="9" spans="2:21" x14ac:dyDescent="0.25">
      <c r="E9" s="24">
        <f t="shared" ca="1" si="5"/>
        <v>43920</v>
      </c>
      <c r="F9" s="24">
        <f t="shared" ca="1" si="0"/>
        <v>43948</v>
      </c>
      <c r="G9" s="25">
        <f t="shared" ca="1" si="1"/>
        <v>168</v>
      </c>
      <c r="H9" s="25">
        <f t="shared" si="2"/>
        <v>7.22</v>
      </c>
      <c r="I9" s="29">
        <f t="shared" si="6"/>
        <v>561555.5555555555</v>
      </c>
      <c r="J9" s="28">
        <f ca="1">+interpLin(G9,Hoja1!$B$18:$B$147,Hoja1!$F$18:$F$147)</f>
        <v>8.5423961471055243</v>
      </c>
      <c r="K9" s="27">
        <f t="shared" ca="1" si="3"/>
        <v>0.96246943035057841</v>
      </c>
      <c r="L9" s="29">
        <f t="shared" ca="1" si="7"/>
        <v>540480.05566575809</v>
      </c>
      <c r="N9" s="24">
        <f t="shared" ca="1" si="11"/>
        <v>43920</v>
      </c>
      <c r="O9" s="24">
        <f t="shared" ca="1" si="12"/>
        <v>43948</v>
      </c>
      <c r="P9" s="25">
        <f t="shared" ca="1" si="4"/>
        <v>168</v>
      </c>
      <c r="Q9" s="25">
        <f t="shared" ca="1" si="8"/>
        <v>7.9957041174878771</v>
      </c>
      <c r="R9" s="29">
        <f t="shared" ca="1" si="9"/>
        <v>621888.09802683489</v>
      </c>
      <c r="S9" s="28">
        <f ca="1">+interpLin(P9,Hoja1!$B$18:$B$147,Hoja1!$F$18:$F$147)</f>
        <v>8.5423961471055243</v>
      </c>
      <c r="T9" s="27">
        <f t="shared" ca="1" si="13"/>
        <v>0.96246943035057841</v>
      </c>
      <c r="U9" s="29">
        <f t="shared" ca="1" si="14"/>
        <v>598548.28344969242</v>
      </c>
    </row>
    <row r="10" spans="2:21" x14ac:dyDescent="0.25">
      <c r="E10" s="24">
        <f t="shared" ca="1" si="5"/>
        <v>43948</v>
      </c>
      <c r="F10" s="24">
        <f t="shared" ca="1" si="0"/>
        <v>43976</v>
      </c>
      <c r="G10" s="25">
        <f t="shared" ca="1" si="1"/>
        <v>196</v>
      </c>
      <c r="H10" s="25">
        <f t="shared" si="2"/>
        <v>7.22</v>
      </c>
      <c r="I10" s="29">
        <f t="shared" si="6"/>
        <v>561555.5555555555</v>
      </c>
      <c r="J10" s="28">
        <f ca="1">+interpLin(G10,Hoja1!$B$18:$B$147,Hoja1!$F$18:$F$147)</f>
        <v>8.4913843487012475</v>
      </c>
      <c r="K10" s="27">
        <f t="shared" ca="1" si="3"/>
        <v>0.95659752376326246</v>
      </c>
      <c r="L10" s="29">
        <f t="shared" ca="1" si="7"/>
        <v>537182.65389994753</v>
      </c>
      <c r="N10" s="24">
        <f t="shared" ca="1" si="11"/>
        <v>43948</v>
      </c>
      <c r="O10" s="24">
        <f t="shared" ca="1" si="12"/>
        <v>43976</v>
      </c>
      <c r="P10" s="25">
        <f t="shared" ca="1" si="4"/>
        <v>196</v>
      </c>
      <c r="Q10" s="25">
        <f t="shared" ca="1" si="8"/>
        <v>7.8921322668616636</v>
      </c>
      <c r="R10" s="29">
        <f t="shared" ca="1" si="9"/>
        <v>613832.50964479602</v>
      </c>
      <c r="S10" s="28">
        <f ca="1">+interpLin(P10,Hoja1!$B$18:$B$147,Hoja1!$F$18:$F$147)</f>
        <v>8.4913843487012475</v>
      </c>
      <c r="T10" s="27">
        <f t="shared" ca="1" si="13"/>
        <v>0.95659752376326246</v>
      </c>
      <c r="U10" s="29">
        <f t="shared" ca="1" si="14"/>
        <v>587190.65873160085</v>
      </c>
    </row>
    <row r="11" spans="2:21" x14ac:dyDescent="0.25">
      <c r="B11" s="19" t="s">
        <v>4</v>
      </c>
      <c r="E11" s="24">
        <f t="shared" ca="1" si="5"/>
        <v>43976</v>
      </c>
      <c r="F11" s="24">
        <f t="shared" ca="1" si="0"/>
        <v>44004</v>
      </c>
      <c r="G11" s="25">
        <f t="shared" ca="1" si="1"/>
        <v>224</v>
      </c>
      <c r="H11" s="25">
        <f t="shared" si="2"/>
        <v>7.22</v>
      </c>
      <c r="I11" s="29">
        <f t="shared" si="6"/>
        <v>561555.5555555555</v>
      </c>
      <c r="J11" s="28">
        <f ca="1">+interpLin(G11,Hoja1!$B$18:$B$147,Hoja1!$F$18:$F$147)</f>
        <v>8.4402938680678616</v>
      </c>
      <c r="K11" s="27">
        <f t="shared" ca="1" si="3"/>
        <v>0.95083152686509065</v>
      </c>
      <c r="L11" s="29">
        <f t="shared" ca="1" si="7"/>
        <v>533944.72630846302</v>
      </c>
      <c r="N11" s="24">
        <f t="shared" ca="1" si="11"/>
        <v>43976</v>
      </c>
      <c r="O11" s="24">
        <f t="shared" ca="1" si="12"/>
        <v>44004</v>
      </c>
      <c r="P11" s="25">
        <f t="shared" ca="1" si="4"/>
        <v>224</v>
      </c>
      <c r="Q11" s="25">
        <f t="shared" ca="1" si="8"/>
        <v>7.7967803695003619</v>
      </c>
      <c r="R11" s="29">
        <f t="shared" ca="1" si="9"/>
        <v>606416.25096113922</v>
      </c>
      <c r="S11" s="28">
        <f ca="1">+interpLin(P11,Hoja1!$B$18:$B$147,Hoja1!$F$18:$F$147)</f>
        <v>8.4402938680678616</v>
      </c>
      <c r="T11" s="27">
        <f t="shared" ca="1" si="13"/>
        <v>0.95083152686509065</v>
      </c>
      <c r="U11" s="29">
        <f t="shared" ca="1" si="14"/>
        <v>576599.689817184</v>
      </c>
    </row>
    <row r="12" spans="2:21" x14ac:dyDescent="0.25">
      <c r="B12" s="17" t="s">
        <v>27</v>
      </c>
      <c r="C12" s="20">
        <v>7.22</v>
      </c>
      <c r="E12" s="24">
        <f t="shared" ca="1" si="5"/>
        <v>44004</v>
      </c>
      <c r="F12" s="24">
        <f t="shared" ca="1" si="0"/>
        <v>44032</v>
      </c>
      <c r="G12" s="25">
        <f t="shared" ca="1" si="1"/>
        <v>252</v>
      </c>
      <c r="H12" s="25">
        <f t="shared" si="2"/>
        <v>7.22</v>
      </c>
      <c r="I12" s="29">
        <f t="shared" si="6"/>
        <v>561555.5555555555</v>
      </c>
      <c r="J12" s="28">
        <f ca="1">+interpLin(G12,Hoja1!$B$18:$B$147,Hoja1!$F$18:$F$147)</f>
        <v>8.3891262530648483</v>
      </c>
      <c r="K12" s="27">
        <f t="shared" ca="1" si="3"/>
        <v>0.94517015389294567</v>
      </c>
      <c r="L12" s="29">
        <f t="shared" ca="1" si="7"/>
        <v>530765.55086388299</v>
      </c>
      <c r="N12" s="24">
        <f t="shared" ca="1" si="11"/>
        <v>44004</v>
      </c>
      <c r="O12" s="24">
        <f t="shared" ca="1" si="12"/>
        <v>44032</v>
      </c>
      <c r="P12" s="25">
        <f t="shared" ca="1" si="4"/>
        <v>252</v>
      </c>
      <c r="Q12" s="25">
        <f t="shared" ca="1" si="8"/>
        <v>7.7011616131373071</v>
      </c>
      <c r="R12" s="29">
        <f t="shared" ca="1" si="9"/>
        <v>598979.23657734611</v>
      </c>
      <c r="S12" s="28">
        <f ca="1">+interpLin(P12,Hoja1!$B$18:$B$147,Hoja1!$F$18:$F$147)</f>
        <v>8.3891262530648483</v>
      </c>
      <c r="T12" s="27">
        <f t="shared" ca="1" si="13"/>
        <v>0.94517015389294567</v>
      </c>
      <c r="U12" s="29">
        <f t="shared" ca="1" si="14"/>
        <v>566137.29721448931</v>
      </c>
    </row>
    <row r="13" spans="2:21" x14ac:dyDescent="0.25">
      <c r="B13" s="17" t="s">
        <v>35</v>
      </c>
      <c r="C13" s="18">
        <f ca="1">+SUM(L4:L68)</f>
        <v>30447959.783370472</v>
      </c>
      <c r="E13" s="24">
        <f t="shared" ca="1" si="5"/>
        <v>44032</v>
      </c>
      <c r="F13" s="24">
        <f t="shared" ca="1" si="0"/>
        <v>44060</v>
      </c>
      <c r="G13" s="25">
        <f t="shared" ca="1" si="1"/>
        <v>280</v>
      </c>
      <c r="H13" s="25">
        <f t="shared" si="2"/>
        <v>7.22</v>
      </c>
      <c r="I13" s="29">
        <f t="shared" si="6"/>
        <v>561555.5555555555</v>
      </c>
      <c r="J13" s="28">
        <f ca="1">+interpLin(G13,Hoja1!$B$18:$B$147,Hoja1!$F$18:$F$147)</f>
        <v>8.3355773886305542</v>
      </c>
      <c r="K13" s="27">
        <f t="shared" ca="1" si="3"/>
        <v>0.93962769596040641</v>
      </c>
      <c r="L13" s="29">
        <f t="shared" ca="1" si="7"/>
        <v>527653.15282043256</v>
      </c>
      <c r="N13" s="24">
        <f t="shared" ca="1" si="11"/>
        <v>44032</v>
      </c>
      <c r="O13" s="24">
        <f t="shared" ca="1" si="12"/>
        <v>44060</v>
      </c>
      <c r="P13" s="25">
        <f t="shared" ca="1" si="4"/>
        <v>280</v>
      </c>
      <c r="Q13" s="25">
        <f t="shared" ca="1" si="8"/>
        <v>7.5838732430642617</v>
      </c>
      <c r="R13" s="29">
        <f t="shared" ca="1" si="9"/>
        <v>589856.80779388698</v>
      </c>
      <c r="S13" s="28">
        <f ca="1">+interpLin(P13,Hoja1!$B$18:$B$147,Hoja1!$F$18:$F$147)</f>
        <v>8.3355773886305542</v>
      </c>
      <c r="T13" s="27">
        <f t="shared" ca="1" si="13"/>
        <v>0.93962769596040641</v>
      </c>
      <c r="U13" s="29">
        <f t="shared" ca="1" si="14"/>
        <v>554245.79325393029</v>
      </c>
    </row>
    <row r="14" spans="2:21" x14ac:dyDescent="0.25">
      <c r="E14" s="24">
        <f t="shared" ca="1" si="5"/>
        <v>44060</v>
      </c>
      <c r="F14" s="24">
        <f t="shared" ca="1" si="0"/>
        <v>44088</v>
      </c>
      <c r="G14" s="25">
        <f t="shared" ca="1" si="1"/>
        <v>308</v>
      </c>
      <c r="H14" s="25">
        <f t="shared" si="2"/>
        <v>7.22</v>
      </c>
      <c r="I14" s="29">
        <f t="shared" si="6"/>
        <v>561555.5555555555</v>
      </c>
      <c r="J14" s="28">
        <f ca="1">+interpLin(G14,Hoja1!$B$18:$B$147,Hoja1!$F$18:$F$147)</f>
        <v>8.2819566541772147</v>
      </c>
      <c r="K14" s="27">
        <f t="shared" ca="1" si="3"/>
        <v>0.9341902731175552</v>
      </c>
      <c r="L14" s="29">
        <f t="shared" ca="1" si="7"/>
        <v>524599.7378151248</v>
      </c>
      <c r="N14" s="24">
        <f t="shared" ca="1" si="11"/>
        <v>44060</v>
      </c>
      <c r="O14" s="24">
        <f t="shared" ca="1" si="12"/>
        <v>44088</v>
      </c>
      <c r="P14" s="25">
        <f t="shared" ca="1" si="4"/>
        <v>308</v>
      </c>
      <c r="Q14" s="25">
        <f t="shared" ca="1" si="8"/>
        <v>7.483456451749289</v>
      </c>
      <c r="R14" s="29">
        <f t="shared" ca="1" si="9"/>
        <v>582046.61291383358</v>
      </c>
      <c r="S14" s="28">
        <f ca="1">+interpLin(P14,Hoja1!$B$18:$B$147,Hoja1!$F$18:$F$147)</f>
        <v>8.2819566541772147</v>
      </c>
      <c r="T14" s="27">
        <f t="shared" ca="1" si="13"/>
        <v>0.9341902731175552</v>
      </c>
      <c r="U14" s="29">
        <f t="shared" ca="1" si="14"/>
        <v>543742.28428512218</v>
      </c>
    </row>
    <row r="15" spans="2:21" x14ac:dyDescent="0.25">
      <c r="E15" s="24">
        <f t="shared" ca="1" si="5"/>
        <v>44088</v>
      </c>
      <c r="F15" s="24">
        <f t="shared" ca="1" si="0"/>
        <v>44116</v>
      </c>
      <c r="G15" s="25">
        <f t="shared" ca="1" si="1"/>
        <v>336</v>
      </c>
      <c r="H15" s="25">
        <f t="shared" si="2"/>
        <v>7.22</v>
      </c>
      <c r="I15" s="29">
        <f t="shared" si="6"/>
        <v>561555.5555555555</v>
      </c>
      <c r="J15" s="28">
        <f ca="1">+interpLin(G15,Hoja1!$B$18:$B$147,Hoja1!$F$18:$F$147)</f>
        <v>8.2282649666265186</v>
      </c>
      <c r="K15" s="27">
        <f t="shared" ca="1" si="3"/>
        <v>0.92885662608515418</v>
      </c>
      <c r="L15" s="29">
        <f t="shared" ca="1" si="7"/>
        <v>521604.59869270766</v>
      </c>
      <c r="N15" s="24">
        <f t="shared" ca="1" si="11"/>
        <v>44088</v>
      </c>
      <c r="O15" s="24">
        <f t="shared" ca="1" si="12"/>
        <v>44116</v>
      </c>
      <c r="P15" s="25">
        <f t="shared" ca="1" si="4"/>
        <v>336</v>
      </c>
      <c r="Q15" s="25">
        <f t="shared" ca="1" si="8"/>
        <v>7.3827822205651774</v>
      </c>
      <c r="R15" s="29">
        <f t="shared" ca="1" si="9"/>
        <v>574216.39493284712</v>
      </c>
      <c r="S15" s="28">
        <f ca="1">+interpLin(P15,Hoja1!$B$18:$B$147,Hoja1!$F$18:$F$147)</f>
        <v>8.2282649666265186</v>
      </c>
      <c r="T15" s="27">
        <f t="shared" ca="1" si="13"/>
        <v>0.92885662608515418</v>
      </c>
      <c r="U15" s="29">
        <f t="shared" ca="1" si="14"/>
        <v>533364.70324010483</v>
      </c>
    </row>
    <row r="16" spans="2:21" x14ac:dyDescent="0.25">
      <c r="B16" s="19" t="s">
        <v>3</v>
      </c>
      <c r="E16" s="24">
        <f t="shared" ca="1" si="5"/>
        <v>44116</v>
      </c>
      <c r="F16" s="24">
        <f t="shared" ca="1" si="0"/>
        <v>44144</v>
      </c>
      <c r="G16" s="25">
        <f t="shared" ca="1" si="1"/>
        <v>364</v>
      </c>
      <c r="H16" s="25">
        <f t="shared" si="2"/>
        <v>7.22</v>
      </c>
      <c r="I16" s="29">
        <f t="shared" si="6"/>
        <v>561555.5555555555</v>
      </c>
      <c r="J16" s="28">
        <f ca="1">+interpLin(G16,Hoja1!$B$18:$B$147,Hoja1!$F$18:$F$147)</f>
        <v>8.1745035538865363</v>
      </c>
      <c r="K16" s="27">
        <f t="shared" ca="1" si="3"/>
        <v>0.92362551890794198</v>
      </c>
      <c r="L16" s="29">
        <f t="shared" ca="1" si="7"/>
        <v>518667.04139563761</v>
      </c>
      <c r="N16" s="24">
        <f t="shared" ca="1" si="11"/>
        <v>44116</v>
      </c>
      <c r="O16" s="24">
        <f t="shared" ca="1" si="12"/>
        <v>44144</v>
      </c>
      <c r="P16" s="25">
        <f t="shared" ca="1" si="4"/>
        <v>364</v>
      </c>
      <c r="Q16" s="25">
        <f t="shared" ca="1" si="8"/>
        <v>7.2818573005610787</v>
      </c>
      <c r="R16" s="29">
        <f t="shared" ca="1" si="9"/>
        <v>566366.67893252836</v>
      </c>
      <c r="S16" s="28">
        <f ca="1">+interpLin(P16,Hoja1!$B$18:$B$147,Hoja1!$F$18:$F$147)</f>
        <v>8.1745035538865363</v>
      </c>
      <c r="T16" s="27">
        <f t="shared" ca="1" si="13"/>
        <v>0.92362551890794198</v>
      </c>
      <c r="U16" s="29">
        <f t="shared" ca="1" si="14"/>
        <v>523110.7177212243</v>
      </c>
    </row>
    <row r="17" spans="2:21" x14ac:dyDescent="0.25">
      <c r="B17" s="17" t="s">
        <v>28</v>
      </c>
      <c r="C17" s="20">
        <v>0</v>
      </c>
      <c r="E17" s="24">
        <f t="shared" ca="1" si="5"/>
        <v>44144</v>
      </c>
      <c r="F17" s="24">
        <f t="shared" ca="1" si="0"/>
        <v>44172</v>
      </c>
      <c r="G17" s="25">
        <f t="shared" ca="1" si="1"/>
        <v>392</v>
      </c>
      <c r="H17" s="25">
        <f t="shared" si="2"/>
        <v>7.22</v>
      </c>
      <c r="I17" s="29">
        <f t="shared" si="6"/>
        <v>561555.5555555555</v>
      </c>
      <c r="J17" s="28">
        <f ca="1">+interpLin(G17,Hoja1!$B$18:$B$147,Hoja1!$F$18:$F$147)</f>
        <v>8.1343142157301642</v>
      </c>
      <c r="K17" s="27">
        <f t="shared" ca="1" si="3"/>
        <v>0.9183695788685875</v>
      </c>
      <c r="L17" s="29">
        <f t="shared" ca="1" si="7"/>
        <v>515715.53906687122</v>
      </c>
      <c r="N17" s="24">
        <f t="shared" ca="1" si="11"/>
        <v>44144</v>
      </c>
      <c r="O17" s="24">
        <f t="shared" ca="1" si="12"/>
        <v>44172</v>
      </c>
      <c r="P17" s="25">
        <f t="shared" ca="1" si="4"/>
        <v>392</v>
      </c>
      <c r="Q17" s="25">
        <f t="shared" ca="1" si="8"/>
        <v>7.3582981720508354</v>
      </c>
      <c r="R17" s="29">
        <f t="shared" ca="1" si="9"/>
        <v>572312.08004839835</v>
      </c>
      <c r="S17" s="28">
        <f ca="1">+interpLin(P17,Hoja1!$B$18:$B$147,Hoja1!$F$18:$F$147)</f>
        <v>8.1343142157301642</v>
      </c>
      <c r="T17" s="27">
        <f t="shared" ca="1" si="13"/>
        <v>0.9183695788685875</v>
      </c>
      <c r="U17" s="29">
        <f t="shared" ca="1" si="14"/>
        <v>525594.0039354529</v>
      </c>
    </row>
    <row r="18" spans="2:21" x14ac:dyDescent="0.25">
      <c r="B18" s="17" t="s">
        <v>35</v>
      </c>
      <c r="C18" s="18">
        <f ca="1">+SUM(U4:U68)</f>
        <v>30447959.783370525</v>
      </c>
      <c r="E18" s="24">
        <f t="shared" ca="1" si="5"/>
        <v>44172</v>
      </c>
      <c r="F18" s="24">
        <f t="shared" ca="1" si="0"/>
        <v>44200</v>
      </c>
      <c r="G18" s="25">
        <f t="shared" ca="1" si="1"/>
        <v>420</v>
      </c>
      <c r="H18" s="25">
        <f t="shared" si="2"/>
        <v>7.22</v>
      </c>
      <c r="I18" s="29">
        <f t="shared" si="6"/>
        <v>561555.5555555555</v>
      </c>
      <c r="J18" s="28">
        <f ca="1">+interpLin(G18,Hoja1!$B$18:$B$147,Hoja1!$F$18:$F$147)</f>
        <v>8.0940432992518971</v>
      </c>
      <c r="K18" s="27">
        <f t="shared" ca="1" si="3"/>
        <v>0.91319728343039963</v>
      </c>
      <c r="L18" s="29">
        <f t="shared" ca="1" si="7"/>
        <v>512811.00782858214</v>
      </c>
      <c r="N18" s="24">
        <f t="shared" ca="1" si="11"/>
        <v>44172</v>
      </c>
      <c r="O18" s="24">
        <f t="shared" ca="1" si="12"/>
        <v>44200</v>
      </c>
      <c r="P18" s="25">
        <f t="shared" ca="1" si="4"/>
        <v>420</v>
      </c>
      <c r="Q18" s="25">
        <f t="shared" ca="1" si="8"/>
        <v>7.2822097212468559</v>
      </c>
      <c r="R18" s="29">
        <f t="shared" ca="1" si="9"/>
        <v>566394.08943031111</v>
      </c>
      <c r="S18" s="28">
        <f ca="1">+interpLin(P18,Hoja1!$B$18:$B$147,Hoja1!$F$18:$F$147)</f>
        <v>8.0940432992518971</v>
      </c>
      <c r="T18" s="27">
        <f t="shared" ca="1" si="13"/>
        <v>0.91319728343039963</v>
      </c>
      <c r="U18" s="29">
        <f t="shared" ca="1" si="14"/>
        <v>517229.54381879495</v>
      </c>
    </row>
    <row r="19" spans="2:21" x14ac:dyDescent="0.25">
      <c r="E19" s="24">
        <f t="shared" ca="1" si="5"/>
        <v>44200</v>
      </c>
      <c r="F19" s="24">
        <f t="shared" ca="1" si="0"/>
        <v>44228</v>
      </c>
      <c r="G19" s="25">
        <f t="shared" ca="1" si="1"/>
        <v>448</v>
      </c>
      <c r="H19" s="25">
        <f t="shared" si="2"/>
        <v>7.22</v>
      </c>
      <c r="I19" s="29">
        <f t="shared" si="6"/>
        <v>561555.5555555555</v>
      </c>
      <c r="J19" s="28">
        <f ca="1">+interpLin(G19,Hoja1!$B$18:$B$147,Hoja1!$F$18:$F$147)</f>
        <v>8.0536959270682384</v>
      </c>
      <c r="K19" s="27">
        <f t="shared" ca="1" si="3"/>
        <v>0.90810769115129086</v>
      </c>
      <c r="L19" s="29">
        <f t="shared" ca="1" si="7"/>
        <v>509952.91900873597</v>
      </c>
      <c r="N19" s="24">
        <f t="shared" ca="1" si="11"/>
        <v>44200</v>
      </c>
      <c r="O19" s="24">
        <f t="shared" ca="1" si="12"/>
        <v>44228</v>
      </c>
      <c r="P19" s="25">
        <f t="shared" ca="1" si="4"/>
        <v>448</v>
      </c>
      <c r="Q19" s="25">
        <f t="shared" ca="1" si="8"/>
        <v>7.2059311527415799</v>
      </c>
      <c r="R19" s="29">
        <f t="shared" ca="1" si="9"/>
        <v>560461.31187990063</v>
      </c>
      <c r="S19" s="28">
        <f ca="1">+interpLin(P19,Hoja1!$B$18:$B$147,Hoja1!$F$18:$F$147)</f>
        <v>8.0536959270682384</v>
      </c>
      <c r="T19" s="27">
        <f t="shared" ca="1" si="13"/>
        <v>0.90810769115129086</v>
      </c>
      <c r="U19" s="29">
        <f t="shared" ca="1" si="14"/>
        <v>508959.22791088012</v>
      </c>
    </row>
    <row r="20" spans="2:21" x14ac:dyDescent="0.25">
      <c r="E20" s="24">
        <f t="shared" ca="1" si="5"/>
        <v>44228</v>
      </c>
      <c r="F20" s="24">
        <f t="shared" ca="1" si="0"/>
        <v>44256</v>
      </c>
      <c r="G20" s="25">
        <f t="shared" ca="1" si="1"/>
        <v>476</v>
      </c>
      <c r="H20" s="25">
        <f t="shared" si="2"/>
        <v>7.22</v>
      </c>
      <c r="I20" s="29">
        <f t="shared" si="6"/>
        <v>561555.5555555555</v>
      </c>
      <c r="J20" s="28">
        <f ca="1">+interpLin(G20,Hoja1!$B$18:$B$147,Hoja1!$F$18:$F$147)</f>
        <v>8.0132762669952395</v>
      </c>
      <c r="K20" s="27">
        <f t="shared" ca="1" si="3"/>
        <v>0.90309987557053928</v>
      </c>
      <c r="L20" s="29">
        <f t="shared" ca="1" si="7"/>
        <v>507140.75234816724</v>
      </c>
      <c r="N20" s="24">
        <f t="shared" ca="1" si="11"/>
        <v>44228</v>
      </c>
      <c r="O20" s="24">
        <f t="shared" ca="1" si="12"/>
        <v>44256</v>
      </c>
      <c r="P20" s="25">
        <f t="shared" ca="1" si="4"/>
        <v>476</v>
      </c>
      <c r="Q20" s="25">
        <f t="shared" ca="1" si="8"/>
        <v>7.1294661936778878</v>
      </c>
      <c r="R20" s="29">
        <f t="shared" ca="1" si="9"/>
        <v>554514.03728605795</v>
      </c>
      <c r="S20" s="28">
        <f ca="1">+interpLin(P20,Hoja1!$B$18:$B$147,Hoja1!$F$18:$F$147)</f>
        <v>8.0132762669952395</v>
      </c>
      <c r="T20" s="27">
        <f t="shared" ca="1" si="13"/>
        <v>0.90309987557053928</v>
      </c>
      <c r="U20" s="29">
        <f t="shared" ca="1" si="14"/>
        <v>500781.5580751563</v>
      </c>
    </row>
    <row r="21" spans="2:21" x14ac:dyDescent="0.25">
      <c r="E21" s="24">
        <f t="shared" ca="1" si="5"/>
        <v>44256</v>
      </c>
      <c r="F21" s="24">
        <f t="shared" ca="1" si="0"/>
        <v>44284</v>
      </c>
      <c r="G21" s="25">
        <f t="shared" ca="1" si="1"/>
        <v>504</v>
      </c>
      <c r="H21" s="25">
        <f t="shared" si="2"/>
        <v>7.22</v>
      </c>
      <c r="I21" s="29">
        <f t="shared" si="6"/>
        <v>561555.5555555555</v>
      </c>
      <c r="J21" s="28">
        <f ca="1">+interpLin(G21,Hoja1!$B$18:$B$147,Hoja1!$F$18:$F$147)</f>
        <v>7.9727878010835029</v>
      </c>
      <c r="K21" s="27">
        <f t="shared" ca="1" si="3"/>
        <v>0.8981729249886542</v>
      </c>
      <c r="L21" s="29">
        <f t="shared" ca="1" si="7"/>
        <v>504373.99587696197</v>
      </c>
      <c r="N21" s="24">
        <f t="shared" ca="1" si="11"/>
        <v>44256</v>
      </c>
      <c r="O21" s="24">
        <f t="shared" ca="1" si="12"/>
        <v>44284</v>
      </c>
      <c r="P21" s="25">
        <f t="shared" ca="1" si="4"/>
        <v>504</v>
      </c>
      <c r="Q21" s="25">
        <f t="shared" ca="1" si="8"/>
        <v>7.0528186409291669</v>
      </c>
      <c r="R21" s="29">
        <f t="shared" ca="1" si="9"/>
        <v>548552.56096115743</v>
      </c>
      <c r="S21" s="28">
        <f ca="1">+interpLin(P21,Hoja1!$B$18:$B$147,Hoja1!$F$18:$F$147)</f>
        <v>7.9727878010835029</v>
      </c>
      <c r="T21" s="27">
        <f t="shared" ca="1" si="13"/>
        <v>0.8981729249886542</v>
      </c>
      <c r="U21" s="29">
        <f t="shared" ca="1" si="14"/>
        <v>492695.05818849982</v>
      </c>
    </row>
    <row r="22" spans="2:21" x14ac:dyDescent="0.25">
      <c r="E22" s="24">
        <f t="shared" ca="1" si="5"/>
        <v>44284</v>
      </c>
      <c r="F22" s="24">
        <f t="shared" ca="1" si="0"/>
        <v>44312</v>
      </c>
      <c r="G22" s="25">
        <f t="shared" ca="1" si="1"/>
        <v>532</v>
      </c>
      <c r="H22" s="25">
        <f t="shared" si="2"/>
        <v>7.22</v>
      </c>
      <c r="I22" s="29">
        <f t="shared" si="6"/>
        <v>561555.5555555555</v>
      </c>
      <c r="J22" s="28">
        <f ca="1">+interpLin(G22,Hoja1!$B$18:$B$147,Hoja1!$F$18:$F$147)</f>
        <v>7.9322335096372765</v>
      </c>
      <c r="K22" s="27">
        <f t="shared" ca="1" si="3"/>
        <v>0.89332594225105399</v>
      </c>
      <c r="L22" s="29">
        <f t="shared" ca="1" si="7"/>
        <v>501652.14579298074</v>
      </c>
      <c r="N22" s="24">
        <f t="shared" ca="1" si="11"/>
        <v>44284</v>
      </c>
      <c r="O22" s="24">
        <f t="shared" ca="1" si="12"/>
        <v>44312</v>
      </c>
      <c r="P22" s="25">
        <f t="shared" ca="1" si="4"/>
        <v>532</v>
      </c>
      <c r="Q22" s="25">
        <f t="shared" ca="1" si="8"/>
        <v>6.9759923602351455</v>
      </c>
      <c r="R22" s="29">
        <f t="shared" ca="1" si="9"/>
        <v>542577.18357384449</v>
      </c>
      <c r="S22" s="28">
        <f ca="1">+interpLin(P22,Hoja1!$B$18:$B$147,Hoja1!$F$18:$F$147)</f>
        <v>7.9322335096372765</v>
      </c>
      <c r="T22" s="27">
        <f t="shared" ca="1" si="13"/>
        <v>0.89332594225105399</v>
      </c>
      <c r="U22" s="29">
        <f t="shared" ca="1" si="14"/>
        <v>484698.27376002772</v>
      </c>
    </row>
    <row r="23" spans="2:21" x14ac:dyDescent="0.25">
      <c r="B23" s="17" t="s">
        <v>40</v>
      </c>
      <c r="C23" s="20">
        <v>0</v>
      </c>
      <c r="E23" s="24">
        <f t="shared" ca="1" si="5"/>
        <v>44312</v>
      </c>
      <c r="F23" s="24">
        <f t="shared" ca="1" si="0"/>
        <v>44340</v>
      </c>
      <c r="G23" s="25">
        <f t="shared" ca="1" si="1"/>
        <v>560</v>
      </c>
      <c r="H23" s="25">
        <f t="shared" si="2"/>
        <v>7.22</v>
      </c>
      <c r="I23" s="29">
        <f t="shared" si="6"/>
        <v>561555.5555555555</v>
      </c>
      <c r="J23" s="28">
        <f ca="1">+interpLin(G23,Hoja1!$B$18:$B$147,Hoja1!$F$18:$F$147)</f>
        <v>7.8916159999712576</v>
      </c>
      <c r="K23" s="27">
        <f t="shared" ca="1" si="3"/>
        <v>0.88855804453548393</v>
      </c>
      <c r="L23" s="29">
        <f t="shared" ca="1" si="7"/>
        <v>498974.70634248172</v>
      </c>
      <c r="N23" s="24">
        <f t="shared" ca="1" si="11"/>
        <v>44312</v>
      </c>
      <c r="O23" s="24">
        <f t="shared" ca="1" si="12"/>
        <v>44340</v>
      </c>
      <c r="P23" s="25">
        <f t="shared" ca="1" si="4"/>
        <v>560</v>
      </c>
      <c r="Q23" s="25">
        <f t="shared" ca="1" si="8"/>
        <v>6.8989912852994717</v>
      </c>
      <c r="R23" s="29">
        <f t="shared" ca="1" si="9"/>
        <v>536588.21107884776</v>
      </c>
      <c r="S23" s="28">
        <f ca="1">+interpLin(P23,Hoja1!$B$18:$B$147,Hoja1!$F$18:$F$147)</f>
        <v>7.8916159999712576</v>
      </c>
      <c r="T23" s="27">
        <f t="shared" ca="1" si="13"/>
        <v>0.88855804453548393</v>
      </c>
      <c r="U23" s="29">
        <f t="shared" ca="1" si="14"/>
        <v>476789.77155701444</v>
      </c>
    </row>
    <row r="24" spans="2:21" x14ac:dyDescent="0.25">
      <c r="B24" s="17" t="s">
        <v>39</v>
      </c>
      <c r="C24" s="18">
        <f ca="1">+C7-C23</f>
        <v>5.2154064178466797E-8</v>
      </c>
      <c r="E24" s="24">
        <f t="shared" ca="1" si="5"/>
        <v>44340</v>
      </c>
      <c r="F24" s="24">
        <f t="shared" ca="1" si="0"/>
        <v>44368</v>
      </c>
      <c r="G24" s="25">
        <f t="shared" ca="1" si="1"/>
        <v>588</v>
      </c>
      <c r="H24" s="25">
        <f t="shared" si="2"/>
        <v>7.22</v>
      </c>
      <c r="I24" s="29">
        <f t="shared" si="6"/>
        <v>561555.5555555555</v>
      </c>
      <c r="J24" s="28">
        <f ca="1">+interpLin(G24,Hoja1!$B$18:$B$147,Hoja1!$F$18:$F$147)</f>
        <v>7.8509375983234042</v>
      </c>
      <c r="K24" s="27">
        <f t="shared" ca="1" si="3"/>
        <v>0.88386836314310979</v>
      </c>
      <c r="L24" s="29">
        <f t="shared" ca="1" si="7"/>
        <v>496341.18970280851</v>
      </c>
      <c r="N24" s="24">
        <f t="shared" ca="1" si="11"/>
        <v>44340</v>
      </c>
      <c r="O24" s="24">
        <f t="shared" ca="1" si="12"/>
        <v>44368</v>
      </c>
      <c r="P24" s="25">
        <f t="shared" ca="1" si="4"/>
        <v>588</v>
      </c>
      <c r="Q24" s="25">
        <f t="shared" ca="1" si="8"/>
        <v>6.8218194168441846</v>
      </c>
      <c r="R24" s="29">
        <f t="shared" ca="1" si="9"/>
        <v>530585.95464343647</v>
      </c>
      <c r="S24" s="28">
        <f ca="1">+interpLin(P24,Hoja1!$B$18:$B$147,Hoja1!$F$18:$F$147)</f>
        <v>7.8509375983234042</v>
      </c>
      <c r="T24" s="27">
        <f t="shared" ca="1" si="13"/>
        <v>0.88386836314310979</v>
      </c>
      <c r="U24" s="29">
        <f t="shared" ca="1" si="14"/>
        <v>468968.13923741848</v>
      </c>
    </row>
    <row r="25" spans="2:21" x14ac:dyDescent="0.25">
      <c r="E25" s="24">
        <f t="shared" ca="1" si="5"/>
        <v>44368</v>
      </c>
      <c r="F25" s="24">
        <f t="shared" ca="1" si="0"/>
        <v>44396</v>
      </c>
      <c r="G25" s="25">
        <f t="shared" ca="1" si="1"/>
        <v>616</v>
      </c>
      <c r="H25" s="25">
        <f t="shared" si="2"/>
        <v>7.22</v>
      </c>
      <c r="I25" s="29">
        <f t="shared" si="6"/>
        <v>561555.5555555555</v>
      </c>
      <c r="J25" s="28">
        <f ca="1">+interpLin(G25,Hoja1!$B$18:$B$147,Hoja1!$F$18:$F$147)</f>
        <v>7.810200416644042</v>
      </c>
      <c r="K25" s="27">
        <f t="shared" ca="1" si="3"/>
        <v>0.87925604329323537</v>
      </c>
      <c r="L25" s="29">
        <f t="shared" ca="1" si="7"/>
        <v>493751.11586711236</v>
      </c>
      <c r="N25" s="24">
        <f t="shared" ca="1" si="11"/>
        <v>44368</v>
      </c>
      <c r="O25" s="24">
        <f t="shared" ca="1" si="12"/>
        <v>44396</v>
      </c>
      <c r="P25" s="25">
        <f t="shared" ca="1" si="4"/>
        <v>616</v>
      </c>
      <c r="Q25" s="25">
        <f t="shared" ca="1" si="8"/>
        <v>6.7444808215999519</v>
      </c>
      <c r="R25" s="29">
        <f t="shared" ca="1" si="9"/>
        <v>524570.7305688851</v>
      </c>
      <c r="S25" s="28">
        <f ca="1">+interpLin(P25,Hoja1!$B$18:$B$147,Hoja1!$F$18:$F$147)</f>
        <v>7.810200416644042</v>
      </c>
      <c r="T25" s="27">
        <f t="shared" ca="1" si="13"/>
        <v>0.87925604329323537</v>
      </c>
      <c r="U25" s="29">
        <f t="shared" ca="1" si="14"/>
        <v>461231.98498743976</v>
      </c>
    </row>
    <row r="26" spans="2:21" x14ac:dyDescent="0.25">
      <c r="E26" s="24">
        <f t="shared" ca="1" si="5"/>
        <v>44396</v>
      </c>
      <c r="F26" s="24">
        <f t="shared" ca="1" si="0"/>
        <v>44424</v>
      </c>
      <c r="G26" s="25">
        <f t="shared" ca="1" si="1"/>
        <v>644</v>
      </c>
      <c r="H26" s="25">
        <f t="shared" si="2"/>
        <v>7.22</v>
      </c>
      <c r="I26" s="29">
        <f t="shared" si="6"/>
        <v>561555.5555555555</v>
      </c>
      <c r="J26" s="28">
        <f ca="1">+interpLin(G26,Hoja1!$B$18:$B$147,Hoja1!$F$18:$F$147)</f>
        <v>7.7694064019065312</v>
      </c>
      <c r="K26" s="27">
        <f t="shared" ca="1" si="3"/>
        <v>0.87472024392156267</v>
      </c>
      <c r="L26" s="29">
        <f t="shared" ca="1" si="7"/>
        <v>491204.01253106416</v>
      </c>
      <c r="N26" s="24">
        <f t="shared" ca="1" si="11"/>
        <v>44396</v>
      </c>
      <c r="O26" s="24">
        <f t="shared" ca="1" si="12"/>
        <v>44424</v>
      </c>
      <c r="P26" s="25">
        <f t="shared" ca="1" si="4"/>
        <v>644</v>
      </c>
      <c r="Q26" s="25">
        <f t="shared" ca="1" si="8"/>
        <v>6.6669796312800296</v>
      </c>
      <c r="R26" s="29">
        <f t="shared" ca="1" si="9"/>
        <v>518542.86021066894</v>
      </c>
      <c r="S26" s="28">
        <f ca="1">+interpLin(P26,Hoja1!$B$18:$B$147,Hoja1!$F$18:$F$147)</f>
        <v>7.7694064019065312</v>
      </c>
      <c r="T26" s="27">
        <f t="shared" ca="1" si="13"/>
        <v>0.87472024392156267</v>
      </c>
      <c r="U26" s="29">
        <f t="shared" ca="1" si="14"/>
        <v>453579.93716726109</v>
      </c>
    </row>
    <row r="27" spans="2:21" x14ac:dyDescent="0.25">
      <c r="E27" s="24">
        <f t="shared" ca="1" si="5"/>
        <v>44424</v>
      </c>
      <c r="F27" s="24">
        <f t="shared" ca="1" si="0"/>
        <v>44452</v>
      </c>
      <c r="G27" s="25">
        <f t="shared" ca="1" si="1"/>
        <v>672</v>
      </c>
      <c r="H27" s="25">
        <f t="shared" si="2"/>
        <v>7.22</v>
      </c>
      <c r="I27" s="29">
        <f t="shared" si="6"/>
        <v>561555.5555555555</v>
      </c>
      <c r="J27" s="28">
        <f ca="1">+interpLin(G27,Hoja1!$B$18:$B$147,Hoja1!$F$18:$F$147)</f>
        <v>7.7285573730344392</v>
      </c>
      <c r="K27" s="27">
        <f t="shared" ca="1" si="3"/>
        <v>0.87026013748195574</v>
      </c>
      <c r="L27" s="29">
        <f t="shared" ca="1" si="7"/>
        <v>488699.41498153377</v>
      </c>
      <c r="N27" s="24">
        <f t="shared" ca="1" si="11"/>
        <v>44424</v>
      </c>
      <c r="O27" s="24">
        <f t="shared" ca="1" si="12"/>
        <v>44452</v>
      </c>
      <c r="P27" s="25">
        <f t="shared" ca="1" si="4"/>
        <v>672</v>
      </c>
      <c r="Q27" s="25">
        <f t="shared" ca="1" si="8"/>
        <v>6.5893200414777198</v>
      </c>
      <c r="R27" s="29">
        <f t="shared" ca="1" si="9"/>
        <v>512502.66989271151</v>
      </c>
      <c r="S27" s="28">
        <f ca="1">+interpLin(P27,Hoja1!$B$18:$B$147,Hoja1!$F$18:$F$147)</f>
        <v>7.7285573730344392</v>
      </c>
      <c r="T27" s="27">
        <f t="shared" ca="1" si="13"/>
        <v>0.87026013748195574</v>
      </c>
      <c r="U27" s="29">
        <f t="shared" ca="1" si="14"/>
        <v>446010.64396070049</v>
      </c>
    </row>
    <row r="28" spans="2:21" x14ac:dyDescent="0.25">
      <c r="E28" s="24">
        <f t="shared" ca="1" si="5"/>
        <v>44452</v>
      </c>
      <c r="F28" s="24">
        <f t="shared" ca="1" si="0"/>
        <v>44480</v>
      </c>
      <c r="G28" s="25">
        <f t="shared" ca="1" si="1"/>
        <v>700</v>
      </c>
      <c r="H28" s="25">
        <f t="shared" si="2"/>
        <v>7.22</v>
      </c>
      <c r="I28" s="29">
        <f t="shared" si="6"/>
        <v>561555.5555555555</v>
      </c>
      <c r="J28" s="28">
        <f ca="1">+interpLin(G28,Hoja1!$B$18:$B$147,Hoja1!$F$18:$F$147)</f>
        <v>7.6876550489116457</v>
      </c>
      <c r="K28" s="27">
        <f t="shared" ca="1" si="3"/>
        <v>0.86587490975162973</v>
      </c>
      <c r="L28" s="29">
        <f t="shared" ca="1" si="7"/>
        <v>486236.8659871929</v>
      </c>
      <c r="N28" s="24">
        <f t="shared" ca="1" si="11"/>
        <v>44452</v>
      </c>
      <c r="O28" s="24">
        <f t="shared" ca="1" si="12"/>
        <v>44480</v>
      </c>
      <c r="P28" s="25">
        <f t="shared" ca="1" si="4"/>
        <v>700</v>
      </c>
      <c r="Q28" s="25">
        <f t="shared" ca="1" si="8"/>
        <v>6.511506310545264</v>
      </c>
      <c r="R28" s="29">
        <f t="shared" ca="1" si="9"/>
        <v>506450.49082018714</v>
      </c>
      <c r="S28" s="28">
        <f ca="1">+interpLin(P28,Hoja1!$B$18:$B$147,Hoja1!$F$18:$F$147)</f>
        <v>7.6876550489116457</v>
      </c>
      <c r="T28" s="27">
        <f t="shared" ca="1" si="13"/>
        <v>0.86587490975162973</v>
      </c>
      <c r="U28" s="29">
        <f t="shared" ca="1" si="14"/>
        <v>438522.77303259814</v>
      </c>
    </row>
    <row r="29" spans="2:21" x14ac:dyDescent="0.25">
      <c r="E29" s="24">
        <f t="shared" ca="1" si="5"/>
        <v>44480</v>
      </c>
      <c r="F29" s="24">
        <f t="shared" ca="1" si="0"/>
        <v>44508</v>
      </c>
      <c r="G29" s="25">
        <f t="shared" ca="1" si="1"/>
        <v>728</v>
      </c>
      <c r="H29" s="25">
        <f t="shared" si="2"/>
        <v>7.22</v>
      </c>
      <c r="I29" s="29">
        <f t="shared" si="6"/>
        <v>561555.5555555555</v>
      </c>
      <c r="J29" s="28">
        <f ca="1">+interpLin(G29,Hoja1!$B$18:$B$147,Hoja1!$F$18:$F$147)</f>
        <v>7.6467010698735516</v>
      </c>
      <c r="K29" s="27">
        <f t="shared" ca="1" si="3"/>
        <v>0.86156375963972354</v>
      </c>
      <c r="L29" s="29">
        <f t="shared" ca="1" si="7"/>
        <v>483815.91569101805</v>
      </c>
      <c r="N29" s="24">
        <f t="shared" ca="1" si="11"/>
        <v>44480</v>
      </c>
      <c r="O29" s="24">
        <f t="shared" ca="1" si="12"/>
        <v>44508</v>
      </c>
      <c r="P29" s="25">
        <f t="shared" ca="1" si="4"/>
        <v>728</v>
      </c>
      <c r="Q29" s="25">
        <f t="shared" ca="1" si="8"/>
        <v>6.4335427584076523</v>
      </c>
      <c r="R29" s="29">
        <f t="shared" ca="1" si="9"/>
        <v>500386.65898726188</v>
      </c>
      <c r="S29" s="28">
        <f ca="1">+interpLin(P29,Hoja1!$B$18:$B$147,Hoja1!$F$18:$F$147)</f>
        <v>7.6467010698735516</v>
      </c>
      <c r="T29" s="27">
        <f t="shared" ca="1" si="13"/>
        <v>0.86156375963972354</v>
      </c>
      <c r="U29" s="29">
        <f t="shared" ca="1" si="14"/>
        <v>431115.01119062561</v>
      </c>
    </row>
    <row r="30" spans="2:21" x14ac:dyDescent="0.25">
      <c r="E30" s="24">
        <f t="shared" ca="1" si="5"/>
        <v>44508</v>
      </c>
      <c r="F30" s="24">
        <f t="shared" ca="1" si="0"/>
        <v>44536</v>
      </c>
      <c r="G30" s="25">
        <f t="shared" ca="1" si="1"/>
        <v>756</v>
      </c>
      <c r="H30" s="25">
        <f t="shared" si="2"/>
        <v>7.22</v>
      </c>
      <c r="I30" s="29">
        <f t="shared" si="6"/>
        <v>561555.5555555555</v>
      </c>
      <c r="J30" s="28">
        <f ca="1">+interpLin(G30,Hoja1!$B$18:$B$147,Hoja1!$F$18:$F$147)</f>
        <v>7.6300133697150274</v>
      </c>
      <c r="K30" s="27">
        <f t="shared" ca="1" si="3"/>
        <v>0.85691919695298502</v>
      </c>
      <c r="L30" s="29">
        <f t="shared" ca="1" si="7"/>
        <v>481207.735711154</v>
      </c>
      <c r="N30" s="24">
        <f t="shared" ca="1" si="11"/>
        <v>44508</v>
      </c>
      <c r="O30" s="24">
        <f t="shared" ca="1" si="12"/>
        <v>44536</v>
      </c>
      <c r="P30" s="25">
        <f t="shared" ca="1" si="4"/>
        <v>756</v>
      </c>
      <c r="Q30" s="25">
        <f t="shared" ca="1" si="8"/>
        <v>6.9686624111922697</v>
      </c>
      <c r="R30" s="29">
        <f t="shared" ca="1" si="9"/>
        <v>542007.07642606541</v>
      </c>
      <c r="S30" s="28">
        <f ca="1">+interpLin(P30,Hoja1!$B$18:$B$147,Hoja1!$F$18:$F$147)</f>
        <v>7.6300133697150274</v>
      </c>
      <c r="T30" s="27">
        <f t="shared" ca="1" si="13"/>
        <v>0.85691919695298502</v>
      </c>
      <c r="U30" s="29">
        <f t="shared" ca="1" si="14"/>
        <v>464456.26867385913</v>
      </c>
    </row>
    <row r="31" spans="2:21" x14ac:dyDescent="0.25">
      <c r="E31" s="24">
        <f t="shared" ca="1" si="5"/>
        <v>44536</v>
      </c>
      <c r="F31" s="24">
        <f t="shared" ca="1" si="0"/>
        <v>44564</v>
      </c>
      <c r="G31" s="25">
        <f t="shared" ca="1" si="1"/>
        <v>784</v>
      </c>
      <c r="H31" s="25">
        <f t="shared" si="2"/>
        <v>7.22</v>
      </c>
      <c r="I31" s="29">
        <f t="shared" si="6"/>
        <v>561555.5555555555</v>
      </c>
      <c r="J31" s="28">
        <f ca="1">+interpLin(G31,Hoja1!$B$18:$B$147,Hoja1!$F$18:$F$147)</f>
        <v>7.6132517169761549</v>
      </c>
      <c r="K31" s="27">
        <f t="shared" ca="1" si="3"/>
        <v>0.85232154737182109</v>
      </c>
      <c r="L31" s="29">
        <f t="shared" ca="1" si="7"/>
        <v>478625.90004635369</v>
      </c>
      <c r="N31" s="24">
        <f t="shared" ca="1" si="11"/>
        <v>44536</v>
      </c>
      <c r="O31" s="24">
        <f t="shared" ca="1" si="12"/>
        <v>44564</v>
      </c>
      <c r="P31" s="25">
        <f t="shared" ca="1" si="4"/>
        <v>784</v>
      </c>
      <c r="Q31" s="25">
        <f t="shared" ca="1" si="8"/>
        <v>6.9354855165147464</v>
      </c>
      <c r="R31" s="29">
        <f t="shared" ca="1" si="9"/>
        <v>539426.65128448023</v>
      </c>
      <c r="S31" s="28">
        <f ca="1">+interpLin(P31,Hoja1!$B$18:$B$147,Hoja1!$F$18:$F$147)</f>
        <v>7.6132517169761549</v>
      </c>
      <c r="T31" s="27">
        <f t="shared" ca="1" si="13"/>
        <v>0.85232154737182109</v>
      </c>
      <c r="U31" s="29">
        <f t="shared" ca="1" si="14"/>
        <v>459764.95811638795</v>
      </c>
    </row>
    <row r="32" spans="2:21" x14ac:dyDescent="0.25">
      <c r="E32" s="24">
        <f t="shared" ca="1" si="5"/>
        <v>44564</v>
      </c>
      <c r="F32" s="24">
        <f t="shared" ca="1" si="0"/>
        <v>44592</v>
      </c>
      <c r="G32" s="25">
        <f t="shared" ca="1" si="1"/>
        <v>812</v>
      </c>
      <c r="H32" s="25">
        <f t="shared" si="2"/>
        <v>7.22</v>
      </c>
      <c r="I32" s="29">
        <f t="shared" si="6"/>
        <v>561555.5555555555</v>
      </c>
      <c r="J32" s="28">
        <f ca="1">+interpLin(G32,Hoja1!$B$18:$B$147,Hoja1!$F$18:$F$147)</f>
        <v>7.5964209334185018</v>
      </c>
      <c r="K32" s="27">
        <f t="shared" ca="1" si="3"/>
        <v>0.84777037945090983</v>
      </c>
      <c r="L32" s="29">
        <f t="shared" ca="1" si="7"/>
        <v>476070.16641609976</v>
      </c>
      <c r="N32" s="24">
        <f t="shared" ca="1" si="11"/>
        <v>44564</v>
      </c>
      <c r="O32" s="24">
        <f t="shared" ca="1" si="12"/>
        <v>44592</v>
      </c>
      <c r="P32" s="25">
        <f t="shared" ca="1" si="4"/>
        <v>812</v>
      </c>
      <c r="Q32" s="25">
        <f t="shared" ca="1" si="8"/>
        <v>6.9022246523758408</v>
      </c>
      <c r="R32" s="29">
        <f t="shared" ca="1" si="9"/>
        <v>536839.69518478762</v>
      </c>
      <c r="S32" s="28">
        <f ca="1">+interpLin(P32,Hoja1!$B$18:$B$147,Hoja1!$F$18:$F$147)</f>
        <v>7.5964209334185018</v>
      </c>
      <c r="T32" s="27">
        <f t="shared" ca="1" si="13"/>
        <v>0.84777037945090983</v>
      </c>
      <c r="U32" s="29">
        <f t="shared" ca="1" si="14"/>
        <v>455116.79209111817</v>
      </c>
    </row>
    <row r="33" spans="5:21" x14ac:dyDescent="0.25">
      <c r="E33" s="24">
        <f t="shared" ca="1" si="5"/>
        <v>44592</v>
      </c>
      <c r="F33" s="24">
        <f t="shared" ca="1" si="0"/>
        <v>44620</v>
      </c>
      <c r="G33" s="25">
        <f t="shared" ca="1" si="1"/>
        <v>840</v>
      </c>
      <c r="H33" s="25">
        <f t="shared" si="2"/>
        <v>7.22</v>
      </c>
      <c r="I33" s="29">
        <f t="shared" si="6"/>
        <v>561555.5555555555</v>
      </c>
      <c r="J33" s="28">
        <f ca="1">+interpLin(G33,Hoja1!$B$18:$B$147,Hoja1!$F$18:$F$147)</f>
        <v>7.5795252175787642</v>
      </c>
      <c r="K33" s="27">
        <f t="shared" ca="1" si="3"/>
        <v>0.84326526641059751</v>
      </c>
      <c r="L33" s="29">
        <f t="shared" ca="1" si="7"/>
        <v>473540.29515990661</v>
      </c>
      <c r="N33" s="24">
        <f t="shared" ca="1" si="11"/>
        <v>44592</v>
      </c>
      <c r="O33" s="24">
        <f t="shared" ca="1" si="12"/>
        <v>44620</v>
      </c>
      <c r="P33" s="25">
        <f t="shared" ca="1" si="4"/>
        <v>840</v>
      </c>
      <c r="Q33" s="25">
        <f t="shared" ca="1" si="8"/>
        <v>6.8688803220158565</v>
      </c>
      <c r="R33" s="29">
        <f t="shared" ca="1" si="9"/>
        <v>534246.24726789992</v>
      </c>
      <c r="S33" s="28">
        <f ca="1">+interpLin(P33,Hoja1!$B$18:$B$147,Hoja1!$F$18:$F$147)</f>
        <v>7.5795252175787642</v>
      </c>
      <c r="T33" s="27">
        <f t="shared" ca="1" si="13"/>
        <v>0.84326526641059751</v>
      </c>
      <c r="U33" s="29">
        <f t="shared" ca="1" si="14"/>
        <v>450511.3040312276</v>
      </c>
    </row>
    <row r="34" spans="5:21" x14ac:dyDescent="0.25">
      <c r="E34" s="24">
        <f t="shared" ca="1" si="5"/>
        <v>44620</v>
      </c>
      <c r="F34" s="24">
        <f t="shared" ca="1" si="0"/>
        <v>44648</v>
      </c>
      <c r="G34" s="25">
        <f t="shared" ca="1" si="1"/>
        <v>868</v>
      </c>
      <c r="H34" s="25">
        <f t="shared" si="2"/>
        <v>7.22</v>
      </c>
      <c r="I34" s="29">
        <f t="shared" si="6"/>
        <v>561555.5555555555</v>
      </c>
      <c r="J34" s="28">
        <f ca="1">+interpLin(G34,Hoja1!$B$18:$B$147,Hoja1!$F$18:$F$147)</f>
        <v>7.56256824570396</v>
      </c>
      <c r="K34" s="27">
        <f t="shared" ca="1" si="3"/>
        <v>0.83880578608503331</v>
      </c>
      <c r="L34" s="29">
        <f t="shared" ca="1" si="7"/>
        <v>471036.04920819536</v>
      </c>
      <c r="N34" s="24">
        <f t="shared" ca="1" si="11"/>
        <v>44620</v>
      </c>
      <c r="O34" s="24">
        <f t="shared" ca="1" si="12"/>
        <v>44648</v>
      </c>
      <c r="P34" s="25">
        <f t="shared" ca="1" si="4"/>
        <v>868</v>
      </c>
      <c r="Q34" s="25">
        <f t="shared" ca="1" si="8"/>
        <v>6.8354530411625403</v>
      </c>
      <c r="R34" s="29">
        <f t="shared" ca="1" si="9"/>
        <v>531646.3476459753</v>
      </c>
      <c r="S34" s="28">
        <f ca="1">+interpLin(P34,Hoja1!$B$18:$B$147,Hoja1!$F$18:$F$147)</f>
        <v>7.56256824570396</v>
      </c>
      <c r="T34" s="27">
        <f t="shared" ca="1" si="13"/>
        <v>0.83880578608503331</v>
      </c>
      <c r="U34" s="29">
        <f t="shared" ca="1" si="14"/>
        <v>445948.0325564192</v>
      </c>
    </row>
    <row r="35" spans="5:21" x14ac:dyDescent="0.25">
      <c r="E35" s="24">
        <f t="shared" ca="1" si="5"/>
        <v>44648</v>
      </c>
      <c r="F35" s="24">
        <f t="shared" ca="1" si="0"/>
        <v>44676</v>
      </c>
      <c r="G35" s="25">
        <f t="shared" ca="1" si="1"/>
        <v>896</v>
      </c>
      <c r="H35" s="25">
        <f t="shared" si="2"/>
        <v>7.22</v>
      </c>
      <c r="I35" s="29">
        <f t="shared" si="6"/>
        <v>561555.5555555555</v>
      </c>
      <c r="J35" s="28">
        <f ca="1">+interpLin(G35,Hoja1!$B$18:$B$147,Hoja1!$F$18:$F$147)</f>
        <v>7.5455532537624714</v>
      </c>
      <c r="K35" s="27">
        <f t="shared" ca="1" si="3"/>
        <v>0.83439152087092616</v>
      </c>
      <c r="L35" s="29">
        <f t="shared" ca="1" si="7"/>
        <v>468557.19405351783</v>
      </c>
      <c r="N35" s="24">
        <f t="shared" ca="1" si="11"/>
        <v>44648</v>
      </c>
      <c r="O35" s="24">
        <f t="shared" ca="1" si="12"/>
        <v>44676</v>
      </c>
      <c r="P35" s="25">
        <f t="shared" ca="1" si="4"/>
        <v>896</v>
      </c>
      <c r="Q35" s="25">
        <f t="shared" ca="1" si="8"/>
        <v>6.8019433380450689</v>
      </c>
      <c r="R35" s="29">
        <f t="shared" ca="1" si="9"/>
        <v>529040.03740350541</v>
      </c>
      <c r="S35" s="28">
        <f ca="1">+interpLin(P35,Hoja1!$B$18:$B$147,Hoja1!$F$18:$F$147)</f>
        <v>7.5455532537624714</v>
      </c>
      <c r="T35" s="27">
        <f t="shared" ca="1" si="13"/>
        <v>0.83439152087092616</v>
      </c>
      <c r="U35" s="29">
        <f t="shared" ca="1" si="14"/>
        <v>441426.52141072252</v>
      </c>
    </row>
    <row r="36" spans="5:21" x14ac:dyDescent="0.25">
      <c r="E36" s="24">
        <f t="shared" ca="1" si="5"/>
        <v>44676</v>
      </c>
      <c r="F36" s="24">
        <f t="shared" ref="F36:F67" ca="1" si="15">+E36+28</f>
        <v>44704</v>
      </c>
      <c r="G36" s="25">
        <f t="shared" ref="G36:G67" ca="1" si="16">+F36-$E$4</f>
        <v>924</v>
      </c>
      <c r="H36" s="25">
        <f t="shared" ref="H36:H68" si="17">+$C$12</f>
        <v>7.22</v>
      </c>
      <c r="I36" s="29">
        <f t="shared" si="6"/>
        <v>561555.5555555555</v>
      </c>
      <c r="J36" s="28">
        <f ca="1">+interpLin(G36,Hoja1!$B$18:$B$147,Hoja1!$F$18:$F$147)</f>
        <v>7.5284831045449252</v>
      </c>
      <c r="K36" s="27">
        <f t="shared" ref="K36:K67" ca="1" si="18">+(1+J36%)^(-G36/360)</f>
        <v>0.83002205767691495</v>
      </c>
      <c r="L36" s="29">
        <f t="shared" ca="1" si="7"/>
        <v>466103.49772212532</v>
      </c>
      <c r="N36" s="24">
        <f t="shared" ca="1" si="11"/>
        <v>44676</v>
      </c>
      <c r="O36" s="24">
        <f t="shared" ca="1" si="12"/>
        <v>44704</v>
      </c>
      <c r="P36" s="25">
        <f t="shared" ref="P36:P67" ca="1" si="19">+O36-$E$4</f>
        <v>924</v>
      </c>
      <c r="Q36" s="25">
        <f t="shared" ca="1" si="8"/>
        <v>6.7683517534057485</v>
      </c>
      <c r="R36" s="29">
        <f t="shared" ca="1" si="9"/>
        <v>526427.35859822494</v>
      </c>
      <c r="S36" s="28">
        <f ca="1">+interpLin(P36,Hoja1!$B$18:$B$147,Hoja1!$F$18:$F$147)</f>
        <v>7.5284831045449252</v>
      </c>
      <c r="T36" s="27">
        <f t="shared" ca="1" si="13"/>
        <v>0.83002205767691495</v>
      </c>
      <c r="U36" s="29">
        <f t="shared" ca="1" si="14"/>
        <v>436946.31940112187</v>
      </c>
    </row>
    <row r="37" spans="5:21" x14ac:dyDescent="0.25">
      <c r="E37" s="24">
        <f t="shared" ref="E37:E68" ca="1" si="20">+F36</f>
        <v>44704</v>
      </c>
      <c r="F37" s="24">
        <f t="shared" ca="1" si="15"/>
        <v>44732</v>
      </c>
      <c r="G37" s="25">
        <f t="shared" ca="1" si="16"/>
        <v>952</v>
      </c>
      <c r="H37" s="25">
        <f t="shared" si="17"/>
        <v>7.22</v>
      </c>
      <c r="I37" s="29">
        <f t="shared" si="6"/>
        <v>561555.5555555555</v>
      </c>
      <c r="J37" s="28">
        <f ca="1">+interpLin(G37,Hoja1!$B$18:$B$147,Hoja1!$F$18:$F$147)</f>
        <v>7.5113603429240783</v>
      </c>
      <c r="K37" s="27">
        <f t="shared" ca="1" si="18"/>
        <v>0.82569698787354984</v>
      </c>
      <c r="L37" s="29">
        <f t="shared" ca="1" si="7"/>
        <v>463674.73074588005</v>
      </c>
      <c r="N37" s="24">
        <f t="shared" ca="1" si="11"/>
        <v>44704</v>
      </c>
      <c r="O37" s="24">
        <f t="shared" ca="1" si="12"/>
        <v>44732</v>
      </c>
      <c r="P37" s="25">
        <f t="shared" ca="1" si="19"/>
        <v>952</v>
      </c>
      <c r="Q37" s="25">
        <f t="shared" ref="Q37:Q68" ca="1" si="21">100*(T36/T37-1)*360/28+$C$17%</f>
        <v>6.7346788405017337</v>
      </c>
      <c r="R37" s="29">
        <f t="shared" ca="1" si="9"/>
        <v>523808.35426124599</v>
      </c>
      <c r="S37" s="28">
        <f ca="1">+interpLin(P37,Hoja1!$B$18:$B$147,Hoja1!$F$18:$F$147)</f>
        <v>7.5113603429240783</v>
      </c>
      <c r="T37" s="27">
        <f t="shared" ca="1" si="13"/>
        <v>0.82569698787354984</v>
      </c>
      <c r="U37" s="29">
        <f t="shared" ca="1" si="14"/>
        <v>432506.98033651215</v>
      </c>
    </row>
    <row r="38" spans="5:21" x14ac:dyDescent="0.25">
      <c r="E38" s="24">
        <f t="shared" ca="1" si="20"/>
        <v>44732</v>
      </c>
      <c r="F38" s="24">
        <f t="shared" ca="1" si="15"/>
        <v>44760</v>
      </c>
      <c r="G38" s="25">
        <f t="shared" ca="1" si="16"/>
        <v>980</v>
      </c>
      <c r="H38" s="25">
        <f t="shared" si="17"/>
        <v>7.22</v>
      </c>
      <c r="I38" s="29">
        <f t="shared" si="6"/>
        <v>561555.5555555555</v>
      </c>
      <c r="J38" s="28">
        <f ca="1">+interpLin(G38,Hoja1!$B$18:$B$147,Hoja1!$F$18:$F$147)</f>
        <v>7.4941872416420807</v>
      </c>
      <c r="K38" s="27">
        <f t="shared" ca="1" si="18"/>
        <v>0.82141590724386992</v>
      </c>
      <c r="L38" s="29">
        <f t="shared" ca="1" si="7"/>
        <v>461270.66613450204</v>
      </c>
      <c r="N38" s="24">
        <f t="shared" ca="1" si="11"/>
        <v>44732</v>
      </c>
      <c r="O38" s="24">
        <f t="shared" ca="1" si="12"/>
        <v>44760</v>
      </c>
      <c r="P38" s="25">
        <f t="shared" ca="1" si="19"/>
        <v>980</v>
      </c>
      <c r="Q38" s="25">
        <f t="shared" ca="1" si="21"/>
        <v>6.7009251651124471</v>
      </c>
      <c r="R38" s="29">
        <f t="shared" ca="1" si="9"/>
        <v>521183.06839763472</v>
      </c>
      <c r="S38" s="28">
        <f ca="1">+interpLin(P38,Hoja1!$B$18:$B$147,Hoja1!$F$18:$F$147)</f>
        <v>7.4941872416420807</v>
      </c>
      <c r="T38" s="27">
        <f t="shared" ca="1" si="13"/>
        <v>0.82141590724386992</v>
      </c>
      <c r="U38" s="29">
        <f t="shared" ca="1" si="14"/>
        <v>428108.06296798703</v>
      </c>
    </row>
    <row r="39" spans="5:21" x14ac:dyDescent="0.25">
      <c r="E39" s="24">
        <f t="shared" ca="1" si="20"/>
        <v>44760</v>
      </c>
      <c r="F39" s="24">
        <f t="shared" ca="1" si="15"/>
        <v>44788</v>
      </c>
      <c r="G39" s="25">
        <f t="shared" ca="1" si="16"/>
        <v>1008</v>
      </c>
      <c r="H39" s="25">
        <f t="shared" si="17"/>
        <v>7.22</v>
      </c>
      <c r="I39" s="29">
        <f t="shared" si="6"/>
        <v>561555.5555555555</v>
      </c>
      <c r="J39" s="28">
        <f ca="1">+interpLin(G39,Hoja1!$B$18:$B$147,Hoja1!$F$18:$F$147)</f>
        <v>7.4769658394663097</v>
      </c>
      <c r="K39" s="27">
        <f t="shared" ca="1" si="18"/>
        <v>0.81717841593457707</v>
      </c>
      <c r="L39" s="29">
        <f t="shared" ca="1" si="7"/>
        <v>458891.07934815023</v>
      </c>
      <c r="N39" s="24">
        <f t="shared" ca="1" si="11"/>
        <v>44760</v>
      </c>
      <c r="O39" s="24">
        <f t="shared" ca="1" si="12"/>
        <v>44788</v>
      </c>
      <c r="P39" s="25">
        <f t="shared" ca="1" si="19"/>
        <v>1008</v>
      </c>
      <c r="Q39" s="25">
        <f t="shared" ca="1" si="21"/>
        <v>6.6670913055347309</v>
      </c>
      <c r="R39" s="29">
        <f t="shared" ca="1" si="9"/>
        <v>518551.54598603462</v>
      </c>
      <c r="S39" s="28">
        <f ca="1">+interpLin(P39,Hoja1!$B$18:$B$147,Hoja1!$F$18:$F$147)</f>
        <v>7.4769658394663097</v>
      </c>
      <c r="T39" s="27">
        <f t="shared" ca="1" si="13"/>
        <v>0.81717841593457707</v>
      </c>
      <c r="U39" s="29">
        <f t="shared" ca="1" si="14"/>
        <v>423749.13092929375</v>
      </c>
    </row>
    <row r="40" spans="5:21" x14ac:dyDescent="0.25">
      <c r="E40" s="24">
        <f t="shared" ca="1" si="20"/>
        <v>44788</v>
      </c>
      <c r="F40" s="24">
        <f t="shared" ca="1" si="15"/>
        <v>44816</v>
      </c>
      <c r="G40" s="25">
        <f t="shared" ca="1" si="16"/>
        <v>1036</v>
      </c>
      <c r="H40" s="25">
        <f t="shared" si="17"/>
        <v>7.22</v>
      </c>
      <c r="I40" s="29">
        <f t="shared" si="6"/>
        <v>561555.5555555555</v>
      </c>
      <c r="J40" s="28">
        <f ca="1">+interpLin(G40,Hoja1!$B$18:$B$147,Hoja1!$F$18:$F$147)</f>
        <v>7.4596979731579527</v>
      </c>
      <c r="K40" s="27">
        <f t="shared" ca="1" si="18"/>
        <v>0.81298411840779117</v>
      </c>
      <c r="L40" s="29">
        <f t="shared" ca="1" si="7"/>
        <v>456535.74827033066</v>
      </c>
      <c r="N40" s="24">
        <f t="shared" ca="1" si="11"/>
        <v>44788</v>
      </c>
      <c r="O40" s="24">
        <f t="shared" ca="1" si="12"/>
        <v>44816</v>
      </c>
      <c r="P40" s="25">
        <f t="shared" ca="1" si="19"/>
        <v>1036</v>
      </c>
      <c r="Q40" s="25">
        <f t="shared" ca="1" si="21"/>
        <v>6.6331778525836924</v>
      </c>
      <c r="R40" s="29">
        <f t="shared" ca="1" si="9"/>
        <v>515913.83297873166</v>
      </c>
      <c r="S40" s="28">
        <f ca="1">+interpLin(P40,Hoja1!$B$18:$B$147,Hoja1!$F$18:$F$147)</f>
        <v>7.4596979731579527</v>
      </c>
      <c r="T40" s="27">
        <f t="shared" ca="1" si="13"/>
        <v>0.81298411840779117</v>
      </c>
      <c r="U40" s="29">
        <f t="shared" ca="1" si="14"/>
        <v>419429.75267859857</v>
      </c>
    </row>
    <row r="41" spans="5:21" x14ac:dyDescent="0.25">
      <c r="E41" s="24">
        <f t="shared" ca="1" si="20"/>
        <v>44816</v>
      </c>
      <c r="F41" s="24">
        <f t="shared" ca="1" si="15"/>
        <v>44844</v>
      </c>
      <c r="G41" s="25">
        <f t="shared" ca="1" si="16"/>
        <v>1064</v>
      </c>
      <c r="H41" s="25">
        <f t="shared" si="17"/>
        <v>7.22</v>
      </c>
      <c r="I41" s="29">
        <f t="shared" si="6"/>
        <v>561555.5555555555</v>
      </c>
      <c r="J41" s="28">
        <f ca="1">+interpLin(G41,Hoja1!$B$18:$B$147,Hoja1!$F$18:$F$147)</f>
        <v>7.4423853043923405</v>
      </c>
      <c r="K41" s="27">
        <f t="shared" ca="1" si="18"/>
        <v>0.8088326233933878</v>
      </c>
      <c r="L41" s="29">
        <f t="shared" ca="1" si="7"/>
        <v>454204.45318113128</v>
      </c>
      <c r="N41" s="24">
        <f t="shared" ca="1" si="11"/>
        <v>44816</v>
      </c>
      <c r="O41" s="24">
        <f t="shared" ca="1" si="12"/>
        <v>44844</v>
      </c>
      <c r="P41" s="25">
        <f t="shared" ca="1" si="19"/>
        <v>1064</v>
      </c>
      <c r="Q41" s="25">
        <f t="shared" ca="1" si="21"/>
        <v>6.5991854095801541</v>
      </c>
      <c r="R41" s="29">
        <f t="shared" ca="1" si="9"/>
        <v>513269.97630067857</v>
      </c>
      <c r="S41" s="28">
        <f ca="1">+interpLin(P41,Hoja1!$B$18:$B$147,Hoja1!$F$18:$F$147)</f>
        <v>7.4423853043923405</v>
      </c>
      <c r="T41" s="27">
        <f t="shared" ca="1" si="13"/>
        <v>0.8088326233933878</v>
      </c>
      <c r="U41" s="29">
        <f t="shared" ca="1" si="14"/>
        <v>415149.50144033984</v>
      </c>
    </row>
    <row r="42" spans="5:21" x14ac:dyDescent="0.25">
      <c r="E42" s="24">
        <f t="shared" ca="1" si="20"/>
        <v>44844</v>
      </c>
      <c r="F42" s="24">
        <f t="shared" ca="1" si="15"/>
        <v>44872</v>
      </c>
      <c r="G42" s="25">
        <f t="shared" ca="1" si="16"/>
        <v>1092</v>
      </c>
      <c r="H42" s="25">
        <f t="shared" si="17"/>
        <v>7.22</v>
      </c>
      <c r="I42" s="29">
        <f t="shared" si="6"/>
        <v>561555.5555555555</v>
      </c>
      <c r="J42" s="28">
        <f ca="1">+interpLin(G42,Hoja1!$B$18:$B$147,Hoja1!$F$18:$F$147)</f>
        <v>7.425029342537548</v>
      </c>
      <c r="K42" s="27">
        <f t="shared" ca="1" si="18"/>
        <v>0.80472354384190081</v>
      </c>
      <c r="L42" s="29">
        <f t="shared" ca="1" si="7"/>
        <v>451896.97673077404</v>
      </c>
      <c r="N42" s="24">
        <f t="shared" ca="1" si="11"/>
        <v>44844</v>
      </c>
      <c r="O42" s="24">
        <f t="shared" ca="1" si="12"/>
        <v>44872</v>
      </c>
      <c r="P42" s="25">
        <f t="shared" ca="1" si="19"/>
        <v>1092</v>
      </c>
      <c r="Q42" s="25">
        <f t="shared" ca="1" si="21"/>
        <v>6.5651145923489391</v>
      </c>
      <c r="R42" s="29">
        <f t="shared" ca="1" si="9"/>
        <v>510620.02384936187</v>
      </c>
      <c r="S42" s="28">
        <f ca="1">+interpLin(P42,Hoja1!$B$18:$B$147,Hoja1!$F$18:$F$147)</f>
        <v>7.425029342537548</v>
      </c>
      <c r="T42" s="27">
        <f t="shared" ca="1" si="13"/>
        <v>0.80472354384190081</v>
      </c>
      <c r="U42" s="29">
        <f t="shared" ca="1" si="14"/>
        <v>410907.9551486944</v>
      </c>
    </row>
    <row r="43" spans="5:21" x14ac:dyDescent="0.25">
      <c r="E43" s="24">
        <f t="shared" ca="1" si="20"/>
        <v>44872</v>
      </c>
      <c r="F43" s="24">
        <f t="shared" ca="1" si="15"/>
        <v>44900</v>
      </c>
      <c r="G43" s="25">
        <f t="shared" ca="1" si="16"/>
        <v>1120</v>
      </c>
      <c r="H43" s="25">
        <f t="shared" si="17"/>
        <v>7.22</v>
      </c>
      <c r="I43" s="29">
        <f t="shared" si="6"/>
        <v>561555.5555555555</v>
      </c>
      <c r="J43" s="28">
        <f ca="1">+interpLin(G43,Hoja1!$B$18:$B$147,Hoja1!$F$18:$F$147)</f>
        <v>7.4245321795087138</v>
      </c>
      <c r="K43" s="27">
        <f t="shared" ca="1" si="18"/>
        <v>0.80026467268288848</v>
      </c>
      <c r="L43" s="29">
        <f t="shared" ca="1" si="7"/>
        <v>449393.07285992423</v>
      </c>
      <c r="N43" s="24">
        <f t="shared" ca="1" si="11"/>
        <v>44872</v>
      </c>
      <c r="O43" s="24">
        <f t="shared" ca="1" si="12"/>
        <v>44900</v>
      </c>
      <c r="P43" s="25">
        <f t="shared" ca="1" si="19"/>
        <v>1120</v>
      </c>
      <c r="Q43" s="25">
        <f t="shared" ca="1" si="21"/>
        <v>7.163672898470308</v>
      </c>
      <c r="R43" s="29">
        <f t="shared" ca="1" si="9"/>
        <v>557174.55876991281</v>
      </c>
      <c r="S43" s="28">
        <f ca="1">+interpLin(P43,Hoja1!$B$18:$B$147,Hoja1!$F$18:$F$147)</f>
        <v>7.4245321795087138</v>
      </c>
      <c r="T43" s="27">
        <f t="shared" ca="1" si="13"/>
        <v>0.80026467268288848</v>
      </c>
      <c r="U43" s="29">
        <f t="shared" ca="1" si="14"/>
        <v>445887.11590123706</v>
      </c>
    </row>
    <row r="44" spans="5:21" x14ac:dyDescent="0.25">
      <c r="E44" s="24">
        <f t="shared" ca="1" si="20"/>
        <v>44900</v>
      </c>
      <c r="F44" s="24">
        <f t="shared" ca="1" si="15"/>
        <v>44928</v>
      </c>
      <c r="G44" s="25">
        <f t="shared" ca="1" si="16"/>
        <v>1148</v>
      </c>
      <c r="H44" s="25">
        <f t="shared" si="17"/>
        <v>7.22</v>
      </c>
      <c r="I44" s="29">
        <f t="shared" si="6"/>
        <v>561555.5555555555</v>
      </c>
      <c r="J44" s="28">
        <f ca="1">+interpLin(G44,Hoja1!$B$18:$B$147,Hoja1!$F$18:$F$147)</f>
        <v>7.4239916928385608</v>
      </c>
      <c r="K44" s="27">
        <f t="shared" ca="1" si="18"/>
        <v>0.7958321040381845</v>
      </c>
      <c r="L44" s="29">
        <f t="shared" ca="1" si="7"/>
        <v>446903.93931210932</v>
      </c>
      <c r="N44" s="24">
        <f t="shared" ca="1" si="11"/>
        <v>44900</v>
      </c>
      <c r="O44" s="24">
        <f t="shared" ca="1" si="12"/>
        <v>44928</v>
      </c>
      <c r="P44" s="25">
        <f t="shared" ca="1" si="19"/>
        <v>1148</v>
      </c>
      <c r="Q44" s="25">
        <f t="shared" ca="1" si="21"/>
        <v>7.1610793281489435</v>
      </c>
      <c r="R44" s="29">
        <f t="shared" ca="1" si="9"/>
        <v>556972.8366338067</v>
      </c>
      <c r="S44" s="28">
        <f ca="1">+interpLin(P44,Hoja1!$B$18:$B$147,Hoja1!$F$18:$F$147)</f>
        <v>7.4239916928385608</v>
      </c>
      <c r="T44" s="27">
        <f t="shared" ca="1" si="13"/>
        <v>0.7958321040381845</v>
      </c>
      <c r="U44" s="29">
        <f t="shared" ca="1" si="14"/>
        <v>443256.8644703984</v>
      </c>
    </row>
    <row r="45" spans="5:21" x14ac:dyDescent="0.25">
      <c r="E45" s="24">
        <f t="shared" ca="1" si="20"/>
        <v>44928</v>
      </c>
      <c r="F45" s="24">
        <f t="shared" ca="1" si="15"/>
        <v>44956</v>
      </c>
      <c r="G45" s="25">
        <f t="shared" ca="1" si="16"/>
        <v>1176</v>
      </c>
      <c r="H45" s="25">
        <f t="shared" si="17"/>
        <v>7.22</v>
      </c>
      <c r="I45" s="29">
        <f t="shared" si="6"/>
        <v>561555.5555555555</v>
      </c>
      <c r="J45" s="28">
        <f ca="1">+interpLin(G45,Hoja1!$B$18:$B$147,Hoja1!$F$18:$F$147)</f>
        <v>7.4234107764939772</v>
      </c>
      <c r="K45" s="27">
        <f t="shared" ca="1" si="18"/>
        <v>0.7914256793332628</v>
      </c>
      <c r="L45" s="29">
        <f t="shared" ca="1" si="7"/>
        <v>444429.48703892331</v>
      </c>
      <c r="N45" s="24">
        <f t="shared" ca="1" si="11"/>
        <v>44928</v>
      </c>
      <c r="O45" s="24">
        <f t="shared" ca="1" si="12"/>
        <v>44956</v>
      </c>
      <c r="P45" s="25">
        <f t="shared" ca="1" si="19"/>
        <v>1176</v>
      </c>
      <c r="Q45" s="25">
        <f t="shared" ca="1" si="21"/>
        <v>7.1584778457214657</v>
      </c>
      <c r="R45" s="29">
        <f t="shared" ca="1" si="9"/>
        <v>556770.49911166949</v>
      </c>
      <c r="S45" s="28">
        <f ca="1">+interpLin(P45,Hoja1!$B$18:$B$147,Hoja1!$F$18:$F$147)</f>
        <v>7.4234107764939772</v>
      </c>
      <c r="T45" s="27">
        <f t="shared" ca="1" si="13"/>
        <v>0.7914256793332628</v>
      </c>
      <c r="U45" s="29">
        <f t="shared" ca="1" si="14"/>
        <v>440642.47049217281</v>
      </c>
    </row>
    <row r="46" spans="5:21" x14ac:dyDescent="0.25">
      <c r="E46" s="24">
        <f t="shared" ca="1" si="20"/>
        <v>44956</v>
      </c>
      <c r="F46" s="24">
        <f t="shared" ca="1" si="15"/>
        <v>44984</v>
      </c>
      <c r="G46" s="25">
        <f t="shared" ca="1" si="16"/>
        <v>1204</v>
      </c>
      <c r="H46" s="25">
        <f t="shared" si="17"/>
        <v>7.22</v>
      </c>
      <c r="I46" s="29">
        <f t="shared" si="6"/>
        <v>561555.5555555555</v>
      </c>
      <c r="J46" s="28">
        <f ca="1">+interpLin(G46,Hoja1!$B$18:$B$147,Hoja1!$F$18:$F$147)</f>
        <v>7.4227920543412873</v>
      </c>
      <c r="K46" s="27">
        <f t="shared" ca="1" si="18"/>
        <v>0.78704524097126072</v>
      </c>
      <c r="L46" s="29">
        <f t="shared" ca="1" si="7"/>
        <v>441969.62754097237</v>
      </c>
      <c r="N46" s="24">
        <f t="shared" ca="1" si="11"/>
        <v>44956</v>
      </c>
      <c r="O46" s="24">
        <f t="shared" ca="1" si="12"/>
        <v>44984</v>
      </c>
      <c r="P46" s="25">
        <f t="shared" ca="1" si="19"/>
        <v>1204</v>
      </c>
      <c r="Q46" s="25">
        <f t="shared" ca="1" si="21"/>
        <v>7.1558684133161687</v>
      </c>
      <c r="R46" s="29">
        <f t="shared" ca="1" si="9"/>
        <v>556567.54325792426</v>
      </c>
      <c r="S46" s="28">
        <f ca="1">+interpLin(P46,Hoja1!$B$18:$B$147,Hoja1!$F$18:$F$147)</f>
        <v>7.4227920543412873</v>
      </c>
      <c r="T46" s="27">
        <f t="shared" ca="1" si="13"/>
        <v>0.78704524097126072</v>
      </c>
      <c r="U46" s="29">
        <f t="shared" ca="1" si="14"/>
        <v>438043.83620021556</v>
      </c>
    </row>
    <row r="47" spans="5:21" x14ac:dyDescent="0.25">
      <c r="E47" s="24">
        <f t="shared" ca="1" si="20"/>
        <v>44984</v>
      </c>
      <c r="F47" s="24">
        <f t="shared" ca="1" si="15"/>
        <v>45012</v>
      </c>
      <c r="G47" s="25">
        <f t="shared" ca="1" si="16"/>
        <v>1232</v>
      </c>
      <c r="H47" s="25">
        <f t="shared" si="17"/>
        <v>7.22</v>
      </c>
      <c r="I47" s="29">
        <f t="shared" si="6"/>
        <v>561555.5555555555</v>
      </c>
      <c r="J47" s="28">
        <f ca="1">+interpLin(G47,Hoja1!$B$18:$B$147,Hoja1!$F$18:$F$147)</f>
        <v>7.4221379108318608</v>
      </c>
      <c r="K47" s="27">
        <f t="shared" ca="1" si="18"/>
        <v>0.78269063232682912</v>
      </c>
      <c r="L47" s="29">
        <f t="shared" ca="1" si="7"/>
        <v>439524.27286442154</v>
      </c>
      <c r="N47" s="24">
        <f t="shared" ca="1" si="11"/>
        <v>44984</v>
      </c>
      <c r="O47" s="24">
        <f t="shared" ca="1" si="12"/>
        <v>45012</v>
      </c>
      <c r="P47" s="25">
        <f t="shared" ca="1" si="19"/>
        <v>1232</v>
      </c>
      <c r="Q47" s="25">
        <f t="shared" ca="1" si="21"/>
        <v>7.1532509929194612</v>
      </c>
      <c r="R47" s="29">
        <f t="shared" ca="1" si="9"/>
        <v>556363.96611595817</v>
      </c>
      <c r="S47" s="28">
        <f ca="1">+interpLin(P47,Hoja1!$B$18:$B$147,Hoja1!$F$18:$F$147)</f>
        <v>7.4221379108318608</v>
      </c>
      <c r="T47" s="27">
        <f t="shared" ca="1" si="13"/>
        <v>0.78269063232682912</v>
      </c>
      <c r="U47" s="29">
        <f t="shared" ca="1" si="14"/>
        <v>435460.86444316182</v>
      </c>
    </row>
    <row r="48" spans="5:21" x14ac:dyDescent="0.25">
      <c r="E48" s="24">
        <f t="shared" ca="1" si="20"/>
        <v>45012</v>
      </c>
      <c r="F48" s="24">
        <f t="shared" ca="1" si="15"/>
        <v>45040</v>
      </c>
      <c r="G48" s="25">
        <f t="shared" ca="1" si="16"/>
        <v>1260</v>
      </c>
      <c r="H48" s="25">
        <f t="shared" si="17"/>
        <v>7.22</v>
      </c>
      <c r="I48" s="29">
        <f t="shared" si="6"/>
        <v>561555.5555555555</v>
      </c>
      <c r="J48" s="28">
        <f ca="1">+interpLin(G48,Hoja1!$B$18:$B$147,Hoja1!$F$18:$F$147)</f>
        <v>7.4214505175973056</v>
      </c>
      <c r="K48" s="27">
        <f t="shared" ca="1" si="18"/>
        <v>0.77836169774001251</v>
      </c>
      <c r="L48" s="29">
        <f t="shared" ca="1" si="7"/>
        <v>437093.33559755812</v>
      </c>
      <c r="N48" s="24">
        <f t="shared" ca="1" si="11"/>
        <v>45012</v>
      </c>
      <c r="O48" s="24">
        <f t="shared" ca="1" si="12"/>
        <v>45040</v>
      </c>
      <c r="P48" s="25">
        <f t="shared" ca="1" si="19"/>
        <v>1260</v>
      </c>
      <c r="Q48" s="25">
        <f t="shared" ca="1" si="21"/>
        <v>7.1506255463918507</v>
      </c>
      <c r="R48" s="29">
        <f t="shared" ca="1" si="9"/>
        <v>556159.7647193661</v>
      </c>
      <c r="S48" s="28">
        <f ca="1">+interpLin(P48,Hoja1!$B$18:$B$147,Hoja1!$F$18:$F$147)</f>
        <v>7.4214505175973056</v>
      </c>
      <c r="T48" s="27">
        <f t="shared" ca="1" si="13"/>
        <v>0.77836169774001251</v>
      </c>
      <c r="U48" s="29">
        <f t="shared" ca="1" si="14"/>
        <v>432893.45868165168</v>
      </c>
    </row>
    <row r="49" spans="5:21" x14ac:dyDescent="0.25">
      <c r="E49" s="24">
        <f t="shared" ca="1" si="20"/>
        <v>45040</v>
      </c>
      <c r="F49" s="24">
        <f t="shared" ca="1" si="15"/>
        <v>45068</v>
      </c>
      <c r="G49" s="25">
        <f t="shared" ca="1" si="16"/>
        <v>1288</v>
      </c>
      <c r="H49" s="25">
        <f t="shared" si="17"/>
        <v>7.22</v>
      </c>
      <c r="I49" s="29">
        <f t="shared" si="6"/>
        <v>561555.5555555555</v>
      </c>
      <c r="J49" s="28">
        <f ca="1">+interpLin(G49,Hoja1!$B$18:$B$147,Hoja1!$F$18:$F$147)</f>
        <v>7.4207318565758129</v>
      </c>
      <c r="K49" s="27">
        <f t="shared" ca="1" si="18"/>
        <v>0.77405828251017705</v>
      </c>
      <c r="L49" s="29">
        <f t="shared" ca="1" si="7"/>
        <v>434676.72886738164</v>
      </c>
      <c r="N49" s="24">
        <f t="shared" ca="1" si="11"/>
        <v>45040</v>
      </c>
      <c r="O49" s="24">
        <f t="shared" ca="1" si="12"/>
        <v>45068</v>
      </c>
      <c r="P49" s="25">
        <f t="shared" ca="1" si="19"/>
        <v>1288</v>
      </c>
      <c r="Q49" s="25">
        <f t="shared" ca="1" si="21"/>
        <v>7.1479920354539574</v>
      </c>
      <c r="R49" s="29">
        <f t="shared" ca="1" si="9"/>
        <v>555954.93609086343</v>
      </c>
      <c r="S49" s="28">
        <f ca="1">+interpLin(P49,Hoja1!$B$18:$B$147,Hoja1!$F$18:$F$147)</f>
        <v>7.4207318565758129</v>
      </c>
      <c r="T49" s="27">
        <f t="shared" ca="1" si="13"/>
        <v>0.77405828251017705</v>
      </c>
      <c r="U49" s="29">
        <f t="shared" ca="1" si="14"/>
        <v>430341.52298354899</v>
      </c>
    </row>
    <row r="50" spans="5:21" x14ac:dyDescent="0.25">
      <c r="E50" s="24">
        <f t="shared" ca="1" si="20"/>
        <v>45068</v>
      </c>
      <c r="F50" s="24">
        <f t="shared" ca="1" si="15"/>
        <v>45096</v>
      </c>
      <c r="G50" s="25">
        <f t="shared" ca="1" si="16"/>
        <v>1316</v>
      </c>
      <c r="H50" s="25">
        <f t="shared" si="17"/>
        <v>7.22</v>
      </c>
      <c r="I50" s="29">
        <f t="shared" si="6"/>
        <v>561555.5555555555</v>
      </c>
      <c r="J50" s="28">
        <f ca="1">+interpLin(G50,Hoja1!$B$18:$B$147,Hoja1!$F$18:$F$147)</f>
        <v>7.4199837401868862</v>
      </c>
      <c r="K50" s="27">
        <f t="shared" ca="1" si="18"/>
        <v>0.76978023288996933</v>
      </c>
      <c r="L50" s="29">
        <f t="shared" ca="1" si="7"/>
        <v>432274.36633621162</v>
      </c>
      <c r="N50" s="24">
        <f t="shared" ca="1" si="11"/>
        <v>45068</v>
      </c>
      <c r="O50" s="24">
        <f t="shared" ca="1" si="12"/>
        <v>45096</v>
      </c>
      <c r="P50" s="25">
        <f t="shared" ca="1" si="19"/>
        <v>1316</v>
      </c>
      <c r="Q50" s="25">
        <f t="shared" ca="1" si="21"/>
        <v>7.1453504216987893</v>
      </c>
      <c r="R50" s="29">
        <f t="shared" ca="1" si="9"/>
        <v>555749.47724323918</v>
      </c>
      <c r="S50" s="28">
        <f ca="1">+interpLin(P50,Hoja1!$B$18:$B$147,Hoja1!$F$18:$F$147)</f>
        <v>7.4199837401868862</v>
      </c>
      <c r="T50" s="27">
        <f t="shared" ca="1" si="13"/>
        <v>0.76978023288996933</v>
      </c>
      <c r="U50" s="29">
        <f t="shared" ca="1" si="14"/>
        <v>427804.96202077938</v>
      </c>
    </row>
    <row r="51" spans="5:21" x14ac:dyDescent="0.25">
      <c r="E51" s="24">
        <f t="shared" ca="1" si="20"/>
        <v>45096</v>
      </c>
      <c r="F51" s="24">
        <f t="shared" ca="1" si="15"/>
        <v>45124</v>
      </c>
      <c r="G51" s="25">
        <f t="shared" ca="1" si="16"/>
        <v>1344</v>
      </c>
      <c r="H51" s="25">
        <f t="shared" si="17"/>
        <v>7.22</v>
      </c>
      <c r="I51" s="29">
        <f t="shared" si="6"/>
        <v>561555.5555555555</v>
      </c>
      <c r="J51" s="28">
        <f ca="1">+interpLin(G51,Hoja1!$B$18:$B$147,Hoja1!$F$18:$F$147)</f>
        <v>7.41920782898422</v>
      </c>
      <c r="K51" s="27">
        <f t="shared" ca="1" si="18"/>
        <v>0.7655273960793233</v>
      </c>
      <c r="L51" s="29">
        <f t="shared" ca="1" si="7"/>
        <v>429886.16219832218</v>
      </c>
      <c r="N51" s="24">
        <f t="shared" ca="1" si="11"/>
        <v>45096</v>
      </c>
      <c r="O51" s="24">
        <f t="shared" ca="1" si="12"/>
        <v>45124</v>
      </c>
      <c r="P51" s="25">
        <f t="shared" ca="1" si="19"/>
        <v>1344</v>
      </c>
      <c r="Q51" s="25">
        <f t="shared" ca="1" si="21"/>
        <v>7.1427006665774693</v>
      </c>
      <c r="R51" s="29">
        <f t="shared" ca="1" si="9"/>
        <v>555543.38517824758</v>
      </c>
      <c r="S51" s="28">
        <f ca="1">+interpLin(P51,Hoja1!$B$18:$B$147,Hoja1!$F$18:$F$147)</f>
        <v>7.41920782898422</v>
      </c>
      <c r="T51" s="27">
        <f t="shared" ca="1" si="13"/>
        <v>0.7655273960793233</v>
      </c>
      <c r="U51" s="29">
        <f t="shared" ca="1" si="14"/>
        <v>425283.6810645964</v>
      </c>
    </row>
    <row r="52" spans="5:21" x14ac:dyDescent="0.25">
      <c r="E52" s="24">
        <f t="shared" ca="1" si="20"/>
        <v>45124</v>
      </c>
      <c r="F52" s="24">
        <f t="shared" ca="1" si="15"/>
        <v>45152</v>
      </c>
      <c r="G52" s="25">
        <f t="shared" ca="1" si="16"/>
        <v>1372</v>
      </c>
      <c r="H52" s="25">
        <f t="shared" si="17"/>
        <v>7.22</v>
      </c>
      <c r="I52" s="29">
        <f t="shared" si="6"/>
        <v>561555.5555555555</v>
      </c>
      <c r="J52" s="28">
        <f ca="1">+interpLin(G52,Hoja1!$B$18:$B$147,Hoja1!$F$18:$F$147)</f>
        <v>7.4184056471475746</v>
      </c>
      <c r="K52" s="27">
        <f t="shared" ca="1" si="18"/>
        <v>0.76129962021949737</v>
      </c>
      <c r="L52" s="29">
        <f t="shared" ca="1" si="7"/>
        <v>427512.03117659327</v>
      </c>
      <c r="N52" s="24">
        <f t="shared" ca="1" si="11"/>
        <v>45124</v>
      </c>
      <c r="O52" s="24">
        <f t="shared" ca="1" si="12"/>
        <v>45152</v>
      </c>
      <c r="P52" s="25">
        <f t="shared" ca="1" si="19"/>
        <v>1372</v>
      </c>
      <c r="Q52" s="25">
        <f t="shared" ca="1" si="21"/>
        <v>7.1400427314135069</v>
      </c>
      <c r="R52" s="29">
        <f t="shared" ca="1" si="9"/>
        <v>555336.6568877172</v>
      </c>
      <c r="S52" s="28">
        <f ca="1">+interpLin(P52,Hoja1!$B$18:$B$147,Hoja1!$F$18:$F$147)</f>
        <v>7.4184056471475746</v>
      </c>
      <c r="T52" s="27">
        <f t="shared" ca="1" si="13"/>
        <v>0.76129962021949737</v>
      </c>
      <c r="U52" s="29">
        <f t="shared" ca="1" si="14"/>
        <v>422777.58598258439</v>
      </c>
    </row>
    <row r="53" spans="5:21" x14ac:dyDescent="0.25">
      <c r="E53" s="24">
        <f t="shared" ca="1" si="20"/>
        <v>45152</v>
      </c>
      <c r="F53" s="24">
        <f t="shared" ca="1" si="15"/>
        <v>45180</v>
      </c>
      <c r="G53" s="25">
        <f t="shared" ca="1" si="16"/>
        <v>1400</v>
      </c>
      <c r="H53" s="25">
        <f t="shared" si="17"/>
        <v>7.22</v>
      </c>
      <c r="I53" s="29">
        <f t="shared" si="6"/>
        <v>561555.5555555555</v>
      </c>
      <c r="J53" s="28">
        <f ca="1">+interpLin(G53,Hoja1!$B$18:$B$147,Hoja1!$F$18:$F$147)</f>
        <v>7.4175785961156926</v>
      </c>
      <c r="K53" s="27">
        <f t="shared" ca="1" si="18"/>
        <v>0.75709675438715396</v>
      </c>
      <c r="L53" s="29">
        <f t="shared" ca="1" si="7"/>
        <v>425151.88851918618</v>
      </c>
      <c r="N53" s="24">
        <f t="shared" ca="1" si="11"/>
        <v>45152</v>
      </c>
      <c r="O53" s="24">
        <f t="shared" ca="1" si="12"/>
        <v>45180</v>
      </c>
      <c r="P53" s="25">
        <f t="shared" ca="1" si="19"/>
        <v>1400</v>
      </c>
      <c r="Q53" s="25">
        <f t="shared" ca="1" si="21"/>
        <v>7.1373765773948037</v>
      </c>
      <c r="R53" s="29">
        <f t="shared" ca="1" si="9"/>
        <v>555129.28935292922</v>
      </c>
      <c r="S53" s="28">
        <f ca="1">+interpLin(P53,Hoja1!$B$18:$B$147,Hoja1!$F$18:$F$147)</f>
        <v>7.4175785961156926</v>
      </c>
      <c r="T53" s="27">
        <f t="shared" ca="1" si="13"/>
        <v>0.75709675438715396</v>
      </c>
      <c r="U53" s="29">
        <f t="shared" ca="1" si="14"/>
        <v>420286.58323434996</v>
      </c>
    </row>
    <row r="54" spans="5:21" x14ac:dyDescent="0.25">
      <c r="E54" s="24">
        <f t="shared" ca="1" si="20"/>
        <v>45180</v>
      </c>
      <c r="F54" s="24">
        <f t="shared" ca="1" si="15"/>
        <v>45208</v>
      </c>
      <c r="G54" s="25">
        <f t="shared" ca="1" si="16"/>
        <v>1428</v>
      </c>
      <c r="H54" s="25">
        <f t="shared" si="17"/>
        <v>7.22</v>
      </c>
      <c r="I54" s="29">
        <f t="shared" si="6"/>
        <v>561555.5555555555</v>
      </c>
      <c r="J54" s="28">
        <f ca="1">+interpLin(G54,Hoja1!$B$18:$B$147,Hoja1!$F$18:$F$147)</f>
        <v>7.4167279666155883</v>
      </c>
      <c r="K54" s="27">
        <f t="shared" ca="1" si="18"/>
        <v>0.75291864858847524</v>
      </c>
      <c r="L54" s="29">
        <f t="shared" ca="1" si="7"/>
        <v>422805.64999623928</v>
      </c>
      <c r="N54" s="24">
        <f t="shared" ca="1" si="11"/>
        <v>45180</v>
      </c>
      <c r="O54" s="24">
        <f t="shared" ca="1" si="12"/>
        <v>45208</v>
      </c>
      <c r="P54" s="25">
        <f t="shared" ca="1" si="19"/>
        <v>1428</v>
      </c>
      <c r="Q54" s="25">
        <f t="shared" ca="1" si="21"/>
        <v>7.1347021655762282</v>
      </c>
      <c r="R54" s="29">
        <f t="shared" ca="1" si="9"/>
        <v>554921.27954481787</v>
      </c>
      <c r="S54" s="28">
        <f ca="1">+interpLin(P54,Hoja1!$B$18:$B$147,Hoja1!$F$18:$F$147)</f>
        <v>7.4167279666155883</v>
      </c>
      <c r="T54" s="27">
        <f t="shared" ca="1" si="13"/>
        <v>0.75291864858847524</v>
      </c>
      <c r="U54" s="29">
        <f t="shared" ca="1" si="14"/>
        <v>417810.57986787177</v>
      </c>
    </row>
    <row r="55" spans="5:21" x14ac:dyDescent="0.25">
      <c r="E55" s="24">
        <f t="shared" ca="1" si="20"/>
        <v>45208</v>
      </c>
      <c r="F55" s="24">
        <f t="shared" ca="1" si="15"/>
        <v>45236</v>
      </c>
      <c r="G55" s="25">
        <f t="shared" ca="1" si="16"/>
        <v>1456</v>
      </c>
      <c r="H55" s="25">
        <f t="shared" si="17"/>
        <v>7.22</v>
      </c>
      <c r="I55" s="29">
        <f t="shared" si="6"/>
        <v>561555.5555555555</v>
      </c>
      <c r="J55" s="28">
        <f ca="1">+interpLin(G55,Hoja1!$B$18:$B$147,Hoja1!$F$18:$F$147)</f>
        <v>7.4158549493039239</v>
      </c>
      <c r="K55" s="27">
        <f t="shared" ca="1" si="18"/>
        <v>0.74876515375331965</v>
      </c>
      <c r="L55" s="29">
        <f t="shared" ca="1" si="7"/>
        <v>420473.23189658637</v>
      </c>
      <c r="N55" s="24">
        <f t="shared" ca="1" si="11"/>
        <v>45208</v>
      </c>
      <c r="O55" s="24">
        <f t="shared" ca="1" si="12"/>
        <v>45236</v>
      </c>
      <c r="P55" s="25">
        <f t="shared" ca="1" si="19"/>
        <v>1456</v>
      </c>
      <c r="Q55" s="25">
        <f t="shared" ca="1" si="21"/>
        <v>7.1320194568767556</v>
      </c>
      <c r="R55" s="29">
        <f t="shared" ca="1" si="9"/>
        <v>554712.62442374765</v>
      </c>
      <c r="S55" s="28">
        <f ca="1">+interpLin(P55,Hoja1!$B$18:$B$147,Hoja1!$F$18:$F$147)</f>
        <v>7.4158549493039239</v>
      </c>
      <c r="T55" s="27">
        <f t="shared" ca="1" si="13"/>
        <v>0.74876515375331965</v>
      </c>
      <c r="U55" s="29">
        <f t="shared" ca="1" si="14"/>
        <v>415349.48351555486</v>
      </c>
    </row>
    <row r="56" spans="5:21" x14ac:dyDescent="0.25">
      <c r="E56" s="24">
        <f t="shared" ca="1" si="20"/>
        <v>45236</v>
      </c>
      <c r="F56" s="24">
        <f t="shared" ca="1" si="15"/>
        <v>45264</v>
      </c>
      <c r="G56" s="25">
        <f t="shared" ca="1" si="16"/>
        <v>1484</v>
      </c>
      <c r="H56" s="25">
        <f t="shared" si="17"/>
        <v>7.22</v>
      </c>
      <c r="I56" s="29">
        <f t="shared" si="6"/>
        <v>561555.5555555555</v>
      </c>
      <c r="J56" s="28">
        <f ca="1">+interpLin(G56,Hoja1!$B$18:$B$147,Hoja1!$F$18:$F$147)</f>
        <v>7.4182843239699814</v>
      </c>
      <c r="K56" s="27">
        <f t="shared" ca="1" si="18"/>
        <v>0.74454114975131747</v>
      </c>
      <c r="L56" s="29">
        <f t="shared" ca="1" si="7"/>
        <v>418101.21898257313</v>
      </c>
      <c r="N56" s="24">
        <f t="shared" ca="1" si="11"/>
        <v>45236</v>
      </c>
      <c r="O56" s="24">
        <f t="shared" ca="1" si="12"/>
        <v>45264</v>
      </c>
      <c r="P56" s="25">
        <f t="shared" ca="1" si="19"/>
        <v>1484</v>
      </c>
      <c r="Q56" s="25">
        <f t="shared" ca="1" si="21"/>
        <v>7.2942406072551425</v>
      </c>
      <c r="R56" s="29">
        <f t="shared" ca="1" si="9"/>
        <v>567329.8250087332</v>
      </c>
      <c r="S56" s="28">
        <f ca="1">+interpLin(P56,Hoja1!$B$18:$B$147,Hoja1!$F$18:$F$147)</f>
        <v>7.4182843239699814</v>
      </c>
      <c r="T56" s="27">
        <f t="shared" ca="1" si="13"/>
        <v>0.74454114975131747</v>
      </c>
      <c r="U56" s="29">
        <f t="shared" ca="1" si="14"/>
        <v>422400.40020021598</v>
      </c>
    </row>
    <row r="57" spans="5:21" x14ac:dyDescent="0.25">
      <c r="E57" s="24">
        <f t="shared" ca="1" si="20"/>
        <v>45264</v>
      </c>
      <c r="F57" s="24">
        <f t="shared" ca="1" si="15"/>
        <v>45292</v>
      </c>
      <c r="G57" s="25">
        <f t="shared" ca="1" si="16"/>
        <v>1512</v>
      </c>
      <c r="H57" s="25">
        <f t="shared" si="17"/>
        <v>7.22</v>
      </c>
      <c r="I57" s="29">
        <f t="shared" si="6"/>
        <v>561555.5555555555</v>
      </c>
      <c r="J57" s="28">
        <f ca="1">+interpLin(G57,Hoja1!$B$18:$B$147,Hoja1!$F$18:$F$147)</f>
        <v>7.4206952176629093</v>
      </c>
      <c r="K57" s="27">
        <f t="shared" ca="1" si="18"/>
        <v>0.7403389065599586</v>
      </c>
      <c r="L57" s="29">
        <f t="shared" ca="1" si="7"/>
        <v>415741.42597267003</v>
      </c>
      <c r="N57" s="24">
        <f t="shared" ca="1" si="11"/>
        <v>45264</v>
      </c>
      <c r="O57" s="24">
        <f t="shared" ca="1" si="12"/>
        <v>45292</v>
      </c>
      <c r="P57" s="25">
        <f t="shared" ca="1" si="19"/>
        <v>1512</v>
      </c>
      <c r="Q57" s="25">
        <f t="shared" ca="1" si="21"/>
        <v>7.2978524501442008</v>
      </c>
      <c r="R57" s="29">
        <f t="shared" ca="1" si="9"/>
        <v>567610.7461223267</v>
      </c>
      <c r="S57" s="28">
        <f ca="1">+interpLin(P57,Hoja1!$B$18:$B$147,Hoja1!$F$18:$F$147)</f>
        <v>7.4206952176629093</v>
      </c>
      <c r="T57" s="27">
        <f t="shared" ca="1" si="13"/>
        <v>0.7403389065599586</v>
      </c>
      <c r="U57" s="29">
        <f t="shared" ca="1" si="14"/>
        <v>420224.31913588563</v>
      </c>
    </row>
    <row r="58" spans="5:21" x14ac:dyDescent="0.25">
      <c r="E58" s="24">
        <f t="shared" ca="1" si="20"/>
        <v>45292</v>
      </c>
      <c r="F58" s="24">
        <f t="shared" ca="1" si="15"/>
        <v>45320</v>
      </c>
      <c r="G58" s="25">
        <f t="shared" ca="1" si="16"/>
        <v>1540</v>
      </c>
      <c r="H58" s="25">
        <f t="shared" si="17"/>
        <v>7.22</v>
      </c>
      <c r="I58" s="29">
        <f t="shared" si="6"/>
        <v>561555.5555555555</v>
      </c>
      <c r="J58" s="28">
        <f ca="1">+interpLin(G58,Hoja1!$B$18:$B$147,Hoja1!$F$18:$F$147)</f>
        <v>7.4230888738474388</v>
      </c>
      <c r="K58" s="27">
        <f t="shared" ca="1" si="18"/>
        <v>0.73615831792098918</v>
      </c>
      <c r="L58" s="29">
        <f t="shared" ca="1" si="7"/>
        <v>413393.79319696431</v>
      </c>
      <c r="N58" s="24">
        <f t="shared" ca="1" si="11"/>
        <v>45292</v>
      </c>
      <c r="O58" s="24">
        <f t="shared" ca="1" si="12"/>
        <v>45320</v>
      </c>
      <c r="P58" s="25">
        <f t="shared" ca="1" si="19"/>
        <v>1540</v>
      </c>
      <c r="Q58" s="25">
        <f t="shared" ca="1" si="21"/>
        <v>7.3014763332398056</v>
      </c>
      <c r="R58" s="29">
        <f t="shared" ca="1" si="9"/>
        <v>567892.60369642929</v>
      </c>
      <c r="S58" s="28">
        <f ca="1">+interpLin(P58,Hoja1!$B$18:$B$147,Hoja1!$F$18:$F$147)</f>
        <v>7.4230888738474388</v>
      </c>
      <c r="T58" s="27">
        <f t="shared" ca="1" si="13"/>
        <v>0.73615831792098918</v>
      </c>
      <c r="U58" s="29">
        <f t="shared" ca="1" si="14"/>
        <v>418058.86389693432</v>
      </c>
    </row>
    <row r="59" spans="5:21" x14ac:dyDescent="0.25">
      <c r="E59" s="24">
        <f t="shared" ca="1" si="20"/>
        <v>45320</v>
      </c>
      <c r="F59" s="24">
        <f t="shared" ca="1" si="15"/>
        <v>45348</v>
      </c>
      <c r="G59" s="25">
        <f t="shared" ca="1" si="16"/>
        <v>1568</v>
      </c>
      <c r="H59" s="25">
        <f t="shared" si="17"/>
        <v>7.22</v>
      </c>
      <c r="I59" s="29">
        <f t="shared" si="6"/>
        <v>561555.5555555555</v>
      </c>
      <c r="J59" s="28">
        <f ca="1">+interpLin(G59,Hoja1!$B$18:$B$147,Hoja1!$F$18:$F$147)</f>
        <v>7.4254664487415134</v>
      </c>
      <c r="K59" s="27">
        <f t="shared" ca="1" si="18"/>
        <v>0.73199927806532517</v>
      </c>
      <c r="L59" s="29">
        <f t="shared" ca="1" si="7"/>
        <v>411058.26126023923</v>
      </c>
      <c r="N59" s="24">
        <f t="shared" ca="1" si="11"/>
        <v>45320</v>
      </c>
      <c r="O59" s="24">
        <f t="shared" ca="1" si="12"/>
        <v>45348</v>
      </c>
      <c r="P59" s="25">
        <f t="shared" ca="1" si="19"/>
        <v>1568</v>
      </c>
      <c r="Q59" s="25">
        <f t="shared" ca="1" si="21"/>
        <v>7.3051123375631466</v>
      </c>
      <c r="R59" s="29">
        <f t="shared" ca="1" si="9"/>
        <v>568175.40403268917</v>
      </c>
      <c r="S59" s="28">
        <f ca="1">+interpLin(P59,Hoja1!$B$18:$B$147,Hoja1!$F$18:$F$147)</f>
        <v>7.4254664487415134</v>
      </c>
      <c r="T59" s="27">
        <f t="shared" ca="1" si="13"/>
        <v>0.73199927806532517</v>
      </c>
      <c r="U59" s="29">
        <f t="shared" ca="1" si="14"/>
        <v>415903.9855664029</v>
      </c>
    </row>
    <row r="60" spans="5:21" x14ac:dyDescent="0.25">
      <c r="E60" s="24">
        <f t="shared" ca="1" si="20"/>
        <v>45348</v>
      </c>
      <c r="F60" s="24">
        <f t="shared" ca="1" si="15"/>
        <v>45376</v>
      </c>
      <c r="G60" s="25">
        <f t="shared" ca="1" si="16"/>
        <v>1596</v>
      </c>
      <c r="H60" s="25">
        <f t="shared" si="17"/>
        <v>7.22</v>
      </c>
      <c r="I60" s="29">
        <f t="shared" si="6"/>
        <v>561555.5555555555</v>
      </c>
      <c r="J60" s="28">
        <f ca="1">+interpLin(G60,Hoja1!$B$18:$B$147,Hoja1!$F$18:$F$147)</f>
        <v>7.4278290189805363</v>
      </c>
      <c r="K60" s="27">
        <f t="shared" ca="1" si="18"/>
        <v>0.72786168171095134</v>
      </c>
      <c r="L60" s="29">
        <f t="shared" ca="1" si="7"/>
        <v>408734.77104079421</v>
      </c>
      <c r="N60" s="24">
        <f t="shared" ca="1" si="11"/>
        <v>45348</v>
      </c>
      <c r="O60" s="24">
        <f t="shared" ca="1" si="12"/>
        <v>45376</v>
      </c>
      <c r="P60" s="25">
        <f t="shared" ca="1" si="19"/>
        <v>1596</v>
      </c>
      <c r="Q60" s="25">
        <f t="shared" ca="1" si="21"/>
        <v>7.3087605447683348</v>
      </c>
      <c r="R60" s="29">
        <f t="shared" ca="1" si="9"/>
        <v>568459.1534819816</v>
      </c>
      <c r="S60" s="28">
        <f ca="1">+interpLin(P60,Hoja1!$B$18:$B$147,Hoja1!$F$18:$F$147)</f>
        <v>7.4278290189805363</v>
      </c>
      <c r="T60" s="27">
        <f t="shared" ca="1" si="13"/>
        <v>0.72786168171095134</v>
      </c>
      <c r="U60" s="29">
        <f t="shared" ca="1" si="14"/>
        <v>413759.63543737895</v>
      </c>
    </row>
    <row r="61" spans="5:21" x14ac:dyDescent="0.25">
      <c r="E61" s="24">
        <f t="shared" ca="1" si="20"/>
        <v>45376</v>
      </c>
      <c r="F61" s="24">
        <f t="shared" ca="1" si="15"/>
        <v>45404</v>
      </c>
      <c r="G61" s="25">
        <f t="shared" ca="1" si="16"/>
        <v>1624</v>
      </c>
      <c r="H61" s="25">
        <f t="shared" si="17"/>
        <v>7.22</v>
      </c>
      <c r="I61" s="29">
        <f t="shared" si="6"/>
        <v>561555.5555555555</v>
      </c>
      <c r="J61" s="28">
        <f ca="1">+interpLin(G61,Hoja1!$B$18:$B$147,Hoja1!$F$18:$F$147)</f>
        <v>7.4301775884887844</v>
      </c>
      <c r="K61" s="27">
        <f t="shared" ca="1" si="18"/>
        <v>0.72374542406083364</v>
      </c>
      <c r="L61" s="29">
        <f t="shared" ca="1" si="7"/>
        <v>406423.26368927257</v>
      </c>
      <c r="N61" s="24">
        <f t="shared" ca="1" si="11"/>
        <v>45376</v>
      </c>
      <c r="O61" s="24">
        <f t="shared" ca="1" si="12"/>
        <v>45404</v>
      </c>
      <c r="P61" s="25">
        <f t="shared" ca="1" si="19"/>
        <v>1624</v>
      </c>
      <c r="Q61" s="25">
        <f t="shared" ca="1" si="21"/>
        <v>7.3124210371409788</v>
      </c>
      <c r="R61" s="29">
        <f t="shared" ca="1" si="9"/>
        <v>568743.85844429827</v>
      </c>
      <c r="S61" s="28">
        <f ca="1">+interpLin(P61,Hoja1!$B$18:$B$147,Hoja1!$F$18:$F$147)</f>
        <v>7.4301775884887844</v>
      </c>
      <c r="T61" s="27">
        <f t="shared" ca="1" si="13"/>
        <v>0.72374542406083364</v>
      </c>
      <c r="U61" s="29">
        <f t="shared" ca="1" si="14"/>
        <v>411625.76501176337</v>
      </c>
    </row>
    <row r="62" spans="5:21" x14ac:dyDescent="0.25">
      <c r="E62" s="24">
        <f t="shared" ca="1" si="20"/>
        <v>45404</v>
      </c>
      <c r="F62" s="24">
        <f t="shared" ca="1" si="15"/>
        <v>45432</v>
      </c>
      <c r="G62" s="25">
        <f t="shared" ca="1" si="16"/>
        <v>1652</v>
      </c>
      <c r="H62" s="25">
        <f t="shared" si="17"/>
        <v>7.22</v>
      </c>
      <c r="I62" s="29">
        <f t="shared" si="6"/>
        <v>561555.5555555555</v>
      </c>
      <c r="J62" s="28">
        <f ca="1">+interpLin(G62,Hoja1!$B$18:$B$147,Hoja1!$F$18:$F$147)</f>
        <v>7.4325130946523377</v>
      </c>
      <c r="K62" s="27">
        <f t="shared" ca="1" si="18"/>
        <v>0.71965040080083553</v>
      </c>
      <c r="L62" s="29">
        <f t="shared" ca="1" si="7"/>
        <v>404123.68062749138</v>
      </c>
      <c r="N62" s="24">
        <f t="shared" ca="1" si="11"/>
        <v>45404</v>
      </c>
      <c r="O62" s="24">
        <f t="shared" ca="1" si="12"/>
        <v>45432</v>
      </c>
      <c r="P62" s="25">
        <f t="shared" ca="1" si="19"/>
        <v>1652</v>
      </c>
      <c r="Q62" s="25">
        <f t="shared" ca="1" si="21"/>
        <v>7.316093897610453</v>
      </c>
      <c r="R62" s="29">
        <f t="shared" ca="1" si="9"/>
        <v>569029.52536970191</v>
      </c>
      <c r="S62" s="28">
        <f ca="1">+interpLin(P62,Hoja1!$B$18:$B$147,Hoja1!$F$18:$F$147)</f>
        <v>7.4325130946523377</v>
      </c>
      <c r="T62" s="27">
        <f t="shared" ca="1" si="13"/>
        <v>0.71965040080083553</v>
      </c>
      <c r="U62" s="29">
        <f t="shared" ca="1" si="14"/>
        <v>409502.32599981519</v>
      </c>
    </row>
    <row r="63" spans="5:21" x14ac:dyDescent="0.25">
      <c r="E63" s="24">
        <f t="shared" ca="1" si="20"/>
        <v>45432</v>
      </c>
      <c r="F63" s="24">
        <f t="shared" ca="1" si="15"/>
        <v>45460</v>
      </c>
      <c r="G63" s="25">
        <f t="shared" ca="1" si="16"/>
        <v>1680</v>
      </c>
      <c r="H63" s="25">
        <f t="shared" si="17"/>
        <v>7.22</v>
      </c>
      <c r="I63" s="29">
        <f t="shared" si="6"/>
        <v>561555.5555555555</v>
      </c>
      <c r="J63" s="28">
        <f ca="1">+interpLin(G63,Hoja1!$B$18:$B$147,Hoja1!$F$18:$F$147)</f>
        <v>7.4348364138748124</v>
      </c>
      <c r="K63" s="27">
        <f t="shared" ca="1" si="18"/>
        <v>0.71557650809764695</v>
      </c>
      <c r="L63" s="29">
        <f t="shared" ca="1" si="7"/>
        <v>401835.9635472786</v>
      </c>
      <c r="N63" s="24">
        <f t="shared" ca="1" si="11"/>
        <v>45432</v>
      </c>
      <c r="O63" s="24">
        <f t="shared" ca="1" si="12"/>
        <v>45460</v>
      </c>
      <c r="P63" s="25">
        <f t="shared" ca="1" si="19"/>
        <v>1680</v>
      </c>
      <c r="Q63" s="25">
        <f t="shared" ca="1" si="21"/>
        <v>7.3197792097473409</v>
      </c>
      <c r="R63" s="29">
        <f t="shared" ca="1" si="9"/>
        <v>569316.16075812641</v>
      </c>
      <c r="S63" s="28">
        <f ca="1">+interpLin(P63,Hoja1!$B$18:$B$147,Hoja1!$F$18:$F$147)</f>
        <v>7.4348364138748124</v>
      </c>
      <c r="T63" s="27">
        <f t="shared" ca="1" si="13"/>
        <v>0.71557650809764695</v>
      </c>
      <c r="U63" s="29">
        <f t="shared" ca="1" si="14"/>
        <v>407389.27031885873</v>
      </c>
    </row>
    <row r="64" spans="5:21" x14ac:dyDescent="0.25">
      <c r="E64" s="24">
        <f t="shared" ca="1" si="20"/>
        <v>45460</v>
      </c>
      <c r="F64" s="24">
        <f t="shared" ca="1" si="15"/>
        <v>45488</v>
      </c>
      <c r="G64" s="25">
        <f t="shared" ca="1" si="16"/>
        <v>1708</v>
      </c>
      <c r="H64" s="25">
        <f t="shared" si="17"/>
        <v>7.22</v>
      </c>
      <c r="I64" s="29">
        <f t="shared" si="6"/>
        <v>561555.5555555555</v>
      </c>
      <c r="J64" s="28">
        <f ca="1">+interpLin(G64,Hoja1!$B$18:$B$147,Hoja1!$F$18:$F$147)</f>
        <v>7.4371483665868432</v>
      </c>
      <c r="K64" s="27">
        <f t="shared" ca="1" si="18"/>
        <v>0.71152364259671941</v>
      </c>
      <c r="L64" s="29">
        <f t="shared" ca="1" si="7"/>
        <v>399560.05440931331</v>
      </c>
      <c r="N64" s="24">
        <f t="shared" ca="1" si="11"/>
        <v>45460</v>
      </c>
      <c r="O64" s="24">
        <f t="shared" ca="1" si="12"/>
        <v>45488</v>
      </c>
      <c r="P64" s="25">
        <f t="shared" ca="1" si="19"/>
        <v>1708</v>
      </c>
      <c r="Q64" s="25">
        <f t="shared" ca="1" si="21"/>
        <v>7.3234770577742685</v>
      </c>
      <c r="R64" s="29">
        <f t="shared" ca="1" si="9"/>
        <v>569603.77116022096</v>
      </c>
      <c r="S64" s="28">
        <f ca="1">+interpLin(P64,Hoja1!$B$18:$B$147,Hoja1!$F$18:$F$147)</f>
        <v>7.4371483665868432</v>
      </c>
      <c r="T64" s="27">
        <f t="shared" ca="1" si="13"/>
        <v>0.71152364259671941</v>
      </c>
      <c r="U64" s="29">
        <f t="shared" ca="1" si="14"/>
        <v>405286.5500927486</v>
      </c>
    </row>
    <row r="65" spans="5:21" x14ac:dyDescent="0.25">
      <c r="E65" s="24">
        <f t="shared" ca="1" si="20"/>
        <v>45488</v>
      </c>
      <c r="F65" s="24">
        <f t="shared" ca="1" si="15"/>
        <v>45516</v>
      </c>
      <c r="G65" s="25">
        <f t="shared" ca="1" si="16"/>
        <v>1736</v>
      </c>
      <c r="H65" s="25">
        <f t="shared" si="17"/>
        <v>7.22</v>
      </c>
      <c r="I65" s="29">
        <f t="shared" si="6"/>
        <v>561555.5555555555</v>
      </c>
      <c r="J65" s="28">
        <f ca="1">+interpLin(G65,Hoja1!$B$18:$B$147,Hoja1!$F$18:$F$147)</f>
        <v>7.4394497217710187</v>
      </c>
      <c r="K65" s="27">
        <f t="shared" ca="1" si="18"/>
        <v>0.70749170142020634</v>
      </c>
      <c r="L65" s="29">
        <f t="shared" ca="1" si="7"/>
        <v>397295.89544196916</v>
      </c>
      <c r="N65" s="24">
        <f t="shared" ca="1" si="11"/>
        <v>45488</v>
      </c>
      <c r="O65" s="24">
        <f t="shared" ca="1" si="12"/>
        <v>45516</v>
      </c>
      <c r="P65" s="25">
        <f t="shared" ca="1" si="19"/>
        <v>1736</v>
      </c>
      <c r="Q65" s="25">
        <f t="shared" ca="1" si="21"/>
        <v>7.3271875265764779</v>
      </c>
      <c r="R65" s="29">
        <f t="shared" ca="1" si="9"/>
        <v>569892.36317817052</v>
      </c>
      <c r="S65" s="28">
        <f ca="1">+interpLin(P65,Hoja1!$B$18:$B$147,Hoja1!$F$18:$F$147)</f>
        <v>7.4394497217710187</v>
      </c>
      <c r="T65" s="27">
        <f t="shared" ca="1" si="13"/>
        <v>0.70749170142020634</v>
      </c>
      <c r="U65" s="29">
        <f t="shared" ca="1" si="14"/>
        <v>403194.11765130603</v>
      </c>
    </row>
    <row r="66" spans="5:21" x14ac:dyDescent="0.25">
      <c r="E66" s="24">
        <f t="shared" ca="1" si="20"/>
        <v>45516</v>
      </c>
      <c r="F66" s="24">
        <f t="shared" ca="1" si="15"/>
        <v>45544</v>
      </c>
      <c r="G66" s="25">
        <f t="shared" ca="1" si="16"/>
        <v>1764</v>
      </c>
      <c r="H66" s="25">
        <f t="shared" si="17"/>
        <v>7.22</v>
      </c>
      <c r="I66" s="29">
        <f t="shared" si="6"/>
        <v>561555.5555555555</v>
      </c>
      <c r="J66" s="28">
        <f ca="1">+interpLin(G66,Hoja1!$B$18:$B$147,Hoja1!$F$18:$F$147)</f>
        <v>7.4417412010558515</v>
      </c>
      <c r="K66" s="27">
        <f t="shared" ca="1" si="18"/>
        <v>0.70348058216491782</v>
      </c>
      <c r="L66" s="29">
        <f t="shared" ca="1" si="7"/>
        <v>395043.42914016603</v>
      </c>
      <c r="N66" s="24">
        <f t="shared" ca="1" si="11"/>
        <v>45516</v>
      </c>
      <c r="O66" s="24">
        <f t="shared" ca="1" si="12"/>
        <v>45544</v>
      </c>
      <c r="P66" s="25">
        <f t="shared" ca="1" si="19"/>
        <v>1764</v>
      </c>
      <c r="Q66" s="25">
        <f t="shared" ca="1" si="21"/>
        <v>7.3309107016958279</v>
      </c>
      <c r="R66" s="29">
        <f t="shared" ca="1" si="9"/>
        <v>570181.94346523099</v>
      </c>
      <c r="S66" s="28">
        <f ca="1">+interpLin(P66,Hoja1!$B$18:$B$147,Hoja1!$F$18:$F$147)</f>
        <v>7.4417412010558515</v>
      </c>
      <c r="T66" s="27">
        <f t="shared" ca="1" si="13"/>
        <v>0.70348058216491782</v>
      </c>
      <c r="U66" s="29">
        <f t="shared" ca="1" si="14"/>
        <v>401111.92552884493</v>
      </c>
    </row>
    <row r="67" spans="5:21" x14ac:dyDescent="0.25">
      <c r="E67" s="24">
        <f t="shared" ca="1" si="20"/>
        <v>45544</v>
      </c>
      <c r="F67" s="24">
        <f t="shared" ca="1" si="15"/>
        <v>45572</v>
      </c>
      <c r="G67" s="25">
        <f t="shared" ca="1" si="16"/>
        <v>1792</v>
      </c>
      <c r="H67" s="25">
        <f t="shared" si="17"/>
        <v>7.22</v>
      </c>
      <c r="I67" s="29">
        <f t="shared" si="6"/>
        <v>561555.5555555555</v>
      </c>
      <c r="J67" s="28">
        <f ca="1">+interpLin(G67,Hoja1!$B$18:$B$147,Hoja1!$F$18:$F$147)</f>
        <v>7.4440234824262097</v>
      </c>
      <c r="K67" s="27">
        <f t="shared" ca="1" si="18"/>
        <v>0.69949018290027942</v>
      </c>
      <c r="L67" s="29">
        <f t="shared" ca="1" si="7"/>
        <v>392802.59826422355</v>
      </c>
      <c r="N67" s="24">
        <f t="shared" ca="1" si="11"/>
        <v>45544</v>
      </c>
      <c r="O67" s="24">
        <f t="shared" ca="1" si="12"/>
        <v>45572</v>
      </c>
      <c r="P67" s="25">
        <f t="shared" ca="1" si="19"/>
        <v>1792</v>
      </c>
      <c r="Q67" s="25">
        <f t="shared" ca="1" si="21"/>
        <v>7.3346466693453563</v>
      </c>
      <c r="R67" s="29">
        <f t="shared" ca="1" si="9"/>
        <v>570472.51872686099</v>
      </c>
      <c r="S67" s="28">
        <f ca="1">+interpLin(P67,Hoja1!$B$18:$B$147,Hoja1!$F$18:$F$147)</f>
        <v>7.4440234824262097</v>
      </c>
      <c r="T67" s="27">
        <f t="shared" ca="1" si="13"/>
        <v>0.69949018290027942</v>
      </c>
      <c r="U67" s="29">
        <f t="shared" ca="1" si="14"/>
        <v>399039.92646383506</v>
      </c>
    </row>
    <row r="68" spans="5:21" x14ac:dyDescent="0.25">
      <c r="E68" s="24">
        <f t="shared" ca="1" si="20"/>
        <v>45572</v>
      </c>
      <c r="F68" s="24">
        <f t="shared" ref="F68" ca="1" si="22">+E68+28</f>
        <v>45600</v>
      </c>
      <c r="G68" s="25">
        <f t="shared" ref="G68" ca="1" si="23">+F68-$E$4</f>
        <v>1820</v>
      </c>
      <c r="H68" s="25">
        <f t="shared" si="17"/>
        <v>7.22</v>
      </c>
      <c r="I68" s="29">
        <f t="shared" si="6"/>
        <v>561555.5555555555</v>
      </c>
      <c r="J68" s="28">
        <f ca="1">+interpLin(G68,Hoja1!$B$18:$B$147,Hoja1!$F$18:$F$147)</f>
        <v>7.446297203591512</v>
      </c>
      <c r="K68" s="27">
        <f t="shared" ref="K68" ca="1" si="24">+(1+J68%)^(-G68/360)</f>
        <v>0.69552040216629518</v>
      </c>
      <c r="L68" s="29">
        <f t="shared" ca="1" si="7"/>
        <v>390573.3458387173</v>
      </c>
      <c r="N68" s="24">
        <f t="shared" ca="1" si="11"/>
        <v>45572</v>
      </c>
      <c r="O68" s="24">
        <f t="shared" ca="1" si="12"/>
        <v>45600</v>
      </c>
      <c r="P68" s="25">
        <f t="shared" ref="P68" ca="1" si="25">+O68-$E$4</f>
        <v>1820</v>
      </c>
      <c r="Q68" s="25">
        <f t="shared" ca="1" si="21"/>
        <v>7.3383955164215546</v>
      </c>
      <c r="R68" s="29">
        <f t="shared" ca="1" si="9"/>
        <v>570764.09572167648</v>
      </c>
      <c r="S68" s="28">
        <f ca="1">+interpLin(P68,Hoja1!$B$18:$B$147,Hoja1!$F$18:$F$147)</f>
        <v>7.446297203591512</v>
      </c>
      <c r="T68" s="27">
        <f t="shared" ca="1" si="13"/>
        <v>0.69552040216629518</v>
      </c>
      <c r="U68" s="29">
        <f t="shared" ca="1" si="14"/>
        <v>396978.07339842222</v>
      </c>
    </row>
    <row r="84" spans="3:5" x14ac:dyDescent="0.25">
      <c r="C84" s="16"/>
      <c r="D84" s="16"/>
      <c r="E84" s="26"/>
    </row>
    <row r="85" spans="3:5" x14ac:dyDescent="0.25">
      <c r="C85" s="16"/>
      <c r="D85" s="16"/>
      <c r="E85" s="26"/>
    </row>
    <row r="86" spans="3:5" x14ac:dyDescent="0.25">
      <c r="C86" s="16"/>
      <c r="D86" s="16"/>
      <c r="E86" s="26"/>
    </row>
    <row r="87" spans="3:5" x14ac:dyDescent="0.25">
      <c r="C87" s="16"/>
      <c r="D87" s="16"/>
      <c r="E87" s="26"/>
    </row>
    <row r="88" spans="3:5" x14ac:dyDescent="0.25">
      <c r="C88" s="16"/>
      <c r="D88" s="16"/>
      <c r="E88" s="26"/>
    </row>
    <row r="89" spans="3:5" x14ac:dyDescent="0.25">
      <c r="C89" s="16"/>
      <c r="D89" s="16"/>
      <c r="E89" s="26"/>
    </row>
    <row r="90" spans="3:5" x14ac:dyDescent="0.25">
      <c r="C90" s="16"/>
      <c r="D90" s="16"/>
      <c r="E90" s="26"/>
    </row>
    <row r="91" spans="3:5" x14ac:dyDescent="0.25">
      <c r="C91" s="16"/>
      <c r="D91" s="16"/>
      <c r="E91" s="26"/>
    </row>
    <row r="92" spans="3:5" x14ac:dyDescent="0.25">
      <c r="C92" s="16"/>
      <c r="D92" s="16"/>
      <c r="E92" s="26"/>
    </row>
    <row r="93" spans="3:5" x14ac:dyDescent="0.25">
      <c r="C93" s="16"/>
      <c r="D93" s="16"/>
      <c r="E93" s="26"/>
    </row>
    <row r="94" spans="3:5" x14ac:dyDescent="0.25">
      <c r="C94" s="16"/>
      <c r="D94" s="16"/>
      <c r="E94" s="26"/>
    </row>
    <row r="95" spans="3:5" x14ac:dyDescent="0.25">
      <c r="C95" s="16"/>
      <c r="D95" s="16"/>
      <c r="E95" s="26"/>
    </row>
    <row r="96" spans="3:5" x14ac:dyDescent="0.25">
      <c r="C96" s="16"/>
      <c r="D96" s="16"/>
      <c r="E96" s="26"/>
    </row>
    <row r="97" spans="3:5" x14ac:dyDescent="0.25">
      <c r="C97" s="16"/>
      <c r="D97" s="16"/>
      <c r="E97" s="26"/>
    </row>
    <row r="98" spans="3:5" x14ac:dyDescent="0.25">
      <c r="C98" s="16"/>
      <c r="D98" s="16"/>
      <c r="E98" s="26"/>
    </row>
    <row r="99" spans="3:5" x14ac:dyDescent="0.25">
      <c r="C99" s="16"/>
      <c r="D99" s="16"/>
      <c r="E99" s="26"/>
    </row>
    <row r="100" spans="3:5" x14ac:dyDescent="0.25">
      <c r="C100" s="16"/>
      <c r="D100" s="16"/>
      <c r="E100" s="26"/>
    </row>
    <row r="101" spans="3:5" x14ac:dyDescent="0.25">
      <c r="C101" s="16"/>
      <c r="D101" s="16"/>
      <c r="E101" s="26"/>
    </row>
    <row r="102" spans="3:5" x14ac:dyDescent="0.25">
      <c r="C102" s="16"/>
      <c r="D102" s="16"/>
      <c r="E102" s="26"/>
    </row>
    <row r="103" spans="3:5" x14ac:dyDescent="0.25">
      <c r="C103" s="16"/>
      <c r="D103" s="16"/>
      <c r="E103" s="26"/>
    </row>
    <row r="104" spans="3:5" x14ac:dyDescent="0.25">
      <c r="C104" s="16"/>
      <c r="D104" s="16"/>
      <c r="E104" s="26"/>
    </row>
    <row r="105" spans="3:5" x14ac:dyDescent="0.25">
      <c r="C105" s="16"/>
      <c r="D105" s="16"/>
      <c r="E105" s="26"/>
    </row>
    <row r="106" spans="3:5" x14ac:dyDescent="0.25">
      <c r="C106" s="16"/>
      <c r="D106" s="16"/>
      <c r="E106" s="26"/>
    </row>
    <row r="107" spans="3:5" x14ac:dyDescent="0.25">
      <c r="C107" s="16"/>
      <c r="D107" s="16"/>
      <c r="E107" s="26"/>
    </row>
    <row r="108" spans="3:5" x14ac:dyDescent="0.25">
      <c r="C108" s="16"/>
      <c r="D108" s="16"/>
      <c r="E108" s="26"/>
    </row>
    <row r="109" spans="3:5" x14ac:dyDescent="0.25">
      <c r="C109" s="16"/>
      <c r="D109" s="16"/>
      <c r="E109" s="26"/>
    </row>
    <row r="110" spans="3:5" x14ac:dyDescent="0.25">
      <c r="C110" s="16"/>
      <c r="D110" s="16"/>
      <c r="E110" s="26"/>
    </row>
    <row r="111" spans="3:5" x14ac:dyDescent="0.25">
      <c r="C111" s="16"/>
      <c r="D111" s="16"/>
      <c r="E111" s="26"/>
    </row>
    <row r="112" spans="3:5" x14ac:dyDescent="0.25">
      <c r="C112" s="16"/>
      <c r="D112" s="16"/>
      <c r="E112" s="26"/>
    </row>
    <row r="113" spans="3:5" x14ac:dyDescent="0.25">
      <c r="C113" s="16"/>
      <c r="D113" s="16"/>
      <c r="E113" s="26"/>
    </row>
    <row r="114" spans="3:5" x14ac:dyDescent="0.25">
      <c r="C114" s="16"/>
      <c r="D114" s="16"/>
      <c r="E114" s="26"/>
    </row>
    <row r="115" spans="3:5" x14ac:dyDescent="0.25">
      <c r="C115" s="16"/>
      <c r="D115" s="16"/>
      <c r="E115" s="26"/>
    </row>
    <row r="116" spans="3:5" x14ac:dyDescent="0.25">
      <c r="C116" s="16"/>
      <c r="D116" s="16"/>
      <c r="E116" s="26"/>
    </row>
    <row r="117" spans="3:5" x14ac:dyDescent="0.25">
      <c r="C117" s="16"/>
      <c r="D117" s="16"/>
      <c r="E117" s="26"/>
    </row>
    <row r="118" spans="3:5" x14ac:dyDescent="0.25">
      <c r="C118" s="16"/>
      <c r="D118" s="16"/>
      <c r="E118" s="26"/>
    </row>
    <row r="119" spans="3:5" x14ac:dyDescent="0.25">
      <c r="C119" s="16"/>
      <c r="D119" s="16"/>
      <c r="E119" s="26"/>
    </row>
    <row r="120" spans="3:5" x14ac:dyDescent="0.25">
      <c r="C120" s="16"/>
      <c r="D120" s="16"/>
      <c r="E120" s="26"/>
    </row>
    <row r="121" spans="3:5" x14ac:dyDescent="0.25">
      <c r="C121" s="16"/>
      <c r="D121" s="16"/>
      <c r="E121" s="26"/>
    </row>
    <row r="122" spans="3:5" x14ac:dyDescent="0.25">
      <c r="C122" s="16"/>
      <c r="D122" s="16"/>
      <c r="E122" s="26"/>
    </row>
    <row r="123" spans="3:5" x14ac:dyDescent="0.25">
      <c r="C123" s="16"/>
      <c r="D123" s="16"/>
      <c r="E123" s="26"/>
    </row>
    <row r="124" spans="3:5" x14ac:dyDescent="0.25">
      <c r="C124" s="16"/>
      <c r="D124" s="16"/>
      <c r="E124" s="26"/>
    </row>
    <row r="125" spans="3:5" x14ac:dyDescent="0.25">
      <c r="C125" s="16"/>
      <c r="D125" s="16"/>
      <c r="E125" s="26"/>
    </row>
    <row r="126" spans="3:5" x14ac:dyDescent="0.25">
      <c r="C126" s="16"/>
      <c r="D126" s="16"/>
      <c r="E126" s="26"/>
    </row>
    <row r="127" spans="3:5" x14ac:dyDescent="0.25">
      <c r="C127" s="16"/>
      <c r="D127" s="16"/>
      <c r="E127" s="26"/>
    </row>
    <row r="128" spans="3:5" x14ac:dyDescent="0.25">
      <c r="C128" s="16"/>
      <c r="D128" s="16"/>
      <c r="E128" s="26"/>
    </row>
    <row r="129" spans="3:5" x14ac:dyDescent="0.25">
      <c r="C129" s="16"/>
      <c r="D129" s="16"/>
      <c r="E129" s="26"/>
    </row>
    <row r="130" spans="3:5" x14ac:dyDescent="0.25">
      <c r="C130" s="16"/>
      <c r="D130" s="16"/>
      <c r="E130" s="26"/>
    </row>
    <row r="131" spans="3:5" x14ac:dyDescent="0.25">
      <c r="C131" s="16"/>
      <c r="D131" s="16"/>
      <c r="E131" s="26"/>
    </row>
    <row r="132" spans="3:5" x14ac:dyDescent="0.25">
      <c r="C132" s="16"/>
      <c r="D132" s="16"/>
      <c r="E132" s="26"/>
    </row>
    <row r="133" spans="3:5" x14ac:dyDescent="0.25">
      <c r="C133" s="16"/>
      <c r="D133" s="16"/>
      <c r="E133" s="26"/>
    </row>
    <row r="134" spans="3:5" x14ac:dyDescent="0.25">
      <c r="C134" s="16"/>
      <c r="D134" s="16"/>
      <c r="E134" s="26"/>
    </row>
    <row r="135" spans="3:5" x14ac:dyDescent="0.25">
      <c r="C135" s="16"/>
      <c r="D135" s="16"/>
      <c r="E135" s="26"/>
    </row>
    <row r="136" spans="3:5" x14ac:dyDescent="0.25">
      <c r="C136" s="16"/>
      <c r="D136" s="16"/>
      <c r="E136" s="26"/>
    </row>
    <row r="137" spans="3:5" x14ac:dyDescent="0.25">
      <c r="C137" s="16"/>
      <c r="D137" s="16"/>
      <c r="E137" s="26"/>
    </row>
    <row r="138" spans="3:5" x14ac:dyDescent="0.25">
      <c r="C138" s="16"/>
      <c r="D138" s="16"/>
      <c r="E138" s="26"/>
    </row>
    <row r="139" spans="3:5" x14ac:dyDescent="0.25">
      <c r="C139" s="16"/>
      <c r="D139" s="16"/>
      <c r="E139" s="26"/>
    </row>
    <row r="140" spans="3:5" x14ac:dyDescent="0.25">
      <c r="C140" s="16"/>
      <c r="D140" s="16"/>
      <c r="E140" s="26"/>
    </row>
    <row r="141" spans="3:5" x14ac:dyDescent="0.25">
      <c r="C141" s="16"/>
      <c r="D141" s="16"/>
      <c r="E141" s="26"/>
    </row>
    <row r="142" spans="3:5" x14ac:dyDescent="0.25">
      <c r="C142" s="16"/>
      <c r="D142" s="16"/>
      <c r="E142" s="26"/>
    </row>
    <row r="143" spans="3:5" x14ac:dyDescent="0.25">
      <c r="C143" s="16"/>
      <c r="D143" s="16"/>
      <c r="E143" s="26"/>
    </row>
    <row r="144" spans="3:5" x14ac:dyDescent="0.25">
      <c r="C144" s="16"/>
      <c r="D144" s="16"/>
      <c r="E144" s="26"/>
    </row>
    <row r="145" spans="3:5" x14ac:dyDescent="0.25">
      <c r="C145" s="16"/>
      <c r="D145" s="16"/>
      <c r="E145" s="26"/>
    </row>
    <row r="146" spans="3:5" x14ac:dyDescent="0.25">
      <c r="C146" s="16"/>
      <c r="D146" s="16"/>
      <c r="E146" s="26"/>
    </row>
    <row r="147" spans="3:5" x14ac:dyDescent="0.25">
      <c r="C147" s="16"/>
      <c r="D147" s="16"/>
      <c r="E147" s="26"/>
    </row>
    <row r="148" spans="3:5" x14ac:dyDescent="0.25">
      <c r="C148" s="16"/>
      <c r="D148" s="16"/>
      <c r="E148" s="26"/>
    </row>
    <row r="149" spans="3:5" x14ac:dyDescent="0.25">
      <c r="C149" s="16"/>
      <c r="D149" s="16"/>
      <c r="E149" s="26"/>
    </row>
    <row r="150" spans="3:5" x14ac:dyDescent="0.25">
      <c r="C150" s="16"/>
      <c r="D150" s="16"/>
      <c r="E150" s="26"/>
    </row>
    <row r="151" spans="3:5" x14ac:dyDescent="0.25">
      <c r="C151" s="16"/>
      <c r="D151" s="16"/>
      <c r="E151" s="26"/>
    </row>
    <row r="152" spans="3:5" x14ac:dyDescent="0.25">
      <c r="C152" s="16"/>
      <c r="D152" s="16"/>
      <c r="E152" s="26"/>
    </row>
    <row r="153" spans="3:5" x14ac:dyDescent="0.25">
      <c r="C153" s="16"/>
      <c r="D153" s="16"/>
      <c r="E153" s="26"/>
    </row>
    <row r="154" spans="3:5" x14ac:dyDescent="0.25">
      <c r="C154" s="16"/>
      <c r="D154" s="16"/>
      <c r="E154" s="26"/>
    </row>
    <row r="155" spans="3:5" x14ac:dyDescent="0.25">
      <c r="C155" s="16"/>
      <c r="D155" s="16"/>
      <c r="E155" s="26"/>
    </row>
    <row r="156" spans="3:5" x14ac:dyDescent="0.25">
      <c r="C156" s="16"/>
      <c r="D156" s="16"/>
      <c r="E156" s="26"/>
    </row>
    <row r="157" spans="3:5" x14ac:dyDescent="0.25">
      <c r="C157" s="16"/>
      <c r="D157" s="16"/>
      <c r="E157" s="26"/>
    </row>
    <row r="158" spans="3:5" x14ac:dyDescent="0.25">
      <c r="C158" s="16"/>
      <c r="D158" s="16"/>
      <c r="E158" s="26"/>
    </row>
    <row r="159" spans="3:5" x14ac:dyDescent="0.25">
      <c r="C159" s="16"/>
      <c r="D159" s="16"/>
      <c r="E159" s="26"/>
    </row>
    <row r="160" spans="3:5" x14ac:dyDescent="0.25">
      <c r="C160" s="16"/>
      <c r="D160" s="16"/>
      <c r="E160" s="26"/>
    </row>
    <row r="161" spans="3:5" x14ac:dyDescent="0.25">
      <c r="C161" s="16"/>
      <c r="D161" s="16"/>
      <c r="E161" s="26"/>
    </row>
    <row r="162" spans="3:5" x14ac:dyDescent="0.25">
      <c r="C162" s="16"/>
      <c r="D162" s="16"/>
      <c r="E162" s="26"/>
    </row>
    <row r="163" spans="3:5" x14ac:dyDescent="0.25">
      <c r="C163" s="16"/>
      <c r="D163" s="16"/>
      <c r="E163" s="26"/>
    </row>
    <row r="164" spans="3:5" x14ac:dyDescent="0.25">
      <c r="C164" s="16"/>
      <c r="D164" s="16"/>
      <c r="E164" s="26"/>
    </row>
    <row r="165" spans="3:5" x14ac:dyDescent="0.25">
      <c r="C165" s="16"/>
      <c r="D165" s="16"/>
      <c r="E165" s="26"/>
    </row>
    <row r="166" spans="3:5" x14ac:dyDescent="0.25">
      <c r="C166" s="16"/>
      <c r="D166" s="16"/>
      <c r="E166" s="26"/>
    </row>
    <row r="167" spans="3:5" x14ac:dyDescent="0.25">
      <c r="C167" s="16"/>
      <c r="D167" s="16"/>
      <c r="E167" s="26"/>
    </row>
    <row r="168" spans="3:5" x14ac:dyDescent="0.25">
      <c r="C168" s="16"/>
      <c r="D168" s="16"/>
      <c r="E168" s="26"/>
    </row>
    <row r="169" spans="3:5" x14ac:dyDescent="0.25">
      <c r="C169" s="16"/>
      <c r="D169" s="16"/>
      <c r="E169" s="26"/>
    </row>
    <row r="170" spans="3:5" x14ac:dyDescent="0.25">
      <c r="C170" s="16"/>
      <c r="D170" s="16"/>
      <c r="E170" s="26"/>
    </row>
    <row r="171" spans="3:5" x14ac:dyDescent="0.25">
      <c r="C171" s="16"/>
      <c r="D171" s="16"/>
      <c r="E171" s="26"/>
    </row>
    <row r="172" spans="3:5" x14ac:dyDescent="0.25">
      <c r="C172" s="16"/>
      <c r="D172" s="16"/>
      <c r="E172" s="26"/>
    </row>
    <row r="173" spans="3:5" x14ac:dyDescent="0.25">
      <c r="C173" s="16"/>
      <c r="D173" s="16"/>
      <c r="E173" s="26"/>
    </row>
    <row r="174" spans="3:5" x14ac:dyDescent="0.25">
      <c r="C174" s="16"/>
      <c r="D174" s="16"/>
      <c r="E174" s="26"/>
    </row>
    <row r="175" spans="3:5" x14ac:dyDescent="0.25">
      <c r="C175" s="16"/>
      <c r="D175" s="16"/>
      <c r="E175" s="26"/>
    </row>
    <row r="176" spans="3:5" x14ac:dyDescent="0.25">
      <c r="C176" s="16"/>
      <c r="D176" s="16"/>
      <c r="E176" s="26"/>
    </row>
    <row r="177" spans="3:5" x14ac:dyDescent="0.25">
      <c r="C177" s="16"/>
      <c r="D177" s="16"/>
      <c r="E177" s="26"/>
    </row>
    <row r="178" spans="3:5" x14ac:dyDescent="0.25">
      <c r="C178" s="16"/>
      <c r="D178" s="16"/>
      <c r="E178" s="26"/>
    </row>
    <row r="179" spans="3:5" x14ac:dyDescent="0.25">
      <c r="C179" s="16"/>
      <c r="D179" s="16"/>
      <c r="E179" s="26"/>
    </row>
    <row r="180" spans="3:5" x14ac:dyDescent="0.25">
      <c r="C180" s="16"/>
      <c r="D180" s="16"/>
      <c r="E180" s="26"/>
    </row>
    <row r="181" spans="3:5" x14ac:dyDescent="0.25">
      <c r="C181" s="16"/>
      <c r="D181" s="16"/>
      <c r="E181" s="26"/>
    </row>
    <row r="182" spans="3:5" x14ac:dyDescent="0.25">
      <c r="C182" s="16"/>
      <c r="D182" s="16"/>
      <c r="E182" s="26"/>
    </row>
    <row r="183" spans="3:5" x14ac:dyDescent="0.25">
      <c r="C183" s="16"/>
      <c r="D183" s="16"/>
      <c r="E183" s="26"/>
    </row>
    <row r="184" spans="3:5" x14ac:dyDescent="0.25">
      <c r="C184" s="16"/>
      <c r="D184" s="16"/>
      <c r="E184" s="26"/>
    </row>
    <row r="185" spans="3:5" x14ac:dyDescent="0.25">
      <c r="C185" s="16"/>
      <c r="D185" s="16"/>
      <c r="E185" s="26"/>
    </row>
    <row r="186" spans="3:5" x14ac:dyDescent="0.25">
      <c r="C186" s="16"/>
      <c r="D186" s="16"/>
      <c r="E186" s="26"/>
    </row>
    <row r="187" spans="3:5" x14ac:dyDescent="0.25">
      <c r="C187" s="16"/>
      <c r="D187" s="16"/>
      <c r="E187" s="26"/>
    </row>
    <row r="188" spans="3:5" x14ac:dyDescent="0.25">
      <c r="C188" s="16"/>
      <c r="D188" s="16"/>
      <c r="E188" s="26"/>
    </row>
    <row r="189" spans="3:5" x14ac:dyDescent="0.25">
      <c r="C189" s="16"/>
      <c r="D189" s="16"/>
      <c r="E189" s="26"/>
    </row>
    <row r="190" spans="3:5" x14ac:dyDescent="0.25">
      <c r="C190" s="16"/>
      <c r="D190" s="16"/>
      <c r="E190" s="26"/>
    </row>
    <row r="191" spans="3:5" x14ac:dyDescent="0.25">
      <c r="C191" s="16"/>
      <c r="D191" s="16"/>
      <c r="E191" s="26"/>
    </row>
    <row r="192" spans="3:5" x14ac:dyDescent="0.25">
      <c r="C192" s="16"/>
      <c r="D192" s="16"/>
      <c r="E192" s="26"/>
    </row>
    <row r="193" spans="3:5" x14ac:dyDescent="0.25">
      <c r="C193" s="16"/>
      <c r="D193" s="16"/>
      <c r="E193" s="26"/>
    </row>
    <row r="194" spans="3:5" x14ac:dyDescent="0.25">
      <c r="C194" s="16"/>
      <c r="D194" s="16"/>
      <c r="E194" s="26"/>
    </row>
    <row r="195" spans="3:5" x14ac:dyDescent="0.25">
      <c r="C195" s="16"/>
      <c r="D195" s="16"/>
      <c r="E195" s="26"/>
    </row>
    <row r="196" spans="3:5" x14ac:dyDescent="0.25">
      <c r="C196" s="16"/>
      <c r="D196" s="16"/>
      <c r="E196" s="26"/>
    </row>
    <row r="197" spans="3:5" x14ac:dyDescent="0.25">
      <c r="C197" s="16"/>
      <c r="D197" s="16"/>
      <c r="E197" s="26"/>
    </row>
    <row r="198" spans="3:5" x14ac:dyDescent="0.25">
      <c r="C198" s="16"/>
      <c r="D198" s="16"/>
      <c r="E198" s="26"/>
    </row>
    <row r="199" spans="3:5" x14ac:dyDescent="0.25">
      <c r="C199" s="16"/>
      <c r="D199" s="16"/>
      <c r="E199" s="26"/>
    </row>
    <row r="200" spans="3:5" x14ac:dyDescent="0.25">
      <c r="C200" s="16"/>
      <c r="D200" s="16"/>
      <c r="E200" s="26"/>
    </row>
    <row r="201" spans="3:5" x14ac:dyDescent="0.25">
      <c r="C201" s="16"/>
      <c r="D201" s="16"/>
      <c r="E201" s="26"/>
    </row>
    <row r="202" spans="3:5" x14ac:dyDescent="0.25">
      <c r="C202" s="16"/>
      <c r="D202" s="16"/>
      <c r="E202" s="26"/>
    </row>
    <row r="203" spans="3:5" x14ac:dyDescent="0.25">
      <c r="C203" s="16"/>
      <c r="D203" s="16"/>
      <c r="E203" s="26"/>
    </row>
    <row r="204" spans="3:5" x14ac:dyDescent="0.25">
      <c r="C204" s="16"/>
      <c r="D204" s="16"/>
      <c r="E204" s="26"/>
    </row>
    <row r="205" spans="3:5" x14ac:dyDescent="0.25">
      <c r="C205" s="16"/>
      <c r="D205" s="16"/>
      <c r="E205" s="26"/>
    </row>
    <row r="206" spans="3:5" x14ac:dyDescent="0.25">
      <c r="C206" s="16"/>
      <c r="D206" s="16"/>
      <c r="E206" s="26"/>
    </row>
    <row r="207" spans="3:5" x14ac:dyDescent="0.25">
      <c r="C207" s="16"/>
      <c r="D207" s="16"/>
      <c r="E207" s="26"/>
    </row>
    <row r="208" spans="3:5" x14ac:dyDescent="0.25">
      <c r="C208" s="16"/>
      <c r="D208" s="16"/>
      <c r="E208" s="26"/>
    </row>
    <row r="209" spans="3:5" x14ac:dyDescent="0.25">
      <c r="C209" s="16"/>
      <c r="D209" s="16"/>
      <c r="E209" s="26"/>
    </row>
    <row r="210" spans="3:5" x14ac:dyDescent="0.25">
      <c r="C210" s="16"/>
      <c r="D210" s="16"/>
      <c r="E210" s="26"/>
    </row>
    <row r="211" spans="3:5" x14ac:dyDescent="0.25">
      <c r="C211" s="16"/>
      <c r="D211" s="16"/>
      <c r="E211" s="26"/>
    </row>
    <row r="212" spans="3:5" x14ac:dyDescent="0.25">
      <c r="C212" s="16"/>
      <c r="D212" s="16"/>
      <c r="E212" s="26"/>
    </row>
    <row r="213" spans="3:5" x14ac:dyDescent="0.25">
      <c r="C213" s="16"/>
      <c r="D213" s="16"/>
      <c r="E213" s="26"/>
    </row>
    <row r="214" spans="3:5" x14ac:dyDescent="0.25">
      <c r="C214" s="16"/>
      <c r="D214" s="16"/>
      <c r="E214" s="26"/>
    </row>
    <row r="215" spans="3:5" x14ac:dyDescent="0.25">
      <c r="C215" s="16"/>
      <c r="D215" s="16"/>
      <c r="E215" s="26"/>
    </row>
    <row r="216" spans="3:5" x14ac:dyDescent="0.25">
      <c r="C216" s="16"/>
      <c r="D216" s="16"/>
      <c r="E216" s="26"/>
    </row>
    <row r="217" spans="3:5" x14ac:dyDescent="0.25">
      <c r="C217" s="16"/>
      <c r="D217" s="16"/>
      <c r="E217" s="26"/>
    </row>
    <row r="218" spans="3:5" x14ac:dyDescent="0.25">
      <c r="C218" s="16"/>
      <c r="D218" s="16"/>
      <c r="E218" s="26"/>
    </row>
    <row r="219" spans="3:5" x14ac:dyDescent="0.25">
      <c r="C219" s="16"/>
      <c r="D219" s="16"/>
      <c r="E219" s="26"/>
    </row>
    <row r="220" spans="3:5" x14ac:dyDescent="0.25">
      <c r="C220" s="16"/>
      <c r="D220" s="16"/>
      <c r="E220" s="26"/>
    </row>
    <row r="221" spans="3:5" x14ac:dyDescent="0.25">
      <c r="C221" s="16"/>
      <c r="D221" s="16"/>
      <c r="E221" s="26"/>
    </row>
    <row r="222" spans="3:5" x14ac:dyDescent="0.25">
      <c r="C222" s="16"/>
      <c r="D222" s="16"/>
      <c r="E222" s="26"/>
    </row>
    <row r="223" spans="3:5" x14ac:dyDescent="0.25">
      <c r="C223" s="16"/>
      <c r="D223" s="16"/>
      <c r="E223" s="26"/>
    </row>
    <row r="224" spans="3:5" x14ac:dyDescent="0.25">
      <c r="C224" s="16"/>
      <c r="D224" s="16"/>
      <c r="E224" s="26"/>
    </row>
    <row r="225" spans="3:5" x14ac:dyDescent="0.25">
      <c r="C225" s="16"/>
      <c r="D225" s="16"/>
      <c r="E225" s="26"/>
    </row>
    <row r="226" spans="3:5" x14ac:dyDescent="0.25">
      <c r="C226" s="16"/>
      <c r="D226" s="16"/>
      <c r="E226" s="26"/>
    </row>
    <row r="227" spans="3:5" x14ac:dyDescent="0.25">
      <c r="C227" s="16"/>
      <c r="D227" s="16"/>
      <c r="E227" s="26"/>
    </row>
    <row r="228" spans="3:5" x14ac:dyDescent="0.25">
      <c r="C228" s="16"/>
      <c r="D228" s="16"/>
      <c r="E228" s="26"/>
    </row>
    <row r="229" spans="3:5" x14ac:dyDescent="0.25">
      <c r="C229" s="16"/>
      <c r="D229" s="16"/>
      <c r="E229" s="26"/>
    </row>
    <row r="230" spans="3:5" x14ac:dyDescent="0.25">
      <c r="C230" s="16"/>
      <c r="D230" s="16"/>
      <c r="E230" s="26"/>
    </row>
    <row r="231" spans="3:5" x14ac:dyDescent="0.25">
      <c r="C231" s="16"/>
      <c r="D231" s="16"/>
      <c r="E231" s="26"/>
    </row>
    <row r="232" spans="3:5" x14ac:dyDescent="0.25">
      <c r="C232" s="16"/>
      <c r="D232" s="16"/>
      <c r="E232" s="26"/>
    </row>
    <row r="233" spans="3:5" x14ac:dyDescent="0.25">
      <c r="C233" s="16"/>
      <c r="D233" s="16"/>
      <c r="E233" s="26"/>
    </row>
    <row r="234" spans="3:5" x14ac:dyDescent="0.25">
      <c r="C234" s="16"/>
      <c r="D234" s="16"/>
      <c r="E234" s="26"/>
    </row>
    <row r="235" spans="3:5" x14ac:dyDescent="0.25">
      <c r="C235" s="16"/>
      <c r="D235" s="16"/>
      <c r="E235" s="26"/>
    </row>
    <row r="236" spans="3:5" x14ac:dyDescent="0.25">
      <c r="C236" s="16"/>
      <c r="D236" s="16"/>
      <c r="E236" s="26"/>
    </row>
    <row r="237" spans="3:5" x14ac:dyDescent="0.25">
      <c r="C237" s="16"/>
      <c r="D237" s="16"/>
      <c r="E237" s="26"/>
    </row>
    <row r="238" spans="3:5" x14ac:dyDescent="0.25">
      <c r="C238" s="16"/>
      <c r="D238" s="16"/>
      <c r="E238" s="26"/>
    </row>
    <row r="239" spans="3:5" x14ac:dyDescent="0.25">
      <c r="C239" s="16"/>
      <c r="D239" s="16"/>
      <c r="E239" s="26"/>
    </row>
    <row r="240" spans="3:5" x14ac:dyDescent="0.25">
      <c r="C240" s="16"/>
      <c r="D240" s="16"/>
      <c r="E240" s="26"/>
    </row>
    <row r="241" spans="3:5" x14ac:dyDescent="0.25">
      <c r="C241" s="16"/>
      <c r="D241" s="16"/>
      <c r="E241" s="26"/>
    </row>
    <row r="242" spans="3:5" x14ac:dyDescent="0.25">
      <c r="C242" s="16"/>
      <c r="D242" s="16"/>
      <c r="E242" s="26"/>
    </row>
    <row r="243" spans="3:5" x14ac:dyDescent="0.25">
      <c r="C243" s="16"/>
      <c r="D243" s="16"/>
      <c r="E243" s="26"/>
    </row>
    <row r="244" spans="3:5" x14ac:dyDescent="0.25">
      <c r="C244" s="16"/>
      <c r="D244" s="16"/>
      <c r="E244" s="26"/>
    </row>
    <row r="245" spans="3:5" x14ac:dyDescent="0.25">
      <c r="C245" s="16"/>
      <c r="D245" s="16"/>
      <c r="E245" s="26"/>
    </row>
    <row r="246" spans="3:5" x14ac:dyDescent="0.25">
      <c r="C246" s="16"/>
      <c r="D246" s="16"/>
      <c r="E246" s="26"/>
    </row>
    <row r="247" spans="3:5" x14ac:dyDescent="0.25">
      <c r="C247" s="16"/>
      <c r="D247" s="16"/>
      <c r="E247" s="26"/>
    </row>
    <row r="248" spans="3:5" x14ac:dyDescent="0.25">
      <c r="C248" s="16"/>
      <c r="D248" s="16"/>
      <c r="E248" s="26"/>
    </row>
    <row r="249" spans="3:5" x14ac:dyDescent="0.25">
      <c r="C249" s="16"/>
      <c r="D249" s="16"/>
      <c r="E249" s="26"/>
    </row>
    <row r="250" spans="3:5" x14ac:dyDescent="0.25">
      <c r="C250" s="16"/>
      <c r="D250" s="16"/>
      <c r="E250" s="26"/>
    </row>
    <row r="251" spans="3:5" x14ac:dyDescent="0.25">
      <c r="C251" s="16"/>
      <c r="D251" s="16"/>
      <c r="E251" s="26"/>
    </row>
    <row r="252" spans="3:5" x14ac:dyDescent="0.25">
      <c r="C252" s="16"/>
      <c r="D252" s="16"/>
      <c r="E252" s="26"/>
    </row>
    <row r="253" spans="3:5" x14ac:dyDescent="0.25">
      <c r="C253" s="16"/>
      <c r="D253" s="16"/>
      <c r="E253" s="26"/>
    </row>
    <row r="254" spans="3:5" x14ac:dyDescent="0.25">
      <c r="C254" s="16"/>
      <c r="D254" s="16"/>
      <c r="E254" s="26"/>
    </row>
    <row r="255" spans="3:5" x14ac:dyDescent="0.25">
      <c r="C255" s="16"/>
      <c r="D255" s="16"/>
      <c r="E255" s="26"/>
    </row>
    <row r="256" spans="3:5" x14ac:dyDescent="0.25">
      <c r="C256" s="16"/>
      <c r="D256" s="16"/>
      <c r="E256" s="26"/>
    </row>
    <row r="257" spans="3:5" x14ac:dyDescent="0.25">
      <c r="C257" s="16"/>
      <c r="D257" s="16"/>
      <c r="E257" s="26"/>
    </row>
    <row r="258" spans="3:5" x14ac:dyDescent="0.25">
      <c r="C258" s="16"/>
      <c r="D258" s="16"/>
      <c r="E258" s="26"/>
    </row>
    <row r="259" spans="3:5" x14ac:dyDescent="0.25">
      <c r="C259" s="16"/>
      <c r="D259" s="16"/>
      <c r="E259" s="26"/>
    </row>
    <row r="260" spans="3:5" x14ac:dyDescent="0.25">
      <c r="C260" s="16"/>
      <c r="D260" s="16"/>
      <c r="E260" s="26"/>
    </row>
  </sheetData>
  <dataValidations count="1">
    <dataValidation type="list" allowBlank="1" showInputMessage="1" showErrorMessage="1" sqref="C6" xr:uid="{7BFB9E2E-FC8F-45E4-B855-F453DA4C0A45}">
      <formula1>"Payer, Receiver"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E81B0-8F4A-40F2-8E2D-0436A648C56C}">
  <sheetPr codeName="Hoja3"/>
  <dimension ref="B1:D14"/>
  <sheetViews>
    <sheetView showGridLines="0" workbookViewId="0">
      <selection activeCell="F19" sqref="F19"/>
    </sheetView>
  </sheetViews>
  <sheetFormatPr baseColWidth="10" defaultRowHeight="15" x14ac:dyDescent="0.25"/>
  <sheetData>
    <row r="1" spans="2:4" ht="15.75" thickBot="1" x14ac:dyDescent="0.3"/>
    <row r="2" spans="2:4" ht="19.5" thickBot="1" x14ac:dyDescent="0.35">
      <c r="B2" s="36" t="s">
        <v>42</v>
      </c>
      <c r="C2" s="37"/>
      <c r="D2" s="38"/>
    </row>
    <row r="3" spans="2:4" ht="15.75" thickBot="1" x14ac:dyDescent="0.3">
      <c r="B3" s="5" t="s">
        <v>0</v>
      </c>
      <c r="C3" s="6" t="s">
        <v>43</v>
      </c>
      <c r="D3" s="7"/>
    </row>
    <row r="4" spans="2:4" ht="15.75" thickBot="1" x14ac:dyDescent="0.3">
      <c r="B4" s="10">
        <v>28</v>
      </c>
      <c r="C4" s="3">
        <v>0</v>
      </c>
      <c r="D4" s="4"/>
    </row>
    <row r="5" spans="2:4" x14ac:dyDescent="0.25">
      <c r="B5" s="11">
        <v>84</v>
      </c>
      <c r="C5" s="1">
        <v>0</v>
      </c>
      <c r="D5" s="2"/>
    </row>
    <row r="6" spans="2:4" x14ac:dyDescent="0.25">
      <c r="B6" s="11">
        <v>168</v>
      </c>
      <c r="C6" s="1">
        <v>0</v>
      </c>
      <c r="D6" s="2"/>
    </row>
    <row r="7" spans="2:4" x14ac:dyDescent="0.25">
      <c r="B7" s="11">
        <v>252</v>
      </c>
      <c r="C7" s="1">
        <v>-105</v>
      </c>
      <c r="D7" s="2"/>
    </row>
    <row r="8" spans="2:4" x14ac:dyDescent="0.25">
      <c r="B8" s="11">
        <v>364</v>
      </c>
      <c r="C8" s="34">
        <v>4055.8110000000001</v>
      </c>
      <c r="D8" s="2"/>
    </row>
    <row r="9" spans="2:4" x14ac:dyDescent="0.25">
      <c r="B9" s="11">
        <v>728</v>
      </c>
      <c r="C9" s="34">
        <v>1297.7974999999999</v>
      </c>
      <c r="D9" s="2"/>
    </row>
    <row r="10" spans="2:4" x14ac:dyDescent="0.25">
      <c r="B10" s="11">
        <v>1092</v>
      </c>
      <c r="C10" s="34">
        <v>1870.3</v>
      </c>
      <c r="D10" s="2"/>
    </row>
    <row r="11" spans="2:4" x14ac:dyDescent="0.25">
      <c r="B11" s="11">
        <v>1456</v>
      </c>
      <c r="C11" s="34">
        <v>-2879.404</v>
      </c>
      <c r="D11" s="2"/>
    </row>
    <row r="12" spans="2:4" x14ac:dyDescent="0.25">
      <c r="B12" s="11">
        <v>1820</v>
      </c>
      <c r="C12" s="34">
        <v>-3462.0990000000002</v>
      </c>
      <c r="D12" s="2"/>
    </row>
    <row r="13" spans="2:4" x14ac:dyDescent="0.25">
      <c r="B13" s="11">
        <v>2548</v>
      </c>
      <c r="C13" s="34">
        <v>5237.8945000000003</v>
      </c>
      <c r="D13" s="2"/>
    </row>
    <row r="14" spans="2:4" ht="15.75" thickBot="1" x14ac:dyDescent="0.3">
      <c r="B14" s="10">
        <v>3640</v>
      </c>
      <c r="C14" s="35">
        <v>6669.5654999999997</v>
      </c>
      <c r="D14" s="4"/>
    </row>
  </sheetData>
  <mergeCells count="1">
    <mergeCell ref="B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Hoja3</vt:lpstr>
      <vt:lpstr>Hoja4</vt:lpstr>
    </vt:vector>
  </TitlesOfParts>
  <Company>PRODUBAN MX FACC 12/2013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JOSSELES MARTINEZ BECERRIL</dc:creator>
  <cp:lastModifiedBy>Claudio Cuevas Pazos</cp:lastModifiedBy>
  <dcterms:created xsi:type="dcterms:W3CDTF">2016-11-03T17:46:45Z</dcterms:created>
  <dcterms:modified xsi:type="dcterms:W3CDTF">2019-11-12T02:02:25Z</dcterms:modified>
</cp:coreProperties>
</file>